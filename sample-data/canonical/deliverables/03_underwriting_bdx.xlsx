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2025-08" sheetId="3" state="visible" r:id="rId3"/>
    <sheet xmlns:r="http://schemas.openxmlformats.org/officeDocument/2006/relationships" name="2025-09" sheetId="4" state="visible" r:id="rId4"/>
    <sheet xmlns:r="http://schemas.openxmlformats.org/officeDocument/2006/relationships" name="2025-10" sheetId="5" state="visible" r:id="rId5"/>
    <sheet xmlns:r="http://schemas.openxmlformats.org/officeDocument/2006/relationships" name="2025-11" sheetId="6" state="visible" r:id="rId6"/>
    <sheet xmlns:r="http://schemas.openxmlformats.org/officeDocument/2006/relationships" name="2025-12" sheetId="7" state="visible" r:id="rId7"/>
    <sheet xmlns:r="http://schemas.openxmlformats.org/officeDocument/2006/relationships" name="2026-01" sheetId="8" state="visible" r:id="rId8"/>
    <sheet xmlns:r="http://schemas.openxmlformats.org/officeDocument/2006/relationships" name="2026-02" sheetId="9" state="visible" r:id="rId9"/>
    <sheet xmlns:r="http://schemas.openxmlformats.org/officeDocument/2006/relationships" name="2026-03" sheetId="10" state="visible" r:id="rId10"/>
    <sheet xmlns:r="http://schemas.openxmlformats.org/officeDocument/2006/relationships" name="2026-04" sheetId="11" state="visible" r:id="rId11"/>
    <sheet xmlns:r="http://schemas.openxmlformats.org/officeDocument/2006/relationships" name="2026-05" sheetId="12" state="visible" r:id="rId12"/>
    <sheet xmlns:r="http://schemas.openxmlformats.org/officeDocument/2006/relationships" name="2026-06" sheetId="13" state="visible" r:id="rId13"/>
    <sheet xmlns:r="http://schemas.openxmlformats.org/officeDocument/2006/relationships" name="2026-07" sheetId="14" state="visible" r:id="rId14"/>
  </sheets>
  <definedNames>
    <definedName name="_xlnm._FilterDatabase" localSheetId="2" hidden="1">'2025-08'!$A$4:$W$411</definedName>
    <definedName name="_xlnm._FilterDatabase" localSheetId="3" hidden="1">'2025-09'!$A$4:$W$381</definedName>
    <definedName name="_xlnm._FilterDatabase" localSheetId="4" hidden="1">'2025-10'!$A$4:$W$481</definedName>
    <definedName name="_xlnm._FilterDatabase" localSheetId="5" hidden="1">'2025-11'!$A$4:$W$459</definedName>
    <definedName name="_xlnm._FilterDatabase" localSheetId="6" hidden="1">'2025-12'!$A$4:$W$497</definedName>
    <definedName name="_xlnm._FilterDatabase" localSheetId="7" hidden="1">'2026-01'!$A$4:$W$503</definedName>
    <definedName name="_xlnm._FilterDatabase" localSheetId="8" hidden="1">'2026-02'!$A$4:$W$504</definedName>
    <definedName name="_xlnm._FilterDatabase" localSheetId="9" hidden="1">'2026-03'!$A$4:$W$588</definedName>
    <definedName name="_xlnm._FilterDatabase" localSheetId="10" hidden="1">'2026-04'!$A$4:$W$550</definedName>
    <definedName name="_xlnm._FilterDatabase" localSheetId="11" hidden="1">'2026-05'!$A$4:$W$550</definedName>
    <definedName name="_xlnm._FilterDatabase" localSheetId="12" hidden="1">'2026-06'!$A$4:$W$655</definedName>
    <definedName name="_xlnm._FilterDatabase" localSheetId="13" hidden="1">'2026-07'!$A$4:$W$558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4" fontId="5" fillId="5" borderId="1" pivotButton="0" quotePrefix="0" xfId="0"/>
    <xf numFmtId="164" fontId="5" fillId="0" borderId="0" pivotButton="0" quotePrefix="0" xfId="0"/>
    <xf numFmtId="164" fontId="4" fillId="6" borderId="0" pivotButton="0" quotePrefix="0" xfId="0"/>
    <xf numFmtId="164" fontId="5" fillId="5" borderId="0" pivotButton="0" quotePrefix="0" xfId="0"/>
    <xf numFmtId="164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03 · Underwriting BDX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Scope</t>
        </is>
      </c>
      <c r="C8" s="3" t="inlineStr">
        <is>
          <t>BOUND book only (6,089 policies). Indicative/declined excluded.</t>
        </is>
      </c>
    </row>
    <row r="9">
      <c r="A9" s="3" t="inlineStr">
        <is>
          <t>Split</t>
        </is>
      </c>
      <c r="C9" s="3" t="inlineStr">
        <is>
          <t>12.5% Broker + 12.5% Torque + 75% Markets; Markets = Σ ten syndicates (7.5% each).</t>
        </is>
      </c>
    </row>
    <row r="10">
      <c r="A10" s="3" t="inlineStr">
        <is>
          <t>Fees</t>
        </is>
      </c>
      <c r="C10" s="3" t="inlineStr">
        <is>
          <t>$350 policy fee/policy; $250 inspection for AV ≥ $1M.</t>
        </is>
      </c>
    </row>
    <row r="11">
      <c r="A11" s="3" t="inlineStr">
        <is>
          <t>Reconciliation</t>
        </is>
      </c>
      <c r="C11" s="3" t="inlineStr">
        <is>
          <t>See 'Annual Summary' — Δ rows foot to 0; premium = GWP $56,932,078.70.</t>
        </is>
      </c>
    </row>
    <row r="12">
      <c r="A12" s="3" t="inlineStr">
        <is>
          <t>Rounding residual</t>
        </is>
      </c>
      <c r="C12" s="3" t="inlineStr">
        <is>
          <t>Explicit column; standard bordereau practice so the row foots exactly.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S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6" customWidth="1" min="4" max="4"/>
    <col width="14" customWidth="1" min="5" max="5"/>
    <col width="15" customWidth="1" min="6" max="6"/>
  </cols>
  <sheetData>
    <row r="1" ht="22" customHeight="1">
      <c r="A1" s="4" t="inlineStr">
        <is>
          <t>Underwriting BDX — Annual Summary</t>
        </is>
      </c>
    </row>
    <row r="2">
      <c r="A2" s="5" t="inlineStr">
        <is>
          <t>Each row pulls that month tab's TOTAL row. Grand total ties to artifact GWP $56,932,078.70.</t>
        </is>
      </c>
    </row>
    <row r="4">
      <c r="A4" s="6" t="inlineStr">
        <is>
          <t>Month</t>
        </is>
      </c>
      <c r="B4" s="6" t="inlineStr">
        <is>
          <t>Bound Premium</t>
        </is>
      </c>
      <c r="C4" s="6" t="inlineStr">
        <is>
          <t>Broker 12.5%</t>
        </is>
      </c>
      <c r="D4" s="6" t="inlineStr">
        <is>
          <t>Torque 12.5%</t>
        </is>
      </c>
      <c r="E4" s="6" t="inlineStr">
        <is>
          <t>Markets 75%</t>
        </is>
      </c>
      <c r="F4" s="6" t="inlineStr">
        <is>
          <t>Rounding Residual</t>
        </is>
      </c>
      <c r="G4" s="6" t="inlineStr">
        <is>
          <t>Beazley</t>
        </is>
      </c>
      <c r="H4" s="6" t="inlineStr">
        <is>
          <t>Hiscox</t>
        </is>
      </c>
      <c r="I4" s="6" t="inlineStr">
        <is>
          <t>Chaucer</t>
        </is>
      </c>
      <c r="J4" s="6" t="inlineStr">
        <is>
          <t>Ark</t>
        </is>
      </c>
      <c r="K4" s="6" t="inlineStr">
        <is>
          <t>Brit</t>
        </is>
      </c>
      <c r="L4" s="6" t="inlineStr">
        <is>
          <t>Canopius</t>
        </is>
      </c>
      <c r="M4" s="6" t="inlineStr">
        <is>
          <t>Apollo</t>
        </is>
      </c>
      <c r="N4" s="6" t="inlineStr">
        <is>
          <t>Antares</t>
        </is>
      </c>
      <c r="O4" s="6" t="inlineStr">
        <is>
          <t>MS Amlin</t>
        </is>
      </c>
      <c r="P4" s="6" t="inlineStr">
        <is>
          <t>Ascot</t>
        </is>
      </c>
      <c r="Q4" s="6" t="inlineStr">
        <is>
          <t>Policy Fee</t>
        </is>
      </c>
      <c r="R4" s="6" t="inlineStr">
        <is>
          <t>Inspection Fee</t>
        </is>
      </c>
      <c r="S4" s="6" t="inlineStr">
        <is>
          <t>Fee Total</t>
        </is>
      </c>
    </row>
    <row r="5">
      <c r="A5" s="7" t="inlineStr">
        <is>
          <t>2025-08</t>
        </is>
      </c>
      <c r="B5" s="8">
        <f>'2025-08'!F412</f>
        <v/>
      </c>
      <c r="C5" s="8">
        <f>'2025-08'!G412</f>
        <v/>
      </c>
      <c r="D5" s="8">
        <f>'2025-08'!H412</f>
        <v/>
      </c>
      <c r="E5" s="8">
        <f>'2025-08'!I412</f>
        <v/>
      </c>
      <c r="F5" s="8">
        <f>'2025-08'!J412</f>
        <v/>
      </c>
      <c r="G5" s="8">
        <f>'2025-08'!K412</f>
        <v/>
      </c>
      <c r="H5" s="8">
        <f>'2025-08'!L412</f>
        <v/>
      </c>
      <c r="I5" s="8">
        <f>'2025-08'!M412</f>
        <v/>
      </c>
      <c r="J5" s="8">
        <f>'2025-08'!N412</f>
        <v/>
      </c>
      <c r="K5" s="8">
        <f>'2025-08'!O412</f>
        <v/>
      </c>
      <c r="L5" s="8">
        <f>'2025-08'!P412</f>
        <v/>
      </c>
      <c r="M5" s="8">
        <f>'2025-08'!Q412</f>
        <v/>
      </c>
      <c r="N5" s="8">
        <f>'2025-08'!R412</f>
        <v/>
      </c>
      <c r="O5" s="8">
        <f>'2025-08'!S412</f>
        <v/>
      </c>
      <c r="P5" s="8">
        <f>'2025-08'!T412</f>
        <v/>
      </c>
      <c r="Q5" s="8">
        <f>'2025-08'!U412</f>
        <v/>
      </c>
      <c r="R5" s="8">
        <f>'2025-08'!V412</f>
        <v/>
      </c>
      <c r="S5" s="8">
        <f>'2025-08'!W412</f>
        <v/>
      </c>
    </row>
    <row r="6">
      <c r="A6" s="7" t="inlineStr">
        <is>
          <t>2025-09</t>
        </is>
      </c>
      <c r="B6" s="8">
        <f>'2025-09'!F382</f>
        <v/>
      </c>
      <c r="C6" s="8">
        <f>'2025-09'!G382</f>
        <v/>
      </c>
      <c r="D6" s="8">
        <f>'2025-09'!H382</f>
        <v/>
      </c>
      <c r="E6" s="8">
        <f>'2025-09'!I382</f>
        <v/>
      </c>
      <c r="F6" s="8">
        <f>'2025-09'!J382</f>
        <v/>
      </c>
      <c r="G6" s="8">
        <f>'2025-09'!K382</f>
        <v/>
      </c>
      <c r="H6" s="8">
        <f>'2025-09'!L382</f>
        <v/>
      </c>
      <c r="I6" s="8">
        <f>'2025-09'!M382</f>
        <v/>
      </c>
      <c r="J6" s="8">
        <f>'2025-09'!N382</f>
        <v/>
      </c>
      <c r="K6" s="8">
        <f>'2025-09'!O382</f>
        <v/>
      </c>
      <c r="L6" s="8">
        <f>'2025-09'!P382</f>
        <v/>
      </c>
      <c r="M6" s="8">
        <f>'2025-09'!Q382</f>
        <v/>
      </c>
      <c r="N6" s="8">
        <f>'2025-09'!R382</f>
        <v/>
      </c>
      <c r="O6" s="8">
        <f>'2025-09'!S382</f>
        <v/>
      </c>
      <c r="P6" s="8">
        <f>'2025-09'!T382</f>
        <v/>
      </c>
      <c r="Q6" s="8">
        <f>'2025-09'!U382</f>
        <v/>
      </c>
      <c r="R6" s="8">
        <f>'2025-09'!V382</f>
        <v/>
      </c>
      <c r="S6" s="8">
        <f>'2025-09'!W382</f>
        <v/>
      </c>
    </row>
    <row r="7">
      <c r="A7" s="7" t="inlineStr">
        <is>
          <t>2025-10</t>
        </is>
      </c>
      <c r="B7" s="8">
        <f>'2025-10'!F482</f>
        <v/>
      </c>
      <c r="C7" s="8">
        <f>'2025-10'!G482</f>
        <v/>
      </c>
      <c r="D7" s="8">
        <f>'2025-10'!H482</f>
        <v/>
      </c>
      <c r="E7" s="8">
        <f>'2025-10'!I482</f>
        <v/>
      </c>
      <c r="F7" s="8">
        <f>'2025-10'!J482</f>
        <v/>
      </c>
      <c r="G7" s="8">
        <f>'2025-10'!K482</f>
        <v/>
      </c>
      <c r="H7" s="8">
        <f>'2025-10'!L482</f>
        <v/>
      </c>
      <c r="I7" s="8">
        <f>'2025-10'!M482</f>
        <v/>
      </c>
      <c r="J7" s="8">
        <f>'2025-10'!N482</f>
        <v/>
      </c>
      <c r="K7" s="8">
        <f>'2025-10'!O482</f>
        <v/>
      </c>
      <c r="L7" s="8">
        <f>'2025-10'!P482</f>
        <v/>
      </c>
      <c r="M7" s="8">
        <f>'2025-10'!Q482</f>
        <v/>
      </c>
      <c r="N7" s="8">
        <f>'2025-10'!R482</f>
        <v/>
      </c>
      <c r="O7" s="8">
        <f>'2025-10'!S482</f>
        <v/>
      </c>
      <c r="P7" s="8">
        <f>'2025-10'!T482</f>
        <v/>
      </c>
      <c r="Q7" s="8">
        <f>'2025-10'!U482</f>
        <v/>
      </c>
      <c r="R7" s="8">
        <f>'2025-10'!V482</f>
        <v/>
      </c>
      <c r="S7" s="8">
        <f>'2025-10'!W482</f>
        <v/>
      </c>
    </row>
    <row r="8">
      <c r="A8" s="7" t="inlineStr">
        <is>
          <t>2025-11</t>
        </is>
      </c>
      <c r="B8" s="8">
        <f>'2025-11'!F460</f>
        <v/>
      </c>
      <c r="C8" s="8">
        <f>'2025-11'!G460</f>
        <v/>
      </c>
      <c r="D8" s="8">
        <f>'2025-11'!H460</f>
        <v/>
      </c>
      <c r="E8" s="8">
        <f>'2025-11'!I460</f>
        <v/>
      </c>
      <c r="F8" s="8">
        <f>'2025-11'!J460</f>
        <v/>
      </c>
      <c r="G8" s="8">
        <f>'2025-11'!K460</f>
        <v/>
      </c>
      <c r="H8" s="8">
        <f>'2025-11'!L460</f>
        <v/>
      </c>
      <c r="I8" s="8">
        <f>'2025-11'!M460</f>
        <v/>
      </c>
      <c r="J8" s="8">
        <f>'2025-11'!N460</f>
        <v/>
      </c>
      <c r="K8" s="8">
        <f>'2025-11'!O460</f>
        <v/>
      </c>
      <c r="L8" s="8">
        <f>'2025-11'!P460</f>
        <v/>
      </c>
      <c r="M8" s="8">
        <f>'2025-11'!Q460</f>
        <v/>
      </c>
      <c r="N8" s="8">
        <f>'2025-11'!R460</f>
        <v/>
      </c>
      <c r="O8" s="8">
        <f>'2025-11'!S460</f>
        <v/>
      </c>
      <c r="P8" s="8">
        <f>'2025-11'!T460</f>
        <v/>
      </c>
      <c r="Q8" s="8">
        <f>'2025-11'!U460</f>
        <v/>
      </c>
      <c r="R8" s="8">
        <f>'2025-11'!V460</f>
        <v/>
      </c>
      <c r="S8" s="8">
        <f>'2025-11'!W460</f>
        <v/>
      </c>
    </row>
    <row r="9">
      <c r="A9" s="7" t="inlineStr">
        <is>
          <t>2025-12</t>
        </is>
      </c>
      <c r="B9" s="8">
        <f>'2025-12'!F498</f>
        <v/>
      </c>
      <c r="C9" s="8">
        <f>'2025-12'!G498</f>
        <v/>
      </c>
      <c r="D9" s="8">
        <f>'2025-12'!H498</f>
        <v/>
      </c>
      <c r="E9" s="8">
        <f>'2025-12'!I498</f>
        <v/>
      </c>
      <c r="F9" s="8">
        <f>'2025-12'!J498</f>
        <v/>
      </c>
      <c r="G9" s="8">
        <f>'2025-12'!K498</f>
        <v/>
      </c>
      <c r="H9" s="8">
        <f>'2025-12'!L498</f>
        <v/>
      </c>
      <c r="I9" s="8">
        <f>'2025-12'!M498</f>
        <v/>
      </c>
      <c r="J9" s="8">
        <f>'2025-12'!N498</f>
        <v/>
      </c>
      <c r="K9" s="8">
        <f>'2025-12'!O498</f>
        <v/>
      </c>
      <c r="L9" s="8">
        <f>'2025-12'!P498</f>
        <v/>
      </c>
      <c r="M9" s="8">
        <f>'2025-12'!Q498</f>
        <v/>
      </c>
      <c r="N9" s="8">
        <f>'2025-12'!R498</f>
        <v/>
      </c>
      <c r="O9" s="8">
        <f>'2025-12'!S498</f>
        <v/>
      </c>
      <c r="P9" s="8">
        <f>'2025-12'!T498</f>
        <v/>
      </c>
      <c r="Q9" s="8">
        <f>'2025-12'!U498</f>
        <v/>
      </c>
      <c r="R9" s="8">
        <f>'2025-12'!V498</f>
        <v/>
      </c>
      <c r="S9" s="8">
        <f>'2025-12'!W498</f>
        <v/>
      </c>
    </row>
    <row r="10">
      <c r="A10" s="7" t="inlineStr">
        <is>
          <t>2026-01</t>
        </is>
      </c>
      <c r="B10" s="8">
        <f>'2026-01'!F504</f>
        <v/>
      </c>
      <c r="C10" s="8">
        <f>'2026-01'!G504</f>
        <v/>
      </c>
      <c r="D10" s="8">
        <f>'2026-01'!H504</f>
        <v/>
      </c>
      <c r="E10" s="8">
        <f>'2026-01'!I504</f>
        <v/>
      </c>
      <c r="F10" s="8">
        <f>'2026-01'!J504</f>
        <v/>
      </c>
      <c r="G10" s="8">
        <f>'2026-01'!K504</f>
        <v/>
      </c>
      <c r="H10" s="8">
        <f>'2026-01'!L504</f>
        <v/>
      </c>
      <c r="I10" s="8">
        <f>'2026-01'!M504</f>
        <v/>
      </c>
      <c r="J10" s="8">
        <f>'2026-01'!N504</f>
        <v/>
      </c>
      <c r="K10" s="8">
        <f>'2026-01'!O504</f>
        <v/>
      </c>
      <c r="L10" s="8">
        <f>'2026-01'!P504</f>
        <v/>
      </c>
      <c r="M10" s="8">
        <f>'2026-01'!Q504</f>
        <v/>
      </c>
      <c r="N10" s="8">
        <f>'2026-01'!R504</f>
        <v/>
      </c>
      <c r="O10" s="8">
        <f>'2026-01'!S504</f>
        <v/>
      </c>
      <c r="P10" s="8">
        <f>'2026-01'!T504</f>
        <v/>
      </c>
      <c r="Q10" s="8">
        <f>'2026-01'!U504</f>
        <v/>
      </c>
      <c r="R10" s="8">
        <f>'2026-01'!V504</f>
        <v/>
      </c>
      <c r="S10" s="8">
        <f>'2026-01'!W504</f>
        <v/>
      </c>
    </row>
    <row r="11">
      <c r="A11" s="7" t="inlineStr">
        <is>
          <t>2026-02</t>
        </is>
      </c>
      <c r="B11" s="8">
        <f>'2026-02'!F505</f>
        <v/>
      </c>
      <c r="C11" s="8">
        <f>'2026-02'!G505</f>
        <v/>
      </c>
      <c r="D11" s="8">
        <f>'2026-02'!H505</f>
        <v/>
      </c>
      <c r="E11" s="8">
        <f>'2026-02'!I505</f>
        <v/>
      </c>
      <c r="F11" s="8">
        <f>'2026-02'!J505</f>
        <v/>
      </c>
      <c r="G11" s="8">
        <f>'2026-02'!K505</f>
        <v/>
      </c>
      <c r="H11" s="8">
        <f>'2026-02'!L505</f>
        <v/>
      </c>
      <c r="I11" s="8">
        <f>'2026-02'!M505</f>
        <v/>
      </c>
      <c r="J11" s="8">
        <f>'2026-02'!N505</f>
        <v/>
      </c>
      <c r="K11" s="8">
        <f>'2026-02'!O505</f>
        <v/>
      </c>
      <c r="L11" s="8">
        <f>'2026-02'!P505</f>
        <v/>
      </c>
      <c r="M11" s="8">
        <f>'2026-02'!Q505</f>
        <v/>
      </c>
      <c r="N11" s="8">
        <f>'2026-02'!R505</f>
        <v/>
      </c>
      <c r="O11" s="8">
        <f>'2026-02'!S505</f>
        <v/>
      </c>
      <c r="P11" s="8">
        <f>'2026-02'!T505</f>
        <v/>
      </c>
      <c r="Q11" s="8">
        <f>'2026-02'!U505</f>
        <v/>
      </c>
      <c r="R11" s="8">
        <f>'2026-02'!V505</f>
        <v/>
      </c>
      <c r="S11" s="8">
        <f>'2026-02'!W505</f>
        <v/>
      </c>
    </row>
    <row r="12">
      <c r="A12" s="7" t="inlineStr">
        <is>
          <t>2026-03</t>
        </is>
      </c>
      <c r="B12" s="8">
        <f>'2026-03'!F589</f>
        <v/>
      </c>
      <c r="C12" s="8">
        <f>'2026-03'!G589</f>
        <v/>
      </c>
      <c r="D12" s="8">
        <f>'2026-03'!H589</f>
        <v/>
      </c>
      <c r="E12" s="8">
        <f>'2026-03'!I589</f>
        <v/>
      </c>
      <c r="F12" s="8">
        <f>'2026-03'!J589</f>
        <v/>
      </c>
      <c r="G12" s="8">
        <f>'2026-03'!K589</f>
        <v/>
      </c>
      <c r="H12" s="8">
        <f>'2026-03'!L589</f>
        <v/>
      </c>
      <c r="I12" s="8">
        <f>'2026-03'!M589</f>
        <v/>
      </c>
      <c r="J12" s="8">
        <f>'2026-03'!N589</f>
        <v/>
      </c>
      <c r="K12" s="8">
        <f>'2026-03'!O589</f>
        <v/>
      </c>
      <c r="L12" s="8">
        <f>'2026-03'!P589</f>
        <v/>
      </c>
      <c r="M12" s="8">
        <f>'2026-03'!Q589</f>
        <v/>
      </c>
      <c r="N12" s="8">
        <f>'2026-03'!R589</f>
        <v/>
      </c>
      <c r="O12" s="8">
        <f>'2026-03'!S589</f>
        <v/>
      </c>
      <c r="P12" s="8">
        <f>'2026-03'!T589</f>
        <v/>
      </c>
      <c r="Q12" s="8">
        <f>'2026-03'!U589</f>
        <v/>
      </c>
      <c r="R12" s="8">
        <f>'2026-03'!V589</f>
        <v/>
      </c>
      <c r="S12" s="8">
        <f>'2026-03'!W589</f>
        <v/>
      </c>
    </row>
    <row r="13">
      <c r="A13" s="7" t="inlineStr">
        <is>
          <t>2026-04</t>
        </is>
      </c>
      <c r="B13" s="8">
        <f>'2026-04'!F551</f>
        <v/>
      </c>
      <c r="C13" s="8">
        <f>'2026-04'!G551</f>
        <v/>
      </c>
      <c r="D13" s="8">
        <f>'2026-04'!H551</f>
        <v/>
      </c>
      <c r="E13" s="8">
        <f>'2026-04'!I551</f>
        <v/>
      </c>
      <c r="F13" s="8">
        <f>'2026-04'!J551</f>
        <v/>
      </c>
      <c r="G13" s="8">
        <f>'2026-04'!K551</f>
        <v/>
      </c>
      <c r="H13" s="8">
        <f>'2026-04'!L551</f>
        <v/>
      </c>
      <c r="I13" s="8">
        <f>'2026-04'!M551</f>
        <v/>
      </c>
      <c r="J13" s="8">
        <f>'2026-04'!N551</f>
        <v/>
      </c>
      <c r="K13" s="8">
        <f>'2026-04'!O551</f>
        <v/>
      </c>
      <c r="L13" s="8">
        <f>'2026-04'!P551</f>
        <v/>
      </c>
      <c r="M13" s="8">
        <f>'2026-04'!Q551</f>
        <v/>
      </c>
      <c r="N13" s="8">
        <f>'2026-04'!R551</f>
        <v/>
      </c>
      <c r="O13" s="8">
        <f>'2026-04'!S551</f>
        <v/>
      </c>
      <c r="P13" s="8">
        <f>'2026-04'!T551</f>
        <v/>
      </c>
      <c r="Q13" s="8">
        <f>'2026-04'!U551</f>
        <v/>
      </c>
      <c r="R13" s="8">
        <f>'2026-04'!V551</f>
        <v/>
      </c>
      <c r="S13" s="8">
        <f>'2026-04'!W551</f>
        <v/>
      </c>
    </row>
    <row r="14">
      <c r="A14" s="7" t="inlineStr">
        <is>
          <t>2026-05</t>
        </is>
      </c>
      <c r="B14" s="8">
        <f>'2026-05'!F551</f>
        <v/>
      </c>
      <c r="C14" s="8">
        <f>'2026-05'!G551</f>
        <v/>
      </c>
      <c r="D14" s="8">
        <f>'2026-05'!H551</f>
        <v/>
      </c>
      <c r="E14" s="8">
        <f>'2026-05'!I551</f>
        <v/>
      </c>
      <c r="F14" s="8">
        <f>'2026-05'!J551</f>
        <v/>
      </c>
      <c r="G14" s="8">
        <f>'2026-05'!K551</f>
        <v/>
      </c>
      <c r="H14" s="8">
        <f>'2026-05'!L551</f>
        <v/>
      </c>
      <c r="I14" s="8">
        <f>'2026-05'!M551</f>
        <v/>
      </c>
      <c r="J14" s="8">
        <f>'2026-05'!N551</f>
        <v/>
      </c>
      <c r="K14" s="8">
        <f>'2026-05'!O551</f>
        <v/>
      </c>
      <c r="L14" s="8">
        <f>'2026-05'!P551</f>
        <v/>
      </c>
      <c r="M14" s="8">
        <f>'2026-05'!Q551</f>
        <v/>
      </c>
      <c r="N14" s="8">
        <f>'2026-05'!R551</f>
        <v/>
      </c>
      <c r="O14" s="8">
        <f>'2026-05'!S551</f>
        <v/>
      </c>
      <c r="P14" s="8">
        <f>'2026-05'!T551</f>
        <v/>
      </c>
      <c r="Q14" s="8">
        <f>'2026-05'!U551</f>
        <v/>
      </c>
      <c r="R14" s="8">
        <f>'2026-05'!V551</f>
        <v/>
      </c>
      <c r="S14" s="8">
        <f>'2026-05'!W551</f>
        <v/>
      </c>
    </row>
    <row r="15">
      <c r="A15" s="7" t="inlineStr">
        <is>
          <t>2026-06</t>
        </is>
      </c>
      <c r="B15" s="8">
        <f>'2026-06'!F656</f>
        <v/>
      </c>
      <c r="C15" s="8">
        <f>'2026-06'!G656</f>
        <v/>
      </c>
      <c r="D15" s="8">
        <f>'2026-06'!H656</f>
        <v/>
      </c>
      <c r="E15" s="8">
        <f>'2026-06'!I656</f>
        <v/>
      </c>
      <c r="F15" s="8">
        <f>'2026-06'!J656</f>
        <v/>
      </c>
      <c r="G15" s="8">
        <f>'2026-06'!K656</f>
        <v/>
      </c>
      <c r="H15" s="8">
        <f>'2026-06'!L656</f>
        <v/>
      </c>
      <c r="I15" s="8">
        <f>'2026-06'!M656</f>
        <v/>
      </c>
      <c r="J15" s="8">
        <f>'2026-06'!N656</f>
        <v/>
      </c>
      <c r="K15" s="8">
        <f>'2026-06'!O656</f>
        <v/>
      </c>
      <c r="L15" s="8">
        <f>'2026-06'!P656</f>
        <v/>
      </c>
      <c r="M15" s="8">
        <f>'2026-06'!Q656</f>
        <v/>
      </c>
      <c r="N15" s="8">
        <f>'2026-06'!R656</f>
        <v/>
      </c>
      <c r="O15" s="8">
        <f>'2026-06'!S656</f>
        <v/>
      </c>
      <c r="P15" s="8">
        <f>'2026-06'!T656</f>
        <v/>
      </c>
      <c r="Q15" s="8">
        <f>'2026-06'!U656</f>
        <v/>
      </c>
      <c r="R15" s="8">
        <f>'2026-06'!V656</f>
        <v/>
      </c>
      <c r="S15" s="8">
        <f>'2026-06'!W656</f>
        <v/>
      </c>
    </row>
    <row r="16">
      <c r="A16" s="7" t="inlineStr">
        <is>
          <t>2026-07</t>
        </is>
      </c>
      <c r="B16" s="8">
        <f>'2026-07'!F559</f>
        <v/>
      </c>
      <c r="C16" s="8">
        <f>'2026-07'!G559</f>
        <v/>
      </c>
      <c r="D16" s="8">
        <f>'2026-07'!H559</f>
        <v/>
      </c>
      <c r="E16" s="8">
        <f>'2026-07'!I559</f>
        <v/>
      </c>
      <c r="F16" s="8">
        <f>'2026-07'!J559</f>
        <v/>
      </c>
      <c r="G16" s="8">
        <f>'2026-07'!K559</f>
        <v/>
      </c>
      <c r="H16" s="8">
        <f>'2026-07'!L559</f>
        <v/>
      </c>
      <c r="I16" s="8">
        <f>'2026-07'!M559</f>
        <v/>
      </c>
      <c r="J16" s="8">
        <f>'2026-07'!N559</f>
        <v/>
      </c>
      <c r="K16" s="8">
        <f>'2026-07'!O559</f>
        <v/>
      </c>
      <c r="L16" s="8">
        <f>'2026-07'!P559</f>
        <v/>
      </c>
      <c r="M16" s="8">
        <f>'2026-07'!Q559</f>
        <v/>
      </c>
      <c r="N16" s="8">
        <f>'2026-07'!R559</f>
        <v/>
      </c>
      <c r="O16" s="8">
        <f>'2026-07'!S559</f>
        <v/>
      </c>
      <c r="P16" s="8">
        <f>'2026-07'!T559</f>
        <v/>
      </c>
      <c r="Q16" s="8">
        <f>'2026-07'!U559</f>
        <v/>
      </c>
      <c r="R16" s="8">
        <f>'2026-07'!V559</f>
        <v/>
      </c>
      <c r="S16" s="8">
        <f>'2026-07'!W559</f>
        <v/>
      </c>
    </row>
    <row r="17">
      <c r="A17" s="9" t="inlineStr">
        <is>
          <t>GRAND TOTAL</t>
        </is>
      </c>
      <c r="B17" s="10">
        <f>SUM(B5:B16)</f>
        <v/>
      </c>
      <c r="C17" s="10">
        <f>SUM(C5:C16)</f>
        <v/>
      </c>
      <c r="D17" s="10">
        <f>SUM(D5:D16)</f>
        <v/>
      </c>
      <c r="E17" s="10">
        <f>SUM(E5:E16)</f>
        <v/>
      </c>
      <c r="F17" s="10">
        <f>SUM(F5:F16)</f>
        <v/>
      </c>
      <c r="G17" s="10">
        <f>SUM(G5:G16)</f>
        <v/>
      </c>
      <c r="H17" s="10">
        <f>SUM(H5:H16)</f>
        <v/>
      </c>
      <c r="I17" s="10">
        <f>SUM(I5:I16)</f>
        <v/>
      </c>
      <c r="J17" s="10">
        <f>SUM(J5:J16)</f>
        <v/>
      </c>
      <c r="K17" s="10">
        <f>SUM(K5:K16)</f>
        <v/>
      </c>
      <c r="L17" s="10">
        <f>SUM(L5:L16)</f>
        <v/>
      </c>
      <c r="M17" s="10">
        <f>SUM(M5:M16)</f>
        <v/>
      </c>
      <c r="N17" s="10">
        <f>SUM(N5:N16)</f>
        <v/>
      </c>
      <c r="O17" s="10">
        <f>SUM(O5:O16)</f>
        <v/>
      </c>
      <c r="P17" s="10">
        <f>SUM(P5:P16)</f>
        <v/>
      </c>
      <c r="Q17" s="10">
        <f>SUM(Q5:Q16)</f>
        <v/>
      </c>
      <c r="R17" s="10">
        <f>SUM(R5:R16)</f>
        <v/>
      </c>
      <c r="S17" s="10">
        <f>SUM(S5:S16)</f>
        <v/>
      </c>
    </row>
    <row r="19">
      <c r="A19" s="9" t="inlineStr">
        <is>
          <t>RECONCILIATION</t>
        </is>
      </c>
      <c r="C19" s="11" t="inlineStr"/>
      <c r="D19" s="12" t="inlineStr"/>
    </row>
    <row r="20">
      <c r="A20" s="3" t="inlineStr">
        <is>
          <t>Annual bound premium (grand total)</t>
        </is>
      </c>
      <c r="C20" s="11">
        <f>B17</f>
        <v/>
      </c>
    </row>
    <row r="21">
      <c r="A21" s="3" t="inlineStr">
        <is>
          <t>Artifact GWP (bound)</t>
        </is>
      </c>
      <c r="D21" s="12" t="n">
        <v>56932078.7</v>
      </c>
    </row>
    <row r="22">
      <c r="A22" s="9" t="inlineStr">
        <is>
          <t>Δ premium vs GWP (must be 0)</t>
        </is>
      </c>
      <c r="C22" s="13">
        <f>B17-56932078.7</f>
        <v/>
      </c>
    </row>
    <row r="23">
      <c r="A23" s="3" t="inlineStr">
        <is>
          <t>Broker+Torque+Markets+Residual</t>
        </is>
      </c>
      <c r="C23" s="11">
        <f>C17+D17+E17+F17</f>
        <v/>
      </c>
    </row>
    <row r="24">
      <c r="A24" s="9" t="inlineStr">
        <is>
          <t>Δ split vs premium (must be 0)</t>
        </is>
      </c>
      <c r="C24" s="13">
        <f>(C17+D17+E17+F17)-B17</f>
        <v/>
      </c>
    </row>
    <row r="25">
      <c r="A25" s="3" t="inlineStr">
        <is>
          <t>Σ ten syndicate columns</t>
        </is>
      </c>
      <c r="C25" s="11">
        <f>SUM(G17:P17)</f>
        <v/>
      </c>
    </row>
    <row r="26">
      <c r="A26" s="3" t="inlineStr">
        <is>
          <t>Markets 75% (grand total)</t>
        </is>
      </c>
      <c r="C26" s="11">
        <f>E17</f>
        <v/>
      </c>
    </row>
    <row r="27">
      <c r="A27" s="9" t="inlineStr">
        <is>
          <t>Δ syndicates vs markets (must be 0)</t>
        </is>
      </c>
      <c r="C27" s="13">
        <f>SUM(G17:P17)-E17</f>
        <v/>
      </c>
    </row>
    <row r="28">
      <c r="A28" s="3" t="inlineStr">
        <is>
          <t>Per-syndicate total (each, from tabs)</t>
        </is>
      </c>
      <c r="C28" s="11">
        <f>G17</f>
        <v/>
      </c>
    </row>
    <row r="29">
      <c r="A29" s="3" t="inlineStr">
        <is>
          <t xml:space="preserve">  memo: theoretical 0.075 × GWP</t>
        </is>
      </c>
      <c r="D29" s="12" t="n">
        <v>4269905.9</v>
      </c>
    </row>
    <row r="30">
      <c r="A30" s="3" t="inlineStr">
        <is>
          <t>Fee income (grand total)</t>
        </is>
      </c>
      <c r="C30" s="11">
        <f>S17</f>
        <v/>
      </c>
    </row>
    <row r="31">
      <c r="A31" s="3" t="inlineStr">
        <is>
          <t xml:space="preserve">  artifact fee_income_total</t>
        </is>
      </c>
      <c r="D31" s="12" t="n">
        <v>2439650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W4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2025-08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CANON-202508-000003</t>
        </is>
      </c>
      <c r="B5" s="3" t="inlineStr">
        <is>
          <t>2025-08-20</t>
        </is>
      </c>
      <c r="C5" s="3" t="inlineStr">
        <is>
          <t>Everett Delacroix</t>
        </is>
      </c>
      <c r="D5" s="3" t="inlineStr">
        <is>
          <t>KS</t>
        </is>
      </c>
      <c r="E5" s="14" t="n">
        <v>190000</v>
      </c>
      <c r="F5" s="14" t="n">
        <v>3199.17</v>
      </c>
      <c r="G5" s="14" t="n">
        <v>399.9</v>
      </c>
      <c r="H5" s="14" t="n">
        <v>399.9</v>
      </c>
      <c r="I5" s="14">
        <f>SUM(K5:T5)</f>
        <v/>
      </c>
      <c r="J5" s="14">
        <f>F5-(G5+H5+I5)</f>
        <v/>
      </c>
      <c r="K5" s="14" t="n">
        <v>239.94</v>
      </c>
      <c r="L5" s="14" t="n">
        <v>239.94</v>
      </c>
      <c r="M5" s="14" t="n">
        <v>239.94</v>
      </c>
      <c r="N5" s="14" t="n">
        <v>239.94</v>
      </c>
      <c r="O5" s="14" t="n">
        <v>239.94</v>
      </c>
      <c r="P5" s="14" t="n">
        <v>239.94</v>
      </c>
      <c r="Q5" s="14" t="n">
        <v>239.94</v>
      </c>
      <c r="R5" s="14" t="n">
        <v>239.94</v>
      </c>
      <c r="S5" s="14" t="n">
        <v>239.94</v>
      </c>
      <c r="T5" s="14" t="n">
        <v>239.94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CANON-202508-000004</t>
        </is>
      </c>
      <c r="B6" s="15" t="inlineStr">
        <is>
          <t>2025-08-16</t>
        </is>
      </c>
      <c r="C6" s="15" t="inlineStr">
        <is>
          <t>Desmond Underwood</t>
        </is>
      </c>
      <c r="D6" s="15" t="inlineStr">
        <is>
          <t>NV</t>
        </is>
      </c>
      <c r="E6" s="16" t="n">
        <v>570000</v>
      </c>
      <c r="F6" s="16" t="n">
        <v>11953.87</v>
      </c>
      <c r="G6" s="16" t="n">
        <v>1494.23</v>
      </c>
      <c r="H6" s="16" t="n">
        <v>1494.23</v>
      </c>
      <c r="I6" s="16">
        <f>SUM(K6:T6)</f>
        <v/>
      </c>
      <c r="J6" s="16">
        <f>F6-(G6+H6+I6)</f>
        <v/>
      </c>
      <c r="K6" s="16" t="n">
        <v>896.54</v>
      </c>
      <c r="L6" s="16" t="n">
        <v>896.54</v>
      </c>
      <c r="M6" s="16" t="n">
        <v>896.54</v>
      </c>
      <c r="N6" s="16" t="n">
        <v>896.54</v>
      </c>
      <c r="O6" s="16" t="n">
        <v>896.54</v>
      </c>
      <c r="P6" s="16" t="n">
        <v>896.54</v>
      </c>
      <c r="Q6" s="16" t="n">
        <v>896.54</v>
      </c>
      <c r="R6" s="16" t="n">
        <v>896.54</v>
      </c>
      <c r="S6" s="16" t="n">
        <v>896.54</v>
      </c>
      <c r="T6" s="16" t="n">
        <v>896.54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CANON-202508-000008</t>
        </is>
      </c>
      <c r="B7" s="3" t="inlineStr">
        <is>
          <t>2025-08-10</t>
        </is>
      </c>
      <c r="C7" s="3" t="inlineStr">
        <is>
          <t>Callum Rourke</t>
        </is>
      </c>
      <c r="D7" s="3" t="inlineStr">
        <is>
          <t>AL</t>
        </is>
      </c>
      <c r="E7" s="14" t="n">
        <v>750000</v>
      </c>
      <c r="F7" s="14" t="n">
        <v>17073.11</v>
      </c>
      <c r="G7" s="14" t="n">
        <v>2134.14</v>
      </c>
      <c r="H7" s="14" t="n">
        <v>2134.14</v>
      </c>
      <c r="I7" s="14">
        <f>SUM(K7:T7)</f>
        <v/>
      </c>
      <c r="J7" s="14">
        <f>F7-(G7+H7+I7)</f>
        <v/>
      </c>
      <c r="K7" s="14" t="n">
        <v>1280.48</v>
      </c>
      <c r="L7" s="14" t="n">
        <v>1280.48</v>
      </c>
      <c r="M7" s="14" t="n">
        <v>1280.48</v>
      </c>
      <c r="N7" s="14" t="n">
        <v>1280.48</v>
      </c>
      <c r="O7" s="14" t="n">
        <v>1280.48</v>
      </c>
      <c r="P7" s="14" t="n">
        <v>1280.48</v>
      </c>
      <c r="Q7" s="14" t="n">
        <v>1280.48</v>
      </c>
      <c r="R7" s="14" t="n">
        <v>1280.48</v>
      </c>
      <c r="S7" s="14" t="n">
        <v>1280.48</v>
      </c>
      <c r="T7" s="14" t="n">
        <v>1280.48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CANON-202508-000009</t>
        </is>
      </c>
      <c r="B8" s="15" t="inlineStr">
        <is>
          <t>2025-08-01</t>
        </is>
      </c>
      <c r="C8" s="15" t="inlineStr">
        <is>
          <t>Ottilie Vandermeer</t>
        </is>
      </c>
      <c r="D8" s="15" t="inlineStr">
        <is>
          <t>NM</t>
        </is>
      </c>
      <c r="E8" s="16" t="n">
        <v>605000</v>
      </c>
      <c r="F8" s="16" t="n">
        <v>13880.75</v>
      </c>
      <c r="G8" s="16" t="n">
        <v>1735.09</v>
      </c>
      <c r="H8" s="16" t="n">
        <v>1735.09</v>
      </c>
      <c r="I8" s="16">
        <f>SUM(K8:T8)</f>
        <v/>
      </c>
      <c r="J8" s="16">
        <f>F8-(G8+H8+I8)</f>
        <v/>
      </c>
      <c r="K8" s="16" t="n">
        <v>1041.06</v>
      </c>
      <c r="L8" s="16" t="n">
        <v>1041.06</v>
      </c>
      <c r="M8" s="16" t="n">
        <v>1041.06</v>
      </c>
      <c r="N8" s="16" t="n">
        <v>1041.06</v>
      </c>
      <c r="O8" s="16" t="n">
        <v>1041.06</v>
      </c>
      <c r="P8" s="16" t="n">
        <v>1041.06</v>
      </c>
      <c r="Q8" s="16" t="n">
        <v>1041.06</v>
      </c>
      <c r="R8" s="16" t="n">
        <v>1041.06</v>
      </c>
      <c r="S8" s="16" t="n">
        <v>1041.06</v>
      </c>
      <c r="T8" s="16" t="n">
        <v>1041.06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CANON-202508-000011</t>
        </is>
      </c>
      <c r="B9" s="3" t="inlineStr">
        <is>
          <t>2025-08-05</t>
        </is>
      </c>
      <c r="C9" s="3" t="inlineStr">
        <is>
          <t>Desmond Thistlewood</t>
        </is>
      </c>
      <c r="D9" s="3" t="inlineStr">
        <is>
          <t>OH</t>
        </is>
      </c>
      <c r="E9" s="14" t="n">
        <v>1950000</v>
      </c>
      <c r="F9" s="14" t="n">
        <v>40913.21</v>
      </c>
      <c r="G9" s="14" t="n">
        <v>5114.15</v>
      </c>
      <c r="H9" s="14" t="n">
        <v>5114.15</v>
      </c>
      <c r="I9" s="14">
        <f>SUM(K9:T9)</f>
        <v/>
      </c>
      <c r="J9" s="14">
        <f>F9-(G9+H9+I9)</f>
        <v/>
      </c>
      <c r="K9" s="14" t="n">
        <v>3068.49</v>
      </c>
      <c r="L9" s="14" t="n">
        <v>3068.49</v>
      </c>
      <c r="M9" s="14" t="n">
        <v>3068.49</v>
      </c>
      <c r="N9" s="14" t="n">
        <v>3068.49</v>
      </c>
      <c r="O9" s="14" t="n">
        <v>3068.49</v>
      </c>
      <c r="P9" s="14" t="n">
        <v>3068.49</v>
      </c>
      <c r="Q9" s="14" t="n">
        <v>3068.49</v>
      </c>
      <c r="R9" s="14" t="n">
        <v>3068.49</v>
      </c>
      <c r="S9" s="14" t="n">
        <v>3068.49</v>
      </c>
      <c r="T9" s="14" t="n">
        <v>3068.49</v>
      </c>
      <c r="U9" s="14" t="n">
        <v>350</v>
      </c>
      <c r="V9" s="14" t="n">
        <v>250</v>
      </c>
      <c r="W9" s="14">
        <f>U9+V9</f>
        <v/>
      </c>
    </row>
    <row r="10">
      <c r="A10" s="15" t="inlineStr">
        <is>
          <t>CANON-202508-000012</t>
        </is>
      </c>
      <c r="B10" s="15" t="inlineStr">
        <is>
          <t>2025-08-30</t>
        </is>
      </c>
      <c r="C10" s="15" t="inlineStr">
        <is>
          <t>Callum Thistlewood</t>
        </is>
      </c>
      <c r="D10" s="15" t="inlineStr">
        <is>
          <t>CA</t>
        </is>
      </c>
      <c r="E10" s="16" t="n">
        <v>1415000</v>
      </c>
      <c r="F10" s="16" t="n">
        <v>19823.35</v>
      </c>
      <c r="G10" s="16" t="n">
        <v>2477.92</v>
      </c>
      <c r="H10" s="16" t="n">
        <v>2477.92</v>
      </c>
      <c r="I10" s="16">
        <f>SUM(K10:T10)</f>
        <v/>
      </c>
      <c r="J10" s="16">
        <f>F10-(G10+H10+I10)</f>
        <v/>
      </c>
      <c r="K10" s="16" t="n">
        <v>1486.75</v>
      </c>
      <c r="L10" s="16" t="n">
        <v>1486.75</v>
      </c>
      <c r="M10" s="16" t="n">
        <v>1486.75</v>
      </c>
      <c r="N10" s="16" t="n">
        <v>1486.75</v>
      </c>
      <c r="O10" s="16" t="n">
        <v>1486.75</v>
      </c>
      <c r="P10" s="16" t="n">
        <v>1486.75</v>
      </c>
      <c r="Q10" s="16" t="n">
        <v>1486.75</v>
      </c>
      <c r="R10" s="16" t="n">
        <v>1486.75</v>
      </c>
      <c r="S10" s="16" t="n">
        <v>1486.75</v>
      </c>
      <c r="T10" s="16" t="n">
        <v>1486.75</v>
      </c>
      <c r="U10" s="16" t="n">
        <v>350</v>
      </c>
      <c r="V10" s="16" t="n">
        <v>250</v>
      </c>
      <c r="W10" s="16">
        <f>U10+V10</f>
        <v/>
      </c>
    </row>
    <row r="11">
      <c r="A11" s="3" t="inlineStr">
        <is>
          <t>CANON-202508-000013</t>
        </is>
      </c>
      <c r="B11" s="3" t="inlineStr">
        <is>
          <t>2025-08-15</t>
        </is>
      </c>
      <c r="C11" s="3" t="inlineStr">
        <is>
          <t>Leopold Fairweather</t>
        </is>
      </c>
      <c r="D11" s="3" t="inlineStr">
        <is>
          <t>NY</t>
        </is>
      </c>
      <c r="E11" s="14" t="n">
        <v>380000</v>
      </c>
      <c r="F11" s="14" t="n">
        <v>6883.02</v>
      </c>
      <c r="G11" s="14" t="n">
        <v>860.38</v>
      </c>
      <c r="H11" s="14" t="n">
        <v>860.38</v>
      </c>
      <c r="I11" s="14">
        <f>SUM(K11:T11)</f>
        <v/>
      </c>
      <c r="J11" s="14">
        <f>F11-(G11+H11+I11)</f>
        <v/>
      </c>
      <c r="K11" s="14" t="n">
        <v>516.23</v>
      </c>
      <c r="L11" s="14" t="n">
        <v>516.23</v>
      </c>
      <c r="M11" s="14" t="n">
        <v>516.23</v>
      </c>
      <c r="N11" s="14" t="n">
        <v>516.23</v>
      </c>
      <c r="O11" s="14" t="n">
        <v>516.23</v>
      </c>
      <c r="P11" s="14" t="n">
        <v>516.23</v>
      </c>
      <c r="Q11" s="14" t="n">
        <v>516.23</v>
      </c>
      <c r="R11" s="14" t="n">
        <v>516.23</v>
      </c>
      <c r="S11" s="14" t="n">
        <v>516.23</v>
      </c>
      <c r="T11" s="14" t="n">
        <v>516.23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CANON-202508-000014</t>
        </is>
      </c>
      <c r="B12" s="15" t="inlineStr">
        <is>
          <t>2025-08-07</t>
        </is>
      </c>
      <c r="C12" s="15" t="inlineStr">
        <is>
          <t>Callum Montoya</t>
        </is>
      </c>
      <c r="D12" s="15" t="inlineStr">
        <is>
          <t>NV</t>
        </is>
      </c>
      <c r="E12" s="16" t="n">
        <v>1565000</v>
      </c>
      <c r="F12" s="16" t="n">
        <v>27638.49</v>
      </c>
      <c r="G12" s="16" t="n">
        <v>3454.81</v>
      </c>
      <c r="H12" s="16" t="n">
        <v>3454.81</v>
      </c>
      <c r="I12" s="16">
        <f>SUM(K12:T12)</f>
        <v/>
      </c>
      <c r="J12" s="16">
        <f>F12-(G12+H12+I12)</f>
        <v/>
      </c>
      <c r="K12" s="16" t="n">
        <v>2072.89</v>
      </c>
      <c r="L12" s="16" t="n">
        <v>2072.89</v>
      </c>
      <c r="M12" s="16" t="n">
        <v>2072.89</v>
      </c>
      <c r="N12" s="16" t="n">
        <v>2072.89</v>
      </c>
      <c r="O12" s="16" t="n">
        <v>2072.89</v>
      </c>
      <c r="P12" s="16" t="n">
        <v>2072.89</v>
      </c>
      <c r="Q12" s="16" t="n">
        <v>2072.89</v>
      </c>
      <c r="R12" s="16" t="n">
        <v>2072.89</v>
      </c>
      <c r="S12" s="16" t="n">
        <v>2072.89</v>
      </c>
      <c r="T12" s="16" t="n">
        <v>2072.89</v>
      </c>
      <c r="U12" s="16" t="n">
        <v>350</v>
      </c>
      <c r="V12" s="16" t="n">
        <v>250</v>
      </c>
      <c r="W12" s="16">
        <f>U12+V12</f>
        <v/>
      </c>
    </row>
    <row r="13">
      <c r="A13" s="3" t="inlineStr">
        <is>
          <t>CANON-202508-000018</t>
        </is>
      </c>
      <c r="B13" s="3" t="inlineStr">
        <is>
          <t>2025-08-15</t>
        </is>
      </c>
      <c r="C13" s="3" t="inlineStr">
        <is>
          <t>Sunniva Blackwood</t>
        </is>
      </c>
      <c r="D13" s="3" t="inlineStr">
        <is>
          <t>IL</t>
        </is>
      </c>
      <c r="E13" s="14" t="n">
        <v>520000</v>
      </c>
      <c r="F13" s="14" t="n">
        <v>8673.209999999999</v>
      </c>
      <c r="G13" s="14" t="n">
        <v>1084.15</v>
      </c>
      <c r="H13" s="14" t="n">
        <v>1084.15</v>
      </c>
      <c r="I13" s="14">
        <f>SUM(K13:T13)</f>
        <v/>
      </c>
      <c r="J13" s="14">
        <f>F13-(G13+H13+I13)</f>
        <v/>
      </c>
      <c r="K13" s="14" t="n">
        <v>650.49</v>
      </c>
      <c r="L13" s="14" t="n">
        <v>650.49</v>
      </c>
      <c r="M13" s="14" t="n">
        <v>650.49</v>
      </c>
      <c r="N13" s="14" t="n">
        <v>650.49</v>
      </c>
      <c r="O13" s="14" t="n">
        <v>650.49</v>
      </c>
      <c r="P13" s="14" t="n">
        <v>650.49</v>
      </c>
      <c r="Q13" s="14" t="n">
        <v>650.49</v>
      </c>
      <c r="R13" s="14" t="n">
        <v>650.49</v>
      </c>
      <c r="S13" s="14" t="n">
        <v>650.49</v>
      </c>
      <c r="T13" s="14" t="n">
        <v>650.49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CANON-202508-000020</t>
        </is>
      </c>
      <c r="B14" s="15" t="inlineStr">
        <is>
          <t>2025-08-15</t>
        </is>
      </c>
      <c r="C14" s="15" t="inlineStr">
        <is>
          <t>Anouk Bellandi</t>
        </is>
      </c>
      <c r="D14" s="15" t="inlineStr">
        <is>
          <t>NC</t>
        </is>
      </c>
      <c r="E14" s="16" t="n">
        <v>1085000</v>
      </c>
      <c r="F14" s="16" t="n">
        <v>18833.96</v>
      </c>
      <c r="G14" s="16" t="n">
        <v>2354.24</v>
      </c>
      <c r="H14" s="16" t="n">
        <v>2354.24</v>
      </c>
      <c r="I14" s="16">
        <f>SUM(K14:T14)</f>
        <v/>
      </c>
      <c r="J14" s="16">
        <f>F14-(G14+H14+I14)</f>
        <v/>
      </c>
      <c r="K14" s="16" t="n">
        <v>1412.55</v>
      </c>
      <c r="L14" s="16" t="n">
        <v>1412.55</v>
      </c>
      <c r="M14" s="16" t="n">
        <v>1412.55</v>
      </c>
      <c r="N14" s="16" t="n">
        <v>1412.55</v>
      </c>
      <c r="O14" s="16" t="n">
        <v>1412.55</v>
      </c>
      <c r="P14" s="16" t="n">
        <v>1412.55</v>
      </c>
      <c r="Q14" s="16" t="n">
        <v>1412.55</v>
      </c>
      <c r="R14" s="16" t="n">
        <v>1412.55</v>
      </c>
      <c r="S14" s="16" t="n">
        <v>1412.55</v>
      </c>
      <c r="T14" s="16" t="n">
        <v>1412.55</v>
      </c>
      <c r="U14" s="16" t="n">
        <v>350</v>
      </c>
      <c r="V14" s="16" t="n">
        <v>250</v>
      </c>
      <c r="W14" s="16">
        <f>U14+V14</f>
        <v/>
      </c>
    </row>
    <row r="15">
      <c r="A15" s="3" t="inlineStr">
        <is>
          <t>CANON-202508-000021</t>
        </is>
      </c>
      <c r="B15" s="3" t="inlineStr">
        <is>
          <t>2025-08-27</t>
        </is>
      </c>
      <c r="C15" s="3" t="inlineStr">
        <is>
          <t>Beatrix Castellanos</t>
        </is>
      </c>
      <c r="D15" s="3" t="inlineStr">
        <is>
          <t>AL</t>
        </is>
      </c>
      <c r="E15" s="14" t="n">
        <v>360000</v>
      </c>
      <c r="F15" s="14" t="n">
        <v>9920.379999999999</v>
      </c>
      <c r="G15" s="14" t="n">
        <v>1240.05</v>
      </c>
      <c r="H15" s="14" t="n">
        <v>1240.05</v>
      </c>
      <c r="I15" s="14">
        <f>SUM(K15:T15)</f>
        <v/>
      </c>
      <c r="J15" s="14">
        <f>F15-(G15+H15+I15)</f>
        <v/>
      </c>
      <c r="K15" s="14" t="n">
        <v>744.03</v>
      </c>
      <c r="L15" s="14" t="n">
        <v>744.03</v>
      </c>
      <c r="M15" s="14" t="n">
        <v>744.03</v>
      </c>
      <c r="N15" s="14" t="n">
        <v>744.03</v>
      </c>
      <c r="O15" s="14" t="n">
        <v>744.03</v>
      </c>
      <c r="P15" s="14" t="n">
        <v>744.03</v>
      </c>
      <c r="Q15" s="14" t="n">
        <v>744.03</v>
      </c>
      <c r="R15" s="14" t="n">
        <v>744.03</v>
      </c>
      <c r="S15" s="14" t="n">
        <v>744.03</v>
      </c>
      <c r="T15" s="14" t="n">
        <v>744.03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CANON-202508-000023</t>
        </is>
      </c>
      <c r="B16" s="15" t="inlineStr">
        <is>
          <t>2025-08-13</t>
        </is>
      </c>
      <c r="C16" s="15" t="inlineStr">
        <is>
          <t>Thaddeus Chattopadhyay</t>
        </is>
      </c>
      <c r="D16" s="15" t="inlineStr">
        <is>
          <t>DE</t>
        </is>
      </c>
      <c r="E16" s="16" t="n">
        <v>495000</v>
      </c>
      <c r="F16" s="16" t="n">
        <v>8755.9</v>
      </c>
      <c r="G16" s="16" t="n">
        <v>1094.49</v>
      </c>
      <c r="H16" s="16" t="n">
        <v>1094.49</v>
      </c>
      <c r="I16" s="16">
        <f>SUM(K16:T16)</f>
        <v/>
      </c>
      <c r="J16" s="16">
        <f>F16-(G16+H16+I16)</f>
        <v/>
      </c>
      <c r="K16" s="16" t="n">
        <v>656.6900000000001</v>
      </c>
      <c r="L16" s="16" t="n">
        <v>656.6900000000001</v>
      </c>
      <c r="M16" s="16" t="n">
        <v>656.6900000000001</v>
      </c>
      <c r="N16" s="16" t="n">
        <v>656.6900000000001</v>
      </c>
      <c r="O16" s="16" t="n">
        <v>656.6900000000001</v>
      </c>
      <c r="P16" s="16" t="n">
        <v>656.6900000000001</v>
      </c>
      <c r="Q16" s="16" t="n">
        <v>656.6900000000001</v>
      </c>
      <c r="R16" s="16" t="n">
        <v>656.6900000000001</v>
      </c>
      <c r="S16" s="16" t="n">
        <v>656.6900000000001</v>
      </c>
      <c r="T16" s="16" t="n">
        <v>656.6900000000001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CANON-202508-000024</t>
        </is>
      </c>
      <c r="B17" s="3" t="inlineStr">
        <is>
          <t>2025-08-20</t>
        </is>
      </c>
      <c r="C17" s="3" t="inlineStr">
        <is>
          <t>Wilhelmina Montoya</t>
        </is>
      </c>
      <c r="D17" s="3" t="inlineStr">
        <is>
          <t>MD</t>
        </is>
      </c>
      <c r="E17" s="14" t="n">
        <v>520000</v>
      </c>
      <c r="F17" s="14" t="n">
        <v>3541.89</v>
      </c>
      <c r="G17" s="14" t="n">
        <v>442.74</v>
      </c>
      <c r="H17" s="14" t="n">
        <v>442.74</v>
      </c>
      <c r="I17" s="14">
        <f>SUM(K17:T17)</f>
        <v/>
      </c>
      <c r="J17" s="14">
        <f>F17-(G17+H17+I17)</f>
        <v/>
      </c>
      <c r="K17" s="14" t="n">
        <v>265.64</v>
      </c>
      <c r="L17" s="14" t="n">
        <v>265.64</v>
      </c>
      <c r="M17" s="14" t="n">
        <v>265.64</v>
      </c>
      <c r="N17" s="14" t="n">
        <v>265.64</v>
      </c>
      <c r="O17" s="14" t="n">
        <v>265.64</v>
      </c>
      <c r="P17" s="14" t="n">
        <v>265.64</v>
      </c>
      <c r="Q17" s="14" t="n">
        <v>265.64</v>
      </c>
      <c r="R17" s="14" t="n">
        <v>265.64</v>
      </c>
      <c r="S17" s="14" t="n">
        <v>265.64</v>
      </c>
      <c r="T17" s="14" t="n">
        <v>265.64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CANON-202508-000025</t>
        </is>
      </c>
      <c r="B18" s="15" t="inlineStr">
        <is>
          <t>2025-08-21</t>
        </is>
      </c>
      <c r="C18" s="15" t="inlineStr">
        <is>
          <t>Callum Thistlewood</t>
        </is>
      </c>
      <c r="D18" s="15" t="inlineStr">
        <is>
          <t>MN</t>
        </is>
      </c>
      <c r="E18" s="16" t="n">
        <v>520000</v>
      </c>
      <c r="F18" s="16" t="n">
        <v>8418.110000000001</v>
      </c>
      <c r="G18" s="16" t="n">
        <v>1052.26</v>
      </c>
      <c r="H18" s="16" t="n">
        <v>1052.26</v>
      </c>
      <c r="I18" s="16">
        <f>SUM(K18:T18)</f>
        <v/>
      </c>
      <c r="J18" s="16">
        <f>F18-(G18+H18+I18)</f>
        <v/>
      </c>
      <c r="K18" s="16" t="n">
        <v>631.36</v>
      </c>
      <c r="L18" s="16" t="n">
        <v>631.36</v>
      </c>
      <c r="M18" s="16" t="n">
        <v>631.36</v>
      </c>
      <c r="N18" s="16" t="n">
        <v>631.36</v>
      </c>
      <c r="O18" s="16" t="n">
        <v>631.36</v>
      </c>
      <c r="P18" s="16" t="n">
        <v>631.36</v>
      </c>
      <c r="Q18" s="16" t="n">
        <v>631.36</v>
      </c>
      <c r="R18" s="16" t="n">
        <v>631.36</v>
      </c>
      <c r="S18" s="16" t="n">
        <v>631.36</v>
      </c>
      <c r="T18" s="16" t="n">
        <v>631.36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CANON-202508-000026</t>
        </is>
      </c>
      <c r="B19" s="3" t="inlineStr">
        <is>
          <t>2025-08-20</t>
        </is>
      </c>
      <c r="C19" s="3" t="inlineStr">
        <is>
          <t>Desmond Chattopadhyay</t>
        </is>
      </c>
      <c r="D19" s="3" t="inlineStr">
        <is>
          <t>IN</t>
        </is>
      </c>
      <c r="E19" s="14" t="n">
        <v>180000</v>
      </c>
      <c r="F19" s="14" t="n">
        <v>2381.09</v>
      </c>
      <c r="G19" s="14" t="n">
        <v>297.64</v>
      </c>
      <c r="H19" s="14" t="n">
        <v>297.64</v>
      </c>
      <c r="I19" s="14">
        <f>SUM(K19:T19)</f>
        <v/>
      </c>
      <c r="J19" s="14">
        <f>F19-(G19+H19+I19)</f>
        <v/>
      </c>
      <c r="K19" s="14" t="n">
        <v>178.58</v>
      </c>
      <c r="L19" s="14" t="n">
        <v>178.58</v>
      </c>
      <c r="M19" s="14" t="n">
        <v>178.58</v>
      </c>
      <c r="N19" s="14" t="n">
        <v>178.58</v>
      </c>
      <c r="O19" s="14" t="n">
        <v>178.58</v>
      </c>
      <c r="P19" s="14" t="n">
        <v>178.58</v>
      </c>
      <c r="Q19" s="14" t="n">
        <v>178.58</v>
      </c>
      <c r="R19" s="14" t="n">
        <v>178.58</v>
      </c>
      <c r="S19" s="14" t="n">
        <v>178.58</v>
      </c>
      <c r="T19" s="14" t="n">
        <v>178.58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CANON-202508-000027</t>
        </is>
      </c>
      <c r="B20" s="15" t="inlineStr">
        <is>
          <t>2025-08-05</t>
        </is>
      </c>
      <c r="C20" s="15" t="inlineStr">
        <is>
          <t>Ingrid Kingsford</t>
        </is>
      </c>
      <c r="D20" s="15" t="inlineStr">
        <is>
          <t>VT</t>
        </is>
      </c>
      <c r="E20" s="16" t="n">
        <v>225000</v>
      </c>
      <c r="F20" s="16" t="n">
        <v>4764.91</v>
      </c>
      <c r="G20" s="16" t="n">
        <v>595.61</v>
      </c>
      <c r="H20" s="16" t="n">
        <v>595.61</v>
      </c>
      <c r="I20" s="16">
        <f>SUM(K20:T20)</f>
        <v/>
      </c>
      <c r="J20" s="16">
        <f>F20-(G20+H20+I20)</f>
        <v/>
      </c>
      <c r="K20" s="16" t="n">
        <v>357.37</v>
      </c>
      <c r="L20" s="16" t="n">
        <v>357.37</v>
      </c>
      <c r="M20" s="16" t="n">
        <v>357.37</v>
      </c>
      <c r="N20" s="16" t="n">
        <v>357.37</v>
      </c>
      <c r="O20" s="16" t="n">
        <v>357.37</v>
      </c>
      <c r="P20" s="16" t="n">
        <v>357.37</v>
      </c>
      <c r="Q20" s="16" t="n">
        <v>357.37</v>
      </c>
      <c r="R20" s="16" t="n">
        <v>357.37</v>
      </c>
      <c r="S20" s="16" t="n">
        <v>357.37</v>
      </c>
      <c r="T20" s="16" t="n">
        <v>357.37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CANON-202508-000028</t>
        </is>
      </c>
      <c r="B21" s="3" t="inlineStr">
        <is>
          <t>2025-08-29</t>
        </is>
      </c>
      <c r="C21" s="3" t="inlineStr">
        <is>
          <t>Everett Nakashima</t>
        </is>
      </c>
      <c r="D21" s="3" t="inlineStr">
        <is>
          <t>WA</t>
        </is>
      </c>
      <c r="E21" s="14" t="n">
        <v>215000</v>
      </c>
      <c r="F21" s="14" t="n">
        <v>3582.79</v>
      </c>
      <c r="G21" s="14" t="n">
        <v>447.85</v>
      </c>
      <c r="H21" s="14" t="n">
        <v>447.85</v>
      </c>
      <c r="I21" s="14">
        <f>SUM(K21:T21)</f>
        <v/>
      </c>
      <c r="J21" s="14">
        <f>F21-(G21+H21+I21)</f>
        <v/>
      </c>
      <c r="K21" s="14" t="n">
        <v>268.71</v>
      </c>
      <c r="L21" s="14" t="n">
        <v>268.71</v>
      </c>
      <c r="M21" s="14" t="n">
        <v>268.71</v>
      </c>
      <c r="N21" s="14" t="n">
        <v>268.71</v>
      </c>
      <c r="O21" s="14" t="n">
        <v>268.71</v>
      </c>
      <c r="P21" s="14" t="n">
        <v>268.71</v>
      </c>
      <c r="Q21" s="14" t="n">
        <v>268.71</v>
      </c>
      <c r="R21" s="14" t="n">
        <v>268.71</v>
      </c>
      <c r="S21" s="14" t="n">
        <v>268.71</v>
      </c>
      <c r="T21" s="14" t="n">
        <v>268.71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CANON-202508-000029</t>
        </is>
      </c>
      <c r="B22" s="15" t="inlineStr">
        <is>
          <t>2025-08-17</t>
        </is>
      </c>
      <c r="C22" s="15" t="inlineStr">
        <is>
          <t>Desmond Harrington</t>
        </is>
      </c>
      <c r="D22" s="15" t="inlineStr">
        <is>
          <t>NY</t>
        </is>
      </c>
      <c r="E22" s="16" t="n">
        <v>355000</v>
      </c>
      <c r="F22" s="16" t="n">
        <v>4115.32</v>
      </c>
      <c r="G22" s="16" t="n">
        <v>514.41</v>
      </c>
      <c r="H22" s="16" t="n">
        <v>514.41</v>
      </c>
      <c r="I22" s="16">
        <f>SUM(K22:T22)</f>
        <v/>
      </c>
      <c r="J22" s="16">
        <f>F22-(G22+H22+I22)</f>
        <v/>
      </c>
      <c r="K22" s="16" t="n">
        <v>308.65</v>
      </c>
      <c r="L22" s="16" t="n">
        <v>308.65</v>
      </c>
      <c r="M22" s="16" t="n">
        <v>308.65</v>
      </c>
      <c r="N22" s="16" t="n">
        <v>308.65</v>
      </c>
      <c r="O22" s="16" t="n">
        <v>308.65</v>
      </c>
      <c r="P22" s="16" t="n">
        <v>308.65</v>
      </c>
      <c r="Q22" s="16" t="n">
        <v>308.65</v>
      </c>
      <c r="R22" s="16" t="n">
        <v>308.65</v>
      </c>
      <c r="S22" s="16" t="n">
        <v>308.65</v>
      </c>
      <c r="T22" s="16" t="n">
        <v>308.65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CANON-202508-000030</t>
        </is>
      </c>
      <c r="B23" s="3" t="inlineStr">
        <is>
          <t>2025-08-23</t>
        </is>
      </c>
      <c r="C23" s="3" t="inlineStr">
        <is>
          <t>Aurelio Thistlewood</t>
        </is>
      </c>
      <c r="D23" s="3" t="inlineStr">
        <is>
          <t>PA</t>
        </is>
      </c>
      <c r="E23" s="14" t="n">
        <v>1045000</v>
      </c>
      <c r="F23" s="14" t="n">
        <v>10844.34</v>
      </c>
      <c r="G23" s="14" t="n">
        <v>1355.54</v>
      </c>
      <c r="H23" s="14" t="n">
        <v>1355.54</v>
      </c>
      <c r="I23" s="14">
        <f>SUM(K23:T23)</f>
        <v/>
      </c>
      <c r="J23" s="14">
        <f>F23-(G23+H23+I23)</f>
        <v/>
      </c>
      <c r="K23" s="14" t="n">
        <v>813.33</v>
      </c>
      <c r="L23" s="14" t="n">
        <v>813.33</v>
      </c>
      <c r="M23" s="14" t="n">
        <v>813.33</v>
      </c>
      <c r="N23" s="14" t="n">
        <v>813.33</v>
      </c>
      <c r="O23" s="14" t="n">
        <v>813.33</v>
      </c>
      <c r="P23" s="14" t="n">
        <v>813.33</v>
      </c>
      <c r="Q23" s="14" t="n">
        <v>813.33</v>
      </c>
      <c r="R23" s="14" t="n">
        <v>813.33</v>
      </c>
      <c r="S23" s="14" t="n">
        <v>813.33</v>
      </c>
      <c r="T23" s="14" t="n">
        <v>813.33</v>
      </c>
      <c r="U23" s="14" t="n">
        <v>350</v>
      </c>
      <c r="V23" s="14" t="n">
        <v>250</v>
      </c>
      <c r="W23" s="14">
        <f>U23+V23</f>
        <v/>
      </c>
    </row>
    <row r="24">
      <c r="A24" s="15" t="inlineStr">
        <is>
          <t>CANON-202508-000031</t>
        </is>
      </c>
      <c r="B24" s="15" t="inlineStr">
        <is>
          <t>2025-08-12</t>
        </is>
      </c>
      <c r="C24" s="15" t="inlineStr">
        <is>
          <t>Aurelio Pennington</t>
        </is>
      </c>
      <c r="D24" s="15" t="inlineStr">
        <is>
          <t>WA</t>
        </is>
      </c>
      <c r="E24" s="16" t="n">
        <v>520000</v>
      </c>
      <c r="F24" s="16" t="n">
        <v>7346.72</v>
      </c>
      <c r="G24" s="16" t="n">
        <v>918.34</v>
      </c>
      <c r="H24" s="16" t="n">
        <v>918.34</v>
      </c>
      <c r="I24" s="16">
        <f>SUM(K24:T24)</f>
        <v/>
      </c>
      <c r="J24" s="16">
        <f>F24-(G24+H24+I24)</f>
        <v/>
      </c>
      <c r="K24" s="16" t="n">
        <v>551</v>
      </c>
      <c r="L24" s="16" t="n">
        <v>551</v>
      </c>
      <c r="M24" s="16" t="n">
        <v>551</v>
      </c>
      <c r="N24" s="16" t="n">
        <v>551</v>
      </c>
      <c r="O24" s="16" t="n">
        <v>551</v>
      </c>
      <c r="P24" s="16" t="n">
        <v>551</v>
      </c>
      <c r="Q24" s="16" t="n">
        <v>551</v>
      </c>
      <c r="R24" s="16" t="n">
        <v>551</v>
      </c>
      <c r="S24" s="16" t="n">
        <v>551</v>
      </c>
      <c r="T24" s="16" t="n">
        <v>551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CANON-202508-000032</t>
        </is>
      </c>
      <c r="B25" s="3" t="inlineStr">
        <is>
          <t>2025-08-07</t>
        </is>
      </c>
      <c r="C25" s="3" t="inlineStr">
        <is>
          <t>Mireille Okonkwo</t>
        </is>
      </c>
      <c r="D25" s="3" t="inlineStr">
        <is>
          <t>TX</t>
        </is>
      </c>
      <c r="E25" s="14" t="n">
        <v>465000</v>
      </c>
      <c r="F25" s="14" t="n">
        <v>11603.07</v>
      </c>
      <c r="G25" s="14" t="n">
        <v>1450.38</v>
      </c>
      <c r="H25" s="14" t="n">
        <v>1450.38</v>
      </c>
      <c r="I25" s="14">
        <f>SUM(K25:T25)</f>
        <v/>
      </c>
      <c r="J25" s="14">
        <f>F25-(G25+H25+I25)</f>
        <v/>
      </c>
      <c r="K25" s="14" t="n">
        <v>870.23</v>
      </c>
      <c r="L25" s="14" t="n">
        <v>870.23</v>
      </c>
      <c r="M25" s="14" t="n">
        <v>870.23</v>
      </c>
      <c r="N25" s="14" t="n">
        <v>870.23</v>
      </c>
      <c r="O25" s="14" t="n">
        <v>870.23</v>
      </c>
      <c r="P25" s="14" t="n">
        <v>870.23</v>
      </c>
      <c r="Q25" s="14" t="n">
        <v>870.23</v>
      </c>
      <c r="R25" s="14" t="n">
        <v>870.23</v>
      </c>
      <c r="S25" s="14" t="n">
        <v>870.23</v>
      </c>
      <c r="T25" s="14" t="n">
        <v>870.23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CANON-202508-000033</t>
        </is>
      </c>
      <c r="B26" s="15" t="inlineStr">
        <is>
          <t>2025-08-05</t>
        </is>
      </c>
      <c r="C26" s="15" t="inlineStr">
        <is>
          <t>Emiliano Underwood</t>
        </is>
      </c>
      <c r="D26" s="15" t="inlineStr">
        <is>
          <t>DE</t>
        </is>
      </c>
      <c r="E26" s="16" t="n">
        <v>710000</v>
      </c>
      <c r="F26" s="16" t="n">
        <v>7200.47</v>
      </c>
      <c r="G26" s="16" t="n">
        <v>900.0599999999999</v>
      </c>
      <c r="H26" s="16" t="n">
        <v>900.0599999999999</v>
      </c>
      <c r="I26" s="16">
        <f>SUM(K26:T26)</f>
        <v/>
      </c>
      <c r="J26" s="16">
        <f>F26-(G26+H26+I26)</f>
        <v/>
      </c>
      <c r="K26" s="16" t="n">
        <v>540.04</v>
      </c>
      <c r="L26" s="16" t="n">
        <v>540.04</v>
      </c>
      <c r="M26" s="16" t="n">
        <v>540.04</v>
      </c>
      <c r="N26" s="16" t="n">
        <v>540.04</v>
      </c>
      <c r="O26" s="16" t="n">
        <v>540.04</v>
      </c>
      <c r="P26" s="16" t="n">
        <v>540.04</v>
      </c>
      <c r="Q26" s="16" t="n">
        <v>540.04</v>
      </c>
      <c r="R26" s="16" t="n">
        <v>540.04</v>
      </c>
      <c r="S26" s="16" t="n">
        <v>540.04</v>
      </c>
      <c r="T26" s="16" t="n">
        <v>540.04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CANON-202508-000034</t>
        </is>
      </c>
      <c r="B27" s="3" t="inlineStr">
        <is>
          <t>2025-08-22</t>
        </is>
      </c>
      <c r="C27" s="3" t="inlineStr">
        <is>
          <t>Desmond Vasquez</t>
        </is>
      </c>
      <c r="D27" s="3" t="inlineStr">
        <is>
          <t>NM</t>
        </is>
      </c>
      <c r="E27" s="14" t="n">
        <v>630000</v>
      </c>
      <c r="F27" s="14" t="n">
        <v>9889.809999999999</v>
      </c>
      <c r="G27" s="14" t="n">
        <v>1236.23</v>
      </c>
      <c r="H27" s="14" t="n">
        <v>1236.23</v>
      </c>
      <c r="I27" s="14">
        <f>SUM(K27:T27)</f>
        <v/>
      </c>
      <c r="J27" s="14">
        <f>F27-(G27+H27+I27)</f>
        <v/>
      </c>
      <c r="K27" s="14" t="n">
        <v>741.74</v>
      </c>
      <c r="L27" s="14" t="n">
        <v>741.74</v>
      </c>
      <c r="M27" s="14" t="n">
        <v>741.74</v>
      </c>
      <c r="N27" s="14" t="n">
        <v>741.74</v>
      </c>
      <c r="O27" s="14" t="n">
        <v>741.74</v>
      </c>
      <c r="P27" s="14" t="n">
        <v>741.74</v>
      </c>
      <c r="Q27" s="14" t="n">
        <v>741.74</v>
      </c>
      <c r="R27" s="14" t="n">
        <v>741.74</v>
      </c>
      <c r="S27" s="14" t="n">
        <v>741.74</v>
      </c>
      <c r="T27" s="14" t="n">
        <v>741.74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CANON-202508-000035</t>
        </is>
      </c>
      <c r="B28" s="15" t="inlineStr">
        <is>
          <t>2025-08-10</t>
        </is>
      </c>
      <c r="C28" s="15" t="inlineStr">
        <is>
          <t>Everett Harrington</t>
        </is>
      </c>
      <c r="D28" s="15" t="inlineStr">
        <is>
          <t>DE</t>
        </is>
      </c>
      <c r="E28" s="16" t="n">
        <v>1950000</v>
      </c>
      <c r="F28" s="16" t="n">
        <v>17476.42</v>
      </c>
      <c r="G28" s="16" t="n">
        <v>2184.55</v>
      </c>
      <c r="H28" s="16" t="n">
        <v>2184.55</v>
      </c>
      <c r="I28" s="16">
        <f>SUM(K28:T28)</f>
        <v/>
      </c>
      <c r="J28" s="16">
        <f>F28-(G28+H28+I28)</f>
        <v/>
      </c>
      <c r="K28" s="16" t="n">
        <v>1310.73</v>
      </c>
      <c r="L28" s="16" t="n">
        <v>1310.73</v>
      </c>
      <c r="M28" s="16" t="n">
        <v>1310.73</v>
      </c>
      <c r="N28" s="16" t="n">
        <v>1310.73</v>
      </c>
      <c r="O28" s="16" t="n">
        <v>1310.73</v>
      </c>
      <c r="P28" s="16" t="n">
        <v>1310.73</v>
      </c>
      <c r="Q28" s="16" t="n">
        <v>1310.73</v>
      </c>
      <c r="R28" s="16" t="n">
        <v>1310.73</v>
      </c>
      <c r="S28" s="16" t="n">
        <v>1310.73</v>
      </c>
      <c r="T28" s="16" t="n">
        <v>1310.73</v>
      </c>
      <c r="U28" s="16" t="n">
        <v>350</v>
      </c>
      <c r="V28" s="16" t="n">
        <v>250</v>
      </c>
      <c r="W28" s="16">
        <f>U28+V28</f>
        <v/>
      </c>
    </row>
    <row r="29">
      <c r="A29" s="3" t="inlineStr">
        <is>
          <t>CANON-202508-000036</t>
        </is>
      </c>
      <c r="B29" s="3" t="inlineStr">
        <is>
          <t>2025-08-20</t>
        </is>
      </c>
      <c r="C29" s="3" t="inlineStr">
        <is>
          <t>Beatrix Castellanos</t>
        </is>
      </c>
      <c r="D29" s="3" t="inlineStr">
        <is>
          <t>WY</t>
        </is>
      </c>
      <c r="E29" s="14" t="n">
        <v>545000</v>
      </c>
      <c r="F29" s="14" t="n">
        <v>7151.84</v>
      </c>
      <c r="G29" s="14" t="n">
        <v>893.98</v>
      </c>
      <c r="H29" s="14" t="n">
        <v>893.98</v>
      </c>
      <c r="I29" s="14">
        <f>SUM(K29:T29)</f>
        <v/>
      </c>
      <c r="J29" s="14">
        <f>F29-(G29+H29+I29)</f>
        <v/>
      </c>
      <c r="K29" s="14" t="n">
        <v>536.39</v>
      </c>
      <c r="L29" s="14" t="n">
        <v>536.39</v>
      </c>
      <c r="M29" s="14" t="n">
        <v>536.39</v>
      </c>
      <c r="N29" s="14" t="n">
        <v>536.39</v>
      </c>
      <c r="O29" s="14" t="n">
        <v>536.39</v>
      </c>
      <c r="P29" s="14" t="n">
        <v>536.39</v>
      </c>
      <c r="Q29" s="14" t="n">
        <v>536.39</v>
      </c>
      <c r="R29" s="14" t="n">
        <v>536.39</v>
      </c>
      <c r="S29" s="14" t="n">
        <v>536.39</v>
      </c>
      <c r="T29" s="14" t="n">
        <v>536.39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CANON-202508-000037</t>
        </is>
      </c>
      <c r="B30" s="15" t="inlineStr">
        <is>
          <t>2025-08-26</t>
        </is>
      </c>
      <c r="C30" s="15" t="inlineStr">
        <is>
          <t>Everett Vandermeer</t>
        </is>
      </c>
      <c r="D30" s="15" t="inlineStr">
        <is>
          <t>WA</t>
        </is>
      </c>
      <c r="E30" s="16" t="n">
        <v>380000</v>
      </c>
      <c r="F30" s="16" t="n">
        <v>6057.06</v>
      </c>
      <c r="G30" s="16" t="n">
        <v>757.13</v>
      </c>
      <c r="H30" s="16" t="n">
        <v>757.13</v>
      </c>
      <c r="I30" s="16">
        <f>SUM(K30:T30)</f>
        <v/>
      </c>
      <c r="J30" s="16">
        <f>F30-(G30+H30+I30)</f>
        <v/>
      </c>
      <c r="K30" s="16" t="n">
        <v>454.28</v>
      </c>
      <c r="L30" s="16" t="n">
        <v>454.28</v>
      </c>
      <c r="M30" s="16" t="n">
        <v>454.28</v>
      </c>
      <c r="N30" s="16" t="n">
        <v>454.28</v>
      </c>
      <c r="O30" s="16" t="n">
        <v>454.28</v>
      </c>
      <c r="P30" s="16" t="n">
        <v>454.28</v>
      </c>
      <c r="Q30" s="16" t="n">
        <v>454.28</v>
      </c>
      <c r="R30" s="16" t="n">
        <v>454.28</v>
      </c>
      <c r="S30" s="16" t="n">
        <v>454.28</v>
      </c>
      <c r="T30" s="16" t="n">
        <v>454.28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CANON-202508-000038</t>
        </is>
      </c>
      <c r="B31" s="3" t="inlineStr">
        <is>
          <t>2025-08-07</t>
        </is>
      </c>
      <c r="C31" s="3" t="inlineStr">
        <is>
          <t>Wilhelmina Ashcombe</t>
        </is>
      </c>
      <c r="D31" s="3" t="inlineStr">
        <is>
          <t>MI</t>
        </is>
      </c>
      <c r="E31" s="14" t="n">
        <v>1950000</v>
      </c>
      <c r="F31" s="14" t="n">
        <v>19389.62</v>
      </c>
      <c r="G31" s="14" t="n">
        <v>2423.7</v>
      </c>
      <c r="H31" s="14" t="n">
        <v>2423.7</v>
      </c>
      <c r="I31" s="14">
        <f>SUM(K31:T31)</f>
        <v/>
      </c>
      <c r="J31" s="14">
        <f>F31-(G31+H31+I31)</f>
        <v/>
      </c>
      <c r="K31" s="14" t="n">
        <v>1454.22</v>
      </c>
      <c r="L31" s="14" t="n">
        <v>1454.22</v>
      </c>
      <c r="M31" s="14" t="n">
        <v>1454.22</v>
      </c>
      <c r="N31" s="14" t="n">
        <v>1454.22</v>
      </c>
      <c r="O31" s="14" t="n">
        <v>1454.22</v>
      </c>
      <c r="P31" s="14" t="n">
        <v>1454.22</v>
      </c>
      <c r="Q31" s="14" t="n">
        <v>1454.22</v>
      </c>
      <c r="R31" s="14" t="n">
        <v>1454.22</v>
      </c>
      <c r="S31" s="14" t="n">
        <v>1454.22</v>
      </c>
      <c r="T31" s="14" t="n">
        <v>1454.22</v>
      </c>
      <c r="U31" s="14" t="n">
        <v>350</v>
      </c>
      <c r="V31" s="14" t="n">
        <v>250</v>
      </c>
      <c r="W31" s="14">
        <f>U31+V31</f>
        <v/>
      </c>
    </row>
    <row r="32">
      <c r="A32" s="15" t="inlineStr">
        <is>
          <t>CANON-202508-000039</t>
        </is>
      </c>
      <c r="B32" s="15" t="inlineStr">
        <is>
          <t>2025-08-08</t>
        </is>
      </c>
      <c r="C32" s="15" t="inlineStr">
        <is>
          <t>Horace Vandermeer</t>
        </is>
      </c>
      <c r="D32" s="15" t="inlineStr">
        <is>
          <t>FL</t>
        </is>
      </c>
      <c r="E32" s="16" t="n">
        <v>495000</v>
      </c>
      <c r="F32" s="16" t="n">
        <v>9946.700000000001</v>
      </c>
      <c r="G32" s="16" t="n">
        <v>1243.34</v>
      </c>
      <c r="H32" s="16" t="n">
        <v>1243.34</v>
      </c>
      <c r="I32" s="16">
        <f>SUM(K32:T32)</f>
        <v/>
      </c>
      <c r="J32" s="16">
        <f>F32-(G32+H32+I32)</f>
        <v/>
      </c>
      <c r="K32" s="16" t="n">
        <v>746</v>
      </c>
      <c r="L32" s="16" t="n">
        <v>746</v>
      </c>
      <c r="M32" s="16" t="n">
        <v>746</v>
      </c>
      <c r="N32" s="16" t="n">
        <v>746</v>
      </c>
      <c r="O32" s="16" t="n">
        <v>746</v>
      </c>
      <c r="P32" s="16" t="n">
        <v>746</v>
      </c>
      <c r="Q32" s="16" t="n">
        <v>746</v>
      </c>
      <c r="R32" s="16" t="n">
        <v>746</v>
      </c>
      <c r="S32" s="16" t="n">
        <v>746</v>
      </c>
      <c r="T32" s="16" t="n">
        <v>746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CANON-202508-000040</t>
        </is>
      </c>
      <c r="B33" s="3" t="inlineStr">
        <is>
          <t>2025-08-14</t>
        </is>
      </c>
      <c r="C33" s="3" t="inlineStr">
        <is>
          <t>Lorenzo Ashcombe</t>
        </is>
      </c>
      <c r="D33" s="3" t="inlineStr">
        <is>
          <t>WY</t>
        </is>
      </c>
      <c r="E33" s="14" t="n">
        <v>435000</v>
      </c>
      <c r="F33" s="14" t="n">
        <v>6586.56</v>
      </c>
      <c r="G33" s="14" t="n">
        <v>823.3200000000001</v>
      </c>
      <c r="H33" s="14" t="n">
        <v>823.3200000000001</v>
      </c>
      <c r="I33" s="14">
        <f>SUM(K33:T33)</f>
        <v/>
      </c>
      <c r="J33" s="14">
        <f>F33-(G33+H33+I33)</f>
        <v/>
      </c>
      <c r="K33" s="14" t="n">
        <v>493.99</v>
      </c>
      <c r="L33" s="14" t="n">
        <v>493.99</v>
      </c>
      <c r="M33" s="14" t="n">
        <v>493.99</v>
      </c>
      <c r="N33" s="14" t="n">
        <v>493.99</v>
      </c>
      <c r="O33" s="14" t="n">
        <v>493.99</v>
      </c>
      <c r="P33" s="14" t="n">
        <v>493.99</v>
      </c>
      <c r="Q33" s="14" t="n">
        <v>493.99</v>
      </c>
      <c r="R33" s="14" t="n">
        <v>493.99</v>
      </c>
      <c r="S33" s="14" t="n">
        <v>493.99</v>
      </c>
      <c r="T33" s="14" t="n">
        <v>493.99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CANON-202508-000042</t>
        </is>
      </c>
      <c r="B34" s="15" t="inlineStr">
        <is>
          <t>2025-08-12</t>
        </is>
      </c>
      <c r="C34" s="15" t="inlineStr">
        <is>
          <t>Saoirse Castellanos</t>
        </is>
      </c>
      <c r="D34" s="15" t="inlineStr">
        <is>
          <t>ND</t>
        </is>
      </c>
      <c r="E34" s="16" t="n">
        <v>490000</v>
      </c>
      <c r="F34" s="16" t="n">
        <v>7072.64</v>
      </c>
      <c r="G34" s="16" t="n">
        <v>884.08</v>
      </c>
      <c r="H34" s="16" t="n">
        <v>884.08</v>
      </c>
      <c r="I34" s="16">
        <f>SUM(K34:T34)</f>
        <v/>
      </c>
      <c r="J34" s="16">
        <f>F34-(G34+H34+I34)</f>
        <v/>
      </c>
      <c r="K34" s="16" t="n">
        <v>530.45</v>
      </c>
      <c r="L34" s="16" t="n">
        <v>530.45</v>
      </c>
      <c r="M34" s="16" t="n">
        <v>530.45</v>
      </c>
      <c r="N34" s="16" t="n">
        <v>530.45</v>
      </c>
      <c r="O34" s="16" t="n">
        <v>530.45</v>
      </c>
      <c r="P34" s="16" t="n">
        <v>530.45</v>
      </c>
      <c r="Q34" s="16" t="n">
        <v>530.45</v>
      </c>
      <c r="R34" s="16" t="n">
        <v>530.45</v>
      </c>
      <c r="S34" s="16" t="n">
        <v>530.45</v>
      </c>
      <c r="T34" s="16" t="n">
        <v>530.45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CANON-202508-000044</t>
        </is>
      </c>
      <c r="B35" s="3" t="inlineStr">
        <is>
          <t>2025-08-01</t>
        </is>
      </c>
      <c r="C35" s="3" t="inlineStr">
        <is>
          <t>Ingrid Fairweather</t>
        </is>
      </c>
      <c r="D35" s="3" t="inlineStr">
        <is>
          <t>UT</t>
        </is>
      </c>
      <c r="E35" s="14" t="n">
        <v>760000</v>
      </c>
      <c r="F35" s="14" t="n">
        <v>18390.57</v>
      </c>
      <c r="G35" s="14" t="n">
        <v>2298.82</v>
      </c>
      <c r="H35" s="14" t="n">
        <v>2298.82</v>
      </c>
      <c r="I35" s="14">
        <f>SUM(K35:T35)</f>
        <v/>
      </c>
      <c r="J35" s="14">
        <f>F35-(G35+H35+I35)</f>
        <v/>
      </c>
      <c r="K35" s="14" t="n">
        <v>1379.29</v>
      </c>
      <c r="L35" s="14" t="n">
        <v>1379.29</v>
      </c>
      <c r="M35" s="14" t="n">
        <v>1379.29</v>
      </c>
      <c r="N35" s="14" t="n">
        <v>1379.29</v>
      </c>
      <c r="O35" s="14" t="n">
        <v>1379.29</v>
      </c>
      <c r="P35" s="14" t="n">
        <v>1379.29</v>
      </c>
      <c r="Q35" s="14" t="n">
        <v>1379.29</v>
      </c>
      <c r="R35" s="14" t="n">
        <v>1379.29</v>
      </c>
      <c r="S35" s="14" t="n">
        <v>1379.29</v>
      </c>
      <c r="T35" s="14" t="n">
        <v>1379.29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CANON-202508-000045</t>
        </is>
      </c>
      <c r="B36" s="15" t="inlineStr">
        <is>
          <t>2025-08-19</t>
        </is>
      </c>
      <c r="C36" s="15" t="inlineStr">
        <is>
          <t>Delphine Underwood</t>
        </is>
      </c>
      <c r="D36" s="15" t="inlineStr">
        <is>
          <t>FL</t>
        </is>
      </c>
      <c r="E36" s="16" t="n">
        <v>610000</v>
      </c>
      <c r="F36" s="16" t="n">
        <v>10623.21</v>
      </c>
      <c r="G36" s="16" t="n">
        <v>1327.9</v>
      </c>
      <c r="H36" s="16" t="n">
        <v>1327.9</v>
      </c>
      <c r="I36" s="16">
        <f>SUM(K36:T36)</f>
        <v/>
      </c>
      <c r="J36" s="16">
        <f>F36-(G36+H36+I36)</f>
        <v/>
      </c>
      <c r="K36" s="16" t="n">
        <v>796.74</v>
      </c>
      <c r="L36" s="16" t="n">
        <v>796.74</v>
      </c>
      <c r="M36" s="16" t="n">
        <v>796.74</v>
      </c>
      <c r="N36" s="16" t="n">
        <v>796.74</v>
      </c>
      <c r="O36" s="16" t="n">
        <v>796.74</v>
      </c>
      <c r="P36" s="16" t="n">
        <v>796.74</v>
      </c>
      <c r="Q36" s="16" t="n">
        <v>796.74</v>
      </c>
      <c r="R36" s="16" t="n">
        <v>796.74</v>
      </c>
      <c r="S36" s="16" t="n">
        <v>796.74</v>
      </c>
      <c r="T36" s="16" t="n">
        <v>796.74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CANON-202508-000047</t>
        </is>
      </c>
      <c r="B37" s="3" t="inlineStr">
        <is>
          <t>2025-08-08</t>
        </is>
      </c>
      <c r="C37" s="3" t="inlineStr">
        <is>
          <t>Sunniva Thistlewood</t>
        </is>
      </c>
      <c r="D37" s="3" t="inlineStr">
        <is>
          <t>NH</t>
        </is>
      </c>
      <c r="E37" s="14" t="n">
        <v>555000</v>
      </c>
      <c r="F37" s="14" t="n">
        <v>4682.94</v>
      </c>
      <c r="G37" s="14" t="n">
        <v>585.37</v>
      </c>
      <c r="H37" s="14" t="n">
        <v>585.37</v>
      </c>
      <c r="I37" s="14">
        <f>SUM(K37:T37)</f>
        <v/>
      </c>
      <c r="J37" s="14">
        <f>F37-(G37+H37+I37)</f>
        <v/>
      </c>
      <c r="K37" s="14" t="n">
        <v>351.22</v>
      </c>
      <c r="L37" s="14" t="n">
        <v>351.22</v>
      </c>
      <c r="M37" s="14" t="n">
        <v>351.22</v>
      </c>
      <c r="N37" s="14" t="n">
        <v>351.22</v>
      </c>
      <c r="O37" s="14" t="n">
        <v>351.22</v>
      </c>
      <c r="P37" s="14" t="n">
        <v>351.22</v>
      </c>
      <c r="Q37" s="14" t="n">
        <v>351.22</v>
      </c>
      <c r="R37" s="14" t="n">
        <v>351.22</v>
      </c>
      <c r="S37" s="14" t="n">
        <v>351.22</v>
      </c>
      <c r="T37" s="14" t="n">
        <v>351.22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CANON-202508-000048</t>
        </is>
      </c>
      <c r="B38" s="15" t="inlineStr">
        <is>
          <t>2025-08-07</t>
        </is>
      </c>
      <c r="C38" s="15" t="inlineStr">
        <is>
          <t>Anouk Fairweather</t>
        </is>
      </c>
      <c r="D38" s="15" t="inlineStr">
        <is>
          <t>NY</t>
        </is>
      </c>
      <c r="E38" s="16" t="n">
        <v>745000</v>
      </c>
      <c r="F38" s="16" t="n">
        <v>11695.09</v>
      </c>
      <c r="G38" s="16" t="n">
        <v>1461.89</v>
      </c>
      <c r="H38" s="16" t="n">
        <v>1461.89</v>
      </c>
      <c r="I38" s="16">
        <f>SUM(K38:T38)</f>
        <v/>
      </c>
      <c r="J38" s="16">
        <f>F38-(G38+H38+I38)</f>
        <v/>
      </c>
      <c r="K38" s="16" t="n">
        <v>877.13</v>
      </c>
      <c r="L38" s="16" t="n">
        <v>877.13</v>
      </c>
      <c r="M38" s="16" t="n">
        <v>877.13</v>
      </c>
      <c r="N38" s="16" t="n">
        <v>877.13</v>
      </c>
      <c r="O38" s="16" t="n">
        <v>877.13</v>
      </c>
      <c r="P38" s="16" t="n">
        <v>877.13</v>
      </c>
      <c r="Q38" s="16" t="n">
        <v>877.13</v>
      </c>
      <c r="R38" s="16" t="n">
        <v>877.13</v>
      </c>
      <c r="S38" s="16" t="n">
        <v>877.13</v>
      </c>
      <c r="T38" s="16" t="n">
        <v>877.13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CANON-202508-000051</t>
        </is>
      </c>
      <c r="B39" s="3" t="inlineStr">
        <is>
          <t>2025-08-27</t>
        </is>
      </c>
      <c r="C39" s="3" t="inlineStr">
        <is>
          <t>Lorenzo Nakashima</t>
        </is>
      </c>
      <c r="D39" s="3" t="inlineStr">
        <is>
          <t>CA</t>
        </is>
      </c>
      <c r="E39" s="14" t="n">
        <v>810000</v>
      </c>
      <c r="F39" s="14" t="n">
        <v>8871.790000000001</v>
      </c>
      <c r="G39" s="14" t="n">
        <v>1108.97</v>
      </c>
      <c r="H39" s="14" t="n">
        <v>1108.97</v>
      </c>
      <c r="I39" s="14">
        <f>SUM(K39:T39)</f>
        <v/>
      </c>
      <c r="J39" s="14">
        <f>F39-(G39+H39+I39)</f>
        <v/>
      </c>
      <c r="K39" s="14" t="n">
        <v>665.38</v>
      </c>
      <c r="L39" s="14" t="n">
        <v>665.38</v>
      </c>
      <c r="M39" s="14" t="n">
        <v>665.38</v>
      </c>
      <c r="N39" s="14" t="n">
        <v>665.38</v>
      </c>
      <c r="O39" s="14" t="n">
        <v>665.38</v>
      </c>
      <c r="P39" s="14" t="n">
        <v>665.38</v>
      </c>
      <c r="Q39" s="14" t="n">
        <v>665.38</v>
      </c>
      <c r="R39" s="14" t="n">
        <v>665.38</v>
      </c>
      <c r="S39" s="14" t="n">
        <v>665.38</v>
      </c>
      <c r="T39" s="14" t="n">
        <v>665.38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CANON-202508-000052</t>
        </is>
      </c>
      <c r="B40" s="15" t="inlineStr">
        <is>
          <t>2025-08-05</t>
        </is>
      </c>
      <c r="C40" s="15" t="inlineStr">
        <is>
          <t>Sunniva Thistlewood</t>
        </is>
      </c>
      <c r="D40" s="15" t="inlineStr">
        <is>
          <t>CA</t>
        </is>
      </c>
      <c r="E40" s="16" t="n">
        <v>385000</v>
      </c>
      <c r="F40" s="16" t="n">
        <v>7354.95</v>
      </c>
      <c r="G40" s="16" t="n">
        <v>919.37</v>
      </c>
      <c r="H40" s="16" t="n">
        <v>919.37</v>
      </c>
      <c r="I40" s="16">
        <f>SUM(K40:T40)</f>
        <v/>
      </c>
      <c r="J40" s="16">
        <f>F40-(G40+H40+I40)</f>
        <v/>
      </c>
      <c r="K40" s="16" t="n">
        <v>551.62</v>
      </c>
      <c r="L40" s="16" t="n">
        <v>551.62</v>
      </c>
      <c r="M40" s="16" t="n">
        <v>551.62</v>
      </c>
      <c r="N40" s="16" t="n">
        <v>551.62</v>
      </c>
      <c r="O40" s="16" t="n">
        <v>551.62</v>
      </c>
      <c r="P40" s="16" t="n">
        <v>551.62</v>
      </c>
      <c r="Q40" s="16" t="n">
        <v>551.62</v>
      </c>
      <c r="R40" s="16" t="n">
        <v>551.62</v>
      </c>
      <c r="S40" s="16" t="n">
        <v>551.62</v>
      </c>
      <c r="T40" s="16" t="n">
        <v>551.62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CANON-202508-000053</t>
        </is>
      </c>
      <c r="B41" s="3" t="inlineStr">
        <is>
          <t>2025-08-29</t>
        </is>
      </c>
      <c r="C41" s="3" t="inlineStr">
        <is>
          <t>Ottilie Castellanos</t>
        </is>
      </c>
      <c r="D41" s="3" t="inlineStr">
        <is>
          <t>LA</t>
        </is>
      </c>
      <c r="E41" s="14" t="n">
        <v>525000</v>
      </c>
      <c r="F41" s="14" t="n">
        <v>11386.56</v>
      </c>
      <c r="G41" s="14" t="n">
        <v>1423.32</v>
      </c>
      <c r="H41" s="14" t="n">
        <v>1423.32</v>
      </c>
      <c r="I41" s="14">
        <f>SUM(K41:T41)</f>
        <v/>
      </c>
      <c r="J41" s="14">
        <f>F41-(G41+H41+I41)</f>
        <v/>
      </c>
      <c r="K41" s="14" t="n">
        <v>853.99</v>
      </c>
      <c r="L41" s="14" t="n">
        <v>853.99</v>
      </c>
      <c r="M41" s="14" t="n">
        <v>853.99</v>
      </c>
      <c r="N41" s="14" t="n">
        <v>853.99</v>
      </c>
      <c r="O41" s="14" t="n">
        <v>853.99</v>
      </c>
      <c r="P41" s="14" t="n">
        <v>853.99</v>
      </c>
      <c r="Q41" s="14" t="n">
        <v>853.99</v>
      </c>
      <c r="R41" s="14" t="n">
        <v>853.99</v>
      </c>
      <c r="S41" s="14" t="n">
        <v>853.99</v>
      </c>
      <c r="T41" s="14" t="n">
        <v>853.99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CANON-202508-000054</t>
        </is>
      </c>
      <c r="B42" s="15" t="inlineStr">
        <is>
          <t>2025-08-13</t>
        </is>
      </c>
      <c r="C42" s="15" t="inlineStr">
        <is>
          <t>Ingrid Whitlock</t>
        </is>
      </c>
      <c r="D42" s="15" t="inlineStr">
        <is>
          <t>KS</t>
        </is>
      </c>
      <c r="E42" s="16" t="n">
        <v>945000</v>
      </c>
      <c r="F42" s="16" t="n">
        <v>13490.32</v>
      </c>
      <c r="G42" s="16" t="n">
        <v>1686.29</v>
      </c>
      <c r="H42" s="16" t="n">
        <v>1686.29</v>
      </c>
      <c r="I42" s="16">
        <f>SUM(K42:T42)</f>
        <v/>
      </c>
      <c r="J42" s="16">
        <f>F42-(G42+H42+I42)</f>
        <v/>
      </c>
      <c r="K42" s="16" t="n">
        <v>1011.77</v>
      </c>
      <c r="L42" s="16" t="n">
        <v>1011.77</v>
      </c>
      <c r="M42" s="16" t="n">
        <v>1011.77</v>
      </c>
      <c r="N42" s="16" t="n">
        <v>1011.77</v>
      </c>
      <c r="O42" s="16" t="n">
        <v>1011.77</v>
      </c>
      <c r="P42" s="16" t="n">
        <v>1011.77</v>
      </c>
      <c r="Q42" s="16" t="n">
        <v>1011.77</v>
      </c>
      <c r="R42" s="16" t="n">
        <v>1011.77</v>
      </c>
      <c r="S42" s="16" t="n">
        <v>1011.77</v>
      </c>
      <c r="T42" s="16" t="n">
        <v>1011.77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CANON-202508-000057</t>
        </is>
      </c>
      <c r="B43" s="3" t="inlineStr">
        <is>
          <t>2025-08-14</t>
        </is>
      </c>
      <c r="C43" s="3" t="inlineStr">
        <is>
          <t>Thaddeus Whitlock</t>
        </is>
      </c>
      <c r="D43" s="3" t="inlineStr">
        <is>
          <t>AZ</t>
        </is>
      </c>
      <c r="E43" s="14" t="n">
        <v>1245000</v>
      </c>
      <c r="F43" s="14" t="n">
        <v>18980.38</v>
      </c>
      <c r="G43" s="14" t="n">
        <v>2372.55</v>
      </c>
      <c r="H43" s="14" t="n">
        <v>2372.55</v>
      </c>
      <c r="I43" s="14">
        <f>SUM(K43:T43)</f>
        <v/>
      </c>
      <c r="J43" s="14">
        <f>F43-(G43+H43+I43)</f>
        <v/>
      </c>
      <c r="K43" s="14" t="n">
        <v>1423.53</v>
      </c>
      <c r="L43" s="14" t="n">
        <v>1423.53</v>
      </c>
      <c r="M43" s="14" t="n">
        <v>1423.53</v>
      </c>
      <c r="N43" s="14" t="n">
        <v>1423.53</v>
      </c>
      <c r="O43" s="14" t="n">
        <v>1423.53</v>
      </c>
      <c r="P43" s="14" t="n">
        <v>1423.53</v>
      </c>
      <c r="Q43" s="14" t="n">
        <v>1423.53</v>
      </c>
      <c r="R43" s="14" t="n">
        <v>1423.53</v>
      </c>
      <c r="S43" s="14" t="n">
        <v>1423.53</v>
      </c>
      <c r="T43" s="14" t="n">
        <v>1423.53</v>
      </c>
      <c r="U43" s="14" t="n">
        <v>350</v>
      </c>
      <c r="V43" s="14" t="n">
        <v>250</v>
      </c>
      <c r="W43" s="14">
        <f>U43+V43</f>
        <v/>
      </c>
    </row>
    <row r="44">
      <c r="A44" s="15" t="inlineStr">
        <is>
          <t>CANON-202508-000058</t>
        </is>
      </c>
      <c r="B44" s="15" t="inlineStr">
        <is>
          <t>2025-08-09</t>
        </is>
      </c>
      <c r="C44" s="15" t="inlineStr">
        <is>
          <t>Ramona Montoya</t>
        </is>
      </c>
      <c r="D44" s="15" t="inlineStr">
        <is>
          <t>CO</t>
        </is>
      </c>
      <c r="E44" s="16" t="n">
        <v>240000</v>
      </c>
      <c r="F44" s="16" t="n">
        <v>4582.64</v>
      </c>
      <c r="G44" s="16" t="n">
        <v>572.83</v>
      </c>
      <c r="H44" s="16" t="n">
        <v>572.83</v>
      </c>
      <c r="I44" s="16">
        <f>SUM(K44:T44)</f>
        <v/>
      </c>
      <c r="J44" s="16">
        <f>F44-(G44+H44+I44)</f>
        <v/>
      </c>
      <c r="K44" s="16" t="n">
        <v>343.7</v>
      </c>
      <c r="L44" s="16" t="n">
        <v>343.7</v>
      </c>
      <c r="M44" s="16" t="n">
        <v>343.7</v>
      </c>
      <c r="N44" s="16" t="n">
        <v>343.7</v>
      </c>
      <c r="O44" s="16" t="n">
        <v>343.7</v>
      </c>
      <c r="P44" s="16" t="n">
        <v>343.7</v>
      </c>
      <c r="Q44" s="16" t="n">
        <v>343.7</v>
      </c>
      <c r="R44" s="16" t="n">
        <v>343.7</v>
      </c>
      <c r="S44" s="16" t="n">
        <v>343.7</v>
      </c>
      <c r="T44" s="16" t="n">
        <v>343.7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CANON-202508-000059</t>
        </is>
      </c>
      <c r="B45" s="3" t="inlineStr">
        <is>
          <t>2025-08-11</t>
        </is>
      </c>
      <c r="C45" s="3" t="inlineStr">
        <is>
          <t>Callum Vandermeer</t>
        </is>
      </c>
      <c r="D45" s="3" t="inlineStr">
        <is>
          <t>MA</t>
        </is>
      </c>
      <c r="E45" s="14" t="n">
        <v>445000</v>
      </c>
      <c r="F45" s="14" t="n">
        <v>5037.74</v>
      </c>
      <c r="G45" s="14" t="n">
        <v>629.72</v>
      </c>
      <c r="H45" s="14" t="n">
        <v>629.72</v>
      </c>
      <c r="I45" s="14">
        <f>SUM(K45:T45)</f>
        <v/>
      </c>
      <c r="J45" s="14">
        <f>F45-(G45+H45+I45)</f>
        <v/>
      </c>
      <c r="K45" s="14" t="n">
        <v>377.83</v>
      </c>
      <c r="L45" s="14" t="n">
        <v>377.83</v>
      </c>
      <c r="M45" s="14" t="n">
        <v>377.83</v>
      </c>
      <c r="N45" s="14" t="n">
        <v>377.83</v>
      </c>
      <c r="O45" s="14" t="n">
        <v>377.83</v>
      </c>
      <c r="P45" s="14" t="n">
        <v>377.83</v>
      </c>
      <c r="Q45" s="14" t="n">
        <v>377.83</v>
      </c>
      <c r="R45" s="14" t="n">
        <v>377.83</v>
      </c>
      <c r="S45" s="14" t="n">
        <v>377.83</v>
      </c>
      <c r="T45" s="14" t="n">
        <v>377.83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CANON-202508-000060</t>
        </is>
      </c>
      <c r="B46" s="15" t="inlineStr">
        <is>
          <t>2025-08-03</t>
        </is>
      </c>
      <c r="C46" s="15" t="inlineStr">
        <is>
          <t>Priya Chattopadhyay</t>
        </is>
      </c>
      <c r="D46" s="15" t="inlineStr">
        <is>
          <t>VA</t>
        </is>
      </c>
      <c r="E46" s="16" t="n">
        <v>685000</v>
      </c>
      <c r="F46" s="16" t="n">
        <v>9157.030000000001</v>
      </c>
      <c r="G46" s="16" t="n">
        <v>1144.63</v>
      </c>
      <c r="H46" s="16" t="n">
        <v>1144.63</v>
      </c>
      <c r="I46" s="16">
        <f>SUM(K46:T46)</f>
        <v/>
      </c>
      <c r="J46" s="16">
        <f>F46-(G46+H46+I46)</f>
        <v/>
      </c>
      <c r="K46" s="16" t="n">
        <v>686.78</v>
      </c>
      <c r="L46" s="16" t="n">
        <v>686.78</v>
      </c>
      <c r="M46" s="16" t="n">
        <v>686.78</v>
      </c>
      <c r="N46" s="16" t="n">
        <v>686.78</v>
      </c>
      <c r="O46" s="16" t="n">
        <v>686.78</v>
      </c>
      <c r="P46" s="16" t="n">
        <v>686.78</v>
      </c>
      <c r="Q46" s="16" t="n">
        <v>686.78</v>
      </c>
      <c r="R46" s="16" t="n">
        <v>686.78</v>
      </c>
      <c r="S46" s="16" t="n">
        <v>686.78</v>
      </c>
      <c r="T46" s="16" t="n">
        <v>686.78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CANON-202508-000064</t>
        </is>
      </c>
      <c r="B47" s="3" t="inlineStr">
        <is>
          <t>2025-08-14</t>
        </is>
      </c>
      <c r="C47" s="3" t="inlineStr">
        <is>
          <t>Emiliano Merriweather</t>
        </is>
      </c>
      <c r="D47" s="3" t="inlineStr">
        <is>
          <t>PA</t>
        </is>
      </c>
      <c r="E47" s="14" t="n">
        <v>1850000</v>
      </c>
      <c r="F47" s="14" t="n">
        <v>19198.11</v>
      </c>
      <c r="G47" s="14" t="n">
        <v>2399.76</v>
      </c>
      <c r="H47" s="14" t="n">
        <v>2399.76</v>
      </c>
      <c r="I47" s="14">
        <f>SUM(K47:T47)</f>
        <v/>
      </c>
      <c r="J47" s="14">
        <f>F47-(G47+H47+I47)</f>
        <v/>
      </c>
      <c r="K47" s="14" t="n">
        <v>1439.86</v>
      </c>
      <c r="L47" s="14" t="n">
        <v>1439.86</v>
      </c>
      <c r="M47" s="14" t="n">
        <v>1439.86</v>
      </c>
      <c r="N47" s="14" t="n">
        <v>1439.86</v>
      </c>
      <c r="O47" s="14" t="n">
        <v>1439.86</v>
      </c>
      <c r="P47" s="14" t="n">
        <v>1439.86</v>
      </c>
      <c r="Q47" s="14" t="n">
        <v>1439.86</v>
      </c>
      <c r="R47" s="14" t="n">
        <v>1439.86</v>
      </c>
      <c r="S47" s="14" t="n">
        <v>1439.86</v>
      </c>
      <c r="T47" s="14" t="n">
        <v>1439.86</v>
      </c>
      <c r="U47" s="14" t="n">
        <v>350</v>
      </c>
      <c r="V47" s="14" t="n">
        <v>250</v>
      </c>
      <c r="W47" s="14">
        <f>U47+V47</f>
        <v/>
      </c>
    </row>
    <row r="48">
      <c r="A48" s="15" t="inlineStr">
        <is>
          <t>CANON-202508-000065</t>
        </is>
      </c>
      <c r="B48" s="15" t="inlineStr">
        <is>
          <t>2025-08-25</t>
        </is>
      </c>
      <c r="C48" s="15" t="inlineStr">
        <is>
          <t>Cassius Merriweather</t>
        </is>
      </c>
      <c r="D48" s="15" t="inlineStr">
        <is>
          <t>AK</t>
        </is>
      </c>
      <c r="E48" s="16" t="n">
        <v>280000</v>
      </c>
      <c r="F48" s="16" t="n">
        <v>2890.87</v>
      </c>
      <c r="G48" s="16" t="n">
        <v>361.36</v>
      </c>
      <c r="H48" s="16" t="n">
        <v>361.36</v>
      </c>
      <c r="I48" s="16">
        <f>SUM(K48:T48)</f>
        <v/>
      </c>
      <c r="J48" s="16">
        <f>F48-(G48+H48+I48)</f>
        <v/>
      </c>
      <c r="K48" s="16" t="n">
        <v>216.82</v>
      </c>
      <c r="L48" s="16" t="n">
        <v>216.82</v>
      </c>
      <c r="M48" s="16" t="n">
        <v>216.82</v>
      </c>
      <c r="N48" s="16" t="n">
        <v>216.82</v>
      </c>
      <c r="O48" s="16" t="n">
        <v>216.82</v>
      </c>
      <c r="P48" s="16" t="n">
        <v>216.82</v>
      </c>
      <c r="Q48" s="16" t="n">
        <v>216.82</v>
      </c>
      <c r="R48" s="16" t="n">
        <v>216.82</v>
      </c>
      <c r="S48" s="16" t="n">
        <v>216.82</v>
      </c>
      <c r="T48" s="16" t="n">
        <v>216.82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CANON-202508-000067</t>
        </is>
      </c>
      <c r="B49" s="3" t="inlineStr">
        <is>
          <t>2025-08-04</t>
        </is>
      </c>
      <c r="C49" s="3" t="inlineStr">
        <is>
          <t>Mireille Fairweather</t>
        </is>
      </c>
      <c r="D49" s="3" t="inlineStr">
        <is>
          <t>CA</t>
        </is>
      </c>
      <c r="E49" s="14" t="n">
        <v>430000</v>
      </c>
      <c r="F49" s="14" t="n">
        <v>8214.620000000001</v>
      </c>
      <c r="G49" s="14" t="n">
        <v>1026.83</v>
      </c>
      <c r="H49" s="14" t="n">
        <v>1026.83</v>
      </c>
      <c r="I49" s="14">
        <f>SUM(K49:T49)</f>
        <v/>
      </c>
      <c r="J49" s="14">
        <f>F49-(G49+H49+I49)</f>
        <v/>
      </c>
      <c r="K49" s="14" t="n">
        <v>616.1</v>
      </c>
      <c r="L49" s="14" t="n">
        <v>616.1</v>
      </c>
      <c r="M49" s="14" t="n">
        <v>616.1</v>
      </c>
      <c r="N49" s="14" t="n">
        <v>616.1</v>
      </c>
      <c r="O49" s="14" t="n">
        <v>616.1</v>
      </c>
      <c r="P49" s="14" t="n">
        <v>616.1</v>
      </c>
      <c r="Q49" s="14" t="n">
        <v>616.1</v>
      </c>
      <c r="R49" s="14" t="n">
        <v>616.1</v>
      </c>
      <c r="S49" s="14" t="n">
        <v>616.1</v>
      </c>
      <c r="T49" s="14" t="n">
        <v>616.1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CANON-202508-000068</t>
        </is>
      </c>
      <c r="B50" s="15" t="inlineStr">
        <is>
          <t>2025-08-20</t>
        </is>
      </c>
      <c r="C50" s="15" t="inlineStr">
        <is>
          <t>Saoirse Castellanos</t>
        </is>
      </c>
      <c r="D50" s="15" t="inlineStr">
        <is>
          <t>NE</t>
        </is>
      </c>
      <c r="E50" s="16" t="n">
        <v>795000</v>
      </c>
      <c r="F50" s="16" t="n">
        <v>12675</v>
      </c>
      <c r="G50" s="16" t="n">
        <v>1584.38</v>
      </c>
      <c r="H50" s="16" t="n">
        <v>1584.38</v>
      </c>
      <c r="I50" s="16">
        <f>SUM(K50:T50)</f>
        <v/>
      </c>
      <c r="J50" s="16">
        <f>F50-(G50+H50+I50)</f>
        <v/>
      </c>
      <c r="K50" s="16" t="n">
        <v>950.62</v>
      </c>
      <c r="L50" s="16" t="n">
        <v>950.62</v>
      </c>
      <c r="M50" s="16" t="n">
        <v>950.62</v>
      </c>
      <c r="N50" s="16" t="n">
        <v>950.62</v>
      </c>
      <c r="O50" s="16" t="n">
        <v>950.62</v>
      </c>
      <c r="P50" s="16" t="n">
        <v>950.62</v>
      </c>
      <c r="Q50" s="16" t="n">
        <v>950.62</v>
      </c>
      <c r="R50" s="16" t="n">
        <v>950.62</v>
      </c>
      <c r="S50" s="16" t="n">
        <v>950.62</v>
      </c>
      <c r="T50" s="16" t="n">
        <v>950.62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CANON-202508-000069</t>
        </is>
      </c>
      <c r="B51" s="3" t="inlineStr">
        <is>
          <t>2025-08-09</t>
        </is>
      </c>
      <c r="C51" s="3" t="inlineStr">
        <is>
          <t>Emiliano Merriweather</t>
        </is>
      </c>
      <c r="D51" s="3" t="inlineStr">
        <is>
          <t>DE</t>
        </is>
      </c>
      <c r="E51" s="14" t="n">
        <v>1075000</v>
      </c>
      <c r="F51" s="14" t="n">
        <v>9634.43</v>
      </c>
      <c r="G51" s="14" t="n">
        <v>1204.3</v>
      </c>
      <c r="H51" s="14" t="n">
        <v>1204.3</v>
      </c>
      <c r="I51" s="14">
        <f>SUM(K51:T51)</f>
        <v/>
      </c>
      <c r="J51" s="14">
        <f>F51-(G51+H51+I51)</f>
        <v/>
      </c>
      <c r="K51" s="14" t="n">
        <v>722.58</v>
      </c>
      <c r="L51" s="14" t="n">
        <v>722.58</v>
      </c>
      <c r="M51" s="14" t="n">
        <v>722.58</v>
      </c>
      <c r="N51" s="14" t="n">
        <v>722.58</v>
      </c>
      <c r="O51" s="14" t="n">
        <v>722.58</v>
      </c>
      <c r="P51" s="14" t="n">
        <v>722.58</v>
      </c>
      <c r="Q51" s="14" t="n">
        <v>722.58</v>
      </c>
      <c r="R51" s="14" t="n">
        <v>722.58</v>
      </c>
      <c r="S51" s="14" t="n">
        <v>722.58</v>
      </c>
      <c r="T51" s="14" t="n">
        <v>722.58</v>
      </c>
      <c r="U51" s="14" t="n">
        <v>350</v>
      </c>
      <c r="V51" s="14" t="n">
        <v>250</v>
      </c>
      <c r="W51" s="14">
        <f>U51+V51</f>
        <v/>
      </c>
    </row>
    <row r="52">
      <c r="A52" s="15" t="inlineStr">
        <is>
          <t>CANON-202508-000070</t>
        </is>
      </c>
      <c r="B52" s="15" t="inlineStr">
        <is>
          <t>2025-08-03</t>
        </is>
      </c>
      <c r="C52" s="15" t="inlineStr">
        <is>
          <t>Sunniva Harrington</t>
        </is>
      </c>
      <c r="D52" s="15" t="inlineStr">
        <is>
          <t>WY</t>
        </is>
      </c>
      <c r="E52" s="16" t="n">
        <v>1950000</v>
      </c>
      <c r="F52" s="16" t="n">
        <v>13385.09</v>
      </c>
      <c r="G52" s="16" t="n">
        <v>1673.14</v>
      </c>
      <c r="H52" s="16" t="n">
        <v>1673.14</v>
      </c>
      <c r="I52" s="16">
        <f>SUM(K52:T52)</f>
        <v/>
      </c>
      <c r="J52" s="16">
        <f>F52-(G52+H52+I52)</f>
        <v/>
      </c>
      <c r="K52" s="16" t="n">
        <v>1003.88</v>
      </c>
      <c r="L52" s="16" t="n">
        <v>1003.88</v>
      </c>
      <c r="M52" s="16" t="n">
        <v>1003.88</v>
      </c>
      <c r="N52" s="16" t="n">
        <v>1003.88</v>
      </c>
      <c r="O52" s="16" t="n">
        <v>1003.88</v>
      </c>
      <c r="P52" s="16" t="n">
        <v>1003.88</v>
      </c>
      <c r="Q52" s="16" t="n">
        <v>1003.88</v>
      </c>
      <c r="R52" s="16" t="n">
        <v>1003.88</v>
      </c>
      <c r="S52" s="16" t="n">
        <v>1003.88</v>
      </c>
      <c r="T52" s="16" t="n">
        <v>1003.88</v>
      </c>
      <c r="U52" s="16" t="n">
        <v>350</v>
      </c>
      <c r="V52" s="16" t="n">
        <v>250</v>
      </c>
      <c r="W52" s="16">
        <f>U52+V52</f>
        <v/>
      </c>
    </row>
    <row r="53">
      <c r="A53" s="3" t="inlineStr">
        <is>
          <t>CANON-202508-000071</t>
        </is>
      </c>
      <c r="B53" s="3" t="inlineStr">
        <is>
          <t>2025-08-29</t>
        </is>
      </c>
      <c r="C53" s="3" t="inlineStr">
        <is>
          <t>Everett Blackwood</t>
        </is>
      </c>
      <c r="D53" s="3" t="inlineStr">
        <is>
          <t>PA</t>
        </is>
      </c>
      <c r="E53" s="14" t="n">
        <v>1945000</v>
      </c>
      <c r="F53" s="14" t="n">
        <v>20183.96</v>
      </c>
      <c r="G53" s="14" t="n">
        <v>2522.99</v>
      </c>
      <c r="H53" s="14" t="n">
        <v>2522.99</v>
      </c>
      <c r="I53" s="14">
        <f>SUM(K53:T53)</f>
        <v/>
      </c>
      <c r="J53" s="14">
        <f>F53-(G53+H53+I53)</f>
        <v/>
      </c>
      <c r="K53" s="14" t="n">
        <v>1513.8</v>
      </c>
      <c r="L53" s="14" t="n">
        <v>1513.8</v>
      </c>
      <c r="M53" s="14" t="n">
        <v>1513.8</v>
      </c>
      <c r="N53" s="14" t="n">
        <v>1513.8</v>
      </c>
      <c r="O53" s="14" t="n">
        <v>1513.8</v>
      </c>
      <c r="P53" s="14" t="n">
        <v>1513.8</v>
      </c>
      <c r="Q53" s="14" t="n">
        <v>1513.8</v>
      </c>
      <c r="R53" s="14" t="n">
        <v>1513.8</v>
      </c>
      <c r="S53" s="14" t="n">
        <v>1513.8</v>
      </c>
      <c r="T53" s="14" t="n">
        <v>1513.8</v>
      </c>
      <c r="U53" s="14" t="n">
        <v>350</v>
      </c>
      <c r="V53" s="14" t="n">
        <v>250</v>
      </c>
      <c r="W53" s="14">
        <f>U53+V53</f>
        <v/>
      </c>
    </row>
    <row r="54">
      <c r="A54" s="15" t="inlineStr">
        <is>
          <t>CANON-202508-000073</t>
        </is>
      </c>
      <c r="B54" s="15" t="inlineStr">
        <is>
          <t>2025-08-01</t>
        </is>
      </c>
      <c r="C54" s="15" t="inlineStr">
        <is>
          <t>Cassius Kingsford</t>
        </is>
      </c>
      <c r="D54" s="15" t="inlineStr">
        <is>
          <t>FL</t>
        </is>
      </c>
      <c r="E54" s="16" t="n">
        <v>735000</v>
      </c>
      <c r="F54" s="16" t="n">
        <v>12800.09</v>
      </c>
      <c r="G54" s="16" t="n">
        <v>1600.01</v>
      </c>
      <c r="H54" s="16" t="n">
        <v>1600.01</v>
      </c>
      <c r="I54" s="16">
        <f>SUM(K54:T54)</f>
        <v/>
      </c>
      <c r="J54" s="16">
        <f>F54-(G54+H54+I54)</f>
        <v/>
      </c>
      <c r="K54" s="16" t="n">
        <v>960.01</v>
      </c>
      <c r="L54" s="16" t="n">
        <v>960.01</v>
      </c>
      <c r="M54" s="16" t="n">
        <v>960.01</v>
      </c>
      <c r="N54" s="16" t="n">
        <v>960.01</v>
      </c>
      <c r="O54" s="16" t="n">
        <v>960.01</v>
      </c>
      <c r="P54" s="16" t="n">
        <v>960.01</v>
      </c>
      <c r="Q54" s="16" t="n">
        <v>960.01</v>
      </c>
      <c r="R54" s="16" t="n">
        <v>960.01</v>
      </c>
      <c r="S54" s="16" t="n">
        <v>960.01</v>
      </c>
      <c r="T54" s="16" t="n">
        <v>960.01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CANON-202508-000074</t>
        </is>
      </c>
      <c r="B55" s="3" t="inlineStr">
        <is>
          <t>2025-08-19</t>
        </is>
      </c>
      <c r="C55" s="3" t="inlineStr">
        <is>
          <t>Callum Delacroix</t>
        </is>
      </c>
      <c r="D55" s="3" t="inlineStr">
        <is>
          <t>FL</t>
        </is>
      </c>
      <c r="E55" s="14" t="n">
        <v>595000</v>
      </c>
      <c r="F55" s="14" t="n">
        <v>12434.38</v>
      </c>
      <c r="G55" s="14" t="n">
        <v>1554.3</v>
      </c>
      <c r="H55" s="14" t="n">
        <v>1554.3</v>
      </c>
      <c r="I55" s="14">
        <f>SUM(K55:T55)</f>
        <v/>
      </c>
      <c r="J55" s="14">
        <f>F55-(G55+H55+I55)</f>
        <v/>
      </c>
      <c r="K55" s="14" t="n">
        <v>932.58</v>
      </c>
      <c r="L55" s="14" t="n">
        <v>932.58</v>
      </c>
      <c r="M55" s="14" t="n">
        <v>932.58</v>
      </c>
      <c r="N55" s="14" t="n">
        <v>932.58</v>
      </c>
      <c r="O55" s="14" t="n">
        <v>932.58</v>
      </c>
      <c r="P55" s="14" t="n">
        <v>932.58</v>
      </c>
      <c r="Q55" s="14" t="n">
        <v>932.58</v>
      </c>
      <c r="R55" s="14" t="n">
        <v>932.58</v>
      </c>
      <c r="S55" s="14" t="n">
        <v>932.58</v>
      </c>
      <c r="T55" s="14" t="n">
        <v>932.58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CANON-202508-000075</t>
        </is>
      </c>
      <c r="B56" s="15" t="inlineStr">
        <is>
          <t>2025-08-20</t>
        </is>
      </c>
      <c r="C56" s="15" t="inlineStr">
        <is>
          <t>Fenwick Montoya</t>
        </is>
      </c>
      <c r="D56" s="15" t="inlineStr">
        <is>
          <t>NY</t>
        </is>
      </c>
      <c r="E56" s="16" t="n">
        <v>725000</v>
      </c>
      <c r="F56" s="16" t="n">
        <v>7529.06</v>
      </c>
      <c r="G56" s="16" t="n">
        <v>941.13</v>
      </c>
      <c r="H56" s="16" t="n">
        <v>941.13</v>
      </c>
      <c r="I56" s="16">
        <f>SUM(K56:T56)</f>
        <v/>
      </c>
      <c r="J56" s="16">
        <f>F56-(G56+H56+I56)</f>
        <v/>
      </c>
      <c r="K56" s="16" t="n">
        <v>564.6799999999999</v>
      </c>
      <c r="L56" s="16" t="n">
        <v>564.6799999999999</v>
      </c>
      <c r="M56" s="16" t="n">
        <v>564.6799999999999</v>
      </c>
      <c r="N56" s="16" t="n">
        <v>564.6799999999999</v>
      </c>
      <c r="O56" s="16" t="n">
        <v>564.6799999999999</v>
      </c>
      <c r="P56" s="16" t="n">
        <v>564.6799999999999</v>
      </c>
      <c r="Q56" s="16" t="n">
        <v>564.6799999999999</v>
      </c>
      <c r="R56" s="16" t="n">
        <v>564.6799999999999</v>
      </c>
      <c r="S56" s="16" t="n">
        <v>564.6799999999999</v>
      </c>
      <c r="T56" s="16" t="n">
        <v>564.6799999999999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CANON-202508-000076</t>
        </is>
      </c>
      <c r="B57" s="3" t="inlineStr">
        <is>
          <t>2025-08-27</t>
        </is>
      </c>
      <c r="C57" s="3" t="inlineStr">
        <is>
          <t>Priya Okonkwo</t>
        </is>
      </c>
      <c r="D57" s="3" t="inlineStr">
        <is>
          <t>IA</t>
        </is>
      </c>
      <c r="E57" s="14" t="n">
        <v>190000</v>
      </c>
      <c r="F57" s="14" t="n">
        <v>3627.92</v>
      </c>
      <c r="G57" s="14" t="n">
        <v>453.49</v>
      </c>
      <c r="H57" s="14" t="n">
        <v>453.49</v>
      </c>
      <c r="I57" s="14">
        <f>SUM(K57:T57)</f>
        <v/>
      </c>
      <c r="J57" s="14">
        <f>F57-(G57+H57+I57)</f>
        <v/>
      </c>
      <c r="K57" s="14" t="n">
        <v>272.09</v>
      </c>
      <c r="L57" s="14" t="n">
        <v>272.09</v>
      </c>
      <c r="M57" s="14" t="n">
        <v>272.09</v>
      </c>
      <c r="N57" s="14" t="n">
        <v>272.09</v>
      </c>
      <c r="O57" s="14" t="n">
        <v>272.09</v>
      </c>
      <c r="P57" s="14" t="n">
        <v>272.09</v>
      </c>
      <c r="Q57" s="14" t="n">
        <v>272.09</v>
      </c>
      <c r="R57" s="14" t="n">
        <v>272.09</v>
      </c>
      <c r="S57" s="14" t="n">
        <v>272.09</v>
      </c>
      <c r="T57" s="14" t="n">
        <v>272.09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CANON-202508-000077</t>
        </is>
      </c>
      <c r="B58" s="15" t="inlineStr">
        <is>
          <t>2025-08-24</t>
        </is>
      </c>
      <c r="C58" s="15" t="inlineStr">
        <is>
          <t>Thaddeus Bellandi</t>
        </is>
      </c>
      <c r="D58" s="15" t="inlineStr">
        <is>
          <t>IN</t>
        </is>
      </c>
      <c r="E58" s="16" t="n">
        <v>970000</v>
      </c>
      <c r="F58" s="16" t="n">
        <v>14632.36</v>
      </c>
      <c r="G58" s="16" t="n">
        <v>1829.05</v>
      </c>
      <c r="H58" s="16" t="n">
        <v>1829.05</v>
      </c>
      <c r="I58" s="16">
        <f>SUM(K58:T58)</f>
        <v/>
      </c>
      <c r="J58" s="16">
        <f>F58-(G58+H58+I58)</f>
        <v/>
      </c>
      <c r="K58" s="16" t="n">
        <v>1097.43</v>
      </c>
      <c r="L58" s="16" t="n">
        <v>1097.43</v>
      </c>
      <c r="M58" s="16" t="n">
        <v>1097.43</v>
      </c>
      <c r="N58" s="16" t="n">
        <v>1097.43</v>
      </c>
      <c r="O58" s="16" t="n">
        <v>1097.43</v>
      </c>
      <c r="P58" s="16" t="n">
        <v>1097.43</v>
      </c>
      <c r="Q58" s="16" t="n">
        <v>1097.43</v>
      </c>
      <c r="R58" s="16" t="n">
        <v>1097.43</v>
      </c>
      <c r="S58" s="16" t="n">
        <v>1097.43</v>
      </c>
      <c r="T58" s="16" t="n">
        <v>1097.43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CANON-202508-000078</t>
        </is>
      </c>
      <c r="B59" s="3" t="inlineStr">
        <is>
          <t>2025-08-21</t>
        </is>
      </c>
      <c r="C59" s="3" t="inlineStr">
        <is>
          <t>Saoirse Thistlewood</t>
        </is>
      </c>
      <c r="D59" s="3" t="inlineStr">
        <is>
          <t>OH</t>
        </is>
      </c>
      <c r="E59" s="14" t="n">
        <v>780000</v>
      </c>
      <c r="F59" s="14" t="n">
        <v>19433.77</v>
      </c>
      <c r="G59" s="14" t="n">
        <v>2429.22</v>
      </c>
      <c r="H59" s="14" t="n">
        <v>2429.22</v>
      </c>
      <c r="I59" s="14">
        <f>SUM(K59:T59)</f>
        <v/>
      </c>
      <c r="J59" s="14">
        <f>F59-(G59+H59+I59)</f>
        <v/>
      </c>
      <c r="K59" s="14" t="n">
        <v>1457.53</v>
      </c>
      <c r="L59" s="14" t="n">
        <v>1457.53</v>
      </c>
      <c r="M59" s="14" t="n">
        <v>1457.53</v>
      </c>
      <c r="N59" s="14" t="n">
        <v>1457.53</v>
      </c>
      <c r="O59" s="14" t="n">
        <v>1457.53</v>
      </c>
      <c r="P59" s="14" t="n">
        <v>1457.53</v>
      </c>
      <c r="Q59" s="14" t="n">
        <v>1457.53</v>
      </c>
      <c r="R59" s="14" t="n">
        <v>1457.53</v>
      </c>
      <c r="S59" s="14" t="n">
        <v>1457.53</v>
      </c>
      <c r="T59" s="14" t="n">
        <v>1457.53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CANON-202508-000080</t>
        </is>
      </c>
      <c r="B60" s="15" t="inlineStr">
        <is>
          <t>2025-08-24</t>
        </is>
      </c>
      <c r="C60" s="15" t="inlineStr">
        <is>
          <t>Horace Blackwood</t>
        </is>
      </c>
      <c r="D60" s="15" t="inlineStr">
        <is>
          <t>MS</t>
        </is>
      </c>
      <c r="E60" s="16" t="n">
        <v>1030000</v>
      </c>
      <c r="F60" s="16" t="n">
        <v>12719.53</v>
      </c>
      <c r="G60" s="16" t="n">
        <v>1589.94</v>
      </c>
      <c r="H60" s="16" t="n">
        <v>1589.94</v>
      </c>
      <c r="I60" s="16">
        <f>SUM(K60:T60)</f>
        <v/>
      </c>
      <c r="J60" s="16">
        <f>F60-(G60+H60+I60)</f>
        <v/>
      </c>
      <c r="K60" s="16" t="n">
        <v>953.96</v>
      </c>
      <c r="L60" s="16" t="n">
        <v>953.96</v>
      </c>
      <c r="M60" s="16" t="n">
        <v>953.96</v>
      </c>
      <c r="N60" s="16" t="n">
        <v>953.96</v>
      </c>
      <c r="O60" s="16" t="n">
        <v>953.96</v>
      </c>
      <c r="P60" s="16" t="n">
        <v>953.96</v>
      </c>
      <c r="Q60" s="16" t="n">
        <v>953.96</v>
      </c>
      <c r="R60" s="16" t="n">
        <v>953.96</v>
      </c>
      <c r="S60" s="16" t="n">
        <v>953.96</v>
      </c>
      <c r="T60" s="16" t="n">
        <v>953.96</v>
      </c>
      <c r="U60" s="16" t="n">
        <v>350</v>
      </c>
      <c r="V60" s="16" t="n">
        <v>250</v>
      </c>
      <c r="W60" s="16">
        <f>U60+V60</f>
        <v/>
      </c>
    </row>
    <row r="61">
      <c r="A61" s="3" t="inlineStr">
        <is>
          <t>CANON-202508-000081</t>
        </is>
      </c>
      <c r="B61" s="3" t="inlineStr">
        <is>
          <t>2025-08-01</t>
        </is>
      </c>
      <c r="C61" s="3" t="inlineStr">
        <is>
          <t>Emiliano Montoya</t>
        </is>
      </c>
      <c r="D61" s="3" t="inlineStr">
        <is>
          <t>TN</t>
        </is>
      </c>
      <c r="E61" s="14" t="n">
        <v>1950000</v>
      </c>
      <c r="F61" s="14" t="n">
        <v>28845.28</v>
      </c>
      <c r="G61" s="14" t="n">
        <v>3605.66</v>
      </c>
      <c r="H61" s="14" t="n">
        <v>3605.66</v>
      </c>
      <c r="I61" s="14">
        <f>SUM(K61:T61)</f>
        <v/>
      </c>
      <c r="J61" s="14">
        <f>F61-(G61+H61+I61)</f>
        <v/>
      </c>
      <c r="K61" s="14" t="n">
        <v>2163.4</v>
      </c>
      <c r="L61" s="14" t="n">
        <v>2163.4</v>
      </c>
      <c r="M61" s="14" t="n">
        <v>2163.4</v>
      </c>
      <c r="N61" s="14" t="n">
        <v>2163.4</v>
      </c>
      <c r="O61" s="14" t="n">
        <v>2163.4</v>
      </c>
      <c r="P61" s="14" t="n">
        <v>2163.4</v>
      </c>
      <c r="Q61" s="14" t="n">
        <v>2163.4</v>
      </c>
      <c r="R61" s="14" t="n">
        <v>2163.4</v>
      </c>
      <c r="S61" s="14" t="n">
        <v>2163.4</v>
      </c>
      <c r="T61" s="14" t="n">
        <v>2163.4</v>
      </c>
      <c r="U61" s="14" t="n">
        <v>350</v>
      </c>
      <c r="V61" s="14" t="n">
        <v>250</v>
      </c>
      <c r="W61" s="14">
        <f>U61+V61</f>
        <v/>
      </c>
    </row>
    <row r="62">
      <c r="A62" s="15" t="inlineStr">
        <is>
          <t>CANON-202508-000082</t>
        </is>
      </c>
      <c r="B62" s="15" t="inlineStr">
        <is>
          <t>2025-08-24</t>
        </is>
      </c>
      <c r="C62" s="15" t="inlineStr">
        <is>
          <t>Sunniva Merriweather</t>
        </is>
      </c>
      <c r="D62" s="15" t="inlineStr">
        <is>
          <t>TX</t>
        </is>
      </c>
      <c r="E62" s="16" t="n">
        <v>965000</v>
      </c>
      <c r="F62" s="16" t="n">
        <v>13610.14</v>
      </c>
      <c r="G62" s="16" t="n">
        <v>1701.27</v>
      </c>
      <c r="H62" s="16" t="n">
        <v>1701.27</v>
      </c>
      <c r="I62" s="16">
        <f>SUM(K62:T62)</f>
        <v/>
      </c>
      <c r="J62" s="16">
        <f>F62-(G62+H62+I62)</f>
        <v/>
      </c>
      <c r="K62" s="16" t="n">
        <v>1020.76</v>
      </c>
      <c r="L62" s="16" t="n">
        <v>1020.76</v>
      </c>
      <c r="M62" s="16" t="n">
        <v>1020.76</v>
      </c>
      <c r="N62" s="16" t="n">
        <v>1020.76</v>
      </c>
      <c r="O62" s="16" t="n">
        <v>1020.76</v>
      </c>
      <c r="P62" s="16" t="n">
        <v>1020.76</v>
      </c>
      <c r="Q62" s="16" t="n">
        <v>1020.76</v>
      </c>
      <c r="R62" s="16" t="n">
        <v>1020.76</v>
      </c>
      <c r="S62" s="16" t="n">
        <v>1020.76</v>
      </c>
      <c r="T62" s="16" t="n">
        <v>1020.76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CANON-202508-000083</t>
        </is>
      </c>
      <c r="B63" s="3" t="inlineStr">
        <is>
          <t>2025-08-22</t>
        </is>
      </c>
      <c r="C63" s="3" t="inlineStr">
        <is>
          <t>Fenwick Chattopadhyay</t>
        </is>
      </c>
      <c r="D63" s="3" t="inlineStr">
        <is>
          <t>MN</t>
        </is>
      </c>
      <c r="E63" s="14" t="n">
        <v>870000</v>
      </c>
      <c r="F63" s="14" t="n">
        <v>14084.15</v>
      </c>
      <c r="G63" s="14" t="n">
        <v>1760.52</v>
      </c>
      <c r="H63" s="14" t="n">
        <v>1760.52</v>
      </c>
      <c r="I63" s="14">
        <f>SUM(K63:T63)</f>
        <v/>
      </c>
      <c r="J63" s="14">
        <f>F63-(G63+H63+I63)</f>
        <v/>
      </c>
      <c r="K63" s="14" t="n">
        <v>1056.31</v>
      </c>
      <c r="L63" s="14" t="n">
        <v>1056.31</v>
      </c>
      <c r="M63" s="14" t="n">
        <v>1056.31</v>
      </c>
      <c r="N63" s="14" t="n">
        <v>1056.31</v>
      </c>
      <c r="O63" s="14" t="n">
        <v>1056.31</v>
      </c>
      <c r="P63" s="14" t="n">
        <v>1056.31</v>
      </c>
      <c r="Q63" s="14" t="n">
        <v>1056.31</v>
      </c>
      <c r="R63" s="14" t="n">
        <v>1056.31</v>
      </c>
      <c r="S63" s="14" t="n">
        <v>1056.31</v>
      </c>
      <c r="T63" s="14" t="n">
        <v>1056.31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CANON-202508-000086</t>
        </is>
      </c>
      <c r="B64" s="15" t="inlineStr">
        <is>
          <t>2025-08-04</t>
        </is>
      </c>
      <c r="C64" s="15" t="inlineStr">
        <is>
          <t>Emiliano Rourke</t>
        </is>
      </c>
      <c r="D64" s="15" t="inlineStr">
        <is>
          <t>AL</t>
        </is>
      </c>
      <c r="E64" s="16" t="n">
        <v>1045000</v>
      </c>
      <c r="F64" s="16" t="n">
        <v>13772.31</v>
      </c>
      <c r="G64" s="16" t="n">
        <v>1721.54</v>
      </c>
      <c r="H64" s="16" t="n">
        <v>1721.54</v>
      </c>
      <c r="I64" s="16">
        <f>SUM(K64:T64)</f>
        <v/>
      </c>
      <c r="J64" s="16">
        <f>F64-(G64+H64+I64)</f>
        <v/>
      </c>
      <c r="K64" s="16" t="n">
        <v>1032.92</v>
      </c>
      <c r="L64" s="16" t="n">
        <v>1032.92</v>
      </c>
      <c r="M64" s="16" t="n">
        <v>1032.92</v>
      </c>
      <c r="N64" s="16" t="n">
        <v>1032.92</v>
      </c>
      <c r="O64" s="16" t="n">
        <v>1032.92</v>
      </c>
      <c r="P64" s="16" t="n">
        <v>1032.92</v>
      </c>
      <c r="Q64" s="16" t="n">
        <v>1032.92</v>
      </c>
      <c r="R64" s="16" t="n">
        <v>1032.92</v>
      </c>
      <c r="S64" s="16" t="n">
        <v>1032.92</v>
      </c>
      <c r="T64" s="16" t="n">
        <v>1032.92</v>
      </c>
      <c r="U64" s="16" t="n">
        <v>350</v>
      </c>
      <c r="V64" s="16" t="n">
        <v>250</v>
      </c>
      <c r="W64" s="16">
        <f>U64+V64</f>
        <v/>
      </c>
    </row>
    <row r="65">
      <c r="A65" s="3" t="inlineStr">
        <is>
          <t>CANON-202508-000087</t>
        </is>
      </c>
      <c r="B65" s="3" t="inlineStr">
        <is>
          <t>2025-08-13</t>
        </is>
      </c>
      <c r="C65" s="3" t="inlineStr">
        <is>
          <t>Cassius Kingsford</t>
        </is>
      </c>
      <c r="D65" s="3" t="inlineStr">
        <is>
          <t>FL</t>
        </is>
      </c>
      <c r="E65" s="14" t="n">
        <v>800000</v>
      </c>
      <c r="F65" s="14" t="n">
        <v>20362.26</v>
      </c>
      <c r="G65" s="14" t="n">
        <v>2545.28</v>
      </c>
      <c r="H65" s="14" t="n">
        <v>2545.28</v>
      </c>
      <c r="I65" s="14">
        <f>SUM(K65:T65)</f>
        <v/>
      </c>
      <c r="J65" s="14">
        <f>F65-(G65+H65+I65)</f>
        <v/>
      </c>
      <c r="K65" s="14" t="n">
        <v>1527.17</v>
      </c>
      <c r="L65" s="14" t="n">
        <v>1527.17</v>
      </c>
      <c r="M65" s="14" t="n">
        <v>1527.17</v>
      </c>
      <c r="N65" s="14" t="n">
        <v>1527.17</v>
      </c>
      <c r="O65" s="14" t="n">
        <v>1527.17</v>
      </c>
      <c r="P65" s="14" t="n">
        <v>1527.17</v>
      </c>
      <c r="Q65" s="14" t="n">
        <v>1527.17</v>
      </c>
      <c r="R65" s="14" t="n">
        <v>1527.17</v>
      </c>
      <c r="S65" s="14" t="n">
        <v>1527.17</v>
      </c>
      <c r="T65" s="14" t="n">
        <v>1527.17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CANON-202508-000088</t>
        </is>
      </c>
      <c r="B66" s="15" t="inlineStr">
        <is>
          <t>2025-08-28</t>
        </is>
      </c>
      <c r="C66" s="15" t="inlineStr">
        <is>
          <t>Aurelio Castellanos</t>
        </is>
      </c>
      <c r="D66" s="15" t="inlineStr">
        <is>
          <t>TX</t>
        </is>
      </c>
      <c r="E66" s="16" t="n">
        <v>1400000</v>
      </c>
      <c r="F66" s="16" t="n">
        <v>16707.55</v>
      </c>
      <c r="G66" s="16" t="n">
        <v>2088.44</v>
      </c>
      <c r="H66" s="16" t="n">
        <v>2088.44</v>
      </c>
      <c r="I66" s="16">
        <f>SUM(K66:T66)</f>
        <v/>
      </c>
      <c r="J66" s="16">
        <f>F66-(G66+H66+I66)</f>
        <v/>
      </c>
      <c r="K66" s="16" t="n">
        <v>1253.07</v>
      </c>
      <c r="L66" s="16" t="n">
        <v>1253.07</v>
      </c>
      <c r="M66" s="16" t="n">
        <v>1253.07</v>
      </c>
      <c r="N66" s="16" t="n">
        <v>1253.07</v>
      </c>
      <c r="O66" s="16" t="n">
        <v>1253.07</v>
      </c>
      <c r="P66" s="16" t="n">
        <v>1253.07</v>
      </c>
      <c r="Q66" s="16" t="n">
        <v>1253.07</v>
      </c>
      <c r="R66" s="16" t="n">
        <v>1253.07</v>
      </c>
      <c r="S66" s="16" t="n">
        <v>1253.07</v>
      </c>
      <c r="T66" s="16" t="n">
        <v>1253.07</v>
      </c>
      <c r="U66" s="16" t="n">
        <v>350</v>
      </c>
      <c r="V66" s="16" t="n">
        <v>250</v>
      </c>
      <c r="W66" s="16">
        <f>U66+V66</f>
        <v/>
      </c>
    </row>
    <row r="67">
      <c r="A67" s="3" t="inlineStr">
        <is>
          <t>CANON-202508-000089</t>
        </is>
      </c>
      <c r="B67" s="3" t="inlineStr">
        <is>
          <t>2025-08-24</t>
        </is>
      </c>
      <c r="C67" s="3" t="inlineStr">
        <is>
          <t>Sunniva Farkas</t>
        </is>
      </c>
      <c r="D67" s="3" t="inlineStr">
        <is>
          <t>WI</t>
        </is>
      </c>
      <c r="E67" s="14" t="n">
        <v>830000</v>
      </c>
      <c r="F67" s="14" t="n">
        <v>8080.75</v>
      </c>
      <c r="G67" s="14" t="n">
        <v>1010.09</v>
      </c>
      <c r="H67" s="14" t="n">
        <v>1010.09</v>
      </c>
      <c r="I67" s="14">
        <f>SUM(K67:T67)</f>
        <v/>
      </c>
      <c r="J67" s="14">
        <f>F67-(G67+H67+I67)</f>
        <v/>
      </c>
      <c r="K67" s="14" t="n">
        <v>606.0599999999999</v>
      </c>
      <c r="L67" s="14" t="n">
        <v>606.0599999999999</v>
      </c>
      <c r="M67" s="14" t="n">
        <v>606.0599999999999</v>
      </c>
      <c r="N67" s="14" t="n">
        <v>606.0599999999999</v>
      </c>
      <c r="O67" s="14" t="n">
        <v>606.0599999999999</v>
      </c>
      <c r="P67" s="14" t="n">
        <v>606.0599999999999</v>
      </c>
      <c r="Q67" s="14" t="n">
        <v>606.0599999999999</v>
      </c>
      <c r="R67" s="14" t="n">
        <v>606.0599999999999</v>
      </c>
      <c r="S67" s="14" t="n">
        <v>606.0599999999999</v>
      </c>
      <c r="T67" s="14" t="n">
        <v>606.0599999999999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CANON-202508-000090</t>
        </is>
      </c>
      <c r="B68" s="15" t="inlineStr">
        <is>
          <t>2025-08-03</t>
        </is>
      </c>
      <c r="C68" s="15" t="inlineStr">
        <is>
          <t>Everett Pennington</t>
        </is>
      </c>
      <c r="D68" s="15" t="inlineStr">
        <is>
          <t>FL</t>
        </is>
      </c>
      <c r="E68" s="16" t="n">
        <v>705000</v>
      </c>
      <c r="F68" s="16" t="n">
        <v>12277.64</v>
      </c>
      <c r="G68" s="16" t="n">
        <v>1534.7</v>
      </c>
      <c r="H68" s="16" t="n">
        <v>1534.7</v>
      </c>
      <c r="I68" s="16">
        <f>SUM(K68:T68)</f>
        <v/>
      </c>
      <c r="J68" s="16">
        <f>F68-(G68+H68+I68)</f>
        <v/>
      </c>
      <c r="K68" s="16" t="n">
        <v>920.8200000000001</v>
      </c>
      <c r="L68" s="16" t="n">
        <v>920.8200000000001</v>
      </c>
      <c r="M68" s="16" t="n">
        <v>920.8200000000001</v>
      </c>
      <c r="N68" s="16" t="n">
        <v>920.8200000000001</v>
      </c>
      <c r="O68" s="16" t="n">
        <v>920.8200000000001</v>
      </c>
      <c r="P68" s="16" t="n">
        <v>920.8200000000001</v>
      </c>
      <c r="Q68" s="16" t="n">
        <v>920.8200000000001</v>
      </c>
      <c r="R68" s="16" t="n">
        <v>920.8200000000001</v>
      </c>
      <c r="S68" s="16" t="n">
        <v>920.8200000000001</v>
      </c>
      <c r="T68" s="16" t="n">
        <v>920.8200000000001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CANON-202508-000093</t>
        </is>
      </c>
      <c r="B69" s="3" t="inlineStr">
        <is>
          <t>2025-08-13</t>
        </is>
      </c>
      <c r="C69" s="3" t="inlineStr">
        <is>
          <t>Fenwick Rourke</t>
        </is>
      </c>
      <c r="D69" s="3" t="inlineStr">
        <is>
          <t>CT</t>
        </is>
      </c>
      <c r="E69" s="14" t="n">
        <v>190000</v>
      </c>
      <c r="F69" s="14" t="n">
        <v>3693.89</v>
      </c>
      <c r="G69" s="14" t="n">
        <v>461.74</v>
      </c>
      <c r="H69" s="14" t="n">
        <v>461.74</v>
      </c>
      <c r="I69" s="14">
        <f>SUM(K69:T69)</f>
        <v/>
      </c>
      <c r="J69" s="14">
        <f>F69-(G69+H69+I69)</f>
        <v/>
      </c>
      <c r="K69" s="14" t="n">
        <v>277.04</v>
      </c>
      <c r="L69" s="14" t="n">
        <v>277.04</v>
      </c>
      <c r="M69" s="14" t="n">
        <v>277.04</v>
      </c>
      <c r="N69" s="14" t="n">
        <v>277.04</v>
      </c>
      <c r="O69" s="14" t="n">
        <v>277.04</v>
      </c>
      <c r="P69" s="14" t="n">
        <v>277.04</v>
      </c>
      <c r="Q69" s="14" t="n">
        <v>277.04</v>
      </c>
      <c r="R69" s="14" t="n">
        <v>277.04</v>
      </c>
      <c r="S69" s="14" t="n">
        <v>277.04</v>
      </c>
      <c r="T69" s="14" t="n">
        <v>277.04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CANON-202508-000096</t>
        </is>
      </c>
      <c r="B70" s="15" t="inlineStr">
        <is>
          <t>2025-08-25</t>
        </is>
      </c>
      <c r="C70" s="15" t="inlineStr">
        <is>
          <t>Ottilie Montoya</t>
        </is>
      </c>
      <c r="D70" s="15" t="inlineStr">
        <is>
          <t>WA</t>
        </is>
      </c>
      <c r="E70" s="16" t="n">
        <v>695000</v>
      </c>
      <c r="F70" s="16" t="n">
        <v>8182.64</v>
      </c>
      <c r="G70" s="16" t="n">
        <v>1022.83</v>
      </c>
      <c r="H70" s="16" t="n">
        <v>1022.83</v>
      </c>
      <c r="I70" s="16">
        <f>SUM(K70:T70)</f>
        <v/>
      </c>
      <c r="J70" s="16">
        <f>F70-(G70+H70+I70)</f>
        <v/>
      </c>
      <c r="K70" s="16" t="n">
        <v>613.7</v>
      </c>
      <c r="L70" s="16" t="n">
        <v>613.7</v>
      </c>
      <c r="M70" s="16" t="n">
        <v>613.7</v>
      </c>
      <c r="N70" s="16" t="n">
        <v>613.7</v>
      </c>
      <c r="O70" s="16" t="n">
        <v>613.7</v>
      </c>
      <c r="P70" s="16" t="n">
        <v>613.7</v>
      </c>
      <c r="Q70" s="16" t="n">
        <v>613.7</v>
      </c>
      <c r="R70" s="16" t="n">
        <v>613.7</v>
      </c>
      <c r="S70" s="16" t="n">
        <v>613.7</v>
      </c>
      <c r="T70" s="16" t="n">
        <v>613.7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CANON-202508-000097</t>
        </is>
      </c>
      <c r="B71" s="3" t="inlineStr">
        <is>
          <t>2025-08-30</t>
        </is>
      </c>
      <c r="C71" s="3" t="inlineStr">
        <is>
          <t>Desmond Montoya</t>
        </is>
      </c>
      <c r="D71" s="3" t="inlineStr">
        <is>
          <t>WV</t>
        </is>
      </c>
      <c r="E71" s="14" t="n">
        <v>980000</v>
      </c>
      <c r="F71" s="14" t="n">
        <v>23362.83</v>
      </c>
      <c r="G71" s="14" t="n">
        <v>2920.35</v>
      </c>
      <c r="H71" s="14" t="n">
        <v>2920.35</v>
      </c>
      <c r="I71" s="14">
        <f>SUM(K71:T71)</f>
        <v/>
      </c>
      <c r="J71" s="14">
        <f>F71-(G71+H71+I71)</f>
        <v/>
      </c>
      <c r="K71" s="14" t="n">
        <v>1752.21</v>
      </c>
      <c r="L71" s="14" t="n">
        <v>1752.21</v>
      </c>
      <c r="M71" s="14" t="n">
        <v>1752.21</v>
      </c>
      <c r="N71" s="14" t="n">
        <v>1752.21</v>
      </c>
      <c r="O71" s="14" t="n">
        <v>1752.21</v>
      </c>
      <c r="P71" s="14" t="n">
        <v>1752.21</v>
      </c>
      <c r="Q71" s="14" t="n">
        <v>1752.21</v>
      </c>
      <c r="R71" s="14" t="n">
        <v>1752.21</v>
      </c>
      <c r="S71" s="14" t="n">
        <v>1752.21</v>
      </c>
      <c r="T71" s="14" t="n">
        <v>1752.21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CANON-202508-000098</t>
        </is>
      </c>
      <c r="B72" s="15" t="inlineStr">
        <is>
          <t>2025-08-07</t>
        </is>
      </c>
      <c r="C72" s="15" t="inlineStr">
        <is>
          <t>Noor Ashcombe</t>
        </is>
      </c>
      <c r="D72" s="15" t="inlineStr">
        <is>
          <t>FL</t>
        </is>
      </c>
      <c r="E72" s="16" t="n">
        <v>875000</v>
      </c>
      <c r="F72" s="16" t="n">
        <v>15238.21</v>
      </c>
      <c r="G72" s="16" t="n">
        <v>1904.78</v>
      </c>
      <c r="H72" s="16" t="n">
        <v>1904.78</v>
      </c>
      <c r="I72" s="16">
        <f>SUM(K72:T72)</f>
        <v/>
      </c>
      <c r="J72" s="16">
        <f>F72-(G72+H72+I72)</f>
        <v/>
      </c>
      <c r="K72" s="16" t="n">
        <v>1142.87</v>
      </c>
      <c r="L72" s="16" t="n">
        <v>1142.87</v>
      </c>
      <c r="M72" s="16" t="n">
        <v>1142.87</v>
      </c>
      <c r="N72" s="16" t="n">
        <v>1142.87</v>
      </c>
      <c r="O72" s="16" t="n">
        <v>1142.87</v>
      </c>
      <c r="P72" s="16" t="n">
        <v>1142.87</v>
      </c>
      <c r="Q72" s="16" t="n">
        <v>1142.87</v>
      </c>
      <c r="R72" s="16" t="n">
        <v>1142.87</v>
      </c>
      <c r="S72" s="16" t="n">
        <v>1142.87</v>
      </c>
      <c r="T72" s="16" t="n">
        <v>1142.87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CANON-202508-000099</t>
        </is>
      </c>
      <c r="B73" s="3" t="inlineStr">
        <is>
          <t>2025-08-06</t>
        </is>
      </c>
      <c r="C73" s="3" t="inlineStr">
        <is>
          <t>Wilhelmina Nakashima</t>
        </is>
      </c>
      <c r="D73" s="3" t="inlineStr">
        <is>
          <t>AL</t>
        </is>
      </c>
      <c r="E73" s="14" t="n">
        <v>550000</v>
      </c>
      <c r="F73" s="14" t="n">
        <v>10279.81</v>
      </c>
      <c r="G73" s="14" t="n">
        <v>1284.98</v>
      </c>
      <c r="H73" s="14" t="n">
        <v>1284.98</v>
      </c>
      <c r="I73" s="14">
        <f>SUM(K73:T73)</f>
        <v/>
      </c>
      <c r="J73" s="14">
        <f>F73-(G73+H73+I73)</f>
        <v/>
      </c>
      <c r="K73" s="14" t="n">
        <v>770.99</v>
      </c>
      <c r="L73" s="14" t="n">
        <v>770.99</v>
      </c>
      <c r="M73" s="14" t="n">
        <v>770.99</v>
      </c>
      <c r="N73" s="14" t="n">
        <v>770.99</v>
      </c>
      <c r="O73" s="14" t="n">
        <v>770.99</v>
      </c>
      <c r="P73" s="14" t="n">
        <v>770.99</v>
      </c>
      <c r="Q73" s="14" t="n">
        <v>770.99</v>
      </c>
      <c r="R73" s="14" t="n">
        <v>770.99</v>
      </c>
      <c r="S73" s="14" t="n">
        <v>770.99</v>
      </c>
      <c r="T73" s="14" t="n">
        <v>770.99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CANON-202508-000100</t>
        </is>
      </c>
      <c r="B74" s="15" t="inlineStr">
        <is>
          <t>2025-08-27</t>
        </is>
      </c>
      <c r="C74" s="15" t="inlineStr">
        <is>
          <t>Desmond Bellandi</t>
        </is>
      </c>
      <c r="D74" s="15" t="inlineStr">
        <is>
          <t>LA</t>
        </is>
      </c>
      <c r="E74" s="16" t="n">
        <v>385000</v>
      </c>
      <c r="F74" s="16" t="n">
        <v>6592.22</v>
      </c>
      <c r="G74" s="16" t="n">
        <v>824.03</v>
      </c>
      <c r="H74" s="16" t="n">
        <v>824.03</v>
      </c>
      <c r="I74" s="16">
        <f>SUM(K74:T74)</f>
        <v/>
      </c>
      <c r="J74" s="16">
        <f>F74-(G74+H74+I74)</f>
        <v/>
      </c>
      <c r="K74" s="16" t="n">
        <v>494.42</v>
      </c>
      <c r="L74" s="16" t="n">
        <v>494.42</v>
      </c>
      <c r="M74" s="16" t="n">
        <v>494.42</v>
      </c>
      <c r="N74" s="16" t="n">
        <v>494.42</v>
      </c>
      <c r="O74" s="16" t="n">
        <v>494.42</v>
      </c>
      <c r="P74" s="16" t="n">
        <v>494.42</v>
      </c>
      <c r="Q74" s="16" t="n">
        <v>494.42</v>
      </c>
      <c r="R74" s="16" t="n">
        <v>494.42</v>
      </c>
      <c r="S74" s="16" t="n">
        <v>494.42</v>
      </c>
      <c r="T74" s="16" t="n">
        <v>494.42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CANON-202508-000101</t>
        </is>
      </c>
      <c r="B75" s="3" t="inlineStr">
        <is>
          <t>2025-08-13</t>
        </is>
      </c>
      <c r="C75" s="3" t="inlineStr">
        <is>
          <t>Desmond Fairweather</t>
        </is>
      </c>
      <c r="D75" s="3" t="inlineStr">
        <is>
          <t>TX</t>
        </is>
      </c>
      <c r="E75" s="14" t="n">
        <v>530000</v>
      </c>
      <c r="F75" s="14" t="n">
        <v>7475</v>
      </c>
      <c r="G75" s="14" t="n">
        <v>934.38</v>
      </c>
      <c r="H75" s="14" t="n">
        <v>934.38</v>
      </c>
      <c r="I75" s="14">
        <f>SUM(K75:T75)</f>
        <v/>
      </c>
      <c r="J75" s="14">
        <f>F75-(G75+H75+I75)</f>
        <v/>
      </c>
      <c r="K75" s="14" t="n">
        <v>560.62</v>
      </c>
      <c r="L75" s="14" t="n">
        <v>560.62</v>
      </c>
      <c r="M75" s="14" t="n">
        <v>560.62</v>
      </c>
      <c r="N75" s="14" t="n">
        <v>560.62</v>
      </c>
      <c r="O75" s="14" t="n">
        <v>560.62</v>
      </c>
      <c r="P75" s="14" t="n">
        <v>560.62</v>
      </c>
      <c r="Q75" s="14" t="n">
        <v>560.62</v>
      </c>
      <c r="R75" s="14" t="n">
        <v>560.62</v>
      </c>
      <c r="S75" s="14" t="n">
        <v>560.62</v>
      </c>
      <c r="T75" s="14" t="n">
        <v>560.62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CANON-202508-000103</t>
        </is>
      </c>
      <c r="B76" s="15" t="inlineStr">
        <is>
          <t>2025-08-26</t>
        </is>
      </c>
      <c r="C76" s="15" t="inlineStr">
        <is>
          <t>Anouk Vandermeer</t>
        </is>
      </c>
      <c r="D76" s="15" t="inlineStr">
        <is>
          <t>VA</t>
        </is>
      </c>
      <c r="E76" s="16" t="n">
        <v>1950000</v>
      </c>
      <c r="F76" s="16" t="n">
        <v>13635.28</v>
      </c>
      <c r="G76" s="16" t="n">
        <v>1704.41</v>
      </c>
      <c r="H76" s="16" t="n">
        <v>1704.41</v>
      </c>
      <c r="I76" s="16">
        <f>SUM(K76:T76)</f>
        <v/>
      </c>
      <c r="J76" s="16">
        <f>F76-(G76+H76+I76)</f>
        <v/>
      </c>
      <c r="K76" s="16" t="n">
        <v>1022.65</v>
      </c>
      <c r="L76" s="16" t="n">
        <v>1022.65</v>
      </c>
      <c r="M76" s="16" t="n">
        <v>1022.65</v>
      </c>
      <c r="N76" s="16" t="n">
        <v>1022.65</v>
      </c>
      <c r="O76" s="16" t="n">
        <v>1022.65</v>
      </c>
      <c r="P76" s="16" t="n">
        <v>1022.65</v>
      </c>
      <c r="Q76" s="16" t="n">
        <v>1022.65</v>
      </c>
      <c r="R76" s="16" t="n">
        <v>1022.65</v>
      </c>
      <c r="S76" s="16" t="n">
        <v>1022.65</v>
      </c>
      <c r="T76" s="16" t="n">
        <v>1022.65</v>
      </c>
      <c r="U76" s="16" t="n">
        <v>350</v>
      </c>
      <c r="V76" s="16" t="n">
        <v>250</v>
      </c>
      <c r="W76" s="16">
        <f>U76+V76</f>
        <v/>
      </c>
    </row>
    <row r="77">
      <c r="A77" s="3" t="inlineStr">
        <is>
          <t>CANON-202508-000104</t>
        </is>
      </c>
      <c r="B77" s="3" t="inlineStr">
        <is>
          <t>2025-08-17</t>
        </is>
      </c>
      <c r="C77" s="3" t="inlineStr">
        <is>
          <t>Mireille Kingsford</t>
        </is>
      </c>
      <c r="D77" s="3" t="inlineStr">
        <is>
          <t>CO</t>
        </is>
      </c>
      <c r="E77" s="14" t="n">
        <v>595000</v>
      </c>
      <c r="F77" s="14" t="n">
        <v>8026.89</v>
      </c>
      <c r="G77" s="14" t="n">
        <v>1003.36</v>
      </c>
      <c r="H77" s="14" t="n">
        <v>1003.36</v>
      </c>
      <c r="I77" s="14">
        <f>SUM(K77:T77)</f>
        <v/>
      </c>
      <c r="J77" s="14">
        <f>F77-(G77+H77+I77)</f>
        <v/>
      </c>
      <c r="K77" s="14" t="n">
        <v>602.02</v>
      </c>
      <c r="L77" s="14" t="n">
        <v>602.02</v>
      </c>
      <c r="M77" s="14" t="n">
        <v>602.02</v>
      </c>
      <c r="N77" s="14" t="n">
        <v>602.02</v>
      </c>
      <c r="O77" s="14" t="n">
        <v>602.02</v>
      </c>
      <c r="P77" s="14" t="n">
        <v>602.02</v>
      </c>
      <c r="Q77" s="14" t="n">
        <v>602.02</v>
      </c>
      <c r="R77" s="14" t="n">
        <v>602.02</v>
      </c>
      <c r="S77" s="14" t="n">
        <v>602.02</v>
      </c>
      <c r="T77" s="14" t="n">
        <v>602.02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CANON-202508-000105</t>
        </is>
      </c>
      <c r="B78" s="15" t="inlineStr">
        <is>
          <t>2025-08-02</t>
        </is>
      </c>
      <c r="C78" s="15" t="inlineStr">
        <is>
          <t>Fitzgerald Ashcombe</t>
        </is>
      </c>
      <c r="D78" s="15" t="inlineStr">
        <is>
          <t>CA</t>
        </is>
      </c>
      <c r="E78" s="16" t="n">
        <v>595000</v>
      </c>
      <c r="F78" s="16" t="n">
        <v>14397.88</v>
      </c>
      <c r="G78" s="16" t="n">
        <v>1799.73</v>
      </c>
      <c r="H78" s="16" t="n">
        <v>1799.73</v>
      </c>
      <c r="I78" s="16">
        <f>SUM(K78:T78)</f>
        <v/>
      </c>
      <c r="J78" s="16">
        <f>F78-(G78+H78+I78)</f>
        <v/>
      </c>
      <c r="K78" s="16" t="n">
        <v>1079.84</v>
      </c>
      <c r="L78" s="16" t="n">
        <v>1079.84</v>
      </c>
      <c r="M78" s="16" t="n">
        <v>1079.84</v>
      </c>
      <c r="N78" s="16" t="n">
        <v>1079.84</v>
      </c>
      <c r="O78" s="16" t="n">
        <v>1079.84</v>
      </c>
      <c r="P78" s="16" t="n">
        <v>1079.84</v>
      </c>
      <c r="Q78" s="16" t="n">
        <v>1079.84</v>
      </c>
      <c r="R78" s="16" t="n">
        <v>1079.84</v>
      </c>
      <c r="S78" s="16" t="n">
        <v>1079.84</v>
      </c>
      <c r="T78" s="16" t="n">
        <v>1079.84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CANON-202508-000106</t>
        </is>
      </c>
      <c r="B79" s="3" t="inlineStr">
        <is>
          <t>2025-08-14</t>
        </is>
      </c>
      <c r="C79" s="3" t="inlineStr">
        <is>
          <t>Delphine Merriweather</t>
        </is>
      </c>
      <c r="D79" s="3" t="inlineStr">
        <is>
          <t>FL</t>
        </is>
      </c>
      <c r="E79" s="14" t="n">
        <v>335000</v>
      </c>
      <c r="F79" s="14" t="n">
        <v>10321.79</v>
      </c>
      <c r="G79" s="14" t="n">
        <v>1290.22</v>
      </c>
      <c r="H79" s="14" t="n">
        <v>1290.22</v>
      </c>
      <c r="I79" s="14">
        <f>SUM(K79:T79)</f>
        <v/>
      </c>
      <c r="J79" s="14">
        <f>F79-(G79+H79+I79)</f>
        <v/>
      </c>
      <c r="K79" s="14" t="n">
        <v>774.13</v>
      </c>
      <c r="L79" s="14" t="n">
        <v>774.13</v>
      </c>
      <c r="M79" s="14" t="n">
        <v>774.13</v>
      </c>
      <c r="N79" s="14" t="n">
        <v>774.13</v>
      </c>
      <c r="O79" s="14" t="n">
        <v>774.13</v>
      </c>
      <c r="P79" s="14" t="n">
        <v>774.13</v>
      </c>
      <c r="Q79" s="14" t="n">
        <v>774.13</v>
      </c>
      <c r="R79" s="14" t="n">
        <v>774.13</v>
      </c>
      <c r="S79" s="14" t="n">
        <v>774.13</v>
      </c>
      <c r="T79" s="14" t="n">
        <v>774.13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CANON-202508-000107</t>
        </is>
      </c>
      <c r="B80" s="15" t="inlineStr">
        <is>
          <t>2025-08-16</t>
        </is>
      </c>
      <c r="C80" s="15" t="inlineStr">
        <is>
          <t>Ingrid Farkas</t>
        </is>
      </c>
      <c r="D80" s="15" t="inlineStr">
        <is>
          <t>CO</t>
        </is>
      </c>
      <c r="E80" s="16" t="n">
        <v>760000</v>
      </c>
      <c r="F80" s="16" t="n">
        <v>10252.83</v>
      </c>
      <c r="G80" s="16" t="n">
        <v>1281.6</v>
      </c>
      <c r="H80" s="16" t="n">
        <v>1281.6</v>
      </c>
      <c r="I80" s="16">
        <f>SUM(K80:T80)</f>
        <v/>
      </c>
      <c r="J80" s="16">
        <f>F80-(G80+H80+I80)</f>
        <v/>
      </c>
      <c r="K80" s="16" t="n">
        <v>768.96</v>
      </c>
      <c r="L80" s="16" t="n">
        <v>768.96</v>
      </c>
      <c r="M80" s="16" t="n">
        <v>768.96</v>
      </c>
      <c r="N80" s="16" t="n">
        <v>768.96</v>
      </c>
      <c r="O80" s="16" t="n">
        <v>768.96</v>
      </c>
      <c r="P80" s="16" t="n">
        <v>768.96</v>
      </c>
      <c r="Q80" s="16" t="n">
        <v>768.96</v>
      </c>
      <c r="R80" s="16" t="n">
        <v>768.96</v>
      </c>
      <c r="S80" s="16" t="n">
        <v>768.96</v>
      </c>
      <c r="T80" s="16" t="n">
        <v>768.96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CANON-202508-000108</t>
        </is>
      </c>
      <c r="B81" s="3" t="inlineStr">
        <is>
          <t>2025-08-19</t>
        </is>
      </c>
      <c r="C81" s="3" t="inlineStr">
        <is>
          <t>Fitzgerald Delacroix</t>
        </is>
      </c>
      <c r="D81" s="3" t="inlineStr">
        <is>
          <t>NJ</t>
        </is>
      </c>
      <c r="E81" s="14" t="n">
        <v>610000</v>
      </c>
      <c r="F81" s="14" t="n">
        <v>9949.91</v>
      </c>
      <c r="G81" s="14" t="n">
        <v>1243.74</v>
      </c>
      <c r="H81" s="14" t="n">
        <v>1243.74</v>
      </c>
      <c r="I81" s="14">
        <f>SUM(K81:T81)</f>
        <v/>
      </c>
      <c r="J81" s="14">
        <f>F81-(G81+H81+I81)</f>
        <v/>
      </c>
      <c r="K81" s="14" t="n">
        <v>746.24</v>
      </c>
      <c r="L81" s="14" t="n">
        <v>746.24</v>
      </c>
      <c r="M81" s="14" t="n">
        <v>746.24</v>
      </c>
      <c r="N81" s="14" t="n">
        <v>746.24</v>
      </c>
      <c r="O81" s="14" t="n">
        <v>746.24</v>
      </c>
      <c r="P81" s="14" t="n">
        <v>746.24</v>
      </c>
      <c r="Q81" s="14" t="n">
        <v>746.24</v>
      </c>
      <c r="R81" s="14" t="n">
        <v>746.24</v>
      </c>
      <c r="S81" s="14" t="n">
        <v>746.24</v>
      </c>
      <c r="T81" s="14" t="n">
        <v>746.24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CANON-202508-000109</t>
        </is>
      </c>
      <c r="B82" s="15" t="inlineStr">
        <is>
          <t>2025-08-22</t>
        </is>
      </c>
      <c r="C82" s="15" t="inlineStr">
        <is>
          <t>Mireille Nakashima</t>
        </is>
      </c>
      <c r="D82" s="15" t="inlineStr">
        <is>
          <t>CA</t>
        </is>
      </c>
      <c r="E82" s="16" t="n">
        <v>410000</v>
      </c>
      <c r="F82" s="16" t="n">
        <v>7832.55</v>
      </c>
      <c r="G82" s="16" t="n">
        <v>979.0700000000001</v>
      </c>
      <c r="H82" s="16" t="n">
        <v>979.0700000000001</v>
      </c>
      <c r="I82" s="16">
        <f>SUM(K82:T82)</f>
        <v/>
      </c>
      <c r="J82" s="16">
        <f>F82-(G82+H82+I82)</f>
        <v/>
      </c>
      <c r="K82" s="16" t="n">
        <v>587.4400000000001</v>
      </c>
      <c r="L82" s="16" t="n">
        <v>587.4400000000001</v>
      </c>
      <c r="M82" s="16" t="n">
        <v>587.4400000000001</v>
      </c>
      <c r="N82" s="16" t="n">
        <v>587.4400000000001</v>
      </c>
      <c r="O82" s="16" t="n">
        <v>587.4400000000001</v>
      </c>
      <c r="P82" s="16" t="n">
        <v>587.4400000000001</v>
      </c>
      <c r="Q82" s="16" t="n">
        <v>587.4400000000001</v>
      </c>
      <c r="R82" s="16" t="n">
        <v>587.4400000000001</v>
      </c>
      <c r="S82" s="16" t="n">
        <v>587.4400000000001</v>
      </c>
      <c r="T82" s="16" t="n">
        <v>587.4400000000001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CANON-202508-000110</t>
        </is>
      </c>
      <c r="B83" s="3" t="inlineStr">
        <is>
          <t>2025-08-22</t>
        </is>
      </c>
      <c r="C83" s="3" t="inlineStr">
        <is>
          <t>Lorenzo Castellanos</t>
        </is>
      </c>
      <c r="D83" s="3" t="inlineStr">
        <is>
          <t>CA</t>
        </is>
      </c>
      <c r="E83" s="14" t="n">
        <v>1045000</v>
      </c>
      <c r="F83" s="14" t="n">
        <v>21294.34</v>
      </c>
      <c r="G83" s="14" t="n">
        <v>2661.79</v>
      </c>
      <c r="H83" s="14" t="n">
        <v>2661.79</v>
      </c>
      <c r="I83" s="14">
        <f>SUM(K83:T83)</f>
        <v/>
      </c>
      <c r="J83" s="14">
        <f>F83-(G83+H83+I83)</f>
        <v/>
      </c>
      <c r="K83" s="14" t="n">
        <v>1597.08</v>
      </c>
      <c r="L83" s="14" t="n">
        <v>1597.08</v>
      </c>
      <c r="M83" s="14" t="n">
        <v>1597.08</v>
      </c>
      <c r="N83" s="14" t="n">
        <v>1597.08</v>
      </c>
      <c r="O83" s="14" t="n">
        <v>1597.08</v>
      </c>
      <c r="P83" s="14" t="n">
        <v>1597.08</v>
      </c>
      <c r="Q83" s="14" t="n">
        <v>1597.08</v>
      </c>
      <c r="R83" s="14" t="n">
        <v>1597.08</v>
      </c>
      <c r="S83" s="14" t="n">
        <v>1597.08</v>
      </c>
      <c r="T83" s="14" t="n">
        <v>1597.08</v>
      </c>
      <c r="U83" s="14" t="n">
        <v>350</v>
      </c>
      <c r="V83" s="14" t="n">
        <v>250</v>
      </c>
      <c r="W83" s="14">
        <f>U83+V83</f>
        <v/>
      </c>
    </row>
    <row r="84">
      <c r="A84" s="15" t="inlineStr">
        <is>
          <t>CANON-202508-000111</t>
        </is>
      </c>
      <c r="B84" s="15" t="inlineStr">
        <is>
          <t>2025-08-26</t>
        </is>
      </c>
      <c r="C84" s="15" t="inlineStr">
        <is>
          <t>Delphine Whitlock</t>
        </is>
      </c>
      <c r="D84" s="15" t="inlineStr">
        <is>
          <t>TX</t>
        </is>
      </c>
      <c r="E84" s="16" t="n">
        <v>365000</v>
      </c>
      <c r="F84" s="16" t="n">
        <v>3326.32</v>
      </c>
      <c r="G84" s="16" t="n">
        <v>415.79</v>
      </c>
      <c r="H84" s="16" t="n">
        <v>415.79</v>
      </c>
      <c r="I84" s="16">
        <f>SUM(K84:T84)</f>
        <v/>
      </c>
      <c r="J84" s="16">
        <f>F84-(G84+H84+I84)</f>
        <v/>
      </c>
      <c r="K84" s="16" t="n">
        <v>249.47</v>
      </c>
      <c r="L84" s="16" t="n">
        <v>249.47</v>
      </c>
      <c r="M84" s="16" t="n">
        <v>249.47</v>
      </c>
      <c r="N84" s="16" t="n">
        <v>249.47</v>
      </c>
      <c r="O84" s="16" t="n">
        <v>249.47</v>
      </c>
      <c r="P84" s="16" t="n">
        <v>249.47</v>
      </c>
      <c r="Q84" s="16" t="n">
        <v>249.47</v>
      </c>
      <c r="R84" s="16" t="n">
        <v>249.47</v>
      </c>
      <c r="S84" s="16" t="n">
        <v>249.47</v>
      </c>
      <c r="T84" s="16" t="n">
        <v>249.47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CANON-202508-000112</t>
        </is>
      </c>
      <c r="B85" s="3" t="inlineStr">
        <is>
          <t>2025-08-11</t>
        </is>
      </c>
      <c r="C85" s="3" t="inlineStr">
        <is>
          <t>Lorenzo Larsson</t>
        </is>
      </c>
      <c r="D85" s="3" t="inlineStr">
        <is>
          <t>OH</t>
        </is>
      </c>
      <c r="E85" s="14" t="n">
        <v>1665000</v>
      </c>
      <c r="F85" s="14" t="n">
        <v>34933.58</v>
      </c>
      <c r="G85" s="14" t="n">
        <v>4366.7</v>
      </c>
      <c r="H85" s="14" t="n">
        <v>4366.7</v>
      </c>
      <c r="I85" s="14">
        <f>SUM(K85:T85)</f>
        <v/>
      </c>
      <c r="J85" s="14">
        <f>F85-(G85+H85+I85)</f>
        <v/>
      </c>
      <c r="K85" s="14" t="n">
        <v>2620.02</v>
      </c>
      <c r="L85" s="14" t="n">
        <v>2620.02</v>
      </c>
      <c r="M85" s="14" t="n">
        <v>2620.02</v>
      </c>
      <c r="N85" s="14" t="n">
        <v>2620.02</v>
      </c>
      <c r="O85" s="14" t="n">
        <v>2620.02</v>
      </c>
      <c r="P85" s="14" t="n">
        <v>2620.02</v>
      </c>
      <c r="Q85" s="14" t="n">
        <v>2620.02</v>
      </c>
      <c r="R85" s="14" t="n">
        <v>2620.02</v>
      </c>
      <c r="S85" s="14" t="n">
        <v>2620.02</v>
      </c>
      <c r="T85" s="14" t="n">
        <v>2620.02</v>
      </c>
      <c r="U85" s="14" t="n">
        <v>350</v>
      </c>
      <c r="V85" s="14" t="n">
        <v>250</v>
      </c>
      <c r="W85" s="14">
        <f>U85+V85</f>
        <v/>
      </c>
    </row>
    <row r="86">
      <c r="A86" s="15" t="inlineStr">
        <is>
          <t>CANON-202508-000114</t>
        </is>
      </c>
      <c r="B86" s="15" t="inlineStr">
        <is>
          <t>2025-08-09</t>
        </is>
      </c>
      <c r="C86" s="15" t="inlineStr">
        <is>
          <t>Everett Underwood</t>
        </is>
      </c>
      <c r="D86" s="15" t="inlineStr">
        <is>
          <t>MN</t>
        </is>
      </c>
      <c r="E86" s="16" t="n">
        <v>1025000</v>
      </c>
      <c r="F86" s="16" t="n">
        <v>9700.75</v>
      </c>
      <c r="G86" s="16" t="n">
        <v>1212.59</v>
      </c>
      <c r="H86" s="16" t="n">
        <v>1212.59</v>
      </c>
      <c r="I86" s="16">
        <f>SUM(K86:T86)</f>
        <v/>
      </c>
      <c r="J86" s="16">
        <f>F86-(G86+H86+I86)</f>
        <v/>
      </c>
      <c r="K86" s="16" t="n">
        <v>727.5599999999999</v>
      </c>
      <c r="L86" s="16" t="n">
        <v>727.5599999999999</v>
      </c>
      <c r="M86" s="16" t="n">
        <v>727.5599999999999</v>
      </c>
      <c r="N86" s="16" t="n">
        <v>727.5599999999999</v>
      </c>
      <c r="O86" s="16" t="n">
        <v>727.5599999999999</v>
      </c>
      <c r="P86" s="16" t="n">
        <v>727.5599999999999</v>
      </c>
      <c r="Q86" s="16" t="n">
        <v>727.5599999999999</v>
      </c>
      <c r="R86" s="16" t="n">
        <v>727.5599999999999</v>
      </c>
      <c r="S86" s="16" t="n">
        <v>727.5599999999999</v>
      </c>
      <c r="T86" s="16" t="n">
        <v>727.5599999999999</v>
      </c>
      <c r="U86" s="16" t="n">
        <v>350</v>
      </c>
      <c r="V86" s="16" t="n">
        <v>250</v>
      </c>
      <c r="W86" s="16">
        <f>U86+V86</f>
        <v/>
      </c>
    </row>
    <row r="87">
      <c r="A87" s="3" t="inlineStr">
        <is>
          <t>CANON-202508-000116</t>
        </is>
      </c>
      <c r="B87" s="3" t="inlineStr">
        <is>
          <t>2025-08-24</t>
        </is>
      </c>
      <c r="C87" s="3" t="inlineStr">
        <is>
          <t>Lorenzo Ashcombe</t>
        </is>
      </c>
      <c r="D87" s="3" t="inlineStr">
        <is>
          <t>IL</t>
        </is>
      </c>
      <c r="E87" s="14" t="n">
        <v>635000</v>
      </c>
      <c r="F87" s="14" t="n">
        <v>10591.32</v>
      </c>
      <c r="G87" s="14" t="n">
        <v>1323.91</v>
      </c>
      <c r="H87" s="14" t="n">
        <v>1323.91</v>
      </c>
      <c r="I87" s="14">
        <f>SUM(K87:T87)</f>
        <v/>
      </c>
      <c r="J87" s="14">
        <f>F87-(G87+H87+I87)</f>
        <v/>
      </c>
      <c r="K87" s="14" t="n">
        <v>794.35</v>
      </c>
      <c r="L87" s="14" t="n">
        <v>794.35</v>
      </c>
      <c r="M87" s="14" t="n">
        <v>794.35</v>
      </c>
      <c r="N87" s="14" t="n">
        <v>794.35</v>
      </c>
      <c r="O87" s="14" t="n">
        <v>794.35</v>
      </c>
      <c r="P87" s="14" t="n">
        <v>794.35</v>
      </c>
      <c r="Q87" s="14" t="n">
        <v>794.35</v>
      </c>
      <c r="R87" s="14" t="n">
        <v>794.35</v>
      </c>
      <c r="S87" s="14" t="n">
        <v>794.35</v>
      </c>
      <c r="T87" s="14" t="n">
        <v>794.35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CANON-202508-000117</t>
        </is>
      </c>
      <c r="B88" s="15" t="inlineStr">
        <is>
          <t>2025-08-08</t>
        </is>
      </c>
      <c r="C88" s="15" t="inlineStr">
        <is>
          <t>Noor Thistlewood</t>
        </is>
      </c>
      <c r="D88" s="15" t="inlineStr">
        <is>
          <t>AL</t>
        </is>
      </c>
      <c r="E88" s="16" t="n">
        <v>215000</v>
      </c>
      <c r="F88" s="16" t="n">
        <v>2936.58</v>
      </c>
      <c r="G88" s="16" t="n">
        <v>367.07</v>
      </c>
      <c r="H88" s="16" t="n">
        <v>367.07</v>
      </c>
      <c r="I88" s="16">
        <f>SUM(K88:T88)</f>
        <v/>
      </c>
      <c r="J88" s="16">
        <f>F88-(G88+H88+I88)</f>
        <v/>
      </c>
      <c r="K88" s="16" t="n">
        <v>220.24</v>
      </c>
      <c r="L88" s="16" t="n">
        <v>220.24</v>
      </c>
      <c r="M88" s="16" t="n">
        <v>220.24</v>
      </c>
      <c r="N88" s="16" t="n">
        <v>220.24</v>
      </c>
      <c r="O88" s="16" t="n">
        <v>220.24</v>
      </c>
      <c r="P88" s="16" t="n">
        <v>220.24</v>
      </c>
      <c r="Q88" s="16" t="n">
        <v>220.24</v>
      </c>
      <c r="R88" s="16" t="n">
        <v>220.24</v>
      </c>
      <c r="S88" s="16" t="n">
        <v>220.24</v>
      </c>
      <c r="T88" s="16" t="n">
        <v>220.24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CANON-202508-000118</t>
        </is>
      </c>
      <c r="B89" s="3" t="inlineStr">
        <is>
          <t>2025-08-10</t>
        </is>
      </c>
      <c r="C89" s="3" t="inlineStr">
        <is>
          <t>Saoirse Underwood</t>
        </is>
      </c>
      <c r="D89" s="3" t="inlineStr">
        <is>
          <t>NJ</t>
        </is>
      </c>
      <c r="E89" s="14" t="n">
        <v>205000</v>
      </c>
      <c r="F89" s="14" t="n">
        <v>3238.23</v>
      </c>
      <c r="G89" s="14" t="n">
        <v>404.78</v>
      </c>
      <c r="H89" s="14" t="n">
        <v>404.78</v>
      </c>
      <c r="I89" s="14">
        <f>SUM(K89:T89)</f>
        <v/>
      </c>
      <c r="J89" s="14">
        <f>F89-(G89+H89+I89)</f>
        <v/>
      </c>
      <c r="K89" s="14" t="n">
        <v>242.87</v>
      </c>
      <c r="L89" s="14" t="n">
        <v>242.87</v>
      </c>
      <c r="M89" s="14" t="n">
        <v>242.87</v>
      </c>
      <c r="N89" s="14" t="n">
        <v>242.87</v>
      </c>
      <c r="O89" s="14" t="n">
        <v>242.87</v>
      </c>
      <c r="P89" s="14" t="n">
        <v>242.87</v>
      </c>
      <c r="Q89" s="14" t="n">
        <v>242.87</v>
      </c>
      <c r="R89" s="14" t="n">
        <v>242.87</v>
      </c>
      <c r="S89" s="14" t="n">
        <v>242.87</v>
      </c>
      <c r="T89" s="14" t="n">
        <v>242.87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CANON-202508-000120</t>
        </is>
      </c>
      <c r="B90" s="15" t="inlineStr">
        <is>
          <t>2025-08-06</t>
        </is>
      </c>
      <c r="C90" s="15" t="inlineStr">
        <is>
          <t>Ramona Whitlock</t>
        </is>
      </c>
      <c r="D90" s="15" t="inlineStr">
        <is>
          <t>AK</t>
        </is>
      </c>
      <c r="E90" s="16" t="n">
        <v>220000</v>
      </c>
      <c r="F90" s="16" t="n">
        <v>4353.51</v>
      </c>
      <c r="G90" s="16" t="n">
        <v>544.1900000000001</v>
      </c>
      <c r="H90" s="16" t="n">
        <v>544.1900000000001</v>
      </c>
      <c r="I90" s="16">
        <f>SUM(K90:T90)</f>
        <v/>
      </c>
      <c r="J90" s="16">
        <f>F90-(G90+H90+I90)</f>
        <v/>
      </c>
      <c r="K90" s="16" t="n">
        <v>326.51</v>
      </c>
      <c r="L90" s="16" t="n">
        <v>326.51</v>
      </c>
      <c r="M90" s="16" t="n">
        <v>326.51</v>
      </c>
      <c r="N90" s="16" t="n">
        <v>326.51</v>
      </c>
      <c r="O90" s="16" t="n">
        <v>326.51</v>
      </c>
      <c r="P90" s="16" t="n">
        <v>326.51</v>
      </c>
      <c r="Q90" s="16" t="n">
        <v>326.51</v>
      </c>
      <c r="R90" s="16" t="n">
        <v>326.51</v>
      </c>
      <c r="S90" s="16" t="n">
        <v>326.51</v>
      </c>
      <c r="T90" s="16" t="n">
        <v>326.51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CANON-202508-000121</t>
        </is>
      </c>
      <c r="B91" s="3" t="inlineStr">
        <is>
          <t>2025-08-16</t>
        </is>
      </c>
      <c r="C91" s="3" t="inlineStr">
        <is>
          <t>Anouk Bellandi</t>
        </is>
      </c>
      <c r="D91" s="3" t="inlineStr">
        <is>
          <t>OK</t>
        </is>
      </c>
      <c r="E91" s="14" t="n">
        <v>495000</v>
      </c>
      <c r="F91" s="14" t="n">
        <v>8825.940000000001</v>
      </c>
      <c r="G91" s="14" t="n">
        <v>1103.24</v>
      </c>
      <c r="H91" s="14" t="n">
        <v>1103.24</v>
      </c>
      <c r="I91" s="14">
        <f>SUM(K91:T91)</f>
        <v/>
      </c>
      <c r="J91" s="14">
        <f>F91-(G91+H91+I91)</f>
        <v/>
      </c>
      <c r="K91" s="14" t="n">
        <v>661.95</v>
      </c>
      <c r="L91" s="14" t="n">
        <v>661.95</v>
      </c>
      <c r="M91" s="14" t="n">
        <v>661.95</v>
      </c>
      <c r="N91" s="14" t="n">
        <v>661.95</v>
      </c>
      <c r="O91" s="14" t="n">
        <v>661.95</v>
      </c>
      <c r="P91" s="14" t="n">
        <v>661.95</v>
      </c>
      <c r="Q91" s="14" t="n">
        <v>661.95</v>
      </c>
      <c r="R91" s="14" t="n">
        <v>661.95</v>
      </c>
      <c r="S91" s="14" t="n">
        <v>661.95</v>
      </c>
      <c r="T91" s="14" t="n">
        <v>661.95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CANON-202508-000122</t>
        </is>
      </c>
      <c r="B92" s="15" t="inlineStr">
        <is>
          <t>2025-08-11</t>
        </is>
      </c>
      <c r="C92" s="15" t="inlineStr">
        <is>
          <t>Fitzgerald Chattopadhyay</t>
        </is>
      </c>
      <c r="D92" s="15" t="inlineStr">
        <is>
          <t>WA</t>
        </is>
      </c>
      <c r="E92" s="16" t="n">
        <v>1145000</v>
      </c>
      <c r="F92" s="16" t="n">
        <v>7881.06</v>
      </c>
      <c r="G92" s="16" t="n">
        <v>985.13</v>
      </c>
      <c r="H92" s="16" t="n">
        <v>985.13</v>
      </c>
      <c r="I92" s="16">
        <f>SUM(K92:T92)</f>
        <v/>
      </c>
      <c r="J92" s="16">
        <f>F92-(G92+H92+I92)</f>
        <v/>
      </c>
      <c r="K92" s="16" t="n">
        <v>591.08</v>
      </c>
      <c r="L92" s="16" t="n">
        <v>591.08</v>
      </c>
      <c r="M92" s="16" t="n">
        <v>591.08</v>
      </c>
      <c r="N92" s="16" t="n">
        <v>591.08</v>
      </c>
      <c r="O92" s="16" t="n">
        <v>591.08</v>
      </c>
      <c r="P92" s="16" t="n">
        <v>591.08</v>
      </c>
      <c r="Q92" s="16" t="n">
        <v>591.08</v>
      </c>
      <c r="R92" s="16" t="n">
        <v>591.08</v>
      </c>
      <c r="S92" s="16" t="n">
        <v>591.08</v>
      </c>
      <c r="T92" s="16" t="n">
        <v>591.08</v>
      </c>
      <c r="U92" s="16" t="n">
        <v>350</v>
      </c>
      <c r="V92" s="16" t="n">
        <v>250</v>
      </c>
      <c r="W92" s="16">
        <f>U92+V92</f>
        <v/>
      </c>
    </row>
    <row r="93">
      <c r="A93" s="3" t="inlineStr">
        <is>
          <t>CANON-202508-000123</t>
        </is>
      </c>
      <c r="B93" s="3" t="inlineStr">
        <is>
          <t>2025-08-24</t>
        </is>
      </c>
      <c r="C93" s="3" t="inlineStr">
        <is>
          <t>Sunniva Thistlewood</t>
        </is>
      </c>
      <c r="D93" s="3" t="inlineStr">
        <is>
          <t>CA</t>
        </is>
      </c>
      <c r="E93" s="14" t="n">
        <v>1195000</v>
      </c>
      <c r="F93" s="14" t="n">
        <v>24350.94</v>
      </c>
      <c r="G93" s="14" t="n">
        <v>3043.87</v>
      </c>
      <c r="H93" s="14" t="n">
        <v>3043.87</v>
      </c>
      <c r="I93" s="14">
        <f>SUM(K93:T93)</f>
        <v/>
      </c>
      <c r="J93" s="14">
        <f>F93-(G93+H93+I93)</f>
        <v/>
      </c>
      <c r="K93" s="14" t="n">
        <v>1826.32</v>
      </c>
      <c r="L93" s="14" t="n">
        <v>1826.32</v>
      </c>
      <c r="M93" s="14" t="n">
        <v>1826.32</v>
      </c>
      <c r="N93" s="14" t="n">
        <v>1826.32</v>
      </c>
      <c r="O93" s="14" t="n">
        <v>1826.32</v>
      </c>
      <c r="P93" s="14" t="n">
        <v>1826.32</v>
      </c>
      <c r="Q93" s="14" t="n">
        <v>1826.32</v>
      </c>
      <c r="R93" s="14" t="n">
        <v>1826.32</v>
      </c>
      <c r="S93" s="14" t="n">
        <v>1826.32</v>
      </c>
      <c r="T93" s="14" t="n">
        <v>1826.32</v>
      </c>
      <c r="U93" s="14" t="n">
        <v>350</v>
      </c>
      <c r="V93" s="14" t="n">
        <v>250</v>
      </c>
      <c r="W93" s="14">
        <f>U93+V93</f>
        <v/>
      </c>
    </row>
    <row r="94">
      <c r="A94" s="15" t="inlineStr">
        <is>
          <t>CANON-202508-000126</t>
        </is>
      </c>
      <c r="B94" s="15" t="inlineStr">
        <is>
          <t>2025-08-23</t>
        </is>
      </c>
      <c r="C94" s="15" t="inlineStr">
        <is>
          <t>Wilhelmina Whitlock</t>
        </is>
      </c>
      <c r="D94" s="15" t="inlineStr">
        <is>
          <t>NC</t>
        </is>
      </c>
      <c r="E94" s="16" t="n">
        <v>685000</v>
      </c>
      <c r="F94" s="16" t="n">
        <v>6391.18</v>
      </c>
      <c r="G94" s="16" t="n">
        <v>798.9</v>
      </c>
      <c r="H94" s="16" t="n">
        <v>798.9</v>
      </c>
      <c r="I94" s="16">
        <f>SUM(K94:T94)</f>
        <v/>
      </c>
      <c r="J94" s="16">
        <f>F94-(G94+H94+I94)</f>
        <v/>
      </c>
      <c r="K94" s="16" t="n">
        <v>479.34</v>
      </c>
      <c r="L94" s="16" t="n">
        <v>479.34</v>
      </c>
      <c r="M94" s="16" t="n">
        <v>479.34</v>
      </c>
      <c r="N94" s="16" t="n">
        <v>479.34</v>
      </c>
      <c r="O94" s="16" t="n">
        <v>479.34</v>
      </c>
      <c r="P94" s="16" t="n">
        <v>479.34</v>
      </c>
      <c r="Q94" s="16" t="n">
        <v>479.34</v>
      </c>
      <c r="R94" s="16" t="n">
        <v>479.34</v>
      </c>
      <c r="S94" s="16" t="n">
        <v>479.34</v>
      </c>
      <c r="T94" s="16" t="n">
        <v>479.34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CANON-202508-000127</t>
        </is>
      </c>
      <c r="B95" s="3" t="inlineStr">
        <is>
          <t>2025-08-29</t>
        </is>
      </c>
      <c r="C95" s="3" t="inlineStr">
        <is>
          <t>Marisol Ashcombe</t>
        </is>
      </c>
      <c r="D95" s="3" t="inlineStr">
        <is>
          <t>WA</t>
        </is>
      </c>
      <c r="E95" s="14" t="n">
        <v>325000</v>
      </c>
      <c r="F95" s="14" t="n">
        <v>4415.09</v>
      </c>
      <c r="G95" s="14" t="n">
        <v>551.89</v>
      </c>
      <c r="H95" s="14" t="n">
        <v>551.89</v>
      </c>
      <c r="I95" s="14">
        <f>SUM(K95:T95)</f>
        <v/>
      </c>
      <c r="J95" s="14">
        <f>F95-(G95+H95+I95)</f>
        <v/>
      </c>
      <c r="K95" s="14" t="n">
        <v>331.13</v>
      </c>
      <c r="L95" s="14" t="n">
        <v>331.13</v>
      </c>
      <c r="M95" s="14" t="n">
        <v>331.13</v>
      </c>
      <c r="N95" s="14" t="n">
        <v>331.13</v>
      </c>
      <c r="O95" s="14" t="n">
        <v>331.13</v>
      </c>
      <c r="P95" s="14" t="n">
        <v>331.13</v>
      </c>
      <c r="Q95" s="14" t="n">
        <v>331.13</v>
      </c>
      <c r="R95" s="14" t="n">
        <v>331.13</v>
      </c>
      <c r="S95" s="14" t="n">
        <v>331.13</v>
      </c>
      <c r="T95" s="14" t="n">
        <v>331.13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CANON-202508-000128</t>
        </is>
      </c>
      <c r="B96" s="15" t="inlineStr">
        <is>
          <t>2025-08-12</t>
        </is>
      </c>
      <c r="C96" s="15" t="inlineStr">
        <is>
          <t>Desmond Vasquez</t>
        </is>
      </c>
      <c r="D96" s="15" t="inlineStr">
        <is>
          <t>DE</t>
        </is>
      </c>
      <c r="E96" s="16" t="n">
        <v>410000</v>
      </c>
      <c r="F96" s="16" t="n">
        <v>7252.36</v>
      </c>
      <c r="G96" s="16" t="n">
        <v>906.54</v>
      </c>
      <c r="H96" s="16" t="n">
        <v>906.54</v>
      </c>
      <c r="I96" s="16">
        <f>SUM(K96:T96)</f>
        <v/>
      </c>
      <c r="J96" s="16">
        <f>F96-(G96+H96+I96)</f>
        <v/>
      </c>
      <c r="K96" s="16" t="n">
        <v>543.9299999999999</v>
      </c>
      <c r="L96" s="16" t="n">
        <v>543.9299999999999</v>
      </c>
      <c r="M96" s="16" t="n">
        <v>543.9299999999999</v>
      </c>
      <c r="N96" s="16" t="n">
        <v>543.9299999999999</v>
      </c>
      <c r="O96" s="16" t="n">
        <v>543.9299999999999</v>
      </c>
      <c r="P96" s="16" t="n">
        <v>543.9299999999999</v>
      </c>
      <c r="Q96" s="16" t="n">
        <v>543.9299999999999</v>
      </c>
      <c r="R96" s="16" t="n">
        <v>543.9299999999999</v>
      </c>
      <c r="S96" s="16" t="n">
        <v>543.9299999999999</v>
      </c>
      <c r="T96" s="16" t="n">
        <v>543.9299999999999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CANON-202508-000129</t>
        </is>
      </c>
      <c r="B97" s="3" t="inlineStr">
        <is>
          <t>2025-08-31</t>
        </is>
      </c>
      <c r="C97" s="3" t="inlineStr">
        <is>
          <t>Lorenzo Ashcombe</t>
        </is>
      </c>
      <c r="D97" s="3" t="inlineStr">
        <is>
          <t>AK</t>
        </is>
      </c>
      <c r="E97" s="14" t="n">
        <v>530000</v>
      </c>
      <c r="F97" s="14" t="n">
        <v>4902</v>
      </c>
      <c r="G97" s="14" t="n">
        <v>612.75</v>
      </c>
      <c r="H97" s="14" t="n">
        <v>612.75</v>
      </c>
      <c r="I97" s="14">
        <f>SUM(K97:T97)</f>
        <v/>
      </c>
      <c r="J97" s="14">
        <f>F97-(G97+H97+I97)</f>
        <v/>
      </c>
      <c r="K97" s="14" t="n">
        <v>367.65</v>
      </c>
      <c r="L97" s="14" t="n">
        <v>367.65</v>
      </c>
      <c r="M97" s="14" t="n">
        <v>367.65</v>
      </c>
      <c r="N97" s="14" t="n">
        <v>367.65</v>
      </c>
      <c r="O97" s="14" t="n">
        <v>367.65</v>
      </c>
      <c r="P97" s="14" t="n">
        <v>367.65</v>
      </c>
      <c r="Q97" s="14" t="n">
        <v>367.65</v>
      </c>
      <c r="R97" s="14" t="n">
        <v>367.65</v>
      </c>
      <c r="S97" s="14" t="n">
        <v>367.65</v>
      </c>
      <c r="T97" s="14" t="n">
        <v>367.65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CANON-202508-000130</t>
        </is>
      </c>
      <c r="B98" s="15" t="inlineStr">
        <is>
          <t>2025-08-09</t>
        </is>
      </c>
      <c r="C98" s="15" t="inlineStr">
        <is>
          <t>Leopold Merriweather</t>
        </is>
      </c>
      <c r="D98" s="15" t="inlineStr">
        <is>
          <t>NV</t>
        </is>
      </c>
      <c r="E98" s="16" t="n">
        <v>1495000</v>
      </c>
      <c r="F98" s="16" t="n">
        <v>26402.26</v>
      </c>
      <c r="G98" s="16" t="n">
        <v>3300.28</v>
      </c>
      <c r="H98" s="16" t="n">
        <v>3300.28</v>
      </c>
      <c r="I98" s="16">
        <f>SUM(K98:T98)</f>
        <v/>
      </c>
      <c r="J98" s="16">
        <f>F98-(G98+H98+I98)</f>
        <v/>
      </c>
      <c r="K98" s="16" t="n">
        <v>1980.17</v>
      </c>
      <c r="L98" s="16" t="n">
        <v>1980.17</v>
      </c>
      <c r="M98" s="16" t="n">
        <v>1980.17</v>
      </c>
      <c r="N98" s="16" t="n">
        <v>1980.17</v>
      </c>
      <c r="O98" s="16" t="n">
        <v>1980.17</v>
      </c>
      <c r="P98" s="16" t="n">
        <v>1980.17</v>
      </c>
      <c r="Q98" s="16" t="n">
        <v>1980.17</v>
      </c>
      <c r="R98" s="16" t="n">
        <v>1980.17</v>
      </c>
      <c r="S98" s="16" t="n">
        <v>1980.17</v>
      </c>
      <c r="T98" s="16" t="n">
        <v>1980.17</v>
      </c>
      <c r="U98" s="16" t="n">
        <v>350</v>
      </c>
      <c r="V98" s="16" t="n">
        <v>250</v>
      </c>
      <c r="W98" s="16">
        <f>U98+V98</f>
        <v/>
      </c>
    </row>
    <row r="99">
      <c r="A99" s="3" t="inlineStr">
        <is>
          <t>CANON-202508-000131</t>
        </is>
      </c>
      <c r="B99" s="3" t="inlineStr">
        <is>
          <t>2025-08-30</t>
        </is>
      </c>
      <c r="C99" s="3" t="inlineStr">
        <is>
          <t>Mireille Kingsford</t>
        </is>
      </c>
      <c r="D99" s="3" t="inlineStr">
        <is>
          <t>SD</t>
        </is>
      </c>
      <c r="E99" s="14" t="n">
        <v>335000</v>
      </c>
      <c r="F99" s="14" t="n">
        <v>5262.03</v>
      </c>
      <c r="G99" s="14" t="n">
        <v>657.75</v>
      </c>
      <c r="H99" s="14" t="n">
        <v>657.75</v>
      </c>
      <c r="I99" s="14">
        <f>SUM(K99:T99)</f>
        <v/>
      </c>
      <c r="J99" s="14">
        <f>F99-(G99+H99+I99)</f>
        <v/>
      </c>
      <c r="K99" s="14" t="n">
        <v>394.65</v>
      </c>
      <c r="L99" s="14" t="n">
        <v>394.65</v>
      </c>
      <c r="M99" s="14" t="n">
        <v>394.65</v>
      </c>
      <c r="N99" s="14" t="n">
        <v>394.65</v>
      </c>
      <c r="O99" s="14" t="n">
        <v>394.65</v>
      </c>
      <c r="P99" s="14" t="n">
        <v>394.65</v>
      </c>
      <c r="Q99" s="14" t="n">
        <v>394.65</v>
      </c>
      <c r="R99" s="14" t="n">
        <v>394.65</v>
      </c>
      <c r="S99" s="14" t="n">
        <v>394.65</v>
      </c>
      <c r="T99" s="14" t="n">
        <v>394.65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CANON-202508-000132</t>
        </is>
      </c>
      <c r="B100" s="15" t="inlineStr">
        <is>
          <t>2025-08-27</t>
        </is>
      </c>
      <c r="C100" s="15" t="inlineStr">
        <is>
          <t>Wilhelmina Farkas</t>
        </is>
      </c>
      <c r="D100" s="15" t="inlineStr">
        <is>
          <t>SD</t>
        </is>
      </c>
      <c r="E100" s="16" t="n">
        <v>1950000</v>
      </c>
      <c r="F100" s="16" t="n">
        <v>32671.7</v>
      </c>
      <c r="G100" s="16" t="n">
        <v>4083.96</v>
      </c>
      <c r="H100" s="16" t="n">
        <v>4083.96</v>
      </c>
      <c r="I100" s="16">
        <f>SUM(K100:T100)</f>
        <v/>
      </c>
      <c r="J100" s="16">
        <f>F100-(G100+H100+I100)</f>
        <v/>
      </c>
      <c r="K100" s="16" t="n">
        <v>2450.38</v>
      </c>
      <c r="L100" s="16" t="n">
        <v>2450.38</v>
      </c>
      <c r="M100" s="16" t="n">
        <v>2450.38</v>
      </c>
      <c r="N100" s="16" t="n">
        <v>2450.38</v>
      </c>
      <c r="O100" s="16" t="n">
        <v>2450.38</v>
      </c>
      <c r="P100" s="16" t="n">
        <v>2450.38</v>
      </c>
      <c r="Q100" s="16" t="n">
        <v>2450.38</v>
      </c>
      <c r="R100" s="16" t="n">
        <v>2450.38</v>
      </c>
      <c r="S100" s="16" t="n">
        <v>2450.38</v>
      </c>
      <c r="T100" s="16" t="n">
        <v>2450.38</v>
      </c>
      <c r="U100" s="16" t="n">
        <v>350</v>
      </c>
      <c r="V100" s="16" t="n">
        <v>250</v>
      </c>
      <c r="W100" s="16">
        <f>U100+V100</f>
        <v/>
      </c>
    </row>
    <row r="101">
      <c r="A101" s="3" t="inlineStr">
        <is>
          <t>CANON-202508-000133</t>
        </is>
      </c>
      <c r="B101" s="3" t="inlineStr">
        <is>
          <t>2025-08-05</t>
        </is>
      </c>
      <c r="C101" s="3" t="inlineStr">
        <is>
          <t>Desmond Okonkwo</t>
        </is>
      </c>
      <c r="D101" s="3" t="inlineStr">
        <is>
          <t>WY</t>
        </is>
      </c>
      <c r="E101" s="14" t="n">
        <v>1950000</v>
      </c>
      <c r="F101" s="14" t="n">
        <v>31494.34</v>
      </c>
      <c r="G101" s="14" t="n">
        <v>3936.79</v>
      </c>
      <c r="H101" s="14" t="n">
        <v>3936.79</v>
      </c>
      <c r="I101" s="14">
        <f>SUM(K101:T101)</f>
        <v/>
      </c>
      <c r="J101" s="14">
        <f>F101-(G101+H101+I101)</f>
        <v/>
      </c>
      <c r="K101" s="14" t="n">
        <v>2362.08</v>
      </c>
      <c r="L101" s="14" t="n">
        <v>2362.08</v>
      </c>
      <c r="M101" s="14" t="n">
        <v>2362.08</v>
      </c>
      <c r="N101" s="14" t="n">
        <v>2362.08</v>
      </c>
      <c r="O101" s="14" t="n">
        <v>2362.08</v>
      </c>
      <c r="P101" s="14" t="n">
        <v>2362.08</v>
      </c>
      <c r="Q101" s="14" t="n">
        <v>2362.08</v>
      </c>
      <c r="R101" s="14" t="n">
        <v>2362.08</v>
      </c>
      <c r="S101" s="14" t="n">
        <v>2362.08</v>
      </c>
      <c r="T101" s="14" t="n">
        <v>2362.08</v>
      </c>
      <c r="U101" s="14" t="n">
        <v>350</v>
      </c>
      <c r="V101" s="14" t="n">
        <v>250</v>
      </c>
      <c r="W101" s="14">
        <f>U101+V101</f>
        <v/>
      </c>
    </row>
    <row r="102">
      <c r="A102" s="15" t="inlineStr">
        <is>
          <t>CANON-202508-000134</t>
        </is>
      </c>
      <c r="B102" s="15" t="inlineStr">
        <is>
          <t>2025-08-05</t>
        </is>
      </c>
      <c r="C102" s="15" t="inlineStr">
        <is>
          <t>Emiliano Pennington</t>
        </is>
      </c>
      <c r="D102" s="15" t="inlineStr">
        <is>
          <t>NJ</t>
        </is>
      </c>
      <c r="E102" s="16" t="n">
        <v>525000</v>
      </c>
      <c r="F102" s="16" t="n">
        <v>3876.08</v>
      </c>
      <c r="G102" s="16" t="n">
        <v>484.51</v>
      </c>
      <c r="H102" s="16" t="n">
        <v>484.51</v>
      </c>
      <c r="I102" s="16">
        <f>SUM(K102:T102)</f>
        <v/>
      </c>
      <c r="J102" s="16">
        <f>F102-(G102+H102+I102)</f>
        <v/>
      </c>
      <c r="K102" s="16" t="n">
        <v>290.71</v>
      </c>
      <c r="L102" s="16" t="n">
        <v>290.71</v>
      </c>
      <c r="M102" s="16" t="n">
        <v>290.71</v>
      </c>
      <c r="N102" s="16" t="n">
        <v>290.71</v>
      </c>
      <c r="O102" s="16" t="n">
        <v>290.71</v>
      </c>
      <c r="P102" s="16" t="n">
        <v>290.71</v>
      </c>
      <c r="Q102" s="16" t="n">
        <v>290.71</v>
      </c>
      <c r="R102" s="16" t="n">
        <v>290.71</v>
      </c>
      <c r="S102" s="16" t="n">
        <v>290.71</v>
      </c>
      <c r="T102" s="16" t="n">
        <v>290.71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CANON-202508-000139</t>
        </is>
      </c>
      <c r="B103" s="3" t="inlineStr">
        <is>
          <t>2025-08-27</t>
        </is>
      </c>
      <c r="C103" s="3" t="inlineStr">
        <is>
          <t>Sunniva Thistlewood</t>
        </is>
      </c>
      <c r="D103" s="3" t="inlineStr">
        <is>
          <t>AL</t>
        </is>
      </c>
      <c r="E103" s="14" t="n">
        <v>540000</v>
      </c>
      <c r="F103" s="14" t="n">
        <v>8410.75</v>
      </c>
      <c r="G103" s="14" t="n">
        <v>1051.34</v>
      </c>
      <c r="H103" s="14" t="n">
        <v>1051.34</v>
      </c>
      <c r="I103" s="14">
        <f>SUM(K103:T103)</f>
        <v/>
      </c>
      <c r="J103" s="14">
        <f>F103-(G103+H103+I103)</f>
        <v/>
      </c>
      <c r="K103" s="14" t="n">
        <v>630.8099999999999</v>
      </c>
      <c r="L103" s="14" t="n">
        <v>630.8099999999999</v>
      </c>
      <c r="M103" s="14" t="n">
        <v>630.8099999999999</v>
      </c>
      <c r="N103" s="14" t="n">
        <v>630.8099999999999</v>
      </c>
      <c r="O103" s="14" t="n">
        <v>630.8099999999999</v>
      </c>
      <c r="P103" s="14" t="n">
        <v>630.8099999999999</v>
      </c>
      <c r="Q103" s="14" t="n">
        <v>630.8099999999999</v>
      </c>
      <c r="R103" s="14" t="n">
        <v>630.8099999999999</v>
      </c>
      <c r="S103" s="14" t="n">
        <v>630.8099999999999</v>
      </c>
      <c r="T103" s="14" t="n">
        <v>630.8099999999999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CANON-202508-000140</t>
        </is>
      </c>
      <c r="B104" s="15" t="inlineStr">
        <is>
          <t>2025-08-20</t>
        </is>
      </c>
      <c r="C104" s="15" t="inlineStr">
        <is>
          <t>Leopold Nakashima</t>
        </is>
      </c>
      <c r="D104" s="15" t="inlineStr">
        <is>
          <t>CT</t>
        </is>
      </c>
      <c r="E104" s="16" t="n">
        <v>590000</v>
      </c>
      <c r="F104" s="16" t="n">
        <v>8104.15</v>
      </c>
      <c r="G104" s="16" t="n">
        <v>1013.02</v>
      </c>
      <c r="H104" s="16" t="n">
        <v>1013.02</v>
      </c>
      <c r="I104" s="16">
        <f>SUM(K104:T104)</f>
        <v/>
      </c>
      <c r="J104" s="16">
        <f>F104-(G104+H104+I104)</f>
        <v/>
      </c>
      <c r="K104" s="16" t="n">
        <v>607.8099999999999</v>
      </c>
      <c r="L104" s="16" t="n">
        <v>607.8099999999999</v>
      </c>
      <c r="M104" s="16" t="n">
        <v>607.8099999999999</v>
      </c>
      <c r="N104" s="16" t="n">
        <v>607.8099999999999</v>
      </c>
      <c r="O104" s="16" t="n">
        <v>607.8099999999999</v>
      </c>
      <c r="P104" s="16" t="n">
        <v>607.8099999999999</v>
      </c>
      <c r="Q104" s="16" t="n">
        <v>607.8099999999999</v>
      </c>
      <c r="R104" s="16" t="n">
        <v>607.8099999999999</v>
      </c>
      <c r="S104" s="16" t="n">
        <v>607.8099999999999</v>
      </c>
      <c r="T104" s="16" t="n">
        <v>607.8099999999999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CANON-202508-000141</t>
        </is>
      </c>
      <c r="B105" s="3" t="inlineStr">
        <is>
          <t>2025-08-30</t>
        </is>
      </c>
      <c r="C105" s="3" t="inlineStr">
        <is>
          <t>Lorenzo Pennington</t>
        </is>
      </c>
      <c r="D105" s="3" t="inlineStr">
        <is>
          <t>TX</t>
        </is>
      </c>
      <c r="E105" s="14" t="n">
        <v>400000</v>
      </c>
      <c r="F105" s="14" t="n">
        <v>9981.129999999999</v>
      </c>
      <c r="G105" s="14" t="n">
        <v>1247.64</v>
      </c>
      <c r="H105" s="14" t="n">
        <v>1247.64</v>
      </c>
      <c r="I105" s="14">
        <f>SUM(K105:T105)</f>
        <v/>
      </c>
      <c r="J105" s="14">
        <f>F105-(G105+H105+I105)</f>
        <v/>
      </c>
      <c r="K105" s="14" t="n">
        <v>748.58</v>
      </c>
      <c r="L105" s="14" t="n">
        <v>748.58</v>
      </c>
      <c r="M105" s="14" t="n">
        <v>748.58</v>
      </c>
      <c r="N105" s="14" t="n">
        <v>748.58</v>
      </c>
      <c r="O105" s="14" t="n">
        <v>748.58</v>
      </c>
      <c r="P105" s="14" t="n">
        <v>748.58</v>
      </c>
      <c r="Q105" s="14" t="n">
        <v>748.58</v>
      </c>
      <c r="R105" s="14" t="n">
        <v>748.58</v>
      </c>
      <c r="S105" s="14" t="n">
        <v>748.58</v>
      </c>
      <c r="T105" s="14" t="n">
        <v>748.58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CANON-202508-000142</t>
        </is>
      </c>
      <c r="B106" s="15" t="inlineStr">
        <is>
          <t>2025-08-28</t>
        </is>
      </c>
      <c r="C106" s="15" t="inlineStr">
        <is>
          <t>Lorenzo Castellanos</t>
        </is>
      </c>
      <c r="D106" s="15" t="inlineStr">
        <is>
          <t>AR</t>
        </is>
      </c>
      <c r="E106" s="16" t="n">
        <v>380000</v>
      </c>
      <c r="F106" s="16" t="n">
        <v>7420.75</v>
      </c>
      <c r="G106" s="16" t="n">
        <v>927.59</v>
      </c>
      <c r="H106" s="16" t="n">
        <v>927.59</v>
      </c>
      <c r="I106" s="16">
        <f>SUM(K106:T106)</f>
        <v/>
      </c>
      <c r="J106" s="16">
        <f>F106-(G106+H106+I106)</f>
        <v/>
      </c>
      <c r="K106" s="16" t="n">
        <v>556.5599999999999</v>
      </c>
      <c r="L106" s="16" t="n">
        <v>556.5599999999999</v>
      </c>
      <c r="M106" s="16" t="n">
        <v>556.5599999999999</v>
      </c>
      <c r="N106" s="16" t="n">
        <v>556.5599999999999</v>
      </c>
      <c r="O106" s="16" t="n">
        <v>556.5599999999999</v>
      </c>
      <c r="P106" s="16" t="n">
        <v>556.5599999999999</v>
      </c>
      <c r="Q106" s="16" t="n">
        <v>556.5599999999999</v>
      </c>
      <c r="R106" s="16" t="n">
        <v>556.5599999999999</v>
      </c>
      <c r="S106" s="16" t="n">
        <v>556.5599999999999</v>
      </c>
      <c r="T106" s="16" t="n">
        <v>556.5599999999999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CANON-202508-000144</t>
        </is>
      </c>
      <c r="B107" s="3" t="inlineStr">
        <is>
          <t>2025-08-26</t>
        </is>
      </c>
      <c r="C107" s="3" t="inlineStr">
        <is>
          <t>Desmond Pennington</t>
        </is>
      </c>
      <c r="D107" s="3" t="inlineStr">
        <is>
          <t>HI</t>
        </is>
      </c>
      <c r="E107" s="14" t="n">
        <v>435000</v>
      </c>
      <c r="F107" s="14" t="n">
        <v>8002.36</v>
      </c>
      <c r="G107" s="14" t="n">
        <v>1000.29</v>
      </c>
      <c r="H107" s="14" t="n">
        <v>1000.29</v>
      </c>
      <c r="I107" s="14">
        <f>SUM(K107:T107)</f>
        <v/>
      </c>
      <c r="J107" s="14">
        <f>F107-(G107+H107+I107)</f>
        <v/>
      </c>
      <c r="K107" s="14" t="n">
        <v>600.1799999999999</v>
      </c>
      <c r="L107" s="14" t="n">
        <v>600.1799999999999</v>
      </c>
      <c r="M107" s="14" t="n">
        <v>600.1799999999999</v>
      </c>
      <c r="N107" s="14" t="n">
        <v>600.1799999999999</v>
      </c>
      <c r="O107" s="14" t="n">
        <v>600.1799999999999</v>
      </c>
      <c r="P107" s="14" t="n">
        <v>600.1799999999999</v>
      </c>
      <c r="Q107" s="14" t="n">
        <v>600.1799999999999</v>
      </c>
      <c r="R107" s="14" t="n">
        <v>600.1799999999999</v>
      </c>
      <c r="S107" s="14" t="n">
        <v>600.1799999999999</v>
      </c>
      <c r="T107" s="14" t="n">
        <v>600.1799999999999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CANON-202508-000145</t>
        </is>
      </c>
      <c r="B108" s="15" t="inlineStr">
        <is>
          <t>2025-08-28</t>
        </is>
      </c>
      <c r="C108" s="15" t="inlineStr">
        <is>
          <t>Lorenzo Kingsford</t>
        </is>
      </c>
      <c r="D108" s="15" t="inlineStr">
        <is>
          <t>CA</t>
        </is>
      </c>
      <c r="E108" s="16" t="n">
        <v>295000</v>
      </c>
      <c r="F108" s="16" t="n">
        <v>8641.27</v>
      </c>
      <c r="G108" s="16" t="n">
        <v>1080.16</v>
      </c>
      <c r="H108" s="16" t="n">
        <v>1080.16</v>
      </c>
      <c r="I108" s="16">
        <f>SUM(K108:T108)</f>
        <v/>
      </c>
      <c r="J108" s="16">
        <f>F108-(G108+H108+I108)</f>
        <v/>
      </c>
      <c r="K108" s="16" t="n">
        <v>648.1</v>
      </c>
      <c r="L108" s="16" t="n">
        <v>648.1</v>
      </c>
      <c r="M108" s="16" t="n">
        <v>648.1</v>
      </c>
      <c r="N108" s="16" t="n">
        <v>648.1</v>
      </c>
      <c r="O108" s="16" t="n">
        <v>648.1</v>
      </c>
      <c r="P108" s="16" t="n">
        <v>648.1</v>
      </c>
      <c r="Q108" s="16" t="n">
        <v>648.1</v>
      </c>
      <c r="R108" s="16" t="n">
        <v>648.1</v>
      </c>
      <c r="S108" s="16" t="n">
        <v>648.1</v>
      </c>
      <c r="T108" s="16" t="n">
        <v>648.1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CANON-202508-000146</t>
        </is>
      </c>
      <c r="B109" s="3" t="inlineStr">
        <is>
          <t>2025-08-04</t>
        </is>
      </c>
      <c r="C109" s="3" t="inlineStr">
        <is>
          <t>Fenwick Chattopadhyay</t>
        </is>
      </c>
      <c r="D109" s="3" t="inlineStr">
        <is>
          <t>MI</t>
        </is>
      </c>
      <c r="E109" s="14" t="n">
        <v>405000</v>
      </c>
      <c r="F109" s="14" t="n">
        <v>5685.28</v>
      </c>
      <c r="G109" s="14" t="n">
        <v>710.66</v>
      </c>
      <c r="H109" s="14" t="n">
        <v>710.66</v>
      </c>
      <c r="I109" s="14">
        <f>SUM(K109:T109)</f>
        <v/>
      </c>
      <c r="J109" s="14">
        <f>F109-(G109+H109+I109)</f>
        <v/>
      </c>
      <c r="K109" s="14" t="n">
        <v>426.4</v>
      </c>
      <c r="L109" s="14" t="n">
        <v>426.4</v>
      </c>
      <c r="M109" s="14" t="n">
        <v>426.4</v>
      </c>
      <c r="N109" s="14" t="n">
        <v>426.4</v>
      </c>
      <c r="O109" s="14" t="n">
        <v>426.4</v>
      </c>
      <c r="P109" s="14" t="n">
        <v>426.4</v>
      </c>
      <c r="Q109" s="14" t="n">
        <v>426.4</v>
      </c>
      <c r="R109" s="14" t="n">
        <v>426.4</v>
      </c>
      <c r="S109" s="14" t="n">
        <v>426.4</v>
      </c>
      <c r="T109" s="14" t="n">
        <v>426.4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CANON-202508-000147</t>
        </is>
      </c>
      <c r="B110" s="15" t="inlineStr">
        <is>
          <t>2025-08-27</t>
        </is>
      </c>
      <c r="C110" s="15" t="inlineStr">
        <is>
          <t>Delphine Delacroix</t>
        </is>
      </c>
      <c r="D110" s="15" t="inlineStr">
        <is>
          <t>IN</t>
        </is>
      </c>
      <c r="E110" s="16" t="n">
        <v>290000</v>
      </c>
      <c r="F110" s="16" t="n">
        <v>5047.64</v>
      </c>
      <c r="G110" s="16" t="n">
        <v>630.96</v>
      </c>
      <c r="H110" s="16" t="n">
        <v>630.96</v>
      </c>
      <c r="I110" s="16">
        <f>SUM(K110:T110)</f>
        <v/>
      </c>
      <c r="J110" s="16">
        <f>F110-(G110+H110+I110)</f>
        <v/>
      </c>
      <c r="K110" s="16" t="n">
        <v>378.57</v>
      </c>
      <c r="L110" s="16" t="n">
        <v>378.57</v>
      </c>
      <c r="M110" s="16" t="n">
        <v>378.57</v>
      </c>
      <c r="N110" s="16" t="n">
        <v>378.57</v>
      </c>
      <c r="O110" s="16" t="n">
        <v>378.57</v>
      </c>
      <c r="P110" s="16" t="n">
        <v>378.57</v>
      </c>
      <c r="Q110" s="16" t="n">
        <v>378.57</v>
      </c>
      <c r="R110" s="16" t="n">
        <v>378.57</v>
      </c>
      <c r="S110" s="16" t="n">
        <v>378.57</v>
      </c>
      <c r="T110" s="16" t="n">
        <v>378.57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CANON-202508-000148</t>
        </is>
      </c>
      <c r="B111" s="3" t="inlineStr">
        <is>
          <t>2025-08-29</t>
        </is>
      </c>
      <c r="C111" s="3" t="inlineStr">
        <is>
          <t>Desmond Rourke</t>
        </is>
      </c>
      <c r="D111" s="3" t="inlineStr">
        <is>
          <t>WV</t>
        </is>
      </c>
      <c r="E111" s="14" t="n">
        <v>460000</v>
      </c>
      <c r="F111" s="14" t="n">
        <v>8657.549999999999</v>
      </c>
      <c r="G111" s="14" t="n">
        <v>1082.19</v>
      </c>
      <c r="H111" s="14" t="n">
        <v>1082.19</v>
      </c>
      <c r="I111" s="14">
        <f>SUM(K111:T111)</f>
        <v/>
      </c>
      <c r="J111" s="14">
        <f>F111-(G111+H111+I111)</f>
        <v/>
      </c>
      <c r="K111" s="14" t="n">
        <v>649.3200000000001</v>
      </c>
      <c r="L111" s="14" t="n">
        <v>649.3200000000001</v>
      </c>
      <c r="M111" s="14" t="n">
        <v>649.3200000000001</v>
      </c>
      <c r="N111" s="14" t="n">
        <v>649.3200000000001</v>
      </c>
      <c r="O111" s="14" t="n">
        <v>649.3200000000001</v>
      </c>
      <c r="P111" s="14" t="n">
        <v>649.3200000000001</v>
      </c>
      <c r="Q111" s="14" t="n">
        <v>649.3200000000001</v>
      </c>
      <c r="R111" s="14" t="n">
        <v>649.3200000000001</v>
      </c>
      <c r="S111" s="14" t="n">
        <v>649.3200000000001</v>
      </c>
      <c r="T111" s="14" t="n">
        <v>649.3200000000001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CANON-202508-000149</t>
        </is>
      </c>
      <c r="B112" s="15" t="inlineStr">
        <is>
          <t>2025-08-19</t>
        </is>
      </c>
      <c r="C112" s="15" t="inlineStr">
        <is>
          <t>Wilhelmina Merriweather</t>
        </is>
      </c>
      <c r="D112" s="15" t="inlineStr">
        <is>
          <t>SC</t>
        </is>
      </c>
      <c r="E112" s="16" t="n">
        <v>780000</v>
      </c>
      <c r="F112" s="16" t="n">
        <v>11861.89</v>
      </c>
      <c r="G112" s="16" t="n">
        <v>1482.74</v>
      </c>
      <c r="H112" s="16" t="n">
        <v>1482.74</v>
      </c>
      <c r="I112" s="16">
        <f>SUM(K112:T112)</f>
        <v/>
      </c>
      <c r="J112" s="16">
        <f>F112-(G112+H112+I112)</f>
        <v/>
      </c>
      <c r="K112" s="16" t="n">
        <v>889.64</v>
      </c>
      <c r="L112" s="16" t="n">
        <v>889.64</v>
      </c>
      <c r="M112" s="16" t="n">
        <v>889.64</v>
      </c>
      <c r="N112" s="16" t="n">
        <v>889.64</v>
      </c>
      <c r="O112" s="16" t="n">
        <v>889.64</v>
      </c>
      <c r="P112" s="16" t="n">
        <v>889.64</v>
      </c>
      <c r="Q112" s="16" t="n">
        <v>889.64</v>
      </c>
      <c r="R112" s="16" t="n">
        <v>889.64</v>
      </c>
      <c r="S112" s="16" t="n">
        <v>889.64</v>
      </c>
      <c r="T112" s="16" t="n">
        <v>889.64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CANON-202508-000150</t>
        </is>
      </c>
      <c r="B113" s="3" t="inlineStr">
        <is>
          <t>2025-08-27</t>
        </is>
      </c>
      <c r="C113" s="3" t="inlineStr">
        <is>
          <t>Thaddeus Merriweather</t>
        </is>
      </c>
      <c r="D113" s="3" t="inlineStr">
        <is>
          <t>OK</t>
        </is>
      </c>
      <c r="E113" s="14" t="n">
        <v>1355000</v>
      </c>
      <c r="F113" s="14" t="n">
        <v>17717.26</v>
      </c>
      <c r="G113" s="14" t="n">
        <v>2214.66</v>
      </c>
      <c r="H113" s="14" t="n">
        <v>2214.66</v>
      </c>
      <c r="I113" s="14">
        <f>SUM(K113:T113)</f>
        <v/>
      </c>
      <c r="J113" s="14">
        <f>F113-(G113+H113+I113)</f>
        <v/>
      </c>
      <c r="K113" s="14" t="n">
        <v>1328.79</v>
      </c>
      <c r="L113" s="14" t="n">
        <v>1328.79</v>
      </c>
      <c r="M113" s="14" t="n">
        <v>1328.79</v>
      </c>
      <c r="N113" s="14" t="n">
        <v>1328.79</v>
      </c>
      <c r="O113" s="14" t="n">
        <v>1328.79</v>
      </c>
      <c r="P113" s="14" t="n">
        <v>1328.79</v>
      </c>
      <c r="Q113" s="14" t="n">
        <v>1328.79</v>
      </c>
      <c r="R113" s="14" t="n">
        <v>1328.79</v>
      </c>
      <c r="S113" s="14" t="n">
        <v>1328.79</v>
      </c>
      <c r="T113" s="14" t="n">
        <v>1328.79</v>
      </c>
      <c r="U113" s="14" t="n">
        <v>350</v>
      </c>
      <c r="V113" s="14" t="n">
        <v>250</v>
      </c>
      <c r="W113" s="14">
        <f>U113+V113</f>
        <v/>
      </c>
    </row>
    <row r="114">
      <c r="A114" s="15" t="inlineStr">
        <is>
          <t>CANON-202508-000151</t>
        </is>
      </c>
      <c r="B114" s="15" t="inlineStr">
        <is>
          <t>2025-08-13</t>
        </is>
      </c>
      <c r="C114" s="15" t="inlineStr">
        <is>
          <t>Lorenzo Vasquez</t>
        </is>
      </c>
      <c r="D114" s="15" t="inlineStr">
        <is>
          <t>NY</t>
        </is>
      </c>
      <c r="E114" s="16" t="n">
        <v>395000</v>
      </c>
      <c r="F114" s="16" t="n">
        <v>7154.72</v>
      </c>
      <c r="G114" s="16" t="n">
        <v>894.34</v>
      </c>
      <c r="H114" s="16" t="n">
        <v>894.34</v>
      </c>
      <c r="I114" s="16">
        <f>SUM(K114:T114)</f>
        <v/>
      </c>
      <c r="J114" s="16">
        <f>F114-(G114+H114+I114)</f>
        <v/>
      </c>
      <c r="K114" s="16" t="n">
        <v>536.6</v>
      </c>
      <c r="L114" s="16" t="n">
        <v>536.6</v>
      </c>
      <c r="M114" s="16" t="n">
        <v>536.6</v>
      </c>
      <c r="N114" s="16" t="n">
        <v>536.6</v>
      </c>
      <c r="O114" s="16" t="n">
        <v>536.6</v>
      </c>
      <c r="P114" s="16" t="n">
        <v>536.6</v>
      </c>
      <c r="Q114" s="16" t="n">
        <v>536.6</v>
      </c>
      <c r="R114" s="16" t="n">
        <v>536.6</v>
      </c>
      <c r="S114" s="16" t="n">
        <v>536.6</v>
      </c>
      <c r="T114" s="16" t="n">
        <v>536.6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CANON-202508-000153</t>
        </is>
      </c>
      <c r="B115" s="3" t="inlineStr">
        <is>
          <t>2025-08-13</t>
        </is>
      </c>
      <c r="C115" s="3" t="inlineStr">
        <is>
          <t>Mireille Okonkwo</t>
        </is>
      </c>
      <c r="D115" s="3" t="inlineStr">
        <is>
          <t>NY</t>
        </is>
      </c>
      <c r="E115" s="14" t="n">
        <v>380000</v>
      </c>
      <c r="F115" s="14" t="n">
        <v>4405.13</v>
      </c>
      <c r="G115" s="14" t="n">
        <v>550.64</v>
      </c>
      <c r="H115" s="14" t="n">
        <v>550.64</v>
      </c>
      <c r="I115" s="14">
        <f>SUM(K115:T115)</f>
        <v/>
      </c>
      <c r="J115" s="14">
        <f>F115-(G115+H115+I115)</f>
        <v/>
      </c>
      <c r="K115" s="14" t="n">
        <v>330.38</v>
      </c>
      <c r="L115" s="14" t="n">
        <v>330.38</v>
      </c>
      <c r="M115" s="14" t="n">
        <v>330.38</v>
      </c>
      <c r="N115" s="14" t="n">
        <v>330.38</v>
      </c>
      <c r="O115" s="14" t="n">
        <v>330.38</v>
      </c>
      <c r="P115" s="14" t="n">
        <v>330.38</v>
      </c>
      <c r="Q115" s="14" t="n">
        <v>330.38</v>
      </c>
      <c r="R115" s="14" t="n">
        <v>330.38</v>
      </c>
      <c r="S115" s="14" t="n">
        <v>330.38</v>
      </c>
      <c r="T115" s="14" t="n">
        <v>330.38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CANON-202508-000155</t>
        </is>
      </c>
      <c r="B116" s="15" t="inlineStr">
        <is>
          <t>2025-08-22</t>
        </is>
      </c>
      <c r="C116" s="15" t="inlineStr">
        <is>
          <t>Wilhelmina Fairweather</t>
        </is>
      </c>
      <c r="D116" s="15" t="inlineStr">
        <is>
          <t>NY</t>
        </is>
      </c>
      <c r="E116" s="16" t="n">
        <v>590000</v>
      </c>
      <c r="F116" s="16" t="n">
        <v>9261.889999999999</v>
      </c>
      <c r="G116" s="16" t="n">
        <v>1157.74</v>
      </c>
      <c r="H116" s="16" t="n">
        <v>1157.74</v>
      </c>
      <c r="I116" s="16">
        <f>SUM(K116:T116)</f>
        <v/>
      </c>
      <c r="J116" s="16">
        <f>F116-(G116+H116+I116)</f>
        <v/>
      </c>
      <c r="K116" s="16" t="n">
        <v>694.64</v>
      </c>
      <c r="L116" s="16" t="n">
        <v>694.64</v>
      </c>
      <c r="M116" s="16" t="n">
        <v>694.64</v>
      </c>
      <c r="N116" s="16" t="n">
        <v>694.64</v>
      </c>
      <c r="O116" s="16" t="n">
        <v>694.64</v>
      </c>
      <c r="P116" s="16" t="n">
        <v>694.64</v>
      </c>
      <c r="Q116" s="16" t="n">
        <v>694.64</v>
      </c>
      <c r="R116" s="16" t="n">
        <v>694.64</v>
      </c>
      <c r="S116" s="16" t="n">
        <v>694.64</v>
      </c>
      <c r="T116" s="16" t="n">
        <v>694.64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CANON-202508-000156</t>
        </is>
      </c>
      <c r="B117" s="3" t="inlineStr">
        <is>
          <t>2025-08-26</t>
        </is>
      </c>
      <c r="C117" s="3" t="inlineStr">
        <is>
          <t>Marisol Okonkwo</t>
        </is>
      </c>
      <c r="D117" s="3" t="inlineStr">
        <is>
          <t>TX</t>
        </is>
      </c>
      <c r="E117" s="14" t="n">
        <v>590000</v>
      </c>
      <c r="F117" s="14" t="n">
        <v>8321.23</v>
      </c>
      <c r="G117" s="14" t="n">
        <v>1040.15</v>
      </c>
      <c r="H117" s="14" t="n">
        <v>1040.15</v>
      </c>
      <c r="I117" s="14">
        <f>SUM(K117:T117)</f>
        <v/>
      </c>
      <c r="J117" s="14">
        <f>F117-(G117+H117+I117)</f>
        <v/>
      </c>
      <c r="K117" s="14" t="n">
        <v>624.09</v>
      </c>
      <c r="L117" s="14" t="n">
        <v>624.09</v>
      </c>
      <c r="M117" s="14" t="n">
        <v>624.09</v>
      </c>
      <c r="N117" s="14" t="n">
        <v>624.09</v>
      </c>
      <c r="O117" s="14" t="n">
        <v>624.09</v>
      </c>
      <c r="P117" s="14" t="n">
        <v>624.09</v>
      </c>
      <c r="Q117" s="14" t="n">
        <v>624.09</v>
      </c>
      <c r="R117" s="14" t="n">
        <v>624.09</v>
      </c>
      <c r="S117" s="14" t="n">
        <v>624.09</v>
      </c>
      <c r="T117" s="14" t="n">
        <v>624.09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CANON-202508-000157</t>
        </is>
      </c>
      <c r="B118" s="15" t="inlineStr">
        <is>
          <t>2025-08-09</t>
        </is>
      </c>
      <c r="C118" s="15" t="inlineStr">
        <is>
          <t>Sunniva Larsson</t>
        </is>
      </c>
      <c r="D118" s="15" t="inlineStr">
        <is>
          <t>OK</t>
        </is>
      </c>
      <c r="E118" s="16" t="n">
        <v>285000</v>
      </c>
      <c r="F118" s="16" t="n">
        <v>5081.6</v>
      </c>
      <c r="G118" s="16" t="n">
        <v>635.2</v>
      </c>
      <c r="H118" s="16" t="n">
        <v>635.2</v>
      </c>
      <c r="I118" s="16">
        <f>SUM(K118:T118)</f>
        <v/>
      </c>
      <c r="J118" s="16">
        <f>F118-(G118+H118+I118)</f>
        <v/>
      </c>
      <c r="K118" s="16" t="n">
        <v>381.12</v>
      </c>
      <c r="L118" s="16" t="n">
        <v>381.12</v>
      </c>
      <c r="M118" s="16" t="n">
        <v>381.12</v>
      </c>
      <c r="N118" s="16" t="n">
        <v>381.12</v>
      </c>
      <c r="O118" s="16" t="n">
        <v>381.12</v>
      </c>
      <c r="P118" s="16" t="n">
        <v>381.12</v>
      </c>
      <c r="Q118" s="16" t="n">
        <v>381.12</v>
      </c>
      <c r="R118" s="16" t="n">
        <v>381.12</v>
      </c>
      <c r="S118" s="16" t="n">
        <v>381.12</v>
      </c>
      <c r="T118" s="16" t="n">
        <v>381.12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CANON-202508-000158</t>
        </is>
      </c>
      <c r="B119" s="3" t="inlineStr">
        <is>
          <t>2025-08-10</t>
        </is>
      </c>
      <c r="C119" s="3" t="inlineStr">
        <is>
          <t>Marisol Harrington</t>
        </is>
      </c>
      <c r="D119" s="3" t="inlineStr">
        <is>
          <t>OR</t>
        </is>
      </c>
      <c r="E119" s="14" t="n">
        <v>515000</v>
      </c>
      <c r="F119" s="14" t="n">
        <v>4172.47</v>
      </c>
      <c r="G119" s="14" t="n">
        <v>521.5599999999999</v>
      </c>
      <c r="H119" s="14" t="n">
        <v>521.5599999999999</v>
      </c>
      <c r="I119" s="14">
        <f>SUM(K119:T119)</f>
        <v/>
      </c>
      <c r="J119" s="14">
        <f>F119-(G119+H119+I119)</f>
        <v/>
      </c>
      <c r="K119" s="14" t="n">
        <v>312.94</v>
      </c>
      <c r="L119" s="14" t="n">
        <v>312.94</v>
      </c>
      <c r="M119" s="14" t="n">
        <v>312.94</v>
      </c>
      <c r="N119" s="14" t="n">
        <v>312.94</v>
      </c>
      <c r="O119" s="14" t="n">
        <v>312.94</v>
      </c>
      <c r="P119" s="14" t="n">
        <v>312.94</v>
      </c>
      <c r="Q119" s="14" t="n">
        <v>312.94</v>
      </c>
      <c r="R119" s="14" t="n">
        <v>312.94</v>
      </c>
      <c r="S119" s="14" t="n">
        <v>312.94</v>
      </c>
      <c r="T119" s="14" t="n">
        <v>312.94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CANON-202508-000160</t>
        </is>
      </c>
      <c r="B120" s="15" t="inlineStr">
        <is>
          <t>2025-08-06</t>
        </is>
      </c>
      <c r="C120" s="15" t="inlineStr">
        <is>
          <t>Emiliano Vandermeer</t>
        </is>
      </c>
      <c r="D120" s="15" t="inlineStr">
        <is>
          <t>NY</t>
        </is>
      </c>
      <c r="E120" s="16" t="n">
        <v>405000</v>
      </c>
      <c r="F120" s="16" t="n">
        <v>4694.94</v>
      </c>
      <c r="G120" s="16" t="n">
        <v>586.87</v>
      </c>
      <c r="H120" s="16" t="n">
        <v>586.87</v>
      </c>
      <c r="I120" s="16">
        <f>SUM(K120:T120)</f>
        <v/>
      </c>
      <c r="J120" s="16">
        <f>F120-(G120+H120+I120)</f>
        <v/>
      </c>
      <c r="K120" s="16" t="n">
        <v>352.12</v>
      </c>
      <c r="L120" s="16" t="n">
        <v>352.12</v>
      </c>
      <c r="M120" s="16" t="n">
        <v>352.12</v>
      </c>
      <c r="N120" s="16" t="n">
        <v>352.12</v>
      </c>
      <c r="O120" s="16" t="n">
        <v>352.12</v>
      </c>
      <c r="P120" s="16" t="n">
        <v>352.12</v>
      </c>
      <c r="Q120" s="16" t="n">
        <v>352.12</v>
      </c>
      <c r="R120" s="16" t="n">
        <v>352.12</v>
      </c>
      <c r="S120" s="16" t="n">
        <v>352.12</v>
      </c>
      <c r="T120" s="16" t="n">
        <v>352.12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CANON-202508-000161</t>
        </is>
      </c>
      <c r="B121" s="3" t="inlineStr">
        <is>
          <t>2025-08-03</t>
        </is>
      </c>
      <c r="C121" s="3" t="inlineStr">
        <is>
          <t>Delphine Castellanos</t>
        </is>
      </c>
      <c r="D121" s="3" t="inlineStr">
        <is>
          <t>IN</t>
        </is>
      </c>
      <c r="E121" s="14" t="n">
        <v>1595000</v>
      </c>
      <c r="F121" s="14" t="n">
        <v>20358.82</v>
      </c>
      <c r="G121" s="14" t="n">
        <v>2544.85</v>
      </c>
      <c r="H121" s="14" t="n">
        <v>2544.85</v>
      </c>
      <c r="I121" s="14">
        <f>SUM(K121:T121)</f>
        <v/>
      </c>
      <c r="J121" s="14">
        <f>F121-(G121+H121+I121)</f>
        <v/>
      </c>
      <c r="K121" s="14" t="n">
        <v>1526.91</v>
      </c>
      <c r="L121" s="14" t="n">
        <v>1526.91</v>
      </c>
      <c r="M121" s="14" t="n">
        <v>1526.91</v>
      </c>
      <c r="N121" s="14" t="n">
        <v>1526.91</v>
      </c>
      <c r="O121" s="14" t="n">
        <v>1526.91</v>
      </c>
      <c r="P121" s="14" t="n">
        <v>1526.91</v>
      </c>
      <c r="Q121" s="14" t="n">
        <v>1526.91</v>
      </c>
      <c r="R121" s="14" t="n">
        <v>1526.91</v>
      </c>
      <c r="S121" s="14" t="n">
        <v>1526.91</v>
      </c>
      <c r="T121" s="14" t="n">
        <v>1526.91</v>
      </c>
      <c r="U121" s="14" t="n">
        <v>350</v>
      </c>
      <c r="V121" s="14" t="n">
        <v>250</v>
      </c>
      <c r="W121" s="14">
        <f>U121+V121</f>
        <v/>
      </c>
    </row>
    <row r="122">
      <c r="A122" s="15" t="inlineStr">
        <is>
          <t>CANON-202508-000162</t>
        </is>
      </c>
      <c r="B122" s="15" t="inlineStr">
        <is>
          <t>2025-08-07</t>
        </is>
      </c>
      <c r="C122" s="15" t="inlineStr">
        <is>
          <t>Desmond Blackwood</t>
        </is>
      </c>
      <c r="D122" s="15" t="inlineStr">
        <is>
          <t>FL</t>
        </is>
      </c>
      <c r="E122" s="16" t="n">
        <v>325000</v>
      </c>
      <c r="F122" s="16" t="n">
        <v>10013.68</v>
      </c>
      <c r="G122" s="16" t="n">
        <v>1251.71</v>
      </c>
      <c r="H122" s="16" t="n">
        <v>1251.71</v>
      </c>
      <c r="I122" s="16">
        <f>SUM(K122:T122)</f>
        <v/>
      </c>
      <c r="J122" s="16">
        <f>F122-(G122+H122+I122)</f>
        <v/>
      </c>
      <c r="K122" s="16" t="n">
        <v>751.03</v>
      </c>
      <c r="L122" s="16" t="n">
        <v>751.03</v>
      </c>
      <c r="M122" s="16" t="n">
        <v>751.03</v>
      </c>
      <c r="N122" s="16" t="n">
        <v>751.03</v>
      </c>
      <c r="O122" s="16" t="n">
        <v>751.03</v>
      </c>
      <c r="P122" s="16" t="n">
        <v>751.03</v>
      </c>
      <c r="Q122" s="16" t="n">
        <v>751.03</v>
      </c>
      <c r="R122" s="16" t="n">
        <v>751.03</v>
      </c>
      <c r="S122" s="16" t="n">
        <v>751.03</v>
      </c>
      <c r="T122" s="16" t="n">
        <v>751.03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CANON-202508-000163</t>
        </is>
      </c>
      <c r="B123" s="3" t="inlineStr">
        <is>
          <t>2025-08-15</t>
        </is>
      </c>
      <c r="C123" s="3" t="inlineStr">
        <is>
          <t>Delphine Underwood</t>
        </is>
      </c>
      <c r="D123" s="3" t="inlineStr">
        <is>
          <t>VT</t>
        </is>
      </c>
      <c r="E123" s="14" t="n">
        <v>1265000</v>
      </c>
      <c r="F123" s="14" t="n">
        <v>16015.38</v>
      </c>
      <c r="G123" s="14" t="n">
        <v>2001.92</v>
      </c>
      <c r="H123" s="14" t="n">
        <v>2001.92</v>
      </c>
      <c r="I123" s="14">
        <f>SUM(K123:T123)</f>
        <v/>
      </c>
      <c r="J123" s="14">
        <f>F123-(G123+H123+I123)</f>
        <v/>
      </c>
      <c r="K123" s="14" t="n">
        <v>1201.15</v>
      </c>
      <c r="L123" s="14" t="n">
        <v>1201.15</v>
      </c>
      <c r="M123" s="14" t="n">
        <v>1201.15</v>
      </c>
      <c r="N123" s="14" t="n">
        <v>1201.15</v>
      </c>
      <c r="O123" s="14" t="n">
        <v>1201.15</v>
      </c>
      <c r="P123" s="14" t="n">
        <v>1201.15</v>
      </c>
      <c r="Q123" s="14" t="n">
        <v>1201.15</v>
      </c>
      <c r="R123" s="14" t="n">
        <v>1201.15</v>
      </c>
      <c r="S123" s="14" t="n">
        <v>1201.15</v>
      </c>
      <c r="T123" s="14" t="n">
        <v>1201.15</v>
      </c>
      <c r="U123" s="14" t="n">
        <v>350</v>
      </c>
      <c r="V123" s="14" t="n">
        <v>250</v>
      </c>
      <c r="W123" s="14">
        <f>U123+V123</f>
        <v/>
      </c>
    </row>
    <row r="124">
      <c r="A124" s="15" t="inlineStr">
        <is>
          <t>CANON-202508-000164</t>
        </is>
      </c>
      <c r="B124" s="15" t="inlineStr">
        <is>
          <t>2025-08-06</t>
        </is>
      </c>
      <c r="C124" s="15" t="inlineStr">
        <is>
          <t>Thaddeus Bellandi</t>
        </is>
      </c>
      <c r="D124" s="15" t="inlineStr">
        <is>
          <t>MA</t>
        </is>
      </c>
      <c r="E124" s="16" t="n">
        <v>645000</v>
      </c>
      <c r="F124" s="16" t="n">
        <v>9887.969999999999</v>
      </c>
      <c r="G124" s="16" t="n">
        <v>1236</v>
      </c>
      <c r="H124" s="16" t="n">
        <v>1236</v>
      </c>
      <c r="I124" s="16">
        <f>SUM(K124:T124)</f>
        <v/>
      </c>
      <c r="J124" s="16">
        <f>F124-(G124+H124+I124)</f>
        <v/>
      </c>
      <c r="K124" s="16" t="n">
        <v>741.6</v>
      </c>
      <c r="L124" s="16" t="n">
        <v>741.6</v>
      </c>
      <c r="M124" s="16" t="n">
        <v>741.6</v>
      </c>
      <c r="N124" s="16" t="n">
        <v>741.6</v>
      </c>
      <c r="O124" s="16" t="n">
        <v>741.6</v>
      </c>
      <c r="P124" s="16" t="n">
        <v>741.6</v>
      </c>
      <c r="Q124" s="16" t="n">
        <v>741.6</v>
      </c>
      <c r="R124" s="16" t="n">
        <v>741.6</v>
      </c>
      <c r="S124" s="16" t="n">
        <v>741.6</v>
      </c>
      <c r="T124" s="16" t="n">
        <v>741.6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CANON-202508-000165</t>
        </is>
      </c>
      <c r="B125" s="3" t="inlineStr">
        <is>
          <t>2025-08-20</t>
        </is>
      </c>
      <c r="C125" s="3" t="inlineStr">
        <is>
          <t>Saoirse Kingsford</t>
        </is>
      </c>
      <c r="D125" s="3" t="inlineStr">
        <is>
          <t>MN</t>
        </is>
      </c>
      <c r="E125" s="14" t="n">
        <v>735000</v>
      </c>
      <c r="F125" s="14" t="n">
        <v>17390.38</v>
      </c>
      <c r="G125" s="14" t="n">
        <v>2173.8</v>
      </c>
      <c r="H125" s="14" t="n">
        <v>2173.8</v>
      </c>
      <c r="I125" s="14">
        <f>SUM(K125:T125)</f>
        <v/>
      </c>
      <c r="J125" s="14">
        <f>F125-(G125+H125+I125)</f>
        <v/>
      </c>
      <c r="K125" s="14" t="n">
        <v>1304.28</v>
      </c>
      <c r="L125" s="14" t="n">
        <v>1304.28</v>
      </c>
      <c r="M125" s="14" t="n">
        <v>1304.28</v>
      </c>
      <c r="N125" s="14" t="n">
        <v>1304.28</v>
      </c>
      <c r="O125" s="14" t="n">
        <v>1304.28</v>
      </c>
      <c r="P125" s="14" t="n">
        <v>1304.28</v>
      </c>
      <c r="Q125" s="14" t="n">
        <v>1304.28</v>
      </c>
      <c r="R125" s="14" t="n">
        <v>1304.28</v>
      </c>
      <c r="S125" s="14" t="n">
        <v>1304.28</v>
      </c>
      <c r="T125" s="14" t="n">
        <v>1304.28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CANON-202508-000166</t>
        </is>
      </c>
      <c r="B126" s="15" t="inlineStr">
        <is>
          <t>2025-08-23</t>
        </is>
      </c>
      <c r="C126" s="15" t="inlineStr">
        <is>
          <t>Callum Chattopadhyay</t>
        </is>
      </c>
      <c r="D126" s="15" t="inlineStr">
        <is>
          <t>NE</t>
        </is>
      </c>
      <c r="E126" s="16" t="n">
        <v>960000</v>
      </c>
      <c r="F126" s="16" t="n">
        <v>22369.81</v>
      </c>
      <c r="G126" s="16" t="n">
        <v>2796.23</v>
      </c>
      <c r="H126" s="16" t="n">
        <v>2796.23</v>
      </c>
      <c r="I126" s="16">
        <f>SUM(K126:T126)</f>
        <v/>
      </c>
      <c r="J126" s="16">
        <f>F126-(G126+H126+I126)</f>
        <v/>
      </c>
      <c r="K126" s="16" t="n">
        <v>1677.74</v>
      </c>
      <c r="L126" s="16" t="n">
        <v>1677.74</v>
      </c>
      <c r="M126" s="16" t="n">
        <v>1677.74</v>
      </c>
      <c r="N126" s="16" t="n">
        <v>1677.74</v>
      </c>
      <c r="O126" s="16" t="n">
        <v>1677.74</v>
      </c>
      <c r="P126" s="16" t="n">
        <v>1677.74</v>
      </c>
      <c r="Q126" s="16" t="n">
        <v>1677.74</v>
      </c>
      <c r="R126" s="16" t="n">
        <v>1677.74</v>
      </c>
      <c r="S126" s="16" t="n">
        <v>1677.74</v>
      </c>
      <c r="T126" s="16" t="n">
        <v>1677.74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CANON-202508-000167</t>
        </is>
      </c>
      <c r="B127" s="3" t="inlineStr">
        <is>
          <t>2025-08-15</t>
        </is>
      </c>
      <c r="C127" s="3" t="inlineStr">
        <is>
          <t>Leopold Kingsford</t>
        </is>
      </c>
      <c r="D127" s="3" t="inlineStr">
        <is>
          <t>WA</t>
        </is>
      </c>
      <c r="E127" s="14" t="n">
        <v>620000</v>
      </c>
      <c r="F127" s="14" t="n">
        <v>7299.62</v>
      </c>
      <c r="G127" s="14" t="n">
        <v>912.45</v>
      </c>
      <c r="H127" s="14" t="n">
        <v>912.45</v>
      </c>
      <c r="I127" s="14">
        <f>SUM(K127:T127)</f>
        <v/>
      </c>
      <c r="J127" s="14">
        <f>F127-(G127+H127+I127)</f>
        <v/>
      </c>
      <c r="K127" s="14" t="n">
        <v>547.47</v>
      </c>
      <c r="L127" s="14" t="n">
        <v>547.47</v>
      </c>
      <c r="M127" s="14" t="n">
        <v>547.47</v>
      </c>
      <c r="N127" s="14" t="n">
        <v>547.47</v>
      </c>
      <c r="O127" s="14" t="n">
        <v>547.47</v>
      </c>
      <c r="P127" s="14" t="n">
        <v>547.47</v>
      </c>
      <c r="Q127" s="14" t="n">
        <v>547.47</v>
      </c>
      <c r="R127" s="14" t="n">
        <v>547.47</v>
      </c>
      <c r="S127" s="14" t="n">
        <v>547.47</v>
      </c>
      <c r="T127" s="14" t="n">
        <v>547.47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CANON-202508-000168</t>
        </is>
      </c>
      <c r="B128" s="15" t="inlineStr">
        <is>
          <t>2025-08-15</t>
        </is>
      </c>
      <c r="C128" s="15" t="inlineStr">
        <is>
          <t>Marisol Bellandi</t>
        </is>
      </c>
      <c r="D128" s="15" t="inlineStr">
        <is>
          <t>OK</t>
        </is>
      </c>
      <c r="E128" s="16" t="n">
        <v>1115000</v>
      </c>
      <c r="F128" s="16" t="n">
        <v>10072.87</v>
      </c>
      <c r="G128" s="16" t="n">
        <v>1259.11</v>
      </c>
      <c r="H128" s="16" t="n">
        <v>1259.11</v>
      </c>
      <c r="I128" s="16">
        <f>SUM(K128:T128)</f>
        <v/>
      </c>
      <c r="J128" s="16">
        <f>F128-(G128+H128+I128)</f>
        <v/>
      </c>
      <c r="K128" s="16" t="n">
        <v>755.47</v>
      </c>
      <c r="L128" s="16" t="n">
        <v>755.47</v>
      </c>
      <c r="M128" s="16" t="n">
        <v>755.47</v>
      </c>
      <c r="N128" s="16" t="n">
        <v>755.47</v>
      </c>
      <c r="O128" s="16" t="n">
        <v>755.47</v>
      </c>
      <c r="P128" s="16" t="n">
        <v>755.47</v>
      </c>
      <c r="Q128" s="16" t="n">
        <v>755.47</v>
      </c>
      <c r="R128" s="16" t="n">
        <v>755.47</v>
      </c>
      <c r="S128" s="16" t="n">
        <v>755.47</v>
      </c>
      <c r="T128" s="16" t="n">
        <v>755.47</v>
      </c>
      <c r="U128" s="16" t="n">
        <v>350</v>
      </c>
      <c r="V128" s="16" t="n">
        <v>250</v>
      </c>
      <c r="W128" s="16">
        <f>U128+V128</f>
        <v/>
      </c>
    </row>
    <row r="129">
      <c r="A129" s="3" t="inlineStr">
        <is>
          <t>CANON-202508-000169</t>
        </is>
      </c>
      <c r="B129" s="3" t="inlineStr">
        <is>
          <t>2025-08-13</t>
        </is>
      </c>
      <c r="C129" s="3" t="inlineStr">
        <is>
          <t>Aurelio Fairweather</t>
        </is>
      </c>
      <c r="D129" s="3" t="inlineStr">
        <is>
          <t>ND</t>
        </is>
      </c>
      <c r="E129" s="14" t="n">
        <v>1080000</v>
      </c>
      <c r="F129" s="14" t="n">
        <v>11431.7</v>
      </c>
      <c r="G129" s="14" t="n">
        <v>1428.96</v>
      </c>
      <c r="H129" s="14" t="n">
        <v>1428.96</v>
      </c>
      <c r="I129" s="14">
        <f>SUM(K129:T129)</f>
        <v/>
      </c>
      <c r="J129" s="14">
        <f>F129-(G129+H129+I129)</f>
        <v/>
      </c>
      <c r="K129" s="14" t="n">
        <v>857.38</v>
      </c>
      <c r="L129" s="14" t="n">
        <v>857.38</v>
      </c>
      <c r="M129" s="14" t="n">
        <v>857.38</v>
      </c>
      <c r="N129" s="14" t="n">
        <v>857.38</v>
      </c>
      <c r="O129" s="14" t="n">
        <v>857.38</v>
      </c>
      <c r="P129" s="14" t="n">
        <v>857.38</v>
      </c>
      <c r="Q129" s="14" t="n">
        <v>857.38</v>
      </c>
      <c r="R129" s="14" t="n">
        <v>857.38</v>
      </c>
      <c r="S129" s="14" t="n">
        <v>857.38</v>
      </c>
      <c r="T129" s="14" t="n">
        <v>857.38</v>
      </c>
      <c r="U129" s="14" t="n">
        <v>350</v>
      </c>
      <c r="V129" s="14" t="n">
        <v>250</v>
      </c>
      <c r="W129" s="14">
        <f>U129+V129</f>
        <v/>
      </c>
    </row>
    <row r="130">
      <c r="A130" s="15" t="inlineStr">
        <is>
          <t>CANON-202508-000170</t>
        </is>
      </c>
      <c r="B130" s="15" t="inlineStr">
        <is>
          <t>2025-08-13</t>
        </is>
      </c>
      <c r="C130" s="15" t="inlineStr">
        <is>
          <t>Marisol Blackwood</t>
        </is>
      </c>
      <c r="D130" s="15" t="inlineStr">
        <is>
          <t>SC</t>
        </is>
      </c>
      <c r="E130" s="16" t="n">
        <v>1205000</v>
      </c>
      <c r="F130" s="16" t="n">
        <v>15505.85</v>
      </c>
      <c r="G130" s="16" t="n">
        <v>1938.23</v>
      </c>
      <c r="H130" s="16" t="n">
        <v>1938.23</v>
      </c>
      <c r="I130" s="16">
        <f>SUM(K130:T130)</f>
        <v/>
      </c>
      <c r="J130" s="16">
        <f>F130-(G130+H130+I130)</f>
        <v/>
      </c>
      <c r="K130" s="16" t="n">
        <v>1162.94</v>
      </c>
      <c r="L130" s="16" t="n">
        <v>1162.94</v>
      </c>
      <c r="M130" s="16" t="n">
        <v>1162.94</v>
      </c>
      <c r="N130" s="16" t="n">
        <v>1162.94</v>
      </c>
      <c r="O130" s="16" t="n">
        <v>1162.94</v>
      </c>
      <c r="P130" s="16" t="n">
        <v>1162.94</v>
      </c>
      <c r="Q130" s="16" t="n">
        <v>1162.94</v>
      </c>
      <c r="R130" s="16" t="n">
        <v>1162.94</v>
      </c>
      <c r="S130" s="16" t="n">
        <v>1162.94</v>
      </c>
      <c r="T130" s="16" t="n">
        <v>1162.94</v>
      </c>
      <c r="U130" s="16" t="n">
        <v>350</v>
      </c>
      <c r="V130" s="16" t="n">
        <v>250</v>
      </c>
      <c r="W130" s="16">
        <f>U130+V130</f>
        <v/>
      </c>
    </row>
    <row r="131">
      <c r="A131" s="3" t="inlineStr">
        <is>
          <t>CANON-202508-000171</t>
        </is>
      </c>
      <c r="B131" s="3" t="inlineStr">
        <is>
          <t>2025-08-13</t>
        </is>
      </c>
      <c r="C131" s="3" t="inlineStr">
        <is>
          <t>Cassius Farkas</t>
        </is>
      </c>
      <c r="D131" s="3" t="inlineStr">
        <is>
          <t>ND</t>
        </is>
      </c>
      <c r="E131" s="14" t="n">
        <v>1205000</v>
      </c>
      <c r="F131" s="14" t="n">
        <v>12754.81</v>
      </c>
      <c r="G131" s="14" t="n">
        <v>1594.35</v>
      </c>
      <c r="H131" s="14" t="n">
        <v>1594.35</v>
      </c>
      <c r="I131" s="14">
        <f>SUM(K131:T131)</f>
        <v/>
      </c>
      <c r="J131" s="14">
        <f>F131-(G131+H131+I131)</f>
        <v/>
      </c>
      <c r="K131" s="14" t="n">
        <v>956.61</v>
      </c>
      <c r="L131" s="14" t="n">
        <v>956.61</v>
      </c>
      <c r="M131" s="14" t="n">
        <v>956.61</v>
      </c>
      <c r="N131" s="14" t="n">
        <v>956.61</v>
      </c>
      <c r="O131" s="14" t="n">
        <v>956.61</v>
      </c>
      <c r="P131" s="14" t="n">
        <v>956.61</v>
      </c>
      <c r="Q131" s="14" t="n">
        <v>956.61</v>
      </c>
      <c r="R131" s="14" t="n">
        <v>956.61</v>
      </c>
      <c r="S131" s="14" t="n">
        <v>956.61</v>
      </c>
      <c r="T131" s="14" t="n">
        <v>956.61</v>
      </c>
      <c r="U131" s="14" t="n">
        <v>350</v>
      </c>
      <c r="V131" s="14" t="n">
        <v>250</v>
      </c>
      <c r="W131" s="14">
        <f>U131+V131</f>
        <v/>
      </c>
    </row>
    <row r="132">
      <c r="A132" s="15" t="inlineStr">
        <is>
          <t>CANON-202508-000172</t>
        </is>
      </c>
      <c r="B132" s="15" t="inlineStr">
        <is>
          <t>2025-08-20</t>
        </is>
      </c>
      <c r="C132" s="15" t="inlineStr">
        <is>
          <t>Sunniva Whitlock</t>
        </is>
      </c>
      <c r="D132" s="15" t="inlineStr">
        <is>
          <t>KY</t>
        </is>
      </c>
      <c r="E132" s="16" t="n">
        <v>310000</v>
      </c>
      <c r="F132" s="16" t="n">
        <v>5878.3</v>
      </c>
      <c r="G132" s="16" t="n">
        <v>734.79</v>
      </c>
      <c r="H132" s="16" t="n">
        <v>734.79</v>
      </c>
      <c r="I132" s="16">
        <f>SUM(K132:T132)</f>
        <v/>
      </c>
      <c r="J132" s="16">
        <f>F132-(G132+H132+I132)</f>
        <v/>
      </c>
      <c r="K132" s="16" t="n">
        <v>440.87</v>
      </c>
      <c r="L132" s="16" t="n">
        <v>440.87</v>
      </c>
      <c r="M132" s="16" t="n">
        <v>440.87</v>
      </c>
      <c r="N132" s="16" t="n">
        <v>440.87</v>
      </c>
      <c r="O132" s="16" t="n">
        <v>440.87</v>
      </c>
      <c r="P132" s="16" t="n">
        <v>440.87</v>
      </c>
      <c r="Q132" s="16" t="n">
        <v>440.87</v>
      </c>
      <c r="R132" s="16" t="n">
        <v>440.87</v>
      </c>
      <c r="S132" s="16" t="n">
        <v>440.87</v>
      </c>
      <c r="T132" s="16" t="n">
        <v>440.87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CANON-202508-000173</t>
        </is>
      </c>
      <c r="B133" s="3" t="inlineStr">
        <is>
          <t>2025-08-17</t>
        </is>
      </c>
      <c r="C133" s="3" t="inlineStr">
        <is>
          <t>Ingrid Pennington</t>
        </is>
      </c>
      <c r="D133" s="3" t="inlineStr">
        <is>
          <t>CT</t>
        </is>
      </c>
      <c r="E133" s="14" t="n">
        <v>790000</v>
      </c>
      <c r="F133" s="14" t="n">
        <v>15859.62</v>
      </c>
      <c r="G133" s="14" t="n">
        <v>1982.45</v>
      </c>
      <c r="H133" s="14" t="n">
        <v>1982.45</v>
      </c>
      <c r="I133" s="14">
        <f>SUM(K133:T133)</f>
        <v/>
      </c>
      <c r="J133" s="14">
        <f>F133-(G133+H133+I133)</f>
        <v/>
      </c>
      <c r="K133" s="14" t="n">
        <v>1189.47</v>
      </c>
      <c r="L133" s="14" t="n">
        <v>1189.47</v>
      </c>
      <c r="M133" s="14" t="n">
        <v>1189.47</v>
      </c>
      <c r="N133" s="14" t="n">
        <v>1189.47</v>
      </c>
      <c r="O133" s="14" t="n">
        <v>1189.47</v>
      </c>
      <c r="P133" s="14" t="n">
        <v>1189.47</v>
      </c>
      <c r="Q133" s="14" t="n">
        <v>1189.47</v>
      </c>
      <c r="R133" s="14" t="n">
        <v>1189.47</v>
      </c>
      <c r="S133" s="14" t="n">
        <v>1189.47</v>
      </c>
      <c r="T133" s="14" t="n">
        <v>1189.47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CANON-202508-000174</t>
        </is>
      </c>
      <c r="B134" s="15" t="inlineStr">
        <is>
          <t>2025-08-28</t>
        </is>
      </c>
      <c r="C134" s="15" t="inlineStr">
        <is>
          <t>Noor Vasquez</t>
        </is>
      </c>
      <c r="D134" s="15" t="inlineStr">
        <is>
          <t>GA</t>
        </is>
      </c>
      <c r="E134" s="16" t="n">
        <v>310000</v>
      </c>
      <c r="F134" s="16" t="n">
        <v>4913.21</v>
      </c>
      <c r="G134" s="16" t="n">
        <v>614.15</v>
      </c>
      <c r="H134" s="16" t="n">
        <v>614.15</v>
      </c>
      <c r="I134" s="16">
        <f>SUM(K134:T134)</f>
        <v/>
      </c>
      <c r="J134" s="16">
        <f>F134-(G134+H134+I134)</f>
        <v/>
      </c>
      <c r="K134" s="16" t="n">
        <v>368.49</v>
      </c>
      <c r="L134" s="16" t="n">
        <v>368.49</v>
      </c>
      <c r="M134" s="16" t="n">
        <v>368.49</v>
      </c>
      <c r="N134" s="16" t="n">
        <v>368.49</v>
      </c>
      <c r="O134" s="16" t="n">
        <v>368.49</v>
      </c>
      <c r="P134" s="16" t="n">
        <v>368.49</v>
      </c>
      <c r="Q134" s="16" t="n">
        <v>368.49</v>
      </c>
      <c r="R134" s="16" t="n">
        <v>368.49</v>
      </c>
      <c r="S134" s="16" t="n">
        <v>368.49</v>
      </c>
      <c r="T134" s="16" t="n">
        <v>368.49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CANON-202508-000175</t>
        </is>
      </c>
      <c r="B135" s="3" t="inlineStr">
        <is>
          <t>2025-08-18</t>
        </is>
      </c>
      <c r="C135" s="3" t="inlineStr">
        <is>
          <t>Leopold Chattopadhyay</t>
        </is>
      </c>
      <c r="D135" s="3" t="inlineStr">
        <is>
          <t>FL</t>
        </is>
      </c>
      <c r="E135" s="14" t="n">
        <v>485000</v>
      </c>
      <c r="F135" s="14" t="n">
        <v>6237.28</v>
      </c>
      <c r="G135" s="14" t="n">
        <v>779.66</v>
      </c>
      <c r="H135" s="14" t="n">
        <v>779.66</v>
      </c>
      <c r="I135" s="14">
        <f>SUM(K135:T135)</f>
        <v/>
      </c>
      <c r="J135" s="14">
        <f>F135-(G135+H135+I135)</f>
        <v/>
      </c>
      <c r="K135" s="14" t="n">
        <v>467.8</v>
      </c>
      <c r="L135" s="14" t="n">
        <v>467.8</v>
      </c>
      <c r="M135" s="14" t="n">
        <v>467.8</v>
      </c>
      <c r="N135" s="14" t="n">
        <v>467.8</v>
      </c>
      <c r="O135" s="14" t="n">
        <v>467.8</v>
      </c>
      <c r="P135" s="14" t="n">
        <v>467.8</v>
      </c>
      <c r="Q135" s="14" t="n">
        <v>467.8</v>
      </c>
      <c r="R135" s="14" t="n">
        <v>467.8</v>
      </c>
      <c r="S135" s="14" t="n">
        <v>467.8</v>
      </c>
      <c r="T135" s="14" t="n">
        <v>467.8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CANON-202508-000177</t>
        </is>
      </c>
      <c r="B136" s="15" t="inlineStr">
        <is>
          <t>2025-08-17</t>
        </is>
      </c>
      <c r="C136" s="15" t="inlineStr">
        <is>
          <t>Emiliano Vasquez</t>
        </is>
      </c>
      <c r="D136" s="15" t="inlineStr">
        <is>
          <t>GA</t>
        </is>
      </c>
      <c r="E136" s="16" t="n">
        <v>660000</v>
      </c>
      <c r="F136" s="16" t="n">
        <v>5997.28</v>
      </c>
      <c r="G136" s="16" t="n">
        <v>749.66</v>
      </c>
      <c r="H136" s="16" t="n">
        <v>749.66</v>
      </c>
      <c r="I136" s="16">
        <f>SUM(K136:T136)</f>
        <v/>
      </c>
      <c r="J136" s="16">
        <f>F136-(G136+H136+I136)</f>
        <v/>
      </c>
      <c r="K136" s="16" t="n">
        <v>449.8</v>
      </c>
      <c r="L136" s="16" t="n">
        <v>449.8</v>
      </c>
      <c r="M136" s="16" t="n">
        <v>449.8</v>
      </c>
      <c r="N136" s="16" t="n">
        <v>449.8</v>
      </c>
      <c r="O136" s="16" t="n">
        <v>449.8</v>
      </c>
      <c r="P136" s="16" t="n">
        <v>449.8</v>
      </c>
      <c r="Q136" s="16" t="n">
        <v>449.8</v>
      </c>
      <c r="R136" s="16" t="n">
        <v>449.8</v>
      </c>
      <c r="S136" s="16" t="n">
        <v>449.8</v>
      </c>
      <c r="T136" s="16" t="n">
        <v>449.8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CANON-202508-000178</t>
        </is>
      </c>
      <c r="B137" s="3" t="inlineStr">
        <is>
          <t>2025-08-27</t>
        </is>
      </c>
      <c r="C137" s="3" t="inlineStr">
        <is>
          <t>Emiliano Larsson</t>
        </is>
      </c>
      <c r="D137" s="3" t="inlineStr">
        <is>
          <t>NY</t>
        </is>
      </c>
      <c r="E137" s="14" t="n">
        <v>1900000</v>
      </c>
      <c r="F137" s="14" t="n">
        <v>25237.74</v>
      </c>
      <c r="G137" s="14" t="n">
        <v>3154.72</v>
      </c>
      <c r="H137" s="14" t="n">
        <v>3154.72</v>
      </c>
      <c r="I137" s="14">
        <f>SUM(K137:T137)</f>
        <v/>
      </c>
      <c r="J137" s="14">
        <f>F137-(G137+H137+I137)</f>
        <v/>
      </c>
      <c r="K137" s="14" t="n">
        <v>1892.83</v>
      </c>
      <c r="L137" s="14" t="n">
        <v>1892.83</v>
      </c>
      <c r="M137" s="14" t="n">
        <v>1892.83</v>
      </c>
      <c r="N137" s="14" t="n">
        <v>1892.83</v>
      </c>
      <c r="O137" s="14" t="n">
        <v>1892.83</v>
      </c>
      <c r="P137" s="14" t="n">
        <v>1892.83</v>
      </c>
      <c r="Q137" s="14" t="n">
        <v>1892.83</v>
      </c>
      <c r="R137" s="14" t="n">
        <v>1892.83</v>
      </c>
      <c r="S137" s="14" t="n">
        <v>1892.83</v>
      </c>
      <c r="T137" s="14" t="n">
        <v>1892.83</v>
      </c>
      <c r="U137" s="14" t="n">
        <v>350</v>
      </c>
      <c r="V137" s="14" t="n">
        <v>250</v>
      </c>
      <c r="W137" s="14">
        <f>U137+V137</f>
        <v/>
      </c>
    </row>
    <row r="138">
      <c r="A138" s="15" t="inlineStr">
        <is>
          <t>CANON-202508-000179</t>
        </is>
      </c>
      <c r="B138" s="15" t="inlineStr">
        <is>
          <t>2025-08-09</t>
        </is>
      </c>
      <c r="C138" s="15" t="inlineStr">
        <is>
          <t>Callum Farkas</t>
        </is>
      </c>
      <c r="D138" s="15" t="inlineStr">
        <is>
          <t>VT</t>
        </is>
      </c>
      <c r="E138" s="16" t="n">
        <v>620000</v>
      </c>
      <c r="F138" s="16" t="n">
        <v>9276.6</v>
      </c>
      <c r="G138" s="16" t="n">
        <v>1159.58</v>
      </c>
      <c r="H138" s="16" t="n">
        <v>1159.58</v>
      </c>
      <c r="I138" s="16">
        <f>SUM(K138:T138)</f>
        <v/>
      </c>
      <c r="J138" s="16">
        <f>F138-(G138+H138+I138)</f>
        <v/>
      </c>
      <c r="K138" s="16" t="n">
        <v>695.75</v>
      </c>
      <c r="L138" s="16" t="n">
        <v>695.75</v>
      </c>
      <c r="M138" s="16" t="n">
        <v>695.75</v>
      </c>
      <c r="N138" s="16" t="n">
        <v>695.75</v>
      </c>
      <c r="O138" s="16" t="n">
        <v>695.75</v>
      </c>
      <c r="P138" s="16" t="n">
        <v>695.75</v>
      </c>
      <c r="Q138" s="16" t="n">
        <v>695.75</v>
      </c>
      <c r="R138" s="16" t="n">
        <v>695.75</v>
      </c>
      <c r="S138" s="16" t="n">
        <v>695.75</v>
      </c>
      <c r="T138" s="16" t="n">
        <v>695.75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CANON-202508-000180</t>
        </is>
      </c>
      <c r="B139" s="3" t="inlineStr">
        <is>
          <t>2025-08-15</t>
        </is>
      </c>
      <c r="C139" s="3" t="inlineStr">
        <is>
          <t>Thaddeus Harrington</t>
        </is>
      </c>
      <c r="D139" s="3" t="inlineStr">
        <is>
          <t>PA</t>
        </is>
      </c>
      <c r="E139" s="14" t="n">
        <v>775000</v>
      </c>
      <c r="F139" s="14" t="n">
        <v>9504.719999999999</v>
      </c>
      <c r="G139" s="14" t="n">
        <v>1188.09</v>
      </c>
      <c r="H139" s="14" t="n">
        <v>1188.09</v>
      </c>
      <c r="I139" s="14">
        <f>SUM(K139:T139)</f>
        <v/>
      </c>
      <c r="J139" s="14">
        <f>F139-(G139+H139+I139)</f>
        <v/>
      </c>
      <c r="K139" s="14" t="n">
        <v>712.85</v>
      </c>
      <c r="L139" s="14" t="n">
        <v>712.85</v>
      </c>
      <c r="M139" s="14" t="n">
        <v>712.85</v>
      </c>
      <c r="N139" s="14" t="n">
        <v>712.85</v>
      </c>
      <c r="O139" s="14" t="n">
        <v>712.85</v>
      </c>
      <c r="P139" s="14" t="n">
        <v>712.85</v>
      </c>
      <c r="Q139" s="14" t="n">
        <v>712.85</v>
      </c>
      <c r="R139" s="14" t="n">
        <v>712.85</v>
      </c>
      <c r="S139" s="14" t="n">
        <v>712.85</v>
      </c>
      <c r="T139" s="14" t="n">
        <v>712.85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CANON-202508-000181</t>
        </is>
      </c>
      <c r="B140" s="15" t="inlineStr">
        <is>
          <t>2025-08-07</t>
        </is>
      </c>
      <c r="C140" s="15" t="inlineStr">
        <is>
          <t>Cassius Okonkwo</t>
        </is>
      </c>
      <c r="D140" s="15" t="inlineStr">
        <is>
          <t>NM</t>
        </is>
      </c>
      <c r="E140" s="16" t="n">
        <v>1525000</v>
      </c>
      <c r="F140" s="16" t="n">
        <v>20256.6</v>
      </c>
      <c r="G140" s="16" t="n">
        <v>2532.07</v>
      </c>
      <c r="H140" s="16" t="n">
        <v>2532.07</v>
      </c>
      <c r="I140" s="16">
        <f>SUM(K140:T140)</f>
        <v/>
      </c>
      <c r="J140" s="16">
        <f>F140-(G140+H140+I140)</f>
        <v/>
      </c>
      <c r="K140" s="16" t="n">
        <v>1519.24</v>
      </c>
      <c r="L140" s="16" t="n">
        <v>1519.24</v>
      </c>
      <c r="M140" s="16" t="n">
        <v>1519.24</v>
      </c>
      <c r="N140" s="16" t="n">
        <v>1519.24</v>
      </c>
      <c r="O140" s="16" t="n">
        <v>1519.24</v>
      </c>
      <c r="P140" s="16" t="n">
        <v>1519.24</v>
      </c>
      <c r="Q140" s="16" t="n">
        <v>1519.24</v>
      </c>
      <c r="R140" s="16" t="n">
        <v>1519.24</v>
      </c>
      <c r="S140" s="16" t="n">
        <v>1519.24</v>
      </c>
      <c r="T140" s="16" t="n">
        <v>1519.24</v>
      </c>
      <c r="U140" s="16" t="n">
        <v>350</v>
      </c>
      <c r="V140" s="16" t="n">
        <v>250</v>
      </c>
      <c r="W140" s="16">
        <f>U140+V140</f>
        <v/>
      </c>
    </row>
    <row r="141">
      <c r="A141" s="3" t="inlineStr">
        <is>
          <t>CANON-202508-000182</t>
        </is>
      </c>
      <c r="B141" s="3" t="inlineStr">
        <is>
          <t>2025-08-08</t>
        </is>
      </c>
      <c r="C141" s="3" t="inlineStr">
        <is>
          <t>Callum Vandermeer</t>
        </is>
      </c>
      <c r="D141" s="3" t="inlineStr">
        <is>
          <t>IA</t>
        </is>
      </c>
      <c r="E141" s="14" t="n">
        <v>1315000</v>
      </c>
      <c r="F141" s="14" t="n">
        <v>10371.13</v>
      </c>
      <c r="G141" s="14" t="n">
        <v>1296.39</v>
      </c>
      <c r="H141" s="14" t="n">
        <v>1296.39</v>
      </c>
      <c r="I141" s="14">
        <f>SUM(K141:T141)</f>
        <v/>
      </c>
      <c r="J141" s="14">
        <f>F141-(G141+H141+I141)</f>
        <v/>
      </c>
      <c r="K141" s="14" t="n">
        <v>777.83</v>
      </c>
      <c r="L141" s="14" t="n">
        <v>777.83</v>
      </c>
      <c r="M141" s="14" t="n">
        <v>777.83</v>
      </c>
      <c r="N141" s="14" t="n">
        <v>777.83</v>
      </c>
      <c r="O141" s="14" t="n">
        <v>777.83</v>
      </c>
      <c r="P141" s="14" t="n">
        <v>777.83</v>
      </c>
      <c r="Q141" s="14" t="n">
        <v>777.83</v>
      </c>
      <c r="R141" s="14" t="n">
        <v>777.83</v>
      </c>
      <c r="S141" s="14" t="n">
        <v>777.83</v>
      </c>
      <c r="T141" s="14" t="n">
        <v>777.83</v>
      </c>
      <c r="U141" s="14" t="n">
        <v>350</v>
      </c>
      <c r="V141" s="14" t="n">
        <v>250</v>
      </c>
      <c r="W141" s="14">
        <f>U141+V141</f>
        <v/>
      </c>
    </row>
    <row r="142">
      <c r="A142" s="15" t="inlineStr">
        <is>
          <t>CANON-202508-000184</t>
        </is>
      </c>
      <c r="B142" s="15" t="inlineStr">
        <is>
          <t>2025-08-27</t>
        </is>
      </c>
      <c r="C142" s="15" t="inlineStr">
        <is>
          <t>Sunniva Nakashima</t>
        </is>
      </c>
      <c r="D142" s="15" t="inlineStr">
        <is>
          <t>MN</t>
        </is>
      </c>
      <c r="E142" s="16" t="n">
        <v>1015000</v>
      </c>
      <c r="F142" s="16" t="n">
        <v>8594.940000000001</v>
      </c>
      <c r="G142" s="16" t="n">
        <v>1074.37</v>
      </c>
      <c r="H142" s="16" t="n">
        <v>1074.37</v>
      </c>
      <c r="I142" s="16">
        <f>SUM(K142:T142)</f>
        <v/>
      </c>
      <c r="J142" s="16">
        <f>F142-(G142+H142+I142)</f>
        <v/>
      </c>
      <c r="K142" s="16" t="n">
        <v>644.62</v>
      </c>
      <c r="L142" s="16" t="n">
        <v>644.62</v>
      </c>
      <c r="M142" s="16" t="n">
        <v>644.62</v>
      </c>
      <c r="N142" s="16" t="n">
        <v>644.62</v>
      </c>
      <c r="O142" s="16" t="n">
        <v>644.62</v>
      </c>
      <c r="P142" s="16" t="n">
        <v>644.62</v>
      </c>
      <c r="Q142" s="16" t="n">
        <v>644.62</v>
      </c>
      <c r="R142" s="16" t="n">
        <v>644.62</v>
      </c>
      <c r="S142" s="16" t="n">
        <v>644.62</v>
      </c>
      <c r="T142" s="16" t="n">
        <v>644.62</v>
      </c>
      <c r="U142" s="16" t="n">
        <v>350</v>
      </c>
      <c r="V142" s="16" t="n">
        <v>250</v>
      </c>
      <c r="W142" s="16">
        <f>U142+V142</f>
        <v/>
      </c>
    </row>
    <row r="143">
      <c r="A143" s="3" t="inlineStr">
        <is>
          <t>CANON-202508-000185</t>
        </is>
      </c>
      <c r="B143" s="3" t="inlineStr">
        <is>
          <t>2025-08-31</t>
        </is>
      </c>
      <c r="C143" s="3" t="inlineStr">
        <is>
          <t>Ramona Montoya</t>
        </is>
      </c>
      <c r="D143" s="3" t="inlineStr">
        <is>
          <t>NY</t>
        </is>
      </c>
      <c r="E143" s="14" t="n">
        <v>485000</v>
      </c>
      <c r="F143" s="14" t="n">
        <v>8784.91</v>
      </c>
      <c r="G143" s="14" t="n">
        <v>1098.11</v>
      </c>
      <c r="H143" s="14" t="n">
        <v>1098.11</v>
      </c>
      <c r="I143" s="14">
        <f>SUM(K143:T143)</f>
        <v/>
      </c>
      <c r="J143" s="14">
        <f>F143-(G143+H143+I143)</f>
        <v/>
      </c>
      <c r="K143" s="14" t="n">
        <v>658.87</v>
      </c>
      <c r="L143" s="14" t="n">
        <v>658.87</v>
      </c>
      <c r="M143" s="14" t="n">
        <v>658.87</v>
      </c>
      <c r="N143" s="14" t="n">
        <v>658.87</v>
      </c>
      <c r="O143" s="14" t="n">
        <v>658.87</v>
      </c>
      <c r="P143" s="14" t="n">
        <v>658.87</v>
      </c>
      <c r="Q143" s="14" t="n">
        <v>658.87</v>
      </c>
      <c r="R143" s="14" t="n">
        <v>658.87</v>
      </c>
      <c r="S143" s="14" t="n">
        <v>658.87</v>
      </c>
      <c r="T143" s="14" t="n">
        <v>658.87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CANON-202508-000186</t>
        </is>
      </c>
      <c r="B144" s="15" t="inlineStr">
        <is>
          <t>2025-08-31</t>
        </is>
      </c>
      <c r="C144" s="15" t="inlineStr">
        <is>
          <t>Ramona Pennington</t>
        </is>
      </c>
      <c r="D144" s="15" t="inlineStr">
        <is>
          <t>VA</t>
        </is>
      </c>
      <c r="E144" s="16" t="n">
        <v>315000</v>
      </c>
      <c r="F144" s="16" t="n">
        <v>4858.73</v>
      </c>
      <c r="G144" s="16" t="n">
        <v>607.34</v>
      </c>
      <c r="H144" s="16" t="n">
        <v>607.34</v>
      </c>
      <c r="I144" s="16">
        <f>SUM(K144:T144)</f>
        <v/>
      </c>
      <c r="J144" s="16">
        <f>F144-(G144+H144+I144)</f>
        <v/>
      </c>
      <c r="K144" s="16" t="n">
        <v>364.4</v>
      </c>
      <c r="L144" s="16" t="n">
        <v>364.4</v>
      </c>
      <c r="M144" s="16" t="n">
        <v>364.4</v>
      </c>
      <c r="N144" s="16" t="n">
        <v>364.4</v>
      </c>
      <c r="O144" s="16" t="n">
        <v>364.4</v>
      </c>
      <c r="P144" s="16" t="n">
        <v>364.4</v>
      </c>
      <c r="Q144" s="16" t="n">
        <v>364.4</v>
      </c>
      <c r="R144" s="16" t="n">
        <v>364.4</v>
      </c>
      <c r="S144" s="16" t="n">
        <v>364.4</v>
      </c>
      <c r="T144" s="16" t="n">
        <v>364.4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CANON-202508-000187</t>
        </is>
      </c>
      <c r="B145" s="3" t="inlineStr">
        <is>
          <t>2025-08-09</t>
        </is>
      </c>
      <c r="C145" s="3" t="inlineStr">
        <is>
          <t>Anouk Delacroix</t>
        </is>
      </c>
      <c r="D145" s="3" t="inlineStr">
        <is>
          <t>MN</t>
        </is>
      </c>
      <c r="E145" s="14" t="n">
        <v>480000</v>
      </c>
      <c r="F145" s="14" t="n">
        <v>5738.26</v>
      </c>
      <c r="G145" s="14" t="n">
        <v>717.28</v>
      </c>
      <c r="H145" s="14" t="n">
        <v>717.28</v>
      </c>
      <c r="I145" s="14">
        <f>SUM(K145:T145)</f>
        <v/>
      </c>
      <c r="J145" s="14">
        <f>F145-(G145+H145+I145)</f>
        <v/>
      </c>
      <c r="K145" s="14" t="n">
        <v>430.37</v>
      </c>
      <c r="L145" s="14" t="n">
        <v>430.37</v>
      </c>
      <c r="M145" s="14" t="n">
        <v>430.37</v>
      </c>
      <c r="N145" s="14" t="n">
        <v>430.37</v>
      </c>
      <c r="O145" s="14" t="n">
        <v>430.37</v>
      </c>
      <c r="P145" s="14" t="n">
        <v>430.37</v>
      </c>
      <c r="Q145" s="14" t="n">
        <v>430.37</v>
      </c>
      <c r="R145" s="14" t="n">
        <v>430.37</v>
      </c>
      <c r="S145" s="14" t="n">
        <v>430.37</v>
      </c>
      <c r="T145" s="14" t="n">
        <v>430.37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CANON-202508-000189</t>
        </is>
      </c>
      <c r="B146" s="15" t="inlineStr">
        <is>
          <t>2025-08-27</t>
        </is>
      </c>
      <c r="C146" s="15" t="inlineStr">
        <is>
          <t>Aurelio Harrington</t>
        </is>
      </c>
      <c r="D146" s="15" t="inlineStr">
        <is>
          <t>MT</t>
        </is>
      </c>
      <c r="E146" s="16" t="n">
        <v>265000</v>
      </c>
      <c r="F146" s="16" t="n">
        <v>3487.5</v>
      </c>
      <c r="G146" s="16" t="n">
        <v>435.94</v>
      </c>
      <c r="H146" s="16" t="n">
        <v>435.94</v>
      </c>
      <c r="I146" s="16">
        <f>SUM(K146:T146)</f>
        <v/>
      </c>
      <c r="J146" s="16">
        <f>F146-(G146+H146+I146)</f>
        <v/>
      </c>
      <c r="K146" s="16" t="n">
        <v>261.56</v>
      </c>
      <c r="L146" s="16" t="n">
        <v>261.56</v>
      </c>
      <c r="M146" s="16" t="n">
        <v>261.56</v>
      </c>
      <c r="N146" s="16" t="n">
        <v>261.56</v>
      </c>
      <c r="O146" s="16" t="n">
        <v>261.56</v>
      </c>
      <c r="P146" s="16" t="n">
        <v>261.56</v>
      </c>
      <c r="Q146" s="16" t="n">
        <v>261.56</v>
      </c>
      <c r="R146" s="16" t="n">
        <v>261.56</v>
      </c>
      <c r="S146" s="16" t="n">
        <v>261.56</v>
      </c>
      <c r="T146" s="16" t="n">
        <v>261.56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CANON-202508-000190</t>
        </is>
      </c>
      <c r="B147" s="3" t="inlineStr">
        <is>
          <t>2025-08-07</t>
        </is>
      </c>
      <c r="C147" s="3" t="inlineStr">
        <is>
          <t>Thaddeus Delacroix</t>
        </is>
      </c>
      <c r="D147" s="3" t="inlineStr">
        <is>
          <t>CA</t>
        </is>
      </c>
      <c r="E147" s="14" t="n">
        <v>500000</v>
      </c>
      <c r="F147" s="14" t="n">
        <v>8278.299999999999</v>
      </c>
      <c r="G147" s="14" t="n">
        <v>1034.79</v>
      </c>
      <c r="H147" s="14" t="n">
        <v>1034.79</v>
      </c>
      <c r="I147" s="14">
        <f>SUM(K147:T147)</f>
        <v/>
      </c>
      <c r="J147" s="14">
        <f>F147-(G147+H147+I147)</f>
        <v/>
      </c>
      <c r="K147" s="14" t="n">
        <v>620.87</v>
      </c>
      <c r="L147" s="14" t="n">
        <v>620.87</v>
      </c>
      <c r="M147" s="14" t="n">
        <v>620.87</v>
      </c>
      <c r="N147" s="14" t="n">
        <v>620.87</v>
      </c>
      <c r="O147" s="14" t="n">
        <v>620.87</v>
      </c>
      <c r="P147" s="14" t="n">
        <v>620.87</v>
      </c>
      <c r="Q147" s="14" t="n">
        <v>620.87</v>
      </c>
      <c r="R147" s="14" t="n">
        <v>620.87</v>
      </c>
      <c r="S147" s="14" t="n">
        <v>620.87</v>
      </c>
      <c r="T147" s="14" t="n">
        <v>620.87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CANON-202508-000191</t>
        </is>
      </c>
      <c r="B148" s="15" t="inlineStr">
        <is>
          <t>2025-08-01</t>
        </is>
      </c>
      <c r="C148" s="15" t="inlineStr">
        <is>
          <t>Leopold Whitlock</t>
        </is>
      </c>
      <c r="D148" s="15" t="inlineStr">
        <is>
          <t>UT</t>
        </is>
      </c>
      <c r="E148" s="16" t="n">
        <v>485000</v>
      </c>
      <c r="F148" s="16" t="n">
        <v>9265.33</v>
      </c>
      <c r="G148" s="16" t="n">
        <v>1158.17</v>
      </c>
      <c r="H148" s="16" t="n">
        <v>1158.17</v>
      </c>
      <c r="I148" s="16">
        <f>SUM(K148:T148)</f>
        <v/>
      </c>
      <c r="J148" s="16">
        <f>F148-(G148+H148+I148)</f>
        <v/>
      </c>
      <c r="K148" s="16" t="n">
        <v>694.9</v>
      </c>
      <c r="L148" s="16" t="n">
        <v>694.9</v>
      </c>
      <c r="M148" s="16" t="n">
        <v>694.9</v>
      </c>
      <c r="N148" s="16" t="n">
        <v>694.9</v>
      </c>
      <c r="O148" s="16" t="n">
        <v>694.9</v>
      </c>
      <c r="P148" s="16" t="n">
        <v>694.9</v>
      </c>
      <c r="Q148" s="16" t="n">
        <v>694.9</v>
      </c>
      <c r="R148" s="16" t="n">
        <v>694.9</v>
      </c>
      <c r="S148" s="16" t="n">
        <v>694.9</v>
      </c>
      <c r="T148" s="16" t="n">
        <v>694.9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CANON-202508-000192</t>
        </is>
      </c>
      <c r="B149" s="3" t="inlineStr">
        <is>
          <t>2025-08-12</t>
        </is>
      </c>
      <c r="C149" s="3" t="inlineStr">
        <is>
          <t>Fenwick Vasquez</t>
        </is>
      </c>
      <c r="D149" s="3" t="inlineStr">
        <is>
          <t>CA</t>
        </is>
      </c>
      <c r="E149" s="14" t="n">
        <v>1100000</v>
      </c>
      <c r="F149" s="14" t="n">
        <v>22415.09</v>
      </c>
      <c r="G149" s="14" t="n">
        <v>2801.89</v>
      </c>
      <c r="H149" s="14" t="n">
        <v>2801.89</v>
      </c>
      <c r="I149" s="14">
        <f>SUM(K149:T149)</f>
        <v/>
      </c>
      <c r="J149" s="14">
        <f>F149-(G149+H149+I149)</f>
        <v/>
      </c>
      <c r="K149" s="14" t="n">
        <v>1681.13</v>
      </c>
      <c r="L149" s="14" t="n">
        <v>1681.13</v>
      </c>
      <c r="M149" s="14" t="n">
        <v>1681.13</v>
      </c>
      <c r="N149" s="14" t="n">
        <v>1681.13</v>
      </c>
      <c r="O149" s="14" t="n">
        <v>1681.13</v>
      </c>
      <c r="P149" s="14" t="n">
        <v>1681.13</v>
      </c>
      <c r="Q149" s="14" t="n">
        <v>1681.13</v>
      </c>
      <c r="R149" s="14" t="n">
        <v>1681.13</v>
      </c>
      <c r="S149" s="14" t="n">
        <v>1681.13</v>
      </c>
      <c r="T149" s="14" t="n">
        <v>1681.13</v>
      </c>
      <c r="U149" s="14" t="n">
        <v>350</v>
      </c>
      <c r="V149" s="14" t="n">
        <v>250</v>
      </c>
      <c r="W149" s="14">
        <f>U149+V149</f>
        <v/>
      </c>
    </row>
    <row r="150">
      <c r="A150" s="15" t="inlineStr">
        <is>
          <t>CANON-202508-000193</t>
        </is>
      </c>
      <c r="B150" s="15" t="inlineStr">
        <is>
          <t>2025-08-22</t>
        </is>
      </c>
      <c r="C150" s="15" t="inlineStr">
        <is>
          <t>Marisol Castellanos</t>
        </is>
      </c>
      <c r="D150" s="15" t="inlineStr">
        <is>
          <t>MT</t>
        </is>
      </c>
      <c r="E150" s="16" t="n">
        <v>345000</v>
      </c>
      <c r="F150" s="16" t="n">
        <v>4540.33</v>
      </c>
      <c r="G150" s="16" t="n">
        <v>567.54</v>
      </c>
      <c r="H150" s="16" t="n">
        <v>567.54</v>
      </c>
      <c r="I150" s="16">
        <f>SUM(K150:T150)</f>
        <v/>
      </c>
      <c r="J150" s="16">
        <f>F150-(G150+H150+I150)</f>
        <v/>
      </c>
      <c r="K150" s="16" t="n">
        <v>340.52</v>
      </c>
      <c r="L150" s="16" t="n">
        <v>340.52</v>
      </c>
      <c r="M150" s="16" t="n">
        <v>340.52</v>
      </c>
      <c r="N150" s="16" t="n">
        <v>340.52</v>
      </c>
      <c r="O150" s="16" t="n">
        <v>340.52</v>
      </c>
      <c r="P150" s="16" t="n">
        <v>340.52</v>
      </c>
      <c r="Q150" s="16" t="n">
        <v>340.52</v>
      </c>
      <c r="R150" s="16" t="n">
        <v>340.52</v>
      </c>
      <c r="S150" s="16" t="n">
        <v>340.52</v>
      </c>
      <c r="T150" s="16" t="n">
        <v>340.52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CANON-202508-000195</t>
        </is>
      </c>
      <c r="B151" s="3" t="inlineStr">
        <is>
          <t>2025-08-02</t>
        </is>
      </c>
      <c r="C151" s="3" t="inlineStr">
        <is>
          <t>Thaddeus Harrington</t>
        </is>
      </c>
      <c r="D151" s="3" t="inlineStr">
        <is>
          <t>NY</t>
        </is>
      </c>
      <c r="E151" s="14" t="n">
        <v>1090000</v>
      </c>
      <c r="F151" s="14" t="n">
        <v>14478.49</v>
      </c>
      <c r="G151" s="14" t="n">
        <v>1809.81</v>
      </c>
      <c r="H151" s="14" t="n">
        <v>1809.81</v>
      </c>
      <c r="I151" s="14">
        <f>SUM(K151:T151)</f>
        <v/>
      </c>
      <c r="J151" s="14">
        <f>F151-(G151+H151+I151)</f>
        <v/>
      </c>
      <c r="K151" s="14" t="n">
        <v>1085.89</v>
      </c>
      <c r="L151" s="14" t="n">
        <v>1085.89</v>
      </c>
      <c r="M151" s="14" t="n">
        <v>1085.89</v>
      </c>
      <c r="N151" s="14" t="n">
        <v>1085.89</v>
      </c>
      <c r="O151" s="14" t="n">
        <v>1085.89</v>
      </c>
      <c r="P151" s="14" t="n">
        <v>1085.89</v>
      </c>
      <c r="Q151" s="14" t="n">
        <v>1085.89</v>
      </c>
      <c r="R151" s="14" t="n">
        <v>1085.89</v>
      </c>
      <c r="S151" s="14" t="n">
        <v>1085.89</v>
      </c>
      <c r="T151" s="14" t="n">
        <v>1085.89</v>
      </c>
      <c r="U151" s="14" t="n">
        <v>350</v>
      </c>
      <c r="V151" s="14" t="n">
        <v>250</v>
      </c>
      <c r="W151" s="14">
        <f>U151+V151</f>
        <v/>
      </c>
    </row>
    <row r="152">
      <c r="A152" s="15" t="inlineStr">
        <is>
          <t>CANON-202508-000197</t>
        </is>
      </c>
      <c r="B152" s="15" t="inlineStr">
        <is>
          <t>2025-08-12</t>
        </is>
      </c>
      <c r="C152" s="15" t="inlineStr">
        <is>
          <t>Desmond Vandermeer</t>
        </is>
      </c>
      <c r="D152" s="15" t="inlineStr">
        <is>
          <t>WY</t>
        </is>
      </c>
      <c r="E152" s="16" t="n">
        <v>510000</v>
      </c>
      <c r="F152" s="16" t="n">
        <v>4427.38</v>
      </c>
      <c r="G152" s="16" t="n">
        <v>553.42</v>
      </c>
      <c r="H152" s="16" t="n">
        <v>553.42</v>
      </c>
      <c r="I152" s="16">
        <f>SUM(K152:T152)</f>
        <v/>
      </c>
      <c r="J152" s="16">
        <f>F152-(G152+H152+I152)</f>
        <v/>
      </c>
      <c r="K152" s="16" t="n">
        <v>332.05</v>
      </c>
      <c r="L152" s="16" t="n">
        <v>332.05</v>
      </c>
      <c r="M152" s="16" t="n">
        <v>332.05</v>
      </c>
      <c r="N152" s="16" t="n">
        <v>332.05</v>
      </c>
      <c r="O152" s="16" t="n">
        <v>332.05</v>
      </c>
      <c r="P152" s="16" t="n">
        <v>332.05</v>
      </c>
      <c r="Q152" s="16" t="n">
        <v>332.05</v>
      </c>
      <c r="R152" s="16" t="n">
        <v>332.05</v>
      </c>
      <c r="S152" s="16" t="n">
        <v>332.05</v>
      </c>
      <c r="T152" s="16" t="n">
        <v>332.05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CANON-202508-000198</t>
        </is>
      </c>
      <c r="B153" s="3" t="inlineStr">
        <is>
          <t>2025-08-20</t>
        </is>
      </c>
      <c r="C153" s="3" t="inlineStr">
        <is>
          <t>Aurelio Delacroix</t>
        </is>
      </c>
      <c r="D153" s="3" t="inlineStr">
        <is>
          <t>NC</t>
        </is>
      </c>
      <c r="E153" s="14" t="n">
        <v>1900000</v>
      </c>
      <c r="F153" s="14" t="n">
        <v>22674.53</v>
      </c>
      <c r="G153" s="14" t="n">
        <v>2834.32</v>
      </c>
      <c r="H153" s="14" t="n">
        <v>2834.32</v>
      </c>
      <c r="I153" s="14">
        <f>SUM(K153:T153)</f>
        <v/>
      </c>
      <c r="J153" s="14">
        <f>F153-(G153+H153+I153)</f>
        <v/>
      </c>
      <c r="K153" s="14" t="n">
        <v>1700.59</v>
      </c>
      <c r="L153" s="14" t="n">
        <v>1700.59</v>
      </c>
      <c r="M153" s="14" t="n">
        <v>1700.59</v>
      </c>
      <c r="N153" s="14" t="n">
        <v>1700.59</v>
      </c>
      <c r="O153" s="14" t="n">
        <v>1700.59</v>
      </c>
      <c r="P153" s="14" t="n">
        <v>1700.59</v>
      </c>
      <c r="Q153" s="14" t="n">
        <v>1700.59</v>
      </c>
      <c r="R153" s="14" t="n">
        <v>1700.59</v>
      </c>
      <c r="S153" s="14" t="n">
        <v>1700.59</v>
      </c>
      <c r="T153" s="14" t="n">
        <v>1700.59</v>
      </c>
      <c r="U153" s="14" t="n">
        <v>350</v>
      </c>
      <c r="V153" s="14" t="n">
        <v>250</v>
      </c>
      <c r="W153" s="14">
        <f>U153+V153</f>
        <v/>
      </c>
    </row>
    <row r="154">
      <c r="A154" s="15" t="inlineStr">
        <is>
          <t>CANON-202508-000199</t>
        </is>
      </c>
      <c r="B154" s="15" t="inlineStr">
        <is>
          <t>2025-08-12</t>
        </is>
      </c>
      <c r="C154" s="15" t="inlineStr">
        <is>
          <t>Fenwick Underwood</t>
        </is>
      </c>
      <c r="D154" s="15" t="inlineStr">
        <is>
          <t>OR</t>
        </is>
      </c>
      <c r="E154" s="16" t="n">
        <v>1215000</v>
      </c>
      <c r="F154" s="16" t="n">
        <v>14247.59</v>
      </c>
      <c r="G154" s="16" t="n">
        <v>1780.95</v>
      </c>
      <c r="H154" s="16" t="n">
        <v>1780.95</v>
      </c>
      <c r="I154" s="16">
        <f>SUM(K154:T154)</f>
        <v/>
      </c>
      <c r="J154" s="16">
        <f>F154-(G154+H154+I154)</f>
        <v/>
      </c>
      <c r="K154" s="16" t="n">
        <v>1068.57</v>
      </c>
      <c r="L154" s="16" t="n">
        <v>1068.57</v>
      </c>
      <c r="M154" s="16" t="n">
        <v>1068.57</v>
      </c>
      <c r="N154" s="16" t="n">
        <v>1068.57</v>
      </c>
      <c r="O154" s="16" t="n">
        <v>1068.57</v>
      </c>
      <c r="P154" s="16" t="n">
        <v>1068.57</v>
      </c>
      <c r="Q154" s="16" t="n">
        <v>1068.57</v>
      </c>
      <c r="R154" s="16" t="n">
        <v>1068.57</v>
      </c>
      <c r="S154" s="16" t="n">
        <v>1068.57</v>
      </c>
      <c r="T154" s="16" t="n">
        <v>1068.57</v>
      </c>
      <c r="U154" s="16" t="n">
        <v>350</v>
      </c>
      <c r="V154" s="16" t="n">
        <v>250</v>
      </c>
      <c r="W154" s="16">
        <f>U154+V154</f>
        <v/>
      </c>
    </row>
    <row r="155">
      <c r="A155" s="3" t="inlineStr">
        <is>
          <t>CANON-202508-000200</t>
        </is>
      </c>
      <c r="B155" s="3" t="inlineStr">
        <is>
          <t>2025-08-20</t>
        </is>
      </c>
      <c r="C155" s="3" t="inlineStr">
        <is>
          <t>Thaddeus Kingsford</t>
        </is>
      </c>
      <c r="D155" s="3" t="inlineStr">
        <is>
          <t>OH</t>
        </is>
      </c>
      <c r="E155" s="14" t="n">
        <v>825000</v>
      </c>
      <c r="F155" s="14" t="n">
        <v>20554.95</v>
      </c>
      <c r="G155" s="14" t="n">
        <v>2569.37</v>
      </c>
      <c r="H155" s="14" t="n">
        <v>2569.37</v>
      </c>
      <c r="I155" s="14">
        <f>SUM(K155:T155)</f>
        <v/>
      </c>
      <c r="J155" s="14">
        <f>F155-(G155+H155+I155)</f>
        <v/>
      </c>
      <c r="K155" s="14" t="n">
        <v>1541.62</v>
      </c>
      <c r="L155" s="14" t="n">
        <v>1541.62</v>
      </c>
      <c r="M155" s="14" t="n">
        <v>1541.62</v>
      </c>
      <c r="N155" s="14" t="n">
        <v>1541.62</v>
      </c>
      <c r="O155" s="14" t="n">
        <v>1541.62</v>
      </c>
      <c r="P155" s="14" t="n">
        <v>1541.62</v>
      </c>
      <c r="Q155" s="14" t="n">
        <v>1541.62</v>
      </c>
      <c r="R155" s="14" t="n">
        <v>1541.62</v>
      </c>
      <c r="S155" s="14" t="n">
        <v>1541.62</v>
      </c>
      <c r="T155" s="14" t="n">
        <v>1541.62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CANON-202508-000202</t>
        </is>
      </c>
      <c r="B156" s="15" t="inlineStr">
        <is>
          <t>2025-08-20</t>
        </is>
      </c>
      <c r="C156" s="15" t="inlineStr">
        <is>
          <t>Delphine Larsson</t>
        </is>
      </c>
      <c r="D156" s="15" t="inlineStr">
        <is>
          <t>NY</t>
        </is>
      </c>
      <c r="E156" s="16" t="n">
        <v>1345000</v>
      </c>
      <c r="F156" s="16" t="n">
        <v>12343.55</v>
      </c>
      <c r="G156" s="16" t="n">
        <v>1542.94</v>
      </c>
      <c r="H156" s="16" t="n">
        <v>1542.94</v>
      </c>
      <c r="I156" s="16">
        <f>SUM(K156:T156)</f>
        <v/>
      </c>
      <c r="J156" s="16">
        <f>F156-(G156+H156+I156)</f>
        <v/>
      </c>
      <c r="K156" s="16" t="n">
        <v>925.77</v>
      </c>
      <c r="L156" s="16" t="n">
        <v>925.77</v>
      </c>
      <c r="M156" s="16" t="n">
        <v>925.77</v>
      </c>
      <c r="N156" s="16" t="n">
        <v>925.77</v>
      </c>
      <c r="O156" s="16" t="n">
        <v>925.77</v>
      </c>
      <c r="P156" s="16" t="n">
        <v>925.77</v>
      </c>
      <c r="Q156" s="16" t="n">
        <v>925.77</v>
      </c>
      <c r="R156" s="16" t="n">
        <v>925.77</v>
      </c>
      <c r="S156" s="16" t="n">
        <v>925.77</v>
      </c>
      <c r="T156" s="16" t="n">
        <v>925.77</v>
      </c>
      <c r="U156" s="16" t="n">
        <v>350</v>
      </c>
      <c r="V156" s="16" t="n">
        <v>250</v>
      </c>
      <c r="W156" s="16">
        <f>U156+V156</f>
        <v/>
      </c>
    </row>
    <row r="157">
      <c r="A157" s="3" t="inlineStr">
        <is>
          <t>CANON-202508-000203</t>
        </is>
      </c>
      <c r="B157" s="3" t="inlineStr">
        <is>
          <t>2025-08-03</t>
        </is>
      </c>
      <c r="C157" s="3" t="inlineStr">
        <is>
          <t>Beatrix Chattopadhyay</t>
        </is>
      </c>
      <c r="D157" s="3" t="inlineStr">
        <is>
          <t>PA</t>
        </is>
      </c>
      <c r="E157" s="14" t="n">
        <v>635000</v>
      </c>
      <c r="F157" s="14" t="n">
        <v>5151.89</v>
      </c>
      <c r="G157" s="14" t="n">
        <v>643.99</v>
      </c>
      <c r="H157" s="14" t="n">
        <v>643.99</v>
      </c>
      <c r="I157" s="14">
        <f>SUM(K157:T157)</f>
        <v/>
      </c>
      <c r="J157" s="14">
        <f>F157-(G157+H157+I157)</f>
        <v/>
      </c>
      <c r="K157" s="14" t="n">
        <v>386.39</v>
      </c>
      <c r="L157" s="14" t="n">
        <v>386.39</v>
      </c>
      <c r="M157" s="14" t="n">
        <v>386.39</v>
      </c>
      <c r="N157" s="14" t="n">
        <v>386.39</v>
      </c>
      <c r="O157" s="14" t="n">
        <v>386.39</v>
      </c>
      <c r="P157" s="14" t="n">
        <v>386.39</v>
      </c>
      <c r="Q157" s="14" t="n">
        <v>386.39</v>
      </c>
      <c r="R157" s="14" t="n">
        <v>386.39</v>
      </c>
      <c r="S157" s="14" t="n">
        <v>386.39</v>
      </c>
      <c r="T157" s="14" t="n">
        <v>386.39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CANON-202508-000204</t>
        </is>
      </c>
      <c r="B158" s="15" t="inlineStr">
        <is>
          <t>2025-08-01</t>
        </is>
      </c>
      <c r="C158" s="15" t="inlineStr">
        <is>
          <t>Leopold Rourke</t>
        </is>
      </c>
      <c r="D158" s="15" t="inlineStr">
        <is>
          <t>ID</t>
        </is>
      </c>
      <c r="E158" s="16" t="n">
        <v>1950000</v>
      </c>
      <c r="F158" s="16" t="n">
        <v>29139.62</v>
      </c>
      <c r="G158" s="16" t="n">
        <v>3642.45</v>
      </c>
      <c r="H158" s="16" t="n">
        <v>3642.45</v>
      </c>
      <c r="I158" s="16">
        <f>SUM(K158:T158)</f>
        <v/>
      </c>
      <c r="J158" s="16">
        <f>F158-(G158+H158+I158)</f>
        <v/>
      </c>
      <c r="K158" s="16" t="n">
        <v>2185.47</v>
      </c>
      <c r="L158" s="16" t="n">
        <v>2185.47</v>
      </c>
      <c r="M158" s="16" t="n">
        <v>2185.47</v>
      </c>
      <c r="N158" s="16" t="n">
        <v>2185.47</v>
      </c>
      <c r="O158" s="16" t="n">
        <v>2185.47</v>
      </c>
      <c r="P158" s="16" t="n">
        <v>2185.47</v>
      </c>
      <c r="Q158" s="16" t="n">
        <v>2185.47</v>
      </c>
      <c r="R158" s="16" t="n">
        <v>2185.47</v>
      </c>
      <c r="S158" s="16" t="n">
        <v>2185.47</v>
      </c>
      <c r="T158" s="16" t="n">
        <v>2185.47</v>
      </c>
      <c r="U158" s="16" t="n">
        <v>350</v>
      </c>
      <c r="V158" s="16" t="n">
        <v>250</v>
      </c>
      <c r="W158" s="16">
        <f>U158+V158</f>
        <v/>
      </c>
    </row>
    <row r="159">
      <c r="A159" s="3" t="inlineStr">
        <is>
          <t>CANON-202508-000205</t>
        </is>
      </c>
      <c r="B159" s="3" t="inlineStr">
        <is>
          <t>2025-08-24</t>
        </is>
      </c>
      <c r="C159" s="3" t="inlineStr">
        <is>
          <t>Ramona Merriweather</t>
        </is>
      </c>
      <c r="D159" s="3" t="inlineStr">
        <is>
          <t>WA</t>
        </is>
      </c>
      <c r="E159" s="14" t="n">
        <v>725000</v>
      </c>
      <c r="F159" s="14" t="n">
        <v>5646.79</v>
      </c>
      <c r="G159" s="14" t="n">
        <v>705.85</v>
      </c>
      <c r="H159" s="14" t="n">
        <v>705.85</v>
      </c>
      <c r="I159" s="14">
        <f>SUM(K159:T159)</f>
        <v/>
      </c>
      <c r="J159" s="14">
        <f>F159-(G159+H159+I159)</f>
        <v/>
      </c>
      <c r="K159" s="14" t="n">
        <v>423.51</v>
      </c>
      <c r="L159" s="14" t="n">
        <v>423.51</v>
      </c>
      <c r="M159" s="14" t="n">
        <v>423.51</v>
      </c>
      <c r="N159" s="14" t="n">
        <v>423.51</v>
      </c>
      <c r="O159" s="14" t="n">
        <v>423.51</v>
      </c>
      <c r="P159" s="14" t="n">
        <v>423.51</v>
      </c>
      <c r="Q159" s="14" t="n">
        <v>423.51</v>
      </c>
      <c r="R159" s="14" t="n">
        <v>423.51</v>
      </c>
      <c r="S159" s="14" t="n">
        <v>423.51</v>
      </c>
      <c r="T159" s="14" t="n">
        <v>423.51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CANON-202508-000206</t>
        </is>
      </c>
      <c r="B160" s="15" t="inlineStr">
        <is>
          <t>2025-08-25</t>
        </is>
      </c>
      <c r="C160" s="15" t="inlineStr">
        <is>
          <t>Thaddeus Blackwood</t>
        </is>
      </c>
      <c r="D160" s="15" t="inlineStr">
        <is>
          <t>GA</t>
        </is>
      </c>
      <c r="E160" s="16" t="n">
        <v>510000</v>
      </c>
      <c r="F160" s="16" t="n">
        <v>4634.26</v>
      </c>
      <c r="G160" s="16" t="n">
        <v>579.28</v>
      </c>
      <c r="H160" s="16" t="n">
        <v>579.28</v>
      </c>
      <c r="I160" s="16">
        <f>SUM(K160:T160)</f>
        <v/>
      </c>
      <c r="J160" s="16">
        <f>F160-(G160+H160+I160)</f>
        <v/>
      </c>
      <c r="K160" s="16" t="n">
        <v>347.57</v>
      </c>
      <c r="L160" s="16" t="n">
        <v>347.57</v>
      </c>
      <c r="M160" s="16" t="n">
        <v>347.57</v>
      </c>
      <c r="N160" s="16" t="n">
        <v>347.57</v>
      </c>
      <c r="O160" s="16" t="n">
        <v>347.57</v>
      </c>
      <c r="P160" s="16" t="n">
        <v>347.57</v>
      </c>
      <c r="Q160" s="16" t="n">
        <v>347.57</v>
      </c>
      <c r="R160" s="16" t="n">
        <v>347.57</v>
      </c>
      <c r="S160" s="16" t="n">
        <v>347.57</v>
      </c>
      <c r="T160" s="16" t="n">
        <v>347.57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CANON-202508-000207</t>
        </is>
      </c>
      <c r="B161" s="3" t="inlineStr">
        <is>
          <t>2025-08-22</t>
        </is>
      </c>
      <c r="C161" s="3" t="inlineStr">
        <is>
          <t>Aurelio Larsson</t>
        </is>
      </c>
      <c r="D161" s="3" t="inlineStr">
        <is>
          <t>AR</t>
        </is>
      </c>
      <c r="E161" s="14" t="n">
        <v>415000</v>
      </c>
      <c r="F161" s="14" t="n">
        <v>8104.25</v>
      </c>
      <c r="G161" s="14" t="n">
        <v>1013.03</v>
      </c>
      <c r="H161" s="14" t="n">
        <v>1013.03</v>
      </c>
      <c r="I161" s="14">
        <f>SUM(K161:T161)</f>
        <v/>
      </c>
      <c r="J161" s="14">
        <f>F161-(G161+H161+I161)</f>
        <v/>
      </c>
      <c r="K161" s="14" t="n">
        <v>607.8200000000001</v>
      </c>
      <c r="L161" s="14" t="n">
        <v>607.8200000000001</v>
      </c>
      <c r="M161" s="14" t="n">
        <v>607.8200000000001</v>
      </c>
      <c r="N161" s="14" t="n">
        <v>607.8200000000001</v>
      </c>
      <c r="O161" s="14" t="n">
        <v>607.8200000000001</v>
      </c>
      <c r="P161" s="14" t="n">
        <v>607.8200000000001</v>
      </c>
      <c r="Q161" s="14" t="n">
        <v>607.8200000000001</v>
      </c>
      <c r="R161" s="14" t="n">
        <v>607.8200000000001</v>
      </c>
      <c r="S161" s="14" t="n">
        <v>607.8200000000001</v>
      </c>
      <c r="T161" s="14" t="n">
        <v>607.8200000000001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CANON-202508-000208</t>
        </is>
      </c>
      <c r="B162" s="15" t="inlineStr">
        <is>
          <t>2025-08-05</t>
        </is>
      </c>
      <c r="C162" s="15" t="inlineStr">
        <is>
          <t>Beatrix Bellandi</t>
        </is>
      </c>
      <c r="D162" s="15" t="inlineStr">
        <is>
          <t>KY</t>
        </is>
      </c>
      <c r="E162" s="16" t="n">
        <v>590000</v>
      </c>
      <c r="F162" s="16" t="n">
        <v>9696.040000000001</v>
      </c>
      <c r="G162" s="16" t="n">
        <v>1212.01</v>
      </c>
      <c r="H162" s="16" t="n">
        <v>1212.01</v>
      </c>
      <c r="I162" s="16">
        <f>SUM(K162:T162)</f>
        <v/>
      </c>
      <c r="J162" s="16">
        <f>F162-(G162+H162+I162)</f>
        <v/>
      </c>
      <c r="K162" s="16" t="n">
        <v>727.2</v>
      </c>
      <c r="L162" s="16" t="n">
        <v>727.2</v>
      </c>
      <c r="M162" s="16" t="n">
        <v>727.2</v>
      </c>
      <c r="N162" s="16" t="n">
        <v>727.2</v>
      </c>
      <c r="O162" s="16" t="n">
        <v>727.2</v>
      </c>
      <c r="P162" s="16" t="n">
        <v>727.2</v>
      </c>
      <c r="Q162" s="16" t="n">
        <v>727.2</v>
      </c>
      <c r="R162" s="16" t="n">
        <v>727.2</v>
      </c>
      <c r="S162" s="16" t="n">
        <v>727.2</v>
      </c>
      <c r="T162" s="16" t="n">
        <v>727.2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CANON-202508-000209</t>
        </is>
      </c>
      <c r="B163" s="3" t="inlineStr">
        <is>
          <t>2025-08-16</t>
        </is>
      </c>
      <c r="C163" s="3" t="inlineStr">
        <is>
          <t>Leopold Bellandi</t>
        </is>
      </c>
      <c r="D163" s="3" t="inlineStr">
        <is>
          <t>WI</t>
        </is>
      </c>
      <c r="E163" s="14" t="n">
        <v>600000</v>
      </c>
      <c r="F163" s="14" t="n">
        <v>8830.190000000001</v>
      </c>
      <c r="G163" s="14" t="n">
        <v>1103.77</v>
      </c>
      <c r="H163" s="14" t="n">
        <v>1103.77</v>
      </c>
      <c r="I163" s="14">
        <f>SUM(K163:T163)</f>
        <v/>
      </c>
      <c r="J163" s="14">
        <f>F163-(G163+H163+I163)</f>
        <v/>
      </c>
      <c r="K163" s="14" t="n">
        <v>662.26</v>
      </c>
      <c r="L163" s="14" t="n">
        <v>662.26</v>
      </c>
      <c r="M163" s="14" t="n">
        <v>662.26</v>
      </c>
      <c r="N163" s="14" t="n">
        <v>662.26</v>
      </c>
      <c r="O163" s="14" t="n">
        <v>662.26</v>
      </c>
      <c r="P163" s="14" t="n">
        <v>662.26</v>
      </c>
      <c r="Q163" s="14" t="n">
        <v>662.26</v>
      </c>
      <c r="R163" s="14" t="n">
        <v>662.26</v>
      </c>
      <c r="S163" s="14" t="n">
        <v>662.26</v>
      </c>
      <c r="T163" s="14" t="n">
        <v>662.26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CANON-202508-000210</t>
        </is>
      </c>
      <c r="B164" s="15" t="inlineStr">
        <is>
          <t>2025-08-09</t>
        </is>
      </c>
      <c r="C164" s="15" t="inlineStr">
        <is>
          <t>Leopold Merriweather</t>
        </is>
      </c>
      <c r="D164" s="15" t="inlineStr">
        <is>
          <t>LA</t>
        </is>
      </c>
      <c r="E164" s="16" t="n">
        <v>300000</v>
      </c>
      <c r="F164" s="16" t="n">
        <v>5136.79</v>
      </c>
      <c r="G164" s="16" t="n">
        <v>642.1</v>
      </c>
      <c r="H164" s="16" t="n">
        <v>642.1</v>
      </c>
      <c r="I164" s="16">
        <f>SUM(K164:T164)</f>
        <v/>
      </c>
      <c r="J164" s="16">
        <f>F164-(G164+H164+I164)</f>
        <v/>
      </c>
      <c r="K164" s="16" t="n">
        <v>385.26</v>
      </c>
      <c r="L164" s="16" t="n">
        <v>385.26</v>
      </c>
      <c r="M164" s="16" t="n">
        <v>385.26</v>
      </c>
      <c r="N164" s="16" t="n">
        <v>385.26</v>
      </c>
      <c r="O164" s="16" t="n">
        <v>385.26</v>
      </c>
      <c r="P164" s="16" t="n">
        <v>385.26</v>
      </c>
      <c r="Q164" s="16" t="n">
        <v>385.26</v>
      </c>
      <c r="R164" s="16" t="n">
        <v>385.26</v>
      </c>
      <c r="S164" s="16" t="n">
        <v>385.26</v>
      </c>
      <c r="T164" s="16" t="n">
        <v>385.26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CANON-202508-000211</t>
        </is>
      </c>
      <c r="B165" s="3" t="inlineStr">
        <is>
          <t>2025-08-26</t>
        </is>
      </c>
      <c r="C165" s="3" t="inlineStr">
        <is>
          <t>Delphine Vandermeer</t>
        </is>
      </c>
      <c r="D165" s="3" t="inlineStr">
        <is>
          <t>NC</t>
        </is>
      </c>
      <c r="E165" s="14" t="n">
        <v>675000</v>
      </c>
      <c r="F165" s="14" t="n">
        <v>9520.049999999999</v>
      </c>
      <c r="G165" s="14" t="n">
        <v>1190.01</v>
      </c>
      <c r="H165" s="14" t="n">
        <v>1190.01</v>
      </c>
      <c r="I165" s="14">
        <f>SUM(K165:T165)</f>
        <v/>
      </c>
      <c r="J165" s="14">
        <f>F165-(G165+H165+I165)</f>
        <v/>
      </c>
      <c r="K165" s="14" t="n">
        <v>714</v>
      </c>
      <c r="L165" s="14" t="n">
        <v>714</v>
      </c>
      <c r="M165" s="14" t="n">
        <v>714</v>
      </c>
      <c r="N165" s="14" t="n">
        <v>714</v>
      </c>
      <c r="O165" s="14" t="n">
        <v>714</v>
      </c>
      <c r="P165" s="14" t="n">
        <v>714</v>
      </c>
      <c r="Q165" s="14" t="n">
        <v>714</v>
      </c>
      <c r="R165" s="14" t="n">
        <v>714</v>
      </c>
      <c r="S165" s="14" t="n">
        <v>714</v>
      </c>
      <c r="T165" s="14" t="n">
        <v>714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CANON-202508-000213</t>
        </is>
      </c>
      <c r="B166" s="15" t="inlineStr">
        <is>
          <t>2025-08-04</t>
        </is>
      </c>
      <c r="C166" s="15" t="inlineStr">
        <is>
          <t>Horace Okonkwo</t>
        </is>
      </c>
      <c r="D166" s="15" t="inlineStr">
        <is>
          <t>NC</t>
        </is>
      </c>
      <c r="E166" s="16" t="n">
        <v>640000</v>
      </c>
      <c r="F166" s="16" t="n">
        <v>5971.32</v>
      </c>
      <c r="G166" s="16" t="n">
        <v>746.41</v>
      </c>
      <c r="H166" s="16" t="n">
        <v>746.41</v>
      </c>
      <c r="I166" s="16">
        <f>SUM(K166:T166)</f>
        <v/>
      </c>
      <c r="J166" s="16">
        <f>F166-(G166+H166+I166)</f>
        <v/>
      </c>
      <c r="K166" s="16" t="n">
        <v>447.85</v>
      </c>
      <c r="L166" s="16" t="n">
        <v>447.85</v>
      </c>
      <c r="M166" s="16" t="n">
        <v>447.85</v>
      </c>
      <c r="N166" s="16" t="n">
        <v>447.85</v>
      </c>
      <c r="O166" s="16" t="n">
        <v>447.85</v>
      </c>
      <c r="P166" s="16" t="n">
        <v>447.85</v>
      </c>
      <c r="Q166" s="16" t="n">
        <v>447.85</v>
      </c>
      <c r="R166" s="16" t="n">
        <v>447.85</v>
      </c>
      <c r="S166" s="16" t="n">
        <v>447.85</v>
      </c>
      <c r="T166" s="16" t="n">
        <v>447.85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CANON-202508-000214</t>
        </is>
      </c>
      <c r="B167" s="3" t="inlineStr">
        <is>
          <t>2025-08-23</t>
        </is>
      </c>
      <c r="C167" s="3" t="inlineStr">
        <is>
          <t>Anouk Chattopadhyay</t>
        </is>
      </c>
      <c r="D167" s="3" t="inlineStr">
        <is>
          <t>MO</t>
        </is>
      </c>
      <c r="E167" s="14" t="n">
        <v>555000</v>
      </c>
      <c r="F167" s="14" t="n">
        <v>7215</v>
      </c>
      <c r="G167" s="14" t="n">
        <v>901.88</v>
      </c>
      <c r="H167" s="14" t="n">
        <v>901.88</v>
      </c>
      <c r="I167" s="14">
        <f>SUM(K167:T167)</f>
        <v/>
      </c>
      <c r="J167" s="14">
        <f>F167-(G167+H167+I167)</f>
        <v/>
      </c>
      <c r="K167" s="14" t="n">
        <v>541.12</v>
      </c>
      <c r="L167" s="14" t="n">
        <v>541.12</v>
      </c>
      <c r="M167" s="14" t="n">
        <v>541.12</v>
      </c>
      <c r="N167" s="14" t="n">
        <v>541.12</v>
      </c>
      <c r="O167" s="14" t="n">
        <v>541.12</v>
      </c>
      <c r="P167" s="14" t="n">
        <v>541.12</v>
      </c>
      <c r="Q167" s="14" t="n">
        <v>541.12</v>
      </c>
      <c r="R167" s="14" t="n">
        <v>541.12</v>
      </c>
      <c r="S167" s="14" t="n">
        <v>541.12</v>
      </c>
      <c r="T167" s="14" t="n">
        <v>541.12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CANON-202508-000215</t>
        </is>
      </c>
      <c r="B168" s="15" t="inlineStr">
        <is>
          <t>2025-08-07</t>
        </is>
      </c>
      <c r="C168" s="15" t="inlineStr">
        <is>
          <t>Lorenzo Merriweather</t>
        </is>
      </c>
      <c r="D168" s="15" t="inlineStr">
        <is>
          <t>ND</t>
        </is>
      </c>
      <c r="E168" s="16" t="n">
        <v>610000</v>
      </c>
      <c r="F168" s="16" t="n">
        <v>7630.75</v>
      </c>
      <c r="G168" s="16" t="n">
        <v>953.84</v>
      </c>
      <c r="H168" s="16" t="n">
        <v>953.84</v>
      </c>
      <c r="I168" s="16">
        <f>SUM(K168:T168)</f>
        <v/>
      </c>
      <c r="J168" s="16">
        <f>F168-(G168+H168+I168)</f>
        <v/>
      </c>
      <c r="K168" s="16" t="n">
        <v>572.3099999999999</v>
      </c>
      <c r="L168" s="16" t="n">
        <v>572.3099999999999</v>
      </c>
      <c r="M168" s="16" t="n">
        <v>572.3099999999999</v>
      </c>
      <c r="N168" s="16" t="n">
        <v>572.3099999999999</v>
      </c>
      <c r="O168" s="16" t="n">
        <v>572.3099999999999</v>
      </c>
      <c r="P168" s="16" t="n">
        <v>572.3099999999999</v>
      </c>
      <c r="Q168" s="16" t="n">
        <v>572.3099999999999</v>
      </c>
      <c r="R168" s="16" t="n">
        <v>572.3099999999999</v>
      </c>
      <c r="S168" s="16" t="n">
        <v>572.3099999999999</v>
      </c>
      <c r="T168" s="16" t="n">
        <v>572.3099999999999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CANON-202508-000216</t>
        </is>
      </c>
      <c r="B169" s="3" t="inlineStr">
        <is>
          <t>2025-08-18</t>
        </is>
      </c>
      <c r="C169" s="3" t="inlineStr">
        <is>
          <t>Fenwick Whitlock</t>
        </is>
      </c>
      <c r="D169" s="3" t="inlineStr">
        <is>
          <t>SD</t>
        </is>
      </c>
      <c r="E169" s="14" t="n">
        <v>1040000</v>
      </c>
      <c r="F169" s="14" t="n">
        <v>17424.91</v>
      </c>
      <c r="G169" s="14" t="n">
        <v>2178.11</v>
      </c>
      <c r="H169" s="14" t="n">
        <v>2178.11</v>
      </c>
      <c r="I169" s="14">
        <f>SUM(K169:T169)</f>
        <v/>
      </c>
      <c r="J169" s="14">
        <f>F169-(G169+H169+I169)</f>
        <v/>
      </c>
      <c r="K169" s="14" t="n">
        <v>1306.87</v>
      </c>
      <c r="L169" s="14" t="n">
        <v>1306.87</v>
      </c>
      <c r="M169" s="14" t="n">
        <v>1306.87</v>
      </c>
      <c r="N169" s="14" t="n">
        <v>1306.87</v>
      </c>
      <c r="O169" s="14" t="n">
        <v>1306.87</v>
      </c>
      <c r="P169" s="14" t="n">
        <v>1306.87</v>
      </c>
      <c r="Q169" s="14" t="n">
        <v>1306.87</v>
      </c>
      <c r="R169" s="14" t="n">
        <v>1306.87</v>
      </c>
      <c r="S169" s="14" t="n">
        <v>1306.87</v>
      </c>
      <c r="T169" s="14" t="n">
        <v>1306.87</v>
      </c>
      <c r="U169" s="14" t="n">
        <v>350</v>
      </c>
      <c r="V169" s="14" t="n">
        <v>250</v>
      </c>
      <c r="W169" s="14">
        <f>U169+V169</f>
        <v/>
      </c>
    </row>
    <row r="170">
      <c r="A170" s="15" t="inlineStr">
        <is>
          <t>CANON-202508-000218</t>
        </is>
      </c>
      <c r="B170" s="15" t="inlineStr">
        <is>
          <t>2025-08-17</t>
        </is>
      </c>
      <c r="C170" s="15" t="inlineStr">
        <is>
          <t>Mireille Ashcombe</t>
        </is>
      </c>
      <c r="D170" s="15" t="inlineStr">
        <is>
          <t>KS</t>
        </is>
      </c>
      <c r="E170" s="16" t="n">
        <v>710000</v>
      </c>
      <c r="F170" s="16" t="n">
        <v>4937.85</v>
      </c>
      <c r="G170" s="16" t="n">
        <v>617.23</v>
      </c>
      <c r="H170" s="16" t="n">
        <v>617.23</v>
      </c>
      <c r="I170" s="16">
        <f>SUM(K170:T170)</f>
        <v/>
      </c>
      <c r="J170" s="16">
        <f>F170-(G170+H170+I170)</f>
        <v/>
      </c>
      <c r="K170" s="16" t="n">
        <v>370.34</v>
      </c>
      <c r="L170" s="16" t="n">
        <v>370.34</v>
      </c>
      <c r="M170" s="16" t="n">
        <v>370.34</v>
      </c>
      <c r="N170" s="16" t="n">
        <v>370.34</v>
      </c>
      <c r="O170" s="16" t="n">
        <v>370.34</v>
      </c>
      <c r="P170" s="16" t="n">
        <v>370.34</v>
      </c>
      <c r="Q170" s="16" t="n">
        <v>370.34</v>
      </c>
      <c r="R170" s="16" t="n">
        <v>370.34</v>
      </c>
      <c r="S170" s="16" t="n">
        <v>370.34</v>
      </c>
      <c r="T170" s="16" t="n">
        <v>370.34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CANON-202508-000219</t>
        </is>
      </c>
      <c r="B171" s="3" t="inlineStr">
        <is>
          <t>2025-08-22</t>
        </is>
      </c>
      <c r="C171" s="3" t="inlineStr">
        <is>
          <t>Mireille Castellanos</t>
        </is>
      </c>
      <c r="D171" s="3" t="inlineStr">
        <is>
          <t>IL</t>
        </is>
      </c>
      <c r="E171" s="14" t="n">
        <v>270000</v>
      </c>
      <c r="F171" s="14" t="n">
        <v>5196.23</v>
      </c>
      <c r="G171" s="14" t="n">
        <v>649.53</v>
      </c>
      <c r="H171" s="14" t="n">
        <v>649.53</v>
      </c>
      <c r="I171" s="14">
        <f>SUM(K171:T171)</f>
        <v/>
      </c>
      <c r="J171" s="14">
        <f>F171-(G171+H171+I171)</f>
        <v/>
      </c>
      <c r="K171" s="14" t="n">
        <v>389.72</v>
      </c>
      <c r="L171" s="14" t="n">
        <v>389.72</v>
      </c>
      <c r="M171" s="14" t="n">
        <v>389.72</v>
      </c>
      <c r="N171" s="14" t="n">
        <v>389.72</v>
      </c>
      <c r="O171" s="14" t="n">
        <v>389.72</v>
      </c>
      <c r="P171" s="14" t="n">
        <v>389.72</v>
      </c>
      <c r="Q171" s="14" t="n">
        <v>389.72</v>
      </c>
      <c r="R171" s="14" t="n">
        <v>389.72</v>
      </c>
      <c r="S171" s="14" t="n">
        <v>389.72</v>
      </c>
      <c r="T171" s="14" t="n">
        <v>389.72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CANON-202508-000220</t>
        </is>
      </c>
      <c r="B172" s="15" t="inlineStr">
        <is>
          <t>2025-08-21</t>
        </is>
      </c>
      <c r="C172" s="15" t="inlineStr">
        <is>
          <t>Fitzgerald Rourke</t>
        </is>
      </c>
      <c r="D172" s="15" t="inlineStr">
        <is>
          <t>VA</t>
        </is>
      </c>
      <c r="E172" s="16" t="n">
        <v>235000</v>
      </c>
      <c r="F172" s="16" t="n">
        <v>4446.38</v>
      </c>
      <c r="G172" s="16" t="n">
        <v>555.8</v>
      </c>
      <c r="H172" s="16" t="n">
        <v>555.8</v>
      </c>
      <c r="I172" s="16">
        <f>SUM(K172:T172)</f>
        <v/>
      </c>
      <c r="J172" s="16">
        <f>F172-(G172+H172+I172)</f>
        <v/>
      </c>
      <c r="K172" s="16" t="n">
        <v>333.48</v>
      </c>
      <c r="L172" s="16" t="n">
        <v>333.48</v>
      </c>
      <c r="M172" s="16" t="n">
        <v>333.48</v>
      </c>
      <c r="N172" s="16" t="n">
        <v>333.48</v>
      </c>
      <c r="O172" s="16" t="n">
        <v>333.48</v>
      </c>
      <c r="P172" s="16" t="n">
        <v>333.48</v>
      </c>
      <c r="Q172" s="16" t="n">
        <v>333.48</v>
      </c>
      <c r="R172" s="16" t="n">
        <v>333.48</v>
      </c>
      <c r="S172" s="16" t="n">
        <v>333.48</v>
      </c>
      <c r="T172" s="16" t="n">
        <v>333.48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CANON-202508-000221</t>
        </is>
      </c>
      <c r="B173" s="3" t="inlineStr">
        <is>
          <t>2025-08-15</t>
        </is>
      </c>
      <c r="C173" s="3" t="inlineStr">
        <is>
          <t>Thaddeus Chattopadhyay</t>
        </is>
      </c>
      <c r="D173" s="3" t="inlineStr">
        <is>
          <t>FL</t>
        </is>
      </c>
      <c r="E173" s="14" t="n">
        <v>855000</v>
      </c>
      <c r="F173" s="14" t="n">
        <v>17867.89</v>
      </c>
      <c r="G173" s="14" t="n">
        <v>2233.49</v>
      </c>
      <c r="H173" s="14" t="n">
        <v>2233.49</v>
      </c>
      <c r="I173" s="14">
        <f>SUM(K173:T173)</f>
        <v/>
      </c>
      <c r="J173" s="14">
        <f>F173-(G173+H173+I173)</f>
        <v/>
      </c>
      <c r="K173" s="14" t="n">
        <v>1340.09</v>
      </c>
      <c r="L173" s="14" t="n">
        <v>1340.09</v>
      </c>
      <c r="M173" s="14" t="n">
        <v>1340.09</v>
      </c>
      <c r="N173" s="14" t="n">
        <v>1340.09</v>
      </c>
      <c r="O173" s="14" t="n">
        <v>1340.09</v>
      </c>
      <c r="P173" s="14" t="n">
        <v>1340.09</v>
      </c>
      <c r="Q173" s="14" t="n">
        <v>1340.09</v>
      </c>
      <c r="R173" s="14" t="n">
        <v>1340.09</v>
      </c>
      <c r="S173" s="14" t="n">
        <v>1340.09</v>
      </c>
      <c r="T173" s="14" t="n">
        <v>1340.09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CANON-202508-000222</t>
        </is>
      </c>
      <c r="B174" s="15" t="inlineStr">
        <is>
          <t>2025-08-11</t>
        </is>
      </c>
      <c r="C174" s="15" t="inlineStr">
        <is>
          <t>Ottilie Vandermeer</t>
        </is>
      </c>
      <c r="D174" s="15" t="inlineStr">
        <is>
          <t>ID</t>
        </is>
      </c>
      <c r="E174" s="16" t="n">
        <v>690000</v>
      </c>
      <c r="F174" s="16" t="n">
        <v>8377.639999999999</v>
      </c>
      <c r="G174" s="16" t="n">
        <v>1047.2</v>
      </c>
      <c r="H174" s="16" t="n">
        <v>1047.2</v>
      </c>
      <c r="I174" s="16">
        <f>SUM(K174:T174)</f>
        <v/>
      </c>
      <c r="J174" s="16">
        <f>F174-(G174+H174+I174)</f>
        <v/>
      </c>
      <c r="K174" s="16" t="n">
        <v>628.3200000000001</v>
      </c>
      <c r="L174" s="16" t="n">
        <v>628.3200000000001</v>
      </c>
      <c r="M174" s="16" t="n">
        <v>628.3200000000001</v>
      </c>
      <c r="N174" s="16" t="n">
        <v>628.3200000000001</v>
      </c>
      <c r="O174" s="16" t="n">
        <v>628.3200000000001</v>
      </c>
      <c r="P174" s="16" t="n">
        <v>628.3200000000001</v>
      </c>
      <c r="Q174" s="16" t="n">
        <v>628.3200000000001</v>
      </c>
      <c r="R174" s="16" t="n">
        <v>628.3200000000001</v>
      </c>
      <c r="S174" s="16" t="n">
        <v>628.3200000000001</v>
      </c>
      <c r="T174" s="16" t="n">
        <v>628.3200000000001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CANON-202508-000224</t>
        </is>
      </c>
      <c r="B175" s="3" t="inlineStr">
        <is>
          <t>2025-08-01</t>
        </is>
      </c>
      <c r="C175" s="3" t="inlineStr">
        <is>
          <t>Everett Nakashima</t>
        </is>
      </c>
      <c r="D175" s="3" t="inlineStr">
        <is>
          <t>MN</t>
        </is>
      </c>
      <c r="E175" s="14" t="n">
        <v>1270000</v>
      </c>
      <c r="F175" s="14" t="n">
        <v>25304.15</v>
      </c>
      <c r="G175" s="14" t="n">
        <v>3163.02</v>
      </c>
      <c r="H175" s="14" t="n">
        <v>3163.02</v>
      </c>
      <c r="I175" s="14">
        <f>SUM(K175:T175)</f>
        <v/>
      </c>
      <c r="J175" s="14">
        <f>F175-(G175+H175+I175)</f>
        <v/>
      </c>
      <c r="K175" s="14" t="n">
        <v>1897.81</v>
      </c>
      <c r="L175" s="14" t="n">
        <v>1897.81</v>
      </c>
      <c r="M175" s="14" t="n">
        <v>1897.81</v>
      </c>
      <c r="N175" s="14" t="n">
        <v>1897.81</v>
      </c>
      <c r="O175" s="14" t="n">
        <v>1897.81</v>
      </c>
      <c r="P175" s="14" t="n">
        <v>1897.81</v>
      </c>
      <c r="Q175" s="14" t="n">
        <v>1897.81</v>
      </c>
      <c r="R175" s="14" t="n">
        <v>1897.81</v>
      </c>
      <c r="S175" s="14" t="n">
        <v>1897.81</v>
      </c>
      <c r="T175" s="14" t="n">
        <v>1897.81</v>
      </c>
      <c r="U175" s="14" t="n">
        <v>350</v>
      </c>
      <c r="V175" s="14" t="n">
        <v>250</v>
      </c>
      <c r="W175" s="14">
        <f>U175+V175</f>
        <v/>
      </c>
    </row>
    <row r="176">
      <c r="A176" s="15" t="inlineStr">
        <is>
          <t>CANON-202508-000225</t>
        </is>
      </c>
      <c r="B176" s="15" t="inlineStr">
        <is>
          <t>2025-08-29</t>
        </is>
      </c>
      <c r="C176" s="15" t="inlineStr">
        <is>
          <t>Sunniva Fairweather</t>
        </is>
      </c>
      <c r="D176" s="15" t="inlineStr">
        <is>
          <t>MS</t>
        </is>
      </c>
      <c r="E176" s="16" t="n">
        <v>350000</v>
      </c>
      <c r="F176" s="16" t="n">
        <v>5893.87</v>
      </c>
      <c r="G176" s="16" t="n">
        <v>736.73</v>
      </c>
      <c r="H176" s="16" t="n">
        <v>736.73</v>
      </c>
      <c r="I176" s="16">
        <f>SUM(K176:T176)</f>
        <v/>
      </c>
      <c r="J176" s="16">
        <f>F176-(G176+H176+I176)</f>
        <v/>
      </c>
      <c r="K176" s="16" t="n">
        <v>442.04</v>
      </c>
      <c r="L176" s="16" t="n">
        <v>442.04</v>
      </c>
      <c r="M176" s="16" t="n">
        <v>442.04</v>
      </c>
      <c r="N176" s="16" t="n">
        <v>442.04</v>
      </c>
      <c r="O176" s="16" t="n">
        <v>442.04</v>
      </c>
      <c r="P176" s="16" t="n">
        <v>442.04</v>
      </c>
      <c r="Q176" s="16" t="n">
        <v>442.04</v>
      </c>
      <c r="R176" s="16" t="n">
        <v>442.04</v>
      </c>
      <c r="S176" s="16" t="n">
        <v>442.04</v>
      </c>
      <c r="T176" s="16" t="n">
        <v>442.04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CANON-202508-000226</t>
        </is>
      </c>
      <c r="B177" s="3" t="inlineStr">
        <is>
          <t>2025-08-23</t>
        </is>
      </c>
      <c r="C177" s="3" t="inlineStr">
        <is>
          <t>Anouk Pennington</t>
        </is>
      </c>
      <c r="D177" s="3" t="inlineStr">
        <is>
          <t>CA</t>
        </is>
      </c>
      <c r="E177" s="14" t="n">
        <v>915000</v>
      </c>
      <c r="F177" s="14" t="n">
        <v>15149.29</v>
      </c>
      <c r="G177" s="14" t="n">
        <v>1893.66</v>
      </c>
      <c r="H177" s="14" t="n">
        <v>1893.66</v>
      </c>
      <c r="I177" s="14">
        <f>SUM(K177:T177)</f>
        <v/>
      </c>
      <c r="J177" s="14">
        <f>F177-(G177+H177+I177)</f>
        <v/>
      </c>
      <c r="K177" s="14" t="n">
        <v>1136.2</v>
      </c>
      <c r="L177" s="14" t="n">
        <v>1136.2</v>
      </c>
      <c r="M177" s="14" t="n">
        <v>1136.2</v>
      </c>
      <c r="N177" s="14" t="n">
        <v>1136.2</v>
      </c>
      <c r="O177" s="14" t="n">
        <v>1136.2</v>
      </c>
      <c r="P177" s="14" t="n">
        <v>1136.2</v>
      </c>
      <c r="Q177" s="14" t="n">
        <v>1136.2</v>
      </c>
      <c r="R177" s="14" t="n">
        <v>1136.2</v>
      </c>
      <c r="S177" s="14" t="n">
        <v>1136.2</v>
      </c>
      <c r="T177" s="14" t="n">
        <v>1136.2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CANON-202508-000227</t>
        </is>
      </c>
      <c r="B178" s="15" t="inlineStr">
        <is>
          <t>2025-08-21</t>
        </is>
      </c>
      <c r="C178" s="15" t="inlineStr">
        <is>
          <t>Desmond Merriweather</t>
        </is>
      </c>
      <c r="D178" s="15" t="inlineStr">
        <is>
          <t>PA</t>
        </is>
      </c>
      <c r="E178" s="16" t="n">
        <v>660000</v>
      </c>
      <c r="F178" s="16" t="n">
        <v>8094.34</v>
      </c>
      <c r="G178" s="16" t="n">
        <v>1011.79</v>
      </c>
      <c r="H178" s="16" t="n">
        <v>1011.79</v>
      </c>
      <c r="I178" s="16">
        <f>SUM(K178:T178)</f>
        <v/>
      </c>
      <c r="J178" s="16">
        <f>F178-(G178+H178+I178)</f>
        <v/>
      </c>
      <c r="K178" s="16" t="n">
        <v>607.08</v>
      </c>
      <c r="L178" s="16" t="n">
        <v>607.08</v>
      </c>
      <c r="M178" s="16" t="n">
        <v>607.08</v>
      </c>
      <c r="N178" s="16" t="n">
        <v>607.08</v>
      </c>
      <c r="O178" s="16" t="n">
        <v>607.08</v>
      </c>
      <c r="P178" s="16" t="n">
        <v>607.08</v>
      </c>
      <c r="Q178" s="16" t="n">
        <v>607.08</v>
      </c>
      <c r="R178" s="16" t="n">
        <v>607.08</v>
      </c>
      <c r="S178" s="16" t="n">
        <v>607.08</v>
      </c>
      <c r="T178" s="16" t="n">
        <v>607.08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CANON-202508-000228</t>
        </is>
      </c>
      <c r="B179" s="3" t="inlineStr">
        <is>
          <t>2025-08-08</t>
        </is>
      </c>
      <c r="C179" s="3" t="inlineStr">
        <is>
          <t>Fenwick Rourke</t>
        </is>
      </c>
      <c r="D179" s="3" t="inlineStr">
        <is>
          <t>CT</t>
        </is>
      </c>
      <c r="E179" s="14" t="n">
        <v>1055000</v>
      </c>
      <c r="F179" s="14" t="n">
        <v>12261.89</v>
      </c>
      <c r="G179" s="14" t="n">
        <v>1532.74</v>
      </c>
      <c r="H179" s="14" t="n">
        <v>1532.74</v>
      </c>
      <c r="I179" s="14">
        <f>SUM(K179:T179)</f>
        <v/>
      </c>
      <c r="J179" s="14">
        <f>F179-(G179+H179+I179)</f>
        <v/>
      </c>
      <c r="K179" s="14" t="n">
        <v>919.64</v>
      </c>
      <c r="L179" s="14" t="n">
        <v>919.64</v>
      </c>
      <c r="M179" s="14" t="n">
        <v>919.64</v>
      </c>
      <c r="N179" s="14" t="n">
        <v>919.64</v>
      </c>
      <c r="O179" s="14" t="n">
        <v>919.64</v>
      </c>
      <c r="P179" s="14" t="n">
        <v>919.64</v>
      </c>
      <c r="Q179" s="14" t="n">
        <v>919.64</v>
      </c>
      <c r="R179" s="14" t="n">
        <v>919.64</v>
      </c>
      <c r="S179" s="14" t="n">
        <v>919.64</v>
      </c>
      <c r="T179" s="14" t="n">
        <v>919.64</v>
      </c>
      <c r="U179" s="14" t="n">
        <v>350</v>
      </c>
      <c r="V179" s="14" t="n">
        <v>250</v>
      </c>
      <c r="W179" s="14">
        <f>U179+V179</f>
        <v/>
      </c>
    </row>
    <row r="180">
      <c r="A180" s="15" t="inlineStr">
        <is>
          <t>CANON-202508-000230</t>
        </is>
      </c>
      <c r="B180" s="15" t="inlineStr">
        <is>
          <t>2025-08-05</t>
        </is>
      </c>
      <c r="C180" s="15" t="inlineStr">
        <is>
          <t>Priya Okonkwo</t>
        </is>
      </c>
      <c r="D180" s="15" t="inlineStr">
        <is>
          <t>WA</t>
        </is>
      </c>
      <c r="E180" s="16" t="n">
        <v>360000</v>
      </c>
      <c r="F180" s="16" t="n">
        <v>7498.87</v>
      </c>
      <c r="G180" s="16" t="n">
        <v>937.36</v>
      </c>
      <c r="H180" s="16" t="n">
        <v>937.36</v>
      </c>
      <c r="I180" s="16">
        <f>SUM(K180:T180)</f>
        <v/>
      </c>
      <c r="J180" s="16">
        <f>F180-(G180+H180+I180)</f>
        <v/>
      </c>
      <c r="K180" s="16" t="n">
        <v>562.42</v>
      </c>
      <c r="L180" s="16" t="n">
        <v>562.42</v>
      </c>
      <c r="M180" s="16" t="n">
        <v>562.42</v>
      </c>
      <c r="N180" s="16" t="n">
        <v>562.42</v>
      </c>
      <c r="O180" s="16" t="n">
        <v>562.42</v>
      </c>
      <c r="P180" s="16" t="n">
        <v>562.42</v>
      </c>
      <c r="Q180" s="16" t="n">
        <v>562.42</v>
      </c>
      <c r="R180" s="16" t="n">
        <v>562.42</v>
      </c>
      <c r="S180" s="16" t="n">
        <v>562.42</v>
      </c>
      <c r="T180" s="16" t="n">
        <v>562.42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CANON-202508-000231</t>
        </is>
      </c>
      <c r="B181" s="3" t="inlineStr">
        <is>
          <t>2025-08-20</t>
        </is>
      </c>
      <c r="C181" s="3" t="inlineStr">
        <is>
          <t>Everett Larsson</t>
        </is>
      </c>
      <c r="D181" s="3" t="inlineStr">
        <is>
          <t>AR</t>
        </is>
      </c>
      <c r="E181" s="14" t="n">
        <v>670000</v>
      </c>
      <c r="F181" s="14" t="n">
        <v>11339.43</v>
      </c>
      <c r="G181" s="14" t="n">
        <v>1417.43</v>
      </c>
      <c r="H181" s="14" t="n">
        <v>1417.43</v>
      </c>
      <c r="I181" s="14">
        <f>SUM(K181:T181)</f>
        <v/>
      </c>
      <c r="J181" s="14">
        <f>F181-(G181+H181+I181)</f>
        <v/>
      </c>
      <c r="K181" s="14" t="n">
        <v>850.46</v>
      </c>
      <c r="L181" s="14" t="n">
        <v>850.46</v>
      </c>
      <c r="M181" s="14" t="n">
        <v>850.46</v>
      </c>
      <c r="N181" s="14" t="n">
        <v>850.46</v>
      </c>
      <c r="O181" s="14" t="n">
        <v>850.46</v>
      </c>
      <c r="P181" s="14" t="n">
        <v>850.46</v>
      </c>
      <c r="Q181" s="14" t="n">
        <v>850.46</v>
      </c>
      <c r="R181" s="14" t="n">
        <v>850.46</v>
      </c>
      <c r="S181" s="14" t="n">
        <v>850.46</v>
      </c>
      <c r="T181" s="14" t="n">
        <v>850.46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CANON-202508-000234</t>
        </is>
      </c>
      <c r="B182" s="15" t="inlineStr">
        <is>
          <t>2025-08-27</t>
        </is>
      </c>
      <c r="C182" s="15" t="inlineStr">
        <is>
          <t>Cassius Delacroix</t>
        </is>
      </c>
      <c r="D182" s="15" t="inlineStr">
        <is>
          <t>NJ</t>
        </is>
      </c>
      <c r="E182" s="16" t="n">
        <v>380000</v>
      </c>
      <c r="F182" s="16" t="n">
        <v>4893.4</v>
      </c>
      <c r="G182" s="16" t="n">
        <v>611.67</v>
      </c>
      <c r="H182" s="16" t="n">
        <v>611.67</v>
      </c>
      <c r="I182" s="16">
        <f>SUM(K182:T182)</f>
        <v/>
      </c>
      <c r="J182" s="16">
        <f>F182-(G182+H182+I182)</f>
        <v/>
      </c>
      <c r="K182" s="16" t="n">
        <v>367</v>
      </c>
      <c r="L182" s="16" t="n">
        <v>367</v>
      </c>
      <c r="M182" s="16" t="n">
        <v>367</v>
      </c>
      <c r="N182" s="16" t="n">
        <v>367</v>
      </c>
      <c r="O182" s="16" t="n">
        <v>367</v>
      </c>
      <c r="P182" s="16" t="n">
        <v>367</v>
      </c>
      <c r="Q182" s="16" t="n">
        <v>367</v>
      </c>
      <c r="R182" s="16" t="n">
        <v>367</v>
      </c>
      <c r="S182" s="16" t="n">
        <v>367</v>
      </c>
      <c r="T182" s="16" t="n">
        <v>367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CANON-202508-000235</t>
        </is>
      </c>
      <c r="B183" s="3" t="inlineStr">
        <is>
          <t>2025-08-01</t>
        </is>
      </c>
      <c r="C183" s="3" t="inlineStr">
        <is>
          <t>Fitzgerald Castellanos</t>
        </is>
      </c>
      <c r="D183" s="3" t="inlineStr">
        <is>
          <t>NJ</t>
        </is>
      </c>
      <c r="E183" s="14" t="n">
        <v>890000</v>
      </c>
      <c r="F183" s="14" t="n">
        <v>9932.74</v>
      </c>
      <c r="G183" s="14" t="n">
        <v>1241.59</v>
      </c>
      <c r="H183" s="14" t="n">
        <v>1241.59</v>
      </c>
      <c r="I183" s="14">
        <f>SUM(K183:T183)</f>
        <v/>
      </c>
      <c r="J183" s="14">
        <f>F183-(G183+H183+I183)</f>
        <v/>
      </c>
      <c r="K183" s="14" t="n">
        <v>744.96</v>
      </c>
      <c r="L183" s="14" t="n">
        <v>744.96</v>
      </c>
      <c r="M183" s="14" t="n">
        <v>744.96</v>
      </c>
      <c r="N183" s="14" t="n">
        <v>744.96</v>
      </c>
      <c r="O183" s="14" t="n">
        <v>744.96</v>
      </c>
      <c r="P183" s="14" t="n">
        <v>744.96</v>
      </c>
      <c r="Q183" s="14" t="n">
        <v>744.96</v>
      </c>
      <c r="R183" s="14" t="n">
        <v>744.96</v>
      </c>
      <c r="S183" s="14" t="n">
        <v>744.96</v>
      </c>
      <c r="T183" s="14" t="n">
        <v>744.96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CANON-202508-000236</t>
        </is>
      </c>
      <c r="B184" s="15" t="inlineStr">
        <is>
          <t>2025-08-11</t>
        </is>
      </c>
      <c r="C184" s="15" t="inlineStr">
        <is>
          <t>Fenwick Delacroix</t>
        </is>
      </c>
      <c r="D184" s="15" t="inlineStr">
        <is>
          <t>IL</t>
        </is>
      </c>
      <c r="E184" s="16" t="n">
        <v>460000</v>
      </c>
      <c r="F184" s="16" t="n">
        <v>10387.32</v>
      </c>
      <c r="G184" s="16" t="n">
        <v>1298.41</v>
      </c>
      <c r="H184" s="16" t="n">
        <v>1298.41</v>
      </c>
      <c r="I184" s="16">
        <f>SUM(K184:T184)</f>
        <v/>
      </c>
      <c r="J184" s="16">
        <f>F184-(G184+H184+I184)</f>
        <v/>
      </c>
      <c r="K184" s="16" t="n">
        <v>779.05</v>
      </c>
      <c r="L184" s="16" t="n">
        <v>779.05</v>
      </c>
      <c r="M184" s="16" t="n">
        <v>779.05</v>
      </c>
      <c r="N184" s="16" t="n">
        <v>779.05</v>
      </c>
      <c r="O184" s="16" t="n">
        <v>779.05</v>
      </c>
      <c r="P184" s="16" t="n">
        <v>779.05</v>
      </c>
      <c r="Q184" s="16" t="n">
        <v>779.05</v>
      </c>
      <c r="R184" s="16" t="n">
        <v>779.05</v>
      </c>
      <c r="S184" s="16" t="n">
        <v>779.05</v>
      </c>
      <c r="T184" s="16" t="n">
        <v>779.05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CANON-202508-000238</t>
        </is>
      </c>
      <c r="B185" s="3" t="inlineStr">
        <is>
          <t>2025-08-13</t>
        </is>
      </c>
      <c r="C185" s="3" t="inlineStr">
        <is>
          <t>Desmond Vandermeer</t>
        </is>
      </c>
      <c r="D185" s="3" t="inlineStr">
        <is>
          <t>AR</t>
        </is>
      </c>
      <c r="E185" s="14" t="n">
        <v>1440000</v>
      </c>
      <c r="F185" s="14" t="n">
        <v>20621.89</v>
      </c>
      <c r="G185" s="14" t="n">
        <v>2577.74</v>
      </c>
      <c r="H185" s="14" t="n">
        <v>2577.74</v>
      </c>
      <c r="I185" s="14">
        <f>SUM(K185:T185)</f>
        <v/>
      </c>
      <c r="J185" s="14">
        <f>F185-(G185+H185+I185)</f>
        <v/>
      </c>
      <c r="K185" s="14" t="n">
        <v>1546.64</v>
      </c>
      <c r="L185" s="14" t="n">
        <v>1546.64</v>
      </c>
      <c r="M185" s="14" t="n">
        <v>1546.64</v>
      </c>
      <c r="N185" s="14" t="n">
        <v>1546.64</v>
      </c>
      <c r="O185" s="14" t="n">
        <v>1546.64</v>
      </c>
      <c r="P185" s="14" t="n">
        <v>1546.64</v>
      </c>
      <c r="Q185" s="14" t="n">
        <v>1546.64</v>
      </c>
      <c r="R185" s="14" t="n">
        <v>1546.64</v>
      </c>
      <c r="S185" s="14" t="n">
        <v>1546.64</v>
      </c>
      <c r="T185" s="14" t="n">
        <v>1546.64</v>
      </c>
      <c r="U185" s="14" t="n">
        <v>350</v>
      </c>
      <c r="V185" s="14" t="n">
        <v>250</v>
      </c>
      <c r="W185" s="14">
        <f>U185+V185</f>
        <v/>
      </c>
    </row>
    <row r="186">
      <c r="A186" s="15" t="inlineStr">
        <is>
          <t>CANON-202508-000240</t>
        </is>
      </c>
      <c r="B186" s="15" t="inlineStr">
        <is>
          <t>2025-08-23</t>
        </is>
      </c>
      <c r="C186" s="15" t="inlineStr">
        <is>
          <t>Marisol Merriweather</t>
        </is>
      </c>
      <c r="D186" s="15" t="inlineStr">
        <is>
          <t>TN</t>
        </is>
      </c>
      <c r="E186" s="16" t="n">
        <v>795000</v>
      </c>
      <c r="F186" s="16" t="n">
        <v>9555</v>
      </c>
      <c r="G186" s="16" t="n">
        <v>1194.38</v>
      </c>
      <c r="H186" s="16" t="n">
        <v>1194.38</v>
      </c>
      <c r="I186" s="16">
        <f>SUM(K186:T186)</f>
        <v/>
      </c>
      <c r="J186" s="16">
        <f>F186-(G186+H186+I186)</f>
        <v/>
      </c>
      <c r="K186" s="16" t="n">
        <v>716.62</v>
      </c>
      <c r="L186" s="16" t="n">
        <v>716.62</v>
      </c>
      <c r="M186" s="16" t="n">
        <v>716.62</v>
      </c>
      <c r="N186" s="16" t="n">
        <v>716.62</v>
      </c>
      <c r="O186" s="16" t="n">
        <v>716.62</v>
      </c>
      <c r="P186" s="16" t="n">
        <v>716.62</v>
      </c>
      <c r="Q186" s="16" t="n">
        <v>716.62</v>
      </c>
      <c r="R186" s="16" t="n">
        <v>716.62</v>
      </c>
      <c r="S186" s="16" t="n">
        <v>716.62</v>
      </c>
      <c r="T186" s="16" t="n">
        <v>716.62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CANON-202508-000241</t>
        </is>
      </c>
      <c r="B187" s="3" t="inlineStr">
        <is>
          <t>2025-08-12</t>
        </is>
      </c>
      <c r="C187" s="3" t="inlineStr">
        <is>
          <t>Leopold Rourke</t>
        </is>
      </c>
      <c r="D187" s="3" t="inlineStr">
        <is>
          <t>NY</t>
        </is>
      </c>
      <c r="E187" s="14" t="n">
        <v>265000</v>
      </c>
      <c r="F187" s="14" t="n">
        <v>4800</v>
      </c>
      <c r="G187" s="14" t="n">
        <v>600</v>
      </c>
      <c r="H187" s="14" t="n">
        <v>600</v>
      </c>
      <c r="I187" s="14">
        <f>SUM(K187:T187)</f>
        <v/>
      </c>
      <c r="J187" s="14">
        <f>F187-(G187+H187+I187)</f>
        <v/>
      </c>
      <c r="K187" s="14" t="n">
        <v>360</v>
      </c>
      <c r="L187" s="14" t="n">
        <v>360</v>
      </c>
      <c r="M187" s="14" t="n">
        <v>360</v>
      </c>
      <c r="N187" s="14" t="n">
        <v>360</v>
      </c>
      <c r="O187" s="14" t="n">
        <v>360</v>
      </c>
      <c r="P187" s="14" t="n">
        <v>360</v>
      </c>
      <c r="Q187" s="14" t="n">
        <v>360</v>
      </c>
      <c r="R187" s="14" t="n">
        <v>360</v>
      </c>
      <c r="S187" s="14" t="n">
        <v>360</v>
      </c>
      <c r="T187" s="14" t="n">
        <v>360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CANON-202508-000243</t>
        </is>
      </c>
      <c r="B188" s="15" t="inlineStr">
        <is>
          <t>2025-08-30</t>
        </is>
      </c>
      <c r="C188" s="15" t="inlineStr">
        <is>
          <t>Wilhelmina Harrington</t>
        </is>
      </c>
      <c r="D188" s="15" t="inlineStr">
        <is>
          <t>DE</t>
        </is>
      </c>
      <c r="E188" s="16" t="n">
        <v>765000</v>
      </c>
      <c r="F188" s="16" t="n">
        <v>11727.59</v>
      </c>
      <c r="G188" s="16" t="n">
        <v>1465.95</v>
      </c>
      <c r="H188" s="16" t="n">
        <v>1465.95</v>
      </c>
      <c r="I188" s="16">
        <f>SUM(K188:T188)</f>
        <v/>
      </c>
      <c r="J188" s="16">
        <f>F188-(G188+H188+I188)</f>
        <v/>
      </c>
      <c r="K188" s="16" t="n">
        <v>879.5700000000001</v>
      </c>
      <c r="L188" s="16" t="n">
        <v>879.5700000000001</v>
      </c>
      <c r="M188" s="16" t="n">
        <v>879.5700000000001</v>
      </c>
      <c r="N188" s="16" t="n">
        <v>879.5700000000001</v>
      </c>
      <c r="O188" s="16" t="n">
        <v>879.5700000000001</v>
      </c>
      <c r="P188" s="16" t="n">
        <v>879.5700000000001</v>
      </c>
      <c r="Q188" s="16" t="n">
        <v>879.5700000000001</v>
      </c>
      <c r="R188" s="16" t="n">
        <v>879.5700000000001</v>
      </c>
      <c r="S188" s="16" t="n">
        <v>879.5700000000001</v>
      </c>
      <c r="T188" s="16" t="n">
        <v>879.5700000000001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CANON-202508-000244</t>
        </is>
      </c>
      <c r="B189" s="3" t="inlineStr">
        <is>
          <t>2025-08-10</t>
        </is>
      </c>
      <c r="C189" s="3" t="inlineStr">
        <is>
          <t>Wilhelmina Delacroix</t>
        </is>
      </c>
      <c r="D189" s="3" t="inlineStr">
        <is>
          <t>LA</t>
        </is>
      </c>
      <c r="E189" s="14" t="n">
        <v>640000</v>
      </c>
      <c r="F189" s="14" t="n">
        <v>9497.360000000001</v>
      </c>
      <c r="G189" s="14" t="n">
        <v>1187.17</v>
      </c>
      <c r="H189" s="14" t="n">
        <v>1187.17</v>
      </c>
      <c r="I189" s="14">
        <f>SUM(K189:T189)</f>
        <v/>
      </c>
      <c r="J189" s="14">
        <f>F189-(G189+H189+I189)</f>
        <v/>
      </c>
      <c r="K189" s="14" t="n">
        <v>712.3</v>
      </c>
      <c r="L189" s="14" t="n">
        <v>712.3</v>
      </c>
      <c r="M189" s="14" t="n">
        <v>712.3</v>
      </c>
      <c r="N189" s="14" t="n">
        <v>712.3</v>
      </c>
      <c r="O189" s="14" t="n">
        <v>712.3</v>
      </c>
      <c r="P189" s="14" t="n">
        <v>712.3</v>
      </c>
      <c r="Q189" s="14" t="n">
        <v>712.3</v>
      </c>
      <c r="R189" s="14" t="n">
        <v>712.3</v>
      </c>
      <c r="S189" s="14" t="n">
        <v>712.3</v>
      </c>
      <c r="T189" s="14" t="n">
        <v>712.3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CANON-202508-000245</t>
        </is>
      </c>
      <c r="B190" s="15" t="inlineStr">
        <is>
          <t>2025-08-16</t>
        </is>
      </c>
      <c r="C190" s="15" t="inlineStr">
        <is>
          <t>Ottilie Thistlewood</t>
        </is>
      </c>
      <c r="D190" s="15" t="inlineStr">
        <is>
          <t>NJ</t>
        </is>
      </c>
      <c r="E190" s="16" t="n">
        <v>450000</v>
      </c>
      <c r="F190" s="16" t="n">
        <v>5794.81</v>
      </c>
      <c r="G190" s="16" t="n">
        <v>724.35</v>
      </c>
      <c r="H190" s="16" t="n">
        <v>724.35</v>
      </c>
      <c r="I190" s="16">
        <f>SUM(K190:T190)</f>
        <v/>
      </c>
      <c r="J190" s="16">
        <f>F190-(G190+H190+I190)</f>
        <v/>
      </c>
      <c r="K190" s="16" t="n">
        <v>434.61</v>
      </c>
      <c r="L190" s="16" t="n">
        <v>434.61</v>
      </c>
      <c r="M190" s="16" t="n">
        <v>434.61</v>
      </c>
      <c r="N190" s="16" t="n">
        <v>434.61</v>
      </c>
      <c r="O190" s="16" t="n">
        <v>434.61</v>
      </c>
      <c r="P190" s="16" t="n">
        <v>434.61</v>
      </c>
      <c r="Q190" s="16" t="n">
        <v>434.61</v>
      </c>
      <c r="R190" s="16" t="n">
        <v>434.61</v>
      </c>
      <c r="S190" s="16" t="n">
        <v>434.61</v>
      </c>
      <c r="T190" s="16" t="n">
        <v>434.61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CANON-202508-000246</t>
        </is>
      </c>
      <c r="B191" s="3" t="inlineStr">
        <is>
          <t>2025-08-31</t>
        </is>
      </c>
      <c r="C191" s="3" t="inlineStr">
        <is>
          <t>Cassius Castellanos</t>
        </is>
      </c>
      <c r="D191" s="3" t="inlineStr">
        <is>
          <t>NY</t>
        </is>
      </c>
      <c r="E191" s="14" t="n">
        <v>385000</v>
      </c>
      <c r="F191" s="14" t="n">
        <v>6973.58</v>
      </c>
      <c r="G191" s="14" t="n">
        <v>871.7</v>
      </c>
      <c r="H191" s="14" t="n">
        <v>871.7</v>
      </c>
      <c r="I191" s="14">
        <f>SUM(K191:T191)</f>
        <v/>
      </c>
      <c r="J191" s="14">
        <f>F191-(G191+H191+I191)</f>
        <v/>
      </c>
      <c r="K191" s="14" t="n">
        <v>523.02</v>
      </c>
      <c r="L191" s="14" t="n">
        <v>523.02</v>
      </c>
      <c r="M191" s="14" t="n">
        <v>523.02</v>
      </c>
      <c r="N191" s="14" t="n">
        <v>523.02</v>
      </c>
      <c r="O191" s="14" t="n">
        <v>523.02</v>
      </c>
      <c r="P191" s="14" t="n">
        <v>523.02</v>
      </c>
      <c r="Q191" s="14" t="n">
        <v>523.02</v>
      </c>
      <c r="R191" s="14" t="n">
        <v>523.02</v>
      </c>
      <c r="S191" s="14" t="n">
        <v>523.02</v>
      </c>
      <c r="T191" s="14" t="n">
        <v>523.02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CANON-202508-000247</t>
        </is>
      </c>
      <c r="B192" s="15" t="inlineStr">
        <is>
          <t>2025-08-14</t>
        </is>
      </c>
      <c r="C192" s="15" t="inlineStr">
        <is>
          <t>Leopold Fairweather</t>
        </is>
      </c>
      <c r="D192" s="15" t="inlineStr">
        <is>
          <t>TX</t>
        </is>
      </c>
      <c r="E192" s="16" t="n">
        <v>395000</v>
      </c>
      <c r="F192" s="16" t="n">
        <v>6428.07</v>
      </c>
      <c r="G192" s="16" t="n">
        <v>803.51</v>
      </c>
      <c r="H192" s="16" t="n">
        <v>803.51</v>
      </c>
      <c r="I192" s="16">
        <f>SUM(K192:T192)</f>
        <v/>
      </c>
      <c r="J192" s="16">
        <f>F192-(G192+H192+I192)</f>
        <v/>
      </c>
      <c r="K192" s="16" t="n">
        <v>482.11</v>
      </c>
      <c r="L192" s="16" t="n">
        <v>482.11</v>
      </c>
      <c r="M192" s="16" t="n">
        <v>482.11</v>
      </c>
      <c r="N192" s="16" t="n">
        <v>482.11</v>
      </c>
      <c r="O192" s="16" t="n">
        <v>482.11</v>
      </c>
      <c r="P192" s="16" t="n">
        <v>482.11</v>
      </c>
      <c r="Q192" s="16" t="n">
        <v>482.11</v>
      </c>
      <c r="R192" s="16" t="n">
        <v>482.11</v>
      </c>
      <c r="S192" s="16" t="n">
        <v>482.11</v>
      </c>
      <c r="T192" s="16" t="n">
        <v>482.11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CANON-202508-000248</t>
        </is>
      </c>
      <c r="B193" s="3" t="inlineStr">
        <is>
          <t>2025-08-01</t>
        </is>
      </c>
      <c r="C193" s="3" t="inlineStr">
        <is>
          <t>Fenwick Larsson</t>
        </is>
      </c>
      <c r="D193" s="3" t="inlineStr">
        <is>
          <t>LA</t>
        </is>
      </c>
      <c r="E193" s="14" t="n">
        <v>155000</v>
      </c>
      <c r="F193" s="14" t="n">
        <v>3255.58</v>
      </c>
      <c r="G193" s="14" t="n">
        <v>406.95</v>
      </c>
      <c r="H193" s="14" t="n">
        <v>406.95</v>
      </c>
      <c r="I193" s="14">
        <f>SUM(K193:T193)</f>
        <v/>
      </c>
      <c r="J193" s="14">
        <f>F193-(G193+H193+I193)</f>
        <v/>
      </c>
      <c r="K193" s="14" t="n">
        <v>244.17</v>
      </c>
      <c r="L193" s="14" t="n">
        <v>244.17</v>
      </c>
      <c r="M193" s="14" t="n">
        <v>244.17</v>
      </c>
      <c r="N193" s="14" t="n">
        <v>244.17</v>
      </c>
      <c r="O193" s="14" t="n">
        <v>244.17</v>
      </c>
      <c r="P193" s="14" t="n">
        <v>244.17</v>
      </c>
      <c r="Q193" s="14" t="n">
        <v>244.17</v>
      </c>
      <c r="R193" s="14" t="n">
        <v>244.17</v>
      </c>
      <c r="S193" s="14" t="n">
        <v>244.17</v>
      </c>
      <c r="T193" s="14" t="n">
        <v>244.17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CANON-202508-000249</t>
        </is>
      </c>
      <c r="B194" s="15" t="inlineStr">
        <is>
          <t>2025-08-28</t>
        </is>
      </c>
      <c r="C194" s="15" t="inlineStr">
        <is>
          <t>Saoirse Nakashima</t>
        </is>
      </c>
      <c r="D194" s="15" t="inlineStr">
        <is>
          <t>NY</t>
        </is>
      </c>
      <c r="E194" s="16" t="n">
        <v>250000</v>
      </c>
      <c r="F194" s="16" t="n">
        <v>2898.11</v>
      </c>
      <c r="G194" s="16" t="n">
        <v>362.26</v>
      </c>
      <c r="H194" s="16" t="n">
        <v>362.26</v>
      </c>
      <c r="I194" s="16">
        <f>SUM(K194:T194)</f>
        <v/>
      </c>
      <c r="J194" s="16">
        <f>F194-(G194+H194+I194)</f>
        <v/>
      </c>
      <c r="K194" s="16" t="n">
        <v>217.36</v>
      </c>
      <c r="L194" s="16" t="n">
        <v>217.36</v>
      </c>
      <c r="M194" s="16" t="n">
        <v>217.36</v>
      </c>
      <c r="N194" s="16" t="n">
        <v>217.36</v>
      </c>
      <c r="O194" s="16" t="n">
        <v>217.36</v>
      </c>
      <c r="P194" s="16" t="n">
        <v>217.36</v>
      </c>
      <c r="Q194" s="16" t="n">
        <v>217.36</v>
      </c>
      <c r="R194" s="16" t="n">
        <v>217.36</v>
      </c>
      <c r="S194" s="16" t="n">
        <v>217.36</v>
      </c>
      <c r="T194" s="16" t="n">
        <v>217.36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CANON-202508-000250</t>
        </is>
      </c>
      <c r="B195" s="3" t="inlineStr">
        <is>
          <t>2025-08-23</t>
        </is>
      </c>
      <c r="C195" s="3" t="inlineStr">
        <is>
          <t>Saoirse Okonkwo</t>
        </is>
      </c>
      <c r="D195" s="3" t="inlineStr">
        <is>
          <t>OR</t>
        </is>
      </c>
      <c r="E195" s="14" t="n">
        <v>220000</v>
      </c>
      <c r="F195" s="14" t="n">
        <v>4315.32</v>
      </c>
      <c r="G195" s="14" t="n">
        <v>539.41</v>
      </c>
      <c r="H195" s="14" t="n">
        <v>539.41</v>
      </c>
      <c r="I195" s="14">
        <f>SUM(K195:T195)</f>
        <v/>
      </c>
      <c r="J195" s="14">
        <f>F195-(G195+H195+I195)</f>
        <v/>
      </c>
      <c r="K195" s="14" t="n">
        <v>323.65</v>
      </c>
      <c r="L195" s="14" t="n">
        <v>323.65</v>
      </c>
      <c r="M195" s="14" t="n">
        <v>323.65</v>
      </c>
      <c r="N195" s="14" t="n">
        <v>323.65</v>
      </c>
      <c r="O195" s="14" t="n">
        <v>323.65</v>
      </c>
      <c r="P195" s="14" t="n">
        <v>323.65</v>
      </c>
      <c r="Q195" s="14" t="n">
        <v>323.65</v>
      </c>
      <c r="R195" s="14" t="n">
        <v>323.65</v>
      </c>
      <c r="S195" s="14" t="n">
        <v>323.65</v>
      </c>
      <c r="T195" s="14" t="n">
        <v>323.65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CANON-202508-000251</t>
        </is>
      </c>
      <c r="B196" s="15" t="inlineStr">
        <is>
          <t>2025-08-02</t>
        </is>
      </c>
      <c r="C196" s="15" t="inlineStr">
        <is>
          <t>Fenwick Underwood</t>
        </is>
      </c>
      <c r="D196" s="15" t="inlineStr">
        <is>
          <t>FL</t>
        </is>
      </c>
      <c r="E196" s="16" t="n">
        <v>700000</v>
      </c>
      <c r="F196" s="16" t="n">
        <v>12190.57</v>
      </c>
      <c r="G196" s="16" t="n">
        <v>1523.82</v>
      </c>
      <c r="H196" s="16" t="n">
        <v>1523.82</v>
      </c>
      <c r="I196" s="16">
        <f>SUM(K196:T196)</f>
        <v/>
      </c>
      <c r="J196" s="16">
        <f>F196-(G196+H196+I196)</f>
        <v/>
      </c>
      <c r="K196" s="16" t="n">
        <v>914.29</v>
      </c>
      <c r="L196" s="16" t="n">
        <v>914.29</v>
      </c>
      <c r="M196" s="16" t="n">
        <v>914.29</v>
      </c>
      <c r="N196" s="16" t="n">
        <v>914.29</v>
      </c>
      <c r="O196" s="16" t="n">
        <v>914.29</v>
      </c>
      <c r="P196" s="16" t="n">
        <v>914.29</v>
      </c>
      <c r="Q196" s="16" t="n">
        <v>914.29</v>
      </c>
      <c r="R196" s="16" t="n">
        <v>914.29</v>
      </c>
      <c r="S196" s="16" t="n">
        <v>914.29</v>
      </c>
      <c r="T196" s="16" t="n">
        <v>914.29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CANON-202508-000253</t>
        </is>
      </c>
      <c r="B197" s="3" t="inlineStr">
        <is>
          <t>2025-08-04</t>
        </is>
      </c>
      <c r="C197" s="3" t="inlineStr">
        <is>
          <t>Lorenzo Underwood</t>
        </is>
      </c>
      <c r="D197" s="3" t="inlineStr">
        <is>
          <t>ID</t>
        </is>
      </c>
      <c r="E197" s="14" t="n">
        <v>460000</v>
      </c>
      <c r="F197" s="14" t="n">
        <v>6444.34</v>
      </c>
      <c r="G197" s="14" t="n">
        <v>805.54</v>
      </c>
      <c r="H197" s="14" t="n">
        <v>805.54</v>
      </c>
      <c r="I197" s="14">
        <f>SUM(K197:T197)</f>
        <v/>
      </c>
      <c r="J197" s="14">
        <f>F197-(G197+H197+I197)</f>
        <v/>
      </c>
      <c r="K197" s="14" t="n">
        <v>483.33</v>
      </c>
      <c r="L197" s="14" t="n">
        <v>483.33</v>
      </c>
      <c r="M197" s="14" t="n">
        <v>483.33</v>
      </c>
      <c r="N197" s="14" t="n">
        <v>483.33</v>
      </c>
      <c r="O197" s="14" t="n">
        <v>483.33</v>
      </c>
      <c r="P197" s="14" t="n">
        <v>483.33</v>
      </c>
      <c r="Q197" s="14" t="n">
        <v>483.33</v>
      </c>
      <c r="R197" s="14" t="n">
        <v>483.33</v>
      </c>
      <c r="S197" s="14" t="n">
        <v>483.33</v>
      </c>
      <c r="T197" s="14" t="n">
        <v>483.33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CANON-202508-000254</t>
        </is>
      </c>
      <c r="B198" s="15" t="inlineStr">
        <is>
          <t>2025-08-13</t>
        </is>
      </c>
      <c r="C198" s="15" t="inlineStr">
        <is>
          <t>Mireille Rourke</t>
        </is>
      </c>
      <c r="D198" s="15" t="inlineStr">
        <is>
          <t>HI</t>
        </is>
      </c>
      <c r="E198" s="16" t="n">
        <v>520000</v>
      </c>
      <c r="F198" s="16" t="n">
        <v>9948.68</v>
      </c>
      <c r="G198" s="16" t="n">
        <v>1243.59</v>
      </c>
      <c r="H198" s="16" t="n">
        <v>1243.59</v>
      </c>
      <c r="I198" s="16">
        <f>SUM(K198:T198)</f>
        <v/>
      </c>
      <c r="J198" s="16">
        <f>F198-(G198+H198+I198)</f>
        <v/>
      </c>
      <c r="K198" s="16" t="n">
        <v>746.15</v>
      </c>
      <c r="L198" s="16" t="n">
        <v>746.15</v>
      </c>
      <c r="M198" s="16" t="n">
        <v>746.15</v>
      </c>
      <c r="N198" s="16" t="n">
        <v>746.15</v>
      </c>
      <c r="O198" s="16" t="n">
        <v>746.15</v>
      </c>
      <c r="P198" s="16" t="n">
        <v>746.15</v>
      </c>
      <c r="Q198" s="16" t="n">
        <v>746.15</v>
      </c>
      <c r="R198" s="16" t="n">
        <v>746.15</v>
      </c>
      <c r="S198" s="16" t="n">
        <v>746.15</v>
      </c>
      <c r="T198" s="16" t="n">
        <v>746.15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CANON-202508-000255</t>
        </is>
      </c>
      <c r="B199" s="3" t="inlineStr">
        <is>
          <t>2025-08-09</t>
        </is>
      </c>
      <c r="C199" s="3" t="inlineStr">
        <is>
          <t>Cassius Thistlewood</t>
        </is>
      </c>
      <c r="D199" s="3" t="inlineStr">
        <is>
          <t>TN</t>
        </is>
      </c>
      <c r="E199" s="14" t="n">
        <v>1345000</v>
      </c>
      <c r="F199" s="14" t="n">
        <v>13678.4</v>
      </c>
      <c r="G199" s="14" t="n">
        <v>1709.8</v>
      </c>
      <c r="H199" s="14" t="n">
        <v>1709.8</v>
      </c>
      <c r="I199" s="14">
        <f>SUM(K199:T199)</f>
        <v/>
      </c>
      <c r="J199" s="14">
        <f>F199-(G199+H199+I199)</f>
        <v/>
      </c>
      <c r="K199" s="14" t="n">
        <v>1025.88</v>
      </c>
      <c r="L199" s="14" t="n">
        <v>1025.88</v>
      </c>
      <c r="M199" s="14" t="n">
        <v>1025.88</v>
      </c>
      <c r="N199" s="14" t="n">
        <v>1025.88</v>
      </c>
      <c r="O199" s="14" t="n">
        <v>1025.88</v>
      </c>
      <c r="P199" s="14" t="n">
        <v>1025.88</v>
      </c>
      <c r="Q199" s="14" t="n">
        <v>1025.88</v>
      </c>
      <c r="R199" s="14" t="n">
        <v>1025.88</v>
      </c>
      <c r="S199" s="14" t="n">
        <v>1025.88</v>
      </c>
      <c r="T199" s="14" t="n">
        <v>1025.88</v>
      </c>
      <c r="U199" s="14" t="n">
        <v>350</v>
      </c>
      <c r="V199" s="14" t="n">
        <v>250</v>
      </c>
      <c r="W199" s="14">
        <f>U199+V199</f>
        <v/>
      </c>
    </row>
    <row r="200">
      <c r="A200" s="15" t="inlineStr">
        <is>
          <t>CANON-202508-000256</t>
        </is>
      </c>
      <c r="B200" s="15" t="inlineStr">
        <is>
          <t>2025-08-25</t>
        </is>
      </c>
      <c r="C200" s="15" t="inlineStr">
        <is>
          <t>Cassius Castellanos</t>
        </is>
      </c>
      <c r="D200" s="15" t="inlineStr">
        <is>
          <t>NY</t>
        </is>
      </c>
      <c r="E200" s="16" t="n">
        <v>205000</v>
      </c>
      <c r="F200" s="16" t="n">
        <v>4554.87</v>
      </c>
      <c r="G200" s="16" t="n">
        <v>569.36</v>
      </c>
      <c r="H200" s="16" t="n">
        <v>569.36</v>
      </c>
      <c r="I200" s="16">
        <f>SUM(K200:T200)</f>
        <v/>
      </c>
      <c r="J200" s="16">
        <f>F200-(G200+H200+I200)</f>
        <v/>
      </c>
      <c r="K200" s="16" t="n">
        <v>341.62</v>
      </c>
      <c r="L200" s="16" t="n">
        <v>341.62</v>
      </c>
      <c r="M200" s="16" t="n">
        <v>341.62</v>
      </c>
      <c r="N200" s="16" t="n">
        <v>341.62</v>
      </c>
      <c r="O200" s="16" t="n">
        <v>341.62</v>
      </c>
      <c r="P200" s="16" t="n">
        <v>341.62</v>
      </c>
      <c r="Q200" s="16" t="n">
        <v>341.62</v>
      </c>
      <c r="R200" s="16" t="n">
        <v>341.62</v>
      </c>
      <c r="S200" s="16" t="n">
        <v>341.62</v>
      </c>
      <c r="T200" s="16" t="n">
        <v>341.62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CANON-202508-000258</t>
        </is>
      </c>
      <c r="B201" s="3" t="inlineStr">
        <is>
          <t>2025-08-15</t>
        </is>
      </c>
      <c r="C201" s="3" t="inlineStr">
        <is>
          <t>Ingrid Nakashima</t>
        </is>
      </c>
      <c r="D201" s="3" t="inlineStr">
        <is>
          <t>MD</t>
        </is>
      </c>
      <c r="E201" s="14" t="n">
        <v>415000</v>
      </c>
      <c r="F201" s="14" t="n">
        <v>5579.01</v>
      </c>
      <c r="G201" s="14" t="n">
        <v>697.38</v>
      </c>
      <c r="H201" s="14" t="n">
        <v>697.38</v>
      </c>
      <c r="I201" s="14">
        <f>SUM(K201:T201)</f>
        <v/>
      </c>
      <c r="J201" s="14">
        <f>F201-(G201+H201+I201)</f>
        <v/>
      </c>
      <c r="K201" s="14" t="n">
        <v>418.43</v>
      </c>
      <c r="L201" s="14" t="n">
        <v>418.43</v>
      </c>
      <c r="M201" s="14" t="n">
        <v>418.43</v>
      </c>
      <c r="N201" s="14" t="n">
        <v>418.43</v>
      </c>
      <c r="O201" s="14" t="n">
        <v>418.43</v>
      </c>
      <c r="P201" s="14" t="n">
        <v>418.43</v>
      </c>
      <c r="Q201" s="14" t="n">
        <v>418.43</v>
      </c>
      <c r="R201" s="14" t="n">
        <v>418.43</v>
      </c>
      <c r="S201" s="14" t="n">
        <v>418.43</v>
      </c>
      <c r="T201" s="14" t="n">
        <v>418.43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CANON-202508-000260</t>
        </is>
      </c>
      <c r="B202" s="15" t="inlineStr">
        <is>
          <t>2025-08-25</t>
        </is>
      </c>
      <c r="C202" s="15" t="inlineStr">
        <is>
          <t>Anouk Larsson</t>
        </is>
      </c>
      <c r="D202" s="15" t="inlineStr">
        <is>
          <t>NV</t>
        </is>
      </c>
      <c r="E202" s="16" t="n">
        <v>1000000</v>
      </c>
      <c r="F202" s="16" t="n">
        <v>17660.38</v>
      </c>
      <c r="G202" s="16" t="n">
        <v>2207.55</v>
      </c>
      <c r="H202" s="16" t="n">
        <v>2207.55</v>
      </c>
      <c r="I202" s="16">
        <f>SUM(K202:T202)</f>
        <v/>
      </c>
      <c r="J202" s="16">
        <f>F202-(G202+H202+I202)</f>
        <v/>
      </c>
      <c r="K202" s="16" t="n">
        <v>1324.53</v>
      </c>
      <c r="L202" s="16" t="n">
        <v>1324.53</v>
      </c>
      <c r="M202" s="16" t="n">
        <v>1324.53</v>
      </c>
      <c r="N202" s="16" t="n">
        <v>1324.53</v>
      </c>
      <c r="O202" s="16" t="n">
        <v>1324.53</v>
      </c>
      <c r="P202" s="16" t="n">
        <v>1324.53</v>
      </c>
      <c r="Q202" s="16" t="n">
        <v>1324.53</v>
      </c>
      <c r="R202" s="16" t="n">
        <v>1324.53</v>
      </c>
      <c r="S202" s="16" t="n">
        <v>1324.53</v>
      </c>
      <c r="T202" s="16" t="n">
        <v>1324.53</v>
      </c>
      <c r="U202" s="16" t="n">
        <v>350</v>
      </c>
      <c r="V202" s="16" t="n">
        <v>250</v>
      </c>
      <c r="W202" s="16">
        <f>U202+V202</f>
        <v/>
      </c>
    </row>
    <row r="203">
      <c r="A203" s="3" t="inlineStr">
        <is>
          <t>CANON-202508-000261</t>
        </is>
      </c>
      <c r="B203" s="3" t="inlineStr">
        <is>
          <t>2025-08-10</t>
        </is>
      </c>
      <c r="C203" s="3" t="inlineStr">
        <is>
          <t>Callum Vasquez</t>
        </is>
      </c>
      <c r="D203" s="3" t="inlineStr">
        <is>
          <t>NH</t>
        </is>
      </c>
      <c r="E203" s="14" t="n">
        <v>695000</v>
      </c>
      <c r="F203" s="14" t="n">
        <v>8864.530000000001</v>
      </c>
      <c r="G203" s="14" t="n">
        <v>1108.07</v>
      </c>
      <c r="H203" s="14" t="n">
        <v>1108.07</v>
      </c>
      <c r="I203" s="14">
        <f>SUM(K203:T203)</f>
        <v/>
      </c>
      <c r="J203" s="14">
        <f>F203-(G203+H203+I203)</f>
        <v/>
      </c>
      <c r="K203" s="14" t="n">
        <v>664.84</v>
      </c>
      <c r="L203" s="14" t="n">
        <v>664.84</v>
      </c>
      <c r="M203" s="14" t="n">
        <v>664.84</v>
      </c>
      <c r="N203" s="14" t="n">
        <v>664.84</v>
      </c>
      <c r="O203" s="14" t="n">
        <v>664.84</v>
      </c>
      <c r="P203" s="14" t="n">
        <v>664.84</v>
      </c>
      <c r="Q203" s="14" t="n">
        <v>664.84</v>
      </c>
      <c r="R203" s="14" t="n">
        <v>664.84</v>
      </c>
      <c r="S203" s="14" t="n">
        <v>664.84</v>
      </c>
      <c r="T203" s="14" t="n">
        <v>664.84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CANON-202508-000262</t>
        </is>
      </c>
      <c r="B204" s="15" t="inlineStr">
        <is>
          <t>2025-08-28</t>
        </is>
      </c>
      <c r="C204" s="15" t="inlineStr">
        <is>
          <t>Ingrid Whitlock</t>
        </is>
      </c>
      <c r="D204" s="15" t="inlineStr">
        <is>
          <t>FL</t>
        </is>
      </c>
      <c r="E204" s="16" t="n">
        <v>105000</v>
      </c>
      <c r="F204" s="16" t="n">
        <v>2588.15</v>
      </c>
      <c r="G204" s="16" t="n">
        <v>323.52</v>
      </c>
      <c r="H204" s="16" t="n">
        <v>323.52</v>
      </c>
      <c r="I204" s="16">
        <f>SUM(K204:T204)</f>
        <v/>
      </c>
      <c r="J204" s="16">
        <f>F204-(G204+H204+I204)</f>
        <v/>
      </c>
      <c r="K204" s="16" t="n">
        <v>194.11</v>
      </c>
      <c r="L204" s="16" t="n">
        <v>194.11</v>
      </c>
      <c r="M204" s="16" t="n">
        <v>194.11</v>
      </c>
      <c r="N204" s="16" t="n">
        <v>194.11</v>
      </c>
      <c r="O204" s="16" t="n">
        <v>194.11</v>
      </c>
      <c r="P204" s="16" t="n">
        <v>194.11</v>
      </c>
      <c r="Q204" s="16" t="n">
        <v>194.11</v>
      </c>
      <c r="R204" s="16" t="n">
        <v>194.11</v>
      </c>
      <c r="S204" s="16" t="n">
        <v>194.11</v>
      </c>
      <c r="T204" s="16" t="n">
        <v>194.11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CANON-202508-000263</t>
        </is>
      </c>
      <c r="B205" s="3" t="inlineStr">
        <is>
          <t>2025-08-30</t>
        </is>
      </c>
      <c r="C205" s="3" t="inlineStr">
        <is>
          <t>Fenwick Okonkwo</t>
        </is>
      </c>
      <c r="D205" s="3" t="inlineStr">
        <is>
          <t>NE</t>
        </is>
      </c>
      <c r="E205" s="14" t="n">
        <v>645000</v>
      </c>
      <c r="F205" s="14" t="n">
        <v>6802.92</v>
      </c>
      <c r="G205" s="14" t="n">
        <v>850.37</v>
      </c>
      <c r="H205" s="14" t="n">
        <v>850.37</v>
      </c>
      <c r="I205" s="14">
        <f>SUM(K205:T205)</f>
        <v/>
      </c>
      <c r="J205" s="14">
        <f>F205-(G205+H205+I205)</f>
        <v/>
      </c>
      <c r="K205" s="14" t="n">
        <v>510.22</v>
      </c>
      <c r="L205" s="14" t="n">
        <v>510.22</v>
      </c>
      <c r="M205" s="14" t="n">
        <v>510.22</v>
      </c>
      <c r="N205" s="14" t="n">
        <v>510.22</v>
      </c>
      <c r="O205" s="14" t="n">
        <v>510.22</v>
      </c>
      <c r="P205" s="14" t="n">
        <v>510.22</v>
      </c>
      <c r="Q205" s="14" t="n">
        <v>510.22</v>
      </c>
      <c r="R205" s="14" t="n">
        <v>510.22</v>
      </c>
      <c r="S205" s="14" t="n">
        <v>510.22</v>
      </c>
      <c r="T205" s="14" t="n">
        <v>510.22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CANON-202508-000266</t>
        </is>
      </c>
      <c r="B206" s="15" t="inlineStr">
        <is>
          <t>2025-08-19</t>
        </is>
      </c>
      <c r="C206" s="15" t="inlineStr">
        <is>
          <t>Fenwick Castellanos</t>
        </is>
      </c>
      <c r="D206" s="15" t="inlineStr">
        <is>
          <t>UT</t>
        </is>
      </c>
      <c r="E206" s="16" t="n">
        <v>655000</v>
      </c>
      <c r="F206" s="16" t="n">
        <v>10844.58</v>
      </c>
      <c r="G206" s="16" t="n">
        <v>1355.57</v>
      </c>
      <c r="H206" s="16" t="n">
        <v>1355.57</v>
      </c>
      <c r="I206" s="16">
        <f>SUM(K206:T206)</f>
        <v/>
      </c>
      <c r="J206" s="16">
        <f>F206-(G206+H206+I206)</f>
        <v/>
      </c>
      <c r="K206" s="16" t="n">
        <v>813.34</v>
      </c>
      <c r="L206" s="16" t="n">
        <v>813.34</v>
      </c>
      <c r="M206" s="16" t="n">
        <v>813.34</v>
      </c>
      <c r="N206" s="16" t="n">
        <v>813.34</v>
      </c>
      <c r="O206" s="16" t="n">
        <v>813.34</v>
      </c>
      <c r="P206" s="16" t="n">
        <v>813.34</v>
      </c>
      <c r="Q206" s="16" t="n">
        <v>813.34</v>
      </c>
      <c r="R206" s="16" t="n">
        <v>813.34</v>
      </c>
      <c r="S206" s="16" t="n">
        <v>813.34</v>
      </c>
      <c r="T206" s="16" t="n">
        <v>813.34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CANON-202508-000267</t>
        </is>
      </c>
      <c r="B207" s="3" t="inlineStr">
        <is>
          <t>2025-08-12</t>
        </is>
      </c>
      <c r="C207" s="3" t="inlineStr">
        <is>
          <t>Mireille Farkas</t>
        </is>
      </c>
      <c r="D207" s="3" t="inlineStr">
        <is>
          <t>OH</t>
        </is>
      </c>
      <c r="E207" s="14" t="n">
        <v>500000</v>
      </c>
      <c r="F207" s="14" t="n">
        <v>8523.58</v>
      </c>
      <c r="G207" s="14" t="n">
        <v>1065.45</v>
      </c>
      <c r="H207" s="14" t="n">
        <v>1065.45</v>
      </c>
      <c r="I207" s="14">
        <f>SUM(K207:T207)</f>
        <v/>
      </c>
      <c r="J207" s="14">
        <f>F207-(G207+H207+I207)</f>
        <v/>
      </c>
      <c r="K207" s="14" t="n">
        <v>639.27</v>
      </c>
      <c r="L207" s="14" t="n">
        <v>639.27</v>
      </c>
      <c r="M207" s="14" t="n">
        <v>639.27</v>
      </c>
      <c r="N207" s="14" t="n">
        <v>639.27</v>
      </c>
      <c r="O207" s="14" t="n">
        <v>639.27</v>
      </c>
      <c r="P207" s="14" t="n">
        <v>639.27</v>
      </c>
      <c r="Q207" s="14" t="n">
        <v>639.27</v>
      </c>
      <c r="R207" s="14" t="n">
        <v>639.27</v>
      </c>
      <c r="S207" s="14" t="n">
        <v>639.27</v>
      </c>
      <c r="T207" s="14" t="n">
        <v>639.27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CANON-202508-000268</t>
        </is>
      </c>
      <c r="B208" s="15" t="inlineStr">
        <is>
          <t>2025-08-14</t>
        </is>
      </c>
      <c r="C208" s="15" t="inlineStr">
        <is>
          <t>Leopold Castellanos</t>
        </is>
      </c>
      <c r="D208" s="15" t="inlineStr">
        <is>
          <t>AL</t>
        </is>
      </c>
      <c r="E208" s="16" t="n">
        <v>1740000</v>
      </c>
      <c r="F208" s="16" t="n">
        <v>33355.47</v>
      </c>
      <c r="G208" s="16" t="n">
        <v>4169.43</v>
      </c>
      <c r="H208" s="16" t="n">
        <v>4169.43</v>
      </c>
      <c r="I208" s="16">
        <f>SUM(K208:T208)</f>
        <v/>
      </c>
      <c r="J208" s="16">
        <f>F208-(G208+H208+I208)</f>
        <v/>
      </c>
      <c r="K208" s="16" t="n">
        <v>2501.66</v>
      </c>
      <c r="L208" s="16" t="n">
        <v>2501.66</v>
      </c>
      <c r="M208" s="16" t="n">
        <v>2501.66</v>
      </c>
      <c r="N208" s="16" t="n">
        <v>2501.66</v>
      </c>
      <c r="O208" s="16" t="n">
        <v>2501.66</v>
      </c>
      <c r="P208" s="16" t="n">
        <v>2501.66</v>
      </c>
      <c r="Q208" s="16" t="n">
        <v>2501.66</v>
      </c>
      <c r="R208" s="16" t="n">
        <v>2501.66</v>
      </c>
      <c r="S208" s="16" t="n">
        <v>2501.66</v>
      </c>
      <c r="T208" s="16" t="n">
        <v>2501.66</v>
      </c>
      <c r="U208" s="16" t="n">
        <v>350</v>
      </c>
      <c r="V208" s="16" t="n">
        <v>250</v>
      </c>
      <c r="W208" s="16">
        <f>U208+V208</f>
        <v/>
      </c>
    </row>
    <row r="209">
      <c r="A209" s="3" t="inlineStr">
        <is>
          <t>CANON-202508-000269</t>
        </is>
      </c>
      <c r="B209" s="3" t="inlineStr">
        <is>
          <t>2025-08-31</t>
        </is>
      </c>
      <c r="C209" s="3" t="inlineStr">
        <is>
          <t>Anouk Okonkwo</t>
        </is>
      </c>
      <c r="D209" s="3" t="inlineStr">
        <is>
          <t>FL</t>
        </is>
      </c>
      <c r="E209" s="14" t="n">
        <v>715000</v>
      </c>
      <c r="F209" s="14" t="n">
        <v>12451.79</v>
      </c>
      <c r="G209" s="14" t="n">
        <v>1556.47</v>
      </c>
      <c r="H209" s="14" t="n">
        <v>1556.47</v>
      </c>
      <c r="I209" s="14">
        <f>SUM(K209:T209)</f>
        <v/>
      </c>
      <c r="J209" s="14">
        <f>F209-(G209+H209+I209)</f>
        <v/>
      </c>
      <c r="K209" s="14" t="n">
        <v>933.88</v>
      </c>
      <c r="L209" s="14" t="n">
        <v>933.88</v>
      </c>
      <c r="M209" s="14" t="n">
        <v>933.88</v>
      </c>
      <c r="N209" s="14" t="n">
        <v>933.88</v>
      </c>
      <c r="O209" s="14" t="n">
        <v>933.88</v>
      </c>
      <c r="P209" s="14" t="n">
        <v>933.88</v>
      </c>
      <c r="Q209" s="14" t="n">
        <v>933.88</v>
      </c>
      <c r="R209" s="14" t="n">
        <v>933.88</v>
      </c>
      <c r="S209" s="14" t="n">
        <v>933.88</v>
      </c>
      <c r="T209" s="14" t="n">
        <v>933.88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CANON-202508-000270</t>
        </is>
      </c>
      <c r="B210" s="15" t="inlineStr">
        <is>
          <t>2025-08-22</t>
        </is>
      </c>
      <c r="C210" s="15" t="inlineStr">
        <is>
          <t>Leopold Nakashima</t>
        </is>
      </c>
      <c r="D210" s="15" t="inlineStr">
        <is>
          <t>NJ</t>
        </is>
      </c>
      <c r="E210" s="16" t="n">
        <v>170000</v>
      </c>
      <c r="F210" s="16" t="n">
        <v>2685.36</v>
      </c>
      <c r="G210" s="16" t="n">
        <v>335.67</v>
      </c>
      <c r="H210" s="16" t="n">
        <v>335.67</v>
      </c>
      <c r="I210" s="16">
        <f>SUM(K210:T210)</f>
        <v/>
      </c>
      <c r="J210" s="16">
        <f>F210-(G210+H210+I210)</f>
        <v/>
      </c>
      <c r="K210" s="16" t="n">
        <v>201.4</v>
      </c>
      <c r="L210" s="16" t="n">
        <v>201.4</v>
      </c>
      <c r="M210" s="16" t="n">
        <v>201.4</v>
      </c>
      <c r="N210" s="16" t="n">
        <v>201.4</v>
      </c>
      <c r="O210" s="16" t="n">
        <v>201.4</v>
      </c>
      <c r="P210" s="16" t="n">
        <v>201.4</v>
      </c>
      <c r="Q210" s="16" t="n">
        <v>201.4</v>
      </c>
      <c r="R210" s="16" t="n">
        <v>201.4</v>
      </c>
      <c r="S210" s="16" t="n">
        <v>201.4</v>
      </c>
      <c r="T210" s="16" t="n">
        <v>201.4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CANON-202508-000271</t>
        </is>
      </c>
      <c r="B211" s="3" t="inlineStr">
        <is>
          <t>2025-08-11</t>
        </is>
      </c>
      <c r="C211" s="3" t="inlineStr">
        <is>
          <t>Ottilie Vasquez</t>
        </is>
      </c>
      <c r="D211" s="3" t="inlineStr">
        <is>
          <t>MN</t>
        </is>
      </c>
      <c r="E211" s="14" t="n">
        <v>280000</v>
      </c>
      <c r="F211" s="14" t="n">
        <v>5230.19</v>
      </c>
      <c r="G211" s="14" t="n">
        <v>653.77</v>
      </c>
      <c r="H211" s="14" t="n">
        <v>653.77</v>
      </c>
      <c r="I211" s="14">
        <f>SUM(K211:T211)</f>
        <v/>
      </c>
      <c r="J211" s="14">
        <f>F211-(G211+H211+I211)</f>
        <v/>
      </c>
      <c r="K211" s="14" t="n">
        <v>392.26</v>
      </c>
      <c r="L211" s="14" t="n">
        <v>392.26</v>
      </c>
      <c r="M211" s="14" t="n">
        <v>392.26</v>
      </c>
      <c r="N211" s="14" t="n">
        <v>392.26</v>
      </c>
      <c r="O211" s="14" t="n">
        <v>392.26</v>
      </c>
      <c r="P211" s="14" t="n">
        <v>392.26</v>
      </c>
      <c r="Q211" s="14" t="n">
        <v>392.26</v>
      </c>
      <c r="R211" s="14" t="n">
        <v>392.26</v>
      </c>
      <c r="S211" s="14" t="n">
        <v>392.26</v>
      </c>
      <c r="T211" s="14" t="n">
        <v>392.26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CANON-202508-000274</t>
        </is>
      </c>
      <c r="B212" s="15" t="inlineStr">
        <is>
          <t>2025-08-03</t>
        </is>
      </c>
      <c r="C212" s="15" t="inlineStr">
        <is>
          <t>Saoirse Chattopadhyay</t>
        </is>
      </c>
      <c r="D212" s="15" t="inlineStr">
        <is>
          <t>GA</t>
        </is>
      </c>
      <c r="E212" s="16" t="n">
        <v>480000</v>
      </c>
      <c r="F212" s="16" t="n">
        <v>7607.55</v>
      </c>
      <c r="G212" s="16" t="n">
        <v>950.9400000000001</v>
      </c>
      <c r="H212" s="16" t="n">
        <v>950.9400000000001</v>
      </c>
      <c r="I212" s="16">
        <f>SUM(K212:T212)</f>
        <v/>
      </c>
      <c r="J212" s="16">
        <f>F212-(G212+H212+I212)</f>
        <v/>
      </c>
      <c r="K212" s="16" t="n">
        <v>570.5700000000001</v>
      </c>
      <c r="L212" s="16" t="n">
        <v>570.5700000000001</v>
      </c>
      <c r="M212" s="16" t="n">
        <v>570.5700000000001</v>
      </c>
      <c r="N212" s="16" t="n">
        <v>570.5700000000001</v>
      </c>
      <c r="O212" s="16" t="n">
        <v>570.5700000000001</v>
      </c>
      <c r="P212" s="16" t="n">
        <v>570.5700000000001</v>
      </c>
      <c r="Q212" s="16" t="n">
        <v>570.5700000000001</v>
      </c>
      <c r="R212" s="16" t="n">
        <v>570.5700000000001</v>
      </c>
      <c r="S212" s="16" t="n">
        <v>570.5700000000001</v>
      </c>
      <c r="T212" s="16" t="n">
        <v>570.5700000000001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CANON-202508-000275</t>
        </is>
      </c>
      <c r="B213" s="3" t="inlineStr">
        <is>
          <t>2025-08-02</t>
        </is>
      </c>
      <c r="C213" s="3" t="inlineStr">
        <is>
          <t>Cassius Rourke</t>
        </is>
      </c>
      <c r="D213" s="3" t="inlineStr">
        <is>
          <t>CA</t>
        </is>
      </c>
      <c r="E213" s="14" t="n">
        <v>815000</v>
      </c>
      <c r="F213" s="14" t="n">
        <v>13493.63</v>
      </c>
      <c r="G213" s="14" t="n">
        <v>1686.7</v>
      </c>
      <c r="H213" s="14" t="n">
        <v>1686.7</v>
      </c>
      <c r="I213" s="14">
        <f>SUM(K213:T213)</f>
        <v/>
      </c>
      <c r="J213" s="14">
        <f>F213-(G213+H213+I213)</f>
        <v/>
      </c>
      <c r="K213" s="14" t="n">
        <v>1012.02</v>
      </c>
      <c r="L213" s="14" t="n">
        <v>1012.02</v>
      </c>
      <c r="M213" s="14" t="n">
        <v>1012.02</v>
      </c>
      <c r="N213" s="14" t="n">
        <v>1012.02</v>
      </c>
      <c r="O213" s="14" t="n">
        <v>1012.02</v>
      </c>
      <c r="P213" s="14" t="n">
        <v>1012.02</v>
      </c>
      <c r="Q213" s="14" t="n">
        <v>1012.02</v>
      </c>
      <c r="R213" s="14" t="n">
        <v>1012.02</v>
      </c>
      <c r="S213" s="14" t="n">
        <v>1012.02</v>
      </c>
      <c r="T213" s="14" t="n">
        <v>1012.02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CANON-202508-000276</t>
        </is>
      </c>
      <c r="B214" s="15" t="inlineStr">
        <is>
          <t>2025-08-23</t>
        </is>
      </c>
      <c r="C214" s="15" t="inlineStr">
        <is>
          <t>Priya Chattopadhyay</t>
        </is>
      </c>
      <c r="D214" s="15" t="inlineStr">
        <is>
          <t>DE</t>
        </is>
      </c>
      <c r="E214" s="16" t="n">
        <v>1280000</v>
      </c>
      <c r="F214" s="16" t="n">
        <v>16603.77</v>
      </c>
      <c r="G214" s="16" t="n">
        <v>2075.47</v>
      </c>
      <c r="H214" s="16" t="n">
        <v>2075.47</v>
      </c>
      <c r="I214" s="16">
        <f>SUM(K214:T214)</f>
        <v/>
      </c>
      <c r="J214" s="16">
        <f>F214-(G214+H214+I214)</f>
        <v/>
      </c>
      <c r="K214" s="16" t="n">
        <v>1245.28</v>
      </c>
      <c r="L214" s="16" t="n">
        <v>1245.28</v>
      </c>
      <c r="M214" s="16" t="n">
        <v>1245.28</v>
      </c>
      <c r="N214" s="16" t="n">
        <v>1245.28</v>
      </c>
      <c r="O214" s="16" t="n">
        <v>1245.28</v>
      </c>
      <c r="P214" s="16" t="n">
        <v>1245.28</v>
      </c>
      <c r="Q214" s="16" t="n">
        <v>1245.28</v>
      </c>
      <c r="R214" s="16" t="n">
        <v>1245.28</v>
      </c>
      <c r="S214" s="16" t="n">
        <v>1245.28</v>
      </c>
      <c r="T214" s="16" t="n">
        <v>1245.28</v>
      </c>
      <c r="U214" s="16" t="n">
        <v>350</v>
      </c>
      <c r="V214" s="16" t="n">
        <v>250</v>
      </c>
      <c r="W214" s="16">
        <f>U214+V214</f>
        <v/>
      </c>
    </row>
    <row r="215">
      <c r="A215" s="3" t="inlineStr">
        <is>
          <t>CANON-202508-000277</t>
        </is>
      </c>
      <c r="B215" s="3" t="inlineStr">
        <is>
          <t>2025-08-08</t>
        </is>
      </c>
      <c r="C215" s="3" t="inlineStr">
        <is>
          <t>Ramona Rourke</t>
        </is>
      </c>
      <c r="D215" s="3" t="inlineStr">
        <is>
          <t>DE</t>
        </is>
      </c>
      <c r="E215" s="14" t="n">
        <v>1515000</v>
      </c>
      <c r="F215" s="14" t="n">
        <v>13577.83</v>
      </c>
      <c r="G215" s="14" t="n">
        <v>1697.23</v>
      </c>
      <c r="H215" s="14" t="n">
        <v>1697.23</v>
      </c>
      <c r="I215" s="14">
        <f>SUM(K215:T215)</f>
        <v/>
      </c>
      <c r="J215" s="14">
        <f>F215-(G215+H215+I215)</f>
        <v/>
      </c>
      <c r="K215" s="14" t="n">
        <v>1018.34</v>
      </c>
      <c r="L215" s="14" t="n">
        <v>1018.34</v>
      </c>
      <c r="M215" s="14" t="n">
        <v>1018.34</v>
      </c>
      <c r="N215" s="14" t="n">
        <v>1018.34</v>
      </c>
      <c r="O215" s="14" t="n">
        <v>1018.34</v>
      </c>
      <c r="P215" s="14" t="n">
        <v>1018.34</v>
      </c>
      <c r="Q215" s="14" t="n">
        <v>1018.34</v>
      </c>
      <c r="R215" s="14" t="n">
        <v>1018.34</v>
      </c>
      <c r="S215" s="14" t="n">
        <v>1018.34</v>
      </c>
      <c r="T215" s="14" t="n">
        <v>1018.34</v>
      </c>
      <c r="U215" s="14" t="n">
        <v>350</v>
      </c>
      <c r="V215" s="14" t="n">
        <v>250</v>
      </c>
      <c r="W215" s="14">
        <f>U215+V215</f>
        <v/>
      </c>
    </row>
    <row r="216">
      <c r="A216" s="15" t="inlineStr">
        <is>
          <t>CANON-202508-000281</t>
        </is>
      </c>
      <c r="B216" s="15" t="inlineStr">
        <is>
          <t>2025-08-04</t>
        </is>
      </c>
      <c r="C216" s="15" t="inlineStr">
        <is>
          <t>Leopold Nakashima</t>
        </is>
      </c>
      <c r="D216" s="15" t="inlineStr">
        <is>
          <t>CA</t>
        </is>
      </c>
      <c r="E216" s="16" t="n">
        <v>850000</v>
      </c>
      <c r="F216" s="16" t="n">
        <v>9309.91</v>
      </c>
      <c r="G216" s="16" t="n">
        <v>1163.74</v>
      </c>
      <c r="H216" s="16" t="n">
        <v>1163.74</v>
      </c>
      <c r="I216" s="16">
        <f>SUM(K216:T216)</f>
        <v/>
      </c>
      <c r="J216" s="16">
        <f>F216-(G216+H216+I216)</f>
        <v/>
      </c>
      <c r="K216" s="16" t="n">
        <v>698.24</v>
      </c>
      <c r="L216" s="16" t="n">
        <v>698.24</v>
      </c>
      <c r="M216" s="16" t="n">
        <v>698.24</v>
      </c>
      <c r="N216" s="16" t="n">
        <v>698.24</v>
      </c>
      <c r="O216" s="16" t="n">
        <v>698.24</v>
      </c>
      <c r="P216" s="16" t="n">
        <v>698.24</v>
      </c>
      <c r="Q216" s="16" t="n">
        <v>698.24</v>
      </c>
      <c r="R216" s="16" t="n">
        <v>698.24</v>
      </c>
      <c r="S216" s="16" t="n">
        <v>698.24</v>
      </c>
      <c r="T216" s="16" t="n">
        <v>698.24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CANON-202508-000282</t>
        </is>
      </c>
      <c r="B217" s="3" t="inlineStr">
        <is>
          <t>2025-08-14</t>
        </is>
      </c>
      <c r="C217" s="3" t="inlineStr">
        <is>
          <t>Wilhelmina Pennington</t>
        </is>
      </c>
      <c r="D217" s="3" t="inlineStr">
        <is>
          <t>NC</t>
        </is>
      </c>
      <c r="E217" s="14" t="n">
        <v>365000</v>
      </c>
      <c r="F217" s="14" t="n">
        <v>5939.86</v>
      </c>
      <c r="G217" s="14" t="n">
        <v>742.48</v>
      </c>
      <c r="H217" s="14" t="n">
        <v>742.48</v>
      </c>
      <c r="I217" s="14">
        <f>SUM(K217:T217)</f>
        <v/>
      </c>
      <c r="J217" s="14">
        <f>F217-(G217+H217+I217)</f>
        <v/>
      </c>
      <c r="K217" s="14" t="n">
        <v>445.49</v>
      </c>
      <c r="L217" s="14" t="n">
        <v>445.49</v>
      </c>
      <c r="M217" s="14" t="n">
        <v>445.49</v>
      </c>
      <c r="N217" s="14" t="n">
        <v>445.49</v>
      </c>
      <c r="O217" s="14" t="n">
        <v>445.49</v>
      </c>
      <c r="P217" s="14" t="n">
        <v>445.49</v>
      </c>
      <c r="Q217" s="14" t="n">
        <v>445.49</v>
      </c>
      <c r="R217" s="14" t="n">
        <v>445.49</v>
      </c>
      <c r="S217" s="14" t="n">
        <v>445.49</v>
      </c>
      <c r="T217" s="14" t="n">
        <v>445.49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CANON-202508-000283</t>
        </is>
      </c>
      <c r="B218" s="15" t="inlineStr">
        <is>
          <t>2025-08-30</t>
        </is>
      </c>
      <c r="C218" s="15" t="inlineStr">
        <is>
          <t>Ramona Pennington</t>
        </is>
      </c>
      <c r="D218" s="15" t="inlineStr">
        <is>
          <t>ND</t>
        </is>
      </c>
      <c r="E218" s="16" t="n">
        <v>580000</v>
      </c>
      <c r="F218" s="16" t="n">
        <v>7255.47</v>
      </c>
      <c r="G218" s="16" t="n">
        <v>906.9299999999999</v>
      </c>
      <c r="H218" s="16" t="n">
        <v>906.9299999999999</v>
      </c>
      <c r="I218" s="16">
        <f>SUM(K218:T218)</f>
        <v/>
      </c>
      <c r="J218" s="16">
        <f>F218-(G218+H218+I218)</f>
        <v/>
      </c>
      <c r="K218" s="16" t="n">
        <v>544.16</v>
      </c>
      <c r="L218" s="16" t="n">
        <v>544.16</v>
      </c>
      <c r="M218" s="16" t="n">
        <v>544.16</v>
      </c>
      <c r="N218" s="16" t="n">
        <v>544.16</v>
      </c>
      <c r="O218" s="16" t="n">
        <v>544.16</v>
      </c>
      <c r="P218" s="16" t="n">
        <v>544.16</v>
      </c>
      <c r="Q218" s="16" t="n">
        <v>544.16</v>
      </c>
      <c r="R218" s="16" t="n">
        <v>544.16</v>
      </c>
      <c r="S218" s="16" t="n">
        <v>544.16</v>
      </c>
      <c r="T218" s="16" t="n">
        <v>544.16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CANON-202508-000285</t>
        </is>
      </c>
      <c r="B219" s="3" t="inlineStr">
        <is>
          <t>2025-08-12</t>
        </is>
      </c>
      <c r="C219" s="3" t="inlineStr">
        <is>
          <t>Everett Montoya</t>
        </is>
      </c>
      <c r="D219" s="3" t="inlineStr">
        <is>
          <t>MO</t>
        </is>
      </c>
      <c r="E219" s="14" t="n">
        <v>180000</v>
      </c>
      <c r="F219" s="14" t="n">
        <v>2052</v>
      </c>
      <c r="G219" s="14" t="n">
        <v>256.5</v>
      </c>
      <c r="H219" s="14" t="n">
        <v>256.5</v>
      </c>
      <c r="I219" s="14">
        <f>SUM(K219:T219)</f>
        <v/>
      </c>
      <c r="J219" s="14">
        <f>F219-(G219+H219+I219)</f>
        <v/>
      </c>
      <c r="K219" s="14" t="n">
        <v>153.9</v>
      </c>
      <c r="L219" s="14" t="n">
        <v>153.9</v>
      </c>
      <c r="M219" s="14" t="n">
        <v>153.9</v>
      </c>
      <c r="N219" s="14" t="n">
        <v>153.9</v>
      </c>
      <c r="O219" s="14" t="n">
        <v>153.9</v>
      </c>
      <c r="P219" s="14" t="n">
        <v>153.9</v>
      </c>
      <c r="Q219" s="14" t="n">
        <v>153.9</v>
      </c>
      <c r="R219" s="14" t="n">
        <v>153.9</v>
      </c>
      <c r="S219" s="14" t="n">
        <v>153.9</v>
      </c>
      <c r="T219" s="14" t="n">
        <v>153.9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CANON-202508-000286</t>
        </is>
      </c>
      <c r="B220" s="15" t="inlineStr">
        <is>
          <t>2025-08-15</t>
        </is>
      </c>
      <c r="C220" s="15" t="inlineStr">
        <is>
          <t>Desmond Harrington</t>
        </is>
      </c>
      <c r="D220" s="15" t="inlineStr">
        <is>
          <t>MA</t>
        </is>
      </c>
      <c r="E220" s="16" t="n">
        <v>355000</v>
      </c>
      <c r="F220" s="16" t="n">
        <v>6279.48</v>
      </c>
      <c r="G220" s="16" t="n">
        <v>784.9299999999999</v>
      </c>
      <c r="H220" s="16" t="n">
        <v>784.9299999999999</v>
      </c>
      <c r="I220" s="16">
        <f>SUM(K220:T220)</f>
        <v/>
      </c>
      <c r="J220" s="16">
        <f>F220-(G220+H220+I220)</f>
        <v/>
      </c>
      <c r="K220" s="16" t="n">
        <v>470.96</v>
      </c>
      <c r="L220" s="16" t="n">
        <v>470.96</v>
      </c>
      <c r="M220" s="16" t="n">
        <v>470.96</v>
      </c>
      <c r="N220" s="16" t="n">
        <v>470.96</v>
      </c>
      <c r="O220" s="16" t="n">
        <v>470.96</v>
      </c>
      <c r="P220" s="16" t="n">
        <v>470.96</v>
      </c>
      <c r="Q220" s="16" t="n">
        <v>470.96</v>
      </c>
      <c r="R220" s="16" t="n">
        <v>470.96</v>
      </c>
      <c r="S220" s="16" t="n">
        <v>470.96</v>
      </c>
      <c r="T220" s="16" t="n">
        <v>470.96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CANON-202508-000288</t>
        </is>
      </c>
      <c r="B221" s="3" t="inlineStr">
        <is>
          <t>2025-08-25</t>
        </is>
      </c>
      <c r="C221" s="3" t="inlineStr">
        <is>
          <t>Delphine Castellanos</t>
        </is>
      </c>
      <c r="D221" s="3" t="inlineStr">
        <is>
          <t>VA</t>
        </is>
      </c>
      <c r="E221" s="14" t="n">
        <v>345000</v>
      </c>
      <c r="F221" s="14" t="n">
        <v>5321.46</v>
      </c>
      <c r="G221" s="14" t="n">
        <v>665.1799999999999</v>
      </c>
      <c r="H221" s="14" t="n">
        <v>665.1799999999999</v>
      </c>
      <c r="I221" s="14">
        <f>SUM(K221:T221)</f>
        <v/>
      </c>
      <c r="J221" s="14">
        <f>F221-(G221+H221+I221)</f>
        <v/>
      </c>
      <c r="K221" s="14" t="n">
        <v>399.11</v>
      </c>
      <c r="L221" s="14" t="n">
        <v>399.11</v>
      </c>
      <c r="M221" s="14" t="n">
        <v>399.11</v>
      </c>
      <c r="N221" s="14" t="n">
        <v>399.11</v>
      </c>
      <c r="O221" s="14" t="n">
        <v>399.11</v>
      </c>
      <c r="P221" s="14" t="n">
        <v>399.11</v>
      </c>
      <c r="Q221" s="14" t="n">
        <v>399.11</v>
      </c>
      <c r="R221" s="14" t="n">
        <v>399.11</v>
      </c>
      <c r="S221" s="14" t="n">
        <v>399.11</v>
      </c>
      <c r="T221" s="14" t="n">
        <v>399.11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CANON-202508-000290</t>
        </is>
      </c>
      <c r="B222" s="15" t="inlineStr">
        <is>
          <t>2025-08-24</t>
        </is>
      </c>
      <c r="C222" s="15" t="inlineStr">
        <is>
          <t>Beatrix Fairweather</t>
        </is>
      </c>
      <c r="D222" s="15" t="inlineStr">
        <is>
          <t>AR</t>
        </is>
      </c>
      <c r="E222" s="16" t="n">
        <v>625000</v>
      </c>
      <c r="F222" s="16" t="n">
        <v>10577.83</v>
      </c>
      <c r="G222" s="16" t="n">
        <v>1322.23</v>
      </c>
      <c r="H222" s="16" t="n">
        <v>1322.23</v>
      </c>
      <c r="I222" s="16">
        <f>SUM(K222:T222)</f>
        <v/>
      </c>
      <c r="J222" s="16">
        <f>F222-(G222+H222+I222)</f>
        <v/>
      </c>
      <c r="K222" s="16" t="n">
        <v>793.34</v>
      </c>
      <c r="L222" s="16" t="n">
        <v>793.34</v>
      </c>
      <c r="M222" s="16" t="n">
        <v>793.34</v>
      </c>
      <c r="N222" s="16" t="n">
        <v>793.34</v>
      </c>
      <c r="O222" s="16" t="n">
        <v>793.34</v>
      </c>
      <c r="P222" s="16" t="n">
        <v>793.34</v>
      </c>
      <c r="Q222" s="16" t="n">
        <v>793.34</v>
      </c>
      <c r="R222" s="16" t="n">
        <v>793.34</v>
      </c>
      <c r="S222" s="16" t="n">
        <v>793.34</v>
      </c>
      <c r="T222" s="16" t="n">
        <v>793.34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CANON-202508-000293</t>
        </is>
      </c>
      <c r="B223" s="3" t="inlineStr">
        <is>
          <t>2025-08-22</t>
        </is>
      </c>
      <c r="C223" s="3" t="inlineStr">
        <is>
          <t>Ramona Farkas</t>
        </is>
      </c>
      <c r="D223" s="3" t="inlineStr">
        <is>
          <t>PA</t>
        </is>
      </c>
      <c r="E223" s="14" t="n">
        <v>400000</v>
      </c>
      <c r="F223" s="14" t="n">
        <v>3622.64</v>
      </c>
      <c r="G223" s="14" t="n">
        <v>452.83</v>
      </c>
      <c r="H223" s="14" t="n">
        <v>452.83</v>
      </c>
      <c r="I223" s="14">
        <f>SUM(K223:T223)</f>
        <v/>
      </c>
      <c r="J223" s="14">
        <f>F223-(G223+H223+I223)</f>
        <v/>
      </c>
      <c r="K223" s="14" t="n">
        <v>271.7</v>
      </c>
      <c r="L223" s="14" t="n">
        <v>271.7</v>
      </c>
      <c r="M223" s="14" t="n">
        <v>271.7</v>
      </c>
      <c r="N223" s="14" t="n">
        <v>271.7</v>
      </c>
      <c r="O223" s="14" t="n">
        <v>271.7</v>
      </c>
      <c r="P223" s="14" t="n">
        <v>271.7</v>
      </c>
      <c r="Q223" s="14" t="n">
        <v>271.7</v>
      </c>
      <c r="R223" s="14" t="n">
        <v>271.7</v>
      </c>
      <c r="S223" s="14" t="n">
        <v>271.7</v>
      </c>
      <c r="T223" s="14" t="n">
        <v>271.7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CANON-202508-000294</t>
        </is>
      </c>
      <c r="B224" s="15" t="inlineStr">
        <is>
          <t>2025-08-22</t>
        </is>
      </c>
      <c r="C224" s="15" t="inlineStr">
        <is>
          <t>Sunniva Pennington</t>
        </is>
      </c>
      <c r="D224" s="15" t="inlineStr">
        <is>
          <t>SD</t>
        </is>
      </c>
      <c r="E224" s="16" t="n">
        <v>390000</v>
      </c>
      <c r="F224" s="16" t="n">
        <v>6125.94</v>
      </c>
      <c r="G224" s="16" t="n">
        <v>765.74</v>
      </c>
      <c r="H224" s="16" t="n">
        <v>765.74</v>
      </c>
      <c r="I224" s="16">
        <f>SUM(K224:T224)</f>
        <v/>
      </c>
      <c r="J224" s="16">
        <f>F224-(G224+H224+I224)</f>
        <v/>
      </c>
      <c r="K224" s="16" t="n">
        <v>459.45</v>
      </c>
      <c r="L224" s="16" t="n">
        <v>459.45</v>
      </c>
      <c r="M224" s="16" t="n">
        <v>459.45</v>
      </c>
      <c r="N224" s="16" t="n">
        <v>459.45</v>
      </c>
      <c r="O224" s="16" t="n">
        <v>459.45</v>
      </c>
      <c r="P224" s="16" t="n">
        <v>459.45</v>
      </c>
      <c r="Q224" s="16" t="n">
        <v>459.45</v>
      </c>
      <c r="R224" s="16" t="n">
        <v>459.45</v>
      </c>
      <c r="S224" s="16" t="n">
        <v>459.45</v>
      </c>
      <c r="T224" s="16" t="n">
        <v>459.45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CANON-202508-000296</t>
        </is>
      </c>
      <c r="B225" s="3" t="inlineStr">
        <is>
          <t>2025-08-27</t>
        </is>
      </c>
      <c r="C225" s="3" t="inlineStr">
        <is>
          <t>Lorenzo Montoya</t>
        </is>
      </c>
      <c r="D225" s="3" t="inlineStr">
        <is>
          <t>WA</t>
        </is>
      </c>
      <c r="E225" s="14" t="n">
        <v>715000</v>
      </c>
      <c r="F225" s="14" t="n">
        <v>12303.4</v>
      </c>
      <c r="G225" s="14" t="n">
        <v>1537.92</v>
      </c>
      <c r="H225" s="14" t="n">
        <v>1537.92</v>
      </c>
      <c r="I225" s="14">
        <f>SUM(K225:T225)</f>
        <v/>
      </c>
      <c r="J225" s="14">
        <f>F225-(G225+H225+I225)</f>
        <v/>
      </c>
      <c r="K225" s="14" t="n">
        <v>922.75</v>
      </c>
      <c r="L225" s="14" t="n">
        <v>922.75</v>
      </c>
      <c r="M225" s="14" t="n">
        <v>922.75</v>
      </c>
      <c r="N225" s="14" t="n">
        <v>922.75</v>
      </c>
      <c r="O225" s="14" t="n">
        <v>922.75</v>
      </c>
      <c r="P225" s="14" t="n">
        <v>922.75</v>
      </c>
      <c r="Q225" s="14" t="n">
        <v>922.75</v>
      </c>
      <c r="R225" s="14" t="n">
        <v>922.75</v>
      </c>
      <c r="S225" s="14" t="n">
        <v>922.75</v>
      </c>
      <c r="T225" s="14" t="n">
        <v>922.75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CANON-202508-000297</t>
        </is>
      </c>
      <c r="B226" s="15" t="inlineStr">
        <is>
          <t>2025-08-23</t>
        </is>
      </c>
      <c r="C226" s="15" t="inlineStr">
        <is>
          <t>Fitzgerald Kingsford</t>
        </is>
      </c>
      <c r="D226" s="15" t="inlineStr">
        <is>
          <t>NY</t>
        </is>
      </c>
      <c r="E226" s="16" t="n">
        <v>1950000</v>
      </c>
      <c r="F226" s="16" t="n">
        <v>37675.47</v>
      </c>
      <c r="G226" s="16" t="n">
        <v>4709.43</v>
      </c>
      <c r="H226" s="16" t="n">
        <v>4709.43</v>
      </c>
      <c r="I226" s="16">
        <f>SUM(K226:T226)</f>
        <v/>
      </c>
      <c r="J226" s="16">
        <f>F226-(G226+H226+I226)</f>
        <v/>
      </c>
      <c r="K226" s="16" t="n">
        <v>2825.66</v>
      </c>
      <c r="L226" s="16" t="n">
        <v>2825.66</v>
      </c>
      <c r="M226" s="16" t="n">
        <v>2825.66</v>
      </c>
      <c r="N226" s="16" t="n">
        <v>2825.66</v>
      </c>
      <c r="O226" s="16" t="n">
        <v>2825.66</v>
      </c>
      <c r="P226" s="16" t="n">
        <v>2825.66</v>
      </c>
      <c r="Q226" s="16" t="n">
        <v>2825.66</v>
      </c>
      <c r="R226" s="16" t="n">
        <v>2825.66</v>
      </c>
      <c r="S226" s="16" t="n">
        <v>2825.66</v>
      </c>
      <c r="T226" s="16" t="n">
        <v>2825.66</v>
      </c>
      <c r="U226" s="16" t="n">
        <v>350</v>
      </c>
      <c r="V226" s="16" t="n">
        <v>250</v>
      </c>
      <c r="W226" s="16">
        <f>U226+V226</f>
        <v/>
      </c>
    </row>
    <row r="227">
      <c r="A227" s="3" t="inlineStr">
        <is>
          <t>CANON-202508-000300</t>
        </is>
      </c>
      <c r="B227" s="3" t="inlineStr">
        <is>
          <t>2025-08-21</t>
        </is>
      </c>
      <c r="C227" s="3" t="inlineStr">
        <is>
          <t>Ramona Vandermeer</t>
        </is>
      </c>
      <c r="D227" s="3" t="inlineStr">
        <is>
          <t>WV</t>
        </is>
      </c>
      <c r="E227" s="14" t="n">
        <v>315000</v>
      </c>
      <c r="F227" s="14" t="n">
        <v>5928.54</v>
      </c>
      <c r="G227" s="14" t="n">
        <v>741.0700000000001</v>
      </c>
      <c r="H227" s="14" t="n">
        <v>741.0700000000001</v>
      </c>
      <c r="I227" s="14">
        <f>SUM(K227:T227)</f>
        <v/>
      </c>
      <c r="J227" s="14">
        <f>F227-(G227+H227+I227)</f>
        <v/>
      </c>
      <c r="K227" s="14" t="n">
        <v>444.64</v>
      </c>
      <c r="L227" s="14" t="n">
        <v>444.64</v>
      </c>
      <c r="M227" s="14" t="n">
        <v>444.64</v>
      </c>
      <c r="N227" s="14" t="n">
        <v>444.64</v>
      </c>
      <c r="O227" s="14" t="n">
        <v>444.64</v>
      </c>
      <c r="P227" s="14" t="n">
        <v>444.64</v>
      </c>
      <c r="Q227" s="14" t="n">
        <v>444.64</v>
      </c>
      <c r="R227" s="14" t="n">
        <v>444.64</v>
      </c>
      <c r="S227" s="14" t="n">
        <v>444.64</v>
      </c>
      <c r="T227" s="14" t="n">
        <v>444.64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CANON-202508-000301</t>
        </is>
      </c>
      <c r="B228" s="15" t="inlineStr">
        <is>
          <t>2025-08-23</t>
        </is>
      </c>
      <c r="C228" s="15" t="inlineStr">
        <is>
          <t>Leopold Pennington</t>
        </is>
      </c>
      <c r="D228" s="15" t="inlineStr">
        <is>
          <t>VT</t>
        </is>
      </c>
      <c r="E228" s="16" t="n">
        <v>970000</v>
      </c>
      <c r="F228" s="16" t="n">
        <v>14513.4</v>
      </c>
      <c r="G228" s="16" t="n">
        <v>1814.17</v>
      </c>
      <c r="H228" s="16" t="n">
        <v>1814.17</v>
      </c>
      <c r="I228" s="16">
        <f>SUM(K228:T228)</f>
        <v/>
      </c>
      <c r="J228" s="16">
        <f>F228-(G228+H228+I228)</f>
        <v/>
      </c>
      <c r="K228" s="16" t="n">
        <v>1088.5</v>
      </c>
      <c r="L228" s="16" t="n">
        <v>1088.5</v>
      </c>
      <c r="M228" s="16" t="n">
        <v>1088.5</v>
      </c>
      <c r="N228" s="16" t="n">
        <v>1088.5</v>
      </c>
      <c r="O228" s="16" t="n">
        <v>1088.5</v>
      </c>
      <c r="P228" s="16" t="n">
        <v>1088.5</v>
      </c>
      <c r="Q228" s="16" t="n">
        <v>1088.5</v>
      </c>
      <c r="R228" s="16" t="n">
        <v>1088.5</v>
      </c>
      <c r="S228" s="16" t="n">
        <v>1088.5</v>
      </c>
      <c r="T228" s="16" t="n">
        <v>1088.5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CANON-202508-000303</t>
        </is>
      </c>
      <c r="B229" s="3" t="inlineStr">
        <is>
          <t>2025-08-19</t>
        </is>
      </c>
      <c r="C229" s="3" t="inlineStr">
        <is>
          <t>Fenwick Larsson</t>
        </is>
      </c>
      <c r="D229" s="3" t="inlineStr">
        <is>
          <t>NJ</t>
        </is>
      </c>
      <c r="E229" s="14" t="n">
        <v>760000</v>
      </c>
      <c r="F229" s="14" t="n">
        <v>8481.889999999999</v>
      </c>
      <c r="G229" s="14" t="n">
        <v>1060.24</v>
      </c>
      <c r="H229" s="14" t="n">
        <v>1060.24</v>
      </c>
      <c r="I229" s="14">
        <f>SUM(K229:T229)</f>
        <v/>
      </c>
      <c r="J229" s="14">
        <f>F229-(G229+H229+I229)</f>
        <v/>
      </c>
      <c r="K229" s="14" t="n">
        <v>636.14</v>
      </c>
      <c r="L229" s="14" t="n">
        <v>636.14</v>
      </c>
      <c r="M229" s="14" t="n">
        <v>636.14</v>
      </c>
      <c r="N229" s="14" t="n">
        <v>636.14</v>
      </c>
      <c r="O229" s="14" t="n">
        <v>636.14</v>
      </c>
      <c r="P229" s="14" t="n">
        <v>636.14</v>
      </c>
      <c r="Q229" s="14" t="n">
        <v>636.14</v>
      </c>
      <c r="R229" s="14" t="n">
        <v>636.14</v>
      </c>
      <c r="S229" s="14" t="n">
        <v>636.14</v>
      </c>
      <c r="T229" s="14" t="n">
        <v>636.14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CANON-202508-000304</t>
        </is>
      </c>
      <c r="B230" s="15" t="inlineStr">
        <is>
          <t>2025-08-30</t>
        </is>
      </c>
      <c r="C230" s="15" t="inlineStr">
        <is>
          <t>Fenwick Thistlewood</t>
        </is>
      </c>
      <c r="D230" s="15" t="inlineStr">
        <is>
          <t>MS</t>
        </is>
      </c>
      <c r="E230" s="16" t="n">
        <v>290000</v>
      </c>
      <c r="F230" s="16" t="n">
        <v>4883.49</v>
      </c>
      <c r="G230" s="16" t="n">
        <v>610.4400000000001</v>
      </c>
      <c r="H230" s="16" t="n">
        <v>610.4400000000001</v>
      </c>
      <c r="I230" s="16">
        <f>SUM(K230:T230)</f>
        <v/>
      </c>
      <c r="J230" s="16">
        <f>F230-(G230+H230+I230)</f>
        <v/>
      </c>
      <c r="K230" s="16" t="n">
        <v>366.26</v>
      </c>
      <c r="L230" s="16" t="n">
        <v>366.26</v>
      </c>
      <c r="M230" s="16" t="n">
        <v>366.26</v>
      </c>
      <c r="N230" s="16" t="n">
        <v>366.26</v>
      </c>
      <c r="O230" s="16" t="n">
        <v>366.26</v>
      </c>
      <c r="P230" s="16" t="n">
        <v>366.26</v>
      </c>
      <c r="Q230" s="16" t="n">
        <v>366.26</v>
      </c>
      <c r="R230" s="16" t="n">
        <v>366.26</v>
      </c>
      <c r="S230" s="16" t="n">
        <v>366.26</v>
      </c>
      <c r="T230" s="16" t="n">
        <v>366.26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CANON-202508-000305</t>
        </is>
      </c>
      <c r="B231" s="3" t="inlineStr">
        <is>
          <t>2025-08-16</t>
        </is>
      </c>
      <c r="C231" s="3" t="inlineStr">
        <is>
          <t>Leopold Blackwood</t>
        </is>
      </c>
      <c r="D231" s="3" t="inlineStr">
        <is>
          <t>WA</t>
        </is>
      </c>
      <c r="E231" s="14" t="n">
        <v>430000</v>
      </c>
      <c r="F231" s="14" t="n">
        <v>3738.57</v>
      </c>
      <c r="G231" s="14" t="n">
        <v>467.32</v>
      </c>
      <c r="H231" s="14" t="n">
        <v>467.32</v>
      </c>
      <c r="I231" s="14">
        <f>SUM(K231:T231)</f>
        <v/>
      </c>
      <c r="J231" s="14">
        <f>F231-(G231+H231+I231)</f>
        <v/>
      </c>
      <c r="K231" s="14" t="n">
        <v>280.39</v>
      </c>
      <c r="L231" s="14" t="n">
        <v>280.39</v>
      </c>
      <c r="M231" s="14" t="n">
        <v>280.39</v>
      </c>
      <c r="N231" s="14" t="n">
        <v>280.39</v>
      </c>
      <c r="O231" s="14" t="n">
        <v>280.39</v>
      </c>
      <c r="P231" s="14" t="n">
        <v>280.39</v>
      </c>
      <c r="Q231" s="14" t="n">
        <v>280.39</v>
      </c>
      <c r="R231" s="14" t="n">
        <v>280.39</v>
      </c>
      <c r="S231" s="14" t="n">
        <v>280.39</v>
      </c>
      <c r="T231" s="14" t="n">
        <v>280.39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CANON-202508-000306</t>
        </is>
      </c>
      <c r="B232" s="15" t="inlineStr">
        <is>
          <t>2025-08-30</t>
        </is>
      </c>
      <c r="C232" s="15" t="inlineStr">
        <is>
          <t>Emiliano Montoya</t>
        </is>
      </c>
      <c r="D232" s="15" t="inlineStr">
        <is>
          <t>MT</t>
        </is>
      </c>
      <c r="E232" s="16" t="n">
        <v>710000</v>
      </c>
      <c r="F232" s="16" t="n">
        <v>8098.02</v>
      </c>
      <c r="G232" s="16" t="n">
        <v>1012.25</v>
      </c>
      <c r="H232" s="16" t="n">
        <v>1012.25</v>
      </c>
      <c r="I232" s="16">
        <f>SUM(K232:T232)</f>
        <v/>
      </c>
      <c r="J232" s="16">
        <f>F232-(G232+H232+I232)</f>
        <v/>
      </c>
      <c r="K232" s="16" t="n">
        <v>607.35</v>
      </c>
      <c r="L232" s="16" t="n">
        <v>607.35</v>
      </c>
      <c r="M232" s="16" t="n">
        <v>607.35</v>
      </c>
      <c r="N232" s="16" t="n">
        <v>607.35</v>
      </c>
      <c r="O232" s="16" t="n">
        <v>607.35</v>
      </c>
      <c r="P232" s="16" t="n">
        <v>607.35</v>
      </c>
      <c r="Q232" s="16" t="n">
        <v>607.35</v>
      </c>
      <c r="R232" s="16" t="n">
        <v>607.35</v>
      </c>
      <c r="S232" s="16" t="n">
        <v>607.35</v>
      </c>
      <c r="T232" s="16" t="n">
        <v>607.35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CANON-202508-000308</t>
        </is>
      </c>
      <c r="B233" s="3" t="inlineStr">
        <is>
          <t>2025-08-13</t>
        </is>
      </c>
      <c r="C233" s="3" t="inlineStr">
        <is>
          <t>Fenwick Bellandi</t>
        </is>
      </c>
      <c r="D233" s="3" t="inlineStr">
        <is>
          <t>AR</t>
        </is>
      </c>
      <c r="E233" s="14" t="n">
        <v>495000</v>
      </c>
      <c r="F233" s="14" t="n">
        <v>9666.51</v>
      </c>
      <c r="G233" s="14" t="n">
        <v>1208.31</v>
      </c>
      <c r="H233" s="14" t="n">
        <v>1208.31</v>
      </c>
      <c r="I233" s="14">
        <f>SUM(K233:T233)</f>
        <v/>
      </c>
      <c r="J233" s="14">
        <f>F233-(G233+H233+I233)</f>
        <v/>
      </c>
      <c r="K233" s="14" t="n">
        <v>724.99</v>
      </c>
      <c r="L233" s="14" t="n">
        <v>724.99</v>
      </c>
      <c r="M233" s="14" t="n">
        <v>724.99</v>
      </c>
      <c r="N233" s="14" t="n">
        <v>724.99</v>
      </c>
      <c r="O233" s="14" t="n">
        <v>724.99</v>
      </c>
      <c r="P233" s="14" t="n">
        <v>724.99</v>
      </c>
      <c r="Q233" s="14" t="n">
        <v>724.99</v>
      </c>
      <c r="R233" s="14" t="n">
        <v>724.99</v>
      </c>
      <c r="S233" s="14" t="n">
        <v>724.99</v>
      </c>
      <c r="T233" s="14" t="n">
        <v>724.99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CANON-202508-000309</t>
        </is>
      </c>
      <c r="B234" s="15" t="inlineStr">
        <is>
          <t>2025-08-13</t>
        </is>
      </c>
      <c r="C234" s="15" t="inlineStr">
        <is>
          <t>Anouk Blackwood</t>
        </is>
      </c>
      <c r="D234" s="15" t="inlineStr">
        <is>
          <t>MI</t>
        </is>
      </c>
      <c r="E234" s="16" t="n">
        <v>1250000</v>
      </c>
      <c r="F234" s="16" t="n">
        <v>29245.28</v>
      </c>
      <c r="G234" s="16" t="n">
        <v>3655.66</v>
      </c>
      <c r="H234" s="16" t="n">
        <v>3655.66</v>
      </c>
      <c r="I234" s="16">
        <f>SUM(K234:T234)</f>
        <v/>
      </c>
      <c r="J234" s="16">
        <f>F234-(G234+H234+I234)</f>
        <v/>
      </c>
      <c r="K234" s="16" t="n">
        <v>2193.4</v>
      </c>
      <c r="L234" s="16" t="n">
        <v>2193.4</v>
      </c>
      <c r="M234" s="16" t="n">
        <v>2193.4</v>
      </c>
      <c r="N234" s="16" t="n">
        <v>2193.4</v>
      </c>
      <c r="O234" s="16" t="n">
        <v>2193.4</v>
      </c>
      <c r="P234" s="16" t="n">
        <v>2193.4</v>
      </c>
      <c r="Q234" s="16" t="n">
        <v>2193.4</v>
      </c>
      <c r="R234" s="16" t="n">
        <v>2193.4</v>
      </c>
      <c r="S234" s="16" t="n">
        <v>2193.4</v>
      </c>
      <c r="T234" s="16" t="n">
        <v>2193.4</v>
      </c>
      <c r="U234" s="16" t="n">
        <v>350</v>
      </c>
      <c r="V234" s="16" t="n">
        <v>250</v>
      </c>
      <c r="W234" s="16">
        <f>U234+V234</f>
        <v/>
      </c>
    </row>
    <row r="235">
      <c r="A235" s="3" t="inlineStr">
        <is>
          <t>CANON-202508-000310</t>
        </is>
      </c>
      <c r="B235" s="3" t="inlineStr">
        <is>
          <t>2025-08-19</t>
        </is>
      </c>
      <c r="C235" s="3" t="inlineStr">
        <is>
          <t>Cassius Blackwood</t>
        </is>
      </c>
      <c r="D235" s="3" t="inlineStr">
        <is>
          <t>CA</t>
        </is>
      </c>
      <c r="E235" s="14" t="n">
        <v>530000</v>
      </c>
      <c r="F235" s="14" t="n">
        <v>8775</v>
      </c>
      <c r="G235" s="14" t="n">
        <v>1096.88</v>
      </c>
      <c r="H235" s="14" t="n">
        <v>1096.88</v>
      </c>
      <c r="I235" s="14">
        <f>SUM(K235:T235)</f>
        <v/>
      </c>
      <c r="J235" s="14">
        <f>F235-(G235+H235+I235)</f>
        <v/>
      </c>
      <c r="K235" s="14" t="n">
        <v>658.12</v>
      </c>
      <c r="L235" s="14" t="n">
        <v>658.12</v>
      </c>
      <c r="M235" s="14" t="n">
        <v>658.12</v>
      </c>
      <c r="N235" s="14" t="n">
        <v>658.12</v>
      </c>
      <c r="O235" s="14" t="n">
        <v>658.12</v>
      </c>
      <c r="P235" s="14" t="n">
        <v>658.12</v>
      </c>
      <c r="Q235" s="14" t="n">
        <v>658.12</v>
      </c>
      <c r="R235" s="14" t="n">
        <v>658.12</v>
      </c>
      <c r="S235" s="14" t="n">
        <v>658.12</v>
      </c>
      <c r="T235" s="14" t="n">
        <v>658.12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CANON-202508-000311</t>
        </is>
      </c>
      <c r="B236" s="15" t="inlineStr">
        <is>
          <t>2025-08-17</t>
        </is>
      </c>
      <c r="C236" s="15" t="inlineStr">
        <is>
          <t>Ramona Nakashima</t>
        </is>
      </c>
      <c r="D236" s="15" t="inlineStr">
        <is>
          <t>WA</t>
        </is>
      </c>
      <c r="E236" s="16" t="n">
        <v>700000</v>
      </c>
      <c r="F236" s="16" t="n">
        <v>8241.51</v>
      </c>
      <c r="G236" s="16" t="n">
        <v>1030.19</v>
      </c>
      <c r="H236" s="16" t="n">
        <v>1030.19</v>
      </c>
      <c r="I236" s="16">
        <f>SUM(K236:T236)</f>
        <v/>
      </c>
      <c r="J236" s="16">
        <f>F236-(G236+H236+I236)</f>
        <v/>
      </c>
      <c r="K236" s="16" t="n">
        <v>618.11</v>
      </c>
      <c r="L236" s="16" t="n">
        <v>618.11</v>
      </c>
      <c r="M236" s="16" t="n">
        <v>618.11</v>
      </c>
      <c r="N236" s="16" t="n">
        <v>618.11</v>
      </c>
      <c r="O236" s="16" t="n">
        <v>618.11</v>
      </c>
      <c r="P236" s="16" t="n">
        <v>618.11</v>
      </c>
      <c r="Q236" s="16" t="n">
        <v>618.11</v>
      </c>
      <c r="R236" s="16" t="n">
        <v>618.11</v>
      </c>
      <c r="S236" s="16" t="n">
        <v>618.11</v>
      </c>
      <c r="T236" s="16" t="n">
        <v>618.11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CANON-202508-000313</t>
        </is>
      </c>
      <c r="B237" s="3" t="inlineStr">
        <is>
          <t>2025-08-16</t>
        </is>
      </c>
      <c r="C237" s="3" t="inlineStr">
        <is>
          <t>Desmond Harrington</t>
        </is>
      </c>
      <c r="D237" s="3" t="inlineStr">
        <is>
          <t>CA</t>
        </is>
      </c>
      <c r="E237" s="14" t="n">
        <v>435000</v>
      </c>
      <c r="F237" s="14" t="n">
        <v>8310.139999999999</v>
      </c>
      <c r="G237" s="14" t="n">
        <v>1038.77</v>
      </c>
      <c r="H237" s="14" t="n">
        <v>1038.77</v>
      </c>
      <c r="I237" s="14">
        <f>SUM(K237:T237)</f>
        <v/>
      </c>
      <c r="J237" s="14">
        <f>F237-(G237+H237+I237)</f>
        <v/>
      </c>
      <c r="K237" s="14" t="n">
        <v>623.26</v>
      </c>
      <c r="L237" s="14" t="n">
        <v>623.26</v>
      </c>
      <c r="M237" s="14" t="n">
        <v>623.26</v>
      </c>
      <c r="N237" s="14" t="n">
        <v>623.26</v>
      </c>
      <c r="O237" s="14" t="n">
        <v>623.26</v>
      </c>
      <c r="P237" s="14" t="n">
        <v>623.26</v>
      </c>
      <c r="Q237" s="14" t="n">
        <v>623.26</v>
      </c>
      <c r="R237" s="14" t="n">
        <v>623.26</v>
      </c>
      <c r="S237" s="14" t="n">
        <v>623.26</v>
      </c>
      <c r="T237" s="14" t="n">
        <v>623.26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CANON-202508-000314</t>
        </is>
      </c>
      <c r="B238" s="15" t="inlineStr">
        <is>
          <t>2025-08-25</t>
        </is>
      </c>
      <c r="C238" s="15" t="inlineStr">
        <is>
          <t>Everett Fairweather</t>
        </is>
      </c>
      <c r="D238" s="15" t="inlineStr">
        <is>
          <t>LA</t>
        </is>
      </c>
      <c r="E238" s="16" t="n">
        <v>1830000</v>
      </c>
      <c r="F238" s="16" t="n">
        <v>15876.11</v>
      </c>
      <c r="G238" s="16" t="n">
        <v>1984.51</v>
      </c>
      <c r="H238" s="16" t="n">
        <v>1984.51</v>
      </c>
      <c r="I238" s="16">
        <f>SUM(K238:T238)</f>
        <v/>
      </c>
      <c r="J238" s="16">
        <f>F238-(G238+H238+I238)</f>
        <v/>
      </c>
      <c r="K238" s="16" t="n">
        <v>1190.71</v>
      </c>
      <c r="L238" s="16" t="n">
        <v>1190.71</v>
      </c>
      <c r="M238" s="16" t="n">
        <v>1190.71</v>
      </c>
      <c r="N238" s="16" t="n">
        <v>1190.71</v>
      </c>
      <c r="O238" s="16" t="n">
        <v>1190.71</v>
      </c>
      <c r="P238" s="16" t="n">
        <v>1190.71</v>
      </c>
      <c r="Q238" s="16" t="n">
        <v>1190.71</v>
      </c>
      <c r="R238" s="16" t="n">
        <v>1190.71</v>
      </c>
      <c r="S238" s="16" t="n">
        <v>1190.71</v>
      </c>
      <c r="T238" s="16" t="n">
        <v>1190.71</v>
      </c>
      <c r="U238" s="16" t="n">
        <v>350</v>
      </c>
      <c r="V238" s="16" t="n">
        <v>250</v>
      </c>
      <c r="W238" s="16">
        <f>U238+V238</f>
        <v/>
      </c>
    </row>
    <row r="239">
      <c r="A239" s="3" t="inlineStr">
        <is>
          <t>CANON-202508-000315</t>
        </is>
      </c>
      <c r="B239" s="3" t="inlineStr">
        <is>
          <t>2025-08-17</t>
        </is>
      </c>
      <c r="C239" s="3" t="inlineStr">
        <is>
          <t>Beatrix Okonkwo</t>
        </is>
      </c>
      <c r="D239" s="3" t="inlineStr">
        <is>
          <t>MO</t>
        </is>
      </c>
      <c r="E239" s="14" t="n">
        <v>715000</v>
      </c>
      <c r="F239" s="14" t="n">
        <v>9295</v>
      </c>
      <c r="G239" s="14" t="n">
        <v>1161.88</v>
      </c>
      <c r="H239" s="14" t="n">
        <v>1161.88</v>
      </c>
      <c r="I239" s="14">
        <f>SUM(K239:T239)</f>
        <v/>
      </c>
      <c r="J239" s="14">
        <f>F239-(G239+H239+I239)</f>
        <v/>
      </c>
      <c r="K239" s="14" t="n">
        <v>697.12</v>
      </c>
      <c r="L239" s="14" t="n">
        <v>697.12</v>
      </c>
      <c r="M239" s="14" t="n">
        <v>697.12</v>
      </c>
      <c r="N239" s="14" t="n">
        <v>697.12</v>
      </c>
      <c r="O239" s="14" t="n">
        <v>697.12</v>
      </c>
      <c r="P239" s="14" t="n">
        <v>697.12</v>
      </c>
      <c r="Q239" s="14" t="n">
        <v>697.12</v>
      </c>
      <c r="R239" s="14" t="n">
        <v>697.12</v>
      </c>
      <c r="S239" s="14" t="n">
        <v>697.12</v>
      </c>
      <c r="T239" s="14" t="n">
        <v>697.12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CANON-202508-000316</t>
        </is>
      </c>
      <c r="B240" s="15" t="inlineStr">
        <is>
          <t>2025-08-19</t>
        </is>
      </c>
      <c r="C240" s="15" t="inlineStr">
        <is>
          <t>Horace Rourke</t>
        </is>
      </c>
      <c r="D240" s="15" t="inlineStr">
        <is>
          <t>NY</t>
        </is>
      </c>
      <c r="E240" s="16" t="n">
        <v>390000</v>
      </c>
      <c r="F240" s="16" t="n">
        <v>7064.15</v>
      </c>
      <c r="G240" s="16" t="n">
        <v>883.02</v>
      </c>
      <c r="H240" s="16" t="n">
        <v>883.02</v>
      </c>
      <c r="I240" s="16">
        <f>SUM(K240:T240)</f>
        <v/>
      </c>
      <c r="J240" s="16">
        <f>F240-(G240+H240+I240)</f>
        <v/>
      </c>
      <c r="K240" s="16" t="n">
        <v>529.8099999999999</v>
      </c>
      <c r="L240" s="16" t="n">
        <v>529.8099999999999</v>
      </c>
      <c r="M240" s="16" t="n">
        <v>529.8099999999999</v>
      </c>
      <c r="N240" s="16" t="n">
        <v>529.8099999999999</v>
      </c>
      <c r="O240" s="16" t="n">
        <v>529.8099999999999</v>
      </c>
      <c r="P240" s="16" t="n">
        <v>529.8099999999999</v>
      </c>
      <c r="Q240" s="16" t="n">
        <v>529.8099999999999</v>
      </c>
      <c r="R240" s="16" t="n">
        <v>529.8099999999999</v>
      </c>
      <c r="S240" s="16" t="n">
        <v>529.8099999999999</v>
      </c>
      <c r="T240" s="16" t="n">
        <v>529.8099999999999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CANON-202508-000317</t>
        </is>
      </c>
      <c r="B241" s="3" t="inlineStr">
        <is>
          <t>2025-08-01</t>
        </is>
      </c>
      <c r="C241" s="3" t="inlineStr">
        <is>
          <t>Ingrid Montoya</t>
        </is>
      </c>
      <c r="D241" s="3" t="inlineStr">
        <is>
          <t>NY</t>
        </is>
      </c>
      <c r="E241" s="14" t="n">
        <v>670000</v>
      </c>
      <c r="F241" s="14" t="n">
        <v>10517.74</v>
      </c>
      <c r="G241" s="14" t="n">
        <v>1314.72</v>
      </c>
      <c r="H241" s="14" t="n">
        <v>1314.72</v>
      </c>
      <c r="I241" s="14">
        <f>SUM(K241:T241)</f>
        <v/>
      </c>
      <c r="J241" s="14">
        <f>F241-(G241+H241+I241)</f>
        <v/>
      </c>
      <c r="K241" s="14" t="n">
        <v>788.83</v>
      </c>
      <c r="L241" s="14" t="n">
        <v>788.83</v>
      </c>
      <c r="M241" s="14" t="n">
        <v>788.83</v>
      </c>
      <c r="N241" s="14" t="n">
        <v>788.83</v>
      </c>
      <c r="O241" s="14" t="n">
        <v>788.83</v>
      </c>
      <c r="P241" s="14" t="n">
        <v>788.83</v>
      </c>
      <c r="Q241" s="14" t="n">
        <v>788.83</v>
      </c>
      <c r="R241" s="14" t="n">
        <v>788.83</v>
      </c>
      <c r="S241" s="14" t="n">
        <v>788.83</v>
      </c>
      <c r="T241" s="14" t="n">
        <v>788.83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CANON-202508-000318</t>
        </is>
      </c>
      <c r="B242" s="15" t="inlineStr">
        <is>
          <t>2025-08-24</t>
        </is>
      </c>
      <c r="C242" s="15" t="inlineStr">
        <is>
          <t>Saoirse Delacroix</t>
        </is>
      </c>
      <c r="D242" s="15" t="inlineStr">
        <is>
          <t>LA</t>
        </is>
      </c>
      <c r="E242" s="16" t="n">
        <v>340000</v>
      </c>
      <c r="F242" s="16" t="n">
        <v>5821.7</v>
      </c>
      <c r="G242" s="16" t="n">
        <v>727.71</v>
      </c>
      <c r="H242" s="16" t="n">
        <v>727.71</v>
      </c>
      <c r="I242" s="16">
        <f>SUM(K242:T242)</f>
        <v/>
      </c>
      <c r="J242" s="16">
        <f>F242-(G242+H242+I242)</f>
        <v/>
      </c>
      <c r="K242" s="16" t="n">
        <v>436.63</v>
      </c>
      <c r="L242" s="16" t="n">
        <v>436.63</v>
      </c>
      <c r="M242" s="16" t="n">
        <v>436.63</v>
      </c>
      <c r="N242" s="16" t="n">
        <v>436.63</v>
      </c>
      <c r="O242" s="16" t="n">
        <v>436.63</v>
      </c>
      <c r="P242" s="16" t="n">
        <v>436.63</v>
      </c>
      <c r="Q242" s="16" t="n">
        <v>436.63</v>
      </c>
      <c r="R242" s="16" t="n">
        <v>436.63</v>
      </c>
      <c r="S242" s="16" t="n">
        <v>436.63</v>
      </c>
      <c r="T242" s="16" t="n">
        <v>436.63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CANON-202508-000319</t>
        </is>
      </c>
      <c r="B243" s="3" t="inlineStr">
        <is>
          <t>2025-08-02</t>
        </is>
      </c>
      <c r="C243" s="3" t="inlineStr">
        <is>
          <t>Leopold Castellanos</t>
        </is>
      </c>
      <c r="D243" s="3" t="inlineStr">
        <is>
          <t>MI</t>
        </is>
      </c>
      <c r="E243" s="14" t="n">
        <v>445000</v>
      </c>
      <c r="F243" s="14" t="n">
        <v>9760.610000000001</v>
      </c>
      <c r="G243" s="14" t="n">
        <v>1220.08</v>
      </c>
      <c r="H243" s="14" t="n">
        <v>1220.08</v>
      </c>
      <c r="I243" s="14">
        <f>SUM(K243:T243)</f>
        <v/>
      </c>
      <c r="J243" s="14">
        <f>F243-(G243+H243+I243)</f>
        <v/>
      </c>
      <c r="K243" s="14" t="n">
        <v>732.05</v>
      </c>
      <c r="L243" s="14" t="n">
        <v>732.05</v>
      </c>
      <c r="M243" s="14" t="n">
        <v>732.05</v>
      </c>
      <c r="N243" s="14" t="n">
        <v>732.05</v>
      </c>
      <c r="O243" s="14" t="n">
        <v>732.05</v>
      </c>
      <c r="P243" s="14" t="n">
        <v>732.05</v>
      </c>
      <c r="Q243" s="14" t="n">
        <v>732.05</v>
      </c>
      <c r="R243" s="14" t="n">
        <v>732.05</v>
      </c>
      <c r="S243" s="14" t="n">
        <v>732.05</v>
      </c>
      <c r="T243" s="14" t="n">
        <v>732.05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CANON-202508-000320</t>
        </is>
      </c>
      <c r="B244" s="15" t="inlineStr">
        <is>
          <t>2025-08-20</t>
        </is>
      </c>
      <c r="C244" s="15" t="inlineStr">
        <is>
          <t>Leopold Fairweather</t>
        </is>
      </c>
      <c r="D244" s="15" t="inlineStr">
        <is>
          <t>CA</t>
        </is>
      </c>
      <c r="E244" s="16" t="n">
        <v>490000</v>
      </c>
      <c r="F244" s="16" t="n">
        <v>9360.85</v>
      </c>
      <c r="G244" s="16" t="n">
        <v>1170.11</v>
      </c>
      <c r="H244" s="16" t="n">
        <v>1170.11</v>
      </c>
      <c r="I244" s="16">
        <f>SUM(K244:T244)</f>
        <v/>
      </c>
      <c r="J244" s="16">
        <f>F244-(G244+H244+I244)</f>
        <v/>
      </c>
      <c r="K244" s="16" t="n">
        <v>702.0599999999999</v>
      </c>
      <c r="L244" s="16" t="n">
        <v>702.0599999999999</v>
      </c>
      <c r="M244" s="16" t="n">
        <v>702.0599999999999</v>
      </c>
      <c r="N244" s="16" t="n">
        <v>702.0599999999999</v>
      </c>
      <c r="O244" s="16" t="n">
        <v>702.0599999999999</v>
      </c>
      <c r="P244" s="16" t="n">
        <v>702.0599999999999</v>
      </c>
      <c r="Q244" s="16" t="n">
        <v>702.0599999999999</v>
      </c>
      <c r="R244" s="16" t="n">
        <v>702.0599999999999</v>
      </c>
      <c r="S244" s="16" t="n">
        <v>702.0599999999999</v>
      </c>
      <c r="T244" s="16" t="n">
        <v>702.0599999999999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CANON-202508-000321</t>
        </is>
      </c>
      <c r="B245" s="3" t="inlineStr">
        <is>
          <t>2025-08-16</t>
        </is>
      </c>
      <c r="C245" s="3" t="inlineStr">
        <is>
          <t>Desmond Harrington</t>
        </is>
      </c>
      <c r="D245" s="3" t="inlineStr">
        <is>
          <t>UT</t>
        </is>
      </c>
      <c r="E245" s="14" t="n">
        <v>1550000</v>
      </c>
      <c r="F245" s="14" t="n">
        <v>15002.83</v>
      </c>
      <c r="G245" s="14" t="n">
        <v>1875.35</v>
      </c>
      <c r="H245" s="14" t="n">
        <v>1875.35</v>
      </c>
      <c r="I245" s="14">
        <f>SUM(K245:T245)</f>
        <v/>
      </c>
      <c r="J245" s="14">
        <f>F245-(G245+H245+I245)</f>
        <v/>
      </c>
      <c r="K245" s="14" t="n">
        <v>1125.21</v>
      </c>
      <c r="L245" s="14" t="n">
        <v>1125.21</v>
      </c>
      <c r="M245" s="14" t="n">
        <v>1125.21</v>
      </c>
      <c r="N245" s="14" t="n">
        <v>1125.21</v>
      </c>
      <c r="O245" s="14" t="n">
        <v>1125.21</v>
      </c>
      <c r="P245" s="14" t="n">
        <v>1125.21</v>
      </c>
      <c r="Q245" s="14" t="n">
        <v>1125.21</v>
      </c>
      <c r="R245" s="14" t="n">
        <v>1125.21</v>
      </c>
      <c r="S245" s="14" t="n">
        <v>1125.21</v>
      </c>
      <c r="T245" s="14" t="n">
        <v>1125.21</v>
      </c>
      <c r="U245" s="14" t="n">
        <v>350</v>
      </c>
      <c r="V245" s="14" t="n">
        <v>250</v>
      </c>
      <c r="W245" s="14">
        <f>U245+V245</f>
        <v/>
      </c>
    </row>
    <row r="246">
      <c r="A246" s="15" t="inlineStr">
        <is>
          <t>CANON-202508-000322</t>
        </is>
      </c>
      <c r="B246" s="15" t="inlineStr">
        <is>
          <t>2025-08-20</t>
        </is>
      </c>
      <c r="C246" s="15" t="inlineStr">
        <is>
          <t>Beatrix Okonkwo</t>
        </is>
      </c>
      <c r="D246" s="15" t="inlineStr">
        <is>
          <t>MS</t>
        </is>
      </c>
      <c r="E246" s="16" t="n">
        <v>460000</v>
      </c>
      <c r="F246" s="16" t="n">
        <v>11877.55</v>
      </c>
      <c r="G246" s="16" t="n">
        <v>1484.69</v>
      </c>
      <c r="H246" s="16" t="n">
        <v>1484.69</v>
      </c>
      <c r="I246" s="16">
        <f>SUM(K246:T246)</f>
        <v/>
      </c>
      <c r="J246" s="16">
        <f>F246-(G246+H246+I246)</f>
        <v/>
      </c>
      <c r="K246" s="16" t="n">
        <v>890.8200000000001</v>
      </c>
      <c r="L246" s="16" t="n">
        <v>890.8200000000001</v>
      </c>
      <c r="M246" s="16" t="n">
        <v>890.8200000000001</v>
      </c>
      <c r="N246" s="16" t="n">
        <v>890.8200000000001</v>
      </c>
      <c r="O246" s="16" t="n">
        <v>890.8200000000001</v>
      </c>
      <c r="P246" s="16" t="n">
        <v>890.8200000000001</v>
      </c>
      <c r="Q246" s="16" t="n">
        <v>890.8200000000001</v>
      </c>
      <c r="R246" s="16" t="n">
        <v>890.8200000000001</v>
      </c>
      <c r="S246" s="16" t="n">
        <v>890.8200000000001</v>
      </c>
      <c r="T246" s="16" t="n">
        <v>890.8200000000001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CANON-202508-000326</t>
        </is>
      </c>
      <c r="B247" s="3" t="inlineStr">
        <is>
          <t>2025-08-29</t>
        </is>
      </c>
      <c r="C247" s="3" t="inlineStr">
        <is>
          <t>Leopold Vasquez</t>
        </is>
      </c>
      <c r="D247" s="3" t="inlineStr">
        <is>
          <t>TX</t>
        </is>
      </c>
      <c r="E247" s="14" t="n">
        <v>370000</v>
      </c>
      <c r="F247" s="14" t="n">
        <v>6021.23</v>
      </c>
      <c r="G247" s="14" t="n">
        <v>752.65</v>
      </c>
      <c r="H247" s="14" t="n">
        <v>752.65</v>
      </c>
      <c r="I247" s="14">
        <f>SUM(K247:T247)</f>
        <v/>
      </c>
      <c r="J247" s="14">
        <f>F247-(G247+H247+I247)</f>
        <v/>
      </c>
      <c r="K247" s="14" t="n">
        <v>451.59</v>
      </c>
      <c r="L247" s="14" t="n">
        <v>451.59</v>
      </c>
      <c r="M247" s="14" t="n">
        <v>451.59</v>
      </c>
      <c r="N247" s="14" t="n">
        <v>451.59</v>
      </c>
      <c r="O247" s="14" t="n">
        <v>451.59</v>
      </c>
      <c r="P247" s="14" t="n">
        <v>451.59</v>
      </c>
      <c r="Q247" s="14" t="n">
        <v>451.59</v>
      </c>
      <c r="R247" s="14" t="n">
        <v>451.59</v>
      </c>
      <c r="S247" s="14" t="n">
        <v>451.59</v>
      </c>
      <c r="T247" s="14" t="n">
        <v>451.59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CANON-202508-000328</t>
        </is>
      </c>
      <c r="B248" s="15" t="inlineStr">
        <is>
          <t>2025-08-25</t>
        </is>
      </c>
      <c r="C248" s="15" t="inlineStr">
        <is>
          <t>Fitzgerald Underwood</t>
        </is>
      </c>
      <c r="D248" s="15" t="inlineStr">
        <is>
          <t>MD</t>
        </is>
      </c>
      <c r="E248" s="16" t="n">
        <v>850000</v>
      </c>
      <c r="F248" s="16" t="n">
        <v>9903.299999999999</v>
      </c>
      <c r="G248" s="16" t="n">
        <v>1237.91</v>
      </c>
      <c r="H248" s="16" t="n">
        <v>1237.91</v>
      </c>
      <c r="I248" s="16">
        <f>SUM(K248:T248)</f>
        <v/>
      </c>
      <c r="J248" s="16">
        <f>F248-(G248+H248+I248)</f>
        <v/>
      </c>
      <c r="K248" s="16" t="n">
        <v>742.75</v>
      </c>
      <c r="L248" s="16" t="n">
        <v>742.75</v>
      </c>
      <c r="M248" s="16" t="n">
        <v>742.75</v>
      </c>
      <c r="N248" s="16" t="n">
        <v>742.75</v>
      </c>
      <c r="O248" s="16" t="n">
        <v>742.75</v>
      </c>
      <c r="P248" s="16" t="n">
        <v>742.75</v>
      </c>
      <c r="Q248" s="16" t="n">
        <v>742.75</v>
      </c>
      <c r="R248" s="16" t="n">
        <v>742.75</v>
      </c>
      <c r="S248" s="16" t="n">
        <v>742.75</v>
      </c>
      <c r="T248" s="16" t="n">
        <v>742.75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CANON-202508-000329</t>
        </is>
      </c>
      <c r="B249" s="3" t="inlineStr">
        <is>
          <t>2025-08-03</t>
        </is>
      </c>
      <c r="C249" s="3" t="inlineStr">
        <is>
          <t>Anouk Montoya</t>
        </is>
      </c>
      <c r="D249" s="3" t="inlineStr">
        <is>
          <t>KS</t>
        </is>
      </c>
      <c r="E249" s="14" t="n">
        <v>545000</v>
      </c>
      <c r="F249" s="14" t="n">
        <v>9475.799999999999</v>
      </c>
      <c r="G249" s="14" t="n">
        <v>1184.47</v>
      </c>
      <c r="H249" s="14" t="n">
        <v>1184.47</v>
      </c>
      <c r="I249" s="14">
        <f>SUM(K249:T249)</f>
        <v/>
      </c>
      <c r="J249" s="14">
        <f>F249-(G249+H249+I249)</f>
        <v/>
      </c>
      <c r="K249" s="14" t="n">
        <v>710.6799999999999</v>
      </c>
      <c r="L249" s="14" t="n">
        <v>710.6799999999999</v>
      </c>
      <c r="M249" s="14" t="n">
        <v>710.6799999999999</v>
      </c>
      <c r="N249" s="14" t="n">
        <v>710.6799999999999</v>
      </c>
      <c r="O249" s="14" t="n">
        <v>710.6799999999999</v>
      </c>
      <c r="P249" s="14" t="n">
        <v>710.6799999999999</v>
      </c>
      <c r="Q249" s="14" t="n">
        <v>710.6799999999999</v>
      </c>
      <c r="R249" s="14" t="n">
        <v>710.6799999999999</v>
      </c>
      <c r="S249" s="14" t="n">
        <v>710.6799999999999</v>
      </c>
      <c r="T249" s="14" t="n">
        <v>710.6799999999999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CANON-202508-000331</t>
        </is>
      </c>
      <c r="B250" s="15" t="inlineStr">
        <is>
          <t>2025-08-14</t>
        </is>
      </c>
      <c r="C250" s="15" t="inlineStr">
        <is>
          <t>Saoirse Blackwood</t>
        </is>
      </c>
      <c r="D250" s="15" t="inlineStr">
        <is>
          <t>CA</t>
        </is>
      </c>
      <c r="E250" s="16" t="n">
        <v>320000</v>
      </c>
      <c r="F250" s="16" t="n">
        <v>6113.21</v>
      </c>
      <c r="G250" s="16" t="n">
        <v>764.15</v>
      </c>
      <c r="H250" s="16" t="n">
        <v>764.15</v>
      </c>
      <c r="I250" s="16">
        <f>SUM(K250:T250)</f>
        <v/>
      </c>
      <c r="J250" s="16">
        <f>F250-(G250+H250+I250)</f>
        <v/>
      </c>
      <c r="K250" s="16" t="n">
        <v>458.49</v>
      </c>
      <c r="L250" s="16" t="n">
        <v>458.49</v>
      </c>
      <c r="M250" s="16" t="n">
        <v>458.49</v>
      </c>
      <c r="N250" s="16" t="n">
        <v>458.49</v>
      </c>
      <c r="O250" s="16" t="n">
        <v>458.49</v>
      </c>
      <c r="P250" s="16" t="n">
        <v>458.49</v>
      </c>
      <c r="Q250" s="16" t="n">
        <v>458.49</v>
      </c>
      <c r="R250" s="16" t="n">
        <v>458.49</v>
      </c>
      <c r="S250" s="16" t="n">
        <v>458.49</v>
      </c>
      <c r="T250" s="16" t="n">
        <v>458.49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CANON-202508-000333</t>
        </is>
      </c>
      <c r="B251" s="3" t="inlineStr">
        <is>
          <t>2025-08-23</t>
        </is>
      </c>
      <c r="C251" s="3" t="inlineStr">
        <is>
          <t>Fitzgerald Ashcombe</t>
        </is>
      </c>
      <c r="D251" s="3" t="inlineStr">
        <is>
          <t>VA</t>
        </is>
      </c>
      <c r="E251" s="14" t="n">
        <v>535000</v>
      </c>
      <c r="F251" s="14" t="n">
        <v>10452.69</v>
      </c>
      <c r="G251" s="14" t="n">
        <v>1306.59</v>
      </c>
      <c r="H251" s="14" t="n">
        <v>1306.59</v>
      </c>
      <c r="I251" s="14">
        <f>SUM(K251:T251)</f>
        <v/>
      </c>
      <c r="J251" s="14">
        <f>F251-(G251+H251+I251)</f>
        <v/>
      </c>
      <c r="K251" s="14" t="n">
        <v>783.95</v>
      </c>
      <c r="L251" s="14" t="n">
        <v>783.95</v>
      </c>
      <c r="M251" s="14" t="n">
        <v>783.95</v>
      </c>
      <c r="N251" s="14" t="n">
        <v>783.95</v>
      </c>
      <c r="O251" s="14" t="n">
        <v>783.95</v>
      </c>
      <c r="P251" s="14" t="n">
        <v>783.95</v>
      </c>
      <c r="Q251" s="14" t="n">
        <v>783.95</v>
      </c>
      <c r="R251" s="14" t="n">
        <v>783.95</v>
      </c>
      <c r="S251" s="14" t="n">
        <v>783.95</v>
      </c>
      <c r="T251" s="14" t="n">
        <v>783.95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CANON-202508-000334</t>
        </is>
      </c>
      <c r="B252" s="15" t="inlineStr">
        <is>
          <t>2025-08-20</t>
        </is>
      </c>
      <c r="C252" s="15" t="inlineStr">
        <is>
          <t>Thaddeus Thistlewood</t>
        </is>
      </c>
      <c r="D252" s="15" t="inlineStr">
        <is>
          <t>PA</t>
        </is>
      </c>
      <c r="E252" s="16" t="n">
        <v>190000</v>
      </c>
      <c r="F252" s="16" t="n">
        <v>3298.11</v>
      </c>
      <c r="G252" s="16" t="n">
        <v>412.26</v>
      </c>
      <c r="H252" s="16" t="n">
        <v>412.26</v>
      </c>
      <c r="I252" s="16">
        <f>SUM(K252:T252)</f>
        <v/>
      </c>
      <c r="J252" s="16">
        <f>F252-(G252+H252+I252)</f>
        <v/>
      </c>
      <c r="K252" s="16" t="n">
        <v>247.36</v>
      </c>
      <c r="L252" s="16" t="n">
        <v>247.36</v>
      </c>
      <c r="M252" s="16" t="n">
        <v>247.36</v>
      </c>
      <c r="N252" s="16" t="n">
        <v>247.36</v>
      </c>
      <c r="O252" s="16" t="n">
        <v>247.36</v>
      </c>
      <c r="P252" s="16" t="n">
        <v>247.36</v>
      </c>
      <c r="Q252" s="16" t="n">
        <v>247.36</v>
      </c>
      <c r="R252" s="16" t="n">
        <v>247.36</v>
      </c>
      <c r="S252" s="16" t="n">
        <v>247.36</v>
      </c>
      <c r="T252" s="16" t="n">
        <v>247.36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CANON-202508-000336</t>
        </is>
      </c>
      <c r="B253" s="3" t="inlineStr">
        <is>
          <t>2025-08-13</t>
        </is>
      </c>
      <c r="C253" s="3" t="inlineStr">
        <is>
          <t>Wilhelmina Montoya</t>
        </is>
      </c>
      <c r="D253" s="3" t="inlineStr">
        <is>
          <t>LA</t>
        </is>
      </c>
      <c r="E253" s="14" t="n">
        <v>285000</v>
      </c>
      <c r="F253" s="14" t="n">
        <v>7482.59</v>
      </c>
      <c r="G253" s="14" t="n">
        <v>935.3200000000001</v>
      </c>
      <c r="H253" s="14" t="n">
        <v>935.3200000000001</v>
      </c>
      <c r="I253" s="14">
        <f>SUM(K253:T253)</f>
        <v/>
      </c>
      <c r="J253" s="14">
        <f>F253-(G253+H253+I253)</f>
        <v/>
      </c>
      <c r="K253" s="14" t="n">
        <v>561.1900000000001</v>
      </c>
      <c r="L253" s="14" t="n">
        <v>561.1900000000001</v>
      </c>
      <c r="M253" s="14" t="n">
        <v>561.1900000000001</v>
      </c>
      <c r="N253" s="14" t="n">
        <v>561.1900000000001</v>
      </c>
      <c r="O253" s="14" t="n">
        <v>561.1900000000001</v>
      </c>
      <c r="P253" s="14" t="n">
        <v>561.1900000000001</v>
      </c>
      <c r="Q253" s="14" t="n">
        <v>561.1900000000001</v>
      </c>
      <c r="R253" s="14" t="n">
        <v>561.1900000000001</v>
      </c>
      <c r="S253" s="14" t="n">
        <v>561.1900000000001</v>
      </c>
      <c r="T253" s="14" t="n">
        <v>561.1900000000001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CANON-202508-000337</t>
        </is>
      </c>
      <c r="B254" s="15" t="inlineStr">
        <is>
          <t>2025-08-09</t>
        </is>
      </c>
      <c r="C254" s="15" t="inlineStr">
        <is>
          <t>Horace Whitlock</t>
        </is>
      </c>
      <c r="D254" s="15" t="inlineStr">
        <is>
          <t>UT</t>
        </is>
      </c>
      <c r="E254" s="16" t="n">
        <v>490000</v>
      </c>
      <c r="F254" s="16" t="n">
        <v>9360.85</v>
      </c>
      <c r="G254" s="16" t="n">
        <v>1170.11</v>
      </c>
      <c r="H254" s="16" t="n">
        <v>1170.11</v>
      </c>
      <c r="I254" s="16">
        <f>SUM(K254:T254)</f>
        <v/>
      </c>
      <c r="J254" s="16">
        <f>F254-(G254+H254+I254)</f>
        <v/>
      </c>
      <c r="K254" s="16" t="n">
        <v>702.0599999999999</v>
      </c>
      <c r="L254" s="16" t="n">
        <v>702.0599999999999</v>
      </c>
      <c r="M254" s="16" t="n">
        <v>702.0599999999999</v>
      </c>
      <c r="N254" s="16" t="n">
        <v>702.0599999999999</v>
      </c>
      <c r="O254" s="16" t="n">
        <v>702.0599999999999</v>
      </c>
      <c r="P254" s="16" t="n">
        <v>702.0599999999999</v>
      </c>
      <c r="Q254" s="16" t="n">
        <v>702.0599999999999</v>
      </c>
      <c r="R254" s="16" t="n">
        <v>702.0599999999999</v>
      </c>
      <c r="S254" s="16" t="n">
        <v>702.0599999999999</v>
      </c>
      <c r="T254" s="16" t="n">
        <v>702.0599999999999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CANON-202508-000338</t>
        </is>
      </c>
      <c r="B255" s="3" t="inlineStr">
        <is>
          <t>2025-08-10</t>
        </is>
      </c>
      <c r="C255" s="3" t="inlineStr">
        <is>
          <t>Ramona Blackwood</t>
        </is>
      </c>
      <c r="D255" s="3" t="inlineStr">
        <is>
          <t>MS</t>
        </is>
      </c>
      <c r="E255" s="14" t="n">
        <v>165000</v>
      </c>
      <c r="F255" s="14" t="n">
        <v>5260.7</v>
      </c>
      <c r="G255" s="14" t="n">
        <v>657.59</v>
      </c>
      <c r="H255" s="14" t="n">
        <v>657.59</v>
      </c>
      <c r="I255" s="14">
        <f>SUM(K255:T255)</f>
        <v/>
      </c>
      <c r="J255" s="14">
        <f>F255-(G255+H255+I255)</f>
        <v/>
      </c>
      <c r="K255" s="14" t="n">
        <v>394.55</v>
      </c>
      <c r="L255" s="14" t="n">
        <v>394.55</v>
      </c>
      <c r="M255" s="14" t="n">
        <v>394.55</v>
      </c>
      <c r="N255" s="14" t="n">
        <v>394.55</v>
      </c>
      <c r="O255" s="14" t="n">
        <v>394.55</v>
      </c>
      <c r="P255" s="14" t="n">
        <v>394.55</v>
      </c>
      <c r="Q255" s="14" t="n">
        <v>394.55</v>
      </c>
      <c r="R255" s="14" t="n">
        <v>394.55</v>
      </c>
      <c r="S255" s="14" t="n">
        <v>394.55</v>
      </c>
      <c r="T255" s="14" t="n">
        <v>394.55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CANON-202508-000340</t>
        </is>
      </c>
      <c r="B256" s="15" t="inlineStr">
        <is>
          <t>2025-08-08</t>
        </is>
      </c>
      <c r="C256" s="15" t="inlineStr">
        <is>
          <t>Delphine Vandermeer</t>
        </is>
      </c>
      <c r="D256" s="15" t="inlineStr">
        <is>
          <t>MO</t>
        </is>
      </c>
      <c r="E256" s="16" t="n">
        <v>1950000</v>
      </c>
      <c r="F256" s="16" t="n">
        <v>31200</v>
      </c>
      <c r="G256" s="16" t="n">
        <v>3900</v>
      </c>
      <c r="H256" s="16" t="n">
        <v>3900</v>
      </c>
      <c r="I256" s="16">
        <f>SUM(K256:T256)</f>
        <v/>
      </c>
      <c r="J256" s="16">
        <f>F256-(G256+H256+I256)</f>
        <v/>
      </c>
      <c r="K256" s="16" t="n">
        <v>2340</v>
      </c>
      <c r="L256" s="16" t="n">
        <v>2340</v>
      </c>
      <c r="M256" s="16" t="n">
        <v>2340</v>
      </c>
      <c r="N256" s="16" t="n">
        <v>2340</v>
      </c>
      <c r="O256" s="16" t="n">
        <v>2340</v>
      </c>
      <c r="P256" s="16" t="n">
        <v>2340</v>
      </c>
      <c r="Q256" s="16" t="n">
        <v>2340</v>
      </c>
      <c r="R256" s="16" t="n">
        <v>2340</v>
      </c>
      <c r="S256" s="16" t="n">
        <v>2340</v>
      </c>
      <c r="T256" s="16" t="n">
        <v>2340</v>
      </c>
      <c r="U256" s="16" t="n">
        <v>350</v>
      </c>
      <c r="V256" s="16" t="n">
        <v>250</v>
      </c>
      <c r="W256" s="16">
        <f>U256+V256</f>
        <v/>
      </c>
    </row>
    <row r="257">
      <c r="A257" s="3" t="inlineStr">
        <is>
          <t>CANON-202508-000341</t>
        </is>
      </c>
      <c r="B257" s="3" t="inlineStr">
        <is>
          <t>2025-08-26</t>
        </is>
      </c>
      <c r="C257" s="3" t="inlineStr">
        <is>
          <t>Mireille Harrington</t>
        </is>
      </c>
      <c r="D257" s="3" t="inlineStr">
        <is>
          <t>AR</t>
        </is>
      </c>
      <c r="E257" s="14" t="n">
        <v>545000</v>
      </c>
      <c r="F257" s="14" t="n">
        <v>9223.870000000001</v>
      </c>
      <c r="G257" s="14" t="n">
        <v>1152.98</v>
      </c>
      <c r="H257" s="14" t="n">
        <v>1152.98</v>
      </c>
      <c r="I257" s="14">
        <f>SUM(K257:T257)</f>
        <v/>
      </c>
      <c r="J257" s="14">
        <f>F257-(G257+H257+I257)</f>
        <v/>
      </c>
      <c r="K257" s="14" t="n">
        <v>691.79</v>
      </c>
      <c r="L257" s="14" t="n">
        <v>691.79</v>
      </c>
      <c r="M257" s="14" t="n">
        <v>691.79</v>
      </c>
      <c r="N257" s="14" t="n">
        <v>691.79</v>
      </c>
      <c r="O257" s="14" t="n">
        <v>691.79</v>
      </c>
      <c r="P257" s="14" t="n">
        <v>691.79</v>
      </c>
      <c r="Q257" s="14" t="n">
        <v>691.79</v>
      </c>
      <c r="R257" s="14" t="n">
        <v>691.79</v>
      </c>
      <c r="S257" s="14" t="n">
        <v>691.79</v>
      </c>
      <c r="T257" s="14" t="n">
        <v>691.79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CANON-202508-000343</t>
        </is>
      </c>
      <c r="B258" s="15" t="inlineStr">
        <is>
          <t>2025-08-20</t>
        </is>
      </c>
      <c r="C258" s="15" t="inlineStr">
        <is>
          <t>Ottilie Okonkwo</t>
        </is>
      </c>
      <c r="D258" s="15" t="inlineStr">
        <is>
          <t>MI</t>
        </is>
      </c>
      <c r="E258" s="16" t="n">
        <v>715000</v>
      </c>
      <c r="F258" s="16" t="n">
        <v>13591.75</v>
      </c>
      <c r="G258" s="16" t="n">
        <v>1698.97</v>
      </c>
      <c r="H258" s="16" t="n">
        <v>1698.97</v>
      </c>
      <c r="I258" s="16">
        <f>SUM(K258:T258)</f>
        <v/>
      </c>
      <c r="J258" s="16">
        <f>F258-(G258+H258+I258)</f>
        <v/>
      </c>
      <c r="K258" s="16" t="n">
        <v>1019.38</v>
      </c>
      <c r="L258" s="16" t="n">
        <v>1019.38</v>
      </c>
      <c r="M258" s="16" t="n">
        <v>1019.38</v>
      </c>
      <c r="N258" s="16" t="n">
        <v>1019.38</v>
      </c>
      <c r="O258" s="16" t="n">
        <v>1019.38</v>
      </c>
      <c r="P258" s="16" t="n">
        <v>1019.38</v>
      </c>
      <c r="Q258" s="16" t="n">
        <v>1019.38</v>
      </c>
      <c r="R258" s="16" t="n">
        <v>1019.38</v>
      </c>
      <c r="S258" s="16" t="n">
        <v>1019.38</v>
      </c>
      <c r="T258" s="16" t="n">
        <v>1019.38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CANON-202508-000344</t>
        </is>
      </c>
      <c r="B259" s="3" t="inlineStr">
        <is>
          <t>2025-08-03</t>
        </is>
      </c>
      <c r="C259" s="3" t="inlineStr">
        <is>
          <t>Ingrid Larsson</t>
        </is>
      </c>
      <c r="D259" s="3" t="inlineStr">
        <is>
          <t>UT</t>
        </is>
      </c>
      <c r="E259" s="14" t="n">
        <v>170000</v>
      </c>
      <c r="F259" s="14" t="n">
        <v>2468.21</v>
      </c>
      <c r="G259" s="14" t="n">
        <v>308.53</v>
      </c>
      <c r="H259" s="14" t="n">
        <v>308.53</v>
      </c>
      <c r="I259" s="14">
        <f>SUM(K259:T259)</f>
        <v/>
      </c>
      <c r="J259" s="14">
        <f>F259-(G259+H259+I259)</f>
        <v/>
      </c>
      <c r="K259" s="14" t="n">
        <v>185.12</v>
      </c>
      <c r="L259" s="14" t="n">
        <v>185.12</v>
      </c>
      <c r="M259" s="14" t="n">
        <v>185.12</v>
      </c>
      <c r="N259" s="14" t="n">
        <v>185.12</v>
      </c>
      <c r="O259" s="14" t="n">
        <v>185.12</v>
      </c>
      <c r="P259" s="14" t="n">
        <v>185.12</v>
      </c>
      <c r="Q259" s="14" t="n">
        <v>185.12</v>
      </c>
      <c r="R259" s="14" t="n">
        <v>185.12</v>
      </c>
      <c r="S259" s="14" t="n">
        <v>185.12</v>
      </c>
      <c r="T259" s="14" t="n">
        <v>185.12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CANON-202508-000345</t>
        </is>
      </c>
      <c r="B260" s="15" t="inlineStr">
        <is>
          <t>2025-08-05</t>
        </is>
      </c>
      <c r="C260" s="15" t="inlineStr">
        <is>
          <t>Emiliano Vandermeer</t>
        </is>
      </c>
      <c r="D260" s="15" t="inlineStr">
        <is>
          <t>CA</t>
        </is>
      </c>
      <c r="E260" s="16" t="n">
        <v>260000</v>
      </c>
      <c r="F260" s="16" t="n">
        <v>4966.98</v>
      </c>
      <c r="G260" s="16" t="n">
        <v>620.87</v>
      </c>
      <c r="H260" s="16" t="n">
        <v>620.87</v>
      </c>
      <c r="I260" s="16">
        <f>SUM(K260:T260)</f>
        <v/>
      </c>
      <c r="J260" s="16">
        <f>F260-(G260+H260+I260)</f>
        <v/>
      </c>
      <c r="K260" s="16" t="n">
        <v>372.52</v>
      </c>
      <c r="L260" s="16" t="n">
        <v>372.52</v>
      </c>
      <c r="M260" s="16" t="n">
        <v>372.52</v>
      </c>
      <c r="N260" s="16" t="n">
        <v>372.52</v>
      </c>
      <c r="O260" s="16" t="n">
        <v>372.52</v>
      </c>
      <c r="P260" s="16" t="n">
        <v>372.52</v>
      </c>
      <c r="Q260" s="16" t="n">
        <v>372.52</v>
      </c>
      <c r="R260" s="16" t="n">
        <v>372.52</v>
      </c>
      <c r="S260" s="16" t="n">
        <v>372.52</v>
      </c>
      <c r="T260" s="16" t="n">
        <v>372.52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CANON-202508-000346</t>
        </is>
      </c>
      <c r="B261" s="3" t="inlineStr">
        <is>
          <t>2025-08-20</t>
        </is>
      </c>
      <c r="C261" s="3" t="inlineStr">
        <is>
          <t>Fenwick Chattopadhyay</t>
        </is>
      </c>
      <c r="D261" s="3" t="inlineStr">
        <is>
          <t>IN</t>
        </is>
      </c>
      <c r="E261" s="14" t="n">
        <v>470000</v>
      </c>
      <c r="F261" s="14" t="n">
        <v>12543.68</v>
      </c>
      <c r="G261" s="14" t="n">
        <v>1567.96</v>
      </c>
      <c r="H261" s="14" t="n">
        <v>1567.96</v>
      </c>
      <c r="I261" s="14">
        <f>SUM(K261:T261)</f>
        <v/>
      </c>
      <c r="J261" s="14">
        <f>F261-(G261+H261+I261)</f>
        <v/>
      </c>
      <c r="K261" s="14" t="n">
        <v>940.78</v>
      </c>
      <c r="L261" s="14" t="n">
        <v>940.78</v>
      </c>
      <c r="M261" s="14" t="n">
        <v>940.78</v>
      </c>
      <c r="N261" s="14" t="n">
        <v>940.78</v>
      </c>
      <c r="O261" s="14" t="n">
        <v>940.78</v>
      </c>
      <c r="P261" s="14" t="n">
        <v>940.78</v>
      </c>
      <c r="Q261" s="14" t="n">
        <v>940.78</v>
      </c>
      <c r="R261" s="14" t="n">
        <v>940.78</v>
      </c>
      <c r="S261" s="14" t="n">
        <v>940.78</v>
      </c>
      <c r="T261" s="14" t="n">
        <v>940.78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CANON-202508-000348</t>
        </is>
      </c>
      <c r="B262" s="15" t="inlineStr">
        <is>
          <t>2025-08-16</t>
        </is>
      </c>
      <c r="C262" s="15" t="inlineStr">
        <is>
          <t>Wilhelmina Whitlock</t>
        </is>
      </c>
      <c r="D262" s="15" t="inlineStr">
        <is>
          <t>IL</t>
        </is>
      </c>
      <c r="E262" s="16" t="n">
        <v>1950000</v>
      </c>
      <c r="F262" s="16" t="n">
        <v>40030.19</v>
      </c>
      <c r="G262" s="16" t="n">
        <v>5003.77</v>
      </c>
      <c r="H262" s="16" t="n">
        <v>5003.77</v>
      </c>
      <c r="I262" s="16">
        <f>SUM(K262:T262)</f>
        <v/>
      </c>
      <c r="J262" s="16">
        <f>F262-(G262+H262+I262)</f>
        <v/>
      </c>
      <c r="K262" s="16" t="n">
        <v>3002.26</v>
      </c>
      <c r="L262" s="16" t="n">
        <v>3002.26</v>
      </c>
      <c r="M262" s="16" t="n">
        <v>3002.26</v>
      </c>
      <c r="N262" s="16" t="n">
        <v>3002.26</v>
      </c>
      <c r="O262" s="16" t="n">
        <v>3002.26</v>
      </c>
      <c r="P262" s="16" t="n">
        <v>3002.26</v>
      </c>
      <c r="Q262" s="16" t="n">
        <v>3002.26</v>
      </c>
      <c r="R262" s="16" t="n">
        <v>3002.26</v>
      </c>
      <c r="S262" s="16" t="n">
        <v>3002.26</v>
      </c>
      <c r="T262" s="16" t="n">
        <v>3002.26</v>
      </c>
      <c r="U262" s="16" t="n">
        <v>350</v>
      </c>
      <c r="V262" s="16" t="n">
        <v>250</v>
      </c>
      <c r="W262" s="16">
        <f>U262+V262</f>
        <v/>
      </c>
    </row>
    <row r="263">
      <c r="A263" s="3" t="inlineStr">
        <is>
          <t>CANON-202508-000349</t>
        </is>
      </c>
      <c r="B263" s="3" t="inlineStr">
        <is>
          <t>2025-08-23</t>
        </is>
      </c>
      <c r="C263" s="3" t="inlineStr">
        <is>
          <t>Emiliano Fairweather</t>
        </is>
      </c>
      <c r="D263" s="3" t="inlineStr">
        <is>
          <t>NC</t>
        </is>
      </c>
      <c r="E263" s="14" t="n">
        <v>555000</v>
      </c>
      <c r="F263" s="14" t="n">
        <v>7827.59</v>
      </c>
      <c r="G263" s="14" t="n">
        <v>978.45</v>
      </c>
      <c r="H263" s="14" t="n">
        <v>978.45</v>
      </c>
      <c r="I263" s="14">
        <f>SUM(K263:T263)</f>
        <v/>
      </c>
      <c r="J263" s="14">
        <f>F263-(G263+H263+I263)</f>
        <v/>
      </c>
      <c r="K263" s="14" t="n">
        <v>587.0700000000001</v>
      </c>
      <c r="L263" s="14" t="n">
        <v>587.0700000000001</v>
      </c>
      <c r="M263" s="14" t="n">
        <v>587.0700000000001</v>
      </c>
      <c r="N263" s="14" t="n">
        <v>587.0700000000001</v>
      </c>
      <c r="O263" s="14" t="n">
        <v>587.0700000000001</v>
      </c>
      <c r="P263" s="14" t="n">
        <v>587.0700000000001</v>
      </c>
      <c r="Q263" s="14" t="n">
        <v>587.0700000000001</v>
      </c>
      <c r="R263" s="14" t="n">
        <v>587.0700000000001</v>
      </c>
      <c r="S263" s="14" t="n">
        <v>587.0700000000001</v>
      </c>
      <c r="T263" s="14" t="n">
        <v>587.0700000000001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CANON-202508-000350</t>
        </is>
      </c>
      <c r="B264" s="15" t="inlineStr">
        <is>
          <t>2025-08-15</t>
        </is>
      </c>
      <c r="C264" s="15" t="inlineStr">
        <is>
          <t>Wilhelmina Larsson</t>
        </is>
      </c>
      <c r="D264" s="15" t="inlineStr">
        <is>
          <t>MS</t>
        </is>
      </c>
      <c r="E264" s="16" t="n">
        <v>1145000</v>
      </c>
      <c r="F264" s="16" t="n">
        <v>20566.79</v>
      </c>
      <c r="G264" s="16" t="n">
        <v>2570.85</v>
      </c>
      <c r="H264" s="16" t="n">
        <v>2570.85</v>
      </c>
      <c r="I264" s="16">
        <f>SUM(K264:T264)</f>
        <v/>
      </c>
      <c r="J264" s="16">
        <f>F264-(G264+H264+I264)</f>
        <v/>
      </c>
      <c r="K264" s="16" t="n">
        <v>1542.51</v>
      </c>
      <c r="L264" s="16" t="n">
        <v>1542.51</v>
      </c>
      <c r="M264" s="16" t="n">
        <v>1542.51</v>
      </c>
      <c r="N264" s="16" t="n">
        <v>1542.51</v>
      </c>
      <c r="O264" s="16" t="n">
        <v>1542.51</v>
      </c>
      <c r="P264" s="16" t="n">
        <v>1542.51</v>
      </c>
      <c r="Q264" s="16" t="n">
        <v>1542.51</v>
      </c>
      <c r="R264" s="16" t="n">
        <v>1542.51</v>
      </c>
      <c r="S264" s="16" t="n">
        <v>1542.51</v>
      </c>
      <c r="T264" s="16" t="n">
        <v>1542.51</v>
      </c>
      <c r="U264" s="16" t="n">
        <v>350</v>
      </c>
      <c r="V264" s="16" t="n">
        <v>250</v>
      </c>
      <c r="W264" s="16">
        <f>U264+V264</f>
        <v/>
      </c>
    </row>
    <row r="265">
      <c r="A265" s="3" t="inlineStr">
        <is>
          <t>CANON-202508-000351</t>
        </is>
      </c>
      <c r="B265" s="3" t="inlineStr">
        <is>
          <t>2025-08-27</t>
        </is>
      </c>
      <c r="C265" s="3" t="inlineStr">
        <is>
          <t>Emiliano Blackwood</t>
        </is>
      </c>
      <c r="D265" s="3" t="inlineStr">
        <is>
          <t>FL</t>
        </is>
      </c>
      <c r="E265" s="14" t="n">
        <v>530000</v>
      </c>
      <c r="F265" s="14" t="n">
        <v>9230</v>
      </c>
      <c r="G265" s="14" t="n">
        <v>1153.75</v>
      </c>
      <c r="H265" s="14" t="n">
        <v>1153.75</v>
      </c>
      <c r="I265" s="14">
        <f>SUM(K265:T265)</f>
        <v/>
      </c>
      <c r="J265" s="14">
        <f>F265-(G265+H265+I265)</f>
        <v/>
      </c>
      <c r="K265" s="14" t="n">
        <v>692.25</v>
      </c>
      <c r="L265" s="14" t="n">
        <v>692.25</v>
      </c>
      <c r="M265" s="14" t="n">
        <v>692.25</v>
      </c>
      <c r="N265" s="14" t="n">
        <v>692.25</v>
      </c>
      <c r="O265" s="14" t="n">
        <v>692.25</v>
      </c>
      <c r="P265" s="14" t="n">
        <v>692.25</v>
      </c>
      <c r="Q265" s="14" t="n">
        <v>692.25</v>
      </c>
      <c r="R265" s="14" t="n">
        <v>692.25</v>
      </c>
      <c r="S265" s="14" t="n">
        <v>692.25</v>
      </c>
      <c r="T265" s="14" t="n">
        <v>692.25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CANON-202508-000353</t>
        </is>
      </c>
      <c r="B266" s="15" t="inlineStr">
        <is>
          <t>2025-08-09</t>
        </is>
      </c>
      <c r="C266" s="15" t="inlineStr">
        <is>
          <t>Priya Thistlewood</t>
        </is>
      </c>
      <c r="D266" s="15" t="inlineStr">
        <is>
          <t>MN</t>
        </is>
      </c>
      <c r="E266" s="16" t="n">
        <v>860000</v>
      </c>
      <c r="F266" s="16" t="n">
        <v>13922.26</v>
      </c>
      <c r="G266" s="16" t="n">
        <v>1740.28</v>
      </c>
      <c r="H266" s="16" t="n">
        <v>1740.28</v>
      </c>
      <c r="I266" s="16">
        <f>SUM(K266:T266)</f>
        <v/>
      </c>
      <c r="J266" s="16">
        <f>F266-(G266+H266+I266)</f>
        <v/>
      </c>
      <c r="K266" s="16" t="n">
        <v>1044.17</v>
      </c>
      <c r="L266" s="16" t="n">
        <v>1044.17</v>
      </c>
      <c r="M266" s="16" t="n">
        <v>1044.17</v>
      </c>
      <c r="N266" s="16" t="n">
        <v>1044.17</v>
      </c>
      <c r="O266" s="16" t="n">
        <v>1044.17</v>
      </c>
      <c r="P266" s="16" t="n">
        <v>1044.17</v>
      </c>
      <c r="Q266" s="16" t="n">
        <v>1044.17</v>
      </c>
      <c r="R266" s="16" t="n">
        <v>1044.17</v>
      </c>
      <c r="S266" s="16" t="n">
        <v>1044.17</v>
      </c>
      <c r="T266" s="16" t="n">
        <v>1044.17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CANON-202508-000354</t>
        </is>
      </c>
      <c r="B267" s="3" t="inlineStr">
        <is>
          <t>2025-08-09</t>
        </is>
      </c>
      <c r="C267" s="3" t="inlineStr">
        <is>
          <t>Sunniva Montoya</t>
        </is>
      </c>
      <c r="D267" s="3" t="inlineStr">
        <is>
          <t>CT</t>
        </is>
      </c>
      <c r="E267" s="14" t="n">
        <v>295000</v>
      </c>
      <c r="F267" s="14" t="n">
        <v>4675.47</v>
      </c>
      <c r="G267" s="14" t="n">
        <v>584.4299999999999</v>
      </c>
      <c r="H267" s="14" t="n">
        <v>584.4299999999999</v>
      </c>
      <c r="I267" s="14">
        <f>SUM(K267:T267)</f>
        <v/>
      </c>
      <c r="J267" s="14">
        <f>F267-(G267+H267+I267)</f>
        <v/>
      </c>
      <c r="K267" s="14" t="n">
        <v>350.66</v>
      </c>
      <c r="L267" s="14" t="n">
        <v>350.66</v>
      </c>
      <c r="M267" s="14" t="n">
        <v>350.66</v>
      </c>
      <c r="N267" s="14" t="n">
        <v>350.66</v>
      </c>
      <c r="O267" s="14" t="n">
        <v>350.66</v>
      </c>
      <c r="P267" s="14" t="n">
        <v>350.66</v>
      </c>
      <c r="Q267" s="14" t="n">
        <v>350.66</v>
      </c>
      <c r="R267" s="14" t="n">
        <v>350.66</v>
      </c>
      <c r="S267" s="14" t="n">
        <v>350.66</v>
      </c>
      <c r="T267" s="14" t="n">
        <v>350.66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CANON-202508-000356</t>
        </is>
      </c>
      <c r="B268" s="15" t="inlineStr">
        <is>
          <t>2025-08-02</t>
        </is>
      </c>
      <c r="C268" s="15" t="inlineStr">
        <is>
          <t>Callum Pennington</t>
        </is>
      </c>
      <c r="D268" s="15" t="inlineStr">
        <is>
          <t>MI</t>
        </is>
      </c>
      <c r="E268" s="16" t="n">
        <v>580000</v>
      </c>
      <c r="F268" s="16" t="n">
        <v>6445.66</v>
      </c>
      <c r="G268" s="16" t="n">
        <v>805.71</v>
      </c>
      <c r="H268" s="16" t="n">
        <v>805.71</v>
      </c>
      <c r="I268" s="16">
        <f>SUM(K268:T268)</f>
        <v/>
      </c>
      <c r="J268" s="16">
        <f>F268-(G268+H268+I268)</f>
        <v/>
      </c>
      <c r="K268" s="16" t="n">
        <v>483.42</v>
      </c>
      <c r="L268" s="16" t="n">
        <v>483.42</v>
      </c>
      <c r="M268" s="16" t="n">
        <v>483.42</v>
      </c>
      <c r="N268" s="16" t="n">
        <v>483.42</v>
      </c>
      <c r="O268" s="16" t="n">
        <v>483.42</v>
      </c>
      <c r="P268" s="16" t="n">
        <v>483.42</v>
      </c>
      <c r="Q268" s="16" t="n">
        <v>483.42</v>
      </c>
      <c r="R268" s="16" t="n">
        <v>483.42</v>
      </c>
      <c r="S268" s="16" t="n">
        <v>483.42</v>
      </c>
      <c r="T268" s="16" t="n">
        <v>483.42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CANON-202508-000357</t>
        </is>
      </c>
      <c r="B269" s="3" t="inlineStr">
        <is>
          <t>2025-08-29</t>
        </is>
      </c>
      <c r="C269" s="3" t="inlineStr">
        <is>
          <t>Fenwick Pennington</t>
        </is>
      </c>
      <c r="D269" s="3" t="inlineStr">
        <is>
          <t>NY</t>
        </is>
      </c>
      <c r="E269" s="14" t="n">
        <v>255000</v>
      </c>
      <c r="F269" s="14" t="n">
        <v>4618.87</v>
      </c>
      <c r="G269" s="14" t="n">
        <v>577.36</v>
      </c>
      <c r="H269" s="14" t="n">
        <v>577.36</v>
      </c>
      <c r="I269" s="14">
        <f>SUM(K269:T269)</f>
        <v/>
      </c>
      <c r="J269" s="14">
        <f>F269-(G269+H269+I269)</f>
        <v/>
      </c>
      <c r="K269" s="14" t="n">
        <v>346.42</v>
      </c>
      <c r="L269" s="14" t="n">
        <v>346.42</v>
      </c>
      <c r="M269" s="14" t="n">
        <v>346.42</v>
      </c>
      <c r="N269" s="14" t="n">
        <v>346.42</v>
      </c>
      <c r="O269" s="14" t="n">
        <v>346.42</v>
      </c>
      <c r="P269" s="14" t="n">
        <v>346.42</v>
      </c>
      <c r="Q269" s="14" t="n">
        <v>346.42</v>
      </c>
      <c r="R269" s="14" t="n">
        <v>346.42</v>
      </c>
      <c r="S269" s="14" t="n">
        <v>346.42</v>
      </c>
      <c r="T269" s="14" t="n">
        <v>346.42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CANON-202508-000359</t>
        </is>
      </c>
      <c r="B270" s="15" t="inlineStr">
        <is>
          <t>2025-08-25</t>
        </is>
      </c>
      <c r="C270" s="15" t="inlineStr">
        <is>
          <t>Cassius Thistlewood</t>
        </is>
      </c>
      <c r="D270" s="15" t="inlineStr">
        <is>
          <t>GA</t>
        </is>
      </c>
      <c r="E270" s="16" t="n">
        <v>1125000</v>
      </c>
      <c r="F270" s="16" t="n">
        <v>19018.87</v>
      </c>
      <c r="G270" s="16" t="n">
        <v>2377.36</v>
      </c>
      <c r="H270" s="16" t="n">
        <v>2377.36</v>
      </c>
      <c r="I270" s="16">
        <f>SUM(K270:T270)</f>
        <v/>
      </c>
      <c r="J270" s="16">
        <f>F270-(G270+H270+I270)</f>
        <v/>
      </c>
      <c r="K270" s="16" t="n">
        <v>1426.42</v>
      </c>
      <c r="L270" s="16" t="n">
        <v>1426.42</v>
      </c>
      <c r="M270" s="16" t="n">
        <v>1426.42</v>
      </c>
      <c r="N270" s="16" t="n">
        <v>1426.42</v>
      </c>
      <c r="O270" s="16" t="n">
        <v>1426.42</v>
      </c>
      <c r="P270" s="16" t="n">
        <v>1426.42</v>
      </c>
      <c r="Q270" s="16" t="n">
        <v>1426.42</v>
      </c>
      <c r="R270" s="16" t="n">
        <v>1426.42</v>
      </c>
      <c r="S270" s="16" t="n">
        <v>1426.42</v>
      </c>
      <c r="T270" s="16" t="n">
        <v>1426.42</v>
      </c>
      <c r="U270" s="16" t="n">
        <v>350</v>
      </c>
      <c r="V270" s="16" t="n">
        <v>250</v>
      </c>
      <c r="W270" s="16">
        <f>U270+V270</f>
        <v/>
      </c>
    </row>
    <row r="271">
      <c r="A271" s="3" t="inlineStr">
        <is>
          <t>CANON-202508-000361</t>
        </is>
      </c>
      <c r="B271" s="3" t="inlineStr">
        <is>
          <t>2025-08-11</t>
        </is>
      </c>
      <c r="C271" s="3" t="inlineStr">
        <is>
          <t>Emiliano Fairweather</t>
        </is>
      </c>
      <c r="D271" s="3" t="inlineStr">
        <is>
          <t>NY</t>
        </is>
      </c>
      <c r="E271" s="14" t="n">
        <v>675000</v>
      </c>
      <c r="F271" s="14" t="n">
        <v>10596.23</v>
      </c>
      <c r="G271" s="14" t="n">
        <v>1324.53</v>
      </c>
      <c r="H271" s="14" t="n">
        <v>1324.53</v>
      </c>
      <c r="I271" s="14">
        <f>SUM(K271:T271)</f>
        <v/>
      </c>
      <c r="J271" s="14">
        <f>F271-(G271+H271+I271)</f>
        <v/>
      </c>
      <c r="K271" s="14" t="n">
        <v>794.72</v>
      </c>
      <c r="L271" s="14" t="n">
        <v>794.72</v>
      </c>
      <c r="M271" s="14" t="n">
        <v>794.72</v>
      </c>
      <c r="N271" s="14" t="n">
        <v>794.72</v>
      </c>
      <c r="O271" s="14" t="n">
        <v>794.72</v>
      </c>
      <c r="P271" s="14" t="n">
        <v>794.72</v>
      </c>
      <c r="Q271" s="14" t="n">
        <v>794.72</v>
      </c>
      <c r="R271" s="14" t="n">
        <v>794.72</v>
      </c>
      <c r="S271" s="14" t="n">
        <v>794.72</v>
      </c>
      <c r="T271" s="14" t="n">
        <v>794.72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CANON-202508-000362</t>
        </is>
      </c>
      <c r="B272" s="15" t="inlineStr">
        <is>
          <t>2025-08-04</t>
        </is>
      </c>
      <c r="C272" s="15" t="inlineStr">
        <is>
          <t>Horace Bellandi</t>
        </is>
      </c>
      <c r="D272" s="15" t="inlineStr">
        <is>
          <t>NJ</t>
        </is>
      </c>
      <c r="E272" s="16" t="n">
        <v>615000</v>
      </c>
      <c r="F272" s="16" t="n">
        <v>6863.63</v>
      </c>
      <c r="G272" s="16" t="n">
        <v>857.95</v>
      </c>
      <c r="H272" s="16" t="n">
        <v>857.95</v>
      </c>
      <c r="I272" s="16">
        <f>SUM(K272:T272)</f>
        <v/>
      </c>
      <c r="J272" s="16">
        <f>F272-(G272+H272+I272)</f>
        <v/>
      </c>
      <c r="K272" s="16" t="n">
        <v>514.77</v>
      </c>
      <c r="L272" s="16" t="n">
        <v>514.77</v>
      </c>
      <c r="M272" s="16" t="n">
        <v>514.77</v>
      </c>
      <c r="N272" s="16" t="n">
        <v>514.77</v>
      </c>
      <c r="O272" s="16" t="n">
        <v>514.77</v>
      </c>
      <c r="P272" s="16" t="n">
        <v>514.77</v>
      </c>
      <c r="Q272" s="16" t="n">
        <v>514.77</v>
      </c>
      <c r="R272" s="16" t="n">
        <v>514.77</v>
      </c>
      <c r="S272" s="16" t="n">
        <v>514.77</v>
      </c>
      <c r="T272" s="16" t="n">
        <v>514.77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CANON-202508-000364</t>
        </is>
      </c>
      <c r="B273" s="3" t="inlineStr">
        <is>
          <t>2025-08-16</t>
        </is>
      </c>
      <c r="C273" s="3" t="inlineStr">
        <is>
          <t>Fenwick Blackwood</t>
        </is>
      </c>
      <c r="D273" s="3" t="inlineStr">
        <is>
          <t>WV</t>
        </is>
      </c>
      <c r="E273" s="14" t="n">
        <v>420000</v>
      </c>
      <c r="F273" s="14" t="n">
        <v>5059.02</v>
      </c>
      <c r="G273" s="14" t="n">
        <v>632.38</v>
      </c>
      <c r="H273" s="14" t="n">
        <v>632.38</v>
      </c>
      <c r="I273" s="14">
        <f>SUM(K273:T273)</f>
        <v/>
      </c>
      <c r="J273" s="14">
        <f>F273-(G273+H273+I273)</f>
        <v/>
      </c>
      <c r="K273" s="14" t="n">
        <v>379.43</v>
      </c>
      <c r="L273" s="14" t="n">
        <v>379.43</v>
      </c>
      <c r="M273" s="14" t="n">
        <v>379.43</v>
      </c>
      <c r="N273" s="14" t="n">
        <v>379.43</v>
      </c>
      <c r="O273" s="14" t="n">
        <v>379.43</v>
      </c>
      <c r="P273" s="14" t="n">
        <v>379.43</v>
      </c>
      <c r="Q273" s="14" t="n">
        <v>379.43</v>
      </c>
      <c r="R273" s="14" t="n">
        <v>379.43</v>
      </c>
      <c r="S273" s="14" t="n">
        <v>379.43</v>
      </c>
      <c r="T273" s="14" t="n">
        <v>379.43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CANON-202508-000365</t>
        </is>
      </c>
      <c r="B274" s="15" t="inlineStr">
        <is>
          <t>2025-08-02</t>
        </is>
      </c>
      <c r="C274" s="15" t="inlineStr">
        <is>
          <t>Callum Ashcombe</t>
        </is>
      </c>
      <c r="D274" s="15" t="inlineStr">
        <is>
          <t>CA</t>
        </is>
      </c>
      <c r="E274" s="16" t="n">
        <v>600000</v>
      </c>
      <c r="F274" s="16" t="n">
        <v>9933.959999999999</v>
      </c>
      <c r="G274" s="16" t="n">
        <v>1241.74</v>
      </c>
      <c r="H274" s="16" t="n">
        <v>1241.74</v>
      </c>
      <c r="I274" s="16">
        <f>SUM(K274:T274)</f>
        <v/>
      </c>
      <c r="J274" s="16">
        <f>F274-(G274+H274+I274)</f>
        <v/>
      </c>
      <c r="K274" s="16" t="n">
        <v>745.05</v>
      </c>
      <c r="L274" s="16" t="n">
        <v>745.05</v>
      </c>
      <c r="M274" s="16" t="n">
        <v>745.05</v>
      </c>
      <c r="N274" s="16" t="n">
        <v>745.05</v>
      </c>
      <c r="O274" s="16" t="n">
        <v>745.05</v>
      </c>
      <c r="P274" s="16" t="n">
        <v>745.05</v>
      </c>
      <c r="Q274" s="16" t="n">
        <v>745.05</v>
      </c>
      <c r="R274" s="16" t="n">
        <v>745.05</v>
      </c>
      <c r="S274" s="16" t="n">
        <v>745.05</v>
      </c>
      <c r="T274" s="16" t="n">
        <v>745.05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CANON-202508-000367</t>
        </is>
      </c>
      <c r="B275" s="3" t="inlineStr">
        <is>
          <t>2025-08-17</t>
        </is>
      </c>
      <c r="C275" s="3" t="inlineStr">
        <is>
          <t>Priya Montoya</t>
        </is>
      </c>
      <c r="D275" s="3" t="inlineStr">
        <is>
          <t>OH</t>
        </is>
      </c>
      <c r="E275" s="14" t="n">
        <v>385000</v>
      </c>
      <c r="F275" s="14" t="n">
        <v>7572.88</v>
      </c>
      <c r="G275" s="14" t="n">
        <v>946.61</v>
      </c>
      <c r="H275" s="14" t="n">
        <v>946.61</v>
      </c>
      <c r="I275" s="14">
        <f>SUM(K275:T275)</f>
        <v/>
      </c>
      <c r="J275" s="14">
        <f>F275-(G275+H275+I275)</f>
        <v/>
      </c>
      <c r="K275" s="14" t="n">
        <v>567.97</v>
      </c>
      <c r="L275" s="14" t="n">
        <v>567.97</v>
      </c>
      <c r="M275" s="14" t="n">
        <v>567.97</v>
      </c>
      <c r="N275" s="14" t="n">
        <v>567.97</v>
      </c>
      <c r="O275" s="14" t="n">
        <v>567.97</v>
      </c>
      <c r="P275" s="14" t="n">
        <v>567.97</v>
      </c>
      <c r="Q275" s="14" t="n">
        <v>567.97</v>
      </c>
      <c r="R275" s="14" t="n">
        <v>567.97</v>
      </c>
      <c r="S275" s="14" t="n">
        <v>567.97</v>
      </c>
      <c r="T275" s="14" t="n">
        <v>567.97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CANON-202508-000370</t>
        </is>
      </c>
      <c r="B276" s="15" t="inlineStr">
        <is>
          <t>2025-08-17</t>
        </is>
      </c>
      <c r="C276" s="15" t="inlineStr">
        <is>
          <t>Cassius Farkas</t>
        </is>
      </c>
      <c r="D276" s="15" t="inlineStr">
        <is>
          <t>GA</t>
        </is>
      </c>
      <c r="E276" s="16" t="n">
        <v>575000</v>
      </c>
      <c r="F276" s="16" t="n">
        <v>7898.11</v>
      </c>
      <c r="G276" s="16" t="n">
        <v>987.26</v>
      </c>
      <c r="H276" s="16" t="n">
        <v>987.26</v>
      </c>
      <c r="I276" s="16">
        <f>SUM(K276:T276)</f>
        <v/>
      </c>
      <c r="J276" s="16">
        <f>F276-(G276+H276+I276)</f>
        <v/>
      </c>
      <c r="K276" s="16" t="n">
        <v>592.36</v>
      </c>
      <c r="L276" s="16" t="n">
        <v>592.36</v>
      </c>
      <c r="M276" s="16" t="n">
        <v>592.36</v>
      </c>
      <c r="N276" s="16" t="n">
        <v>592.36</v>
      </c>
      <c r="O276" s="16" t="n">
        <v>592.36</v>
      </c>
      <c r="P276" s="16" t="n">
        <v>592.36</v>
      </c>
      <c r="Q276" s="16" t="n">
        <v>592.36</v>
      </c>
      <c r="R276" s="16" t="n">
        <v>592.36</v>
      </c>
      <c r="S276" s="16" t="n">
        <v>592.36</v>
      </c>
      <c r="T276" s="16" t="n">
        <v>592.36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CANON-202508-000371</t>
        </is>
      </c>
      <c r="B277" s="3" t="inlineStr">
        <is>
          <t>2025-08-26</t>
        </is>
      </c>
      <c r="C277" s="3" t="inlineStr">
        <is>
          <t>Sunniva Larsson</t>
        </is>
      </c>
      <c r="D277" s="3" t="inlineStr">
        <is>
          <t>IL</t>
        </is>
      </c>
      <c r="E277" s="14" t="n">
        <v>120000</v>
      </c>
      <c r="F277" s="14" t="n">
        <v>2832.91</v>
      </c>
      <c r="G277" s="14" t="n">
        <v>354.11</v>
      </c>
      <c r="H277" s="14" t="n">
        <v>354.11</v>
      </c>
      <c r="I277" s="14">
        <f>SUM(K277:T277)</f>
        <v/>
      </c>
      <c r="J277" s="14">
        <f>F277-(G277+H277+I277)</f>
        <v/>
      </c>
      <c r="K277" s="14" t="n">
        <v>212.47</v>
      </c>
      <c r="L277" s="14" t="n">
        <v>212.47</v>
      </c>
      <c r="M277" s="14" t="n">
        <v>212.47</v>
      </c>
      <c r="N277" s="14" t="n">
        <v>212.47</v>
      </c>
      <c r="O277" s="14" t="n">
        <v>212.47</v>
      </c>
      <c r="P277" s="14" t="n">
        <v>212.47</v>
      </c>
      <c r="Q277" s="14" t="n">
        <v>212.47</v>
      </c>
      <c r="R277" s="14" t="n">
        <v>212.47</v>
      </c>
      <c r="S277" s="14" t="n">
        <v>212.47</v>
      </c>
      <c r="T277" s="14" t="n">
        <v>212.47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CANON-202508-000372</t>
        </is>
      </c>
      <c r="B278" s="15" t="inlineStr">
        <is>
          <t>2025-08-02</t>
        </is>
      </c>
      <c r="C278" s="15" t="inlineStr">
        <is>
          <t>Leopold Harrington</t>
        </is>
      </c>
      <c r="D278" s="15" t="inlineStr">
        <is>
          <t>MA</t>
        </is>
      </c>
      <c r="E278" s="16" t="n">
        <v>1365000</v>
      </c>
      <c r="F278" s="16" t="n">
        <v>12233.49</v>
      </c>
      <c r="G278" s="16" t="n">
        <v>1529.19</v>
      </c>
      <c r="H278" s="16" t="n">
        <v>1529.19</v>
      </c>
      <c r="I278" s="16">
        <f>SUM(K278:T278)</f>
        <v/>
      </c>
      <c r="J278" s="16">
        <f>F278-(G278+H278+I278)</f>
        <v/>
      </c>
      <c r="K278" s="16" t="n">
        <v>917.51</v>
      </c>
      <c r="L278" s="16" t="n">
        <v>917.51</v>
      </c>
      <c r="M278" s="16" t="n">
        <v>917.51</v>
      </c>
      <c r="N278" s="16" t="n">
        <v>917.51</v>
      </c>
      <c r="O278" s="16" t="n">
        <v>917.51</v>
      </c>
      <c r="P278" s="16" t="n">
        <v>917.51</v>
      </c>
      <c r="Q278" s="16" t="n">
        <v>917.51</v>
      </c>
      <c r="R278" s="16" t="n">
        <v>917.51</v>
      </c>
      <c r="S278" s="16" t="n">
        <v>917.51</v>
      </c>
      <c r="T278" s="16" t="n">
        <v>917.51</v>
      </c>
      <c r="U278" s="16" t="n">
        <v>350</v>
      </c>
      <c r="V278" s="16" t="n">
        <v>250</v>
      </c>
      <c r="W278" s="16">
        <f>U278+V278</f>
        <v/>
      </c>
    </row>
    <row r="279">
      <c r="A279" s="3" t="inlineStr">
        <is>
          <t>CANON-202508-000373</t>
        </is>
      </c>
      <c r="B279" s="3" t="inlineStr">
        <is>
          <t>2025-08-01</t>
        </is>
      </c>
      <c r="C279" s="3" t="inlineStr">
        <is>
          <t>Delphine Vandermeer</t>
        </is>
      </c>
      <c r="D279" s="3" t="inlineStr">
        <is>
          <t>MD</t>
        </is>
      </c>
      <c r="E279" s="14" t="n">
        <v>555000</v>
      </c>
      <c r="F279" s="14" t="n">
        <v>9450.709999999999</v>
      </c>
      <c r="G279" s="14" t="n">
        <v>1181.34</v>
      </c>
      <c r="H279" s="14" t="n">
        <v>1181.34</v>
      </c>
      <c r="I279" s="14">
        <f>SUM(K279:T279)</f>
        <v/>
      </c>
      <c r="J279" s="14">
        <f>F279-(G279+H279+I279)</f>
        <v/>
      </c>
      <c r="K279" s="14" t="n">
        <v>708.8</v>
      </c>
      <c r="L279" s="14" t="n">
        <v>708.8</v>
      </c>
      <c r="M279" s="14" t="n">
        <v>708.8</v>
      </c>
      <c r="N279" s="14" t="n">
        <v>708.8</v>
      </c>
      <c r="O279" s="14" t="n">
        <v>708.8</v>
      </c>
      <c r="P279" s="14" t="n">
        <v>708.8</v>
      </c>
      <c r="Q279" s="14" t="n">
        <v>708.8</v>
      </c>
      <c r="R279" s="14" t="n">
        <v>708.8</v>
      </c>
      <c r="S279" s="14" t="n">
        <v>708.8</v>
      </c>
      <c r="T279" s="14" t="n">
        <v>708.8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CANON-202508-000374</t>
        </is>
      </c>
      <c r="B280" s="15" t="inlineStr">
        <is>
          <t>2025-08-13</t>
        </is>
      </c>
      <c r="C280" s="15" t="inlineStr">
        <is>
          <t>Ramona Fairweather</t>
        </is>
      </c>
      <c r="D280" s="15" t="inlineStr">
        <is>
          <t>TX</t>
        </is>
      </c>
      <c r="E280" s="16" t="n">
        <v>570000</v>
      </c>
      <c r="F280" s="16" t="n">
        <v>11749.53</v>
      </c>
      <c r="G280" s="16" t="n">
        <v>1468.69</v>
      </c>
      <c r="H280" s="16" t="n">
        <v>1468.69</v>
      </c>
      <c r="I280" s="16">
        <f>SUM(K280:T280)</f>
        <v/>
      </c>
      <c r="J280" s="16">
        <f>F280-(G280+H280+I280)</f>
        <v/>
      </c>
      <c r="K280" s="16" t="n">
        <v>881.21</v>
      </c>
      <c r="L280" s="16" t="n">
        <v>881.21</v>
      </c>
      <c r="M280" s="16" t="n">
        <v>881.21</v>
      </c>
      <c r="N280" s="16" t="n">
        <v>881.21</v>
      </c>
      <c r="O280" s="16" t="n">
        <v>881.21</v>
      </c>
      <c r="P280" s="16" t="n">
        <v>881.21</v>
      </c>
      <c r="Q280" s="16" t="n">
        <v>881.21</v>
      </c>
      <c r="R280" s="16" t="n">
        <v>881.21</v>
      </c>
      <c r="S280" s="16" t="n">
        <v>881.21</v>
      </c>
      <c r="T280" s="16" t="n">
        <v>881.21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CANON-202508-000375</t>
        </is>
      </c>
      <c r="B281" s="3" t="inlineStr">
        <is>
          <t>2025-08-22</t>
        </is>
      </c>
      <c r="C281" s="3" t="inlineStr">
        <is>
          <t>Marisol Bellandi</t>
        </is>
      </c>
      <c r="D281" s="3" t="inlineStr">
        <is>
          <t>MI</t>
        </is>
      </c>
      <c r="E281" s="14" t="n">
        <v>480000</v>
      </c>
      <c r="F281" s="14" t="n">
        <v>10528.3</v>
      </c>
      <c r="G281" s="14" t="n">
        <v>1316.04</v>
      </c>
      <c r="H281" s="14" t="n">
        <v>1316.04</v>
      </c>
      <c r="I281" s="14">
        <f>SUM(K281:T281)</f>
        <v/>
      </c>
      <c r="J281" s="14">
        <f>F281-(G281+H281+I281)</f>
        <v/>
      </c>
      <c r="K281" s="14" t="n">
        <v>789.62</v>
      </c>
      <c r="L281" s="14" t="n">
        <v>789.62</v>
      </c>
      <c r="M281" s="14" t="n">
        <v>789.62</v>
      </c>
      <c r="N281" s="14" t="n">
        <v>789.62</v>
      </c>
      <c r="O281" s="14" t="n">
        <v>789.62</v>
      </c>
      <c r="P281" s="14" t="n">
        <v>789.62</v>
      </c>
      <c r="Q281" s="14" t="n">
        <v>789.62</v>
      </c>
      <c r="R281" s="14" t="n">
        <v>789.62</v>
      </c>
      <c r="S281" s="14" t="n">
        <v>789.62</v>
      </c>
      <c r="T281" s="14" t="n">
        <v>789.62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CANON-202508-000377</t>
        </is>
      </c>
      <c r="B282" s="15" t="inlineStr">
        <is>
          <t>2025-08-18</t>
        </is>
      </c>
      <c r="C282" s="15" t="inlineStr">
        <is>
          <t>Desmond Ashcombe</t>
        </is>
      </c>
      <c r="D282" s="15" t="inlineStr">
        <is>
          <t>CT</t>
        </is>
      </c>
      <c r="E282" s="16" t="n">
        <v>325000</v>
      </c>
      <c r="F282" s="16" t="n">
        <v>5150.94</v>
      </c>
      <c r="G282" s="16" t="n">
        <v>643.87</v>
      </c>
      <c r="H282" s="16" t="n">
        <v>643.87</v>
      </c>
      <c r="I282" s="16">
        <f>SUM(K282:T282)</f>
        <v/>
      </c>
      <c r="J282" s="16">
        <f>F282-(G282+H282+I282)</f>
        <v/>
      </c>
      <c r="K282" s="16" t="n">
        <v>386.32</v>
      </c>
      <c r="L282" s="16" t="n">
        <v>386.32</v>
      </c>
      <c r="M282" s="16" t="n">
        <v>386.32</v>
      </c>
      <c r="N282" s="16" t="n">
        <v>386.32</v>
      </c>
      <c r="O282" s="16" t="n">
        <v>386.32</v>
      </c>
      <c r="P282" s="16" t="n">
        <v>386.32</v>
      </c>
      <c r="Q282" s="16" t="n">
        <v>386.32</v>
      </c>
      <c r="R282" s="16" t="n">
        <v>386.32</v>
      </c>
      <c r="S282" s="16" t="n">
        <v>386.32</v>
      </c>
      <c r="T282" s="16" t="n">
        <v>386.32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CANON-202508-000378</t>
        </is>
      </c>
      <c r="B283" s="3" t="inlineStr">
        <is>
          <t>2025-08-10</t>
        </is>
      </c>
      <c r="C283" s="3" t="inlineStr">
        <is>
          <t>Aurelio Chattopadhyay</t>
        </is>
      </c>
      <c r="D283" s="3" t="inlineStr">
        <is>
          <t>CO</t>
        </is>
      </c>
      <c r="E283" s="14" t="n">
        <v>770000</v>
      </c>
      <c r="F283" s="14" t="n">
        <v>10387.74</v>
      </c>
      <c r="G283" s="14" t="n">
        <v>1298.47</v>
      </c>
      <c r="H283" s="14" t="n">
        <v>1298.47</v>
      </c>
      <c r="I283" s="14">
        <f>SUM(K283:T283)</f>
        <v/>
      </c>
      <c r="J283" s="14">
        <f>F283-(G283+H283+I283)</f>
        <v/>
      </c>
      <c r="K283" s="14" t="n">
        <v>779.08</v>
      </c>
      <c r="L283" s="14" t="n">
        <v>779.08</v>
      </c>
      <c r="M283" s="14" t="n">
        <v>779.08</v>
      </c>
      <c r="N283" s="14" t="n">
        <v>779.08</v>
      </c>
      <c r="O283" s="14" t="n">
        <v>779.08</v>
      </c>
      <c r="P283" s="14" t="n">
        <v>779.08</v>
      </c>
      <c r="Q283" s="14" t="n">
        <v>779.08</v>
      </c>
      <c r="R283" s="14" t="n">
        <v>779.08</v>
      </c>
      <c r="S283" s="14" t="n">
        <v>779.08</v>
      </c>
      <c r="T283" s="14" t="n">
        <v>779.08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CANON-202508-000379</t>
        </is>
      </c>
      <c r="B284" s="15" t="inlineStr">
        <is>
          <t>2025-08-31</t>
        </is>
      </c>
      <c r="C284" s="15" t="inlineStr">
        <is>
          <t>Ingrid Chattopadhyay</t>
        </is>
      </c>
      <c r="D284" s="15" t="inlineStr">
        <is>
          <t>KY</t>
        </is>
      </c>
      <c r="E284" s="16" t="n">
        <v>1950000</v>
      </c>
      <c r="F284" s="16" t="n">
        <v>39441.51</v>
      </c>
      <c r="G284" s="16" t="n">
        <v>4930.19</v>
      </c>
      <c r="H284" s="16" t="n">
        <v>4930.19</v>
      </c>
      <c r="I284" s="16">
        <f>SUM(K284:T284)</f>
        <v/>
      </c>
      <c r="J284" s="16">
        <f>F284-(G284+H284+I284)</f>
        <v/>
      </c>
      <c r="K284" s="16" t="n">
        <v>2958.11</v>
      </c>
      <c r="L284" s="16" t="n">
        <v>2958.11</v>
      </c>
      <c r="M284" s="16" t="n">
        <v>2958.11</v>
      </c>
      <c r="N284" s="16" t="n">
        <v>2958.11</v>
      </c>
      <c r="O284" s="16" t="n">
        <v>2958.11</v>
      </c>
      <c r="P284" s="16" t="n">
        <v>2958.11</v>
      </c>
      <c r="Q284" s="16" t="n">
        <v>2958.11</v>
      </c>
      <c r="R284" s="16" t="n">
        <v>2958.11</v>
      </c>
      <c r="S284" s="16" t="n">
        <v>2958.11</v>
      </c>
      <c r="T284" s="16" t="n">
        <v>2958.11</v>
      </c>
      <c r="U284" s="16" t="n">
        <v>350</v>
      </c>
      <c r="V284" s="16" t="n">
        <v>250</v>
      </c>
      <c r="W284" s="16">
        <f>U284+V284</f>
        <v/>
      </c>
    </row>
    <row r="285">
      <c r="A285" s="3" t="inlineStr">
        <is>
          <t>CANON-202508-000382</t>
        </is>
      </c>
      <c r="B285" s="3" t="inlineStr">
        <is>
          <t>2025-08-11</t>
        </is>
      </c>
      <c r="C285" s="3" t="inlineStr">
        <is>
          <t>Ottilie Thistlewood</t>
        </is>
      </c>
      <c r="D285" s="3" t="inlineStr">
        <is>
          <t>LA</t>
        </is>
      </c>
      <c r="E285" s="14" t="n">
        <v>1950000</v>
      </c>
      <c r="F285" s="14" t="n">
        <v>35615.09</v>
      </c>
      <c r="G285" s="14" t="n">
        <v>4451.89</v>
      </c>
      <c r="H285" s="14" t="n">
        <v>4451.89</v>
      </c>
      <c r="I285" s="14">
        <f>SUM(K285:T285)</f>
        <v/>
      </c>
      <c r="J285" s="14">
        <f>F285-(G285+H285+I285)</f>
        <v/>
      </c>
      <c r="K285" s="14" t="n">
        <v>2671.13</v>
      </c>
      <c r="L285" s="14" t="n">
        <v>2671.13</v>
      </c>
      <c r="M285" s="14" t="n">
        <v>2671.13</v>
      </c>
      <c r="N285" s="14" t="n">
        <v>2671.13</v>
      </c>
      <c r="O285" s="14" t="n">
        <v>2671.13</v>
      </c>
      <c r="P285" s="14" t="n">
        <v>2671.13</v>
      </c>
      <c r="Q285" s="14" t="n">
        <v>2671.13</v>
      </c>
      <c r="R285" s="14" t="n">
        <v>2671.13</v>
      </c>
      <c r="S285" s="14" t="n">
        <v>2671.13</v>
      </c>
      <c r="T285" s="14" t="n">
        <v>2671.13</v>
      </c>
      <c r="U285" s="14" t="n">
        <v>350</v>
      </c>
      <c r="V285" s="14" t="n">
        <v>250</v>
      </c>
      <c r="W285" s="14">
        <f>U285+V285</f>
        <v/>
      </c>
    </row>
    <row r="286">
      <c r="A286" s="15" t="inlineStr">
        <is>
          <t>CANON-202508-000385</t>
        </is>
      </c>
      <c r="B286" s="15" t="inlineStr">
        <is>
          <t>2025-08-12</t>
        </is>
      </c>
      <c r="C286" s="15" t="inlineStr">
        <is>
          <t>Delphine Montoya</t>
        </is>
      </c>
      <c r="D286" s="15" t="inlineStr">
        <is>
          <t>PA</t>
        </is>
      </c>
      <c r="E286" s="16" t="n">
        <v>920000</v>
      </c>
      <c r="F286" s="16" t="n">
        <v>11283.02</v>
      </c>
      <c r="G286" s="16" t="n">
        <v>1410.38</v>
      </c>
      <c r="H286" s="16" t="n">
        <v>1410.38</v>
      </c>
      <c r="I286" s="16">
        <f>SUM(K286:T286)</f>
        <v/>
      </c>
      <c r="J286" s="16">
        <f>F286-(G286+H286+I286)</f>
        <v/>
      </c>
      <c r="K286" s="16" t="n">
        <v>846.23</v>
      </c>
      <c r="L286" s="16" t="n">
        <v>846.23</v>
      </c>
      <c r="M286" s="16" t="n">
        <v>846.23</v>
      </c>
      <c r="N286" s="16" t="n">
        <v>846.23</v>
      </c>
      <c r="O286" s="16" t="n">
        <v>846.23</v>
      </c>
      <c r="P286" s="16" t="n">
        <v>846.23</v>
      </c>
      <c r="Q286" s="16" t="n">
        <v>846.23</v>
      </c>
      <c r="R286" s="16" t="n">
        <v>846.23</v>
      </c>
      <c r="S286" s="16" t="n">
        <v>846.23</v>
      </c>
      <c r="T286" s="16" t="n">
        <v>846.23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CANON-202508-000386</t>
        </is>
      </c>
      <c r="B287" s="3" t="inlineStr">
        <is>
          <t>2025-08-03</t>
        </is>
      </c>
      <c r="C287" s="3" t="inlineStr">
        <is>
          <t>Leopold Vandermeer</t>
        </is>
      </c>
      <c r="D287" s="3" t="inlineStr">
        <is>
          <t>NY</t>
        </is>
      </c>
      <c r="E287" s="14" t="n">
        <v>1390000</v>
      </c>
      <c r="F287" s="14" t="n">
        <v>18463.4</v>
      </c>
      <c r="G287" s="14" t="n">
        <v>2307.93</v>
      </c>
      <c r="H287" s="14" t="n">
        <v>2307.93</v>
      </c>
      <c r="I287" s="14">
        <f>SUM(K287:T287)</f>
        <v/>
      </c>
      <c r="J287" s="14">
        <f>F287-(G287+H287+I287)</f>
        <v/>
      </c>
      <c r="K287" s="14" t="n">
        <v>1384.76</v>
      </c>
      <c r="L287" s="14" t="n">
        <v>1384.76</v>
      </c>
      <c r="M287" s="14" t="n">
        <v>1384.76</v>
      </c>
      <c r="N287" s="14" t="n">
        <v>1384.76</v>
      </c>
      <c r="O287" s="14" t="n">
        <v>1384.76</v>
      </c>
      <c r="P287" s="14" t="n">
        <v>1384.76</v>
      </c>
      <c r="Q287" s="14" t="n">
        <v>1384.76</v>
      </c>
      <c r="R287" s="14" t="n">
        <v>1384.76</v>
      </c>
      <c r="S287" s="14" t="n">
        <v>1384.76</v>
      </c>
      <c r="T287" s="14" t="n">
        <v>1384.76</v>
      </c>
      <c r="U287" s="14" t="n">
        <v>350</v>
      </c>
      <c r="V287" s="14" t="n">
        <v>250</v>
      </c>
      <c r="W287" s="14">
        <f>U287+V287</f>
        <v/>
      </c>
    </row>
    <row r="288">
      <c r="A288" s="15" t="inlineStr">
        <is>
          <t>CANON-202508-000387</t>
        </is>
      </c>
      <c r="B288" s="15" t="inlineStr">
        <is>
          <t>2025-08-29</t>
        </is>
      </c>
      <c r="C288" s="15" t="inlineStr">
        <is>
          <t>Beatrix Ashcombe</t>
        </is>
      </c>
      <c r="D288" s="15" t="inlineStr">
        <is>
          <t>TN</t>
        </is>
      </c>
      <c r="E288" s="16" t="n">
        <v>770000</v>
      </c>
      <c r="F288" s="16" t="n">
        <v>9254.530000000001</v>
      </c>
      <c r="G288" s="16" t="n">
        <v>1156.82</v>
      </c>
      <c r="H288" s="16" t="n">
        <v>1156.82</v>
      </c>
      <c r="I288" s="16">
        <f>SUM(K288:T288)</f>
        <v/>
      </c>
      <c r="J288" s="16">
        <f>F288-(G288+H288+I288)</f>
        <v/>
      </c>
      <c r="K288" s="16" t="n">
        <v>694.09</v>
      </c>
      <c r="L288" s="16" t="n">
        <v>694.09</v>
      </c>
      <c r="M288" s="16" t="n">
        <v>694.09</v>
      </c>
      <c r="N288" s="16" t="n">
        <v>694.09</v>
      </c>
      <c r="O288" s="16" t="n">
        <v>694.09</v>
      </c>
      <c r="P288" s="16" t="n">
        <v>694.09</v>
      </c>
      <c r="Q288" s="16" t="n">
        <v>694.09</v>
      </c>
      <c r="R288" s="16" t="n">
        <v>694.09</v>
      </c>
      <c r="S288" s="16" t="n">
        <v>694.09</v>
      </c>
      <c r="T288" s="16" t="n">
        <v>694.09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CANON-202508-000389</t>
        </is>
      </c>
      <c r="B289" s="3" t="inlineStr">
        <is>
          <t>2025-08-01</t>
        </is>
      </c>
      <c r="C289" s="3" t="inlineStr">
        <is>
          <t>Aurelio Merriweather</t>
        </is>
      </c>
      <c r="D289" s="3" t="inlineStr">
        <is>
          <t>TX</t>
        </is>
      </c>
      <c r="E289" s="14" t="n">
        <v>380000</v>
      </c>
      <c r="F289" s="14" t="n">
        <v>6183.96</v>
      </c>
      <c r="G289" s="14" t="n">
        <v>773</v>
      </c>
      <c r="H289" s="14" t="n">
        <v>773</v>
      </c>
      <c r="I289" s="14">
        <f>SUM(K289:T289)</f>
        <v/>
      </c>
      <c r="J289" s="14">
        <f>F289-(G289+H289+I289)</f>
        <v/>
      </c>
      <c r="K289" s="14" t="n">
        <v>463.8</v>
      </c>
      <c r="L289" s="14" t="n">
        <v>463.8</v>
      </c>
      <c r="M289" s="14" t="n">
        <v>463.8</v>
      </c>
      <c r="N289" s="14" t="n">
        <v>463.8</v>
      </c>
      <c r="O289" s="14" t="n">
        <v>463.8</v>
      </c>
      <c r="P289" s="14" t="n">
        <v>463.8</v>
      </c>
      <c r="Q289" s="14" t="n">
        <v>463.8</v>
      </c>
      <c r="R289" s="14" t="n">
        <v>463.8</v>
      </c>
      <c r="S289" s="14" t="n">
        <v>463.8</v>
      </c>
      <c r="T289" s="14" t="n">
        <v>463.8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CANON-202508-000390</t>
        </is>
      </c>
      <c r="B290" s="15" t="inlineStr">
        <is>
          <t>2025-08-16</t>
        </is>
      </c>
      <c r="C290" s="15" t="inlineStr">
        <is>
          <t>Wilhelmina Castellanos</t>
        </is>
      </c>
      <c r="D290" s="15" t="inlineStr">
        <is>
          <t>CA</t>
        </is>
      </c>
      <c r="E290" s="16" t="n">
        <v>920000</v>
      </c>
      <c r="F290" s="16" t="n">
        <v>10076.6</v>
      </c>
      <c r="G290" s="16" t="n">
        <v>1259.58</v>
      </c>
      <c r="H290" s="16" t="n">
        <v>1259.58</v>
      </c>
      <c r="I290" s="16">
        <f>SUM(K290:T290)</f>
        <v/>
      </c>
      <c r="J290" s="16">
        <f>F290-(G290+H290+I290)</f>
        <v/>
      </c>
      <c r="K290" s="16" t="n">
        <v>755.75</v>
      </c>
      <c r="L290" s="16" t="n">
        <v>755.75</v>
      </c>
      <c r="M290" s="16" t="n">
        <v>755.75</v>
      </c>
      <c r="N290" s="16" t="n">
        <v>755.75</v>
      </c>
      <c r="O290" s="16" t="n">
        <v>755.75</v>
      </c>
      <c r="P290" s="16" t="n">
        <v>755.75</v>
      </c>
      <c r="Q290" s="16" t="n">
        <v>755.75</v>
      </c>
      <c r="R290" s="16" t="n">
        <v>755.75</v>
      </c>
      <c r="S290" s="16" t="n">
        <v>755.75</v>
      </c>
      <c r="T290" s="16" t="n">
        <v>755.75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CANON-202508-000391</t>
        </is>
      </c>
      <c r="B291" s="3" t="inlineStr">
        <is>
          <t>2025-08-31</t>
        </is>
      </c>
      <c r="C291" s="3" t="inlineStr">
        <is>
          <t>Saoirse Farkas</t>
        </is>
      </c>
      <c r="D291" s="3" t="inlineStr">
        <is>
          <t>PA</t>
        </is>
      </c>
      <c r="E291" s="14" t="n">
        <v>1080000</v>
      </c>
      <c r="F291" s="14" t="n">
        <v>11207.55</v>
      </c>
      <c r="G291" s="14" t="n">
        <v>1400.94</v>
      </c>
      <c r="H291" s="14" t="n">
        <v>1400.94</v>
      </c>
      <c r="I291" s="14">
        <f>SUM(K291:T291)</f>
        <v/>
      </c>
      <c r="J291" s="14">
        <f>F291-(G291+H291+I291)</f>
        <v/>
      </c>
      <c r="K291" s="14" t="n">
        <v>840.5700000000001</v>
      </c>
      <c r="L291" s="14" t="n">
        <v>840.5700000000001</v>
      </c>
      <c r="M291" s="14" t="n">
        <v>840.5700000000001</v>
      </c>
      <c r="N291" s="14" t="n">
        <v>840.5700000000001</v>
      </c>
      <c r="O291" s="14" t="n">
        <v>840.5700000000001</v>
      </c>
      <c r="P291" s="14" t="n">
        <v>840.5700000000001</v>
      </c>
      <c r="Q291" s="14" t="n">
        <v>840.5700000000001</v>
      </c>
      <c r="R291" s="14" t="n">
        <v>840.5700000000001</v>
      </c>
      <c r="S291" s="14" t="n">
        <v>840.5700000000001</v>
      </c>
      <c r="T291" s="14" t="n">
        <v>840.5700000000001</v>
      </c>
      <c r="U291" s="14" t="n">
        <v>350</v>
      </c>
      <c r="V291" s="14" t="n">
        <v>250</v>
      </c>
      <c r="W291" s="14">
        <f>U291+V291</f>
        <v/>
      </c>
    </row>
    <row r="292">
      <c r="A292" s="15" t="inlineStr">
        <is>
          <t>CANON-202508-000392</t>
        </is>
      </c>
      <c r="B292" s="15" t="inlineStr">
        <is>
          <t>2025-08-30</t>
        </is>
      </c>
      <c r="C292" s="15" t="inlineStr">
        <is>
          <t>Aurelio Nakashima</t>
        </is>
      </c>
      <c r="D292" s="15" t="inlineStr">
        <is>
          <t>CA</t>
        </is>
      </c>
      <c r="E292" s="16" t="n">
        <v>690000</v>
      </c>
      <c r="F292" s="16" t="n">
        <v>6678.68</v>
      </c>
      <c r="G292" s="16" t="n">
        <v>834.84</v>
      </c>
      <c r="H292" s="16" t="n">
        <v>834.84</v>
      </c>
      <c r="I292" s="16">
        <f>SUM(K292:T292)</f>
        <v/>
      </c>
      <c r="J292" s="16">
        <f>F292-(G292+H292+I292)</f>
        <v/>
      </c>
      <c r="K292" s="16" t="n">
        <v>500.9</v>
      </c>
      <c r="L292" s="16" t="n">
        <v>500.9</v>
      </c>
      <c r="M292" s="16" t="n">
        <v>500.9</v>
      </c>
      <c r="N292" s="16" t="n">
        <v>500.9</v>
      </c>
      <c r="O292" s="16" t="n">
        <v>500.9</v>
      </c>
      <c r="P292" s="16" t="n">
        <v>500.9</v>
      </c>
      <c r="Q292" s="16" t="n">
        <v>500.9</v>
      </c>
      <c r="R292" s="16" t="n">
        <v>500.9</v>
      </c>
      <c r="S292" s="16" t="n">
        <v>500.9</v>
      </c>
      <c r="T292" s="16" t="n">
        <v>500.9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CANON-202508-000394</t>
        </is>
      </c>
      <c r="B293" s="3" t="inlineStr">
        <is>
          <t>2025-08-22</t>
        </is>
      </c>
      <c r="C293" s="3" t="inlineStr">
        <is>
          <t>Fenwick Vasquez</t>
        </is>
      </c>
      <c r="D293" s="3" t="inlineStr">
        <is>
          <t>VT</t>
        </is>
      </c>
      <c r="E293" s="14" t="n">
        <v>765000</v>
      </c>
      <c r="F293" s="14" t="n">
        <v>11446.13</v>
      </c>
      <c r="G293" s="14" t="n">
        <v>1430.77</v>
      </c>
      <c r="H293" s="14" t="n">
        <v>1430.77</v>
      </c>
      <c r="I293" s="14">
        <f>SUM(K293:T293)</f>
        <v/>
      </c>
      <c r="J293" s="14">
        <f>F293-(G293+H293+I293)</f>
        <v/>
      </c>
      <c r="K293" s="14" t="n">
        <v>858.46</v>
      </c>
      <c r="L293" s="14" t="n">
        <v>858.46</v>
      </c>
      <c r="M293" s="14" t="n">
        <v>858.46</v>
      </c>
      <c r="N293" s="14" t="n">
        <v>858.46</v>
      </c>
      <c r="O293" s="14" t="n">
        <v>858.46</v>
      </c>
      <c r="P293" s="14" t="n">
        <v>858.46</v>
      </c>
      <c r="Q293" s="14" t="n">
        <v>858.46</v>
      </c>
      <c r="R293" s="14" t="n">
        <v>858.46</v>
      </c>
      <c r="S293" s="14" t="n">
        <v>858.46</v>
      </c>
      <c r="T293" s="14" t="n">
        <v>858.46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CANON-202508-000396</t>
        </is>
      </c>
      <c r="B294" s="15" t="inlineStr">
        <is>
          <t>2025-08-18</t>
        </is>
      </c>
      <c r="C294" s="15" t="inlineStr">
        <is>
          <t>Sunniva Montoya</t>
        </is>
      </c>
      <c r="D294" s="15" t="inlineStr">
        <is>
          <t>GA</t>
        </is>
      </c>
      <c r="E294" s="16" t="n">
        <v>885000</v>
      </c>
      <c r="F294" s="16" t="n">
        <v>12156.23</v>
      </c>
      <c r="G294" s="16" t="n">
        <v>1519.53</v>
      </c>
      <c r="H294" s="16" t="n">
        <v>1519.53</v>
      </c>
      <c r="I294" s="16">
        <f>SUM(K294:T294)</f>
        <v/>
      </c>
      <c r="J294" s="16">
        <f>F294-(G294+H294+I294)</f>
        <v/>
      </c>
      <c r="K294" s="16" t="n">
        <v>911.72</v>
      </c>
      <c r="L294" s="16" t="n">
        <v>911.72</v>
      </c>
      <c r="M294" s="16" t="n">
        <v>911.72</v>
      </c>
      <c r="N294" s="16" t="n">
        <v>911.72</v>
      </c>
      <c r="O294" s="16" t="n">
        <v>911.72</v>
      </c>
      <c r="P294" s="16" t="n">
        <v>911.72</v>
      </c>
      <c r="Q294" s="16" t="n">
        <v>911.72</v>
      </c>
      <c r="R294" s="16" t="n">
        <v>911.72</v>
      </c>
      <c r="S294" s="16" t="n">
        <v>911.72</v>
      </c>
      <c r="T294" s="16" t="n">
        <v>911.72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CANON-202508-000397</t>
        </is>
      </c>
      <c r="B295" s="3" t="inlineStr">
        <is>
          <t>2025-08-14</t>
        </is>
      </c>
      <c r="C295" s="3" t="inlineStr">
        <is>
          <t>Priya Harrington</t>
        </is>
      </c>
      <c r="D295" s="3" t="inlineStr">
        <is>
          <t>PA</t>
        </is>
      </c>
      <c r="E295" s="14" t="n">
        <v>710000</v>
      </c>
      <c r="F295" s="14" t="n">
        <v>5760.38</v>
      </c>
      <c r="G295" s="14" t="n">
        <v>720.05</v>
      </c>
      <c r="H295" s="14" t="n">
        <v>720.05</v>
      </c>
      <c r="I295" s="14">
        <f>SUM(K295:T295)</f>
        <v/>
      </c>
      <c r="J295" s="14">
        <f>F295-(G295+H295+I295)</f>
        <v/>
      </c>
      <c r="K295" s="14" t="n">
        <v>432.03</v>
      </c>
      <c r="L295" s="14" t="n">
        <v>432.03</v>
      </c>
      <c r="M295" s="14" t="n">
        <v>432.03</v>
      </c>
      <c r="N295" s="14" t="n">
        <v>432.03</v>
      </c>
      <c r="O295" s="14" t="n">
        <v>432.03</v>
      </c>
      <c r="P295" s="14" t="n">
        <v>432.03</v>
      </c>
      <c r="Q295" s="14" t="n">
        <v>432.03</v>
      </c>
      <c r="R295" s="14" t="n">
        <v>432.03</v>
      </c>
      <c r="S295" s="14" t="n">
        <v>432.03</v>
      </c>
      <c r="T295" s="14" t="n">
        <v>432.03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CANON-202508-000399</t>
        </is>
      </c>
      <c r="B296" s="15" t="inlineStr">
        <is>
          <t>2025-08-20</t>
        </is>
      </c>
      <c r="C296" s="15" t="inlineStr">
        <is>
          <t>Noor Kingsford</t>
        </is>
      </c>
      <c r="D296" s="15" t="inlineStr">
        <is>
          <t>MS</t>
        </is>
      </c>
      <c r="E296" s="16" t="n">
        <v>1175000</v>
      </c>
      <c r="F296" s="16" t="n">
        <v>14510.14</v>
      </c>
      <c r="G296" s="16" t="n">
        <v>1813.77</v>
      </c>
      <c r="H296" s="16" t="n">
        <v>1813.77</v>
      </c>
      <c r="I296" s="16">
        <f>SUM(K296:T296)</f>
        <v/>
      </c>
      <c r="J296" s="16">
        <f>F296-(G296+H296+I296)</f>
        <v/>
      </c>
      <c r="K296" s="16" t="n">
        <v>1088.26</v>
      </c>
      <c r="L296" s="16" t="n">
        <v>1088.26</v>
      </c>
      <c r="M296" s="16" t="n">
        <v>1088.26</v>
      </c>
      <c r="N296" s="16" t="n">
        <v>1088.26</v>
      </c>
      <c r="O296" s="16" t="n">
        <v>1088.26</v>
      </c>
      <c r="P296" s="16" t="n">
        <v>1088.26</v>
      </c>
      <c r="Q296" s="16" t="n">
        <v>1088.26</v>
      </c>
      <c r="R296" s="16" t="n">
        <v>1088.26</v>
      </c>
      <c r="S296" s="16" t="n">
        <v>1088.26</v>
      </c>
      <c r="T296" s="16" t="n">
        <v>1088.26</v>
      </c>
      <c r="U296" s="16" t="n">
        <v>350</v>
      </c>
      <c r="V296" s="16" t="n">
        <v>250</v>
      </c>
      <c r="W296" s="16">
        <f>U296+V296</f>
        <v/>
      </c>
    </row>
    <row r="297">
      <c r="A297" s="3" t="inlineStr">
        <is>
          <t>CANON-202508-000400</t>
        </is>
      </c>
      <c r="B297" s="3" t="inlineStr">
        <is>
          <t>2025-08-18</t>
        </is>
      </c>
      <c r="C297" s="3" t="inlineStr">
        <is>
          <t>Leopold Underwood</t>
        </is>
      </c>
      <c r="D297" s="3" t="inlineStr">
        <is>
          <t>LA</t>
        </is>
      </c>
      <c r="E297" s="14" t="n">
        <v>1950000</v>
      </c>
      <c r="F297" s="14" t="n">
        <v>35615.09</v>
      </c>
      <c r="G297" s="14" t="n">
        <v>4451.89</v>
      </c>
      <c r="H297" s="14" t="n">
        <v>4451.89</v>
      </c>
      <c r="I297" s="14">
        <f>SUM(K297:T297)</f>
        <v/>
      </c>
      <c r="J297" s="14">
        <f>F297-(G297+H297+I297)</f>
        <v/>
      </c>
      <c r="K297" s="14" t="n">
        <v>2671.13</v>
      </c>
      <c r="L297" s="14" t="n">
        <v>2671.13</v>
      </c>
      <c r="M297" s="14" t="n">
        <v>2671.13</v>
      </c>
      <c r="N297" s="14" t="n">
        <v>2671.13</v>
      </c>
      <c r="O297" s="14" t="n">
        <v>2671.13</v>
      </c>
      <c r="P297" s="14" t="n">
        <v>2671.13</v>
      </c>
      <c r="Q297" s="14" t="n">
        <v>2671.13</v>
      </c>
      <c r="R297" s="14" t="n">
        <v>2671.13</v>
      </c>
      <c r="S297" s="14" t="n">
        <v>2671.13</v>
      </c>
      <c r="T297" s="14" t="n">
        <v>2671.13</v>
      </c>
      <c r="U297" s="14" t="n">
        <v>350</v>
      </c>
      <c r="V297" s="14" t="n">
        <v>250</v>
      </c>
      <c r="W297" s="14">
        <f>U297+V297</f>
        <v/>
      </c>
    </row>
    <row r="298">
      <c r="A298" s="15" t="inlineStr">
        <is>
          <t>CANON-202508-000401</t>
        </is>
      </c>
      <c r="B298" s="15" t="inlineStr">
        <is>
          <t>2025-08-22</t>
        </is>
      </c>
      <c r="C298" s="15" t="inlineStr">
        <is>
          <t>Emiliano Kingsford</t>
        </is>
      </c>
      <c r="D298" s="15" t="inlineStr">
        <is>
          <t>NY</t>
        </is>
      </c>
      <c r="E298" s="16" t="n">
        <v>770000</v>
      </c>
      <c r="F298" s="16" t="n">
        <v>17666.42</v>
      </c>
      <c r="G298" s="16" t="n">
        <v>2208.3</v>
      </c>
      <c r="H298" s="16" t="n">
        <v>2208.3</v>
      </c>
      <c r="I298" s="16">
        <f>SUM(K298:T298)</f>
        <v/>
      </c>
      <c r="J298" s="16">
        <f>F298-(G298+H298+I298)</f>
        <v/>
      </c>
      <c r="K298" s="16" t="n">
        <v>1324.98</v>
      </c>
      <c r="L298" s="16" t="n">
        <v>1324.98</v>
      </c>
      <c r="M298" s="16" t="n">
        <v>1324.98</v>
      </c>
      <c r="N298" s="16" t="n">
        <v>1324.98</v>
      </c>
      <c r="O298" s="16" t="n">
        <v>1324.98</v>
      </c>
      <c r="P298" s="16" t="n">
        <v>1324.98</v>
      </c>
      <c r="Q298" s="16" t="n">
        <v>1324.98</v>
      </c>
      <c r="R298" s="16" t="n">
        <v>1324.98</v>
      </c>
      <c r="S298" s="16" t="n">
        <v>1324.98</v>
      </c>
      <c r="T298" s="16" t="n">
        <v>1324.98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CANON-202508-000405</t>
        </is>
      </c>
      <c r="B299" s="3" t="inlineStr">
        <is>
          <t>2025-08-29</t>
        </is>
      </c>
      <c r="C299" s="3" t="inlineStr">
        <is>
          <t>Ottilie Fairweather</t>
        </is>
      </c>
      <c r="D299" s="3" t="inlineStr">
        <is>
          <t>MS</t>
        </is>
      </c>
      <c r="E299" s="14" t="n">
        <v>680000</v>
      </c>
      <c r="F299" s="14" t="n">
        <v>9924.15</v>
      </c>
      <c r="G299" s="14" t="n">
        <v>1240.52</v>
      </c>
      <c r="H299" s="14" t="n">
        <v>1240.52</v>
      </c>
      <c r="I299" s="14">
        <f>SUM(K299:T299)</f>
        <v/>
      </c>
      <c r="J299" s="14">
        <f>F299-(G299+H299+I299)</f>
        <v/>
      </c>
      <c r="K299" s="14" t="n">
        <v>744.3099999999999</v>
      </c>
      <c r="L299" s="14" t="n">
        <v>744.3099999999999</v>
      </c>
      <c r="M299" s="14" t="n">
        <v>744.3099999999999</v>
      </c>
      <c r="N299" s="14" t="n">
        <v>744.3099999999999</v>
      </c>
      <c r="O299" s="14" t="n">
        <v>744.3099999999999</v>
      </c>
      <c r="P299" s="14" t="n">
        <v>744.3099999999999</v>
      </c>
      <c r="Q299" s="14" t="n">
        <v>744.3099999999999</v>
      </c>
      <c r="R299" s="14" t="n">
        <v>744.3099999999999</v>
      </c>
      <c r="S299" s="14" t="n">
        <v>744.3099999999999</v>
      </c>
      <c r="T299" s="14" t="n">
        <v>744.3099999999999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CANON-202508-000407</t>
        </is>
      </c>
      <c r="B300" s="15" t="inlineStr">
        <is>
          <t>2025-08-13</t>
        </is>
      </c>
      <c r="C300" s="15" t="inlineStr">
        <is>
          <t>Aurelio Chattopadhyay</t>
        </is>
      </c>
      <c r="D300" s="15" t="inlineStr">
        <is>
          <t>OH</t>
        </is>
      </c>
      <c r="E300" s="16" t="n">
        <v>1200000</v>
      </c>
      <c r="F300" s="16" t="n">
        <v>25177.36</v>
      </c>
      <c r="G300" s="16" t="n">
        <v>3147.17</v>
      </c>
      <c r="H300" s="16" t="n">
        <v>3147.17</v>
      </c>
      <c r="I300" s="16">
        <f>SUM(K300:T300)</f>
        <v/>
      </c>
      <c r="J300" s="16">
        <f>F300-(G300+H300+I300)</f>
        <v/>
      </c>
      <c r="K300" s="16" t="n">
        <v>1888.3</v>
      </c>
      <c r="L300" s="16" t="n">
        <v>1888.3</v>
      </c>
      <c r="M300" s="16" t="n">
        <v>1888.3</v>
      </c>
      <c r="N300" s="16" t="n">
        <v>1888.3</v>
      </c>
      <c r="O300" s="16" t="n">
        <v>1888.3</v>
      </c>
      <c r="P300" s="16" t="n">
        <v>1888.3</v>
      </c>
      <c r="Q300" s="16" t="n">
        <v>1888.3</v>
      </c>
      <c r="R300" s="16" t="n">
        <v>1888.3</v>
      </c>
      <c r="S300" s="16" t="n">
        <v>1888.3</v>
      </c>
      <c r="T300" s="16" t="n">
        <v>1888.3</v>
      </c>
      <c r="U300" s="16" t="n">
        <v>350</v>
      </c>
      <c r="V300" s="16" t="n">
        <v>250</v>
      </c>
      <c r="W300" s="16">
        <f>U300+V300</f>
        <v/>
      </c>
    </row>
    <row r="301">
      <c r="A301" s="3" t="inlineStr">
        <is>
          <t>CANON-202508-000408</t>
        </is>
      </c>
      <c r="B301" s="3" t="inlineStr">
        <is>
          <t>2025-08-20</t>
        </is>
      </c>
      <c r="C301" s="3" t="inlineStr">
        <is>
          <t>Horace Ashcombe</t>
        </is>
      </c>
      <c r="D301" s="3" t="inlineStr">
        <is>
          <t>VT</t>
        </is>
      </c>
      <c r="E301" s="14" t="n">
        <v>790000</v>
      </c>
      <c r="F301" s="14" t="n">
        <v>11820.19</v>
      </c>
      <c r="G301" s="14" t="n">
        <v>1477.52</v>
      </c>
      <c r="H301" s="14" t="n">
        <v>1477.52</v>
      </c>
      <c r="I301" s="14">
        <f>SUM(K301:T301)</f>
        <v/>
      </c>
      <c r="J301" s="14">
        <f>F301-(G301+H301+I301)</f>
        <v/>
      </c>
      <c r="K301" s="14" t="n">
        <v>886.51</v>
      </c>
      <c r="L301" s="14" t="n">
        <v>886.51</v>
      </c>
      <c r="M301" s="14" t="n">
        <v>886.51</v>
      </c>
      <c r="N301" s="14" t="n">
        <v>886.51</v>
      </c>
      <c r="O301" s="14" t="n">
        <v>886.51</v>
      </c>
      <c r="P301" s="14" t="n">
        <v>886.51</v>
      </c>
      <c r="Q301" s="14" t="n">
        <v>886.51</v>
      </c>
      <c r="R301" s="14" t="n">
        <v>886.51</v>
      </c>
      <c r="S301" s="14" t="n">
        <v>886.51</v>
      </c>
      <c r="T301" s="14" t="n">
        <v>886.51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CANON-202508-000409</t>
        </is>
      </c>
      <c r="B302" s="15" t="inlineStr">
        <is>
          <t>2025-08-08</t>
        </is>
      </c>
      <c r="C302" s="15" t="inlineStr">
        <is>
          <t>Beatrix Whitlock</t>
        </is>
      </c>
      <c r="D302" s="15" t="inlineStr">
        <is>
          <t>ID</t>
        </is>
      </c>
      <c r="E302" s="16" t="n">
        <v>115000</v>
      </c>
      <c r="F302" s="16" t="n">
        <v>1976.26</v>
      </c>
      <c r="G302" s="16" t="n">
        <v>247.03</v>
      </c>
      <c r="H302" s="16" t="n">
        <v>247.03</v>
      </c>
      <c r="I302" s="16">
        <f>SUM(K302:T302)</f>
        <v/>
      </c>
      <c r="J302" s="16">
        <f>F302-(G302+H302+I302)</f>
        <v/>
      </c>
      <c r="K302" s="16" t="n">
        <v>148.22</v>
      </c>
      <c r="L302" s="16" t="n">
        <v>148.22</v>
      </c>
      <c r="M302" s="16" t="n">
        <v>148.22</v>
      </c>
      <c r="N302" s="16" t="n">
        <v>148.22</v>
      </c>
      <c r="O302" s="16" t="n">
        <v>148.22</v>
      </c>
      <c r="P302" s="16" t="n">
        <v>148.22</v>
      </c>
      <c r="Q302" s="16" t="n">
        <v>148.22</v>
      </c>
      <c r="R302" s="16" t="n">
        <v>148.22</v>
      </c>
      <c r="S302" s="16" t="n">
        <v>148.22</v>
      </c>
      <c r="T302" s="16" t="n">
        <v>148.22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CANON-202508-000410</t>
        </is>
      </c>
      <c r="B303" s="3" t="inlineStr">
        <is>
          <t>2025-08-15</t>
        </is>
      </c>
      <c r="C303" s="3" t="inlineStr">
        <is>
          <t>Horace Vasquez</t>
        </is>
      </c>
      <c r="D303" s="3" t="inlineStr">
        <is>
          <t>MD</t>
        </is>
      </c>
      <c r="E303" s="14" t="n">
        <v>640000</v>
      </c>
      <c r="F303" s="14" t="n">
        <v>4932.83</v>
      </c>
      <c r="G303" s="14" t="n">
        <v>616.6</v>
      </c>
      <c r="H303" s="14" t="n">
        <v>616.6</v>
      </c>
      <c r="I303" s="14">
        <f>SUM(K303:T303)</f>
        <v/>
      </c>
      <c r="J303" s="14">
        <f>F303-(G303+H303+I303)</f>
        <v/>
      </c>
      <c r="K303" s="14" t="n">
        <v>369.96</v>
      </c>
      <c r="L303" s="14" t="n">
        <v>369.96</v>
      </c>
      <c r="M303" s="14" t="n">
        <v>369.96</v>
      </c>
      <c r="N303" s="14" t="n">
        <v>369.96</v>
      </c>
      <c r="O303" s="14" t="n">
        <v>369.96</v>
      </c>
      <c r="P303" s="14" t="n">
        <v>369.96</v>
      </c>
      <c r="Q303" s="14" t="n">
        <v>369.96</v>
      </c>
      <c r="R303" s="14" t="n">
        <v>369.96</v>
      </c>
      <c r="S303" s="14" t="n">
        <v>369.96</v>
      </c>
      <c r="T303" s="14" t="n">
        <v>369.96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CANON-202508-000411</t>
        </is>
      </c>
      <c r="B304" s="15" t="inlineStr">
        <is>
          <t>2025-08-19</t>
        </is>
      </c>
      <c r="C304" s="15" t="inlineStr">
        <is>
          <t>Aurelio Underwood</t>
        </is>
      </c>
      <c r="D304" s="15" t="inlineStr">
        <is>
          <t>TN</t>
        </is>
      </c>
      <c r="E304" s="16" t="n">
        <v>535000</v>
      </c>
      <c r="F304" s="16" t="n">
        <v>4253.75</v>
      </c>
      <c r="G304" s="16" t="n">
        <v>531.72</v>
      </c>
      <c r="H304" s="16" t="n">
        <v>531.72</v>
      </c>
      <c r="I304" s="16">
        <f>SUM(K304:T304)</f>
        <v/>
      </c>
      <c r="J304" s="16">
        <f>F304-(G304+H304+I304)</f>
        <v/>
      </c>
      <c r="K304" s="16" t="n">
        <v>319.03</v>
      </c>
      <c r="L304" s="16" t="n">
        <v>319.03</v>
      </c>
      <c r="M304" s="16" t="n">
        <v>319.03</v>
      </c>
      <c r="N304" s="16" t="n">
        <v>319.03</v>
      </c>
      <c r="O304" s="16" t="n">
        <v>319.03</v>
      </c>
      <c r="P304" s="16" t="n">
        <v>319.03</v>
      </c>
      <c r="Q304" s="16" t="n">
        <v>319.03</v>
      </c>
      <c r="R304" s="16" t="n">
        <v>319.03</v>
      </c>
      <c r="S304" s="16" t="n">
        <v>319.03</v>
      </c>
      <c r="T304" s="16" t="n">
        <v>319.03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CANON-202508-000413</t>
        </is>
      </c>
      <c r="B305" s="3" t="inlineStr">
        <is>
          <t>2025-08-27</t>
        </is>
      </c>
      <c r="C305" s="3" t="inlineStr">
        <is>
          <t>Desmond Blackwood</t>
        </is>
      </c>
      <c r="D305" s="3" t="inlineStr">
        <is>
          <t>CO</t>
        </is>
      </c>
      <c r="E305" s="14" t="n">
        <v>225000</v>
      </c>
      <c r="F305" s="14" t="n">
        <v>4296.23</v>
      </c>
      <c r="G305" s="14" t="n">
        <v>537.03</v>
      </c>
      <c r="H305" s="14" t="n">
        <v>537.03</v>
      </c>
      <c r="I305" s="14">
        <f>SUM(K305:T305)</f>
        <v/>
      </c>
      <c r="J305" s="14">
        <f>F305-(G305+H305+I305)</f>
        <v/>
      </c>
      <c r="K305" s="14" t="n">
        <v>322.22</v>
      </c>
      <c r="L305" s="14" t="n">
        <v>322.22</v>
      </c>
      <c r="M305" s="14" t="n">
        <v>322.22</v>
      </c>
      <c r="N305" s="14" t="n">
        <v>322.22</v>
      </c>
      <c r="O305" s="14" t="n">
        <v>322.22</v>
      </c>
      <c r="P305" s="14" t="n">
        <v>322.22</v>
      </c>
      <c r="Q305" s="14" t="n">
        <v>322.22</v>
      </c>
      <c r="R305" s="14" t="n">
        <v>322.22</v>
      </c>
      <c r="S305" s="14" t="n">
        <v>322.22</v>
      </c>
      <c r="T305" s="14" t="n">
        <v>322.22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CANON-202508-000415</t>
        </is>
      </c>
      <c r="B306" s="15" t="inlineStr">
        <is>
          <t>2025-08-02</t>
        </is>
      </c>
      <c r="C306" s="15" t="inlineStr">
        <is>
          <t>Mireille Chattopadhyay</t>
        </is>
      </c>
      <c r="D306" s="15" t="inlineStr">
        <is>
          <t>AK</t>
        </is>
      </c>
      <c r="E306" s="16" t="n">
        <v>1590000</v>
      </c>
      <c r="F306" s="16" t="n">
        <v>12996</v>
      </c>
      <c r="G306" s="16" t="n">
        <v>1624.5</v>
      </c>
      <c r="H306" s="16" t="n">
        <v>1624.5</v>
      </c>
      <c r="I306" s="16">
        <f>SUM(K306:T306)</f>
        <v/>
      </c>
      <c r="J306" s="16">
        <f>F306-(G306+H306+I306)</f>
        <v/>
      </c>
      <c r="K306" s="16" t="n">
        <v>974.7</v>
      </c>
      <c r="L306" s="16" t="n">
        <v>974.7</v>
      </c>
      <c r="M306" s="16" t="n">
        <v>974.7</v>
      </c>
      <c r="N306" s="16" t="n">
        <v>974.7</v>
      </c>
      <c r="O306" s="16" t="n">
        <v>974.7</v>
      </c>
      <c r="P306" s="16" t="n">
        <v>974.7</v>
      </c>
      <c r="Q306" s="16" t="n">
        <v>974.7</v>
      </c>
      <c r="R306" s="16" t="n">
        <v>974.7</v>
      </c>
      <c r="S306" s="16" t="n">
        <v>974.7</v>
      </c>
      <c r="T306" s="16" t="n">
        <v>974.7</v>
      </c>
      <c r="U306" s="16" t="n">
        <v>350</v>
      </c>
      <c r="V306" s="16" t="n">
        <v>250</v>
      </c>
      <c r="W306" s="16">
        <f>U306+V306</f>
        <v/>
      </c>
    </row>
    <row r="307">
      <c r="A307" s="3" t="inlineStr">
        <is>
          <t>CANON-202508-000416</t>
        </is>
      </c>
      <c r="B307" s="3" t="inlineStr">
        <is>
          <t>2025-08-26</t>
        </is>
      </c>
      <c r="C307" s="3" t="inlineStr">
        <is>
          <t>Ramona Rourke</t>
        </is>
      </c>
      <c r="D307" s="3" t="inlineStr">
        <is>
          <t>WI</t>
        </is>
      </c>
      <c r="E307" s="14" t="n">
        <v>1010000</v>
      </c>
      <c r="F307" s="14" t="n">
        <v>12577.36</v>
      </c>
      <c r="G307" s="14" t="n">
        <v>1572.17</v>
      </c>
      <c r="H307" s="14" t="n">
        <v>1572.17</v>
      </c>
      <c r="I307" s="14">
        <f>SUM(K307:T307)</f>
        <v/>
      </c>
      <c r="J307" s="14">
        <f>F307-(G307+H307+I307)</f>
        <v/>
      </c>
      <c r="K307" s="14" t="n">
        <v>943.3</v>
      </c>
      <c r="L307" s="14" t="n">
        <v>943.3</v>
      </c>
      <c r="M307" s="14" t="n">
        <v>943.3</v>
      </c>
      <c r="N307" s="14" t="n">
        <v>943.3</v>
      </c>
      <c r="O307" s="14" t="n">
        <v>943.3</v>
      </c>
      <c r="P307" s="14" t="n">
        <v>943.3</v>
      </c>
      <c r="Q307" s="14" t="n">
        <v>943.3</v>
      </c>
      <c r="R307" s="14" t="n">
        <v>943.3</v>
      </c>
      <c r="S307" s="14" t="n">
        <v>943.3</v>
      </c>
      <c r="T307" s="14" t="n">
        <v>943.3</v>
      </c>
      <c r="U307" s="14" t="n">
        <v>350</v>
      </c>
      <c r="V307" s="14" t="n">
        <v>250</v>
      </c>
      <c r="W307" s="14">
        <f>U307+V307</f>
        <v/>
      </c>
    </row>
    <row r="308">
      <c r="A308" s="15" t="inlineStr">
        <is>
          <t>CANON-202508-000418</t>
        </is>
      </c>
      <c r="B308" s="15" t="inlineStr">
        <is>
          <t>2025-08-23</t>
        </is>
      </c>
      <c r="C308" s="15" t="inlineStr">
        <is>
          <t>Fitzgerald Bellandi</t>
        </is>
      </c>
      <c r="D308" s="15" t="inlineStr">
        <is>
          <t>SC</t>
        </is>
      </c>
      <c r="E308" s="16" t="n">
        <v>1230000</v>
      </c>
      <c r="F308" s="16" t="n">
        <v>15827.55</v>
      </c>
      <c r="G308" s="16" t="n">
        <v>1978.44</v>
      </c>
      <c r="H308" s="16" t="n">
        <v>1978.44</v>
      </c>
      <c r="I308" s="16">
        <f>SUM(K308:T308)</f>
        <v/>
      </c>
      <c r="J308" s="16">
        <f>F308-(G308+H308+I308)</f>
        <v/>
      </c>
      <c r="K308" s="16" t="n">
        <v>1187.07</v>
      </c>
      <c r="L308" s="16" t="n">
        <v>1187.07</v>
      </c>
      <c r="M308" s="16" t="n">
        <v>1187.07</v>
      </c>
      <c r="N308" s="16" t="n">
        <v>1187.07</v>
      </c>
      <c r="O308" s="16" t="n">
        <v>1187.07</v>
      </c>
      <c r="P308" s="16" t="n">
        <v>1187.07</v>
      </c>
      <c r="Q308" s="16" t="n">
        <v>1187.07</v>
      </c>
      <c r="R308" s="16" t="n">
        <v>1187.07</v>
      </c>
      <c r="S308" s="16" t="n">
        <v>1187.07</v>
      </c>
      <c r="T308" s="16" t="n">
        <v>1187.07</v>
      </c>
      <c r="U308" s="16" t="n">
        <v>350</v>
      </c>
      <c r="V308" s="16" t="n">
        <v>250</v>
      </c>
      <c r="W308" s="16">
        <f>U308+V308</f>
        <v/>
      </c>
    </row>
    <row r="309">
      <c r="A309" s="3" t="inlineStr">
        <is>
          <t>CANON-202508-000419</t>
        </is>
      </c>
      <c r="B309" s="3" t="inlineStr">
        <is>
          <t>2025-08-17</t>
        </is>
      </c>
      <c r="C309" s="3" t="inlineStr">
        <is>
          <t>Emiliano Farkas</t>
        </is>
      </c>
      <c r="D309" s="3" t="inlineStr">
        <is>
          <t>CA</t>
        </is>
      </c>
      <c r="E309" s="14" t="n">
        <v>385000</v>
      </c>
      <c r="F309" s="14" t="n">
        <v>7354.95</v>
      </c>
      <c r="G309" s="14" t="n">
        <v>919.37</v>
      </c>
      <c r="H309" s="14" t="n">
        <v>919.37</v>
      </c>
      <c r="I309" s="14">
        <f>SUM(K309:T309)</f>
        <v/>
      </c>
      <c r="J309" s="14">
        <f>F309-(G309+H309+I309)</f>
        <v/>
      </c>
      <c r="K309" s="14" t="n">
        <v>551.62</v>
      </c>
      <c r="L309" s="14" t="n">
        <v>551.62</v>
      </c>
      <c r="M309" s="14" t="n">
        <v>551.62</v>
      </c>
      <c r="N309" s="14" t="n">
        <v>551.62</v>
      </c>
      <c r="O309" s="14" t="n">
        <v>551.62</v>
      </c>
      <c r="P309" s="14" t="n">
        <v>551.62</v>
      </c>
      <c r="Q309" s="14" t="n">
        <v>551.62</v>
      </c>
      <c r="R309" s="14" t="n">
        <v>551.62</v>
      </c>
      <c r="S309" s="14" t="n">
        <v>551.62</v>
      </c>
      <c r="T309" s="14" t="n">
        <v>551.62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CANON-202508-000420</t>
        </is>
      </c>
      <c r="B310" s="15" t="inlineStr">
        <is>
          <t>2025-08-20</t>
        </is>
      </c>
      <c r="C310" s="15" t="inlineStr">
        <is>
          <t>Sunniva Larsson</t>
        </is>
      </c>
      <c r="D310" s="15" t="inlineStr">
        <is>
          <t>ND</t>
        </is>
      </c>
      <c r="E310" s="16" t="n">
        <v>455000</v>
      </c>
      <c r="F310" s="16" t="n">
        <v>10070.09</v>
      </c>
      <c r="G310" s="16" t="n">
        <v>1258.76</v>
      </c>
      <c r="H310" s="16" t="n">
        <v>1258.76</v>
      </c>
      <c r="I310" s="16">
        <f>SUM(K310:T310)</f>
        <v/>
      </c>
      <c r="J310" s="16">
        <f>F310-(G310+H310+I310)</f>
        <v/>
      </c>
      <c r="K310" s="16" t="n">
        <v>755.26</v>
      </c>
      <c r="L310" s="16" t="n">
        <v>755.26</v>
      </c>
      <c r="M310" s="16" t="n">
        <v>755.26</v>
      </c>
      <c r="N310" s="16" t="n">
        <v>755.26</v>
      </c>
      <c r="O310" s="16" t="n">
        <v>755.26</v>
      </c>
      <c r="P310" s="16" t="n">
        <v>755.26</v>
      </c>
      <c r="Q310" s="16" t="n">
        <v>755.26</v>
      </c>
      <c r="R310" s="16" t="n">
        <v>755.26</v>
      </c>
      <c r="S310" s="16" t="n">
        <v>755.26</v>
      </c>
      <c r="T310" s="16" t="n">
        <v>755.26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CANON-202508-000421</t>
        </is>
      </c>
      <c r="B311" s="3" t="inlineStr">
        <is>
          <t>2025-08-19</t>
        </is>
      </c>
      <c r="C311" s="3" t="inlineStr">
        <is>
          <t>Everett Thistlewood</t>
        </is>
      </c>
      <c r="D311" s="3" t="inlineStr">
        <is>
          <t>IA</t>
        </is>
      </c>
      <c r="E311" s="14" t="n">
        <v>980000</v>
      </c>
      <c r="F311" s="14" t="n">
        <v>13220.75</v>
      </c>
      <c r="G311" s="14" t="n">
        <v>1652.59</v>
      </c>
      <c r="H311" s="14" t="n">
        <v>1652.59</v>
      </c>
      <c r="I311" s="14">
        <f>SUM(K311:T311)</f>
        <v/>
      </c>
      <c r="J311" s="14">
        <f>F311-(G311+H311+I311)</f>
        <v/>
      </c>
      <c r="K311" s="14" t="n">
        <v>991.5599999999999</v>
      </c>
      <c r="L311" s="14" t="n">
        <v>991.5599999999999</v>
      </c>
      <c r="M311" s="14" t="n">
        <v>991.5599999999999</v>
      </c>
      <c r="N311" s="14" t="n">
        <v>991.5599999999999</v>
      </c>
      <c r="O311" s="14" t="n">
        <v>991.5599999999999</v>
      </c>
      <c r="P311" s="14" t="n">
        <v>991.5599999999999</v>
      </c>
      <c r="Q311" s="14" t="n">
        <v>991.5599999999999</v>
      </c>
      <c r="R311" s="14" t="n">
        <v>991.5599999999999</v>
      </c>
      <c r="S311" s="14" t="n">
        <v>991.5599999999999</v>
      </c>
      <c r="T311" s="14" t="n">
        <v>991.5599999999999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CANON-202508-000423</t>
        </is>
      </c>
      <c r="B312" s="15" t="inlineStr">
        <is>
          <t>2025-08-26</t>
        </is>
      </c>
      <c r="C312" s="15" t="inlineStr">
        <is>
          <t>Beatrix Kingsford</t>
        </is>
      </c>
      <c r="D312" s="15" t="inlineStr">
        <is>
          <t>MI</t>
        </is>
      </c>
      <c r="E312" s="16" t="n">
        <v>835000</v>
      </c>
      <c r="F312" s="16" t="n">
        <v>23198.82</v>
      </c>
      <c r="G312" s="16" t="n">
        <v>2899.85</v>
      </c>
      <c r="H312" s="16" t="n">
        <v>2899.85</v>
      </c>
      <c r="I312" s="16">
        <f>SUM(K312:T312)</f>
        <v/>
      </c>
      <c r="J312" s="16">
        <f>F312-(G312+H312+I312)</f>
        <v/>
      </c>
      <c r="K312" s="16" t="n">
        <v>1739.91</v>
      </c>
      <c r="L312" s="16" t="n">
        <v>1739.91</v>
      </c>
      <c r="M312" s="16" t="n">
        <v>1739.91</v>
      </c>
      <c r="N312" s="16" t="n">
        <v>1739.91</v>
      </c>
      <c r="O312" s="16" t="n">
        <v>1739.91</v>
      </c>
      <c r="P312" s="16" t="n">
        <v>1739.91</v>
      </c>
      <c r="Q312" s="16" t="n">
        <v>1739.91</v>
      </c>
      <c r="R312" s="16" t="n">
        <v>1739.91</v>
      </c>
      <c r="S312" s="16" t="n">
        <v>1739.91</v>
      </c>
      <c r="T312" s="16" t="n">
        <v>1739.91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CANON-202508-000424</t>
        </is>
      </c>
      <c r="B313" s="3" t="inlineStr">
        <is>
          <t>2025-08-11</t>
        </is>
      </c>
      <c r="C313" s="3" t="inlineStr">
        <is>
          <t>Noor Blackwood</t>
        </is>
      </c>
      <c r="D313" s="3" t="inlineStr">
        <is>
          <t>NJ</t>
        </is>
      </c>
      <c r="E313" s="14" t="n">
        <v>510000</v>
      </c>
      <c r="F313" s="14" t="n">
        <v>5691.79</v>
      </c>
      <c r="G313" s="14" t="n">
        <v>711.47</v>
      </c>
      <c r="H313" s="14" t="n">
        <v>711.47</v>
      </c>
      <c r="I313" s="14">
        <f>SUM(K313:T313)</f>
        <v/>
      </c>
      <c r="J313" s="14">
        <f>F313-(G313+H313+I313)</f>
        <v/>
      </c>
      <c r="K313" s="14" t="n">
        <v>426.88</v>
      </c>
      <c r="L313" s="14" t="n">
        <v>426.88</v>
      </c>
      <c r="M313" s="14" t="n">
        <v>426.88</v>
      </c>
      <c r="N313" s="14" t="n">
        <v>426.88</v>
      </c>
      <c r="O313" s="14" t="n">
        <v>426.88</v>
      </c>
      <c r="P313" s="14" t="n">
        <v>426.88</v>
      </c>
      <c r="Q313" s="14" t="n">
        <v>426.88</v>
      </c>
      <c r="R313" s="14" t="n">
        <v>426.88</v>
      </c>
      <c r="S313" s="14" t="n">
        <v>426.88</v>
      </c>
      <c r="T313" s="14" t="n">
        <v>426.88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CANON-202508-000425</t>
        </is>
      </c>
      <c r="B314" s="15" t="inlineStr">
        <is>
          <t>2025-08-29</t>
        </is>
      </c>
      <c r="C314" s="15" t="inlineStr">
        <is>
          <t>Leopold Whitlock</t>
        </is>
      </c>
      <c r="D314" s="15" t="inlineStr">
        <is>
          <t>FL</t>
        </is>
      </c>
      <c r="E314" s="16" t="n">
        <v>580000</v>
      </c>
      <c r="F314" s="16" t="n">
        <v>10100.75</v>
      </c>
      <c r="G314" s="16" t="n">
        <v>1262.59</v>
      </c>
      <c r="H314" s="16" t="n">
        <v>1262.59</v>
      </c>
      <c r="I314" s="16">
        <f>SUM(K314:T314)</f>
        <v/>
      </c>
      <c r="J314" s="16">
        <f>F314-(G314+H314+I314)</f>
        <v/>
      </c>
      <c r="K314" s="16" t="n">
        <v>757.5599999999999</v>
      </c>
      <c r="L314" s="16" t="n">
        <v>757.5599999999999</v>
      </c>
      <c r="M314" s="16" t="n">
        <v>757.5599999999999</v>
      </c>
      <c r="N314" s="16" t="n">
        <v>757.5599999999999</v>
      </c>
      <c r="O314" s="16" t="n">
        <v>757.5599999999999</v>
      </c>
      <c r="P314" s="16" t="n">
        <v>757.5599999999999</v>
      </c>
      <c r="Q314" s="16" t="n">
        <v>757.5599999999999</v>
      </c>
      <c r="R314" s="16" t="n">
        <v>757.5599999999999</v>
      </c>
      <c r="S314" s="16" t="n">
        <v>757.5599999999999</v>
      </c>
      <c r="T314" s="16" t="n">
        <v>757.5599999999999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CANON-202508-000428</t>
        </is>
      </c>
      <c r="B315" s="3" t="inlineStr">
        <is>
          <t>2025-08-06</t>
        </is>
      </c>
      <c r="C315" s="3" t="inlineStr">
        <is>
          <t>Callum Whitlock</t>
        </is>
      </c>
      <c r="D315" s="3" t="inlineStr">
        <is>
          <t>AR</t>
        </is>
      </c>
      <c r="E315" s="14" t="n">
        <v>655000</v>
      </c>
      <c r="F315" s="14" t="n">
        <v>16201.98</v>
      </c>
      <c r="G315" s="14" t="n">
        <v>2025.25</v>
      </c>
      <c r="H315" s="14" t="n">
        <v>2025.25</v>
      </c>
      <c r="I315" s="14">
        <f>SUM(K315:T315)</f>
        <v/>
      </c>
      <c r="J315" s="14">
        <f>F315-(G315+H315+I315)</f>
        <v/>
      </c>
      <c r="K315" s="14" t="n">
        <v>1215.15</v>
      </c>
      <c r="L315" s="14" t="n">
        <v>1215.15</v>
      </c>
      <c r="M315" s="14" t="n">
        <v>1215.15</v>
      </c>
      <c r="N315" s="14" t="n">
        <v>1215.15</v>
      </c>
      <c r="O315" s="14" t="n">
        <v>1215.15</v>
      </c>
      <c r="P315" s="14" t="n">
        <v>1215.15</v>
      </c>
      <c r="Q315" s="14" t="n">
        <v>1215.15</v>
      </c>
      <c r="R315" s="14" t="n">
        <v>1215.15</v>
      </c>
      <c r="S315" s="14" t="n">
        <v>1215.15</v>
      </c>
      <c r="T315" s="14" t="n">
        <v>1215.15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CANON-202508-000429</t>
        </is>
      </c>
      <c r="B316" s="15" t="inlineStr">
        <is>
          <t>2025-08-05</t>
        </is>
      </c>
      <c r="C316" s="15" t="inlineStr">
        <is>
          <t>Marisol Underwood</t>
        </is>
      </c>
      <c r="D316" s="15" t="inlineStr">
        <is>
          <t>WA</t>
        </is>
      </c>
      <c r="E316" s="16" t="n">
        <v>395000</v>
      </c>
      <c r="F316" s="16" t="n">
        <v>5366.04</v>
      </c>
      <c r="G316" s="16" t="n">
        <v>670.75</v>
      </c>
      <c r="H316" s="16" t="n">
        <v>670.75</v>
      </c>
      <c r="I316" s="16">
        <f>SUM(K316:T316)</f>
        <v/>
      </c>
      <c r="J316" s="16">
        <f>F316-(G316+H316+I316)</f>
        <v/>
      </c>
      <c r="K316" s="16" t="n">
        <v>402.45</v>
      </c>
      <c r="L316" s="16" t="n">
        <v>402.45</v>
      </c>
      <c r="M316" s="16" t="n">
        <v>402.45</v>
      </c>
      <c r="N316" s="16" t="n">
        <v>402.45</v>
      </c>
      <c r="O316" s="16" t="n">
        <v>402.45</v>
      </c>
      <c r="P316" s="16" t="n">
        <v>402.45</v>
      </c>
      <c r="Q316" s="16" t="n">
        <v>402.45</v>
      </c>
      <c r="R316" s="16" t="n">
        <v>402.45</v>
      </c>
      <c r="S316" s="16" t="n">
        <v>402.45</v>
      </c>
      <c r="T316" s="16" t="n">
        <v>402.45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CANON-202508-000430</t>
        </is>
      </c>
      <c r="B317" s="3" t="inlineStr">
        <is>
          <t>2025-08-14</t>
        </is>
      </c>
      <c r="C317" s="3" t="inlineStr">
        <is>
          <t>Ottilie Vandermeer</t>
        </is>
      </c>
      <c r="D317" s="3" t="inlineStr">
        <is>
          <t>IN</t>
        </is>
      </c>
      <c r="E317" s="14" t="n">
        <v>1205000</v>
      </c>
      <c r="F317" s="14" t="n">
        <v>10626.74</v>
      </c>
      <c r="G317" s="14" t="n">
        <v>1328.34</v>
      </c>
      <c r="H317" s="14" t="n">
        <v>1328.34</v>
      </c>
      <c r="I317" s="14">
        <f>SUM(K317:T317)</f>
        <v/>
      </c>
      <c r="J317" s="14">
        <f>F317-(G317+H317+I317)</f>
        <v/>
      </c>
      <c r="K317" s="14" t="n">
        <v>797.01</v>
      </c>
      <c r="L317" s="14" t="n">
        <v>797.01</v>
      </c>
      <c r="M317" s="14" t="n">
        <v>797.01</v>
      </c>
      <c r="N317" s="14" t="n">
        <v>797.01</v>
      </c>
      <c r="O317" s="14" t="n">
        <v>797.01</v>
      </c>
      <c r="P317" s="14" t="n">
        <v>797.01</v>
      </c>
      <c r="Q317" s="14" t="n">
        <v>797.01</v>
      </c>
      <c r="R317" s="14" t="n">
        <v>797.01</v>
      </c>
      <c r="S317" s="14" t="n">
        <v>797.01</v>
      </c>
      <c r="T317" s="14" t="n">
        <v>797.01</v>
      </c>
      <c r="U317" s="14" t="n">
        <v>350</v>
      </c>
      <c r="V317" s="14" t="n">
        <v>250</v>
      </c>
      <c r="W317" s="14">
        <f>U317+V317</f>
        <v/>
      </c>
    </row>
    <row r="318">
      <c r="A318" s="15" t="inlineStr">
        <is>
          <t>CANON-202508-000432</t>
        </is>
      </c>
      <c r="B318" s="15" t="inlineStr">
        <is>
          <t>2025-08-08</t>
        </is>
      </c>
      <c r="C318" s="15" t="inlineStr">
        <is>
          <t>Sunniva Castellanos</t>
        </is>
      </c>
      <c r="D318" s="15" t="inlineStr">
        <is>
          <t>TX</t>
        </is>
      </c>
      <c r="E318" s="16" t="n">
        <v>885000</v>
      </c>
      <c r="F318" s="16" t="n">
        <v>18242.69</v>
      </c>
      <c r="G318" s="16" t="n">
        <v>2280.34</v>
      </c>
      <c r="H318" s="16" t="n">
        <v>2280.34</v>
      </c>
      <c r="I318" s="16">
        <f>SUM(K318:T318)</f>
        <v/>
      </c>
      <c r="J318" s="16">
        <f>F318-(G318+H318+I318)</f>
        <v/>
      </c>
      <c r="K318" s="16" t="n">
        <v>1368.2</v>
      </c>
      <c r="L318" s="16" t="n">
        <v>1368.2</v>
      </c>
      <c r="M318" s="16" t="n">
        <v>1368.2</v>
      </c>
      <c r="N318" s="16" t="n">
        <v>1368.2</v>
      </c>
      <c r="O318" s="16" t="n">
        <v>1368.2</v>
      </c>
      <c r="P318" s="16" t="n">
        <v>1368.2</v>
      </c>
      <c r="Q318" s="16" t="n">
        <v>1368.2</v>
      </c>
      <c r="R318" s="16" t="n">
        <v>1368.2</v>
      </c>
      <c r="S318" s="16" t="n">
        <v>1368.2</v>
      </c>
      <c r="T318" s="16" t="n">
        <v>1368.2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CANON-202508-000433</t>
        </is>
      </c>
      <c r="B319" s="3" t="inlineStr">
        <is>
          <t>2025-08-30</t>
        </is>
      </c>
      <c r="C319" s="3" t="inlineStr">
        <is>
          <t>Wilhelmina Merriweather</t>
        </is>
      </c>
      <c r="D319" s="3" t="inlineStr">
        <is>
          <t>WY</t>
        </is>
      </c>
      <c r="E319" s="14" t="n">
        <v>810000</v>
      </c>
      <c r="F319" s="14" t="n">
        <v>7031.72</v>
      </c>
      <c r="G319" s="14" t="n">
        <v>878.97</v>
      </c>
      <c r="H319" s="14" t="n">
        <v>878.97</v>
      </c>
      <c r="I319" s="14">
        <f>SUM(K319:T319)</f>
        <v/>
      </c>
      <c r="J319" s="14">
        <f>F319-(G319+H319+I319)</f>
        <v/>
      </c>
      <c r="K319" s="14" t="n">
        <v>527.38</v>
      </c>
      <c r="L319" s="14" t="n">
        <v>527.38</v>
      </c>
      <c r="M319" s="14" t="n">
        <v>527.38</v>
      </c>
      <c r="N319" s="14" t="n">
        <v>527.38</v>
      </c>
      <c r="O319" s="14" t="n">
        <v>527.38</v>
      </c>
      <c r="P319" s="14" t="n">
        <v>527.38</v>
      </c>
      <c r="Q319" s="14" t="n">
        <v>527.38</v>
      </c>
      <c r="R319" s="14" t="n">
        <v>527.38</v>
      </c>
      <c r="S319" s="14" t="n">
        <v>527.38</v>
      </c>
      <c r="T319" s="14" t="n">
        <v>527.38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CANON-202508-000434</t>
        </is>
      </c>
      <c r="B320" s="15" t="inlineStr">
        <is>
          <t>2025-08-05</t>
        </is>
      </c>
      <c r="C320" s="15" t="inlineStr">
        <is>
          <t>Ramona Underwood</t>
        </is>
      </c>
      <c r="D320" s="15" t="inlineStr">
        <is>
          <t>SD</t>
        </is>
      </c>
      <c r="E320" s="16" t="n">
        <v>820000</v>
      </c>
      <c r="F320" s="16" t="n">
        <v>11162.83</v>
      </c>
      <c r="G320" s="16" t="n">
        <v>1395.35</v>
      </c>
      <c r="H320" s="16" t="n">
        <v>1395.35</v>
      </c>
      <c r="I320" s="16">
        <f>SUM(K320:T320)</f>
        <v/>
      </c>
      <c r="J320" s="16">
        <f>F320-(G320+H320+I320)</f>
        <v/>
      </c>
      <c r="K320" s="16" t="n">
        <v>837.21</v>
      </c>
      <c r="L320" s="16" t="n">
        <v>837.21</v>
      </c>
      <c r="M320" s="16" t="n">
        <v>837.21</v>
      </c>
      <c r="N320" s="16" t="n">
        <v>837.21</v>
      </c>
      <c r="O320" s="16" t="n">
        <v>837.21</v>
      </c>
      <c r="P320" s="16" t="n">
        <v>837.21</v>
      </c>
      <c r="Q320" s="16" t="n">
        <v>837.21</v>
      </c>
      <c r="R320" s="16" t="n">
        <v>837.21</v>
      </c>
      <c r="S320" s="16" t="n">
        <v>837.21</v>
      </c>
      <c r="T320" s="16" t="n">
        <v>837.21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CANON-202508-000435</t>
        </is>
      </c>
      <c r="B321" s="3" t="inlineStr">
        <is>
          <t>2025-08-04</t>
        </is>
      </c>
      <c r="C321" s="3" t="inlineStr">
        <is>
          <t>Thaddeus Larsson</t>
        </is>
      </c>
      <c r="D321" s="3" t="inlineStr">
        <is>
          <t>MI</t>
        </is>
      </c>
      <c r="E321" s="14" t="n">
        <v>400000</v>
      </c>
      <c r="F321" s="14" t="n">
        <v>8773.58</v>
      </c>
      <c r="G321" s="14" t="n">
        <v>1096.7</v>
      </c>
      <c r="H321" s="14" t="n">
        <v>1096.7</v>
      </c>
      <c r="I321" s="14">
        <f>SUM(K321:T321)</f>
        <v/>
      </c>
      <c r="J321" s="14">
        <f>F321-(G321+H321+I321)</f>
        <v/>
      </c>
      <c r="K321" s="14" t="n">
        <v>658.02</v>
      </c>
      <c r="L321" s="14" t="n">
        <v>658.02</v>
      </c>
      <c r="M321" s="14" t="n">
        <v>658.02</v>
      </c>
      <c r="N321" s="14" t="n">
        <v>658.02</v>
      </c>
      <c r="O321" s="14" t="n">
        <v>658.02</v>
      </c>
      <c r="P321" s="14" t="n">
        <v>658.02</v>
      </c>
      <c r="Q321" s="14" t="n">
        <v>658.02</v>
      </c>
      <c r="R321" s="14" t="n">
        <v>658.02</v>
      </c>
      <c r="S321" s="14" t="n">
        <v>658.02</v>
      </c>
      <c r="T321" s="14" t="n">
        <v>658.02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CANON-202508-000436</t>
        </is>
      </c>
      <c r="B322" s="15" t="inlineStr">
        <is>
          <t>2025-08-17</t>
        </is>
      </c>
      <c r="C322" s="15" t="inlineStr">
        <is>
          <t>Wilhelmina Castellanos</t>
        </is>
      </c>
      <c r="D322" s="15" t="inlineStr">
        <is>
          <t>DE</t>
        </is>
      </c>
      <c r="E322" s="16" t="n">
        <v>225000</v>
      </c>
      <c r="F322" s="16" t="n">
        <v>4882.08</v>
      </c>
      <c r="G322" s="16" t="n">
        <v>610.26</v>
      </c>
      <c r="H322" s="16" t="n">
        <v>610.26</v>
      </c>
      <c r="I322" s="16">
        <f>SUM(K322:T322)</f>
        <v/>
      </c>
      <c r="J322" s="16">
        <f>F322-(G322+H322+I322)</f>
        <v/>
      </c>
      <c r="K322" s="16" t="n">
        <v>366.16</v>
      </c>
      <c r="L322" s="16" t="n">
        <v>366.16</v>
      </c>
      <c r="M322" s="16" t="n">
        <v>366.16</v>
      </c>
      <c r="N322" s="16" t="n">
        <v>366.16</v>
      </c>
      <c r="O322" s="16" t="n">
        <v>366.16</v>
      </c>
      <c r="P322" s="16" t="n">
        <v>366.16</v>
      </c>
      <c r="Q322" s="16" t="n">
        <v>366.16</v>
      </c>
      <c r="R322" s="16" t="n">
        <v>366.16</v>
      </c>
      <c r="S322" s="16" t="n">
        <v>366.16</v>
      </c>
      <c r="T322" s="16" t="n">
        <v>366.16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CANON-202508-000437</t>
        </is>
      </c>
      <c r="B323" s="3" t="inlineStr">
        <is>
          <t>2025-08-14</t>
        </is>
      </c>
      <c r="C323" s="3" t="inlineStr">
        <is>
          <t>Ramona Vasquez</t>
        </is>
      </c>
      <c r="D323" s="3" t="inlineStr">
        <is>
          <t>AR</t>
        </is>
      </c>
      <c r="E323" s="14" t="n">
        <v>1950000</v>
      </c>
      <c r="F323" s="14" t="n">
        <v>40618.87</v>
      </c>
      <c r="G323" s="14" t="n">
        <v>5077.36</v>
      </c>
      <c r="H323" s="14" t="n">
        <v>5077.36</v>
      </c>
      <c r="I323" s="14">
        <f>SUM(K323:T323)</f>
        <v/>
      </c>
      <c r="J323" s="14">
        <f>F323-(G323+H323+I323)</f>
        <v/>
      </c>
      <c r="K323" s="14" t="n">
        <v>3046.42</v>
      </c>
      <c r="L323" s="14" t="n">
        <v>3046.42</v>
      </c>
      <c r="M323" s="14" t="n">
        <v>3046.42</v>
      </c>
      <c r="N323" s="14" t="n">
        <v>3046.42</v>
      </c>
      <c r="O323" s="14" t="n">
        <v>3046.42</v>
      </c>
      <c r="P323" s="14" t="n">
        <v>3046.42</v>
      </c>
      <c r="Q323" s="14" t="n">
        <v>3046.42</v>
      </c>
      <c r="R323" s="14" t="n">
        <v>3046.42</v>
      </c>
      <c r="S323" s="14" t="n">
        <v>3046.42</v>
      </c>
      <c r="T323" s="14" t="n">
        <v>3046.42</v>
      </c>
      <c r="U323" s="14" t="n">
        <v>350</v>
      </c>
      <c r="V323" s="14" t="n">
        <v>250</v>
      </c>
      <c r="W323" s="14">
        <f>U323+V323</f>
        <v/>
      </c>
    </row>
    <row r="324">
      <c r="A324" s="15" t="inlineStr">
        <is>
          <t>CANON-202508-000438</t>
        </is>
      </c>
      <c r="B324" s="15" t="inlineStr">
        <is>
          <t>2025-08-28</t>
        </is>
      </c>
      <c r="C324" s="15" t="inlineStr">
        <is>
          <t>Wilhelmina Vandermeer</t>
        </is>
      </c>
      <c r="D324" s="15" t="inlineStr">
        <is>
          <t>OR</t>
        </is>
      </c>
      <c r="E324" s="16" t="n">
        <v>615000</v>
      </c>
      <c r="F324" s="16" t="n">
        <v>4982.66</v>
      </c>
      <c r="G324" s="16" t="n">
        <v>622.83</v>
      </c>
      <c r="H324" s="16" t="n">
        <v>622.83</v>
      </c>
      <c r="I324" s="16">
        <f>SUM(K324:T324)</f>
        <v/>
      </c>
      <c r="J324" s="16">
        <f>F324-(G324+H324+I324)</f>
        <v/>
      </c>
      <c r="K324" s="16" t="n">
        <v>373.7</v>
      </c>
      <c r="L324" s="16" t="n">
        <v>373.7</v>
      </c>
      <c r="M324" s="16" t="n">
        <v>373.7</v>
      </c>
      <c r="N324" s="16" t="n">
        <v>373.7</v>
      </c>
      <c r="O324" s="16" t="n">
        <v>373.7</v>
      </c>
      <c r="P324" s="16" t="n">
        <v>373.7</v>
      </c>
      <c r="Q324" s="16" t="n">
        <v>373.7</v>
      </c>
      <c r="R324" s="16" t="n">
        <v>373.7</v>
      </c>
      <c r="S324" s="16" t="n">
        <v>373.7</v>
      </c>
      <c r="T324" s="16" t="n">
        <v>373.7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CANON-202508-000440</t>
        </is>
      </c>
      <c r="B325" s="3" t="inlineStr">
        <is>
          <t>2025-08-09</t>
        </is>
      </c>
      <c r="C325" s="3" t="inlineStr">
        <is>
          <t>Fitzgerald Blackwood</t>
        </is>
      </c>
      <c r="D325" s="3" t="inlineStr">
        <is>
          <t>MD</t>
        </is>
      </c>
      <c r="E325" s="14" t="n">
        <v>905000</v>
      </c>
      <c r="F325" s="14" t="n">
        <v>10544.1</v>
      </c>
      <c r="G325" s="14" t="n">
        <v>1318.01</v>
      </c>
      <c r="H325" s="14" t="n">
        <v>1318.01</v>
      </c>
      <c r="I325" s="14">
        <f>SUM(K325:T325)</f>
        <v/>
      </c>
      <c r="J325" s="14">
        <f>F325-(G325+H325+I325)</f>
        <v/>
      </c>
      <c r="K325" s="14" t="n">
        <v>790.8099999999999</v>
      </c>
      <c r="L325" s="14" t="n">
        <v>790.8099999999999</v>
      </c>
      <c r="M325" s="14" t="n">
        <v>790.8099999999999</v>
      </c>
      <c r="N325" s="14" t="n">
        <v>790.8099999999999</v>
      </c>
      <c r="O325" s="14" t="n">
        <v>790.8099999999999</v>
      </c>
      <c r="P325" s="14" t="n">
        <v>790.8099999999999</v>
      </c>
      <c r="Q325" s="14" t="n">
        <v>790.8099999999999</v>
      </c>
      <c r="R325" s="14" t="n">
        <v>790.8099999999999</v>
      </c>
      <c r="S325" s="14" t="n">
        <v>790.8099999999999</v>
      </c>
      <c r="T325" s="14" t="n">
        <v>790.8099999999999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CANON-202508-000441</t>
        </is>
      </c>
      <c r="B326" s="15" t="inlineStr">
        <is>
          <t>2025-08-16</t>
        </is>
      </c>
      <c r="C326" s="15" t="inlineStr">
        <is>
          <t>Wilhelmina Ashcombe</t>
        </is>
      </c>
      <c r="D326" s="15" t="inlineStr">
        <is>
          <t>WV</t>
        </is>
      </c>
      <c r="E326" s="16" t="n">
        <v>340000</v>
      </c>
      <c r="F326" s="16" t="n">
        <v>6399.06</v>
      </c>
      <c r="G326" s="16" t="n">
        <v>799.88</v>
      </c>
      <c r="H326" s="16" t="n">
        <v>799.88</v>
      </c>
      <c r="I326" s="16">
        <f>SUM(K326:T326)</f>
        <v/>
      </c>
      <c r="J326" s="16">
        <f>F326-(G326+H326+I326)</f>
        <v/>
      </c>
      <c r="K326" s="16" t="n">
        <v>479.93</v>
      </c>
      <c r="L326" s="16" t="n">
        <v>479.93</v>
      </c>
      <c r="M326" s="16" t="n">
        <v>479.93</v>
      </c>
      <c r="N326" s="16" t="n">
        <v>479.93</v>
      </c>
      <c r="O326" s="16" t="n">
        <v>479.93</v>
      </c>
      <c r="P326" s="16" t="n">
        <v>479.93</v>
      </c>
      <c r="Q326" s="16" t="n">
        <v>479.93</v>
      </c>
      <c r="R326" s="16" t="n">
        <v>479.93</v>
      </c>
      <c r="S326" s="16" t="n">
        <v>479.93</v>
      </c>
      <c r="T326" s="16" t="n">
        <v>479.93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CANON-202508-000442</t>
        </is>
      </c>
      <c r="B327" s="3" t="inlineStr">
        <is>
          <t>2025-08-16</t>
        </is>
      </c>
      <c r="C327" s="3" t="inlineStr">
        <is>
          <t>Saoirse Whitlock</t>
        </is>
      </c>
      <c r="D327" s="3" t="inlineStr">
        <is>
          <t>NC</t>
        </is>
      </c>
      <c r="E327" s="14" t="n">
        <v>1950000</v>
      </c>
      <c r="F327" s="14" t="n">
        <v>33849.06</v>
      </c>
      <c r="G327" s="14" t="n">
        <v>4231.13</v>
      </c>
      <c r="H327" s="14" t="n">
        <v>4231.13</v>
      </c>
      <c r="I327" s="14">
        <f>SUM(K327:T327)</f>
        <v/>
      </c>
      <c r="J327" s="14">
        <f>F327-(G327+H327+I327)</f>
        <v/>
      </c>
      <c r="K327" s="14" t="n">
        <v>2538.68</v>
      </c>
      <c r="L327" s="14" t="n">
        <v>2538.68</v>
      </c>
      <c r="M327" s="14" t="n">
        <v>2538.68</v>
      </c>
      <c r="N327" s="14" t="n">
        <v>2538.68</v>
      </c>
      <c r="O327" s="14" t="n">
        <v>2538.68</v>
      </c>
      <c r="P327" s="14" t="n">
        <v>2538.68</v>
      </c>
      <c r="Q327" s="14" t="n">
        <v>2538.68</v>
      </c>
      <c r="R327" s="14" t="n">
        <v>2538.68</v>
      </c>
      <c r="S327" s="14" t="n">
        <v>2538.68</v>
      </c>
      <c r="T327" s="14" t="n">
        <v>2538.68</v>
      </c>
      <c r="U327" s="14" t="n">
        <v>350</v>
      </c>
      <c r="V327" s="14" t="n">
        <v>250</v>
      </c>
      <c r="W327" s="14">
        <f>U327+V327</f>
        <v/>
      </c>
    </row>
    <row r="328">
      <c r="A328" s="15" t="inlineStr">
        <is>
          <t>CANON-202508-000444</t>
        </is>
      </c>
      <c r="B328" s="15" t="inlineStr">
        <is>
          <t>2025-08-23</t>
        </is>
      </c>
      <c r="C328" s="15" t="inlineStr">
        <is>
          <t>Priya Rourke</t>
        </is>
      </c>
      <c r="D328" s="15" t="inlineStr">
        <is>
          <t>PA</t>
        </is>
      </c>
      <c r="E328" s="16" t="n">
        <v>625000</v>
      </c>
      <c r="F328" s="16" t="n">
        <v>7665.09</v>
      </c>
      <c r="G328" s="16" t="n">
        <v>958.14</v>
      </c>
      <c r="H328" s="16" t="n">
        <v>958.14</v>
      </c>
      <c r="I328" s="16">
        <f>SUM(K328:T328)</f>
        <v/>
      </c>
      <c r="J328" s="16">
        <f>F328-(G328+H328+I328)</f>
        <v/>
      </c>
      <c r="K328" s="16" t="n">
        <v>574.88</v>
      </c>
      <c r="L328" s="16" t="n">
        <v>574.88</v>
      </c>
      <c r="M328" s="16" t="n">
        <v>574.88</v>
      </c>
      <c r="N328" s="16" t="n">
        <v>574.88</v>
      </c>
      <c r="O328" s="16" t="n">
        <v>574.88</v>
      </c>
      <c r="P328" s="16" t="n">
        <v>574.88</v>
      </c>
      <c r="Q328" s="16" t="n">
        <v>574.88</v>
      </c>
      <c r="R328" s="16" t="n">
        <v>574.88</v>
      </c>
      <c r="S328" s="16" t="n">
        <v>574.88</v>
      </c>
      <c r="T328" s="16" t="n">
        <v>574.88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CANON-202508-000445</t>
        </is>
      </c>
      <c r="B329" s="3" t="inlineStr">
        <is>
          <t>2025-08-25</t>
        </is>
      </c>
      <c r="C329" s="3" t="inlineStr">
        <is>
          <t>Everett Larsson</t>
        </is>
      </c>
      <c r="D329" s="3" t="inlineStr">
        <is>
          <t>AK</t>
        </is>
      </c>
      <c r="E329" s="14" t="n">
        <v>1295000</v>
      </c>
      <c r="F329" s="14" t="n">
        <v>10584.79</v>
      </c>
      <c r="G329" s="14" t="n">
        <v>1323.1</v>
      </c>
      <c r="H329" s="14" t="n">
        <v>1323.1</v>
      </c>
      <c r="I329" s="14">
        <f>SUM(K329:T329)</f>
        <v/>
      </c>
      <c r="J329" s="14">
        <f>F329-(G329+H329+I329)</f>
        <v/>
      </c>
      <c r="K329" s="14" t="n">
        <v>793.86</v>
      </c>
      <c r="L329" s="14" t="n">
        <v>793.86</v>
      </c>
      <c r="M329" s="14" t="n">
        <v>793.86</v>
      </c>
      <c r="N329" s="14" t="n">
        <v>793.86</v>
      </c>
      <c r="O329" s="14" t="n">
        <v>793.86</v>
      </c>
      <c r="P329" s="14" t="n">
        <v>793.86</v>
      </c>
      <c r="Q329" s="14" t="n">
        <v>793.86</v>
      </c>
      <c r="R329" s="14" t="n">
        <v>793.86</v>
      </c>
      <c r="S329" s="14" t="n">
        <v>793.86</v>
      </c>
      <c r="T329" s="14" t="n">
        <v>793.86</v>
      </c>
      <c r="U329" s="14" t="n">
        <v>350</v>
      </c>
      <c r="V329" s="14" t="n">
        <v>250</v>
      </c>
      <c r="W329" s="14">
        <f>U329+V329</f>
        <v/>
      </c>
    </row>
    <row r="330">
      <c r="A330" s="15" t="inlineStr">
        <is>
          <t>CANON-202508-000446</t>
        </is>
      </c>
      <c r="B330" s="15" t="inlineStr">
        <is>
          <t>2025-08-14</t>
        </is>
      </c>
      <c r="C330" s="15" t="inlineStr">
        <is>
          <t>Ramona Nakashima</t>
        </is>
      </c>
      <c r="D330" s="15" t="inlineStr">
        <is>
          <t>SC</t>
        </is>
      </c>
      <c r="E330" s="16" t="n">
        <v>425000</v>
      </c>
      <c r="F330" s="16" t="n">
        <v>7457.55</v>
      </c>
      <c r="G330" s="16" t="n">
        <v>932.1900000000001</v>
      </c>
      <c r="H330" s="16" t="n">
        <v>932.1900000000001</v>
      </c>
      <c r="I330" s="16">
        <f>SUM(K330:T330)</f>
        <v/>
      </c>
      <c r="J330" s="16">
        <f>F330-(G330+H330+I330)</f>
        <v/>
      </c>
      <c r="K330" s="16" t="n">
        <v>559.3200000000001</v>
      </c>
      <c r="L330" s="16" t="n">
        <v>559.3200000000001</v>
      </c>
      <c r="M330" s="16" t="n">
        <v>559.3200000000001</v>
      </c>
      <c r="N330" s="16" t="n">
        <v>559.3200000000001</v>
      </c>
      <c r="O330" s="16" t="n">
        <v>559.3200000000001</v>
      </c>
      <c r="P330" s="16" t="n">
        <v>559.3200000000001</v>
      </c>
      <c r="Q330" s="16" t="n">
        <v>559.3200000000001</v>
      </c>
      <c r="R330" s="16" t="n">
        <v>559.3200000000001</v>
      </c>
      <c r="S330" s="16" t="n">
        <v>559.3200000000001</v>
      </c>
      <c r="T330" s="16" t="n">
        <v>559.3200000000001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CANON-202508-000448</t>
        </is>
      </c>
      <c r="B331" s="3" t="inlineStr">
        <is>
          <t>2025-08-14</t>
        </is>
      </c>
      <c r="C331" s="3" t="inlineStr">
        <is>
          <t>Delphine Fairweather</t>
        </is>
      </c>
      <c r="D331" s="3" t="inlineStr">
        <is>
          <t>VT</t>
        </is>
      </c>
      <c r="E331" s="14" t="n">
        <v>145000</v>
      </c>
      <c r="F331" s="14" t="n">
        <v>3070.72</v>
      </c>
      <c r="G331" s="14" t="n">
        <v>383.84</v>
      </c>
      <c r="H331" s="14" t="n">
        <v>383.84</v>
      </c>
      <c r="I331" s="14">
        <f>SUM(K331:T331)</f>
        <v/>
      </c>
      <c r="J331" s="14">
        <f>F331-(G331+H331+I331)</f>
        <v/>
      </c>
      <c r="K331" s="14" t="n">
        <v>230.3</v>
      </c>
      <c r="L331" s="14" t="n">
        <v>230.3</v>
      </c>
      <c r="M331" s="14" t="n">
        <v>230.3</v>
      </c>
      <c r="N331" s="14" t="n">
        <v>230.3</v>
      </c>
      <c r="O331" s="14" t="n">
        <v>230.3</v>
      </c>
      <c r="P331" s="14" t="n">
        <v>230.3</v>
      </c>
      <c r="Q331" s="14" t="n">
        <v>230.3</v>
      </c>
      <c r="R331" s="14" t="n">
        <v>230.3</v>
      </c>
      <c r="S331" s="14" t="n">
        <v>230.3</v>
      </c>
      <c r="T331" s="14" t="n">
        <v>230.3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CANON-202508-000449</t>
        </is>
      </c>
      <c r="B332" s="15" t="inlineStr">
        <is>
          <t>2025-08-13</t>
        </is>
      </c>
      <c r="C332" s="15" t="inlineStr">
        <is>
          <t>Emiliano Blackwood</t>
        </is>
      </c>
      <c r="D332" s="15" t="inlineStr">
        <is>
          <t>CT</t>
        </is>
      </c>
      <c r="E332" s="16" t="n">
        <v>665000</v>
      </c>
      <c r="F332" s="16" t="n">
        <v>9134.34</v>
      </c>
      <c r="G332" s="16" t="n">
        <v>1141.79</v>
      </c>
      <c r="H332" s="16" t="n">
        <v>1141.79</v>
      </c>
      <c r="I332" s="16">
        <f>SUM(K332:T332)</f>
        <v/>
      </c>
      <c r="J332" s="16">
        <f>F332-(G332+H332+I332)</f>
        <v/>
      </c>
      <c r="K332" s="16" t="n">
        <v>685.08</v>
      </c>
      <c r="L332" s="16" t="n">
        <v>685.08</v>
      </c>
      <c r="M332" s="16" t="n">
        <v>685.08</v>
      </c>
      <c r="N332" s="16" t="n">
        <v>685.08</v>
      </c>
      <c r="O332" s="16" t="n">
        <v>685.08</v>
      </c>
      <c r="P332" s="16" t="n">
        <v>685.08</v>
      </c>
      <c r="Q332" s="16" t="n">
        <v>685.08</v>
      </c>
      <c r="R332" s="16" t="n">
        <v>685.08</v>
      </c>
      <c r="S332" s="16" t="n">
        <v>685.08</v>
      </c>
      <c r="T332" s="16" t="n">
        <v>685.08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CANON-202508-000450</t>
        </is>
      </c>
      <c r="B333" s="3" t="inlineStr">
        <is>
          <t>2025-08-18</t>
        </is>
      </c>
      <c r="C333" s="3" t="inlineStr">
        <is>
          <t>Fenwick Fairweather</t>
        </is>
      </c>
      <c r="D333" s="3" t="inlineStr">
        <is>
          <t>MN</t>
        </is>
      </c>
      <c r="E333" s="14" t="n">
        <v>630000</v>
      </c>
      <c r="F333" s="14" t="n">
        <v>14906.04</v>
      </c>
      <c r="G333" s="14" t="n">
        <v>1863.26</v>
      </c>
      <c r="H333" s="14" t="n">
        <v>1863.26</v>
      </c>
      <c r="I333" s="14">
        <f>SUM(K333:T333)</f>
        <v/>
      </c>
      <c r="J333" s="14">
        <f>F333-(G333+H333+I333)</f>
        <v/>
      </c>
      <c r="K333" s="14" t="n">
        <v>1117.95</v>
      </c>
      <c r="L333" s="14" t="n">
        <v>1117.95</v>
      </c>
      <c r="M333" s="14" t="n">
        <v>1117.95</v>
      </c>
      <c r="N333" s="14" t="n">
        <v>1117.95</v>
      </c>
      <c r="O333" s="14" t="n">
        <v>1117.95</v>
      </c>
      <c r="P333" s="14" t="n">
        <v>1117.95</v>
      </c>
      <c r="Q333" s="14" t="n">
        <v>1117.95</v>
      </c>
      <c r="R333" s="14" t="n">
        <v>1117.95</v>
      </c>
      <c r="S333" s="14" t="n">
        <v>1117.95</v>
      </c>
      <c r="T333" s="14" t="n">
        <v>1117.95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CANON-202508-000452</t>
        </is>
      </c>
      <c r="B334" s="15" t="inlineStr">
        <is>
          <t>2025-08-17</t>
        </is>
      </c>
      <c r="C334" s="15" t="inlineStr">
        <is>
          <t>Ottilie Merriweather</t>
        </is>
      </c>
      <c r="D334" s="15" t="inlineStr">
        <is>
          <t>IL</t>
        </is>
      </c>
      <c r="E334" s="16" t="n">
        <v>1070000</v>
      </c>
      <c r="F334" s="16" t="n">
        <v>18670.49</v>
      </c>
      <c r="G334" s="16" t="n">
        <v>2333.81</v>
      </c>
      <c r="H334" s="16" t="n">
        <v>2333.81</v>
      </c>
      <c r="I334" s="16">
        <f>SUM(K334:T334)</f>
        <v/>
      </c>
      <c r="J334" s="16">
        <f>F334-(G334+H334+I334)</f>
        <v/>
      </c>
      <c r="K334" s="16" t="n">
        <v>1400.29</v>
      </c>
      <c r="L334" s="16" t="n">
        <v>1400.29</v>
      </c>
      <c r="M334" s="16" t="n">
        <v>1400.29</v>
      </c>
      <c r="N334" s="16" t="n">
        <v>1400.29</v>
      </c>
      <c r="O334" s="16" t="n">
        <v>1400.29</v>
      </c>
      <c r="P334" s="16" t="n">
        <v>1400.29</v>
      </c>
      <c r="Q334" s="16" t="n">
        <v>1400.29</v>
      </c>
      <c r="R334" s="16" t="n">
        <v>1400.29</v>
      </c>
      <c r="S334" s="16" t="n">
        <v>1400.29</v>
      </c>
      <c r="T334" s="16" t="n">
        <v>1400.29</v>
      </c>
      <c r="U334" s="16" t="n">
        <v>350</v>
      </c>
      <c r="V334" s="16" t="n">
        <v>250</v>
      </c>
      <c r="W334" s="16">
        <f>U334+V334</f>
        <v/>
      </c>
    </row>
    <row r="335">
      <c r="A335" s="3" t="inlineStr">
        <is>
          <t>CANON-202508-000454</t>
        </is>
      </c>
      <c r="B335" s="3" t="inlineStr">
        <is>
          <t>2025-08-14</t>
        </is>
      </c>
      <c r="C335" s="3" t="inlineStr">
        <is>
          <t>Emiliano Vandermeer</t>
        </is>
      </c>
      <c r="D335" s="3" t="inlineStr">
        <is>
          <t>TX</t>
        </is>
      </c>
      <c r="E335" s="14" t="n">
        <v>605000</v>
      </c>
      <c r="F335" s="14" t="n">
        <v>8532.780000000001</v>
      </c>
      <c r="G335" s="14" t="n">
        <v>1066.6</v>
      </c>
      <c r="H335" s="14" t="n">
        <v>1066.6</v>
      </c>
      <c r="I335" s="14">
        <f>SUM(K335:T335)</f>
        <v/>
      </c>
      <c r="J335" s="14">
        <f>F335-(G335+H335+I335)</f>
        <v/>
      </c>
      <c r="K335" s="14" t="n">
        <v>639.96</v>
      </c>
      <c r="L335" s="14" t="n">
        <v>639.96</v>
      </c>
      <c r="M335" s="14" t="n">
        <v>639.96</v>
      </c>
      <c r="N335" s="14" t="n">
        <v>639.96</v>
      </c>
      <c r="O335" s="14" t="n">
        <v>639.96</v>
      </c>
      <c r="P335" s="14" t="n">
        <v>639.96</v>
      </c>
      <c r="Q335" s="14" t="n">
        <v>639.96</v>
      </c>
      <c r="R335" s="14" t="n">
        <v>639.96</v>
      </c>
      <c r="S335" s="14" t="n">
        <v>639.96</v>
      </c>
      <c r="T335" s="14" t="n">
        <v>639.96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CANON-202508-000457</t>
        </is>
      </c>
      <c r="B336" s="15" t="inlineStr">
        <is>
          <t>2025-08-11</t>
        </is>
      </c>
      <c r="C336" s="15" t="inlineStr">
        <is>
          <t>Aurelio Whitlock</t>
        </is>
      </c>
      <c r="D336" s="15" t="inlineStr">
        <is>
          <t>MO</t>
        </is>
      </c>
      <c r="E336" s="16" t="n">
        <v>685000</v>
      </c>
      <c r="F336" s="16" t="n">
        <v>8905</v>
      </c>
      <c r="G336" s="16" t="n">
        <v>1113.12</v>
      </c>
      <c r="H336" s="16" t="n">
        <v>1113.12</v>
      </c>
      <c r="I336" s="16">
        <f>SUM(K336:T336)</f>
        <v/>
      </c>
      <c r="J336" s="16">
        <f>F336-(G336+H336+I336)</f>
        <v/>
      </c>
      <c r="K336" s="16" t="n">
        <v>667.88</v>
      </c>
      <c r="L336" s="16" t="n">
        <v>667.88</v>
      </c>
      <c r="M336" s="16" t="n">
        <v>667.88</v>
      </c>
      <c r="N336" s="16" t="n">
        <v>667.88</v>
      </c>
      <c r="O336" s="16" t="n">
        <v>667.88</v>
      </c>
      <c r="P336" s="16" t="n">
        <v>667.88</v>
      </c>
      <c r="Q336" s="16" t="n">
        <v>667.88</v>
      </c>
      <c r="R336" s="16" t="n">
        <v>667.88</v>
      </c>
      <c r="S336" s="16" t="n">
        <v>667.88</v>
      </c>
      <c r="T336" s="16" t="n">
        <v>667.88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CANON-202508-000458</t>
        </is>
      </c>
      <c r="B337" s="3" t="inlineStr">
        <is>
          <t>2025-08-09</t>
        </is>
      </c>
      <c r="C337" s="3" t="inlineStr">
        <is>
          <t>Desmond Thistlewood</t>
        </is>
      </c>
      <c r="D337" s="3" t="inlineStr">
        <is>
          <t>TX</t>
        </is>
      </c>
      <c r="E337" s="14" t="n">
        <v>1840000</v>
      </c>
      <c r="F337" s="14" t="n">
        <v>31939.62</v>
      </c>
      <c r="G337" s="14" t="n">
        <v>3992.45</v>
      </c>
      <c r="H337" s="14" t="n">
        <v>3992.45</v>
      </c>
      <c r="I337" s="14">
        <f>SUM(K337:T337)</f>
        <v/>
      </c>
      <c r="J337" s="14">
        <f>F337-(G337+H337+I337)</f>
        <v/>
      </c>
      <c r="K337" s="14" t="n">
        <v>2395.47</v>
      </c>
      <c r="L337" s="14" t="n">
        <v>2395.47</v>
      </c>
      <c r="M337" s="14" t="n">
        <v>2395.47</v>
      </c>
      <c r="N337" s="14" t="n">
        <v>2395.47</v>
      </c>
      <c r="O337" s="14" t="n">
        <v>2395.47</v>
      </c>
      <c r="P337" s="14" t="n">
        <v>2395.47</v>
      </c>
      <c r="Q337" s="14" t="n">
        <v>2395.47</v>
      </c>
      <c r="R337" s="14" t="n">
        <v>2395.47</v>
      </c>
      <c r="S337" s="14" t="n">
        <v>2395.47</v>
      </c>
      <c r="T337" s="14" t="n">
        <v>2395.47</v>
      </c>
      <c r="U337" s="14" t="n">
        <v>350</v>
      </c>
      <c r="V337" s="14" t="n">
        <v>250</v>
      </c>
      <c r="W337" s="14">
        <f>U337+V337</f>
        <v/>
      </c>
    </row>
    <row r="338">
      <c r="A338" s="15" t="inlineStr">
        <is>
          <t>CANON-202508-000460</t>
        </is>
      </c>
      <c r="B338" s="15" t="inlineStr">
        <is>
          <t>2025-08-11</t>
        </is>
      </c>
      <c r="C338" s="15" t="inlineStr">
        <is>
          <t>Mireille Thistlewood</t>
        </is>
      </c>
      <c r="D338" s="15" t="inlineStr">
        <is>
          <t>SD</t>
        </is>
      </c>
      <c r="E338" s="16" t="n">
        <v>440000</v>
      </c>
      <c r="F338" s="16" t="n">
        <v>6911.32</v>
      </c>
      <c r="G338" s="16" t="n">
        <v>863.91</v>
      </c>
      <c r="H338" s="16" t="n">
        <v>863.91</v>
      </c>
      <c r="I338" s="16">
        <f>SUM(K338:T338)</f>
        <v/>
      </c>
      <c r="J338" s="16">
        <f>F338-(G338+H338+I338)</f>
        <v/>
      </c>
      <c r="K338" s="16" t="n">
        <v>518.35</v>
      </c>
      <c r="L338" s="16" t="n">
        <v>518.35</v>
      </c>
      <c r="M338" s="16" t="n">
        <v>518.35</v>
      </c>
      <c r="N338" s="16" t="n">
        <v>518.35</v>
      </c>
      <c r="O338" s="16" t="n">
        <v>518.35</v>
      </c>
      <c r="P338" s="16" t="n">
        <v>518.35</v>
      </c>
      <c r="Q338" s="16" t="n">
        <v>518.35</v>
      </c>
      <c r="R338" s="16" t="n">
        <v>518.35</v>
      </c>
      <c r="S338" s="16" t="n">
        <v>518.35</v>
      </c>
      <c r="T338" s="16" t="n">
        <v>518.35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CANON-202508-000461</t>
        </is>
      </c>
      <c r="B339" s="3" t="inlineStr">
        <is>
          <t>2025-08-08</t>
        </is>
      </c>
      <c r="C339" s="3" t="inlineStr">
        <is>
          <t>Fitzgerald Vasquez</t>
        </is>
      </c>
      <c r="D339" s="3" t="inlineStr">
        <is>
          <t>NJ</t>
        </is>
      </c>
      <c r="E339" s="14" t="n">
        <v>415000</v>
      </c>
      <c r="F339" s="14" t="n">
        <v>5344.1</v>
      </c>
      <c r="G339" s="14" t="n">
        <v>668.01</v>
      </c>
      <c r="H339" s="14" t="n">
        <v>668.01</v>
      </c>
      <c r="I339" s="14">
        <f>SUM(K339:T339)</f>
        <v/>
      </c>
      <c r="J339" s="14">
        <f>F339-(G339+H339+I339)</f>
        <v/>
      </c>
      <c r="K339" s="14" t="n">
        <v>400.81</v>
      </c>
      <c r="L339" s="14" t="n">
        <v>400.81</v>
      </c>
      <c r="M339" s="14" t="n">
        <v>400.81</v>
      </c>
      <c r="N339" s="14" t="n">
        <v>400.81</v>
      </c>
      <c r="O339" s="14" t="n">
        <v>400.81</v>
      </c>
      <c r="P339" s="14" t="n">
        <v>400.81</v>
      </c>
      <c r="Q339" s="14" t="n">
        <v>400.81</v>
      </c>
      <c r="R339" s="14" t="n">
        <v>400.81</v>
      </c>
      <c r="S339" s="14" t="n">
        <v>400.81</v>
      </c>
      <c r="T339" s="14" t="n">
        <v>400.81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CANON-202508-000462</t>
        </is>
      </c>
      <c r="B340" s="15" t="inlineStr">
        <is>
          <t>2025-08-26</t>
        </is>
      </c>
      <c r="C340" s="15" t="inlineStr">
        <is>
          <t>Anouk Ashcombe</t>
        </is>
      </c>
      <c r="D340" s="15" t="inlineStr">
        <is>
          <t>FL</t>
        </is>
      </c>
      <c r="E340" s="16" t="n">
        <v>730000</v>
      </c>
      <c r="F340" s="16" t="n">
        <v>8410.15</v>
      </c>
      <c r="G340" s="16" t="n">
        <v>1051.27</v>
      </c>
      <c r="H340" s="16" t="n">
        <v>1051.27</v>
      </c>
      <c r="I340" s="16">
        <f>SUM(K340:T340)</f>
        <v/>
      </c>
      <c r="J340" s="16">
        <f>F340-(G340+H340+I340)</f>
        <v/>
      </c>
      <c r="K340" s="16" t="n">
        <v>630.76</v>
      </c>
      <c r="L340" s="16" t="n">
        <v>630.76</v>
      </c>
      <c r="M340" s="16" t="n">
        <v>630.76</v>
      </c>
      <c r="N340" s="16" t="n">
        <v>630.76</v>
      </c>
      <c r="O340" s="16" t="n">
        <v>630.76</v>
      </c>
      <c r="P340" s="16" t="n">
        <v>630.76</v>
      </c>
      <c r="Q340" s="16" t="n">
        <v>630.76</v>
      </c>
      <c r="R340" s="16" t="n">
        <v>630.76</v>
      </c>
      <c r="S340" s="16" t="n">
        <v>630.76</v>
      </c>
      <c r="T340" s="16" t="n">
        <v>630.76</v>
      </c>
      <c r="U340" s="16" t="n">
        <v>350</v>
      </c>
      <c r="V340" s="16" t="n">
        <v>0</v>
      </c>
      <c r="W340" s="16">
        <f>U340+V340</f>
        <v/>
      </c>
    </row>
    <row r="341">
      <c r="A341" s="3" t="inlineStr">
        <is>
          <t>CANON-202508-000463</t>
        </is>
      </c>
      <c r="B341" s="3" t="inlineStr">
        <is>
          <t>2025-08-22</t>
        </is>
      </c>
      <c r="C341" s="3" t="inlineStr">
        <is>
          <t>Cassius Blackwood</t>
        </is>
      </c>
      <c r="D341" s="3" t="inlineStr">
        <is>
          <t>TX</t>
        </is>
      </c>
      <c r="E341" s="14" t="n">
        <v>265000</v>
      </c>
      <c r="F341" s="14" t="n">
        <v>6612.5</v>
      </c>
      <c r="G341" s="14" t="n">
        <v>826.5599999999999</v>
      </c>
      <c r="H341" s="14" t="n">
        <v>826.5599999999999</v>
      </c>
      <c r="I341" s="14">
        <f>SUM(K341:T341)</f>
        <v/>
      </c>
      <c r="J341" s="14">
        <f>F341-(G341+H341+I341)</f>
        <v/>
      </c>
      <c r="K341" s="14" t="n">
        <v>495.94</v>
      </c>
      <c r="L341" s="14" t="n">
        <v>495.94</v>
      </c>
      <c r="M341" s="14" t="n">
        <v>495.94</v>
      </c>
      <c r="N341" s="14" t="n">
        <v>495.94</v>
      </c>
      <c r="O341" s="14" t="n">
        <v>495.94</v>
      </c>
      <c r="P341" s="14" t="n">
        <v>495.94</v>
      </c>
      <c r="Q341" s="14" t="n">
        <v>495.94</v>
      </c>
      <c r="R341" s="14" t="n">
        <v>495.94</v>
      </c>
      <c r="S341" s="14" t="n">
        <v>495.94</v>
      </c>
      <c r="T341" s="14" t="n">
        <v>495.94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CANON-202508-000464</t>
        </is>
      </c>
      <c r="B342" s="15" t="inlineStr">
        <is>
          <t>2025-08-22</t>
        </is>
      </c>
      <c r="C342" s="15" t="inlineStr">
        <is>
          <t>Cassius Vasquez</t>
        </is>
      </c>
      <c r="D342" s="15" t="inlineStr">
        <is>
          <t>AZ</t>
        </is>
      </c>
      <c r="E342" s="16" t="n">
        <v>735000</v>
      </c>
      <c r="F342" s="16" t="n">
        <v>9104.290000000001</v>
      </c>
      <c r="G342" s="16" t="n">
        <v>1138.04</v>
      </c>
      <c r="H342" s="16" t="n">
        <v>1138.04</v>
      </c>
      <c r="I342" s="16">
        <f>SUM(K342:T342)</f>
        <v/>
      </c>
      <c r="J342" s="16">
        <f>F342-(G342+H342+I342)</f>
        <v/>
      </c>
      <c r="K342" s="16" t="n">
        <v>682.8200000000001</v>
      </c>
      <c r="L342" s="16" t="n">
        <v>682.8200000000001</v>
      </c>
      <c r="M342" s="16" t="n">
        <v>682.8200000000001</v>
      </c>
      <c r="N342" s="16" t="n">
        <v>682.8200000000001</v>
      </c>
      <c r="O342" s="16" t="n">
        <v>682.8200000000001</v>
      </c>
      <c r="P342" s="16" t="n">
        <v>682.8200000000001</v>
      </c>
      <c r="Q342" s="16" t="n">
        <v>682.8200000000001</v>
      </c>
      <c r="R342" s="16" t="n">
        <v>682.8200000000001</v>
      </c>
      <c r="S342" s="16" t="n">
        <v>682.8200000000001</v>
      </c>
      <c r="T342" s="16" t="n">
        <v>682.8200000000001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CANON-202508-000465</t>
        </is>
      </c>
      <c r="B343" s="3" t="inlineStr">
        <is>
          <t>2025-08-26</t>
        </is>
      </c>
      <c r="C343" s="3" t="inlineStr">
        <is>
          <t>Thaddeus Chattopadhyay</t>
        </is>
      </c>
      <c r="D343" s="3" t="inlineStr">
        <is>
          <t>CT</t>
        </is>
      </c>
      <c r="E343" s="14" t="n">
        <v>295000</v>
      </c>
      <c r="F343" s="14" t="n">
        <v>4675.47</v>
      </c>
      <c r="G343" s="14" t="n">
        <v>584.4299999999999</v>
      </c>
      <c r="H343" s="14" t="n">
        <v>584.4299999999999</v>
      </c>
      <c r="I343" s="14">
        <f>SUM(K343:T343)</f>
        <v/>
      </c>
      <c r="J343" s="14">
        <f>F343-(G343+H343+I343)</f>
        <v/>
      </c>
      <c r="K343" s="14" t="n">
        <v>350.66</v>
      </c>
      <c r="L343" s="14" t="n">
        <v>350.66</v>
      </c>
      <c r="M343" s="14" t="n">
        <v>350.66</v>
      </c>
      <c r="N343" s="14" t="n">
        <v>350.66</v>
      </c>
      <c r="O343" s="14" t="n">
        <v>350.66</v>
      </c>
      <c r="P343" s="14" t="n">
        <v>350.66</v>
      </c>
      <c r="Q343" s="14" t="n">
        <v>350.66</v>
      </c>
      <c r="R343" s="14" t="n">
        <v>350.66</v>
      </c>
      <c r="S343" s="14" t="n">
        <v>350.66</v>
      </c>
      <c r="T343" s="14" t="n">
        <v>350.66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CANON-202508-000466</t>
        </is>
      </c>
      <c r="B344" s="15" t="inlineStr">
        <is>
          <t>2025-08-23</t>
        </is>
      </c>
      <c r="C344" s="15" t="inlineStr">
        <is>
          <t>Cassius Underwood</t>
        </is>
      </c>
      <c r="D344" s="15" t="inlineStr">
        <is>
          <t>NM</t>
        </is>
      </c>
      <c r="E344" s="16" t="n">
        <v>455000</v>
      </c>
      <c r="F344" s="16" t="n">
        <v>8241.51</v>
      </c>
      <c r="G344" s="16" t="n">
        <v>1030.19</v>
      </c>
      <c r="H344" s="16" t="n">
        <v>1030.19</v>
      </c>
      <c r="I344" s="16">
        <f>SUM(K344:T344)</f>
        <v/>
      </c>
      <c r="J344" s="16">
        <f>F344-(G344+H344+I344)</f>
        <v/>
      </c>
      <c r="K344" s="16" t="n">
        <v>618.11</v>
      </c>
      <c r="L344" s="16" t="n">
        <v>618.11</v>
      </c>
      <c r="M344" s="16" t="n">
        <v>618.11</v>
      </c>
      <c r="N344" s="16" t="n">
        <v>618.11</v>
      </c>
      <c r="O344" s="16" t="n">
        <v>618.11</v>
      </c>
      <c r="P344" s="16" t="n">
        <v>618.11</v>
      </c>
      <c r="Q344" s="16" t="n">
        <v>618.11</v>
      </c>
      <c r="R344" s="16" t="n">
        <v>618.11</v>
      </c>
      <c r="S344" s="16" t="n">
        <v>618.11</v>
      </c>
      <c r="T344" s="16" t="n">
        <v>618.11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CANON-202508-000467</t>
        </is>
      </c>
      <c r="B345" s="3" t="inlineStr">
        <is>
          <t>2025-08-19</t>
        </is>
      </c>
      <c r="C345" s="3" t="inlineStr">
        <is>
          <t>Ingrid Kingsford</t>
        </is>
      </c>
      <c r="D345" s="3" t="inlineStr">
        <is>
          <t>NE</t>
        </is>
      </c>
      <c r="E345" s="14" t="n">
        <v>430000</v>
      </c>
      <c r="F345" s="14" t="n">
        <v>12129.25</v>
      </c>
      <c r="G345" s="14" t="n">
        <v>1516.16</v>
      </c>
      <c r="H345" s="14" t="n">
        <v>1516.16</v>
      </c>
      <c r="I345" s="14">
        <f>SUM(K345:T345)</f>
        <v/>
      </c>
      <c r="J345" s="14">
        <f>F345-(G345+H345+I345)</f>
        <v/>
      </c>
      <c r="K345" s="14" t="n">
        <v>909.6900000000001</v>
      </c>
      <c r="L345" s="14" t="n">
        <v>909.6900000000001</v>
      </c>
      <c r="M345" s="14" t="n">
        <v>909.6900000000001</v>
      </c>
      <c r="N345" s="14" t="n">
        <v>909.6900000000001</v>
      </c>
      <c r="O345" s="14" t="n">
        <v>909.6900000000001</v>
      </c>
      <c r="P345" s="14" t="n">
        <v>909.6900000000001</v>
      </c>
      <c r="Q345" s="14" t="n">
        <v>909.6900000000001</v>
      </c>
      <c r="R345" s="14" t="n">
        <v>909.6900000000001</v>
      </c>
      <c r="S345" s="14" t="n">
        <v>909.6900000000001</v>
      </c>
      <c r="T345" s="14" t="n">
        <v>909.6900000000001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CANON-202508-000471</t>
        </is>
      </c>
      <c r="B346" s="15" t="inlineStr">
        <is>
          <t>2025-08-30</t>
        </is>
      </c>
      <c r="C346" s="15" t="inlineStr">
        <is>
          <t>Emiliano Castellanos</t>
        </is>
      </c>
      <c r="D346" s="15" t="inlineStr">
        <is>
          <t>AL</t>
        </is>
      </c>
      <c r="E346" s="16" t="n">
        <v>915000</v>
      </c>
      <c r="F346" s="16" t="n">
        <v>20829.2</v>
      </c>
      <c r="G346" s="16" t="n">
        <v>2603.65</v>
      </c>
      <c r="H346" s="16" t="n">
        <v>2603.65</v>
      </c>
      <c r="I346" s="16">
        <f>SUM(K346:T346)</f>
        <v/>
      </c>
      <c r="J346" s="16">
        <f>F346-(G346+H346+I346)</f>
        <v/>
      </c>
      <c r="K346" s="16" t="n">
        <v>1562.19</v>
      </c>
      <c r="L346" s="16" t="n">
        <v>1562.19</v>
      </c>
      <c r="M346" s="16" t="n">
        <v>1562.19</v>
      </c>
      <c r="N346" s="16" t="n">
        <v>1562.19</v>
      </c>
      <c r="O346" s="16" t="n">
        <v>1562.19</v>
      </c>
      <c r="P346" s="16" t="n">
        <v>1562.19</v>
      </c>
      <c r="Q346" s="16" t="n">
        <v>1562.19</v>
      </c>
      <c r="R346" s="16" t="n">
        <v>1562.19</v>
      </c>
      <c r="S346" s="16" t="n">
        <v>1562.19</v>
      </c>
      <c r="T346" s="16" t="n">
        <v>1562.19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CANON-202508-000472</t>
        </is>
      </c>
      <c r="B347" s="3" t="inlineStr">
        <is>
          <t>2025-08-22</t>
        </is>
      </c>
      <c r="C347" s="3" t="inlineStr">
        <is>
          <t>Ingrid Farkas</t>
        </is>
      </c>
      <c r="D347" s="3" t="inlineStr">
        <is>
          <t>TN</t>
        </is>
      </c>
      <c r="E347" s="14" t="n">
        <v>825000</v>
      </c>
      <c r="F347" s="14" t="n">
        <v>14491.98</v>
      </c>
      <c r="G347" s="14" t="n">
        <v>1811.5</v>
      </c>
      <c r="H347" s="14" t="n">
        <v>1811.5</v>
      </c>
      <c r="I347" s="14">
        <f>SUM(K347:T347)</f>
        <v/>
      </c>
      <c r="J347" s="14">
        <f>F347-(G347+H347+I347)</f>
        <v/>
      </c>
      <c r="K347" s="14" t="n">
        <v>1086.9</v>
      </c>
      <c r="L347" s="14" t="n">
        <v>1086.9</v>
      </c>
      <c r="M347" s="14" t="n">
        <v>1086.9</v>
      </c>
      <c r="N347" s="14" t="n">
        <v>1086.9</v>
      </c>
      <c r="O347" s="14" t="n">
        <v>1086.9</v>
      </c>
      <c r="P347" s="14" t="n">
        <v>1086.9</v>
      </c>
      <c r="Q347" s="14" t="n">
        <v>1086.9</v>
      </c>
      <c r="R347" s="14" t="n">
        <v>1086.9</v>
      </c>
      <c r="S347" s="14" t="n">
        <v>1086.9</v>
      </c>
      <c r="T347" s="14" t="n">
        <v>1086.9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CANON-202508-000474</t>
        </is>
      </c>
      <c r="B348" s="15" t="inlineStr">
        <is>
          <t>2025-08-06</t>
        </is>
      </c>
      <c r="C348" s="15" t="inlineStr">
        <is>
          <t>Fitzgerald Delacroix</t>
        </is>
      </c>
      <c r="D348" s="15" t="inlineStr">
        <is>
          <t>SD</t>
        </is>
      </c>
      <c r="E348" s="16" t="n">
        <v>470000</v>
      </c>
      <c r="F348" s="16" t="n">
        <v>7382.55</v>
      </c>
      <c r="G348" s="16" t="n">
        <v>922.8200000000001</v>
      </c>
      <c r="H348" s="16" t="n">
        <v>922.8200000000001</v>
      </c>
      <c r="I348" s="16">
        <f>SUM(K348:T348)</f>
        <v/>
      </c>
      <c r="J348" s="16">
        <f>F348-(G348+H348+I348)</f>
        <v/>
      </c>
      <c r="K348" s="16" t="n">
        <v>553.6900000000001</v>
      </c>
      <c r="L348" s="16" t="n">
        <v>553.6900000000001</v>
      </c>
      <c r="M348" s="16" t="n">
        <v>553.6900000000001</v>
      </c>
      <c r="N348" s="16" t="n">
        <v>553.6900000000001</v>
      </c>
      <c r="O348" s="16" t="n">
        <v>553.6900000000001</v>
      </c>
      <c r="P348" s="16" t="n">
        <v>553.6900000000001</v>
      </c>
      <c r="Q348" s="16" t="n">
        <v>553.6900000000001</v>
      </c>
      <c r="R348" s="16" t="n">
        <v>553.6900000000001</v>
      </c>
      <c r="S348" s="16" t="n">
        <v>553.6900000000001</v>
      </c>
      <c r="T348" s="16" t="n">
        <v>553.6900000000001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CANON-202508-000475</t>
        </is>
      </c>
      <c r="B349" s="3" t="inlineStr">
        <is>
          <t>2025-08-08</t>
        </is>
      </c>
      <c r="C349" s="3" t="inlineStr">
        <is>
          <t>Saoirse Whitlock</t>
        </is>
      </c>
      <c r="D349" s="3" t="inlineStr">
        <is>
          <t>AK</t>
        </is>
      </c>
      <c r="E349" s="14" t="n">
        <v>765000</v>
      </c>
      <c r="F349" s="14" t="n">
        <v>10695.57</v>
      </c>
      <c r="G349" s="14" t="n">
        <v>1336.95</v>
      </c>
      <c r="H349" s="14" t="n">
        <v>1336.95</v>
      </c>
      <c r="I349" s="14">
        <f>SUM(K349:T349)</f>
        <v/>
      </c>
      <c r="J349" s="14">
        <f>F349-(G349+H349+I349)</f>
        <v/>
      </c>
      <c r="K349" s="14" t="n">
        <v>802.17</v>
      </c>
      <c r="L349" s="14" t="n">
        <v>802.17</v>
      </c>
      <c r="M349" s="14" t="n">
        <v>802.17</v>
      </c>
      <c r="N349" s="14" t="n">
        <v>802.17</v>
      </c>
      <c r="O349" s="14" t="n">
        <v>802.17</v>
      </c>
      <c r="P349" s="14" t="n">
        <v>802.17</v>
      </c>
      <c r="Q349" s="14" t="n">
        <v>802.17</v>
      </c>
      <c r="R349" s="14" t="n">
        <v>802.17</v>
      </c>
      <c r="S349" s="14" t="n">
        <v>802.17</v>
      </c>
      <c r="T349" s="14" t="n">
        <v>802.17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CANON-202508-000476</t>
        </is>
      </c>
      <c r="B350" s="15" t="inlineStr">
        <is>
          <t>2025-08-27</t>
        </is>
      </c>
      <c r="C350" s="15" t="inlineStr">
        <is>
          <t>Lorenzo Merriweather</t>
        </is>
      </c>
      <c r="D350" s="15" t="inlineStr">
        <is>
          <t>NY</t>
        </is>
      </c>
      <c r="E350" s="16" t="n">
        <v>1575000</v>
      </c>
      <c r="F350" s="16" t="n">
        <v>30430.19</v>
      </c>
      <c r="G350" s="16" t="n">
        <v>3803.77</v>
      </c>
      <c r="H350" s="16" t="n">
        <v>3803.77</v>
      </c>
      <c r="I350" s="16">
        <f>SUM(K350:T350)</f>
        <v/>
      </c>
      <c r="J350" s="16">
        <f>F350-(G350+H350+I350)</f>
        <v/>
      </c>
      <c r="K350" s="16" t="n">
        <v>2282.26</v>
      </c>
      <c r="L350" s="16" t="n">
        <v>2282.26</v>
      </c>
      <c r="M350" s="16" t="n">
        <v>2282.26</v>
      </c>
      <c r="N350" s="16" t="n">
        <v>2282.26</v>
      </c>
      <c r="O350" s="16" t="n">
        <v>2282.26</v>
      </c>
      <c r="P350" s="16" t="n">
        <v>2282.26</v>
      </c>
      <c r="Q350" s="16" t="n">
        <v>2282.26</v>
      </c>
      <c r="R350" s="16" t="n">
        <v>2282.26</v>
      </c>
      <c r="S350" s="16" t="n">
        <v>2282.26</v>
      </c>
      <c r="T350" s="16" t="n">
        <v>2282.26</v>
      </c>
      <c r="U350" s="16" t="n">
        <v>350</v>
      </c>
      <c r="V350" s="16" t="n">
        <v>250</v>
      </c>
      <c r="W350" s="16">
        <f>U350+V350</f>
        <v/>
      </c>
    </row>
    <row r="351">
      <c r="A351" s="3" t="inlineStr">
        <is>
          <t>CANON-202508-000478</t>
        </is>
      </c>
      <c r="B351" s="3" t="inlineStr">
        <is>
          <t>2025-08-14</t>
        </is>
      </c>
      <c r="C351" s="3" t="inlineStr">
        <is>
          <t>Ramona Larsson</t>
        </is>
      </c>
      <c r="D351" s="3" t="inlineStr">
        <is>
          <t>CA</t>
        </is>
      </c>
      <c r="E351" s="14" t="n">
        <v>410000</v>
      </c>
      <c r="F351" s="14" t="n">
        <v>12009.91</v>
      </c>
      <c r="G351" s="14" t="n">
        <v>1501.24</v>
      </c>
      <c r="H351" s="14" t="n">
        <v>1501.24</v>
      </c>
      <c r="I351" s="14">
        <f>SUM(K351:T351)</f>
        <v/>
      </c>
      <c r="J351" s="14">
        <f>F351-(G351+H351+I351)</f>
        <v/>
      </c>
      <c r="K351" s="14" t="n">
        <v>900.74</v>
      </c>
      <c r="L351" s="14" t="n">
        <v>900.74</v>
      </c>
      <c r="M351" s="14" t="n">
        <v>900.74</v>
      </c>
      <c r="N351" s="14" t="n">
        <v>900.74</v>
      </c>
      <c r="O351" s="14" t="n">
        <v>900.74</v>
      </c>
      <c r="P351" s="14" t="n">
        <v>900.74</v>
      </c>
      <c r="Q351" s="14" t="n">
        <v>900.74</v>
      </c>
      <c r="R351" s="14" t="n">
        <v>900.74</v>
      </c>
      <c r="S351" s="14" t="n">
        <v>900.74</v>
      </c>
      <c r="T351" s="14" t="n">
        <v>900.74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CANON-202508-000479</t>
        </is>
      </c>
      <c r="B352" s="15" t="inlineStr">
        <is>
          <t>2025-08-22</t>
        </is>
      </c>
      <c r="C352" s="15" t="inlineStr">
        <is>
          <t>Everett Nakashima</t>
        </is>
      </c>
      <c r="D352" s="15" t="inlineStr">
        <is>
          <t>NE</t>
        </is>
      </c>
      <c r="E352" s="16" t="n">
        <v>455000</v>
      </c>
      <c r="F352" s="16" t="n">
        <v>12834.43</v>
      </c>
      <c r="G352" s="16" t="n">
        <v>1604.3</v>
      </c>
      <c r="H352" s="16" t="n">
        <v>1604.3</v>
      </c>
      <c r="I352" s="16">
        <f>SUM(K352:T352)</f>
        <v/>
      </c>
      <c r="J352" s="16">
        <f>F352-(G352+H352+I352)</f>
        <v/>
      </c>
      <c r="K352" s="16" t="n">
        <v>962.58</v>
      </c>
      <c r="L352" s="16" t="n">
        <v>962.58</v>
      </c>
      <c r="M352" s="16" t="n">
        <v>962.58</v>
      </c>
      <c r="N352" s="16" t="n">
        <v>962.58</v>
      </c>
      <c r="O352" s="16" t="n">
        <v>962.58</v>
      </c>
      <c r="P352" s="16" t="n">
        <v>962.58</v>
      </c>
      <c r="Q352" s="16" t="n">
        <v>962.58</v>
      </c>
      <c r="R352" s="16" t="n">
        <v>962.58</v>
      </c>
      <c r="S352" s="16" t="n">
        <v>962.58</v>
      </c>
      <c r="T352" s="16" t="n">
        <v>962.58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CANON-202508-000480</t>
        </is>
      </c>
      <c r="B353" s="3" t="inlineStr">
        <is>
          <t>2025-08-16</t>
        </is>
      </c>
      <c r="C353" s="3" t="inlineStr">
        <is>
          <t>Anouk Merriweather</t>
        </is>
      </c>
      <c r="D353" s="3" t="inlineStr">
        <is>
          <t>NV</t>
        </is>
      </c>
      <c r="E353" s="14" t="n">
        <v>730000</v>
      </c>
      <c r="F353" s="14" t="n">
        <v>12569.77</v>
      </c>
      <c r="G353" s="14" t="n">
        <v>1571.22</v>
      </c>
      <c r="H353" s="14" t="n">
        <v>1571.22</v>
      </c>
      <c r="I353" s="14">
        <f>SUM(K353:T353)</f>
        <v/>
      </c>
      <c r="J353" s="14">
        <f>F353-(G353+H353+I353)</f>
        <v/>
      </c>
      <c r="K353" s="14" t="n">
        <v>942.73</v>
      </c>
      <c r="L353" s="14" t="n">
        <v>942.73</v>
      </c>
      <c r="M353" s="14" t="n">
        <v>942.73</v>
      </c>
      <c r="N353" s="14" t="n">
        <v>942.73</v>
      </c>
      <c r="O353" s="14" t="n">
        <v>942.73</v>
      </c>
      <c r="P353" s="14" t="n">
        <v>942.73</v>
      </c>
      <c r="Q353" s="14" t="n">
        <v>942.73</v>
      </c>
      <c r="R353" s="14" t="n">
        <v>942.73</v>
      </c>
      <c r="S353" s="14" t="n">
        <v>942.73</v>
      </c>
      <c r="T353" s="14" t="n">
        <v>942.73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CANON-202508-000481</t>
        </is>
      </c>
      <c r="B354" s="15" t="inlineStr">
        <is>
          <t>2025-08-14</t>
        </is>
      </c>
      <c r="C354" s="15" t="inlineStr">
        <is>
          <t>Delphine Farkas</t>
        </is>
      </c>
      <c r="D354" s="15" t="inlineStr">
        <is>
          <t>CA</t>
        </is>
      </c>
      <c r="E354" s="16" t="n">
        <v>430000</v>
      </c>
      <c r="F354" s="16" t="n">
        <v>8214.620000000001</v>
      </c>
      <c r="G354" s="16" t="n">
        <v>1026.83</v>
      </c>
      <c r="H354" s="16" t="n">
        <v>1026.83</v>
      </c>
      <c r="I354" s="16">
        <f>SUM(K354:T354)</f>
        <v/>
      </c>
      <c r="J354" s="16">
        <f>F354-(G354+H354+I354)</f>
        <v/>
      </c>
      <c r="K354" s="16" t="n">
        <v>616.1</v>
      </c>
      <c r="L354" s="16" t="n">
        <v>616.1</v>
      </c>
      <c r="M354" s="16" t="n">
        <v>616.1</v>
      </c>
      <c r="N354" s="16" t="n">
        <v>616.1</v>
      </c>
      <c r="O354" s="16" t="n">
        <v>616.1</v>
      </c>
      <c r="P354" s="16" t="n">
        <v>616.1</v>
      </c>
      <c r="Q354" s="16" t="n">
        <v>616.1</v>
      </c>
      <c r="R354" s="16" t="n">
        <v>616.1</v>
      </c>
      <c r="S354" s="16" t="n">
        <v>616.1</v>
      </c>
      <c r="T354" s="16" t="n">
        <v>616.1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CANON-202508-000482</t>
        </is>
      </c>
      <c r="B355" s="3" t="inlineStr">
        <is>
          <t>2025-08-02</t>
        </is>
      </c>
      <c r="C355" s="3" t="inlineStr">
        <is>
          <t>Anouk Farkas</t>
        </is>
      </c>
      <c r="D355" s="3" t="inlineStr">
        <is>
          <t>GA</t>
        </is>
      </c>
      <c r="E355" s="14" t="n">
        <v>325000</v>
      </c>
      <c r="F355" s="14" t="n">
        <v>5150.94</v>
      </c>
      <c r="G355" s="14" t="n">
        <v>643.87</v>
      </c>
      <c r="H355" s="14" t="n">
        <v>643.87</v>
      </c>
      <c r="I355" s="14">
        <f>SUM(K355:T355)</f>
        <v/>
      </c>
      <c r="J355" s="14">
        <f>F355-(G355+H355+I355)</f>
        <v/>
      </c>
      <c r="K355" s="14" t="n">
        <v>386.32</v>
      </c>
      <c r="L355" s="14" t="n">
        <v>386.32</v>
      </c>
      <c r="M355" s="14" t="n">
        <v>386.32</v>
      </c>
      <c r="N355" s="14" t="n">
        <v>386.32</v>
      </c>
      <c r="O355" s="14" t="n">
        <v>386.32</v>
      </c>
      <c r="P355" s="14" t="n">
        <v>386.32</v>
      </c>
      <c r="Q355" s="14" t="n">
        <v>386.32</v>
      </c>
      <c r="R355" s="14" t="n">
        <v>386.32</v>
      </c>
      <c r="S355" s="14" t="n">
        <v>386.32</v>
      </c>
      <c r="T355" s="14" t="n">
        <v>386.32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CANON-202508-000485</t>
        </is>
      </c>
      <c r="B356" s="15" t="inlineStr">
        <is>
          <t>2025-08-12</t>
        </is>
      </c>
      <c r="C356" s="15" t="inlineStr">
        <is>
          <t>Sunniva Harrington</t>
        </is>
      </c>
      <c r="D356" s="15" t="inlineStr">
        <is>
          <t>CA</t>
        </is>
      </c>
      <c r="E356" s="16" t="n">
        <v>395000</v>
      </c>
      <c r="F356" s="16" t="n">
        <v>7545.99</v>
      </c>
      <c r="G356" s="16" t="n">
        <v>943.25</v>
      </c>
      <c r="H356" s="16" t="n">
        <v>943.25</v>
      </c>
      <c r="I356" s="16">
        <f>SUM(K356:T356)</f>
        <v/>
      </c>
      <c r="J356" s="16">
        <f>F356-(G356+H356+I356)</f>
        <v/>
      </c>
      <c r="K356" s="16" t="n">
        <v>565.95</v>
      </c>
      <c r="L356" s="16" t="n">
        <v>565.95</v>
      </c>
      <c r="M356" s="16" t="n">
        <v>565.95</v>
      </c>
      <c r="N356" s="16" t="n">
        <v>565.95</v>
      </c>
      <c r="O356" s="16" t="n">
        <v>565.95</v>
      </c>
      <c r="P356" s="16" t="n">
        <v>565.95</v>
      </c>
      <c r="Q356" s="16" t="n">
        <v>565.95</v>
      </c>
      <c r="R356" s="16" t="n">
        <v>565.95</v>
      </c>
      <c r="S356" s="16" t="n">
        <v>565.95</v>
      </c>
      <c r="T356" s="16" t="n">
        <v>565.95</v>
      </c>
      <c r="U356" s="16" t="n">
        <v>350</v>
      </c>
      <c r="V356" s="16" t="n">
        <v>0</v>
      </c>
      <c r="W356" s="16">
        <f>U356+V356</f>
        <v/>
      </c>
    </row>
    <row r="357">
      <c r="A357" s="3" t="inlineStr">
        <is>
          <t>CANON-202508-000487</t>
        </is>
      </c>
      <c r="B357" s="3" t="inlineStr">
        <is>
          <t>2025-08-20</t>
        </is>
      </c>
      <c r="C357" s="3" t="inlineStr">
        <is>
          <t>Callum Delacroix</t>
        </is>
      </c>
      <c r="D357" s="3" t="inlineStr">
        <is>
          <t>CT</t>
        </is>
      </c>
      <c r="E357" s="14" t="n">
        <v>950000</v>
      </c>
      <c r="F357" s="14" t="n">
        <v>19071.7</v>
      </c>
      <c r="G357" s="14" t="n">
        <v>2383.96</v>
      </c>
      <c r="H357" s="14" t="n">
        <v>2383.96</v>
      </c>
      <c r="I357" s="14">
        <f>SUM(K357:T357)</f>
        <v/>
      </c>
      <c r="J357" s="14">
        <f>F357-(G357+H357+I357)</f>
        <v/>
      </c>
      <c r="K357" s="14" t="n">
        <v>1430.38</v>
      </c>
      <c r="L357" s="14" t="n">
        <v>1430.38</v>
      </c>
      <c r="M357" s="14" t="n">
        <v>1430.38</v>
      </c>
      <c r="N357" s="14" t="n">
        <v>1430.38</v>
      </c>
      <c r="O357" s="14" t="n">
        <v>1430.38</v>
      </c>
      <c r="P357" s="14" t="n">
        <v>1430.38</v>
      </c>
      <c r="Q357" s="14" t="n">
        <v>1430.38</v>
      </c>
      <c r="R357" s="14" t="n">
        <v>1430.38</v>
      </c>
      <c r="S357" s="14" t="n">
        <v>1430.38</v>
      </c>
      <c r="T357" s="14" t="n">
        <v>1430.38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CANON-202508-000488</t>
        </is>
      </c>
      <c r="B358" s="15" t="inlineStr">
        <is>
          <t>2025-08-07</t>
        </is>
      </c>
      <c r="C358" s="15" t="inlineStr">
        <is>
          <t>Anouk Vasquez</t>
        </is>
      </c>
      <c r="D358" s="15" t="inlineStr">
        <is>
          <t>FL</t>
        </is>
      </c>
      <c r="E358" s="16" t="n">
        <v>795000</v>
      </c>
      <c r="F358" s="16" t="n">
        <v>9159</v>
      </c>
      <c r="G358" s="16" t="n">
        <v>1144.88</v>
      </c>
      <c r="H358" s="16" t="n">
        <v>1144.88</v>
      </c>
      <c r="I358" s="16">
        <f>SUM(K358:T358)</f>
        <v/>
      </c>
      <c r="J358" s="16">
        <f>F358-(G358+H358+I358)</f>
        <v/>
      </c>
      <c r="K358" s="16" t="n">
        <v>686.92</v>
      </c>
      <c r="L358" s="16" t="n">
        <v>686.92</v>
      </c>
      <c r="M358" s="16" t="n">
        <v>686.92</v>
      </c>
      <c r="N358" s="16" t="n">
        <v>686.92</v>
      </c>
      <c r="O358" s="16" t="n">
        <v>686.92</v>
      </c>
      <c r="P358" s="16" t="n">
        <v>686.92</v>
      </c>
      <c r="Q358" s="16" t="n">
        <v>686.92</v>
      </c>
      <c r="R358" s="16" t="n">
        <v>686.92</v>
      </c>
      <c r="S358" s="16" t="n">
        <v>686.92</v>
      </c>
      <c r="T358" s="16" t="n">
        <v>686.92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CANON-202508-000491</t>
        </is>
      </c>
      <c r="B359" s="3" t="inlineStr">
        <is>
          <t>2025-08-16</t>
        </is>
      </c>
      <c r="C359" s="3" t="inlineStr">
        <is>
          <t>Saoirse Vasquez</t>
        </is>
      </c>
      <c r="D359" s="3" t="inlineStr">
        <is>
          <t>DE</t>
        </is>
      </c>
      <c r="E359" s="14" t="n">
        <v>765000</v>
      </c>
      <c r="F359" s="14" t="n">
        <v>17140.33</v>
      </c>
      <c r="G359" s="14" t="n">
        <v>2142.54</v>
      </c>
      <c r="H359" s="14" t="n">
        <v>2142.54</v>
      </c>
      <c r="I359" s="14">
        <f>SUM(K359:T359)</f>
        <v/>
      </c>
      <c r="J359" s="14">
        <f>F359-(G359+H359+I359)</f>
        <v/>
      </c>
      <c r="K359" s="14" t="n">
        <v>1285.52</v>
      </c>
      <c r="L359" s="14" t="n">
        <v>1285.52</v>
      </c>
      <c r="M359" s="14" t="n">
        <v>1285.52</v>
      </c>
      <c r="N359" s="14" t="n">
        <v>1285.52</v>
      </c>
      <c r="O359" s="14" t="n">
        <v>1285.52</v>
      </c>
      <c r="P359" s="14" t="n">
        <v>1285.52</v>
      </c>
      <c r="Q359" s="14" t="n">
        <v>1285.52</v>
      </c>
      <c r="R359" s="14" t="n">
        <v>1285.52</v>
      </c>
      <c r="S359" s="14" t="n">
        <v>1285.52</v>
      </c>
      <c r="T359" s="14" t="n">
        <v>1285.52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CANON-202508-000492</t>
        </is>
      </c>
      <c r="B360" s="15" t="inlineStr">
        <is>
          <t>2025-08-14</t>
        </is>
      </c>
      <c r="C360" s="15" t="inlineStr">
        <is>
          <t>Beatrix Vandermeer</t>
        </is>
      </c>
      <c r="D360" s="15" t="inlineStr">
        <is>
          <t>MT</t>
        </is>
      </c>
      <c r="E360" s="16" t="n">
        <v>790000</v>
      </c>
      <c r="F360" s="16" t="n">
        <v>10812.57</v>
      </c>
      <c r="G360" s="16" t="n">
        <v>1351.57</v>
      </c>
      <c r="H360" s="16" t="n">
        <v>1351.57</v>
      </c>
      <c r="I360" s="16">
        <f>SUM(K360:T360)</f>
        <v/>
      </c>
      <c r="J360" s="16">
        <f>F360-(G360+H360+I360)</f>
        <v/>
      </c>
      <c r="K360" s="16" t="n">
        <v>810.9400000000001</v>
      </c>
      <c r="L360" s="16" t="n">
        <v>810.9400000000001</v>
      </c>
      <c r="M360" s="16" t="n">
        <v>810.9400000000001</v>
      </c>
      <c r="N360" s="16" t="n">
        <v>810.9400000000001</v>
      </c>
      <c r="O360" s="16" t="n">
        <v>810.9400000000001</v>
      </c>
      <c r="P360" s="16" t="n">
        <v>810.9400000000001</v>
      </c>
      <c r="Q360" s="16" t="n">
        <v>810.9400000000001</v>
      </c>
      <c r="R360" s="16" t="n">
        <v>810.9400000000001</v>
      </c>
      <c r="S360" s="16" t="n">
        <v>810.9400000000001</v>
      </c>
      <c r="T360" s="16" t="n">
        <v>810.9400000000001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CANON-202508-000493</t>
        </is>
      </c>
      <c r="B361" s="3" t="inlineStr">
        <is>
          <t>2025-08-07</t>
        </is>
      </c>
      <c r="C361" s="3" t="inlineStr">
        <is>
          <t>Anouk Farkas</t>
        </is>
      </c>
      <c r="D361" s="3" t="inlineStr">
        <is>
          <t>NY</t>
        </is>
      </c>
      <c r="E361" s="14" t="n">
        <v>1950000</v>
      </c>
      <c r="F361" s="14" t="n">
        <v>37675.47</v>
      </c>
      <c r="G361" s="14" t="n">
        <v>4709.43</v>
      </c>
      <c r="H361" s="14" t="n">
        <v>4709.43</v>
      </c>
      <c r="I361" s="14">
        <f>SUM(K361:T361)</f>
        <v/>
      </c>
      <c r="J361" s="14">
        <f>F361-(G361+H361+I361)</f>
        <v/>
      </c>
      <c r="K361" s="14" t="n">
        <v>2825.66</v>
      </c>
      <c r="L361" s="14" t="n">
        <v>2825.66</v>
      </c>
      <c r="M361" s="14" t="n">
        <v>2825.66</v>
      </c>
      <c r="N361" s="14" t="n">
        <v>2825.66</v>
      </c>
      <c r="O361" s="14" t="n">
        <v>2825.66</v>
      </c>
      <c r="P361" s="14" t="n">
        <v>2825.66</v>
      </c>
      <c r="Q361" s="14" t="n">
        <v>2825.66</v>
      </c>
      <c r="R361" s="14" t="n">
        <v>2825.66</v>
      </c>
      <c r="S361" s="14" t="n">
        <v>2825.66</v>
      </c>
      <c r="T361" s="14" t="n">
        <v>2825.66</v>
      </c>
      <c r="U361" s="14" t="n">
        <v>350</v>
      </c>
      <c r="V361" s="14" t="n">
        <v>250</v>
      </c>
      <c r="W361" s="14">
        <f>U361+V361</f>
        <v/>
      </c>
    </row>
    <row r="362">
      <c r="A362" s="15" t="inlineStr">
        <is>
          <t>CANON-202508-000495</t>
        </is>
      </c>
      <c r="B362" s="15" t="inlineStr">
        <is>
          <t>2025-08-04</t>
        </is>
      </c>
      <c r="C362" s="15" t="inlineStr">
        <is>
          <t>Cassius Vandermeer</t>
        </is>
      </c>
      <c r="D362" s="15" t="inlineStr">
        <is>
          <t>IA</t>
        </is>
      </c>
      <c r="E362" s="16" t="n">
        <v>325000</v>
      </c>
      <c r="F362" s="16" t="n">
        <v>5058.96</v>
      </c>
      <c r="G362" s="16" t="n">
        <v>632.37</v>
      </c>
      <c r="H362" s="16" t="n">
        <v>632.37</v>
      </c>
      <c r="I362" s="16">
        <f>SUM(K362:T362)</f>
        <v/>
      </c>
      <c r="J362" s="16">
        <f>F362-(G362+H362+I362)</f>
        <v/>
      </c>
      <c r="K362" s="16" t="n">
        <v>379.42</v>
      </c>
      <c r="L362" s="16" t="n">
        <v>379.42</v>
      </c>
      <c r="M362" s="16" t="n">
        <v>379.42</v>
      </c>
      <c r="N362" s="16" t="n">
        <v>379.42</v>
      </c>
      <c r="O362" s="16" t="n">
        <v>379.42</v>
      </c>
      <c r="P362" s="16" t="n">
        <v>379.42</v>
      </c>
      <c r="Q362" s="16" t="n">
        <v>379.42</v>
      </c>
      <c r="R362" s="16" t="n">
        <v>379.42</v>
      </c>
      <c r="S362" s="16" t="n">
        <v>379.42</v>
      </c>
      <c r="T362" s="16" t="n">
        <v>379.42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CANON-202508-000496</t>
        </is>
      </c>
      <c r="B363" s="3" t="inlineStr">
        <is>
          <t>2025-08-09</t>
        </is>
      </c>
      <c r="C363" s="3" t="inlineStr">
        <is>
          <t>Lorenzo Nakashima</t>
        </is>
      </c>
      <c r="D363" s="3" t="inlineStr">
        <is>
          <t>NY</t>
        </is>
      </c>
      <c r="E363" s="14" t="n">
        <v>250000</v>
      </c>
      <c r="F363" s="14" t="n">
        <v>6943.4</v>
      </c>
      <c r="G363" s="14" t="n">
        <v>867.92</v>
      </c>
      <c r="H363" s="14" t="n">
        <v>867.92</v>
      </c>
      <c r="I363" s="14">
        <f>SUM(K363:T363)</f>
        <v/>
      </c>
      <c r="J363" s="14">
        <f>F363-(G363+H363+I363)</f>
        <v/>
      </c>
      <c r="K363" s="14" t="n">
        <v>520.75</v>
      </c>
      <c r="L363" s="14" t="n">
        <v>520.75</v>
      </c>
      <c r="M363" s="14" t="n">
        <v>520.75</v>
      </c>
      <c r="N363" s="14" t="n">
        <v>520.75</v>
      </c>
      <c r="O363" s="14" t="n">
        <v>520.75</v>
      </c>
      <c r="P363" s="14" t="n">
        <v>520.75</v>
      </c>
      <c r="Q363" s="14" t="n">
        <v>520.75</v>
      </c>
      <c r="R363" s="14" t="n">
        <v>520.75</v>
      </c>
      <c r="S363" s="14" t="n">
        <v>520.75</v>
      </c>
      <c r="T363" s="14" t="n">
        <v>520.75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CANON-202508-000498</t>
        </is>
      </c>
      <c r="B364" s="15" t="inlineStr">
        <is>
          <t>2025-08-16</t>
        </is>
      </c>
      <c r="C364" s="15" t="inlineStr">
        <is>
          <t>Ottilie Rourke</t>
        </is>
      </c>
      <c r="D364" s="15" t="inlineStr">
        <is>
          <t>RI</t>
        </is>
      </c>
      <c r="E364" s="16" t="n">
        <v>845000</v>
      </c>
      <c r="F364" s="16" t="n">
        <v>20750.33</v>
      </c>
      <c r="G364" s="16" t="n">
        <v>2593.79</v>
      </c>
      <c r="H364" s="16" t="n">
        <v>2593.79</v>
      </c>
      <c r="I364" s="16">
        <f>SUM(K364:T364)</f>
        <v/>
      </c>
      <c r="J364" s="16">
        <f>F364-(G364+H364+I364)</f>
        <v/>
      </c>
      <c r="K364" s="16" t="n">
        <v>1556.27</v>
      </c>
      <c r="L364" s="16" t="n">
        <v>1556.27</v>
      </c>
      <c r="M364" s="16" t="n">
        <v>1556.27</v>
      </c>
      <c r="N364" s="16" t="n">
        <v>1556.27</v>
      </c>
      <c r="O364" s="16" t="n">
        <v>1556.27</v>
      </c>
      <c r="P364" s="16" t="n">
        <v>1556.27</v>
      </c>
      <c r="Q364" s="16" t="n">
        <v>1556.27</v>
      </c>
      <c r="R364" s="16" t="n">
        <v>1556.27</v>
      </c>
      <c r="S364" s="16" t="n">
        <v>1556.27</v>
      </c>
      <c r="T364" s="16" t="n">
        <v>1556.27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CANON-202508-000499</t>
        </is>
      </c>
      <c r="B365" s="3" t="inlineStr">
        <is>
          <t>2025-08-20</t>
        </is>
      </c>
      <c r="C365" s="3" t="inlineStr">
        <is>
          <t>Leopold Underwood</t>
        </is>
      </c>
      <c r="D365" s="3" t="inlineStr">
        <is>
          <t>HI</t>
        </is>
      </c>
      <c r="E365" s="14" t="n">
        <v>595000</v>
      </c>
      <c r="F365" s="14" t="n">
        <v>13864.62</v>
      </c>
      <c r="G365" s="14" t="n">
        <v>1733.08</v>
      </c>
      <c r="H365" s="14" t="n">
        <v>1733.08</v>
      </c>
      <c r="I365" s="14">
        <f>SUM(K365:T365)</f>
        <v/>
      </c>
      <c r="J365" s="14">
        <f>F365-(G365+H365+I365)</f>
        <v/>
      </c>
      <c r="K365" s="14" t="n">
        <v>1039.85</v>
      </c>
      <c r="L365" s="14" t="n">
        <v>1039.85</v>
      </c>
      <c r="M365" s="14" t="n">
        <v>1039.85</v>
      </c>
      <c r="N365" s="14" t="n">
        <v>1039.85</v>
      </c>
      <c r="O365" s="14" t="n">
        <v>1039.85</v>
      </c>
      <c r="P365" s="14" t="n">
        <v>1039.85</v>
      </c>
      <c r="Q365" s="14" t="n">
        <v>1039.85</v>
      </c>
      <c r="R365" s="14" t="n">
        <v>1039.85</v>
      </c>
      <c r="S365" s="14" t="n">
        <v>1039.85</v>
      </c>
      <c r="T365" s="14" t="n">
        <v>1039.85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CANON-202508-000500</t>
        </is>
      </c>
      <c r="B366" s="15" t="inlineStr">
        <is>
          <t>2025-08-27</t>
        </is>
      </c>
      <c r="C366" s="15" t="inlineStr">
        <is>
          <t>Saoirse Okonkwo</t>
        </is>
      </c>
      <c r="D366" s="15" t="inlineStr">
        <is>
          <t>MA</t>
        </is>
      </c>
      <c r="E366" s="16" t="n">
        <v>555000</v>
      </c>
      <c r="F366" s="16" t="n">
        <v>5628.54</v>
      </c>
      <c r="G366" s="16" t="n">
        <v>703.5700000000001</v>
      </c>
      <c r="H366" s="16" t="n">
        <v>703.5700000000001</v>
      </c>
      <c r="I366" s="16">
        <f>SUM(K366:T366)</f>
        <v/>
      </c>
      <c r="J366" s="16">
        <f>F366-(G366+H366+I366)</f>
        <v/>
      </c>
      <c r="K366" s="16" t="n">
        <v>422.14</v>
      </c>
      <c r="L366" s="16" t="n">
        <v>422.14</v>
      </c>
      <c r="M366" s="16" t="n">
        <v>422.14</v>
      </c>
      <c r="N366" s="16" t="n">
        <v>422.14</v>
      </c>
      <c r="O366" s="16" t="n">
        <v>422.14</v>
      </c>
      <c r="P366" s="16" t="n">
        <v>422.14</v>
      </c>
      <c r="Q366" s="16" t="n">
        <v>422.14</v>
      </c>
      <c r="R366" s="16" t="n">
        <v>422.14</v>
      </c>
      <c r="S366" s="16" t="n">
        <v>422.14</v>
      </c>
      <c r="T366" s="16" t="n">
        <v>422.14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CANON-202508-000501</t>
        </is>
      </c>
      <c r="B367" s="3" t="inlineStr">
        <is>
          <t>2025-08-31</t>
        </is>
      </c>
      <c r="C367" s="3" t="inlineStr">
        <is>
          <t>Delphine Montoya</t>
        </is>
      </c>
      <c r="D367" s="3" t="inlineStr">
        <is>
          <t>IA</t>
        </is>
      </c>
      <c r="E367" s="14" t="n">
        <v>630000</v>
      </c>
      <c r="F367" s="14" t="n">
        <v>4968.68</v>
      </c>
      <c r="G367" s="14" t="n">
        <v>621.09</v>
      </c>
      <c r="H367" s="14" t="n">
        <v>621.09</v>
      </c>
      <c r="I367" s="14">
        <f>SUM(K367:T367)</f>
        <v/>
      </c>
      <c r="J367" s="14">
        <f>F367-(G367+H367+I367)</f>
        <v/>
      </c>
      <c r="K367" s="14" t="n">
        <v>372.65</v>
      </c>
      <c r="L367" s="14" t="n">
        <v>372.65</v>
      </c>
      <c r="M367" s="14" t="n">
        <v>372.65</v>
      </c>
      <c r="N367" s="14" t="n">
        <v>372.65</v>
      </c>
      <c r="O367" s="14" t="n">
        <v>372.65</v>
      </c>
      <c r="P367" s="14" t="n">
        <v>372.65</v>
      </c>
      <c r="Q367" s="14" t="n">
        <v>372.65</v>
      </c>
      <c r="R367" s="14" t="n">
        <v>372.65</v>
      </c>
      <c r="S367" s="14" t="n">
        <v>372.65</v>
      </c>
      <c r="T367" s="14" t="n">
        <v>372.65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CANON-202508-000504</t>
        </is>
      </c>
      <c r="B368" s="15" t="inlineStr">
        <is>
          <t>2025-08-03</t>
        </is>
      </c>
      <c r="C368" s="15" t="inlineStr">
        <is>
          <t>Marisol Delacroix</t>
        </is>
      </c>
      <c r="D368" s="15" t="inlineStr">
        <is>
          <t>FL</t>
        </is>
      </c>
      <c r="E368" s="16" t="n">
        <v>245000</v>
      </c>
      <c r="F368" s="16" t="n">
        <v>6039.02</v>
      </c>
      <c r="G368" s="16" t="n">
        <v>754.88</v>
      </c>
      <c r="H368" s="16" t="n">
        <v>754.88</v>
      </c>
      <c r="I368" s="16">
        <f>SUM(K368:T368)</f>
        <v/>
      </c>
      <c r="J368" s="16">
        <f>F368-(G368+H368+I368)</f>
        <v/>
      </c>
      <c r="K368" s="16" t="n">
        <v>452.93</v>
      </c>
      <c r="L368" s="16" t="n">
        <v>452.93</v>
      </c>
      <c r="M368" s="16" t="n">
        <v>452.93</v>
      </c>
      <c r="N368" s="16" t="n">
        <v>452.93</v>
      </c>
      <c r="O368" s="16" t="n">
        <v>452.93</v>
      </c>
      <c r="P368" s="16" t="n">
        <v>452.93</v>
      </c>
      <c r="Q368" s="16" t="n">
        <v>452.93</v>
      </c>
      <c r="R368" s="16" t="n">
        <v>452.93</v>
      </c>
      <c r="S368" s="16" t="n">
        <v>452.93</v>
      </c>
      <c r="T368" s="16" t="n">
        <v>452.93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CANON-202508-000505</t>
        </is>
      </c>
      <c r="B369" s="3" t="inlineStr">
        <is>
          <t>2025-08-26</t>
        </is>
      </c>
      <c r="C369" s="3" t="inlineStr">
        <is>
          <t>Sunniva Okonkwo</t>
        </is>
      </c>
      <c r="D369" s="3" t="inlineStr">
        <is>
          <t>OH</t>
        </is>
      </c>
      <c r="E369" s="14" t="n">
        <v>240000</v>
      </c>
      <c r="F369" s="14" t="n">
        <v>5790.79</v>
      </c>
      <c r="G369" s="14" t="n">
        <v>723.85</v>
      </c>
      <c r="H369" s="14" t="n">
        <v>723.85</v>
      </c>
      <c r="I369" s="14">
        <f>SUM(K369:T369)</f>
        <v/>
      </c>
      <c r="J369" s="14">
        <f>F369-(G369+H369+I369)</f>
        <v/>
      </c>
      <c r="K369" s="14" t="n">
        <v>434.31</v>
      </c>
      <c r="L369" s="14" t="n">
        <v>434.31</v>
      </c>
      <c r="M369" s="14" t="n">
        <v>434.31</v>
      </c>
      <c r="N369" s="14" t="n">
        <v>434.31</v>
      </c>
      <c r="O369" s="14" t="n">
        <v>434.31</v>
      </c>
      <c r="P369" s="14" t="n">
        <v>434.31</v>
      </c>
      <c r="Q369" s="14" t="n">
        <v>434.31</v>
      </c>
      <c r="R369" s="14" t="n">
        <v>434.31</v>
      </c>
      <c r="S369" s="14" t="n">
        <v>434.31</v>
      </c>
      <c r="T369" s="14" t="n">
        <v>434.31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CANON-202508-000507</t>
        </is>
      </c>
      <c r="B370" s="15" t="inlineStr">
        <is>
          <t>2025-08-23</t>
        </is>
      </c>
      <c r="C370" s="15" t="inlineStr">
        <is>
          <t>Anouk Chattopadhyay</t>
        </is>
      </c>
      <c r="D370" s="15" t="inlineStr">
        <is>
          <t>CA</t>
        </is>
      </c>
      <c r="E370" s="16" t="n">
        <v>765000</v>
      </c>
      <c r="F370" s="16" t="n">
        <v>8378.92</v>
      </c>
      <c r="G370" s="16" t="n">
        <v>1047.37</v>
      </c>
      <c r="H370" s="16" t="n">
        <v>1047.37</v>
      </c>
      <c r="I370" s="16">
        <f>SUM(K370:T370)</f>
        <v/>
      </c>
      <c r="J370" s="16">
        <f>F370-(G370+H370+I370)</f>
        <v/>
      </c>
      <c r="K370" s="16" t="n">
        <v>628.42</v>
      </c>
      <c r="L370" s="16" t="n">
        <v>628.42</v>
      </c>
      <c r="M370" s="16" t="n">
        <v>628.42</v>
      </c>
      <c r="N370" s="16" t="n">
        <v>628.42</v>
      </c>
      <c r="O370" s="16" t="n">
        <v>628.42</v>
      </c>
      <c r="P370" s="16" t="n">
        <v>628.42</v>
      </c>
      <c r="Q370" s="16" t="n">
        <v>628.42</v>
      </c>
      <c r="R370" s="16" t="n">
        <v>628.42</v>
      </c>
      <c r="S370" s="16" t="n">
        <v>628.42</v>
      </c>
      <c r="T370" s="16" t="n">
        <v>628.42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CANON-202508-000508</t>
        </is>
      </c>
      <c r="B371" s="3" t="inlineStr">
        <is>
          <t>2025-08-04</t>
        </is>
      </c>
      <c r="C371" s="3" t="inlineStr">
        <is>
          <t>Mireille Rourke</t>
        </is>
      </c>
      <c r="D371" s="3" t="inlineStr">
        <is>
          <t>TX</t>
        </is>
      </c>
      <c r="E371" s="14" t="n">
        <v>1050000</v>
      </c>
      <c r="F371" s="14" t="n">
        <v>18226.42</v>
      </c>
      <c r="G371" s="14" t="n">
        <v>2278.3</v>
      </c>
      <c r="H371" s="14" t="n">
        <v>2278.3</v>
      </c>
      <c r="I371" s="14">
        <f>SUM(K371:T371)</f>
        <v/>
      </c>
      <c r="J371" s="14">
        <f>F371-(G371+H371+I371)</f>
        <v/>
      </c>
      <c r="K371" s="14" t="n">
        <v>1366.98</v>
      </c>
      <c r="L371" s="14" t="n">
        <v>1366.98</v>
      </c>
      <c r="M371" s="14" t="n">
        <v>1366.98</v>
      </c>
      <c r="N371" s="14" t="n">
        <v>1366.98</v>
      </c>
      <c r="O371" s="14" t="n">
        <v>1366.98</v>
      </c>
      <c r="P371" s="14" t="n">
        <v>1366.98</v>
      </c>
      <c r="Q371" s="14" t="n">
        <v>1366.98</v>
      </c>
      <c r="R371" s="14" t="n">
        <v>1366.98</v>
      </c>
      <c r="S371" s="14" t="n">
        <v>1366.98</v>
      </c>
      <c r="T371" s="14" t="n">
        <v>1366.98</v>
      </c>
      <c r="U371" s="14" t="n">
        <v>350</v>
      </c>
      <c r="V371" s="14" t="n">
        <v>250</v>
      </c>
      <c r="W371" s="14">
        <f>U371+V371</f>
        <v/>
      </c>
    </row>
    <row r="372">
      <c r="A372" s="15" t="inlineStr">
        <is>
          <t>CANON-202508-000509</t>
        </is>
      </c>
      <c r="B372" s="15" t="inlineStr">
        <is>
          <t>2025-08-13</t>
        </is>
      </c>
      <c r="C372" s="15" t="inlineStr">
        <is>
          <t>Beatrix Harrington</t>
        </is>
      </c>
      <c r="D372" s="15" t="inlineStr">
        <is>
          <t>PA</t>
        </is>
      </c>
      <c r="E372" s="16" t="n">
        <v>960000</v>
      </c>
      <c r="F372" s="16" t="n">
        <v>11773.58</v>
      </c>
      <c r="G372" s="16" t="n">
        <v>1471.7</v>
      </c>
      <c r="H372" s="16" t="n">
        <v>1471.7</v>
      </c>
      <c r="I372" s="16">
        <f>SUM(K372:T372)</f>
        <v/>
      </c>
      <c r="J372" s="16">
        <f>F372-(G372+H372+I372)</f>
        <v/>
      </c>
      <c r="K372" s="16" t="n">
        <v>883.02</v>
      </c>
      <c r="L372" s="16" t="n">
        <v>883.02</v>
      </c>
      <c r="M372" s="16" t="n">
        <v>883.02</v>
      </c>
      <c r="N372" s="16" t="n">
        <v>883.02</v>
      </c>
      <c r="O372" s="16" t="n">
        <v>883.02</v>
      </c>
      <c r="P372" s="16" t="n">
        <v>883.02</v>
      </c>
      <c r="Q372" s="16" t="n">
        <v>883.02</v>
      </c>
      <c r="R372" s="16" t="n">
        <v>883.02</v>
      </c>
      <c r="S372" s="16" t="n">
        <v>883.02</v>
      </c>
      <c r="T372" s="16" t="n">
        <v>883.02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CANON-202508-000510</t>
        </is>
      </c>
      <c r="B373" s="3" t="inlineStr">
        <is>
          <t>2025-08-26</t>
        </is>
      </c>
      <c r="C373" s="3" t="inlineStr">
        <is>
          <t>Priya Blackwood</t>
        </is>
      </c>
      <c r="D373" s="3" t="inlineStr">
        <is>
          <t>NM</t>
        </is>
      </c>
      <c r="E373" s="14" t="n">
        <v>520000</v>
      </c>
      <c r="F373" s="14" t="n">
        <v>8163.02</v>
      </c>
      <c r="G373" s="14" t="n">
        <v>1020.38</v>
      </c>
      <c r="H373" s="14" t="n">
        <v>1020.38</v>
      </c>
      <c r="I373" s="14">
        <f>SUM(K373:T373)</f>
        <v/>
      </c>
      <c r="J373" s="14">
        <f>F373-(G373+H373+I373)</f>
        <v/>
      </c>
      <c r="K373" s="14" t="n">
        <v>612.23</v>
      </c>
      <c r="L373" s="14" t="n">
        <v>612.23</v>
      </c>
      <c r="M373" s="14" t="n">
        <v>612.23</v>
      </c>
      <c r="N373" s="14" t="n">
        <v>612.23</v>
      </c>
      <c r="O373" s="14" t="n">
        <v>612.23</v>
      </c>
      <c r="P373" s="14" t="n">
        <v>612.23</v>
      </c>
      <c r="Q373" s="14" t="n">
        <v>612.23</v>
      </c>
      <c r="R373" s="14" t="n">
        <v>612.23</v>
      </c>
      <c r="S373" s="14" t="n">
        <v>612.23</v>
      </c>
      <c r="T373" s="14" t="n">
        <v>612.23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CANON-202508-000511</t>
        </is>
      </c>
      <c r="B374" s="15" t="inlineStr">
        <is>
          <t>2025-08-06</t>
        </is>
      </c>
      <c r="C374" s="15" t="inlineStr">
        <is>
          <t>Horace Montoya</t>
        </is>
      </c>
      <c r="D374" s="15" t="inlineStr">
        <is>
          <t>TX</t>
        </is>
      </c>
      <c r="E374" s="16" t="n">
        <v>1500000</v>
      </c>
      <c r="F374" s="16" t="n">
        <v>26037.74</v>
      </c>
      <c r="G374" s="16" t="n">
        <v>3254.72</v>
      </c>
      <c r="H374" s="16" t="n">
        <v>3254.72</v>
      </c>
      <c r="I374" s="16">
        <f>SUM(K374:T374)</f>
        <v/>
      </c>
      <c r="J374" s="16">
        <f>F374-(G374+H374+I374)</f>
        <v/>
      </c>
      <c r="K374" s="16" t="n">
        <v>1952.83</v>
      </c>
      <c r="L374" s="16" t="n">
        <v>1952.83</v>
      </c>
      <c r="M374" s="16" t="n">
        <v>1952.83</v>
      </c>
      <c r="N374" s="16" t="n">
        <v>1952.83</v>
      </c>
      <c r="O374" s="16" t="n">
        <v>1952.83</v>
      </c>
      <c r="P374" s="16" t="n">
        <v>1952.83</v>
      </c>
      <c r="Q374" s="16" t="n">
        <v>1952.83</v>
      </c>
      <c r="R374" s="16" t="n">
        <v>1952.83</v>
      </c>
      <c r="S374" s="16" t="n">
        <v>1952.83</v>
      </c>
      <c r="T374" s="16" t="n">
        <v>1952.83</v>
      </c>
      <c r="U374" s="16" t="n">
        <v>350</v>
      </c>
      <c r="V374" s="16" t="n">
        <v>250</v>
      </c>
      <c r="W374" s="16">
        <f>U374+V374</f>
        <v/>
      </c>
    </row>
    <row r="375">
      <c r="A375" s="3" t="inlineStr">
        <is>
          <t>CANON-202508-000512</t>
        </is>
      </c>
      <c r="B375" s="3" t="inlineStr">
        <is>
          <t>2025-08-19</t>
        </is>
      </c>
      <c r="C375" s="3" t="inlineStr">
        <is>
          <t>Lorenzo Merriweather</t>
        </is>
      </c>
      <c r="D375" s="3" t="inlineStr">
        <is>
          <t>RI</t>
        </is>
      </c>
      <c r="E375" s="14" t="n">
        <v>565000</v>
      </c>
      <c r="F375" s="14" t="n">
        <v>6280.03</v>
      </c>
      <c r="G375" s="14" t="n">
        <v>785</v>
      </c>
      <c r="H375" s="14" t="n">
        <v>785</v>
      </c>
      <c r="I375" s="14">
        <f>SUM(K375:T375)</f>
        <v/>
      </c>
      <c r="J375" s="14">
        <f>F375-(G375+H375+I375)</f>
        <v/>
      </c>
      <c r="K375" s="14" t="n">
        <v>471</v>
      </c>
      <c r="L375" s="14" t="n">
        <v>471</v>
      </c>
      <c r="M375" s="14" t="n">
        <v>471</v>
      </c>
      <c r="N375" s="14" t="n">
        <v>471</v>
      </c>
      <c r="O375" s="14" t="n">
        <v>471</v>
      </c>
      <c r="P375" s="14" t="n">
        <v>471</v>
      </c>
      <c r="Q375" s="14" t="n">
        <v>471</v>
      </c>
      <c r="R375" s="14" t="n">
        <v>471</v>
      </c>
      <c r="S375" s="14" t="n">
        <v>471</v>
      </c>
      <c r="T375" s="14" t="n">
        <v>471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CANON-202508-000514</t>
        </is>
      </c>
      <c r="B376" s="15" t="inlineStr">
        <is>
          <t>2025-08-16</t>
        </is>
      </c>
      <c r="C376" s="15" t="inlineStr">
        <is>
          <t>Emiliano Pennington</t>
        </is>
      </c>
      <c r="D376" s="15" t="inlineStr">
        <is>
          <t>AZ</t>
        </is>
      </c>
      <c r="E376" s="16" t="n">
        <v>1950000</v>
      </c>
      <c r="F376" s="16" t="n">
        <v>12634.53</v>
      </c>
      <c r="G376" s="16" t="n">
        <v>1579.32</v>
      </c>
      <c r="H376" s="16" t="n">
        <v>1579.32</v>
      </c>
      <c r="I376" s="16">
        <f>SUM(K376:T376)</f>
        <v/>
      </c>
      <c r="J376" s="16">
        <f>F376-(G376+H376+I376)</f>
        <v/>
      </c>
      <c r="K376" s="16" t="n">
        <v>947.59</v>
      </c>
      <c r="L376" s="16" t="n">
        <v>947.59</v>
      </c>
      <c r="M376" s="16" t="n">
        <v>947.59</v>
      </c>
      <c r="N376" s="16" t="n">
        <v>947.59</v>
      </c>
      <c r="O376" s="16" t="n">
        <v>947.59</v>
      </c>
      <c r="P376" s="16" t="n">
        <v>947.59</v>
      </c>
      <c r="Q376" s="16" t="n">
        <v>947.59</v>
      </c>
      <c r="R376" s="16" t="n">
        <v>947.59</v>
      </c>
      <c r="S376" s="16" t="n">
        <v>947.59</v>
      </c>
      <c r="T376" s="16" t="n">
        <v>947.59</v>
      </c>
      <c r="U376" s="16" t="n">
        <v>350</v>
      </c>
      <c r="V376" s="16" t="n">
        <v>250</v>
      </c>
      <c r="W376" s="16">
        <f>U376+V376</f>
        <v/>
      </c>
    </row>
    <row r="377">
      <c r="A377" s="3" t="inlineStr">
        <is>
          <t>CANON-202508-000515</t>
        </is>
      </c>
      <c r="B377" s="3" t="inlineStr">
        <is>
          <t>2025-08-19</t>
        </is>
      </c>
      <c r="C377" s="3" t="inlineStr">
        <is>
          <t>Thaddeus Vandermeer</t>
        </is>
      </c>
      <c r="D377" s="3" t="inlineStr">
        <is>
          <t>OH</t>
        </is>
      </c>
      <c r="E377" s="14" t="n">
        <v>1330000</v>
      </c>
      <c r="F377" s="14" t="n">
        <v>19184.62</v>
      </c>
      <c r="G377" s="14" t="n">
        <v>2398.08</v>
      </c>
      <c r="H377" s="14" t="n">
        <v>2398.08</v>
      </c>
      <c r="I377" s="14">
        <f>SUM(K377:T377)</f>
        <v/>
      </c>
      <c r="J377" s="14">
        <f>F377-(G377+H377+I377)</f>
        <v/>
      </c>
      <c r="K377" s="14" t="n">
        <v>1438.85</v>
      </c>
      <c r="L377" s="14" t="n">
        <v>1438.85</v>
      </c>
      <c r="M377" s="14" t="n">
        <v>1438.85</v>
      </c>
      <c r="N377" s="14" t="n">
        <v>1438.85</v>
      </c>
      <c r="O377" s="14" t="n">
        <v>1438.85</v>
      </c>
      <c r="P377" s="14" t="n">
        <v>1438.85</v>
      </c>
      <c r="Q377" s="14" t="n">
        <v>1438.85</v>
      </c>
      <c r="R377" s="14" t="n">
        <v>1438.85</v>
      </c>
      <c r="S377" s="14" t="n">
        <v>1438.85</v>
      </c>
      <c r="T377" s="14" t="n">
        <v>1438.85</v>
      </c>
      <c r="U377" s="14" t="n">
        <v>350</v>
      </c>
      <c r="V377" s="14" t="n">
        <v>250</v>
      </c>
      <c r="W377" s="14">
        <f>U377+V377</f>
        <v/>
      </c>
    </row>
    <row r="378">
      <c r="A378" s="15" t="inlineStr">
        <is>
          <t>CANON-202508-000517</t>
        </is>
      </c>
      <c r="B378" s="15" t="inlineStr">
        <is>
          <t>2025-08-01</t>
        </is>
      </c>
      <c r="C378" s="15" t="inlineStr">
        <is>
          <t>Fitzgerald Rourke</t>
        </is>
      </c>
      <c r="D378" s="15" t="inlineStr">
        <is>
          <t>MI</t>
        </is>
      </c>
      <c r="E378" s="16" t="n">
        <v>760000</v>
      </c>
      <c r="F378" s="16" t="n">
        <v>21115.09</v>
      </c>
      <c r="G378" s="16" t="n">
        <v>2639.39</v>
      </c>
      <c r="H378" s="16" t="n">
        <v>2639.39</v>
      </c>
      <c r="I378" s="16">
        <f>SUM(K378:T378)</f>
        <v/>
      </c>
      <c r="J378" s="16">
        <f>F378-(G378+H378+I378)</f>
        <v/>
      </c>
      <c r="K378" s="16" t="n">
        <v>1583.63</v>
      </c>
      <c r="L378" s="16" t="n">
        <v>1583.63</v>
      </c>
      <c r="M378" s="16" t="n">
        <v>1583.63</v>
      </c>
      <c r="N378" s="16" t="n">
        <v>1583.63</v>
      </c>
      <c r="O378" s="16" t="n">
        <v>1583.63</v>
      </c>
      <c r="P378" s="16" t="n">
        <v>1583.63</v>
      </c>
      <c r="Q378" s="16" t="n">
        <v>1583.63</v>
      </c>
      <c r="R378" s="16" t="n">
        <v>1583.63</v>
      </c>
      <c r="S378" s="16" t="n">
        <v>1583.63</v>
      </c>
      <c r="T378" s="16" t="n">
        <v>1583.63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CANON-202508-000520</t>
        </is>
      </c>
      <c r="B379" s="3" t="inlineStr">
        <is>
          <t>2025-08-27</t>
        </is>
      </c>
      <c r="C379" s="3" t="inlineStr">
        <is>
          <t>Saoirse Castellanos</t>
        </is>
      </c>
      <c r="D379" s="3" t="inlineStr">
        <is>
          <t>PA</t>
        </is>
      </c>
      <c r="E379" s="14" t="n">
        <v>505000</v>
      </c>
      <c r="F379" s="14" t="n">
        <v>6193.4</v>
      </c>
      <c r="G379" s="14" t="n">
        <v>774.17</v>
      </c>
      <c r="H379" s="14" t="n">
        <v>774.17</v>
      </c>
      <c r="I379" s="14">
        <f>SUM(K379:T379)</f>
        <v/>
      </c>
      <c r="J379" s="14">
        <f>F379-(G379+H379+I379)</f>
        <v/>
      </c>
      <c r="K379" s="14" t="n">
        <v>464.5</v>
      </c>
      <c r="L379" s="14" t="n">
        <v>464.5</v>
      </c>
      <c r="M379" s="14" t="n">
        <v>464.5</v>
      </c>
      <c r="N379" s="14" t="n">
        <v>464.5</v>
      </c>
      <c r="O379" s="14" t="n">
        <v>464.5</v>
      </c>
      <c r="P379" s="14" t="n">
        <v>464.5</v>
      </c>
      <c r="Q379" s="14" t="n">
        <v>464.5</v>
      </c>
      <c r="R379" s="14" t="n">
        <v>464.5</v>
      </c>
      <c r="S379" s="14" t="n">
        <v>464.5</v>
      </c>
      <c r="T379" s="14" t="n">
        <v>464.5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CANON-202508-000521</t>
        </is>
      </c>
      <c r="B380" s="15" t="inlineStr">
        <is>
          <t>2025-08-02</t>
        </is>
      </c>
      <c r="C380" s="15" t="inlineStr">
        <is>
          <t>Ingrid Rourke</t>
        </is>
      </c>
      <c r="D380" s="15" t="inlineStr">
        <is>
          <t>NH</t>
        </is>
      </c>
      <c r="E380" s="16" t="n">
        <v>1775000</v>
      </c>
      <c r="F380" s="16" t="n">
        <v>13235.47</v>
      </c>
      <c r="G380" s="16" t="n">
        <v>1654.43</v>
      </c>
      <c r="H380" s="16" t="n">
        <v>1654.43</v>
      </c>
      <c r="I380" s="16">
        <f>SUM(K380:T380)</f>
        <v/>
      </c>
      <c r="J380" s="16">
        <f>F380-(G380+H380+I380)</f>
        <v/>
      </c>
      <c r="K380" s="16" t="n">
        <v>992.66</v>
      </c>
      <c r="L380" s="16" t="n">
        <v>992.66</v>
      </c>
      <c r="M380" s="16" t="n">
        <v>992.66</v>
      </c>
      <c r="N380" s="16" t="n">
        <v>992.66</v>
      </c>
      <c r="O380" s="16" t="n">
        <v>992.66</v>
      </c>
      <c r="P380" s="16" t="n">
        <v>992.66</v>
      </c>
      <c r="Q380" s="16" t="n">
        <v>992.66</v>
      </c>
      <c r="R380" s="16" t="n">
        <v>992.66</v>
      </c>
      <c r="S380" s="16" t="n">
        <v>992.66</v>
      </c>
      <c r="T380" s="16" t="n">
        <v>992.66</v>
      </c>
      <c r="U380" s="16" t="n">
        <v>350</v>
      </c>
      <c r="V380" s="16" t="n">
        <v>250</v>
      </c>
      <c r="W380" s="16">
        <f>U380+V380</f>
        <v/>
      </c>
    </row>
    <row r="381">
      <c r="A381" s="3" t="inlineStr">
        <is>
          <t>CANON-202508-000522</t>
        </is>
      </c>
      <c r="B381" s="3" t="inlineStr">
        <is>
          <t>2025-08-16</t>
        </is>
      </c>
      <c r="C381" s="3" t="inlineStr">
        <is>
          <t>Desmond Chattopadhyay</t>
        </is>
      </c>
      <c r="D381" s="3" t="inlineStr">
        <is>
          <t>FL</t>
        </is>
      </c>
      <c r="E381" s="14" t="n">
        <v>835000</v>
      </c>
      <c r="F381" s="14" t="n">
        <v>21253.11</v>
      </c>
      <c r="G381" s="14" t="n">
        <v>2656.64</v>
      </c>
      <c r="H381" s="14" t="n">
        <v>2656.64</v>
      </c>
      <c r="I381" s="14">
        <f>SUM(K381:T381)</f>
        <v/>
      </c>
      <c r="J381" s="14">
        <f>F381-(G381+H381+I381)</f>
        <v/>
      </c>
      <c r="K381" s="14" t="n">
        <v>1593.98</v>
      </c>
      <c r="L381" s="14" t="n">
        <v>1593.98</v>
      </c>
      <c r="M381" s="14" t="n">
        <v>1593.98</v>
      </c>
      <c r="N381" s="14" t="n">
        <v>1593.98</v>
      </c>
      <c r="O381" s="14" t="n">
        <v>1593.98</v>
      </c>
      <c r="P381" s="14" t="n">
        <v>1593.98</v>
      </c>
      <c r="Q381" s="14" t="n">
        <v>1593.98</v>
      </c>
      <c r="R381" s="14" t="n">
        <v>1593.98</v>
      </c>
      <c r="S381" s="14" t="n">
        <v>1593.98</v>
      </c>
      <c r="T381" s="14" t="n">
        <v>1593.98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CANON-202508-000523</t>
        </is>
      </c>
      <c r="B382" s="15" t="inlineStr">
        <is>
          <t>2025-08-11</t>
        </is>
      </c>
      <c r="C382" s="15" t="inlineStr">
        <is>
          <t>Anouk Vandermeer</t>
        </is>
      </c>
      <c r="D382" s="15" t="inlineStr">
        <is>
          <t>RI</t>
        </is>
      </c>
      <c r="E382" s="16" t="n">
        <v>275000</v>
      </c>
      <c r="F382" s="16" t="n">
        <v>6255.47</v>
      </c>
      <c r="G382" s="16" t="n">
        <v>781.9299999999999</v>
      </c>
      <c r="H382" s="16" t="n">
        <v>781.9299999999999</v>
      </c>
      <c r="I382" s="16">
        <f>SUM(K382:T382)</f>
        <v/>
      </c>
      <c r="J382" s="16">
        <f>F382-(G382+H382+I382)</f>
        <v/>
      </c>
      <c r="K382" s="16" t="n">
        <v>469.16</v>
      </c>
      <c r="L382" s="16" t="n">
        <v>469.16</v>
      </c>
      <c r="M382" s="16" t="n">
        <v>469.16</v>
      </c>
      <c r="N382" s="16" t="n">
        <v>469.16</v>
      </c>
      <c r="O382" s="16" t="n">
        <v>469.16</v>
      </c>
      <c r="P382" s="16" t="n">
        <v>469.16</v>
      </c>
      <c r="Q382" s="16" t="n">
        <v>469.16</v>
      </c>
      <c r="R382" s="16" t="n">
        <v>469.16</v>
      </c>
      <c r="S382" s="16" t="n">
        <v>469.16</v>
      </c>
      <c r="T382" s="16" t="n">
        <v>469.16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CANON-202508-000524</t>
        </is>
      </c>
      <c r="B383" s="3" t="inlineStr">
        <is>
          <t>2025-08-22</t>
        </is>
      </c>
      <c r="C383" s="3" t="inlineStr">
        <is>
          <t>Fitzgerald Rourke</t>
        </is>
      </c>
      <c r="D383" s="3" t="inlineStr">
        <is>
          <t>NM</t>
        </is>
      </c>
      <c r="E383" s="14" t="n">
        <v>325000</v>
      </c>
      <c r="F383" s="14" t="n">
        <v>5886.79</v>
      </c>
      <c r="G383" s="14" t="n">
        <v>735.85</v>
      </c>
      <c r="H383" s="14" t="n">
        <v>735.85</v>
      </c>
      <c r="I383" s="14">
        <f>SUM(K383:T383)</f>
        <v/>
      </c>
      <c r="J383" s="14">
        <f>F383-(G383+H383+I383)</f>
        <v/>
      </c>
      <c r="K383" s="14" t="n">
        <v>441.51</v>
      </c>
      <c r="L383" s="14" t="n">
        <v>441.51</v>
      </c>
      <c r="M383" s="14" t="n">
        <v>441.51</v>
      </c>
      <c r="N383" s="14" t="n">
        <v>441.51</v>
      </c>
      <c r="O383" s="14" t="n">
        <v>441.51</v>
      </c>
      <c r="P383" s="14" t="n">
        <v>441.51</v>
      </c>
      <c r="Q383" s="14" t="n">
        <v>441.51</v>
      </c>
      <c r="R383" s="14" t="n">
        <v>441.51</v>
      </c>
      <c r="S383" s="14" t="n">
        <v>441.51</v>
      </c>
      <c r="T383" s="14" t="n">
        <v>441.51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CANON-202508-000525</t>
        </is>
      </c>
      <c r="B384" s="15" t="inlineStr">
        <is>
          <t>2025-08-14</t>
        </is>
      </c>
      <c r="C384" s="15" t="inlineStr">
        <is>
          <t>Anouk Montoya</t>
        </is>
      </c>
      <c r="D384" s="15" t="inlineStr">
        <is>
          <t>KS</t>
        </is>
      </c>
      <c r="E384" s="16" t="n">
        <v>245000</v>
      </c>
      <c r="F384" s="16" t="n">
        <v>4125.25</v>
      </c>
      <c r="G384" s="16" t="n">
        <v>515.66</v>
      </c>
      <c r="H384" s="16" t="n">
        <v>515.66</v>
      </c>
      <c r="I384" s="16">
        <f>SUM(K384:T384)</f>
        <v/>
      </c>
      <c r="J384" s="16">
        <f>F384-(G384+H384+I384)</f>
        <v/>
      </c>
      <c r="K384" s="16" t="n">
        <v>309.39</v>
      </c>
      <c r="L384" s="16" t="n">
        <v>309.39</v>
      </c>
      <c r="M384" s="16" t="n">
        <v>309.39</v>
      </c>
      <c r="N384" s="16" t="n">
        <v>309.39</v>
      </c>
      <c r="O384" s="16" t="n">
        <v>309.39</v>
      </c>
      <c r="P384" s="16" t="n">
        <v>309.39</v>
      </c>
      <c r="Q384" s="16" t="n">
        <v>309.39</v>
      </c>
      <c r="R384" s="16" t="n">
        <v>309.39</v>
      </c>
      <c r="S384" s="16" t="n">
        <v>309.39</v>
      </c>
      <c r="T384" s="16" t="n">
        <v>309.39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CANON-202508-000526</t>
        </is>
      </c>
      <c r="B385" s="3" t="inlineStr">
        <is>
          <t>2025-08-30</t>
        </is>
      </c>
      <c r="C385" s="3" t="inlineStr">
        <is>
          <t>Delphine Whitlock</t>
        </is>
      </c>
      <c r="D385" s="3" t="inlineStr">
        <is>
          <t>MA</t>
        </is>
      </c>
      <c r="E385" s="14" t="n">
        <v>970000</v>
      </c>
      <c r="F385" s="14" t="n">
        <v>14870.28</v>
      </c>
      <c r="G385" s="14" t="n">
        <v>1858.79</v>
      </c>
      <c r="H385" s="14" t="n">
        <v>1858.79</v>
      </c>
      <c r="I385" s="14">
        <f>SUM(K385:T385)</f>
        <v/>
      </c>
      <c r="J385" s="14">
        <f>F385-(G385+H385+I385)</f>
        <v/>
      </c>
      <c r="K385" s="14" t="n">
        <v>1115.27</v>
      </c>
      <c r="L385" s="14" t="n">
        <v>1115.27</v>
      </c>
      <c r="M385" s="14" t="n">
        <v>1115.27</v>
      </c>
      <c r="N385" s="14" t="n">
        <v>1115.27</v>
      </c>
      <c r="O385" s="14" t="n">
        <v>1115.27</v>
      </c>
      <c r="P385" s="14" t="n">
        <v>1115.27</v>
      </c>
      <c r="Q385" s="14" t="n">
        <v>1115.27</v>
      </c>
      <c r="R385" s="14" t="n">
        <v>1115.27</v>
      </c>
      <c r="S385" s="14" t="n">
        <v>1115.27</v>
      </c>
      <c r="T385" s="14" t="n">
        <v>1115.27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CANON-202508-000528</t>
        </is>
      </c>
      <c r="B386" s="15" t="inlineStr">
        <is>
          <t>2025-08-19</t>
        </is>
      </c>
      <c r="C386" s="15" t="inlineStr">
        <is>
          <t>Marisol Pennington</t>
        </is>
      </c>
      <c r="D386" s="15" t="inlineStr">
        <is>
          <t>MN</t>
        </is>
      </c>
      <c r="E386" s="16" t="n">
        <v>640000</v>
      </c>
      <c r="F386" s="16" t="n">
        <v>10360.75</v>
      </c>
      <c r="G386" s="16" t="n">
        <v>1295.09</v>
      </c>
      <c r="H386" s="16" t="n">
        <v>1295.09</v>
      </c>
      <c r="I386" s="16">
        <f>SUM(K386:T386)</f>
        <v/>
      </c>
      <c r="J386" s="16">
        <f>F386-(G386+H386+I386)</f>
        <v/>
      </c>
      <c r="K386" s="16" t="n">
        <v>777.0599999999999</v>
      </c>
      <c r="L386" s="16" t="n">
        <v>777.0599999999999</v>
      </c>
      <c r="M386" s="16" t="n">
        <v>777.0599999999999</v>
      </c>
      <c r="N386" s="16" t="n">
        <v>777.0599999999999</v>
      </c>
      <c r="O386" s="16" t="n">
        <v>777.0599999999999</v>
      </c>
      <c r="P386" s="16" t="n">
        <v>777.0599999999999</v>
      </c>
      <c r="Q386" s="16" t="n">
        <v>777.0599999999999</v>
      </c>
      <c r="R386" s="16" t="n">
        <v>777.0599999999999</v>
      </c>
      <c r="S386" s="16" t="n">
        <v>777.0599999999999</v>
      </c>
      <c r="T386" s="16" t="n">
        <v>777.0599999999999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CANON-202508-000529</t>
        </is>
      </c>
      <c r="B387" s="3" t="inlineStr">
        <is>
          <t>2025-08-30</t>
        </is>
      </c>
      <c r="C387" s="3" t="inlineStr">
        <is>
          <t>Beatrix Montoya</t>
        </is>
      </c>
      <c r="D387" s="3" t="inlineStr">
        <is>
          <t>TX</t>
        </is>
      </c>
      <c r="E387" s="14" t="n">
        <v>530000</v>
      </c>
      <c r="F387" s="14" t="n">
        <v>7475</v>
      </c>
      <c r="G387" s="14" t="n">
        <v>934.38</v>
      </c>
      <c r="H387" s="14" t="n">
        <v>934.38</v>
      </c>
      <c r="I387" s="14">
        <f>SUM(K387:T387)</f>
        <v/>
      </c>
      <c r="J387" s="14">
        <f>F387-(G387+H387+I387)</f>
        <v/>
      </c>
      <c r="K387" s="14" t="n">
        <v>560.62</v>
      </c>
      <c r="L387" s="14" t="n">
        <v>560.62</v>
      </c>
      <c r="M387" s="14" t="n">
        <v>560.62</v>
      </c>
      <c r="N387" s="14" t="n">
        <v>560.62</v>
      </c>
      <c r="O387" s="14" t="n">
        <v>560.62</v>
      </c>
      <c r="P387" s="14" t="n">
        <v>560.62</v>
      </c>
      <c r="Q387" s="14" t="n">
        <v>560.62</v>
      </c>
      <c r="R387" s="14" t="n">
        <v>560.62</v>
      </c>
      <c r="S387" s="14" t="n">
        <v>560.62</v>
      </c>
      <c r="T387" s="14" t="n">
        <v>560.62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CANON-202508-000531</t>
        </is>
      </c>
      <c r="B388" s="15" t="inlineStr">
        <is>
          <t>2025-08-23</t>
        </is>
      </c>
      <c r="C388" s="15" t="inlineStr">
        <is>
          <t>Horace Montoya</t>
        </is>
      </c>
      <c r="D388" s="15" t="inlineStr">
        <is>
          <t>CT</t>
        </is>
      </c>
      <c r="E388" s="16" t="n">
        <v>240000</v>
      </c>
      <c r="F388" s="16" t="n">
        <v>5325.28</v>
      </c>
      <c r="G388" s="16" t="n">
        <v>665.66</v>
      </c>
      <c r="H388" s="16" t="n">
        <v>665.66</v>
      </c>
      <c r="I388" s="16">
        <f>SUM(K388:T388)</f>
        <v/>
      </c>
      <c r="J388" s="16">
        <f>F388-(G388+H388+I388)</f>
        <v/>
      </c>
      <c r="K388" s="16" t="n">
        <v>399.4</v>
      </c>
      <c r="L388" s="16" t="n">
        <v>399.4</v>
      </c>
      <c r="M388" s="16" t="n">
        <v>399.4</v>
      </c>
      <c r="N388" s="16" t="n">
        <v>399.4</v>
      </c>
      <c r="O388" s="16" t="n">
        <v>399.4</v>
      </c>
      <c r="P388" s="16" t="n">
        <v>399.4</v>
      </c>
      <c r="Q388" s="16" t="n">
        <v>399.4</v>
      </c>
      <c r="R388" s="16" t="n">
        <v>399.4</v>
      </c>
      <c r="S388" s="16" t="n">
        <v>399.4</v>
      </c>
      <c r="T388" s="16" t="n">
        <v>399.4</v>
      </c>
      <c r="U388" s="16" t="n">
        <v>350</v>
      </c>
      <c r="V388" s="16" t="n">
        <v>0</v>
      </c>
      <c r="W388" s="16">
        <f>U388+V388</f>
        <v/>
      </c>
    </row>
    <row r="389">
      <c r="A389" s="3" t="inlineStr">
        <is>
          <t>CANON-202508-000533</t>
        </is>
      </c>
      <c r="B389" s="3" t="inlineStr">
        <is>
          <t>2025-08-13</t>
        </is>
      </c>
      <c r="C389" s="3" t="inlineStr">
        <is>
          <t>Fenwick Vasquez</t>
        </is>
      </c>
      <c r="D389" s="3" t="inlineStr">
        <is>
          <t>TX</t>
        </is>
      </c>
      <c r="E389" s="14" t="n">
        <v>405000</v>
      </c>
      <c r="F389" s="14" t="n">
        <v>6590.8</v>
      </c>
      <c r="G389" s="14" t="n">
        <v>823.85</v>
      </c>
      <c r="H389" s="14" t="n">
        <v>823.85</v>
      </c>
      <c r="I389" s="14">
        <f>SUM(K389:T389)</f>
        <v/>
      </c>
      <c r="J389" s="14">
        <f>F389-(G389+H389+I389)</f>
        <v/>
      </c>
      <c r="K389" s="14" t="n">
        <v>494.31</v>
      </c>
      <c r="L389" s="14" t="n">
        <v>494.31</v>
      </c>
      <c r="M389" s="14" t="n">
        <v>494.31</v>
      </c>
      <c r="N389" s="14" t="n">
        <v>494.31</v>
      </c>
      <c r="O389" s="14" t="n">
        <v>494.31</v>
      </c>
      <c r="P389" s="14" t="n">
        <v>494.31</v>
      </c>
      <c r="Q389" s="14" t="n">
        <v>494.31</v>
      </c>
      <c r="R389" s="14" t="n">
        <v>494.31</v>
      </c>
      <c r="S389" s="14" t="n">
        <v>494.31</v>
      </c>
      <c r="T389" s="14" t="n">
        <v>494.31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CANON-202508-000534</t>
        </is>
      </c>
      <c r="B390" s="15" t="inlineStr">
        <is>
          <t>2025-08-07</t>
        </is>
      </c>
      <c r="C390" s="15" t="inlineStr">
        <is>
          <t>Aurelio Chattopadhyay</t>
        </is>
      </c>
      <c r="D390" s="15" t="inlineStr">
        <is>
          <t>AR</t>
        </is>
      </c>
      <c r="E390" s="16" t="n">
        <v>250000</v>
      </c>
      <c r="F390" s="16" t="n">
        <v>4882.08</v>
      </c>
      <c r="G390" s="16" t="n">
        <v>610.26</v>
      </c>
      <c r="H390" s="16" t="n">
        <v>610.26</v>
      </c>
      <c r="I390" s="16">
        <f>SUM(K390:T390)</f>
        <v/>
      </c>
      <c r="J390" s="16">
        <f>F390-(G390+H390+I390)</f>
        <v/>
      </c>
      <c r="K390" s="16" t="n">
        <v>366.16</v>
      </c>
      <c r="L390" s="16" t="n">
        <v>366.16</v>
      </c>
      <c r="M390" s="16" t="n">
        <v>366.16</v>
      </c>
      <c r="N390" s="16" t="n">
        <v>366.16</v>
      </c>
      <c r="O390" s="16" t="n">
        <v>366.16</v>
      </c>
      <c r="P390" s="16" t="n">
        <v>366.16</v>
      </c>
      <c r="Q390" s="16" t="n">
        <v>366.16</v>
      </c>
      <c r="R390" s="16" t="n">
        <v>366.16</v>
      </c>
      <c r="S390" s="16" t="n">
        <v>366.16</v>
      </c>
      <c r="T390" s="16" t="n">
        <v>366.16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CANON-202508-000535</t>
        </is>
      </c>
      <c r="B391" s="3" t="inlineStr">
        <is>
          <t>2025-08-06</t>
        </is>
      </c>
      <c r="C391" s="3" t="inlineStr">
        <is>
          <t>Thaddeus Castellanos</t>
        </is>
      </c>
      <c r="D391" s="3" t="inlineStr">
        <is>
          <t>MO</t>
        </is>
      </c>
      <c r="E391" s="14" t="n">
        <v>345000</v>
      </c>
      <c r="F391" s="14" t="n">
        <v>5175</v>
      </c>
      <c r="G391" s="14" t="n">
        <v>646.88</v>
      </c>
      <c r="H391" s="14" t="n">
        <v>646.88</v>
      </c>
      <c r="I391" s="14">
        <f>SUM(K391:T391)</f>
        <v/>
      </c>
      <c r="J391" s="14">
        <f>F391-(G391+H391+I391)</f>
        <v/>
      </c>
      <c r="K391" s="14" t="n">
        <v>388.12</v>
      </c>
      <c r="L391" s="14" t="n">
        <v>388.12</v>
      </c>
      <c r="M391" s="14" t="n">
        <v>388.12</v>
      </c>
      <c r="N391" s="14" t="n">
        <v>388.12</v>
      </c>
      <c r="O391" s="14" t="n">
        <v>388.12</v>
      </c>
      <c r="P391" s="14" t="n">
        <v>388.12</v>
      </c>
      <c r="Q391" s="14" t="n">
        <v>388.12</v>
      </c>
      <c r="R391" s="14" t="n">
        <v>388.12</v>
      </c>
      <c r="S391" s="14" t="n">
        <v>388.12</v>
      </c>
      <c r="T391" s="14" t="n">
        <v>388.12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CANON-202508-000537</t>
        </is>
      </c>
      <c r="B392" s="15" t="inlineStr">
        <is>
          <t>2025-08-01</t>
        </is>
      </c>
      <c r="C392" s="15" t="inlineStr">
        <is>
          <t>Ramona Bellandi</t>
        </is>
      </c>
      <c r="D392" s="15" t="inlineStr">
        <is>
          <t>AL</t>
        </is>
      </c>
      <c r="E392" s="16" t="n">
        <v>1950000</v>
      </c>
      <c r="F392" s="16" t="n">
        <v>37381.13</v>
      </c>
      <c r="G392" s="16" t="n">
        <v>4672.64</v>
      </c>
      <c r="H392" s="16" t="n">
        <v>4672.64</v>
      </c>
      <c r="I392" s="16">
        <f>SUM(K392:T392)</f>
        <v/>
      </c>
      <c r="J392" s="16">
        <f>F392-(G392+H392+I392)</f>
        <v/>
      </c>
      <c r="K392" s="16" t="n">
        <v>2803.58</v>
      </c>
      <c r="L392" s="16" t="n">
        <v>2803.58</v>
      </c>
      <c r="M392" s="16" t="n">
        <v>2803.58</v>
      </c>
      <c r="N392" s="16" t="n">
        <v>2803.58</v>
      </c>
      <c r="O392" s="16" t="n">
        <v>2803.58</v>
      </c>
      <c r="P392" s="16" t="n">
        <v>2803.58</v>
      </c>
      <c r="Q392" s="16" t="n">
        <v>2803.58</v>
      </c>
      <c r="R392" s="16" t="n">
        <v>2803.58</v>
      </c>
      <c r="S392" s="16" t="n">
        <v>2803.58</v>
      </c>
      <c r="T392" s="16" t="n">
        <v>2803.58</v>
      </c>
      <c r="U392" s="16" t="n">
        <v>350</v>
      </c>
      <c r="V392" s="16" t="n">
        <v>250</v>
      </c>
      <c r="W392" s="16">
        <f>U392+V392</f>
        <v/>
      </c>
    </row>
    <row r="393">
      <c r="A393" s="3" t="inlineStr">
        <is>
          <t>CANON-202508-000538</t>
        </is>
      </c>
      <c r="B393" s="3" t="inlineStr">
        <is>
          <t>2025-08-13</t>
        </is>
      </c>
      <c r="C393" s="3" t="inlineStr">
        <is>
          <t>Ottilie Harrington</t>
        </is>
      </c>
      <c r="D393" s="3" t="inlineStr">
        <is>
          <t>IN</t>
        </is>
      </c>
      <c r="E393" s="14" t="n">
        <v>660000</v>
      </c>
      <c r="F393" s="14" t="n">
        <v>14551.13</v>
      </c>
      <c r="G393" s="14" t="n">
        <v>1818.89</v>
      </c>
      <c r="H393" s="14" t="n">
        <v>1818.89</v>
      </c>
      <c r="I393" s="14">
        <f>SUM(K393:T393)</f>
        <v/>
      </c>
      <c r="J393" s="14">
        <f>F393-(G393+H393+I393)</f>
        <v/>
      </c>
      <c r="K393" s="14" t="n">
        <v>1091.33</v>
      </c>
      <c r="L393" s="14" t="n">
        <v>1091.33</v>
      </c>
      <c r="M393" s="14" t="n">
        <v>1091.33</v>
      </c>
      <c r="N393" s="14" t="n">
        <v>1091.33</v>
      </c>
      <c r="O393" s="14" t="n">
        <v>1091.33</v>
      </c>
      <c r="P393" s="14" t="n">
        <v>1091.33</v>
      </c>
      <c r="Q393" s="14" t="n">
        <v>1091.33</v>
      </c>
      <c r="R393" s="14" t="n">
        <v>1091.33</v>
      </c>
      <c r="S393" s="14" t="n">
        <v>1091.33</v>
      </c>
      <c r="T393" s="14" t="n">
        <v>1091.33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CANON-202508-000539</t>
        </is>
      </c>
      <c r="B394" s="15" t="inlineStr">
        <is>
          <t>2025-08-27</t>
        </is>
      </c>
      <c r="C394" s="15" t="inlineStr">
        <is>
          <t>Noor Castellanos</t>
        </is>
      </c>
      <c r="D394" s="15" t="inlineStr">
        <is>
          <t>FL</t>
        </is>
      </c>
      <c r="E394" s="16" t="n">
        <v>745000</v>
      </c>
      <c r="F394" s="16" t="n">
        <v>12974.25</v>
      </c>
      <c r="G394" s="16" t="n">
        <v>1621.78</v>
      </c>
      <c r="H394" s="16" t="n">
        <v>1621.78</v>
      </c>
      <c r="I394" s="16">
        <f>SUM(K394:T394)</f>
        <v/>
      </c>
      <c r="J394" s="16">
        <f>F394-(G394+H394+I394)</f>
        <v/>
      </c>
      <c r="K394" s="16" t="n">
        <v>973.0700000000001</v>
      </c>
      <c r="L394" s="16" t="n">
        <v>973.0700000000001</v>
      </c>
      <c r="M394" s="16" t="n">
        <v>973.0700000000001</v>
      </c>
      <c r="N394" s="16" t="n">
        <v>973.0700000000001</v>
      </c>
      <c r="O394" s="16" t="n">
        <v>973.0700000000001</v>
      </c>
      <c r="P394" s="16" t="n">
        <v>973.0700000000001</v>
      </c>
      <c r="Q394" s="16" t="n">
        <v>973.0700000000001</v>
      </c>
      <c r="R394" s="16" t="n">
        <v>973.0700000000001</v>
      </c>
      <c r="S394" s="16" t="n">
        <v>973.0700000000001</v>
      </c>
      <c r="T394" s="16" t="n">
        <v>973.0700000000001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CANON-202508-000540</t>
        </is>
      </c>
      <c r="B395" s="3" t="inlineStr">
        <is>
          <t>2025-08-01</t>
        </is>
      </c>
      <c r="C395" s="3" t="inlineStr">
        <is>
          <t>Sunniva Bellandi</t>
        </is>
      </c>
      <c r="D395" s="3" t="inlineStr">
        <is>
          <t>NJ</t>
        </is>
      </c>
      <c r="E395" s="14" t="n">
        <v>295000</v>
      </c>
      <c r="F395" s="14" t="n">
        <v>3798.82</v>
      </c>
      <c r="G395" s="14" t="n">
        <v>474.85</v>
      </c>
      <c r="H395" s="14" t="n">
        <v>474.85</v>
      </c>
      <c r="I395" s="14">
        <f>SUM(K395:T395)</f>
        <v/>
      </c>
      <c r="J395" s="14">
        <f>F395-(G395+H395+I395)</f>
        <v/>
      </c>
      <c r="K395" s="14" t="n">
        <v>284.91</v>
      </c>
      <c r="L395" s="14" t="n">
        <v>284.91</v>
      </c>
      <c r="M395" s="14" t="n">
        <v>284.91</v>
      </c>
      <c r="N395" s="14" t="n">
        <v>284.91</v>
      </c>
      <c r="O395" s="14" t="n">
        <v>284.91</v>
      </c>
      <c r="P395" s="14" t="n">
        <v>284.91</v>
      </c>
      <c r="Q395" s="14" t="n">
        <v>284.91</v>
      </c>
      <c r="R395" s="14" t="n">
        <v>284.91</v>
      </c>
      <c r="S395" s="14" t="n">
        <v>284.91</v>
      </c>
      <c r="T395" s="14" t="n">
        <v>284.91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CANON-202508-000543</t>
        </is>
      </c>
      <c r="B396" s="15" t="inlineStr">
        <is>
          <t>2025-08-19</t>
        </is>
      </c>
      <c r="C396" s="15" t="inlineStr">
        <is>
          <t>Emiliano Castellanos</t>
        </is>
      </c>
      <c r="D396" s="15" t="inlineStr">
        <is>
          <t>GA</t>
        </is>
      </c>
      <c r="E396" s="16" t="n">
        <v>1165000</v>
      </c>
      <c r="F396" s="16" t="n">
        <v>19695.09</v>
      </c>
      <c r="G396" s="16" t="n">
        <v>2461.89</v>
      </c>
      <c r="H396" s="16" t="n">
        <v>2461.89</v>
      </c>
      <c r="I396" s="16">
        <f>SUM(K396:T396)</f>
        <v/>
      </c>
      <c r="J396" s="16">
        <f>F396-(G396+H396+I396)</f>
        <v/>
      </c>
      <c r="K396" s="16" t="n">
        <v>1477.13</v>
      </c>
      <c r="L396" s="16" t="n">
        <v>1477.13</v>
      </c>
      <c r="M396" s="16" t="n">
        <v>1477.13</v>
      </c>
      <c r="N396" s="16" t="n">
        <v>1477.13</v>
      </c>
      <c r="O396" s="16" t="n">
        <v>1477.13</v>
      </c>
      <c r="P396" s="16" t="n">
        <v>1477.13</v>
      </c>
      <c r="Q396" s="16" t="n">
        <v>1477.13</v>
      </c>
      <c r="R396" s="16" t="n">
        <v>1477.13</v>
      </c>
      <c r="S396" s="16" t="n">
        <v>1477.13</v>
      </c>
      <c r="T396" s="16" t="n">
        <v>1477.13</v>
      </c>
      <c r="U396" s="16" t="n">
        <v>350</v>
      </c>
      <c r="V396" s="16" t="n">
        <v>250</v>
      </c>
      <c r="W396" s="16">
        <f>U396+V396</f>
        <v/>
      </c>
    </row>
    <row r="397">
      <c r="A397" s="3" t="inlineStr">
        <is>
          <t>CANON-202508-000544</t>
        </is>
      </c>
      <c r="B397" s="3" t="inlineStr">
        <is>
          <t>2025-08-28</t>
        </is>
      </c>
      <c r="C397" s="3" t="inlineStr">
        <is>
          <t>Ottilie Whitlock</t>
        </is>
      </c>
      <c r="D397" s="3" t="inlineStr">
        <is>
          <t>MA</t>
        </is>
      </c>
      <c r="E397" s="14" t="n">
        <v>1185000</v>
      </c>
      <c r="F397" s="14" t="n">
        <v>15371.46</v>
      </c>
      <c r="G397" s="14" t="n">
        <v>1921.43</v>
      </c>
      <c r="H397" s="14" t="n">
        <v>1921.43</v>
      </c>
      <c r="I397" s="14">
        <f>SUM(K397:T397)</f>
        <v/>
      </c>
      <c r="J397" s="14">
        <f>F397-(G397+H397+I397)</f>
        <v/>
      </c>
      <c r="K397" s="14" t="n">
        <v>1152.86</v>
      </c>
      <c r="L397" s="14" t="n">
        <v>1152.86</v>
      </c>
      <c r="M397" s="14" t="n">
        <v>1152.86</v>
      </c>
      <c r="N397" s="14" t="n">
        <v>1152.86</v>
      </c>
      <c r="O397" s="14" t="n">
        <v>1152.86</v>
      </c>
      <c r="P397" s="14" t="n">
        <v>1152.86</v>
      </c>
      <c r="Q397" s="14" t="n">
        <v>1152.86</v>
      </c>
      <c r="R397" s="14" t="n">
        <v>1152.86</v>
      </c>
      <c r="S397" s="14" t="n">
        <v>1152.86</v>
      </c>
      <c r="T397" s="14" t="n">
        <v>1152.86</v>
      </c>
      <c r="U397" s="14" t="n">
        <v>350</v>
      </c>
      <c r="V397" s="14" t="n">
        <v>250</v>
      </c>
      <c r="W397" s="14">
        <f>U397+V397</f>
        <v/>
      </c>
    </row>
    <row r="398">
      <c r="A398" s="15" t="inlineStr">
        <is>
          <t>CANON-202508-000546</t>
        </is>
      </c>
      <c r="B398" s="15" t="inlineStr">
        <is>
          <t>2025-08-18</t>
        </is>
      </c>
      <c r="C398" s="15" t="inlineStr">
        <is>
          <t>Beatrix Whitlock</t>
        </is>
      </c>
      <c r="D398" s="15" t="inlineStr">
        <is>
          <t>WA</t>
        </is>
      </c>
      <c r="E398" s="16" t="n">
        <v>420000</v>
      </c>
      <c r="F398" s="16" t="n">
        <v>5705.66</v>
      </c>
      <c r="G398" s="16" t="n">
        <v>713.21</v>
      </c>
      <c r="H398" s="16" t="n">
        <v>713.21</v>
      </c>
      <c r="I398" s="16">
        <f>SUM(K398:T398)</f>
        <v/>
      </c>
      <c r="J398" s="16">
        <f>F398-(G398+H398+I398)</f>
        <v/>
      </c>
      <c r="K398" s="16" t="n">
        <v>427.92</v>
      </c>
      <c r="L398" s="16" t="n">
        <v>427.92</v>
      </c>
      <c r="M398" s="16" t="n">
        <v>427.92</v>
      </c>
      <c r="N398" s="16" t="n">
        <v>427.92</v>
      </c>
      <c r="O398" s="16" t="n">
        <v>427.92</v>
      </c>
      <c r="P398" s="16" t="n">
        <v>427.92</v>
      </c>
      <c r="Q398" s="16" t="n">
        <v>427.92</v>
      </c>
      <c r="R398" s="16" t="n">
        <v>427.92</v>
      </c>
      <c r="S398" s="16" t="n">
        <v>427.92</v>
      </c>
      <c r="T398" s="16" t="n">
        <v>427.92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CANON-202508-000548</t>
        </is>
      </c>
      <c r="B399" s="3" t="inlineStr">
        <is>
          <t>2025-08-03</t>
        </is>
      </c>
      <c r="C399" s="3" t="inlineStr">
        <is>
          <t>Anouk Nakashima</t>
        </is>
      </c>
      <c r="D399" s="3" t="inlineStr">
        <is>
          <t>GA</t>
        </is>
      </c>
      <c r="E399" s="14" t="n">
        <v>310000</v>
      </c>
      <c r="F399" s="14" t="n">
        <v>4913.21</v>
      </c>
      <c r="G399" s="14" t="n">
        <v>614.15</v>
      </c>
      <c r="H399" s="14" t="n">
        <v>614.15</v>
      </c>
      <c r="I399" s="14">
        <f>SUM(K399:T399)</f>
        <v/>
      </c>
      <c r="J399" s="14">
        <f>F399-(G399+H399+I399)</f>
        <v/>
      </c>
      <c r="K399" s="14" t="n">
        <v>368.49</v>
      </c>
      <c r="L399" s="14" t="n">
        <v>368.49</v>
      </c>
      <c r="M399" s="14" t="n">
        <v>368.49</v>
      </c>
      <c r="N399" s="14" t="n">
        <v>368.49</v>
      </c>
      <c r="O399" s="14" t="n">
        <v>368.49</v>
      </c>
      <c r="P399" s="14" t="n">
        <v>368.49</v>
      </c>
      <c r="Q399" s="14" t="n">
        <v>368.49</v>
      </c>
      <c r="R399" s="14" t="n">
        <v>368.49</v>
      </c>
      <c r="S399" s="14" t="n">
        <v>368.49</v>
      </c>
      <c r="T399" s="14" t="n">
        <v>368.49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CANON-202508-000549</t>
        </is>
      </c>
      <c r="B400" s="15" t="inlineStr">
        <is>
          <t>2025-08-26</t>
        </is>
      </c>
      <c r="C400" s="15" t="inlineStr">
        <is>
          <t>Fenwick Okonkwo</t>
        </is>
      </c>
      <c r="D400" s="15" t="inlineStr">
        <is>
          <t>LA</t>
        </is>
      </c>
      <c r="E400" s="16" t="n">
        <v>1035000</v>
      </c>
      <c r="F400" s="16" t="n">
        <v>12996.08</v>
      </c>
      <c r="G400" s="16" t="n">
        <v>1624.51</v>
      </c>
      <c r="H400" s="16" t="n">
        <v>1624.51</v>
      </c>
      <c r="I400" s="16">
        <f>SUM(K400:T400)</f>
        <v/>
      </c>
      <c r="J400" s="16">
        <f>F400-(G400+H400+I400)</f>
        <v/>
      </c>
      <c r="K400" s="16" t="n">
        <v>974.71</v>
      </c>
      <c r="L400" s="16" t="n">
        <v>974.71</v>
      </c>
      <c r="M400" s="16" t="n">
        <v>974.71</v>
      </c>
      <c r="N400" s="16" t="n">
        <v>974.71</v>
      </c>
      <c r="O400" s="16" t="n">
        <v>974.71</v>
      </c>
      <c r="P400" s="16" t="n">
        <v>974.71</v>
      </c>
      <c r="Q400" s="16" t="n">
        <v>974.71</v>
      </c>
      <c r="R400" s="16" t="n">
        <v>974.71</v>
      </c>
      <c r="S400" s="16" t="n">
        <v>974.71</v>
      </c>
      <c r="T400" s="16" t="n">
        <v>974.71</v>
      </c>
      <c r="U400" s="16" t="n">
        <v>350</v>
      </c>
      <c r="V400" s="16" t="n">
        <v>250</v>
      </c>
      <c r="W400" s="16">
        <f>U400+V400</f>
        <v/>
      </c>
    </row>
    <row r="401">
      <c r="A401" s="3" t="inlineStr">
        <is>
          <t>CANON-202508-000550</t>
        </is>
      </c>
      <c r="B401" s="3" t="inlineStr">
        <is>
          <t>2025-08-26</t>
        </is>
      </c>
      <c r="C401" s="3" t="inlineStr">
        <is>
          <t>Ingrid Farkas</t>
        </is>
      </c>
      <c r="D401" s="3" t="inlineStr">
        <is>
          <t>MN</t>
        </is>
      </c>
      <c r="E401" s="14" t="n">
        <v>545000</v>
      </c>
      <c r="F401" s="14" t="n">
        <v>8822.83</v>
      </c>
      <c r="G401" s="14" t="n">
        <v>1102.85</v>
      </c>
      <c r="H401" s="14" t="n">
        <v>1102.85</v>
      </c>
      <c r="I401" s="14">
        <f>SUM(K401:T401)</f>
        <v/>
      </c>
      <c r="J401" s="14">
        <f>F401-(G401+H401+I401)</f>
        <v/>
      </c>
      <c r="K401" s="14" t="n">
        <v>661.71</v>
      </c>
      <c r="L401" s="14" t="n">
        <v>661.71</v>
      </c>
      <c r="M401" s="14" t="n">
        <v>661.71</v>
      </c>
      <c r="N401" s="14" t="n">
        <v>661.71</v>
      </c>
      <c r="O401" s="14" t="n">
        <v>661.71</v>
      </c>
      <c r="P401" s="14" t="n">
        <v>661.71</v>
      </c>
      <c r="Q401" s="14" t="n">
        <v>661.71</v>
      </c>
      <c r="R401" s="14" t="n">
        <v>661.71</v>
      </c>
      <c r="S401" s="14" t="n">
        <v>661.71</v>
      </c>
      <c r="T401" s="14" t="n">
        <v>661.71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CANON-202508-000553</t>
        </is>
      </c>
      <c r="B402" s="15" t="inlineStr">
        <is>
          <t>2025-08-22</t>
        </is>
      </c>
      <c r="C402" s="15" t="inlineStr">
        <is>
          <t>Ramona Vandermeer</t>
        </is>
      </c>
      <c r="D402" s="15" t="inlineStr">
        <is>
          <t>SD</t>
        </is>
      </c>
      <c r="E402" s="16" t="n">
        <v>1060000</v>
      </c>
      <c r="F402" s="16" t="n">
        <v>17760</v>
      </c>
      <c r="G402" s="16" t="n">
        <v>2220</v>
      </c>
      <c r="H402" s="16" t="n">
        <v>2220</v>
      </c>
      <c r="I402" s="16">
        <f>SUM(K402:T402)</f>
        <v/>
      </c>
      <c r="J402" s="16">
        <f>F402-(G402+H402+I402)</f>
        <v/>
      </c>
      <c r="K402" s="16" t="n">
        <v>1332</v>
      </c>
      <c r="L402" s="16" t="n">
        <v>1332</v>
      </c>
      <c r="M402" s="16" t="n">
        <v>1332</v>
      </c>
      <c r="N402" s="16" t="n">
        <v>1332</v>
      </c>
      <c r="O402" s="16" t="n">
        <v>1332</v>
      </c>
      <c r="P402" s="16" t="n">
        <v>1332</v>
      </c>
      <c r="Q402" s="16" t="n">
        <v>1332</v>
      </c>
      <c r="R402" s="16" t="n">
        <v>1332</v>
      </c>
      <c r="S402" s="16" t="n">
        <v>1332</v>
      </c>
      <c r="T402" s="16" t="n">
        <v>1332</v>
      </c>
      <c r="U402" s="16" t="n">
        <v>350</v>
      </c>
      <c r="V402" s="16" t="n">
        <v>250</v>
      </c>
      <c r="W402" s="16">
        <f>U402+V402</f>
        <v/>
      </c>
    </row>
    <row r="403">
      <c r="A403" s="3" t="inlineStr">
        <is>
          <t>CANON-202508-000554</t>
        </is>
      </c>
      <c r="B403" s="3" t="inlineStr">
        <is>
          <t>2025-08-23</t>
        </is>
      </c>
      <c r="C403" s="3" t="inlineStr">
        <is>
          <t>Fitzgerald Fairweather</t>
        </is>
      </c>
      <c r="D403" s="3" t="inlineStr">
        <is>
          <t>ID</t>
        </is>
      </c>
      <c r="E403" s="14" t="n">
        <v>1155000</v>
      </c>
      <c r="F403" s="14" t="n">
        <v>17259.62</v>
      </c>
      <c r="G403" s="14" t="n">
        <v>2157.45</v>
      </c>
      <c r="H403" s="14" t="n">
        <v>2157.45</v>
      </c>
      <c r="I403" s="14">
        <f>SUM(K403:T403)</f>
        <v/>
      </c>
      <c r="J403" s="14">
        <f>F403-(G403+H403+I403)</f>
        <v/>
      </c>
      <c r="K403" s="14" t="n">
        <v>1294.47</v>
      </c>
      <c r="L403" s="14" t="n">
        <v>1294.47</v>
      </c>
      <c r="M403" s="14" t="n">
        <v>1294.47</v>
      </c>
      <c r="N403" s="14" t="n">
        <v>1294.47</v>
      </c>
      <c r="O403" s="14" t="n">
        <v>1294.47</v>
      </c>
      <c r="P403" s="14" t="n">
        <v>1294.47</v>
      </c>
      <c r="Q403" s="14" t="n">
        <v>1294.47</v>
      </c>
      <c r="R403" s="14" t="n">
        <v>1294.47</v>
      </c>
      <c r="S403" s="14" t="n">
        <v>1294.47</v>
      </c>
      <c r="T403" s="14" t="n">
        <v>1294.47</v>
      </c>
      <c r="U403" s="14" t="n">
        <v>350</v>
      </c>
      <c r="V403" s="14" t="n">
        <v>250</v>
      </c>
      <c r="W403" s="14">
        <f>U403+V403</f>
        <v/>
      </c>
    </row>
    <row r="404">
      <c r="A404" s="15" t="inlineStr">
        <is>
          <t>CANON-202508-000556</t>
        </is>
      </c>
      <c r="B404" s="15" t="inlineStr">
        <is>
          <t>2025-08-13</t>
        </is>
      </c>
      <c r="C404" s="15" t="inlineStr">
        <is>
          <t>Cassius Chattopadhyay</t>
        </is>
      </c>
      <c r="D404" s="15" t="inlineStr">
        <is>
          <t>CT</t>
        </is>
      </c>
      <c r="E404" s="16" t="n">
        <v>770000</v>
      </c>
      <c r="F404" s="16" t="n">
        <v>10576.6</v>
      </c>
      <c r="G404" s="16" t="n">
        <v>1322.08</v>
      </c>
      <c r="H404" s="16" t="n">
        <v>1322.08</v>
      </c>
      <c r="I404" s="16">
        <f>SUM(K404:T404)</f>
        <v/>
      </c>
      <c r="J404" s="16">
        <f>F404-(G404+H404+I404)</f>
        <v/>
      </c>
      <c r="K404" s="16" t="n">
        <v>793.25</v>
      </c>
      <c r="L404" s="16" t="n">
        <v>793.25</v>
      </c>
      <c r="M404" s="16" t="n">
        <v>793.25</v>
      </c>
      <c r="N404" s="16" t="n">
        <v>793.25</v>
      </c>
      <c r="O404" s="16" t="n">
        <v>793.25</v>
      </c>
      <c r="P404" s="16" t="n">
        <v>793.25</v>
      </c>
      <c r="Q404" s="16" t="n">
        <v>793.25</v>
      </c>
      <c r="R404" s="16" t="n">
        <v>793.25</v>
      </c>
      <c r="S404" s="16" t="n">
        <v>793.25</v>
      </c>
      <c r="T404" s="16" t="n">
        <v>793.25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CANON-202508-000557</t>
        </is>
      </c>
      <c r="B405" s="3" t="inlineStr">
        <is>
          <t>2025-08-02</t>
        </is>
      </c>
      <c r="C405" s="3" t="inlineStr">
        <is>
          <t>Ingrid Underwood</t>
        </is>
      </c>
      <c r="D405" s="3" t="inlineStr">
        <is>
          <t>CA</t>
        </is>
      </c>
      <c r="E405" s="14" t="n">
        <v>1250000</v>
      </c>
      <c r="F405" s="14" t="n">
        <v>17511.79</v>
      </c>
      <c r="G405" s="14" t="n">
        <v>2188.97</v>
      </c>
      <c r="H405" s="14" t="n">
        <v>2188.97</v>
      </c>
      <c r="I405" s="14">
        <f>SUM(K405:T405)</f>
        <v/>
      </c>
      <c r="J405" s="14">
        <f>F405-(G405+H405+I405)</f>
        <v/>
      </c>
      <c r="K405" s="14" t="n">
        <v>1313.38</v>
      </c>
      <c r="L405" s="14" t="n">
        <v>1313.38</v>
      </c>
      <c r="M405" s="14" t="n">
        <v>1313.38</v>
      </c>
      <c r="N405" s="14" t="n">
        <v>1313.38</v>
      </c>
      <c r="O405" s="14" t="n">
        <v>1313.38</v>
      </c>
      <c r="P405" s="14" t="n">
        <v>1313.38</v>
      </c>
      <c r="Q405" s="14" t="n">
        <v>1313.38</v>
      </c>
      <c r="R405" s="14" t="n">
        <v>1313.38</v>
      </c>
      <c r="S405" s="14" t="n">
        <v>1313.38</v>
      </c>
      <c r="T405" s="14" t="n">
        <v>1313.38</v>
      </c>
      <c r="U405" s="14" t="n">
        <v>350</v>
      </c>
      <c r="V405" s="14" t="n">
        <v>250</v>
      </c>
      <c r="W405" s="14">
        <f>U405+V405</f>
        <v/>
      </c>
    </row>
    <row r="406">
      <c r="A406" s="15" t="inlineStr">
        <is>
          <t>CANON-202508-000558</t>
        </is>
      </c>
      <c r="B406" s="15" t="inlineStr">
        <is>
          <t>2025-08-13</t>
        </is>
      </c>
      <c r="C406" s="15" t="inlineStr">
        <is>
          <t>Saoirse Thistlewood</t>
        </is>
      </c>
      <c r="D406" s="15" t="inlineStr">
        <is>
          <t>WY</t>
        </is>
      </c>
      <c r="E406" s="16" t="n">
        <v>1520000</v>
      </c>
      <c r="F406" s="16" t="n">
        <v>24549.43</v>
      </c>
      <c r="G406" s="16" t="n">
        <v>3068.68</v>
      </c>
      <c r="H406" s="16" t="n">
        <v>3068.68</v>
      </c>
      <c r="I406" s="16">
        <f>SUM(K406:T406)</f>
        <v/>
      </c>
      <c r="J406" s="16">
        <f>F406-(G406+H406+I406)</f>
        <v/>
      </c>
      <c r="K406" s="16" t="n">
        <v>1841.21</v>
      </c>
      <c r="L406" s="16" t="n">
        <v>1841.21</v>
      </c>
      <c r="M406" s="16" t="n">
        <v>1841.21</v>
      </c>
      <c r="N406" s="16" t="n">
        <v>1841.21</v>
      </c>
      <c r="O406" s="16" t="n">
        <v>1841.21</v>
      </c>
      <c r="P406" s="16" t="n">
        <v>1841.21</v>
      </c>
      <c r="Q406" s="16" t="n">
        <v>1841.21</v>
      </c>
      <c r="R406" s="16" t="n">
        <v>1841.21</v>
      </c>
      <c r="S406" s="16" t="n">
        <v>1841.21</v>
      </c>
      <c r="T406" s="16" t="n">
        <v>1841.21</v>
      </c>
      <c r="U406" s="16" t="n">
        <v>350</v>
      </c>
      <c r="V406" s="16" t="n">
        <v>250</v>
      </c>
      <c r="W406" s="16">
        <f>U406+V406</f>
        <v/>
      </c>
    </row>
    <row r="407">
      <c r="A407" s="3" t="inlineStr">
        <is>
          <t>CANON-202508-000559</t>
        </is>
      </c>
      <c r="B407" s="3" t="inlineStr">
        <is>
          <t>2025-08-07</t>
        </is>
      </c>
      <c r="C407" s="3" t="inlineStr">
        <is>
          <t>Lorenzo Whitlock</t>
        </is>
      </c>
      <c r="D407" s="3" t="inlineStr">
        <is>
          <t>WV</t>
        </is>
      </c>
      <c r="E407" s="14" t="n">
        <v>855000</v>
      </c>
      <c r="F407" s="14" t="n">
        <v>9225.93</v>
      </c>
      <c r="G407" s="14" t="n">
        <v>1153.24</v>
      </c>
      <c r="H407" s="14" t="n">
        <v>1153.24</v>
      </c>
      <c r="I407" s="14">
        <f>SUM(K407:T407)</f>
        <v/>
      </c>
      <c r="J407" s="14">
        <f>F407-(G407+H407+I407)</f>
        <v/>
      </c>
      <c r="K407" s="14" t="n">
        <v>691.9400000000001</v>
      </c>
      <c r="L407" s="14" t="n">
        <v>691.9400000000001</v>
      </c>
      <c r="M407" s="14" t="n">
        <v>691.9400000000001</v>
      </c>
      <c r="N407" s="14" t="n">
        <v>691.9400000000001</v>
      </c>
      <c r="O407" s="14" t="n">
        <v>691.9400000000001</v>
      </c>
      <c r="P407" s="14" t="n">
        <v>691.9400000000001</v>
      </c>
      <c r="Q407" s="14" t="n">
        <v>691.9400000000001</v>
      </c>
      <c r="R407" s="14" t="n">
        <v>691.9400000000001</v>
      </c>
      <c r="S407" s="14" t="n">
        <v>691.9400000000001</v>
      </c>
      <c r="T407" s="14" t="n">
        <v>691.9400000000001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CANON-202508-000560</t>
        </is>
      </c>
      <c r="B408" s="15" t="inlineStr">
        <is>
          <t>2025-08-15</t>
        </is>
      </c>
      <c r="C408" s="15" t="inlineStr">
        <is>
          <t>Noor Larsson</t>
        </is>
      </c>
      <c r="D408" s="15" t="inlineStr">
        <is>
          <t>MS</t>
        </is>
      </c>
      <c r="E408" s="16" t="n">
        <v>440000</v>
      </c>
      <c r="F408" s="16" t="n">
        <v>11361.13</v>
      </c>
      <c r="G408" s="16" t="n">
        <v>1420.14</v>
      </c>
      <c r="H408" s="16" t="n">
        <v>1420.14</v>
      </c>
      <c r="I408" s="16">
        <f>SUM(K408:T408)</f>
        <v/>
      </c>
      <c r="J408" s="16">
        <f>F408-(G408+H408+I408)</f>
        <v/>
      </c>
      <c r="K408" s="16" t="n">
        <v>852.08</v>
      </c>
      <c r="L408" s="16" t="n">
        <v>852.08</v>
      </c>
      <c r="M408" s="16" t="n">
        <v>852.08</v>
      </c>
      <c r="N408" s="16" t="n">
        <v>852.08</v>
      </c>
      <c r="O408" s="16" t="n">
        <v>852.08</v>
      </c>
      <c r="P408" s="16" t="n">
        <v>852.08</v>
      </c>
      <c r="Q408" s="16" t="n">
        <v>852.08</v>
      </c>
      <c r="R408" s="16" t="n">
        <v>852.08</v>
      </c>
      <c r="S408" s="16" t="n">
        <v>852.08</v>
      </c>
      <c r="T408" s="16" t="n">
        <v>852.08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CANON-202508-000561</t>
        </is>
      </c>
      <c r="B409" s="3" t="inlineStr">
        <is>
          <t>2025-08-04</t>
        </is>
      </c>
      <c r="C409" s="3" t="inlineStr">
        <is>
          <t>Leopold Underwood</t>
        </is>
      </c>
      <c r="D409" s="3" t="inlineStr">
        <is>
          <t>IL</t>
        </is>
      </c>
      <c r="E409" s="14" t="n">
        <v>450000</v>
      </c>
      <c r="F409" s="14" t="n">
        <v>8660.379999999999</v>
      </c>
      <c r="G409" s="14" t="n">
        <v>1082.55</v>
      </c>
      <c r="H409" s="14" t="n">
        <v>1082.55</v>
      </c>
      <c r="I409" s="14">
        <f>SUM(K409:T409)</f>
        <v/>
      </c>
      <c r="J409" s="14">
        <f>F409-(G409+H409+I409)</f>
        <v/>
      </c>
      <c r="K409" s="14" t="n">
        <v>649.53</v>
      </c>
      <c r="L409" s="14" t="n">
        <v>649.53</v>
      </c>
      <c r="M409" s="14" t="n">
        <v>649.53</v>
      </c>
      <c r="N409" s="14" t="n">
        <v>649.53</v>
      </c>
      <c r="O409" s="14" t="n">
        <v>649.53</v>
      </c>
      <c r="P409" s="14" t="n">
        <v>649.53</v>
      </c>
      <c r="Q409" s="14" t="n">
        <v>649.53</v>
      </c>
      <c r="R409" s="14" t="n">
        <v>649.53</v>
      </c>
      <c r="S409" s="14" t="n">
        <v>649.53</v>
      </c>
      <c r="T409" s="14" t="n">
        <v>649.53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CANON-202508-000563</t>
        </is>
      </c>
      <c r="B410" s="15" t="inlineStr">
        <is>
          <t>2025-08-20</t>
        </is>
      </c>
      <c r="C410" s="15" t="inlineStr">
        <is>
          <t>Desmond Harrington</t>
        </is>
      </c>
      <c r="D410" s="15" t="inlineStr">
        <is>
          <t>MA</t>
        </is>
      </c>
      <c r="E410" s="16" t="n">
        <v>735000</v>
      </c>
      <c r="F410" s="16" t="n">
        <v>11267.69</v>
      </c>
      <c r="G410" s="16" t="n">
        <v>1408.46</v>
      </c>
      <c r="H410" s="16" t="n">
        <v>1408.46</v>
      </c>
      <c r="I410" s="16">
        <f>SUM(K410:T410)</f>
        <v/>
      </c>
      <c r="J410" s="16">
        <f>F410-(G410+H410+I410)</f>
        <v/>
      </c>
      <c r="K410" s="16" t="n">
        <v>845.08</v>
      </c>
      <c r="L410" s="16" t="n">
        <v>845.08</v>
      </c>
      <c r="M410" s="16" t="n">
        <v>845.08</v>
      </c>
      <c r="N410" s="16" t="n">
        <v>845.08</v>
      </c>
      <c r="O410" s="16" t="n">
        <v>845.08</v>
      </c>
      <c r="P410" s="16" t="n">
        <v>845.08</v>
      </c>
      <c r="Q410" s="16" t="n">
        <v>845.08</v>
      </c>
      <c r="R410" s="16" t="n">
        <v>845.08</v>
      </c>
      <c r="S410" s="16" t="n">
        <v>845.08</v>
      </c>
      <c r="T410" s="16" t="n">
        <v>845.08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CANON-202508-000564</t>
        </is>
      </c>
      <c r="B411" s="3" t="inlineStr">
        <is>
          <t>2025-08-17</t>
        </is>
      </c>
      <c r="C411" s="3" t="inlineStr">
        <is>
          <t>Horace Larsson</t>
        </is>
      </c>
      <c r="D411" s="3" t="inlineStr">
        <is>
          <t>MA</t>
        </is>
      </c>
      <c r="E411" s="14" t="n">
        <v>585000</v>
      </c>
      <c r="F411" s="14" t="n">
        <v>8968.16</v>
      </c>
      <c r="G411" s="14" t="n">
        <v>1121.02</v>
      </c>
      <c r="H411" s="14" t="n">
        <v>1121.02</v>
      </c>
      <c r="I411" s="14">
        <f>SUM(K411:T411)</f>
        <v/>
      </c>
      <c r="J411" s="14">
        <f>F411-(G411+H411+I411)</f>
        <v/>
      </c>
      <c r="K411" s="14" t="n">
        <v>672.61</v>
      </c>
      <c r="L411" s="14" t="n">
        <v>672.61</v>
      </c>
      <c r="M411" s="14" t="n">
        <v>672.61</v>
      </c>
      <c r="N411" s="14" t="n">
        <v>672.61</v>
      </c>
      <c r="O411" s="14" t="n">
        <v>672.61</v>
      </c>
      <c r="P411" s="14" t="n">
        <v>672.61</v>
      </c>
      <c r="Q411" s="14" t="n">
        <v>672.61</v>
      </c>
      <c r="R411" s="14" t="n">
        <v>672.61</v>
      </c>
      <c r="S411" s="14" t="n">
        <v>672.61</v>
      </c>
      <c r="T411" s="14" t="n">
        <v>672.61</v>
      </c>
      <c r="U411" s="14" t="n">
        <v>350</v>
      </c>
      <c r="V411" s="14" t="n">
        <v>0</v>
      </c>
      <c r="W411" s="14">
        <f>U411+V411</f>
        <v/>
      </c>
    </row>
    <row r="412">
      <c r="A412" s="9" t="inlineStr">
        <is>
          <t>TOTAL</t>
        </is>
      </c>
      <c r="E412" s="10">
        <f>SUM(E5:E411)</f>
        <v/>
      </c>
      <c r="F412" s="10">
        <f>SUM(F5:F411)</f>
        <v/>
      </c>
      <c r="G412" s="10">
        <f>SUM(G5:G411)</f>
        <v/>
      </c>
      <c r="H412" s="10">
        <f>SUM(H5:H411)</f>
        <v/>
      </c>
      <c r="I412" s="10">
        <f>SUM(I5:I411)</f>
        <v/>
      </c>
      <c r="J412" s="10">
        <f>SUM(J5:J411)</f>
        <v/>
      </c>
      <c r="K412" s="10">
        <f>SUM(K5:K411)</f>
        <v/>
      </c>
      <c r="L412" s="10">
        <f>SUM(L5:L411)</f>
        <v/>
      </c>
      <c r="M412" s="10">
        <f>SUM(M5:M411)</f>
        <v/>
      </c>
      <c r="N412" s="10">
        <f>SUM(N5:N411)</f>
        <v/>
      </c>
      <c r="O412" s="10">
        <f>SUM(O5:O411)</f>
        <v/>
      </c>
      <c r="P412" s="10">
        <f>SUM(P5:P411)</f>
        <v/>
      </c>
      <c r="Q412" s="10">
        <f>SUM(Q5:Q411)</f>
        <v/>
      </c>
      <c r="R412" s="10">
        <f>SUM(R5:R411)</f>
        <v/>
      </c>
      <c r="S412" s="10">
        <f>SUM(S5:S411)</f>
        <v/>
      </c>
      <c r="T412" s="10">
        <f>SUM(T5:T411)</f>
        <v/>
      </c>
      <c r="U412" s="10">
        <f>SUM(U5:U411)</f>
        <v/>
      </c>
      <c r="V412" s="10">
        <f>SUM(V5:V411)</f>
        <v/>
      </c>
      <c r="W412" s="10">
        <f>SUM(W5:W411)</f>
        <v/>
      </c>
    </row>
    <row r="413">
      <c r="A413" s="5" t="inlineStr">
        <is>
          <t>Foot check: Premium − (B+T+M+Resid)</t>
        </is>
      </c>
      <c r="F413" s="17">
        <f>F412-(G412+H412+I412+J412)</f>
        <v/>
      </c>
    </row>
    <row r="414">
      <c r="A414" s="5" t="inlineStr">
        <is>
          <t>Foot check: Markets − Σ(10 syndicates)</t>
        </is>
      </c>
      <c r="I414" s="17">
        <f>I412-SUM(K412:T412)</f>
        <v/>
      </c>
    </row>
  </sheetData>
  <autoFilter ref="A4:W411"/>
  <mergeCells count="2">
    <mergeCell ref="A2:W2"/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W3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2025-09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CANON-202509-000565</t>
        </is>
      </c>
      <c r="B5" s="3" t="inlineStr">
        <is>
          <t>2025-09-11</t>
        </is>
      </c>
      <c r="C5" s="3" t="inlineStr">
        <is>
          <t>Emiliano Vasquez</t>
        </is>
      </c>
      <c r="D5" s="3" t="inlineStr">
        <is>
          <t>ME</t>
        </is>
      </c>
      <c r="E5" s="14" t="n">
        <v>875000</v>
      </c>
      <c r="F5" s="14" t="n">
        <v>16245.89</v>
      </c>
      <c r="G5" s="14" t="n">
        <v>2030.74</v>
      </c>
      <c r="H5" s="14" t="n">
        <v>2030.74</v>
      </c>
      <c r="I5" s="14">
        <f>SUM(K5:T5)</f>
        <v/>
      </c>
      <c r="J5" s="14">
        <f>F5-(G5+H5+I5)</f>
        <v/>
      </c>
      <c r="K5" s="14" t="n">
        <v>1218.44</v>
      </c>
      <c r="L5" s="14" t="n">
        <v>1218.44</v>
      </c>
      <c r="M5" s="14" t="n">
        <v>1218.44</v>
      </c>
      <c r="N5" s="14" t="n">
        <v>1218.44</v>
      </c>
      <c r="O5" s="14" t="n">
        <v>1218.44</v>
      </c>
      <c r="P5" s="14" t="n">
        <v>1218.44</v>
      </c>
      <c r="Q5" s="14" t="n">
        <v>1218.44</v>
      </c>
      <c r="R5" s="14" t="n">
        <v>1218.44</v>
      </c>
      <c r="S5" s="14" t="n">
        <v>1218.44</v>
      </c>
      <c r="T5" s="14" t="n">
        <v>1218.44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CANON-202509-000566</t>
        </is>
      </c>
      <c r="B6" s="15" t="inlineStr">
        <is>
          <t>2025-09-14</t>
        </is>
      </c>
      <c r="C6" s="15" t="inlineStr">
        <is>
          <t>Thaddeus Nakashima</t>
        </is>
      </c>
      <c r="D6" s="15" t="inlineStr">
        <is>
          <t>NC</t>
        </is>
      </c>
      <c r="E6" s="16" t="n">
        <v>345000</v>
      </c>
      <c r="F6" s="16" t="n">
        <v>5384.76</v>
      </c>
      <c r="G6" s="16" t="n">
        <v>673.1</v>
      </c>
      <c r="H6" s="16" t="n">
        <v>673.1</v>
      </c>
      <c r="I6" s="16">
        <f>SUM(K6:T6)</f>
        <v/>
      </c>
      <c r="J6" s="16">
        <f>F6-(G6+H6+I6)</f>
        <v/>
      </c>
      <c r="K6" s="16" t="n">
        <v>403.86</v>
      </c>
      <c r="L6" s="16" t="n">
        <v>403.86</v>
      </c>
      <c r="M6" s="16" t="n">
        <v>403.86</v>
      </c>
      <c r="N6" s="16" t="n">
        <v>403.86</v>
      </c>
      <c r="O6" s="16" t="n">
        <v>403.86</v>
      </c>
      <c r="P6" s="16" t="n">
        <v>403.86</v>
      </c>
      <c r="Q6" s="16" t="n">
        <v>403.86</v>
      </c>
      <c r="R6" s="16" t="n">
        <v>403.86</v>
      </c>
      <c r="S6" s="16" t="n">
        <v>403.86</v>
      </c>
      <c r="T6" s="16" t="n">
        <v>403.86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CANON-202509-000567</t>
        </is>
      </c>
      <c r="B7" s="3" t="inlineStr">
        <is>
          <t>2025-09-15</t>
        </is>
      </c>
      <c r="C7" s="3" t="inlineStr">
        <is>
          <t>Leopold Okonkwo</t>
        </is>
      </c>
      <c r="D7" s="3" t="inlineStr">
        <is>
          <t>PA</t>
        </is>
      </c>
      <c r="E7" s="14" t="n">
        <v>925000</v>
      </c>
      <c r="F7" s="14" t="n">
        <v>15902.06</v>
      </c>
      <c r="G7" s="14" t="n">
        <v>1987.76</v>
      </c>
      <c r="H7" s="14" t="n">
        <v>1987.76</v>
      </c>
      <c r="I7" s="14">
        <f>SUM(K7:T7)</f>
        <v/>
      </c>
      <c r="J7" s="14">
        <f>F7-(G7+H7+I7)</f>
        <v/>
      </c>
      <c r="K7" s="14" t="n">
        <v>1192.65</v>
      </c>
      <c r="L7" s="14" t="n">
        <v>1192.65</v>
      </c>
      <c r="M7" s="14" t="n">
        <v>1192.65</v>
      </c>
      <c r="N7" s="14" t="n">
        <v>1192.65</v>
      </c>
      <c r="O7" s="14" t="n">
        <v>1192.65</v>
      </c>
      <c r="P7" s="14" t="n">
        <v>1192.65</v>
      </c>
      <c r="Q7" s="14" t="n">
        <v>1192.65</v>
      </c>
      <c r="R7" s="14" t="n">
        <v>1192.65</v>
      </c>
      <c r="S7" s="14" t="n">
        <v>1192.65</v>
      </c>
      <c r="T7" s="14" t="n">
        <v>1192.65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CANON-202509-000568</t>
        </is>
      </c>
      <c r="B8" s="15" t="inlineStr">
        <is>
          <t>2025-09-12</t>
        </is>
      </c>
      <c r="C8" s="15" t="inlineStr">
        <is>
          <t>Mireille Vasquez</t>
        </is>
      </c>
      <c r="D8" s="15" t="inlineStr">
        <is>
          <t>IN</t>
        </is>
      </c>
      <c r="E8" s="16" t="n">
        <v>800000</v>
      </c>
      <c r="F8" s="16" t="n">
        <v>11574.34</v>
      </c>
      <c r="G8" s="16" t="n">
        <v>1446.79</v>
      </c>
      <c r="H8" s="16" t="n">
        <v>1446.79</v>
      </c>
      <c r="I8" s="16">
        <f>SUM(K8:T8)</f>
        <v/>
      </c>
      <c r="J8" s="16">
        <f>F8-(G8+H8+I8)</f>
        <v/>
      </c>
      <c r="K8" s="16" t="n">
        <v>868.08</v>
      </c>
      <c r="L8" s="16" t="n">
        <v>868.08</v>
      </c>
      <c r="M8" s="16" t="n">
        <v>868.08</v>
      </c>
      <c r="N8" s="16" t="n">
        <v>868.08</v>
      </c>
      <c r="O8" s="16" t="n">
        <v>868.08</v>
      </c>
      <c r="P8" s="16" t="n">
        <v>868.08</v>
      </c>
      <c r="Q8" s="16" t="n">
        <v>868.08</v>
      </c>
      <c r="R8" s="16" t="n">
        <v>868.08</v>
      </c>
      <c r="S8" s="16" t="n">
        <v>868.08</v>
      </c>
      <c r="T8" s="16" t="n">
        <v>868.08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CANON-202509-000569</t>
        </is>
      </c>
      <c r="B9" s="3" t="inlineStr">
        <is>
          <t>2025-09-09</t>
        </is>
      </c>
      <c r="C9" s="3" t="inlineStr">
        <is>
          <t>Everett Merriweather</t>
        </is>
      </c>
      <c r="D9" s="3" t="inlineStr">
        <is>
          <t>KS</t>
        </is>
      </c>
      <c r="E9" s="14" t="n">
        <v>1145000</v>
      </c>
      <c r="F9" s="14" t="n">
        <v>11054.21</v>
      </c>
      <c r="G9" s="14" t="n">
        <v>1381.78</v>
      </c>
      <c r="H9" s="14" t="n">
        <v>1381.78</v>
      </c>
      <c r="I9" s="14">
        <f>SUM(K9:T9)</f>
        <v/>
      </c>
      <c r="J9" s="14">
        <f>F9-(G9+H9+I9)</f>
        <v/>
      </c>
      <c r="K9" s="14" t="n">
        <v>829.0700000000001</v>
      </c>
      <c r="L9" s="14" t="n">
        <v>829.0700000000001</v>
      </c>
      <c r="M9" s="14" t="n">
        <v>829.0700000000001</v>
      </c>
      <c r="N9" s="14" t="n">
        <v>829.0700000000001</v>
      </c>
      <c r="O9" s="14" t="n">
        <v>829.0700000000001</v>
      </c>
      <c r="P9" s="14" t="n">
        <v>829.0700000000001</v>
      </c>
      <c r="Q9" s="14" t="n">
        <v>829.0700000000001</v>
      </c>
      <c r="R9" s="14" t="n">
        <v>829.0700000000001</v>
      </c>
      <c r="S9" s="14" t="n">
        <v>829.0700000000001</v>
      </c>
      <c r="T9" s="14" t="n">
        <v>829.0700000000001</v>
      </c>
      <c r="U9" s="14" t="n">
        <v>350</v>
      </c>
      <c r="V9" s="14" t="n">
        <v>250</v>
      </c>
      <c r="W9" s="14">
        <f>U9+V9</f>
        <v/>
      </c>
    </row>
    <row r="10">
      <c r="A10" s="15" t="inlineStr">
        <is>
          <t>CANON-202509-000570</t>
        </is>
      </c>
      <c r="B10" s="15" t="inlineStr">
        <is>
          <t>2025-09-16</t>
        </is>
      </c>
      <c r="C10" s="15" t="inlineStr">
        <is>
          <t>Everett Fairweather</t>
        </is>
      </c>
      <c r="D10" s="15" t="inlineStr">
        <is>
          <t>NC</t>
        </is>
      </c>
      <c r="E10" s="16" t="n">
        <v>270000</v>
      </c>
      <c r="F10" s="16" t="n">
        <v>4214.16</v>
      </c>
      <c r="G10" s="16" t="n">
        <v>526.77</v>
      </c>
      <c r="H10" s="16" t="n">
        <v>526.77</v>
      </c>
      <c r="I10" s="16">
        <f>SUM(K10:T10)</f>
        <v/>
      </c>
      <c r="J10" s="16">
        <f>F10-(G10+H10+I10)</f>
        <v/>
      </c>
      <c r="K10" s="16" t="n">
        <v>316.06</v>
      </c>
      <c r="L10" s="16" t="n">
        <v>316.06</v>
      </c>
      <c r="M10" s="16" t="n">
        <v>316.06</v>
      </c>
      <c r="N10" s="16" t="n">
        <v>316.06</v>
      </c>
      <c r="O10" s="16" t="n">
        <v>316.06</v>
      </c>
      <c r="P10" s="16" t="n">
        <v>316.06</v>
      </c>
      <c r="Q10" s="16" t="n">
        <v>316.06</v>
      </c>
      <c r="R10" s="16" t="n">
        <v>316.06</v>
      </c>
      <c r="S10" s="16" t="n">
        <v>316.06</v>
      </c>
      <c r="T10" s="16" t="n">
        <v>316.06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CANON-202509-000571</t>
        </is>
      </c>
      <c r="B11" s="3" t="inlineStr">
        <is>
          <t>2025-09-21</t>
        </is>
      </c>
      <c r="C11" s="3" t="inlineStr">
        <is>
          <t>Lorenzo Fairweather</t>
        </is>
      </c>
      <c r="D11" s="3" t="inlineStr">
        <is>
          <t>MI</t>
        </is>
      </c>
      <c r="E11" s="14" t="n">
        <v>415000</v>
      </c>
      <c r="F11" s="14" t="n">
        <v>10243.55</v>
      </c>
      <c r="G11" s="14" t="n">
        <v>1280.44</v>
      </c>
      <c r="H11" s="14" t="n">
        <v>1280.44</v>
      </c>
      <c r="I11" s="14">
        <f>SUM(K11:T11)</f>
        <v/>
      </c>
      <c r="J11" s="14">
        <f>F11-(G11+H11+I11)</f>
        <v/>
      </c>
      <c r="K11" s="14" t="n">
        <v>768.27</v>
      </c>
      <c r="L11" s="14" t="n">
        <v>768.27</v>
      </c>
      <c r="M11" s="14" t="n">
        <v>768.27</v>
      </c>
      <c r="N11" s="14" t="n">
        <v>768.27</v>
      </c>
      <c r="O11" s="14" t="n">
        <v>768.27</v>
      </c>
      <c r="P11" s="14" t="n">
        <v>768.27</v>
      </c>
      <c r="Q11" s="14" t="n">
        <v>768.27</v>
      </c>
      <c r="R11" s="14" t="n">
        <v>768.27</v>
      </c>
      <c r="S11" s="14" t="n">
        <v>768.27</v>
      </c>
      <c r="T11" s="14" t="n">
        <v>768.27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CANON-202509-000572</t>
        </is>
      </c>
      <c r="B12" s="15" t="inlineStr">
        <is>
          <t>2025-09-08</t>
        </is>
      </c>
      <c r="C12" s="15" t="inlineStr">
        <is>
          <t>Desmond Thistlewood</t>
        </is>
      </c>
      <c r="D12" s="15" t="inlineStr">
        <is>
          <t>DE</t>
        </is>
      </c>
      <c r="E12" s="16" t="n">
        <v>1050000</v>
      </c>
      <c r="F12" s="16" t="n">
        <v>19001.04</v>
      </c>
      <c r="G12" s="16" t="n">
        <v>2375.13</v>
      </c>
      <c r="H12" s="16" t="n">
        <v>2375.13</v>
      </c>
      <c r="I12" s="16">
        <f>SUM(K12:T12)</f>
        <v/>
      </c>
      <c r="J12" s="16">
        <f>F12-(G12+H12+I12)</f>
        <v/>
      </c>
      <c r="K12" s="16" t="n">
        <v>1425.08</v>
      </c>
      <c r="L12" s="16" t="n">
        <v>1425.08</v>
      </c>
      <c r="M12" s="16" t="n">
        <v>1425.08</v>
      </c>
      <c r="N12" s="16" t="n">
        <v>1425.08</v>
      </c>
      <c r="O12" s="16" t="n">
        <v>1425.08</v>
      </c>
      <c r="P12" s="16" t="n">
        <v>1425.08</v>
      </c>
      <c r="Q12" s="16" t="n">
        <v>1425.08</v>
      </c>
      <c r="R12" s="16" t="n">
        <v>1425.08</v>
      </c>
      <c r="S12" s="16" t="n">
        <v>1425.08</v>
      </c>
      <c r="T12" s="16" t="n">
        <v>1425.08</v>
      </c>
      <c r="U12" s="16" t="n">
        <v>350</v>
      </c>
      <c r="V12" s="16" t="n">
        <v>250</v>
      </c>
      <c r="W12" s="16">
        <f>U12+V12</f>
        <v/>
      </c>
    </row>
    <row r="13">
      <c r="A13" s="3" t="inlineStr">
        <is>
          <t>CANON-202509-000573</t>
        </is>
      </c>
      <c r="B13" s="3" t="inlineStr">
        <is>
          <t>2025-09-29</t>
        </is>
      </c>
      <c r="C13" s="3" t="inlineStr">
        <is>
          <t>Mireille Delacroix</t>
        </is>
      </c>
      <c r="D13" s="3" t="inlineStr">
        <is>
          <t>IL</t>
        </is>
      </c>
      <c r="E13" s="14" t="n">
        <v>1145000</v>
      </c>
      <c r="F13" s="14" t="n">
        <v>10708.19</v>
      </c>
      <c r="G13" s="14" t="n">
        <v>1338.52</v>
      </c>
      <c r="H13" s="14" t="n">
        <v>1338.52</v>
      </c>
      <c r="I13" s="14">
        <f>SUM(K13:T13)</f>
        <v/>
      </c>
      <c r="J13" s="14">
        <f>F13-(G13+H13+I13)</f>
        <v/>
      </c>
      <c r="K13" s="14" t="n">
        <v>803.11</v>
      </c>
      <c r="L13" s="14" t="n">
        <v>803.11</v>
      </c>
      <c r="M13" s="14" t="n">
        <v>803.11</v>
      </c>
      <c r="N13" s="14" t="n">
        <v>803.11</v>
      </c>
      <c r="O13" s="14" t="n">
        <v>803.11</v>
      </c>
      <c r="P13" s="14" t="n">
        <v>803.11</v>
      </c>
      <c r="Q13" s="14" t="n">
        <v>803.11</v>
      </c>
      <c r="R13" s="14" t="n">
        <v>803.11</v>
      </c>
      <c r="S13" s="14" t="n">
        <v>803.11</v>
      </c>
      <c r="T13" s="14" t="n">
        <v>803.11</v>
      </c>
      <c r="U13" s="14" t="n">
        <v>350</v>
      </c>
      <c r="V13" s="14" t="n">
        <v>250</v>
      </c>
      <c r="W13" s="14">
        <f>U13+V13</f>
        <v/>
      </c>
    </row>
    <row r="14">
      <c r="A14" s="15" t="inlineStr">
        <is>
          <t>CANON-202509-000575</t>
        </is>
      </c>
      <c r="B14" s="15" t="inlineStr">
        <is>
          <t>2025-09-17</t>
        </is>
      </c>
      <c r="C14" s="15" t="inlineStr">
        <is>
          <t>Saoirse Delacroix</t>
        </is>
      </c>
      <c r="D14" s="15" t="inlineStr">
        <is>
          <t>ID</t>
        </is>
      </c>
      <c r="E14" s="16" t="n">
        <v>1130000</v>
      </c>
      <c r="F14" s="16" t="n">
        <v>11134.34</v>
      </c>
      <c r="G14" s="16" t="n">
        <v>1391.79</v>
      </c>
      <c r="H14" s="16" t="n">
        <v>1391.79</v>
      </c>
      <c r="I14" s="16">
        <f>SUM(K14:T14)</f>
        <v/>
      </c>
      <c r="J14" s="16">
        <f>F14-(G14+H14+I14)</f>
        <v/>
      </c>
      <c r="K14" s="16" t="n">
        <v>835.08</v>
      </c>
      <c r="L14" s="16" t="n">
        <v>835.08</v>
      </c>
      <c r="M14" s="16" t="n">
        <v>835.08</v>
      </c>
      <c r="N14" s="16" t="n">
        <v>835.08</v>
      </c>
      <c r="O14" s="16" t="n">
        <v>835.08</v>
      </c>
      <c r="P14" s="16" t="n">
        <v>835.08</v>
      </c>
      <c r="Q14" s="16" t="n">
        <v>835.08</v>
      </c>
      <c r="R14" s="16" t="n">
        <v>835.08</v>
      </c>
      <c r="S14" s="16" t="n">
        <v>835.08</v>
      </c>
      <c r="T14" s="16" t="n">
        <v>835.08</v>
      </c>
      <c r="U14" s="16" t="n">
        <v>350</v>
      </c>
      <c r="V14" s="16" t="n">
        <v>250</v>
      </c>
      <c r="W14" s="16">
        <f>U14+V14</f>
        <v/>
      </c>
    </row>
    <row r="15">
      <c r="A15" s="3" t="inlineStr">
        <is>
          <t>CANON-202509-000576</t>
        </is>
      </c>
      <c r="B15" s="3" t="inlineStr">
        <is>
          <t>2025-09-15</t>
        </is>
      </c>
      <c r="C15" s="3" t="inlineStr">
        <is>
          <t>Cassius Delacroix</t>
        </is>
      </c>
      <c r="D15" s="3" t="inlineStr">
        <is>
          <t>AR</t>
        </is>
      </c>
      <c r="E15" s="14" t="n">
        <v>500000</v>
      </c>
      <c r="F15" s="14" t="n">
        <v>8116.15</v>
      </c>
      <c r="G15" s="14" t="n">
        <v>1014.52</v>
      </c>
      <c r="H15" s="14" t="n">
        <v>1014.52</v>
      </c>
      <c r="I15" s="14">
        <f>SUM(K15:T15)</f>
        <v/>
      </c>
      <c r="J15" s="14">
        <f>F15-(G15+H15+I15)</f>
        <v/>
      </c>
      <c r="K15" s="14" t="n">
        <v>608.71</v>
      </c>
      <c r="L15" s="14" t="n">
        <v>608.71</v>
      </c>
      <c r="M15" s="14" t="n">
        <v>608.71</v>
      </c>
      <c r="N15" s="14" t="n">
        <v>608.71</v>
      </c>
      <c r="O15" s="14" t="n">
        <v>608.71</v>
      </c>
      <c r="P15" s="14" t="n">
        <v>608.71</v>
      </c>
      <c r="Q15" s="14" t="n">
        <v>608.71</v>
      </c>
      <c r="R15" s="14" t="n">
        <v>608.71</v>
      </c>
      <c r="S15" s="14" t="n">
        <v>608.71</v>
      </c>
      <c r="T15" s="14" t="n">
        <v>608.71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CANON-202509-000579</t>
        </is>
      </c>
      <c r="B16" s="15" t="inlineStr">
        <is>
          <t>2025-09-23</t>
        </is>
      </c>
      <c r="C16" s="15" t="inlineStr">
        <is>
          <t>Fitzgerald Bellandi</t>
        </is>
      </c>
      <c r="D16" s="15" t="inlineStr">
        <is>
          <t>MT</t>
        </is>
      </c>
      <c r="E16" s="16" t="n">
        <v>605000</v>
      </c>
      <c r="F16" s="16" t="n">
        <v>9672.75</v>
      </c>
      <c r="G16" s="16" t="n">
        <v>1209.09</v>
      </c>
      <c r="H16" s="16" t="n">
        <v>1209.09</v>
      </c>
      <c r="I16" s="16">
        <f>SUM(K16:T16)</f>
        <v/>
      </c>
      <c r="J16" s="16">
        <f>F16-(G16+H16+I16)</f>
        <v/>
      </c>
      <c r="K16" s="16" t="n">
        <v>725.46</v>
      </c>
      <c r="L16" s="16" t="n">
        <v>725.46</v>
      </c>
      <c r="M16" s="16" t="n">
        <v>725.46</v>
      </c>
      <c r="N16" s="16" t="n">
        <v>725.46</v>
      </c>
      <c r="O16" s="16" t="n">
        <v>725.46</v>
      </c>
      <c r="P16" s="16" t="n">
        <v>725.46</v>
      </c>
      <c r="Q16" s="16" t="n">
        <v>725.46</v>
      </c>
      <c r="R16" s="16" t="n">
        <v>725.46</v>
      </c>
      <c r="S16" s="16" t="n">
        <v>725.46</v>
      </c>
      <c r="T16" s="16" t="n">
        <v>725.46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CANON-202509-000580</t>
        </is>
      </c>
      <c r="B17" s="3" t="inlineStr">
        <is>
          <t>2025-09-27</t>
        </is>
      </c>
      <c r="C17" s="3" t="inlineStr">
        <is>
          <t>Emiliano Bellandi</t>
        </is>
      </c>
      <c r="D17" s="3" t="inlineStr">
        <is>
          <t>NY</t>
        </is>
      </c>
      <c r="E17" s="14" t="n">
        <v>655000</v>
      </c>
      <c r="F17" s="14" t="n">
        <v>14413.28</v>
      </c>
      <c r="G17" s="14" t="n">
        <v>1801.66</v>
      </c>
      <c r="H17" s="14" t="n">
        <v>1801.66</v>
      </c>
      <c r="I17" s="14">
        <f>SUM(K17:T17)</f>
        <v/>
      </c>
      <c r="J17" s="14">
        <f>F17-(G17+H17+I17)</f>
        <v/>
      </c>
      <c r="K17" s="14" t="n">
        <v>1081</v>
      </c>
      <c r="L17" s="14" t="n">
        <v>1081</v>
      </c>
      <c r="M17" s="14" t="n">
        <v>1081</v>
      </c>
      <c r="N17" s="14" t="n">
        <v>1081</v>
      </c>
      <c r="O17" s="14" t="n">
        <v>1081</v>
      </c>
      <c r="P17" s="14" t="n">
        <v>1081</v>
      </c>
      <c r="Q17" s="14" t="n">
        <v>1081</v>
      </c>
      <c r="R17" s="14" t="n">
        <v>1081</v>
      </c>
      <c r="S17" s="14" t="n">
        <v>1081</v>
      </c>
      <c r="T17" s="14" t="n">
        <v>1081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CANON-202509-000581</t>
        </is>
      </c>
      <c r="B18" s="15" t="inlineStr">
        <is>
          <t>2025-09-22</t>
        </is>
      </c>
      <c r="C18" s="15" t="inlineStr">
        <is>
          <t>Thaddeus Kingsford</t>
        </is>
      </c>
      <c r="D18" s="15" t="inlineStr">
        <is>
          <t>WV</t>
        </is>
      </c>
      <c r="E18" s="16" t="n">
        <v>830000</v>
      </c>
      <c r="F18" s="16" t="n">
        <v>8589.860000000001</v>
      </c>
      <c r="G18" s="16" t="n">
        <v>1073.73</v>
      </c>
      <c r="H18" s="16" t="n">
        <v>1073.73</v>
      </c>
      <c r="I18" s="16">
        <f>SUM(K18:T18)</f>
        <v/>
      </c>
      <c r="J18" s="16">
        <f>F18-(G18+H18+I18)</f>
        <v/>
      </c>
      <c r="K18" s="16" t="n">
        <v>644.24</v>
      </c>
      <c r="L18" s="16" t="n">
        <v>644.24</v>
      </c>
      <c r="M18" s="16" t="n">
        <v>644.24</v>
      </c>
      <c r="N18" s="16" t="n">
        <v>644.24</v>
      </c>
      <c r="O18" s="16" t="n">
        <v>644.24</v>
      </c>
      <c r="P18" s="16" t="n">
        <v>644.24</v>
      </c>
      <c r="Q18" s="16" t="n">
        <v>644.24</v>
      </c>
      <c r="R18" s="16" t="n">
        <v>644.24</v>
      </c>
      <c r="S18" s="16" t="n">
        <v>644.24</v>
      </c>
      <c r="T18" s="16" t="n">
        <v>644.24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CANON-202509-000584</t>
        </is>
      </c>
      <c r="B19" s="3" t="inlineStr">
        <is>
          <t>2025-09-30</t>
        </is>
      </c>
      <c r="C19" s="3" t="inlineStr">
        <is>
          <t>Horace Rourke</t>
        </is>
      </c>
      <c r="D19" s="3" t="inlineStr">
        <is>
          <t>OH</t>
        </is>
      </c>
      <c r="E19" s="14" t="n">
        <v>650000</v>
      </c>
      <c r="F19" s="14" t="n">
        <v>10627.46</v>
      </c>
      <c r="G19" s="14" t="n">
        <v>1328.43</v>
      </c>
      <c r="H19" s="14" t="n">
        <v>1328.43</v>
      </c>
      <c r="I19" s="14">
        <f>SUM(K19:T19)</f>
        <v/>
      </c>
      <c r="J19" s="14">
        <f>F19-(G19+H19+I19)</f>
        <v/>
      </c>
      <c r="K19" s="14" t="n">
        <v>797.0599999999999</v>
      </c>
      <c r="L19" s="14" t="n">
        <v>797.0599999999999</v>
      </c>
      <c r="M19" s="14" t="n">
        <v>797.0599999999999</v>
      </c>
      <c r="N19" s="14" t="n">
        <v>797.0599999999999</v>
      </c>
      <c r="O19" s="14" t="n">
        <v>797.0599999999999</v>
      </c>
      <c r="P19" s="14" t="n">
        <v>797.0599999999999</v>
      </c>
      <c r="Q19" s="14" t="n">
        <v>797.0599999999999</v>
      </c>
      <c r="R19" s="14" t="n">
        <v>797.0599999999999</v>
      </c>
      <c r="S19" s="14" t="n">
        <v>797.0599999999999</v>
      </c>
      <c r="T19" s="14" t="n">
        <v>797.0599999999999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CANON-202509-000585</t>
        </is>
      </c>
      <c r="B20" s="15" t="inlineStr">
        <is>
          <t>2025-09-27</t>
        </is>
      </c>
      <c r="C20" s="15" t="inlineStr">
        <is>
          <t>Aurelio Okonkwo</t>
        </is>
      </c>
      <c r="D20" s="15" t="inlineStr">
        <is>
          <t>TX</t>
        </is>
      </c>
      <c r="E20" s="16" t="n">
        <v>285000</v>
      </c>
      <c r="F20" s="16" t="n">
        <v>4448.28</v>
      </c>
      <c r="G20" s="16" t="n">
        <v>556.03</v>
      </c>
      <c r="H20" s="16" t="n">
        <v>556.03</v>
      </c>
      <c r="I20" s="16">
        <f>SUM(K20:T20)</f>
        <v/>
      </c>
      <c r="J20" s="16">
        <f>F20-(G20+H20+I20)</f>
        <v/>
      </c>
      <c r="K20" s="16" t="n">
        <v>333.62</v>
      </c>
      <c r="L20" s="16" t="n">
        <v>333.62</v>
      </c>
      <c r="M20" s="16" t="n">
        <v>333.62</v>
      </c>
      <c r="N20" s="16" t="n">
        <v>333.62</v>
      </c>
      <c r="O20" s="16" t="n">
        <v>333.62</v>
      </c>
      <c r="P20" s="16" t="n">
        <v>333.62</v>
      </c>
      <c r="Q20" s="16" t="n">
        <v>333.62</v>
      </c>
      <c r="R20" s="16" t="n">
        <v>333.62</v>
      </c>
      <c r="S20" s="16" t="n">
        <v>333.62</v>
      </c>
      <c r="T20" s="16" t="n">
        <v>333.62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CANON-202509-000586</t>
        </is>
      </c>
      <c r="B21" s="3" t="inlineStr">
        <is>
          <t>2025-09-10</t>
        </is>
      </c>
      <c r="C21" s="3" t="inlineStr">
        <is>
          <t>Marisol Okonkwo</t>
        </is>
      </c>
      <c r="D21" s="3" t="inlineStr">
        <is>
          <t>ID</t>
        </is>
      </c>
      <c r="E21" s="14" t="n">
        <v>285000</v>
      </c>
      <c r="F21" s="14" t="n">
        <v>3829.39</v>
      </c>
      <c r="G21" s="14" t="n">
        <v>478.67</v>
      </c>
      <c r="H21" s="14" t="n">
        <v>478.67</v>
      </c>
      <c r="I21" s="14">
        <f>SUM(K21:T21)</f>
        <v/>
      </c>
      <c r="J21" s="14">
        <f>F21-(G21+H21+I21)</f>
        <v/>
      </c>
      <c r="K21" s="14" t="n">
        <v>287.2</v>
      </c>
      <c r="L21" s="14" t="n">
        <v>287.2</v>
      </c>
      <c r="M21" s="14" t="n">
        <v>287.2</v>
      </c>
      <c r="N21" s="14" t="n">
        <v>287.2</v>
      </c>
      <c r="O21" s="14" t="n">
        <v>287.2</v>
      </c>
      <c r="P21" s="14" t="n">
        <v>287.2</v>
      </c>
      <c r="Q21" s="14" t="n">
        <v>287.2</v>
      </c>
      <c r="R21" s="14" t="n">
        <v>287.2</v>
      </c>
      <c r="S21" s="14" t="n">
        <v>287.2</v>
      </c>
      <c r="T21" s="14" t="n">
        <v>287.2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CANON-202509-000587</t>
        </is>
      </c>
      <c r="B22" s="15" t="inlineStr">
        <is>
          <t>2025-09-25</t>
        </is>
      </c>
      <c r="C22" s="15" t="inlineStr">
        <is>
          <t>Wilhelmina Nakashima</t>
        </is>
      </c>
      <c r="D22" s="15" t="inlineStr">
        <is>
          <t>CO</t>
        </is>
      </c>
      <c r="E22" s="16" t="n">
        <v>905000</v>
      </c>
      <c r="F22" s="16" t="n">
        <v>11709.61</v>
      </c>
      <c r="G22" s="16" t="n">
        <v>1463.7</v>
      </c>
      <c r="H22" s="16" t="n">
        <v>1463.7</v>
      </c>
      <c r="I22" s="16">
        <f>SUM(K22:T22)</f>
        <v/>
      </c>
      <c r="J22" s="16">
        <f>F22-(G22+H22+I22)</f>
        <v/>
      </c>
      <c r="K22" s="16" t="n">
        <v>878.22</v>
      </c>
      <c r="L22" s="16" t="n">
        <v>878.22</v>
      </c>
      <c r="M22" s="16" t="n">
        <v>878.22</v>
      </c>
      <c r="N22" s="16" t="n">
        <v>878.22</v>
      </c>
      <c r="O22" s="16" t="n">
        <v>878.22</v>
      </c>
      <c r="P22" s="16" t="n">
        <v>878.22</v>
      </c>
      <c r="Q22" s="16" t="n">
        <v>878.22</v>
      </c>
      <c r="R22" s="16" t="n">
        <v>878.22</v>
      </c>
      <c r="S22" s="16" t="n">
        <v>878.22</v>
      </c>
      <c r="T22" s="16" t="n">
        <v>878.22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CANON-202509-000588</t>
        </is>
      </c>
      <c r="B23" s="3" t="inlineStr">
        <is>
          <t>2025-09-09</t>
        </is>
      </c>
      <c r="C23" s="3" t="inlineStr">
        <is>
          <t>Callum Harrington</t>
        </is>
      </c>
      <c r="D23" s="3" t="inlineStr">
        <is>
          <t>MA</t>
        </is>
      </c>
      <c r="E23" s="14" t="n">
        <v>465000</v>
      </c>
      <c r="F23" s="14" t="n">
        <v>7888.83</v>
      </c>
      <c r="G23" s="14" t="n">
        <v>986.1</v>
      </c>
      <c r="H23" s="14" t="n">
        <v>986.1</v>
      </c>
      <c r="I23" s="14">
        <f>SUM(K23:T23)</f>
        <v/>
      </c>
      <c r="J23" s="14">
        <f>F23-(G23+H23+I23)</f>
        <v/>
      </c>
      <c r="K23" s="14" t="n">
        <v>591.66</v>
      </c>
      <c r="L23" s="14" t="n">
        <v>591.66</v>
      </c>
      <c r="M23" s="14" t="n">
        <v>591.66</v>
      </c>
      <c r="N23" s="14" t="n">
        <v>591.66</v>
      </c>
      <c r="O23" s="14" t="n">
        <v>591.66</v>
      </c>
      <c r="P23" s="14" t="n">
        <v>591.66</v>
      </c>
      <c r="Q23" s="14" t="n">
        <v>591.66</v>
      </c>
      <c r="R23" s="14" t="n">
        <v>591.66</v>
      </c>
      <c r="S23" s="14" t="n">
        <v>591.66</v>
      </c>
      <c r="T23" s="14" t="n">
        <v>591.66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CANON-202509-000591</t>
        </is>
      </c>
      <c r="B24" s="15" t="inlineStr">
        <is>
          <t>2025-09-10</t>
        </is>
      </c>
      <c r="C24" s="15" t="inlineStr">
        <is>
          <t>Saoirse Underwood</t>
        </is>
      </c>
      <c r="D24" s="15" t="inlineStr">
        <is>
          <t>MI</t>
        </is>
      </c>
      <c r="E24" s="16" t="n">
        <v>1095000</v>
      </c>
      <c r="F24" s="16" t="n">
        <v>11671.25</v>
      </c>
      <c r="G24" s="16" t="n">
        <v>1458.91</v>
      </c>
      <c r="H24" s="16" t="n">
        <v>1458.91</v>
      </c>
      <c r="I24" s="16">
        <f>SUM(K24:T24)</f>
        <v/>
      </c>
      <c r="J24" s="16">
        <f>F24-(G24+H24+I24)</f>
        <v/>
      </c>
      <c r="K24" s="16" t="n">
        <v>875.34</v>
      </c>
      <c r="L24" s="16" t="n">
        <v>875.34</v>
      </c>
      <c r="M24" s="16" t="n">
        <v>875.34</v>
      </c>
      <c r="N24" s="16" t="n">
        <v>875.34</v>
      </c>
      <c r="O24" s="16" t="n">
        <v>875.34</v>
      </c>
      <c r="P24" s="16" t="n">
        <v>875.34</v>
      </c>
      <c r="Q24" s="16" t="n">
        <v>875.34</v>
      </c>
      <c r="R24" s="16" t="n">
        <v>875.34</v>
      </c>
      <c r="S24" s="16" t="n">
        <v>875.34</v>
      </c>
      <c r="T24" s="16" t="n">
        <v>875.34</v>
      </c>
      <c r="U24" s="16" t="n">
        <v>350</v>
      </c>
      <c r="V24" s="16" t="n">
        <v>250</v>
      </c>
      <c r="W24" s="16">
        <f>U24+V24</f>
        <v/>
      </c>
    </row>
    <row r="25">
      <c r="A25" s="3" t="inlineStr">
        <is>
          <t>CANON-202509-000592</t>
        </is>
      </c>
      <c r="B25" s="3" t="inlineStr">
        <is>
          <t>2025-09-09</t>
        </is>
      </c>
      <c r="C25" s="3" t="inlineStr">
        <is>
          <t>Ottilie Blackwood</t>
        </is>
      </c>
      <c r="D25" s="3" t="inlineStr">
        <is>
          <t>NY</t>
        </is>
      </c>
      <c r="E25" s="14" t="n">
        <v>395000</v>
      </c>
      <c r="F25" s="14" t="n">
        <v>6862.09</v>
      </c>
      <c r="G25" s="14" t="n">
        <v>857.76</v>
      </c>
      <c r="H25" s="14" t="n">
        <v>857.76</v>
      </c>
      <c r="I25" s="14">
        <f>SUM(K25:T25)</f>
        <v/>
      </c>
      <c r="J25" s="14">
        <f>F25-(G25+H25+I25)</f>
        <v/>
      </c>
      <c r="K25" s="14" t="n">
        <v>514.66</v>
      </c>
      <c r="L25" s="14" t="n">
        <v>514.66</v>
      </c>
      <c r="M25" s="14" t="n">
        <v>514.66</v>
      </c>
      <c r="N25" s="14" t="n">
        <v>514.66</v>
      </c>
      <c r="O25" s="14" t="n">
        <v>514.66</v>
      </c>
      <c r="P25" s="14" t="n">
        <v>514.66</v>
      </c>
      <c r="Q25" s="14" t="n">
        <v>514.66</v>
      </c>
      <c r="R25" s="14" t="n">
        <v>514.66</v>
      </c>
      <c r="S25" s="14" t="n">
        <v>514.66</v>
      </c>
      <c r="T25" s="14" t="n">
        <v>514.66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CANON-202509-000593</t>
        </is>
      </c>
      <c r="B26" s="15" t="inlineStr">
        <is>
          <t>2025-09-11</t>
        </is>
      </c>
      <c r="C26" s="15" t="inlineStr">
        <is>
          <t>Cassius Pennington</t>
        </is>
      </c>
      <c r="D26" s="15" t="inlineStr">
        <is>
          <t>SC</t>
        </is>
      </c>
      <c r="E26" s="16" t="n">
        <v>1200000</v>
      </c>
      <c r="F26" s="16" t="n">
        <v>21541.75</v>
      </c>
      <c r="G26" s="16" t="n">
        <v>2692.72</v>
      </c>
      <c r="H26" s="16" t="n">
        <v>2692.72</v>
      </c>
      <c r="I26" s="16">
        <f>SUM(K26:T26)</f>
        <v/>
      </c>
      <c r="J26" s="16">
        <f>F26-(G26+H26+I26)</f>
        <v/>
      </c>
      <c r="K26" s="16" t="n">
        <v>1615.63</v>
      </c>
      <c r="L26" s="16" t="n">
        <v>1615.63</v>
      </c>
      <c r="M26" s="16" t="n">
        <v>1615.63</v>
      </c>
      <c r="N26" s="16" t="n">
        <v>1615.63</v>
      </c>
      <c r="O26" s="16" t="n">
        <v>1615.63</v>
      </c>
      <c r="P26" s="16" t="n">
        <v>1615.63</v>
      </c>
      <c r="Q26" s="16" t="n">
        <v>1615.63</v>
      </c>
      <c r="R26" s="16" t="n">
        <v>1615.63</v>
      </c>
      <c r="S26" s="16" t="n">
        <v>1615.63</v>
      </c>
      <c r="T26" s="16" t="n">
        <v>1615.63</v>
      </c>
      <c r="U26" s="16" t="n">
        <v>350</v>
      </c>
      <c r="V26" s="16" t="n">
        <v>250</v>
      </c>
      <c r="W26" s="16">
        <f>U26+V26</f>
        <v/>
      </c>
    </row>
    <row r="27">
      <c r="A27" s="3" t="inlineStr">
        <is>
          <t>CANON-202509-000596</t>
        </is>
      </c>
      <c r="B27" s="3" t="inlineStr">
        <is>
          <t>2025-09-28</t>
        </is>
      </c>
      <c r="C27" s="3" t="inlineStr">
        <is>
          <t>Desmond Kingsford</t>
        </is>
      </c>
      <c r="D27" s="3" t="inlineStr">
        <is>
          <t>WV</t>
        </is>
      </c>
      <c r="E27" s="14" t="n">
        <v>1360000</v>
      </c>
      <c r="F27" s="14" t="n">
        <v>12438.33</v>
      </c>
      <c r="G27" s="14" t="n">
        <v>1554.79</v>
      </c>
      <c r="H27" s="14" t="n">
        <v>1554.79</v>
      </c>
      <c r="I27" s="14">
        <f>SUM(K27:T27)</f>
        <v/>
      </c>
      <c r="J27" s="14">
        <f>F27-(G27+H27+I27)</f>
        <v/>
      </c>
      <c r="K27" s="14" t="n">
        <v>932.87</v>
      </c>
      <c r="L27" s="14" t="n">
        <v>932.87</v>
      </c>
      <c r="M27" s="14" t="n">
        <v>932.87</v>
      </c>
      <c r="N27" s="14" t="n">
        <v>932.87</v>
      </c>
      <c r="O27" s="14" t="n">
        <v>932.87</v>
      </c>
      <c r="P27" s="14" t="n">
        <v>932.87</v>
      </c>
      <c r="Q27" s="14" t="n">
        <v>932.87</v>
      </c>
      <c r="R27" s="14" t="n">
        <v>932.87</v>
      </c>
      <c r="S27" s="14" t="n">
        <v>932.87</v>
      </c>
      <c r="T27" s="14" t="n">
        <v>932.87</v>
      </c>
      <c r="U27" s="14" t="n">
        <v>350</v>
      </c>
      <c r="V27" s="14" t="n">
        <v>250</v>
      </c>
      <c r="W27" s="14">
        <f>U27+V27</f>
        <v/>
      </c>
    </row>
    <row r="28">
      <c r="A28" s="15" t="inlineStr">
        <is>
          <t>CANON-202509-000597</t>
        </is>
      </c>
      <c r="B28" s="15" t="inlineStr">
        <is>
          <t>2025-09-14</t>
        </is>
      </c>
      <c r="C28" s="15" t="inlineStr">
        <is>
          <t>Beatrix Kingsford</t>
        </is>
      </c>
      <c r="D28" s="15" t="inlineStr">
        <is>
          <t>WV</t>
        </is>
      </c>
      <c r="E28" s="16" t="n">
        <v>850000</v>
      </c>
      <c r="F28" s="16" t="n">
        <v>13297.56</v>
      </c>
      <c r="G28" s="16" t="n">
        <v>1662.19</v>
      </c>
      <c r="H28" s="16" t="n">
        <v>1662.19</v>
      </c>
      <c r="I28" s="16">
        <f>SUM(K28:T28)</f>
        <v/>
      </c>
      <c r="J28" s="16">
        <f>F28-(G28+H28+I28)</f>
        <v/>
      </c>
      <c r="K28" s="16" t="n">
        <v>997.3200000000001</v>
      </c>
      <c r="L28" s="16" t="n">
        <v>997.3200000000001</v>
      </c>
      <c r="M28" s="16" t="n">
        <v>997.3200000000001</v>
      </c>
      <c r="N28" s="16" t="n">
        <v>997.3200000000001</v>
      </c>
      <c r="O28" s="16" t="n">
        <v>997.3200000000001</v>
      </c>
      <c r="P28" s="16" t="n">
        <v>997.3200000000001</v>
      </c>
      <c r="Q28" s="16" t="n">
        <v>997.3200000000001</v>
      </c>
      <c r="R28" s="16" t="n">
        <v>997.3200000000001</v>
      </c>
      <c r="S28" s="16" t="n">
        <v>997.3200000000001</v>
      </c>
      <c r="T28" s="16" t="n">
        <v>997.3200000000001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CANON-202509-000599</t>
        </is>
      </c>
      <c r="B29" s="3" t="inlineStr">
        <is>
          <t>2025-09-28</t>
        </is>
      </c>
      <c r="C29" s="3" t="inlineStr">
        <is>
          <t>Callum Montoya</t>
        </is>
      </c>
      <c r="D29" s="3" t="inlineStr">
        <is>
          <t>AR</t>
        </is>
      </c>
      <c r="E29" s="14" t="n">
        <v>1215000</v>
      </c>
      <c r="F29" s="14" t="n">
        <v>24273.55</v>
      </c>
      <c r="G29" s="14" t="n">
        <v>3034.19</v>
      </c>
      <c r="H29" s="14" t="n">
        <v>3034.19</v>
      </c>
      <c r="I29" s="14">
        <f>SUM(K29:T29)</f>
        <v/>
      </c>
      <c r="J29" s="14">
        <f>F29-(G29+H29+I29)</f>
        <v/>
      </c>
      <c r="K29" s="14" t="n">
        <v>1820.52</v>
      </c>
      <c r="L29" s="14" t="n">
        <v>1820.52</v>
      </c>
      <c r="M29" s="14" t="n">
        <v>1820.52</v>
      </c>
      <c r="N29" s="14" t="n">
        <v>1820.52</v>
      </c>
      <c r="O29" s="14" t="n">
        <v>1820.52</v>
      </c>
      <c r="P29" s="14" t="n">
        <v>1820.52</v>
      </c>
      <c r="Q29" s="14" t="n">
        <v>1820.52</v>
      </c>
      <c r="R29" s="14" t="n">
        <v>1820.52</v>
      </c>
      <c r="S29" s="14" t="n">
        <v>1820.52</v>
      </c>
      <c r="T29" s="14" t="n">
        <v>1820.52</v>
      </c>
      <c r="U29" s="14" t="n">
        <v>350</v>
      </c>
      <c r="V29" s="14" t="n">
        <v>250</v>
      </c>
      <c r="W29" s="14">
        <f>U29+V29</f>
        <v/>
      </c>
    </row>
    <row r="30">
      <c r="A30" s="15" t="inlineStr">
        <is>
          <t>CANON-202509-000600</t>
        </is>
      </c>
      <c r="B30" s="15" t="inlineStr">
        <is>
          <t>2025-09-16</t>
        </is>
      </c>
      <c r="C30" s="15" t="inlineStr">
        <is>
          <t>Fitzgerald Kingsford</t>
        </is>
      </c>
      <c r="D30" s="15" t="inlineStr">
        <is>
          <t>MI</t>
        </is>
      </c>
      <c r="E30" s="16" t="n">
        <v>1950000</v>
      </c>
      <c r="F30" s="16" t="n">
        <v>43756.67</v>
      </c>
      <c r="G30" s="16" t="n">
        <v>5469.58</v>
      </c>
      <c r="H30" s="16" t="n">
        <v>5469.58</v>
      </c>
      <c r="I30" s="16">
        <f>SUM(K30:T30)</f>
        <v/>
      </c>
      <c r="J30" s="16">
        <f>F30-(G30+H30+I30)</f>
        <v/>
      </c>
      <c r="K30" s="16" t="n">
        <v>3281.75</v>
      </c>
      <c r="L30" s="16" t="n">
        <v>3281.75</v>
      </c>
      <c r="M30" s="16" t="n">
        <v>3281.75</v>
      </c>
      <c r="N30" s="16" t="n">
        <v>3281.75</v>
      </c>
      <c r="O30" s="16" t="n">
        <v>3281.75</v>
      </c>
      <c r="P30" s="16" t="n">
        <v>3281.75</v>
      </c>
      <c r="Q30" s="16" t="n">
        <v>3281.75</v>
      </c>
      <c r="R30" s="16" t="n">
        <v>3281.75</v>
      </c>
      <c r="S30" s="16" t="n">
        <v>3281.75</v>
      </c>
      <c r="T30" s="16" t="n">
        <v>3281.75</v>
      </c>
      <c r="U30" s="16" t="n">
        <v>350</v>
      </c>
      <c r="V30" s="16" t="n">
        <v>250</v>
      </c>
      <c r="W30" s="16">
        <f>U30+V30</f>
        <v/>
      </c>
    </row>
    <row r="31">
      <c r="A31" s="3" t="inlineStr">
        <is>
          <t>CANON-202509-000604</t>
        </is>
      </c>
      <c r="B31" s="3" t="inlineStr">
        <is>
          <t>2025-09-25</t>
        </is>
      </c>
      <c r="C31" s="3" t="inlineStr">
        <is>
          <t>Wilhelmina Okonkwo</t>
        </is>
      </c>
      <c r="D31" s="3" t="inlineStr">
        <is>
          <t>WV</t>
        </is>
      </c>
      <c r="E31" s="14" t="n">
        <v>495000</v>
      </c>
      <c r="F31" s="14" t="n">
        <v>8935.23</v>
      </c>
      <c r="G31" s="14" t="n">
        <v>1116.9</v>
      </c>
      <c r="H31" s="14" t="n">
        <v>1116.9</v>
      </c>
      <c r="I31" s="14">
        <f>SUM(K31:T31)</f>
        <v/>
      </c>
      <c r="J31" s="14">
        <f>F31-(G31+H31+I31)</f>
        <v/>
      </c>
      <c r="K31" s="14" t="n">
        <v>670.14</v>
      </c>
      <c r="L31" s="14" t="n">
        <v>670.14</v>
      </c>
      <c r="M31" s="14" t="n">
        <v>670.14</v>
      </c>
      <c r="N31" s="14" t="n">
        <v>670.14</v>
      </c>
      <c r="O31" s="14" t="n">
        <v>670.14</v>
      </c>
      <c r="P31" s="14" t="n">
        <v>670.14</v>
      </c>
      <c r="Q31" s="14" t="n">
        <v>670.14</v>
      </c>
      <c r="R31" s="14" t="n">
        <v>670.14</v>
      </c>
      <c r="S31" s="14" t="n">
        <v>670.14</v>
      </c>
      <c r="T31" s="14" t="n">
        <v>670.14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CANON-202509-000608</t>
        </is>
      </c>
      <c r="B32" s="15" t="inlineStr">
        <is>
          <t>2025-09-23</t>
        </is>
      </c>
      <c r="C32" s="15" t="inlineStr">
        <is>
          <t>Leopold Whitlock</t>
        </is>
      </c>
      <c r="D32" s="15" t="inlineStr">
        <is>
          <t>NC</t>
        </is>
      </c>
      <c r="E32" s="16" t="n">
        <v>360000</v>
      </c>
      <c r="F32" s="16" t="n">
        <v>5618.88</v>
      </c>
      <c r="G32" s="16" t="n">
        <v>702.36</v>
      </c>
      <c r="H32" s="16" t="n">
        <v>702.36</v>
      </c>
      <c r="I32" s="16">
        <f>SUM(K32:T32)</f>
        <v/>
      </c>
      <c r="J32" s="16">
        <f>F32-(G32+H32+I32)</f>
        <v/>
      </c>
      <c r="K32" s="16" t="n">
        <v>421.42</v>
      </c>
      <c r="L32" s="16" t="n">
        <v>421.42</v>
      </c>
      <c r="M32" s="16" t="n">
        <v>421.42</v>
      </c>
      <c r="N32" s="16" t="n">
        <v>421.42</v>
      </c>
      <c r="O32" s="16" t="n">
        <v>421.42</v>
      </c>
      <c r="P32" s="16" t="n">
        <v>421.42</v>
      </c>
      <c r="Q32" s="16" t="n">
        <v>421.42</v>
      </c>
      <c r="R32" s="16" t="n">
        <v>421.42</v>
      </c>
      <c r="S32" s="16" t="n">
        <v>421.42</v>
      </c>
      <c r="T32" s="16" t="n">
        <v>421.42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CANON-202509-000609</t>
        </is>
      </c>
      <c r="B33" s="3" t="inlineStr">
        <is>
          <t>2025-09-13</t>
        </is>
      </c>
      <c r="C33" s="3" t="inlineStr">
        <is>
          <t>Horace Castellanos</t>
        </is>
      </c>
      <c r="D33" s="3" t="inlineStr">
        <is>
          <t>CA</t>
        </is>
      </c>
      <c r="E33" s="14" t="n">
        <v>740000</v>
      </c>
      <c r="F33" s="14" t="n">
        <v>11750.79</v>
      </c>
      <c r="G33" s="14" t="n">
        <v>1468.85</v>
      </c>
      <c r="H33" s="14" t="n">
        <v>1468.85</v>
      </c>
      <c r="I33" s="14">
        <f>SUM(K33:T33)</f>
        <v/>
      </c>
      <c r="J33" s="14">
        <f>F33-(G33+H33+I33)</f>
        <v/>
      </c>
      <c r="K33" s="14" t="n">
        <v>881.3099999999999</v>
      </c>
      <c r="L33" s="14" t="n">
        <v>881.3099999999999</v>
      </c>
      <c r="M33" s="14" t="n">
        <v>881.3099999999999</v>
      </c>
      <c r="N33" s="14" t="n">
        <v>881.3099999999999</v>
      </c>
      <c r="O33" s="14" t="n">
        <v>881.3099999999999</v>
      </c>
      <c r="P33" s="14" t="n">
        <v>881.3099999999999</v>
      </c>
      <c r="Q33" s="14" t="n">
        <v>881.3099999999999</v>
      </c>
      <c r="R33" s="14" t="n">
        <v>881.3099999999999</v>
      </c>
      <c r="S33" s="14" t="n">
        <v>881.3099999999999</v>
      </c>
      <c r="T33" s="14" t="n">
        <v>881.3099999999999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CANON-202509-000610</t>
        </is>
      </c>
      <c r="B34" s="15" t="inlineStr">
        <is>
          <t>2025-09-15</t>
        </is>
      </c>
      <c r="C34" s="15" t="inlineStr">
        <is>
          <t>Horace Kingsford</t>
        </is>
      </c>
      <c r="D34" s="15" t="inlineStr">
        <is>
          <t>CA</t>
        </is>
      </c>
      <c r="E34" s="16" t="n">
        <v>145000</v>
      </c>
      <c r="F34" s="16" t="n">
        <v>2019.14</v>
      </c>
      <c r="G34" s="16" t="n">
        <v>252.39</v>
      </c>
      <c r="H34" s="16" t="n">
        <v>252.39</v>
      </c>
      <c r="I34" s="16">
        <f>SUM(K34:T34)</f>
        <v/>
      </c>
      <c r="J34" s="16">
        <f>F34-(G34+H34+I34)</f>
        <v/>
      </c>
      <c r="K34" s="16" t="n">
        <v>151.44</v>
      </c>
      <c r="L34" s="16" t="n">
        <v>151.44</v>
      </c>
      <c r="M34" s="16" t="n">
        <v>151.44</v>
      </c>
      <c r="N34" s="16" t="n">
        <v>151.44</v>
      </c>
      <c r="O34" s="16" t="n">
        <v>151.44</v>
      </c>
      <c r="P34" s="16" t="n">
        <v>151.44</v>
      </c>
      <c r="Q34" s="16" t="n">
        <v>151.44</v>
      </c>
      <c r="R34" s="16" t="n">
        <v>151.44</v>
      </c>
      <c r="S34" s="16" t="n">
        <v>151.44</v>
      </c>
      <c r="T34" s="16" t="n">
        <v>151.44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CANON-202509-000612</t>
        </is>
      </c>
      <c r="B35" s="3" t="inlineStr">
        <is>
          <t>2025-09-13</t>
        </is>
      </c>
      <c r="C35" s="3" t="inlineStr">
        <is>
          <t>Horace Nakashima</t>
        </is>
      </c>
      <c r="D35" s="3" t="inlineStr">
        <is>
          <t>TN</t>
        </is>
      </c>
      <c r="E35" s="14" t="n">
        <v>1580000</v>
      </c>
      <c r="F35" s="14" t="n">
        <v>22416.16</v>
      </c>
      <c r="G35" s="14" t="n">
        <v>2802.02</v>
      </c>
      <c r="H35" s="14" t="n">
        <v>2802.02</v>
      </c>
      <c r="I35" s="14">
        <f>SUM(K35:T35)</f>
        <v/>
      </c>
      <c r="J35" s="14">
        <f>F35-(G35+H35+I35)</f>
        <v/>
      </c>
      <c r="K35" s="14" t="n">
        <v>1681.21</v>
      </c>
      <c r="L35" s="14" t="n">
        <v>1681.21</v>
      </c>
      <c r="M35" s="14" t="n">
        <v>1681.21</v>
      </c>
      <c r="N35" s="14" t="n">
        <v>1681.21</v>
      </c>
      <c r="O35" s="14" t="n">
        <v>1681.21</v>
      </c>
      <c r="P35" s="14" t="n">
        <v>1681.21</v>
      </c>
      <c r="Q35" s="14" t="n">
        <v>1681.21</v>
      </c>
      <c r="R35" s="14" t="n">
        <v>1681.21</v>
      </c>
      <c r="S35" s="14" t="n">
        <v>1681.21</v>
      </c>
      <c r="T35" s="14" t="n">
        <v>1681.21</v>
      </c>
      <c r="U35" s="14" t="n">
        <v>350</v>
      </c>
      <c r="V35" s="14" t="n">
        <v>250</v>
      </c>
      <c r="W35" s="14">
        <f>U35+V35</f>
        <v/>
      </c>
    </row>
    <row r="36">
      <c r="A36" s="15" t="inlineStr">
        <is>
          <t>CANON-202509-000613</t>
        </is>
      </c>
      <c r="B36" s="15" t="inlineStr">
        <is>
          <t>2025-09-28</t>
        </is>
      </c>
      <c r="C36" s="15" t="inlineStr">
        <is>
          <t>Noor Pennington</t>
        </is>
      </c>
      <c r="D36" s="15" t="inlineStr">
        <is>
          <t>MI</t>
        </is>
      </c>
      <c r="E36" s="16" t="n">
        <v>510000</v>
      </c>
      <c r="F36" s="16" t="n">
        <v>11157.95</v>
      </c>
      <c r="G36" s="16" t="n">
        <v>1394.74</v>
      </c>
      <c r="H36" s="16" t="n">
        <v>1394.74</v>
      </c>
      <c r="I36" s="16">
        <f>SUM(K36:T36)</f>
        <v/>
      </c>
      <c r="J36" s="16">
        <f>F36-(G36+H36+I36)</f>
        <v/>
      </c>
      <c r="K36" s="16" t="n">
        <v>836.85</v>
      </c>
      <c r="L36" s="16" t="n">
        <v>836.85</v>
      </c>
      <c r="M36" s="16" t="n">
        <v>836.85</v>
      </c>
      <c r="N36" s="16" t="n">
        <v>836.85</v>
      </c>
      <c r="O36" s="16" t="n">
        <v>836.85</v>
      </c>
      <c r="P36" s="16" t="n">
        <v>836.85</v>
      </c>
      <c r="Q36" s="16" t="n">
        <v>836.85</v>
      </c>
      <c r="R36" s="16" t="n">
        <v>836.85</v>
      </c>
      <c r="S36" s="16" t="n">
        <v>836.85</v>
      </c>
      <c r="T36" s="16" t="n">
        <v>836.85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CANON-202509-000614</t>
        </is>
      </c>
      <c r="B37" s="3" t="inlineStr">
        <is>
          <t>2025-09-15</t>
        </is>
      </c>
      <c r="C37" s="3" t="inlineStr">
        <is>
          <t>Desmond Larsson</t>
        </is>
      </c>
      <c r="D37" s="3" t="inlineStr">
        <is>
          <t>NC</t>
        </is>
      </c>
      <c r="E37" s="14" t="n">
        <v>645000</v>
      </c>
      <c r="F37" s="14" t="n">
        <v>8724.870000000001</v>
      </c>
      <c r="G37" s="14" t="n">
        <v>1090.61</v>
      </c>
      <c r="H37" s="14" t="n">
        <v>1090.61</v>
      </c>
      <c r="I37" s="14">
        <f>SUM(K37:T37)</f>
        <v/>
      </c>
      <c r="J37" s="14">
        <f>F37-(G37+H37+I37)</f>
        <v/>
      </c>
      <c r="K37" s="14" t="n">
        <v>654.37</v>
      </c>
      <c r="L37" s="14" t="n">
        <v>654.37</v>
      </c>
      <c r="M37" s="14" t="n">
        <v>654.37</v>
      </c>
      <c r="N37" s="14" t="n">
        <v>654.37</v>
      </c>
      <c r="O37" s="14" t="n">
        <v>654.37</v>
      </c>
      <c r="P37" s="14" t="n">
        <v>654.37</v>
      </c>
      <c r="Q37" s="14" t="n">
        <v>654.37</v>
      </c>
      <c r="R37" s="14" t="n">
        <v>654.37</v>
      </c>
      <c r="S37" s="14" t="n">
        <v>654.37</v>
      </c>
      <c r="T37" s="14" t="n">
        <v>654.37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CANON-202509-000615</t>
        </is>
      </c>
      <c r="B38" s="15" t="inlineStr">
        <is>
          <t>2025-09-10</t>
        </is>
      </c>
      <c r="C38" s="15" t="inlineStr">
        <is>
          <t>Anouk Farkas</t>
        </is>
      </c>
      <c r="D38" s="15" t="inlineStr">
        <is>
          <t>NJ</t>
        </is>
      </c>
      <c r="E38" s="16" t="n">
        <v>455000</v>
      </c>
      <c r="F38" s="16" t="n">
        <v>8616.65</v>
      </c>
      <c r="G38" s="16" t="n">
        <v>1077.08</v>
      </c>
      <c r="H38" s="16" t="n">
        <v>1077.08</v>
      </c>
      <c r="I38" s="16">
        <f>SUM(K38:T38)</f>
        <v/>
      </c>
      <c r="J38" s="16">
        <f>F38-(G38+H38+I38)</f>
        <v/>
      </c>
      <c r="K38" s="16" t="n">
        <v>646.25</v>
      </c>
      <c r="L38" s="16" t="n">
        <v>646.25</v>
      </c>
      <c r="M38" s="16" t="n">
        <v>646.25</v>
      </c>
      <c r="N38" s="16" t="n">
        <v>646.25</v>
      </c>
      <c r="O38" s="16" t="n">
        <v>646.25</v>
      </c>
      <c r="P38" s="16" t="n">
        <v>646.25</v>
      </c>
      <c r="Q38" s="16" t="n">
        <v>646.25</v>
      </c>
      <c r="R38" s="16" t="n">
        <v>646.25</v>
      </c>
      <c r="S38" s="16" t="n">
        <v>646.25</v>
      </c>
      <c r="T38" s="16" t="n">
        <v>646.25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CANON-202509-000616</t>
        </is>
      </c>
      <c r="B39" s="3" t="inlineStr">
        <is>
          <t>2025-09-20</t>
        </is>
      </c>
      <c r="C39" s="3" t="inlineStr">
        <is>
          <t>Horace Harrington</t>
        </is>
      </c>
      <c r="D39" s="3" t="inlineStr">
        <is>
          <t>NV</t>
        </is>
      </c>
      <c r="E39" s="14" t="n">
        <v>480000</v>
      </c>
      <c r="F39" s="14" t="n">
        <v>7622.13</v>
      </c>
      <c r="G39" s="14" t="n">
        <v>952.77</v>
      </c>
      <c r="H39" s="14" t="n">
        <v>952.77</v>
      </c>
      <c r="I39" s="14">
        <f>SUM(K39:T39)</f>
        <v/>
      </c>
      <c r="J39" s="14">
        <f>F39-(G39+H39+I39)</f>
        <v/>
      </c>
      <c r="K39" s="14" t="n">
        <v>571.66</v>
      </c>
      <c r="L39" s="14" t="n">
        <v>571.66</v>
      </c>
      <c r="M39" s="14" t="n">
        <v>571.66</v>
      </c>
      <c r="N39" s="14" t="n">
        <v>571.66</v>
      </c>
      <c r="O39" s="14" t="n">
        <v>571.66</v>
      </c>
      <c r="P39" s="14" t="n">
        <v>571.66</v>
      </c>
      <c r="Q39" s="14" t="n">
        <v>571.66</v>
      </c>
      <c r="R39" s="14" t="n">
        <v>571.66</v>
      </c>
      <c r="S39" s="14" t="n">
        <v>571.66</v>
      </c>
      <c r="T39" s="14" t="n">
        <v>571.66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CANON-202509-000621</t>
        </is>
      </c>
      <c r="B40" s="15" t="inlineStr">
        <is>
          <t>2025-09-05</t>
        </is>
      </c>
      <c r="C40" s="15" t="inlineStr">
        <is>
          <t>Ramona Blackwood</t>
        </is>
      </c>
      <c r="D40" s="15" t="inlineStr">
        <is>
          <t>NJ</t>
        </is>
      </c>
      <c r="E40" s="16" t="n">
        <v>1125000</v>
      </c>
      <c r="F40" s="16" t="n">
        <v>10189.31</v>
      </c>
      <c r="G40" s="16" t="n">
        <v>1273.66</v>
      </c>
      <c r="H40" s="16" t="n">
        <v>1273.66</v>
      </c>
      <c r="I40" s="16">
        <f>SUM(K40:T40)</f>
        <v/>
      </c>
      <c r="J40" s="16">
        <f>F40-(G40+H40+I40)</f>
        <v/>
      </c>
      <c r="K40" s="16" t="n">
        <v>764.2</v>
      </c>
      <c r="L40" s="16" t="n">
        <v>764.2</v>
      </c>
      <c r="M40" s="16" t="n">
        <v>764.2</v>
      </c>
      <c r="N40" s="16" t="n">
        <v>764.2</v>
      </c>
      <c r="O40" s="16" t="n">
        <v>764.2</v>
      </c>
      <c r="P40" s="16" t="n">
        <v>764.2</v>
      </c>
      <c r="Q40" s="16" t="n">
        <v>764.2</v>
      </c>
      <c r="R40" s="16" t="n">
        <v>764.2</v>
      </c>
      <c r="S40" s="16" t="n">
        <v>764.2</v>
      </c>
      <c r="T40" s="16" t="n">
        <v>764.2</v>
      </c>
      <c r="U40" s="16" t="n">
        <v>350</v>
      </c>
      <c r="V40" s="16" t="n">
        <v>250</v>
      </c>
      <c r="W40" s="16">
        <f>U40+V40</f>
        <v/>
      </c>
    </row>
    <row r="41">
      <c r="A41" s="3" t="inlineStr">
        <is>
          <t>CANON-202509-000622</t>
        </is>
      </c>
      <c r="B41" s="3" t="inlineStr">
        <is>
          <t>2025-09-15</t>
        </is>
      </c>
      <c r="C41" s="3" t="inlineStr">
        <is>
          <t>Leopold Bellandi</t>
        </is>
      </c>
      <c r="D41" s="3" t="inlineStr">
        <is>
          <t>CA</t>
        </is>
      </c>
      <c r="E41" s="14" t="n">
        <v>590000</v>
      </c>
      <c r="F41" s="14" t="n">
        <v>9368.870000000001</v>
      </c>
      <c r="G41" s="14" t="n">
        <v>1171.11</v>
      </c>
      <c r="H41" s="14" t="n">
        <v>1171.11</v>
      </c>
      <c r="I41" s="14">
        <f>SUM(K41:T41)</f>
        <v/>
      </c>
      <c r="J41" s="14">
        <f>F41-(G41+H41+I41)</f>
        <v/>
      </c>
      <c r="K41" s="14" t="n">
        <v>702.67</v>
      </c>
      <c r="L41" s="14" t="n">
        <v>702.67</v>
      </c>
      <c r="M41" s="14" t="n">
        <v>702.67</v>
      </c>
      <c r="N41" s="14" t="n">
        <v>702.67</v>
      </c>
      <c r="O41" s="14" t="n">
        <v>702.67</v>
      </c>
      <c r="P41" s="14" t="n">
        <v>702.67</v>
      </c>
      <c r="Q41" s="14" t="n">
        <v>702.67</v>
      </c>
      <c r="R41" s="14" t="n">
        <v>702.67</v>
      </c>
      <c r="S41" s="14" t="n">
        <v>702.67</v>
      </c>
      <c r="T41" s="14" t="n">
        <v>702.67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CANON-202509-000623</t>
        </is>
      </c>
      <c r="B42" s="15" t="inlineStr">
        <is>
          <t>2025-09-09</t>
        </is>
      </c>
      <c r="C42" s="15" t="inlineStr">
        <is>
          <t>Callum Chattopadhyay</t>
        </is>
      </c>
      <c r="D42" s="15" t="inlineStr">
        <is>
          <t>NY</t>
        </is>
      </c>
      <c r="E42" s="16" t="n">
        <v>200000</v>
      </c>
      <c r="F42" s="16" t="n">
        <v>4262.02</v>
      </c>
      <c r="G42" s="16" t="n">
        <v>532.75</v>
      </c>
      <c r="H42" s="16" t="n">
        <v>532.75</v>
      </c>
      <c r="I42" s="16">
        <f>SUM(K42:T42)</f>
        <v/>
      </c>
      <c r="J42" s="16">
        <f>F42-(G42+H42+I42)</f>
        <v/>
      </c>
      <c r="K42" s="16" t="n">
        <v>319.65</v>
      </c>
      <c r="L42" s="16" t="n">
        <v>319.65</v>
      </c>
      <c r="M42" s="16" t="n">
        <v>319.65</v>
      </c>
      <c r="N42" s="16" t="n">
        <v>319.65</v>
      </c>
      <c r="O42" s="16" t="n">
        <v>319.65</v>
      </c>
      <c r="P42" s="16" t="n">
        <v>319.65</v>
      </c>
      <c r="Q42" s="16" t="n">
        <v>319.65</v>
      </c>
      <c r="R42" s="16" t="n">
        <v>319.65</v>
      </c>
      <c r="S42" s="16" t="n">
        <v>319.65</v>
      </c>
      <c r="T42" s="16" t="n">
        <v>319.65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CANON-202509-000624</t>
        </is>
      </c>
      <c r="B43" s="3" t="inlineStr">
        <is>
          <t>2025-09-06</t>
        </is>
      </c>
      <c r="C43" s="3" t="inlineStr">
        <is>
          <t>Fenwick Thistlewood</t>
        </is>
      </c>
      <c r="D43" s="3" t="inlineStr">
        <is>
          <t>AK</t>
        </is>
      </c>
      <c r="E43" s="14" t="n">
        <v>745000</v>
      </c>
      <c r="F43" s="14" t="n">
        <v>9989.93</v>
      </c>
      <c r="G43" s="14" t="n">
        <v>1248.74</v>
      </c>
      <c r="H43" s="14" t="n">
        <v>1248.74</v>
      </c>
      <c r="I43" s="14">
        <f>SUM(K43:T43)</f>
        <v/>
      </c>
      <c r="J43" s="14">
        <f>F43-(G43+H43+I43)</f>
        <v/>
      </c>
      <c r="K43" s="14" t="n">
        <v>749.24</v>
      </c>
      <c r="L43" s="14" t="n">
        <v>749.24</v>
      </c>
      <c r="M43" s="14" t="n">
        <v>749.24</v>
      </c>
      <c r="N43" s="14" t="n">
        <v>749.24</v>
      </c>
      <c r="O43" s="14" t="n">
        <v>749.24</v>
      </c>
      <c r="P43" s="14" t="n">
        <v>749.24</v>
      </c>
      <c r="Q43" s="14" t="n">
        <v>749.24</v>
      </c>
      <c r="R43" s="14" t="n">
        <v>749.24</v>
      </c>
      <c r="S43" s="14" t="n">
        <v>749.24</v>
      </c>
      <c r="T43" s="14" t="n">
        <v>749.24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CANON-202509-000625</t>
        </is>
      </c>
      <c r="B44" s="15" t="inlineStr">
        <is>
          <t>2025-09-19</t>
        </is>
      </c>
      <c r="C44" s="15" t="inlineStr">
        <is>
          <t>Sunniva Fairweather</t>
        </is>
      </c>
      <c r="D44" s="15" t="inlineStr">
        <is>
          <t>NH</t>
        </is>
      </c>
      <c r="E44" s="16" t="n">
        <v>325000</v>
      </c>
      <c r="F44" s="16" t="n">
        <v>4587.39</v>
      </c>
      <c r="G44" s="16" t="n">
        <v>573.42</v>
      </c>
      <c r="H44" s="16" t="n">
        <v>573.42</v>
      </c>
      <c r="I44" s="16">
        <f>SUM(K44:T44)</f>
        <v/>
      </c>
      <c r="J44" s="16">
        <f>F44-(G44+H44+I44)</f>
        <v/>
      </c>
      <c r="K44" s="16" t="n">
        <v>344.05</v>
      </c>
      <c r="L44" s="16" t="n">
        <v>344.05</v>
      </c>
      <c r="M44" s="16" t="n">
        <v>344.05</v>
      </c>
      <c r="N44" s="16" t="n">
        <v>344.05</v>
      </c>
      <c r="O44" s="16" t="n">
        <v>344.05</v>
      </c>
      <c r="P44" s="16" t="n">
        <v>344.05</v>
      </c>
      <c r="Q44" s="16" t="n">
        <v>344.05</v>
      </c>
      <c r="R44" s="16" t="n">
        <v>344.05</v>
      </c>
      <c r="S44" s="16" t="n">
        <v>344.05</v>
      </c>
      <c r="T44" s="16" t="n">
        <v>344.05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CANON-202509-000626</t>
        </is>
      </c>
      <c r="B45" s="3" t="inlineStr">
        <is>
          <t>2025-09-22</t>
        </is>
      </c>
      <c r="C45" s="3" t="inlineStr">
        <is>
          <t>Fenwick Bellandi</t>
        </is>
      </c>
      <c r="D45" s="3" t="inlineStr">
        <is>
          <t>OH</t>
        </is>
      </c>
      <c r="E45" s="14" t="n">
        <v>1950000</v>
      </c>
      <c r="F45" s="14" t="n">
        <v>18638.93</v>
      </c>
      <c r="G45" s="14" t="n">
        <v>2329.87</v>
      </c>
      <c r="H45" s="14" t="n">
        <v>2329.87</v>
      </c>
      <c r="I45" s="14">
        <f>SUM(K45:T45)</f>
        <v/>
      </c>
      <c r="J45" s="14">
        <f>F45-(G45+H45+I45)</f>
        <v/>
      </c>
      <c r="K45" s="14" t="n">
        <v>1397.92</v>
      </c>
      <c r="L45" s="14" t="n">
        <v>1397.92</v>
      </c>
      <c r="M45" s="14" t="n">
        <v>1397.92</v>
      </c>
      <c r="N45" s="14" t="n">
        <v>1397.92</v>
      </c>
      <c r="O45" s="14" t="n">
        <v>1397.92</v>
      </c>
      <c r="P45" s="14" t="n">
        <v>1397.92</v>
      </c>
      <c r="Q45" s="14" t="n">
        <v>1397.92</v>
      </c>
      <c r="R45" s="14" t="n">
        <v>1397.92</v>
      </c>
      <c r="S45" s="14" t="n">
        <v>1397.92</v>
      </c>
      <c r="T45" s="14" t="n">
        <v>1397.92</v>
      </c>
      <c r="U45" s="14" t="n">
        <v>350</v>
      </c>
      <c r="V45" s="14" t="n">
        <v>250</v>
      </c>
      <c r="W45" s="14">
        <f>U45+V45</f>
        <v/>
      </c>
    </row>
    <row r="46">
      <c r="A46" s="15" t="inlineStr">
        <is>
          <t>CANON-202509-000627</t>
        </is>
      </c>
      <c r="B46" s="15" t="inlineStr">
        <is>
          <t>2025-09-12</t>
        </is>
      </c>
      <c r="C46" s="15" t="inlineStr">
        <is>
          <t>Desmond Bellandi</t>
        </is>
      </c>
      <c r="D46" s="15" t="inlineStr">
        <is>
          <t>FL</t>
        </is>
      </c>
      <c r="E46" s="16" t="n">
        <v>875000</v>
      </c>
      <c r="F46" s="16" t="n">
        <v>14614.97</v>
      </c>
      <c r="G46" s="16" t="n">
        <v>1826.87</v>
      </c>
      <c r="H46" s="16" t="n">
        <v>1826.87</v>
      </c>
      <c r="I46" s="16">
        <f>SUM(K46:T46)</f>
        <v/>
      </c>
      <c r="J46" s="16">
        <f>F46-(G46+H46+I46)</f>
        <v/>
      </c>
      <c r="K46" s="16" t="n">
        <v>1096.12</v>
      </c>
      <c r="L46" s="16" t="n">
        <v>1096.12</v>
      </c>
      <c r="M46" s="16" t="n">
        <v>1096.12</v>
      </c>
      <c r="N46" s="16" t="n">
        <v>1096.12</v>
      </c>
      <c r="O46" s="16" t="n">
        <v>1096.12</v>
      </c>
      <c r="P46" s="16" t="n">
        <v>1096.12</v>
      </c>
      <c r="Q46" s="16" t="n">
        <v>1096.12</v>
      </c>
      <c r="R46" s="16" t="n">
        <v>1096.12</v>
      </c>
      <c r="S46" s="16" t="n">
        <v>1096.12</v>
      </c>
      <c r="T46" s="16" t="n">
        <v>1096.12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CANON-202509-000628</t>
        </is>
      </c>
      <c r="B47" s="3" t="inlineStr">
        <is>
          <t>2025-09-29</t>
        </is>
      </c>
      <c r="C47" s="3" t="inlineStr">
        <is>
          <t>Ottilie Montoya</t>
        </is>
      </c>
      <c r="D47" s="3" t="inlineStr">
        <is>
          <t>NC</t>
        </is>
      </c>
      <c r="E47" s="14" t="n">
        <v>340000</v>
      </c>
      <c r="F47" s="14" t="n">
        <v>5306.72</v>
      </c>
      <c r="G47" s="14" t="n">
        <v>663.34</v>
      </c>
      <c r="H47" s="14" t="n">
        <v>663.34</v>
      </c>
      <c r="I47" s="14">
        <f>SUM(K47:T47)</f>
        <v/>
      </c>
      <c r="J47" s="14">
        <f>F47-(G47+H47+I47)</f>
        <v/>
      </c>
      <c r="K47" s="14" t="n">
        <v>398</v>
      </c>
      <c r="L47" s="14" t="n">
        <v>398</v>
      </c>
      <c r="M47" s="14" t="n">
        <v>398</v>
      </c>
      <c r="N47" s="14" t="n">
        <v>398</v>
      </c>
      <c r="O47" s="14" t="n">
        <v>398</v>
      </c>
      <c r="P47" s="14" t="n">
        <v>398</v>
      </c>
      <c r="Q47" s="14" t="n">
        <v>398</v>
      </c>
      <c r="R47" s="14" t="n">
        <v>398</v>
      </c>
      <c r="S47" s="14" t="n">
        <v>398</v>
      </c>
      <c r="T47" s="14" t="n">
        <v>398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CANON-202509-000631</t>
        </is>
      </c>
      <c r="B48" s="15" t="inlineStr">
        <is>
          <t>2025-09-11</t>
        </is>
      </c>
      <c r="C48" s="15" t="inlineStr">
        <is>
          <t>Leopold Bellandi</t>
        </is>
      </c>
      <c r="D48" s="15" t="inlineStr">
        <is>
          <t>AR</t>
        </is>
      </c>
      <c r="E48" s="16" t="n">
        <v>1110000</v>
      </c>
      <c r="F48" s="16" t="n">
        <v>9424.73</v>
      </c>
      <c r="G48" s="16" t="n">
        <v>1178.09</v>
      </c>
      <c r="H48" s="16" t="n">
        <v>1178.09</v>
      </c>
      <c r="I48" s="16">
        <f>SUM(K48:T48)</f>
        <v/>
      </c>
      <c r="J48" s="16">
        <f>F48-(G48+H48+I48)</f>
        <v/>
      </c>
      <c r="K48" s="16" t="n">
        <v>706.85</v>
      </c>
      <c r="L48" s="16" t="n">
        <v>706.85</v>
      </c>
      <c r="M48" s="16" t="n">
        <v>706.85</v>
      </c>
      <c r="N48" s="16" t="n">
        <v>706.85</v>
      </c>
      <c r="O48" s="16" t="n">
        <v>706.85</v>
      </c>
      <c r="P48" s="16" t="n">
        <v>706.85</v>
      </c>
      <c r="Q48" s="16" t="n">
        <v>706.85</v>
      </c>
      <c r="R48" s="16" t="n">
        <v>706.85</v>
      </c>
      <c r="S48" s="16" t="n">
        <v>706.85</v>
      </c>
      <c r="T48" s="16" t="n">
        <v>706.85</v>
      </c>
      <c r="U48" s="16" t="n">
        <v>350</v>
      </c>
      <c r="V48" s="16" t="n">
        <v>250</v>
      </c>
      <c r="W48" s="16">
        <f>U48+V48</f>
        <v/>
      </c>
    </row>
    <row r="49">
      <c r="A49" s="3" t="inlineStr">
        <is>
          <t>CANON-202509-000632</t>
        </is>
      </c>
      <c r="B49" s="3" t="inlineStr">
        <is>
          <t>2025-09-07</t>
        </is>
      </c>
      <c r="C49" s="3" t="inlineStr">
        <is>
          <t>Everett Nakashima</t>
        </is>
      </c>
      <c r="D49" s="3" t="inlineStr">
        <is>
          <t>ME</t>
        </is>
      </c>
      <c r="E49" s="14" t="n">
        <v>535000</v>
      </c>
      <c r="F49" s="14" t="n">
        <v>9933.200000000001</v>
      </c>
      <c r="G49" s="14" t="n">
        <v>1241.65</v>
      </c>
      <c r="H49" s="14" t="n">
        <v>1241.65</v>
      </c>
      <c r="I49" s="14">
        <f>SUM(K49:T49)</f>
        <v/>
      </c>
      <c r="J49" s="14">
        <f>F49-(G49+H49+I49)</f>
        <v/>
      </c>
      <c r="K49" s="14" t="n">
        <v>744.99</v>
      </c>
      <c r="L49" s="14" t="n">
        <v>744.99</v>
      </c>
      <c r="M49" s="14" t="n">
        <v>744.99</v>
      </c>
      <c r="N49" s="14" t="n">
        <v>744.99</v>
      </c>
      <c r="O49" s="14" t="n">
        <v>744.99</v>
      </c>
      <c r="P49" s="14" t="n">
        <v>744.99</v>
      </c>
      <c r="Q49" s="14" t="n">
        <v>744.99</v>
      </c>
      <c r="R49" s="14" t="n">
        <v>744.99</v>
      </c>
      <c r="S49" s="14" t="n">
        <v>744.99</v>
      </c>
      <c r="T49" s="14" t="n">
        <v>744.99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CANON-202509-000633</t>
        </is>
      </c>
      <c r="B50" s="15" t="inlineStr">
        <is>
          <t>2025-09-15</t>
        </is>
      </c>
      <c r="C50" s="15" t="inlineStr">
        <is>
          <t>Callum Vasquez</t>
        </is>
      </c>
      <c r="D50" s="15" t="inlineStr">
        <is>
          <t>TX</t>
        </is>
      </c>
      <c r="E50" s="16" t="n">
        <v>520000</v>
      </c>
      <c r="F50" s="16" t="n">
        <v>7034</v>
      </c>
      <c r="G50" s="16" t="n">
        <v>879.25</v>
      </c>
      <c r="H50" s="16" t="n">
        <v>879.25</v>
      </c>
      <c r="I50" s="16">
        <f>SUM(K50:T50)</f>
        <v/>
      </c>
      <c r="J50" s="16">
        <f>F50-(G50+H50+I50)</f>
        <v/>
      </c>
      <c r="K50" s="16" t="n">
        <v>527.55</v>
      </c>
      <c r="L50" s="16" t="n">
        <v>527.55</v>
      </c>
      <c r="M50" s="16" t="n">
        <v>527.55</v>
      </c>
      <c r="N50" s="16" t="n">
        <v>527.55</v>
      </c>
      <c r="O50" s="16" t="n">
        <v>527.55</v>
      </c>
      <c r="P50" s="16" t="n">
        <v>527.55</v>
      </c>
      <c r="Q50" s="16" t="n">
        <v>527.55</v>
      </c>
      <c r="R50" s="16" t="n">
        <v>527.55</v>
      </c>
      <c r="S50" s="16" t="n">
        <v>527.55</v>
      </c>
      <c r="T50" s="16" t="n">
        <v>527.55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CANON-202509-000634</t>
        </is>
      </c>
      <c r="B51" s="3" t="inlineStr">
        <is>
          <t>2025-09-15</t>
        </is>
      </c>
      <c r="C51" s="3" t="inlineStr">
        <is>
          <t>Priya Thistlewood</t>
        </is>
      </c>
      <c r="D51" s="3" t="inlineStr">
        <is>
          <t>OH</t>
        </is>
      </c>
      <c r="E51" s="14" t="n">
        <v>290000</v>
      </c>
      <c r="F51" s="14" t="n">
        <v>8388.780000000001</v>
      </c>
      <c r="G51" s="14" t="n">
        <v>1048.6</v>
      </c>
      <c r="H51" s="14" t="n">
        <v>1048.6</v>
      </c>
      <c r="I51" s="14">
        <f>SUM(K51:T51)</f>
        <v/>
      </c>
      <c r="J51" s="14">
        <f>F51-(G51+H51+I51)</f>
        <v/>
      </c>
      <c r="K51" s="14" t="n">
        <v>629.16</v>
      </c>
      <c r="L51" s="14" t="n">
        <v>629.16</v>
      </c>
      <c r="M51" s="14" t="n">
        <v>629.16</v>
      </c>
      <c r="N51" s="14" t="n">
        <v>629.16</v>
      </c>
      <c r="O51" s="14" t="n">
        <v>629.16</v>
      </c>
      <c r="P51" s="14" t="n">
        <v>629.16</v>
      </c>
      <c r="Q51" s="14" t="n">
        <v>629.16</v>
      </c>
      <c r="R51" s="14" t="n">
        <v>629.16</v>
      </c>
      <c r="S51" s="14" t="n">
        <v>629.16</v>
      </c>
      <c r="T51" s="14" t="n">
        <v>629.16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CANON-202509-000639</t>
        </is>
      </c>
      <c r="B52" s="15" t="inlineStr">
        <is>
          <t>2025-09-30</t>
        </is>
      </c>
      <c r="C52" s="15" t="inlineStr">
        <is>
          <t>Noor Vandermeer</t>
        </is>
      </c>
      <c r="D52" s="15" t="inlineStr">
        <is>
          <t>NY</t>
        </is>
      </c>
      <c r="E52" s="16" t="n">
        <v>960000</v>
      </c>
      <c r="F52" s="16" t="n">
        <v>21124.81</v>
      </c>
      <c r="G52" s="16" t="n">
        <v>2640.6</v>
      </c>
      <c r="H52" s="16" t="n">
        <v>2640.6</v>
      </c>
      <c r="I52" s="16">
        <f>SUM(K52:T52)</f>
        <v/>
      </c>
      <c r="J52" s="16">
        <f>F52-(G52+H52+I52)</f>
        <v/>
      </c>
      <c r="K52" s="16" t="n">
        <v>1584.36</v>
      </c>
      <c r="L52" s="16" t="n">
        <v>1584.36</v>
      </c>
      <c r="M52" s="16" t="n">
        <v>1584.36</v>
      </c>
      <c r="N52" s="16" t="n">
        <v>1584.36</v>
      </c>
      <c r="O52" s="16" t="n">
        <v>1584.36</v>
      </c>
      <c r="P52" s="16" t="n">
        <v>1584.36</v>
      </c>
      <c r="Q52" s="16" t="n">
        <v>1584.36</v>
      </c>
      <c r="R52" s="16" t="n">
        <v>1584.36</v>
      </c>
      <c r="S52" s="16" t="n">
        <v>1584.36</v>
      </c>
      <c r="T52" s="16" t="n">
        <v>1584.36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CANON-202509-000641</t>
        </is>
      </c>
      <c r="B53" s="3" t="inlineStr">
        <is>
          <t>2025-09-08</t>
        </is>
      </c>
      <c r="C53" s="3" t="inlineStr">
        <is>
          <t>Beatrix Blackwood</t>
        </is>
      </c>
      <c r="D53" s="3" t="inlineStr">
        <is>
          <t>MO</t>
        </is>
      </c>
      <c r="E53" s="14" t="n">
        <v>275000</v>
      </c>
      <c r="F53" s="14" t="n">
        <v>3956.29</v>
      </c>
      <c r="G53" s="14" t="n">
        <v>494.54</v>
      </c>
      <c r="H53" s="14" t="n">
        <v>494.54</v>
      </c>
      <c r="I53" s="14">
        <f>SUM(K53:T53)</f>
        <v/>
      </c>
      <c r="J53" s="14">
        <f>F53-(G53+H53+I53)</f>
        <v/>
      </c>
      <c r="K53" s="14" t="n">
        <v>296.72</v>
      </c>
      <c r="L53" s="14" t="n">
        <v>296.72</v>
      </c>
      <c r="M53" s="14" t="n">
        <v>296.72</v>
      </c>
      <c r="N53" s="14" t="n">
        <v>296.72</v>
      </c>
      <c r="O53" s="14" t="n">
        <v>296.72</v>
      </c>
      <c r="P53" s="14" t="n">
        <v>296.72</v>
      </c>
      <c r="Q53" s="14" t="n">
        <v>296.72</v>
      </c>
      <c r="R53" s="14" t="n">
        <v>296.72</v>
      </c>
      <c r="S53" s="14" t="n">
        <v>296.72</v>
      </c>
      <c r="T53" s="14" t="n">
        <v>296.72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CANON-202509-000642</t>
        </is>
      </c>
      <c r="B54" s="15" t="inlineStr">
        <is>
          <t>2025-09-29</t>
        </is>
      </c>
      <c r="C54" s="15" t="inlineStr">
        <is>
          <t>Thaddeus Delacroix</t>
        </is>
      </c>
      <c r="D54" s="15" t="inlineStr">
        <is>
          <t>ID</t>
        </is>
      </c>
      <c r="E54" s="16" t="n">
        <v>270000</v>
      </c>
      <c r="F54" s="16" t="n">
        <v>5562.69</v>
      </c>
      <c r="G54" s="16" t="n">
        <v>695.34</v>
      </c>
      <c r="H54" s="16" t="n">
        <v>695.34</v>
      </c>
      <c r="I54" s="16">
        <f>SUM(K54:T54)</f>
        <v/>
      </c>
      <c r="J54" s="16">
        <f>F54-(G54+H54+I54)</f>
        <v/>
      </c>
      <c r="K54" s="16" t="n">
        <v>417.2</v>
      </c>
      <c r="L54" s="16" t="n">
        <v>417.2</v>
      </c>
      <c r="M54" s="16" t="n">
        <v>417.2</v>
      </c>
      <c r="N54" s="16" t="n">
        <v>417.2</v>
      </c>
      <c r="O54" s="16" t="n">
        <v>417.2</v>
      </c>
      <c r="P54" s="16" t="n">
        <v>417.2</v>
      </c>
      <c r="Q54" s="16" t="n">
        <v>417.2</v>
      </c>
      <c r="R54" s="16" t="n">
        <v>417.2</v>
      </c>
      <c r="S54" s="16" t="n">
        <v>417.2</v>
      </c>
      <c r="T54" s="16" t="n">
        <v>417.2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CANON-202509-000643</t>
        </is>
      </c>
      <c r="B55" s="3" t="inlineStr">
        <is>
          <t>2025-09-13</t>
        </is>
      </c>
      <c r="C55" s="3" t="inlineStr">
        <is>
          <t>Callum Underwood</t>
        </is>
      </c>
      <c r="D55" s="3" t="inlineStr">
        <is>
          <t>CA</t>
        </is>
      </c>
      <c r="E55" s="14" t="n">
        <v>225000</v>
      </c>
      <c r="F55" s="14" t="n">
        <v>5056.99</v>
      </c>
      <c r="G55" s="14" t="n">
        <v>632.12</v>
      </c>
      <c r="H55" s="14" t="n">
        <v>632.12</v>
      </c>
      <c r="I55" s="14">
        <f>SUM(K55:T55)</f>
        <v/>
      </c>
      <c r="J55" s="14">
        <f>F55-(G55+H55+I55)</f>
        <v/>
      </c>
      <c r="K55" s="14" t="n">
        <v>379.27</v>
      </c>
      <c r="L55" s="14" t="n">
        <v>379.27</v>
      </c>
      <c r="M55" s="14" t="n">
        <v>379.27</v>
      </c>
      <c r="N55" s="14" t="n">
        <v>379.27</v>
      </c>
      <c r="O55" s="14" t="n">
        <v>379.27</v>
      </c>
      <c r="P55" s="14" t="n">
        <v>379.27</v>
      </c>
      <c r="Q55" s="14" t="n">
        <v>379.27</v>
      </c>
      <c r="R55" s="14" t="n">
        <v>379.27</v>
      </c>
      <c r="S55" s="14" t="n">
        <v>379.27</v>
      </c>
      <c r="T55" s="14" t="n">
        <v>379.27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CANON-202509-000644</t>
        </is>
      </c>
      <c r="B56" s="15" t="inlineStr">
        <is>
          <t>2025-09-19</t>
        </is>
      </c>
      <c r="C56" s="15" t="inlineStr">
        <is>
          <t>Ramona Whitlock</t>
        </is>
      </c>
      <c r="D56" s="15" t="inlineStr">
        <is>
          <t>FL</t>
        </is>
      </c>
      <c r="E56" s="16" t="n">
        <v>200000</v>
      </c>
      <c r="F56" s="16" t="n">
        <v>4728.18</v>
      </c>
      <c r="G56" s="16" t="n">
        <v>591.02</v>
      </c>
      <c r="H56" s="16" t="n">
        <v>591.02</v>
      </c>
      <c r="I56" s="16">
        <f>SUM(K56:T56)</f>
        <v/>
      </c>
      <c r="J56" s="16">
        <f>F56-(G56+H56+I56)</f>
        <v/>
      </c>
      <c r="K56" s="16" t="n">
        <v>354.61</v>
      </c>
      <c r="L56" s="16" t="n">
        <v>354.61</v>
      </c>
      <c r="M56" s="16" t="n">
        <v>354.61</v>
      </c>
      <c r="N56" s="16" t="n">
        <v>354.61</v>
      </c>
      <c r="O56" s="16" t="n">
        <v>354.61</v>
      </c>
      <c r="P56" s="16" t="n">
        <v>354.61</v>
      </c>
      <c r="Q56" s="16" t="n">
        <v>354.61</v>
      </c>
      <c r="R56" s="16" t="n">
        <v>354.61</v>
      </c>
      <c r="S56" s="16" t="n">
        <v>354.61</v>
      </c>
      <c r="T56" s="16" t="n">
        <v>354.61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CANON-202509-000645</t>
        </is>
      </c>
      <c r="B57" s="3" t="inlineStr">
        <is>
          <t>2025-09-29</t>
        </is>
      </c>
      <c r="C57" s="3" t="inlineStr">
        <is>
          <t>Leopold Whitlock</t>
        </is>
      </c>
      <c r="D57" s="3" t="inlineStr">
        <is>
          <t>CT</t>
        </is>
      </c>
      <c r="E57" s="14" t="n">
        <v>590000</v>
      </c>
      <c r="F57" s="14" t="n">
        <v>7772.69</v>
      </c>
      <c r="G57" s="14" t="n">
        <v>971.59</v>
      </c>
      <c r="H57" s="14" t="n">
        <v>971.59</v>
      </c>
      <c r="I57" s="14">
        <f>SUM(K57:T57)</f>
        <v/>
      </c>
      <c r="J57" s="14">
        <f>F57-(G57+H57+I57)</f>
        <v/>
      </c>
      <c r="K57" s="14" t="n">
        <v>582.95</v>
      </c>
      <c r="L57" s="14" t="n">
        <v>582.95</v>
      </c>
      <c r="M57" s="14" t="n">
        <v>582.95</v>
      </c>
      <c r="N57" s="14" t="n">
        <v>582.95</v>
      </c>
      <c r="O57" s="14" t="n">
        <v>582.95</v>
      </c>
      <c r="P57" s="14" t="n">
        <v>582.95</v>
      </c>
      <c r="Q57" s="14" t="n">
        <v>582.95</v>
      </c>
      <c r="R57" s="14" t="n">
        <v>582.95</v>
      </c>
      <c r="S57" s="14" t="n">
        <v>582.95</v>
      </c>
      <c r="T57" s="14" t="n">
        <v>582.95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CANON-202509-000647</t>
        </is>
      </c>
      <c r="B58" s="15" t="inlineStr">
        <is>
          <t>2025-09-04</t>
        </is>
      </c>
      <c r="C58" s="15" t="inlineStr">
        <is>
          <t>Wilhelmina Bellandi</t>
        </is>
      </c>
      <c r="D58" s="15" t="inlineStr">
        <is>
          <t>RI</t>
        </is>
      </c>
      <c r="E58" s="16" t="n">
        <v>665000</v>
      </c>
      <c r="F58" s="16" t="n">
        <v>15662.24</v>
      </c>
      <c r="G58" s="16" t="n">
        <v>1957.78</v>
      </c>
      <c r="H58" s="16" t="n">
        <v>1957.78</v>
      </c>
      <c r="I58" s="16">
        <f>SUM(K58:T58)</f>
        <v/>
      </c>
      <c r="J58" s="16">
        <f>F58-(G58+H58+I58)</f>
        <v/>
      </c>
      <c r="K58" s="16" t="n">
        <v>1174.67</v>
      </c>
      <c r="L58" s="16" t="n">
        <v>1174.67</v>
      </c>
      <c r="M58" s="16" t="n">
        <v>1174.67</v>
      </c>
      <c r="N58" s="16" t="n">
        <v>1174.67</v>
      </c>
      <c r="O58" s="16" t="n">
        <v>1174.67</v>
      </c>
      <c r="P58" s="16" t="n">
        <v>1174.67</v>
      </c>
      <c r="Q58" s="16" t="n">
        <v>1174.67</v>
      </c>
      <c r="R58" s="16" t="n">
        <v>1174.67</v>
      </c>
      <c r="S58" s="16" t="n">
        <v>1174.67</v>
      </c>
      <c r="T58" s="16" t="n">
        <v>1174.67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CANON-202509-000648</t>
        </is>
      </c>
      <c r="B59" s="3" t="inlineStr">
        <is>
          <t>2025-09-24</t>
        </is>
      </c>
      <c r="C59" s="3" t="inlineStr">
        <is>
          <t>Fenwick Rourke</t>
        </is>
      </c>
      <c r="D59" s="3" t="inlineStr">
        <is>
          <t>MN</t>
        </is>
      </c>
      <c r="E59" s="14" t="n">
        <v>290000</v>
      </c>
      <c r="F59" s="14" t="n">
        <v>5195.43</v>
      </c>
      <c r="G59" s="14" t="n">
        <v>649.4299999999999</v>
      </c>
      <c r="H59" s="14" t="n">
        <v>649.4299999999999</v>
      </c>
      <c r="I59" s="14">
        <f>SUM(K59:T59)</f>
        <v/>
      </c>
      <c r="J59" s="14">
        <f>F59-(G59+H59+I59)</f>
        <v/>
      </c>
      <c r="K59" s="14" t="n">
        <v>389.66</v>
      </c>
      <c r="L59" s="14" t="n">
        <v>389.66</v>
      </c>
      <c r="M59" s="14" t="n">
        <v>389.66</v>
      </c>
      <c r="N59" s="14" t="n">
        <v>389.66</v>
      </c>
      <c r="O59" s="14" t="n">
        <v>389.66</v>
      </c>
      <c r="P59" s="14" t="n">
        <v>389.66</v>
      </c>
      <c r="Q59" s="14" t="n">
        <v>389.66</v>
      </c>
      <c r="R59" s="14" t="n">
        <v>389.66</v>
      </c>
      <c r="S59" s="14" t="n">
        <v>389.66</v>
      </c>
      <c r="T59" s="14" t="n">
        <v>389.66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CANON-202509-000650</t>
        </is>
      </c>
      <c r="B60" s="15" t="inlineStr">
        <is>
          <t>2025-09-23</t>
        </is>
      </c>
      <c r="C60" s="15" t="inlineStr">
        <is>
          <t>Marisol Castellanos</t>
        </is>
      </c>
      <c r="D60" s="15" t="inlineStr">
        <is>
          <t>AL</t>
        </is>
      </c>
      <c r="E60" s="16" t="n">
        <v>480000</v>
      </c>
      <c r="F60" s="16" t="n">
        <v>9707.68</v>
      </c>
      <c r="G60" s="16" t="n">
        <v>1213.46</v>
      </c>
      <c r="H60" s="16" t="n">
        <v>1213.46</v>
      </c>
      <c r="I60" s="16">
        <f>SUM(K60:T60)</f>
        <v/>
      </c>
      <c r="J60" s="16">
        <f>F60-(G60+H60+I60)</f>
        <v/>
      </c>
      <c r="K60" s="16" t="n">
        <v>728.08</v>
      </c>
      <c r="L60" s="16" t="n">
        <v>728.08</v>
      </c>
      <c r="M60" s="16" t="n">
        <v>728.08</v>
      </c>
      <c r="N60" s="16" t="n">
        <v>728.08</v>
      </c>
      <c r="O60" s="16" t="n">
        <v>728.08</v>
      </c>
      <c r="P60" s="16" t="n">
        <v>728.08</v>
      </c>
      <c r="Q60" s="16" t="n">
        <v>728.08</v>
      </c>
      <c r="R60" s="16" t="n">
        <v>728.08</v>
      </c>
      <c r="S60" s="16" t="n">
        <v>728.08</v>
      </c>
      <c r="T60" s="16" t="n">
        <v>728.08</v>
      </c>
      <c r="U60" s="16" t="n">
        <v>350</v>
      </c>
      <c r="V60" s="16" t="n">
        <v>0</v>
      </c>
      <c r="W60" s="16">
        <f>U60+V60</f>
        <v/>
      </c>
    </row>
    <row r="61">
      <c r="A61" s="3" t="inlineStr">
        <is>
          <t>CANON-202509-000651</t>
        </is>
      </c>
      <c r="B61" s="3" t="inlineStr">
        <is>
          <t>2025-09-30</t>
        </is>
      </c>
      <c r="C61" s="3" t="inlineStr">
        <is>
          <t>Desmond Castellanos</t>
        </is>
      </c>
      <c r="D61" s="3" t="inlineStr">
        <is>
          <t>MO</t>
        </is>
      </c>
      <c r="E61" s="14" t="n">
        <v>1950000</v>
      </c>
      <c r="F61" s="14" t="n">
        <v>29923.92</v>
      </c>
      <c r="G61" s="14" t="n">
        <v>3740.49</v>
      </c>
      <c r="H61" s="14" t="n">
        <v>3740.49</v>
      </c>
      <c r="I61" s="14">
        <f>SUM(K61:T61)</f>
        <v/>
      </c>
      <c r="J61" s="14">
        <f>F61-(G61+H61+I61)</f>
        <v/>
      </c>
      <c r="K61" s="14" t="n">
        <v>2244.29</v>
      </c>
      <c r="L61" s="14" t="n">
        <v>2244.29</v>
      </c>
      <c r="M61" s="14" t="n">
        <v>2244.29</v>
      </c>
      <c r="N61" s="14" t="n">
        <v>2244.29</v>
      </c>
      <c r="O61" s="14" t="n">
        <v>2244.29</v>
      </c>
      <c r="P61" s="14" t="n">
        <v>2244.29</v>
      </c>
      <c r="Q61" s="14" t="n">
        <v>2244.29</v>
      </c>
      <c r="R61" s="14" t="n">
        <v>2244.29</v>
      </c>
      <c r="S61" s="14" t="n">
        <v>2244.29</v>
      </c>
      <c r="T61" s="14" t="n">
        <v>2244.29</v>
      </c>
      <c r="U61" s="14" t="n">
        <v>350</v>
      </c>
      <c r="V61" s="14" t="n">
        <v>250</v>
      </c>
      <c r="W61" s="14">
        <f>U61+V61</f>
        <v/>
      </c>
    </row>
    <row r="62">
      <c r="A62" s="15" t="inlineStr">
        <is>
          <t>CANON-202509-000654</t>
        </is>
      </c>
      <c r="B62" s="15" t="inlineStr">
        <is>
          <t>2025-09-24</t>
        </is>
      </c>
      <c r="C62" s="15" t="inlineStr">
        <is>
          <t>Fitzgerald Delacroix</t>
        </is>
      </c>
      <c r="D62" s="15" t="inlineStr">
        <is>
          <t>IL</t>
        </is>
      </c>
      <c r="E62" s="16" t="n">
        <v>325000</v>
      </c>
      <c r="F62" s="16" t="n">
        <v>5998.9</v>
      </c>
      <c r="G62" s="16" t="n">
        <v>749.86</v>
      </c>
      <c r="H62" s="16" t="n">
        <v>749.86</v>
      </c>
      <c r="I62" s="16">
        <f>SUM(K62:T62)</f>
        <v/>
      </c>
      <c r="J62" s="16">
        <f>F62-(G62+H62+I62)</f>
        <v/>
      </c>
      <c r="K62" s="16" t="n">
        <v>449.92</v>
      </c>
      <c r="L62" s="16" t="n">
        <v>449.92</v>
      </c>
      <c r="M62" s="16" t="n">
        <v>449.92</v>
      </c>
      <c r="N62" s="16" t="n">
        <v>449.92</v>
      </c>
      <c r="O62" s="16" t="n">
        <v>449.92</v>
      </c>
      <c r="P62" s="16" t="n">
        <v>449.92</v>
      </c>
      <c r="Q62" s="16" t="n">
        <v>449.92</v>
      </c>
      <c r="R62" s="16" t="n">
        <v>449.92</v>
      </c>
      <c r="S62" s="16" t="n">
        <v>449.92</v>
      </c>
      <c r="T62" s="16" t="n">
        <v>449.92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CANON-202509-000655</t>
        </is>
      </c>
      <c r="B63" s="3" t="inlineStr">
        <is>
          <t>2025-09-18</t>
        </is>
      </c>
      <c r="C63" s="3" t="inlineStr">
        <is>
          <t>Priya Chattopadhyay</t>
        </is>
      </c>
      <c r="D63" s="3" t="inlineStr">
        <is>
          <t>SC</t>
        </is>
      </c>
      <c r="E63" s="14" t="n">
        <v>850000</v>
      </c>
      <c r="F63" s="14" t="n">
        <v>8201.57</v>
      </c>
      <c r="G63" s="14" t="n">
        <v>1025.2</v>
      </c>
      <c r="H63" s="14" t="n">
        <v>1025.2</v>
      </c>
      <c r="I63" s="14">
        <f>SUM(K63:T63)</f>
        <v/>
      </c>
      <c r="J63" s="14">
        <f>F63-(G63+H63+I63)</f>
        <v/>
      </c>
      <c r="K63" s="14" t="n">
        <v>615.12</v>
      </c>
      <c r="L63" s="14" t="n">
        <v>615.12</v>
      </c>
      <c r="M63" s="14" t="n">
        <v>615.12</v>
      </c>
      <c r="N63" s="14" t="n">
        <v>615.12</v>
      </c>
      <c r="O63" s="14" t="n">
        <v>615.12</v>
      </c>
      <c r="P63" s="14" t="n">
        <v>615.12</v>
      </c>
      <c r="Q63" s="14" t="n">
        <v>615.12</v>
      </c>
      <c r="R63" s="14" t="n">
        <v>615.12</v>
      </c>
      <c r="S63" s="14" t="n">
        <v>615.12</v>
      </c>
      <c r="T63" s="14" t="n">
        <v>615.12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CANON-202509-000656</t>
        </is>
      </c>
      <c r="B64" s="15" t="inlineStr">
        <is>
          <t>2025-09-27</t>
        </is>
      </c>
      <c r="C64" s="15" t="inlineStr">
        <is>
          <t>Noor Farkas</t>
        </is>
      </c>
      <c r="D64" s="15" t="inlineStr">
        <is>
          <t>MA</t>
        </is>
      </c>
      <c r="E64" s="16" t="n">
        <v>275000</v>
      </c>
      <c r="F64" s="16" t="n">
        <v>4665.44</v>
      </c>
      <c r="G64" s="16" t="n">
        <v>583.1799999999999</v>
      </c>
      <c r="H64" s="16" t="n">
        <v>583.1799999999999</v>
      </c>
      <c r="I64" s="16">
        <f>SUM(K64:T64)</f>
        <v/>
      </c>
      <c r="J64" s="16">
        <f>F64-(G64+H64+I64)</f>
        <v/>
      </c>
      <c r="K64" s="16" t="n">
        <v>349.91</v>
      </c>
      <c r="L64" s="16" t="n">
        <v>349.91</v>
      </c>
      <c r="M64" s="16" t="n">
        <v>349.91</v>
      </c>
      <c r="N64" s="16" t="n">
        <v>349.91</v>
      </c>
      <c r="O64" s="16" t="n">
        <v>349.91</v>
      </c>
      <c r="P64" s="16" t="n">
        <v>349.91</v>
      </c>
      <c r="Q64" s="16" t="n">
        <v>349.91</v>
      </c>
      <c r="R64" s="16" t="n">
        <v>349.91</v>
      </c>
      <c r="S64" s="16" t="n">
        <v>349.91</v>
      </c>
      <c r="T64" s="16" t="n">
        <v>349.91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CANON-202509-000659</t>
        </is>
      </c>
      <c r="B65" s="3" t="inlineStr">
        <is>
          <t>2025-09-23</t>
        </is>
      </c>
      <c r="C65" s="3" t="inlineStr">
        <is>
          <t>Fenwick Merriweather</t>
        </is>
      </c>
      <c r="D65" s="3" t="inlineStr">
        <is>
          <t>UT</t>
        </is>
      </c>
      <c r="E65" s="14" t="n">
        <v>180000</v>
      </c>
      <c r="F65" s="14" t="n">
        <v>4045.59</v>
      </c>
      <c r="G65" s="14" t="n">
        <v>505.7</v>
      </c>
      <c r="H65" s="14" t="n">
        <v>505.7</v>
      </c>
      <c r="I65" s="14">
        <f>SUM(K65:T65)</f>
        <v/>
      </c>
      <c r="J65" s="14">
        <f>F65-(G65+H65+I65)</f>
        <v/>
      </c>
      <c r="K65" s="14" t="n">
        <v>303.42</v>
      </c>
      <c r="L65" s="14" t="n">
        <v>303.42</v>
      </c>
      <c r="M65" s="14" t="n">
        <v>303.42</v>
      </c>
      <c r="N65" s="14" t="n">
        <v>303.42</v>
      </c>
      <c r="O65" s="14" t="n">
        <v>303.42</v>
      </c>
      <c r="P65" s="14" t="n">
        <v>303.42</v>
      </c>
      <c r="Q65" s="14" t="n">
        <v>303.42</v>
      </c>
      <c r="R65" s="14" t="n">
        <v>303.42</v>
      </c>
      <c r="S65" s="14" t="n">
        <v>303.42</v>
      </c>
      <c r="T65" s="14" t="n">
        <v>303.42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CANON-202509-000660</t>
        </is>
      </c>
      <c r="B66" s="15" t="inlineStr">
        <is>
          <t>2025-09-23</t>
        </is>
      </c>
      <c r="C66" s="15" t="inlineStr">
        <is>
          <t>Mireille Underwood</t>
        </is>
      </c>
      <c r="D66" s="15" t="inlineStr">
        <is>
          <t>PA</t>
        </is>
      </c>
      <c r="E66" s="16" t="n">
        <v>1930000</v>
      </c>
      <c r="F66" s="16" t="n">
        <v>27940.58</v>
      </c>
      <c r="G66" s="16" t="n">
        <v>3492.57</v>
      </c>
      <c r="H66" s="16" t="n">
        <v>3492.57</v>
      </c>
      <c r="I66" s="16">
        <f>SUM(K66:T66)</f>
        <v/>
      </c>
      <c r="J66" s="16">
        <f>F66-(G66+H66+I66)</f>
        <v/>
      </c>
      <c r="K66" s="16" t="n">
        <v>2095.54</v>
      </c>
      <c r="L66" s="16" t="n">
        <v>2095.54</v>
      </c>
      <c r="M66" s="16" t="n">
        <v>2095.54</v>
      </c>
      <c r="N66" s="16" t="n">
        <v>2095.54</v>
      </c>
      <c r="O66" s="16" t="n">
        <v>2095.54</v>
      </c>
      <c r="P66" s="16" t="n">
        <v>2095.54</v>
      </c>
      <c r="Q66" s="16" t="n">
        <v>2095.54</v>
      </c>
      <c r="R66" s="16" t="n">
        <v>2095.54</v>
      </c>
      <c r="S66" s="16" t="n">
        <v>2095.54</v>
      </c>
      <c r="T66" s="16" t="n">
        <v>2095.54</v>
      </c>
      <c r="U66" s="16" t="n">
        <v>350</v>
      </c>
      <c r="V66" s="16" t="n">
        <v>250</v>
      </c>
      <c r="W66" s="16">
        <f>U66+V66</f>
        <v/>
      </c>
    </row>
    <row r="67">
      <c r="A67" s="3" t="inlineStr">
        <is>
          <t>CANON-202509-000661</t>
        </is>
      </c>
      <c r="B67" s="3" t="inlineStr">
        <is>
          <t>2025-09-11</t>
        </is>
      </c>
      <c r="C67" s="3" t="inlineStr">
        <is>
          <t>Lorenzo Blackwood</t>
        </is>
      </c>
      <c r="D67" s="3" t="inlineStr">
        <is>
          <t>HI</t>
        </is>
      </c>
      <c r="E67" s="14" t="n">
        <v>1025000</v>
      </c>
      <c r="F67" s="14" t="n">
        <v>13262.27</v>
      </c>
      <c r="G67" s="14" t="n">
        <v>1657.78</v>
      </c>
      <c r="H67" s="14" t="n">
        <v>1657.78</v>
      </c>
      <c r="I67" s="14">
        <f>SUM(K67:T67)</f>
        <v/>
      </c>
      <c r="J67" s="14">
        <f>F67-(G67+H67+I67)</f>
        <v/>
      </c>
      <c r="K67" s="14" t="n">
        <v>994.67</v>
      </c>
      <c r="L67" s="14" t="n">
        <v>994.67</v>
      </c>
      <c r="M67" s="14" t="n">
        <v>994.67</v>
      </c>
      <c r="N67" s="14" t="n">
        <v>994.67</v>
      </c>
      <c r="O67" s="14" t="n">
        <v>994.67</v>
      </c>
      <c r="P67" s="14" t="n">
        <v>994.67</v>
      </c>
      <c r="Q67" s="14" t="n">
        <v>994.67</v>
      </c>
      <c r="R67" s="14" t="n">
        <v>994.67</v>
      </c>
      <c r="S67" s="14" t="n">
        <v>994.67</v>
      </c>
      <c r="T67" s="14" t="n">
        <v>994.67</v>
      </c>
      <c r="U67" s="14" t="n">
        <v>350</v>
      </c>
      <c r="V67" s="14" t="n">
        <v>250</v>
      </c>
      <c r="W67" s="14">
        <f>U67+V67</f>
        <v/>
      </c>
    </row>
    <row r="68">
      <c r="A68" s="15" t="inlineStr">
        <is>
          <t>CANON-202509-000662</t>
        </is>
      </c>
      <c r="B68" s="15" t="inlineStr">
        <is>
          <t>2025-09-19</t>
        </is>
      </c>
      <c r="C68" s="15" t="inlineStr">
        <is>
          <t>Noor Vandermeer</t>
        </is>
      </c>
      <c r="D68" s="15" t="inlineStr">
        <is>
          <t>MA</t>
        </is>
      </c>
      <c r="E68" s="16" t="n">
        <v>1045000</v>
      </c>
      <c r="F68" s="16" t="n">
        <v>18910.56</v>
      </c>
      <c r="G68" s="16" t="n">
        <v>2363.82</v>
      </c>
      <c r="H68" s="16" t="n">
        <v>2363.82</v>
      </c>
      <c r="I68" s="16">
        <f>SUM(K68:T68)</f>
        <v/>
      </c>
      <c r="J68" s="16">
        <f>F68-(G68+H68+I68)</f>
        <v/>
      </c>
      <c r="K68" s="16" t="n">
        <v>1418.29</v>
      </c>
      <c r="L68" s="16" t="n">
        <v>1418.29</v>
      </c>
      <c r="M68" s="16" t="n">
        <v>1418.29</v>
      </c>
      <c r="N68" s="16" t="n">
        <v>1418.29</v>
      </c>
      <c r="O68" s="16" t="n">
        <v>1418.29</v>
      </c>
      <c r="P68" s="16" t="n">
        <v>1418.29</v>
      </c>
      <c r="Q68" s="16" t="n">
        <v>1418.29</v>
      </c>
      <c r="R68" s="16" t="n">
        <v>1418.29</v>
      </c>
      <c r="S68" s="16" t="n">
        <v>1418.29</v>
      </c>
      <c r="T68" s="16" t="n">
        <v>1418.29</v>
      </c>
      <c r="U68" s="16" t="n">
        <v>350</v>
      </c>
      <c r="V68" s="16" t="n">
        <v>250</v>
      </c>
      <c r="W68" s="16">
        <f>U68+V68</f>
        <v/>
      </c>
    </row>
    <row r="69">
      <c r="A69" s="3" t="inlineStr">
        <is>
          <t>CANON-202509-000663</t>
        </is>
      </c>
      <c r="B69" s="3" t="inlineStr">
        <is>
          <t>2025-09-18</t>
        </is>
      </c>
      <c r="C69" s="3" t="inlineStr">
        <is>
          <t>Sunniva Okonkwo</t>
        </is>
      </c>
      <c r="D69" s="3" t="inlineStr">
        <is>
          <t>WY</t>
        </is>
      </c>
      <c r="E69" s="14" t="n">
        <v>575000</v>
      </c>
      <c r="F69" s="14" t="n">
        <v>7236.91</v>
      </c>
      <c r="G69" s="14" t="n">
        <v>904.61</v>
      </c>
      <c r="H69" s="14" t="n">
        <v>904.61</v>
      </c>
      <c r="I69" s="14">
        <f>SUM(K69:T69)</f>
        <v/>
      </c>
      <c r="J69" s="14">
        <f>F69-(G69+H69+I69)</f>
        <v/>
      </c>
      <c r="K69" s="14" t="n">
        <v>542.77</v>
      </c>
      <c r="L69" s="14" t="n">
        <v>542.77</v>
      </c>
      <c r="M69" s="14" t="n">
        <v>542.77</v>
      </c>
      <c r="N69" s="14" t="n">
        <v>542.77</v>
      </c>
      <c r="O69" s="14" t="n">
        <v>542.77</v>
      </c>
      <c r="P69" s="14" t="n">
        <v>542.77</v>
      </c>
      <c r="Q69" s="14" t="n">
        <v>542.77</v>
      </c>
      <c r="R69" s="14" t="n">
        <v>542.77</v>
      </c>
      <c r="S69" s="14" t="n">
        <v>542.77</v>
      </c>
      <c r="T69" s="14" t="n">
        <v>542.77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CANON-202509-000664</t>
        </is>
      </c>
      <c r="B70" s="15" t="inlineStr">
        <is>
          <t>2025-09-30</t>
        </is>
      </c>
      <c r="C70" s="15" t="inlineStr">
        <is>
          <t>Sunniva Pennington</t>
        </is>
      </c>
      <c r="D70" s="15" t="inlineStr">
        <is>
          <t>WY</t>
        </is>
      </c>
      <c r="E70" s="16" t="n">
        <v>1095000</v>
      </c>
      <c r="F70" s="16" t="n">
        <v>16961.95</v>
      </c>
      <c r="G70" s="16" t="n">
        <v>2120.24</v>
      </c>
      <c r="H70" s="16" t="n">
        <v>2120.24</v>
      </c>
      <c r="I70" s="16">
        <f>SUM(K70:T70)</f>
        <v/>
      </c>
      <c r="J70" s="16">
        <f>F70-(G70+H70+I70)</f>
        <v/>
      </c>
      <c r="K70" s="16" t="n">
        <v>1272.15</v>
      </c>
      <c r="L70" s="16" t="n">
        <v>1272.15</v>
      </c>
      <c r="M70" s="16" t="n">
        <v>1272.15</v>
      </c>
      <c r="N70" s="16" t="n">
        <v>1272.15</v>
      </c>
      <c r="O70" s="16" t="n">
        <v>1272.15</v>
      </c>
      <c r="P70" s="16" t="n">
        <v>1272.15</v>
      </c>
      <c r="Q70" s="16" t="n">
        <v>1272.15</v>
      </c>
      <c r="R70" s="16" t="n">
        <v>1272.15</v>
      </c>
      <c r="S70" s="16" t="n">
        <v>1272.15</v>
      </c>
      <c r="T70" s="16" t="n">
        <v>1272.15</v>
      </c>
      <c r="U70" s="16" t="n">
        <v>350</v>
      </c>
      <c r="V70" s="16" t="n">
        <v>250</v>
      </c>
      <c r="W70" s="16">
        <f>U70+V70</f>
        <v/>
      </c>
    </row>
    <row r="71">
      <c r="A71" s="3" t="inlineStr">
        <is>
          <t>CANON-202509-000665</t>
        </is>
      </c>
      <c r="B71" s="3" t="inlineStr">
        <is>
          <t>2025-09-04</t>
        </is>
      </c>
      <c r="C71" s="3" t="inlineStr">
        <is>
          <t>Ramona Bellandi</t>
        </is>
      </c>
      <c r="D71" s="3" t="inlineStr">
        <is>
          <t>IL</t>
        </is>
      </c>
      <c r="E71" s="14" t="n">
        <v>415000</v>
      </c>
      <c r="F71" s="14" t="n">
        <v>11745.54</v>
      </c>
      <c r="G71" s="14" t="n">
        <v>1468.19</v>
      </c>
      <c r="H71" s="14" t="n">
        <v>1468.19</v>
      </c>
      <c r="I71" s="14">
        <f>SUM(K71:T71)</f>
        <v/>
      </c>
      <c r="J71" s="14">
        <f>F71-(G71+H71+I71)</f>
        <v/>
      </c>
      <c r="K71" s="14" t="n">
        <v>880.92</v>
      </c>
      <c r="L71" s="14" t="n">
        <v>880.92</v>
      </c>
      <c r="M71" s="14" t="n">
        <v>880.92</v>
      </c>
      <c r="N71" s="14" t="n">
        <v>880.92</v>
      </c>
      <c r="O71" s="14" t="n">
        <v>880.92</v>
      </c>
      <c r="P71" s="14" t="n">
        <v>880.92</v>
      </c>
      <c r="Q71" s="14" t="n">
        <v>880.92</v>
      </c>
      <c r="R71" s="14" t="n">
        <v>880.92</v>
      </c>
      <c r="S71" s="14" t="n">
        <v>880.92</v>
      </c>
      <c r="T71" s="14" t="n">
        <v>880.92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CANON-202509-000667</t>
        </is>
      </c>
      <c r="B72" s="15" t="inlineStr">
        <is>
          <t>2025-09-04</t>
        </is>
      </c>
      <c r="C72" s="15" t="inlineStr">
        <is>
          <t>Fenwick Vandermeer</t>
        </is>
      </c>
      <c r="D72" s="15" t="inlineStr">
        <is>
          <t>OR</t>
        </is>
      </c>
      <c r="E72" s="16" t="n">
        <v>790000</v>
      </c>
      <c r="F72" s="16" t="n">
        <v>10500.43</v>
      </c>
      <c r="G72" s="16" t="n">
        <v>1312.55</v>
      </c>
      <c r="H72" s="16" t="n">
        <v>1312.55</v>
      </c>
      <c r="I72" s="16">
        <f>SUM(K72:T72)</f>
        <v/>
      </c>
      <c r="J72" s="16">
        <f>F72-(G72+H72+I72)</f>
        <v/>
      </c>
      <c r="K72" s="16" t="n">
        <v>787.53</v>
      </c>
      <c r="L72" s="16" t="n">
        <v>787.53</v>
      </c>
      <c r="M72" s="16" t="n">
        <v>787.53</v>
      </c>
      <c r="N72" s="16" t="n">
        <v>787.53</v>
      </c>
      <c r="O72" s="16" t="n">
        <v>787.53</v>
      </c>
      <c r="P72" s="16" t="n">
        <v>787.53</v>
      </c>
      <c r="Q72" s="16" t="n">
        <v>787.53</v>
      </c>
      <c r="R72" s="16" t="n">
        <v>787.53</v>
      </c>
      <c r="S72" s="16" t="n">
        <v>787.53</v>
      </c>
      <c r="T72" s="16" t="n">
        <v>787.53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CANON-202509-000669</t>
        </is>
      </c>
      <c r="B73" s="3" t="inlineStr">
        <is>
          <t>2025-09-07</t>
        </is>
      </c>
      <c r="C73" s="3" t="inlineStr">
        <is>
          <t>Thaddeus Larsson</t>
        </is>
      </c>
      <c r="D73" s="3" t="inlineStr">
        <is>
          <t>TX</t>
        </is>
      </c>
      <c r="E73" s="14" t="n">
        <v>375000</v>
      </c>
      <c r="F73" s="14" t="n">
        <v>8974.6</v>
      </c>
      <c r="G73" s="14" t="n">
        <v>1121.83</v>
      </c>
      <c r="H73" s="14" t="n">
        <v>1121.83</v>
      </c>
      <c r="I73" s="14">
        <f>SUM(K73:T73)</f>
        <v/>
      </c>
      <c r="J73" s="14">
        <f>F73-(G73+H73+I73)</f>
        <v/>
      </c>
      <c r="K73" s="14" t="n">
        <v>673.1</v>
      </c>
      <c r="L73" s="14" t="n">
        <v>673.1</v>
      </c>
      <c r="M73" s="14" t="n">
        <v>673.1</v>
      </c>
      <c r="N73" s="14" t="n">
        <v>673.1</v>
      </c>
      <c r="O73" s="14" t="n">
        <v>673.1</v>
      </c>
      <c r="P73" s="14" t="n">
        <v>673.1</v>
      </c>
      <c r="Q73" s="14" t="n">
        <v>673.1</v>
      </c>
      <c r="R73" s="14" t="n">
        <v>673.1</v>
      </c>
      <c r="S73" s="14" t="n">
        <v>673.1</v>
      </c>
      <c r="T73" s="14" t="n">
        <v>673.1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CANON-202509-000670</t>
        </is>
      </c>
      <c r="B74" s="15" t="inlineStr">
        <is>
          <t>2025-09-01</t>
        </is>
      </c>
      <c r="C74" s="15" t="inlineStr">
        <is>
          <t>Anouk Nakashima</t>
        </is>
      </c>
      <c r="D74" s="15" t="inlineStr">
        <is>
          <t>NJ</t>
        </is>
      </c>
      <c r="E74" s="16" t="n">
        <v>665000</v>
      </c>
      <c r="F74" s="16" t="n">
        <v>10403.39</v>
      </c>
      <c r="G74" s="16" t="n">
        <v>1300.42</v>
      </c>
      <c r="H74" s="16" t="n">
        <v>1300.42</v>
      </c>
      <c r="I74" s="16">
        <f>SUM(K74:T74)</f>
        <v/>
      </c>
      <c r="J74" s="16">
        <f>F74-(G74+H74+I74)</f>
        <v/>
      </c>
      <c r="K74" s="16" t="n">
        <v>780.25</v>
      </c>
      <c r="L74" s="16" t="n">
        <v>780.25</v>
      </c>
      <c r="M74" s="16" t="n">
        <v>780.25</v>
      </c>
      <c r="N74" s="16" t="n">
        <v>780.25</v>
      </c>
      <c r="O74" s="16" t="n">
        <v>780.25</v>
      </c>
      <c r="P74" s="16" t="n">
        <v>780.25</v>
      </c>
      <c r="Q74" s="16" t="n">
        <v>780.25</v>
      </c>
      <c r="R74" s="16" t="n">
        <v>780.25</v>
      </c>
      <c r="S74" s="16" t="n">
        <v>780.25</v>
      </c>
      <c r="T74" s="16" t="n">
        <v>780.25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CANON-202509-000671</t>
        </is>
      </c>
      <c r="B75" s="3" t="inlineStr">
        <is>
          <t>2025-09-30</t>
        </is>
      </c>
      <c r="C75" s="3" t="inlineStr">
        <is>
          <t>Lorenzo Okonkwo</t>
        </is>
      </c>
      <c r="D75" s="3" t="inlineStr">
        <is>
          <t>MT</t>
        </is>
      </c>
      <c r="E75" s="14" t="n">
        <v>485000</v>
      </c>
      <c r="F75" s="14" t="n">
        <v>7182.82</v>
      </c>
      <c r="G75" s="14" t="n">
        <v>897.85</v>
      </c>
      <c r="H75" s="14" t="n">
        <v>897.85</v>
      </c>
      <c r="I75" s="14">
        <f>SUM(K75:T75)</f>
        <v/>
      </c>
      <c r="J75" s="14">
        <f>F75-(G75+H75+I75)</f>
        <v/>
      </c>
      <c r="K75" s="14" t="n">
        <v>538.71</v>
      </c>
      <c r="L75" s="14" t="n">
        <v>538.71</v>
      </c>
      <c r="M75" s="14" t="n">
        <v>538.71</v>
      </c>
      <c r="N75" s="14" t="n">
        <v>538.71</v>
      </c>
      <c r="O75" s="14" t="n">
        <v>538.71</v>
      </c>
      <c r="P75" s="14" t="n">
        <v>538.71</v>
      </c>
      <c r="Q75" s="14" t="n">
        <v>538.71</v>
      </c>
      <c r="R75" s="14" t="n">
        <v>538.71</v>
      </c>
      <c r="S75" s="14" t="n">
        <v>538.71</v>
      </c>
      <c r="T75" s="14" t="n">
        <v>538.71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CANON-202509-000672</t>
        </is>
      </c>
      <c r="B76" s="15" t="inlineStr">
        <is>
          <t>2025-09-03</t>
        </is>
      </c>
      <c r="C76" s="15" t="inlineStr">
        <is>
          <t>Noor Delacroix</t>
        </is>
      </c>
      <c r="D76" s="15" t="inlineStr">
        <is>
          <t>VA</t>
        </is>
      </c>
      <c r="E76" s="16" t="n">
        <v>1640000</v>
      </c>
      <c r="F76" s="16" t="n">
        <v>21997.2</v>
      </c>
      <c r="G76" s="16" t="n">
        <v>2749.65</v>
      </c>
      <c r="H76" s="16" t="n">
        <v>2749.65</v>
      </c>
      <c r="I76" s="16">
        <f>SUM(K76:T76)</f>
        <v/>
      </c>
      <c r="J76" s="16">
        <f>F76-(G76+H76+I76)</f>
        <v/>
      </c>
      <c r="K76" s="16" t="n">
        <v>1649.79</v>
      </c>
      <c r="L76" s="16" t="n">
        <v>1649.79</v>
      </c>
      <c r="M76" s="16" t="n">
        <v>1649.79</v>
      </c>
      <c r="N76" s="16" t="n">
        <v>1649.79</v>
      </c>
      <c r="O76" s="16" t="n">
        <v>1649.79</v>
      </c>
      <c r="P76" s="16" t="n">
        <v>1649.79</v>
      </c>
      <c r="Q76" s="16" t="n">
        <v>1649.79</v>
      </c>
      <c r="R76" s="16" t="n">
        <v>1649.79</v>
      </c>
      <c r="S76" s="16" t="n">
        <v>1649.79</v>
      </c>
      <c r="T76" s="16" t="n">
        <v>1649.79</v>
      </c>
      <c r="U76" s="16" t="n">
        <v>350</v>
      </c>
      <c r="V76" s="16" t="n">
        <v>250</v>
      </c>
      <c r="W76" s="16">
        <f>U76+V76</f>
        <v/>
      </c>
    </row>
    <row r="77">
      <c r="A77" s="3" t="inlineStr">
        <is>
          <t>CANON-202509-000673</t>
        </is>
      </c>
      <c r="B77" s="3" t="inlineStr">
        <is>
          <t>2025-09-29</t>
        </is>
      </c>
      <c r="C77" s="3" t="inlineStr">
        <is>
          <t>Ottilie Montoya</t>
        </is>
      </c>
      <c r="D77" s="3" t="inlineStr">
        <is>
          <t>FL</t>
        </is>
      </c>
      <c r="E77" s="14" t="n">
        <v>255000</v>
      </c>
      <c r="F77" s="14" t="n">
        <v>5766.33</v>
      </c>
      <c r="G77" s="14" t="n">
        <v>720.79</v>
      </c>
      <c r="H77" s="14" t="n">
        <v>720.79</v>
      </c>
      <c r="I77" s="14">
        <f>SUM(K77:T77)</f>
        <v/>
      </c>
      <c r="J77" s="14">
        <f>F77-(G77+H77+I77)</f>
        <v/>
      </c>
      <c r="K77" s="14" t="n">
        <v>432.47</v>
      </c>
      <c r="L77" s="14" t="n">
        <v>432.47</v>
      </c>
      <c r="M77" s="14" t="n">
        <v>432.47</v>
      </c>
      <c r="N77" s="14" t="n">
        <v>432.47</v>
      </c>
      <c r="O77" s="14" t="n">
        <v>432.47</v>
      </c>
      <c r="P77" s="14" t="n">
        <v>432.47</v>
      </c>
      <c r="Q77" s="14" t="n">
        <v>432.47</v>
      </c>
      <c r="R77" s="14" t="n">
        <v>432.47</v>
      </c>
      <c r="S77" s="14" t="n">
        <v>432.47</v>
      </c>
      <c r="T77" s="14" t="n">
        <v>432.47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CANON-202509-000674</t>
        </is>
      </c>
      <c r="B78" s="15" t="inlineStr">
        <is>
          <t>2025-09-24</t>
        </is>
      </c>
      <c r="C78" s="15" t="inlineStr">
        <is>
          <t>Wilhelmina Pennington</t>
        </is>
      </c>
      <c r="D78" s="15" t="inlineStr">
        <is>
          <t>VT</t>
        </is>
      </c>
      <c r="E78" s="16" t="n">
        <v>785000</v>
      </c>
      <c r="F78" s="16" t="n">
        <v>11264.99</v>
      </c>
      <c r="G78" s="16" t="n">
        <v>1408.12</v>
      </c>
      <c r="H78" s="16" t="n">
        <v>1408.12</v>
      </c>
      <c r="I78" s="16">
        <f>SUM(K78:T78)</f>
        <v/>
      </c>
      <c r="J78" s="16">
        <f>F78-(G78+H78+I78)</f>
        <v/>
      </c>
      <c r="K78" s="16" t="n">
        <v>844.87</v>
      </c>
      <c r="L78" s="16" t="n">
        <v>844.87</v>
      </c>
      <c r="M78" s="16" t="n">
        <v>844.87</v>
      </c>
      <c r="N78" s="16" t="n">
        <v>844.87</v>
      </c>
      <c r="O78" s="16" t="n">
        <v>844.87</v>
      </c>
      <c r="P78" s="16" t="n">
        <v>844.87</v>
      </c>
      <c r="Q78" s="16" t="n">
        <v>844.87</v>
      </c>
      <c r="R78" s="16" t="n">
        <v>844.87</v>
      </c>
      <c r="S78" s="16" t="n">
        <v>844.87</v>
      </c>
      <c r="T78" s="16" t="n">
        <v>844.87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CANON-202509-000675</t>
        </is>
      </c>
      <c r="B79" s="3" t="inlineStr">
        <is>
          <t>2025-09-03</t>
        </is>
      </c>
      <c r="C79" s="3" t="inlineStr">
        <is>
          <t>Wilhelmina Rourke</t>
        </is>
      </c>
      <c r="D79" s="3" t="inlineStr">
        <is>
          <t>NY</t>
        </is>
      </c>
      <c r="E79" s="14" t="n">
        <v>235000</v>
      </c>
      <c r="F79" s="14" t="n">
        <v>5007.87</v>
      </c>
      <c r="G79" s="14" t="n">
        <v>625.98</v>
      </c>
      <c r="H79" s="14" t="n">
        <v>625.98</v>
      </c>
      <c r="I79" s="14">
        <f>SUM(K79:T79)</f>
        <v/>
      </c>
      <c r="J79" s="14">
        <f>F79-(G79+H79+I79)</f>
        <v/>
      </c>
      <c r="K79" s="14" t="n">
        <v>375.59</v>
      </c>
      <c r="L79" s="14" t="n">
        <v>375.59</v>
      </c>
      <c r="M79" s="14" t="n">
        <v>375.59</v>
      </c>
      <c r="N79" s="14" t="n">
        <v>375.59</v>
      </c>
      <c r="O79" s="14" t="n">
        <v>375.59</v>
      </c>
      <c r="P79" s="14" t="n">
        <v>375.59</v>
      </c>
      <c r="Q79" s="14" t="n">
        <v>375.59</v>
      </c>
      <c r="R79" s="14" t="n">
        <v>375.59</v>
      </c>
      <c r="S79" s="14" t="n">
        <v>375.59</v>
      </c>
      <c r="T79" s="14" t="n">
        <v>375.59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CANON-202509-000676</t>
        </is>
      </c>
      <c r="B80" s="15" t="inlineStr">
        <is>
          <t>2025-09-16</t>
        </is>
      </c>
      <c r="C80" s="15" t="inlineStr">
        <is>
          <t>Sunniva Chattopadhyay</t>
        </is>
      </c>
      <c r="D80" s="15" t="inlineStr">
        <is>
          <t>AL</t>
        </is>
      </c>
      <c r="E80" s="16" t="n">
        <v>655000</v>
      </c>
      <c r="F80" s="16" t="n">
        <v>9784.67</v>
      </c>
      <c r="G80" s="16" t="n">
        <v>1223.08</v>
      </c>
      <c r="H80" s="16" t="n">
        <v>1223.08</v>
      </c>
      <c r="I80" s="16">
        <f>SUM(K80:T80)</f>
        <v/>
      </c>
      <c r="J80" s="16">
        <f>F80-(G80+H80+I80)</f>
        <v/>
      </c>
      <c r="K80" s="16" t="n">
        <v>733.85</v>
      </c>
      <c r="L80" s="16" t="n">
        <v>733.85</v>
      </c>
      <c r="M80" s="16" t="n">
        <v>733.85</v>
      </c>
      <c r="N80" s="16" t="n">
        <v>733.85</v>
      </c>
      <c r="O80" s="16" t="n">
        <v>733.85</v>
      </c>
      <c r="P80" s="16" t="n">
        <v>733.85</v>
      </c>
      <c r="Q80" s="16" t="n">
        <v>733.85</v>
      </c>
      <c r="R80" s="16" t="n">
        <v>733.85</v>
      </c>
      <c r="S80" s="16" t="n">
        <v>733.85</v>
      </c>
      <c r="T80" s="16" t="n">
        <v>733.85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CANON-202509-000677</t>
        </is>
      </c>
      <c r="B81" s="3" t="inlineStr">
        <is>
          <t>2025-09-08</t>
        </is>
      </c>
      <c r="C81" s="3" t="inlineStr">
        <is>
          <t>Cassius Delacroix</t>
        </is>
      </c>
      <c r="D81" s="3" t="inlineStr">
        <is>
          <t>VT</t>
        </is>
      </c>
      <c r="E81" s="14" t="n">
        <v>510000</v>
      </c>
      <c r="F81" s="14" t="n">
        <v>7318.65</v>
      </c>
      <c r="G81" s="14" t="n">
        <v>914.83</v>
      </c>
      <c r="H81" s="14" t="n">
        <v>914.83</v>
      </c>
      <c r="I81" s="14">
        <f>SUM(K81:T81)</f>
        <v/>
      </c>
      <c r="J81" s="14">
        <f>F81-(G81+H81+I81)</f>
        <v/>
      </c>
      <c r="K81" s="14" t="n">
        <v>548.9</v>
      </c>
      <c r="L81" s="14" t="n">
        <v>548.9</v>
      </c>
      <c r="M81" s="14" t="n">
        <v>548.9</v>
      </c>
      <c r="N81" s="14" t="n">
        <v>548.9</v>
      </c>
      <c r="O81" s="14" t="n">
        <v>548.9</v>
      </c>
      <c r="P81" s="14" t="n">
        <v>548.9</v>
      </c>
      <c r="Q81" s="14" t="n">
        <v>548.9</v>
      </c>
      <c r="R81" s="14" t="n">
        <v>548.9</v>
      </c>
      <c r="S81" s="14" t="n">
        <v>548.9</v>
      </c>
      <c r="T81" s="14" t="n">
        <v>548.9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CANON-202509-000679</t>
        </is>
      </c>
      <c r="B82" s="15" t="inlineStr">
        <is>
          <t>2025-09-04</t>
        </is>
      </c>
      <c r="C82" s="15" t="inlineStr">
        <is>
          <t>Fenwick Harrington</t>
        </is>
      </c>
      <c r="D82" s="15" t="inlineStr">
        <is>
          <t>AL</t>
        </is>
      </c>
      <c r="E82" s="16" t="n">
        <v>310000</v>
      </c>
      <c r="F82" s="16" t="n">
        <v>8193.16</v>
      </c>
      <c r="G82" s="16" t="n">
        <v>1024.14</v>
      </c>
      <c r="H82" s="16" t="n">
        <v>1024.14</v>
      </c>
      <c r="I82" s="16">
        <f>SUM(K82:T82)</f>
        <v/>
      </c>
      <c r="J82" s="16">
        <f>F82-(G82+H82+I82)</f>
        <v/>
      </c>
      <c r="K82" s="16" t="n">
        <v>614.49</v>
      </c>
      <c r="L82" s="16" t="n">
        <v>614.49</v>
      </c>
      <c r="M82" s="16" t="n">
        <v>614.49</v>
      </c>
      <c r="N82" s="16" t="n">
        <v>614.49</v>
      </c>
      <c r="O82" s="16" t="n">
        <v>614.49</v>
      </c>
      <c r="P82" s="16" t="n">
        <v>614.49</v>
      </c>
      <c r="Q82" s="16" t="n">
        <v>614.49</v>
      </c>
      <c r="R82" s="16" t="n">
        <v>614.49</v>
      </c>
      <c r="S82" s="16" t="n">
        <v>614.49</v>
      </c>
      <c r="T82" s="16" t="n">
        <v>614.49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CANON-202509-000680</t>
        </is>
      </c>
      <c r="B83" s="3" t="inlineStr">
        <is>
          <t>2025-09-02</t>
        </is>
      </c>
      <c r="C83" s="3" t="inlineStr">
        <is>
          <t>Lorenzo Delacroix</t>
        </is>
      </c>
      <c r="D83" s="3" t="inlineStr">
        <is>
          <t>NY</t>
        </is>
      </c>
      <c r="E83" s="14" t="n">
        <v>990000</v>
      </c>
      <c r="F83" s="14" t="n">
        <v>14905.5</v>
      </c>
      <c r="G83" s="14" t="n">
        <v>1863.19</v>
      </c>
      <c r="H83" s="14" t="n">
        <v>1863.19</v>
      </c>
      <c r="I83" s="14">
        <f>SUM(K83:T83)</f>
        <v/>
      </c>
      <c r="J83" s="14">
        <f>F83-(G83+H83+I83)</f>
        <v/>
      </c>
      <c r="K83" s="14" t="n">
        <v>1117.91</v>
      </c>
      <c r="L83" s="14" t="n">
        <v>1117.91</v>
      </c>
      <c r="M83" s="14" t="n">
        <v>1117.91</v>
      </c>
      <c r="N83" s="14" t="n">
        <v>1117.91</v>
      </c>
      <c r="O83" s="14" t="n">
        <v>1117.91</v>
      </c>
      <c r="P83" s="14" t="n">
        <v>1117.91</v>
      </c>
      <c r="Q83" s="14" t="n">
        <v>1117.91</v>
      </c>
      <c r="R83" s="14" t="n">
        <v>1117.91</v>
      </c>
      <c r="S83" s="14" t="n">
        <v>1117.91</v>
      </c>
      <c r="T83" s="14" t="n">
        <v>1117.91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CANON-202509-000681</t>
        </is>
      </c>
      <c r="B84" s="15" t="inlineStr">
        <is>
          <t>2025-09-21</t>
        </is>
      </c>
      <c r="C84" s="15" t="inlineStr">
        <is>
          <t>Thaddeus Nakashima</t>
        </is>
      </c>
      <c r="D84" s="15" t="inlineStr">
        <is>
          <t>SC</t>
        </is>
      </c>
      <c r="E84" s="16" t="n">
        <v>370000</v>
      </c>
      <c r="F84" s="16" t="n">
        <v>6226.91</v>
      </c>
      <c r="G84" s="16" t="n">
        <v>778.36</v>
      </c>
      <c r="H84" s="16" t="n">
        <v>778.36</v>
      </c>
      <c r="I84" s="16">
        <f>SUM(K84:T84)</f>
        <v/>
      </c>
      <c r="J84" s="16">
        <f>F84-(G84+H84+I84)</f>
        <v/>
      </c>
      <c r="K84" s="16" t="n">
        <v>467.02</v>
      </c>
      <c r="L84" s="16" t="n">
        <v>467.02</v>
      </c>
      <c r="M84" s="16" t="n">
        <v>467.02</v>
      </c>
      <c r="N84" s="16" t="n">
        <v>467.02</v>
      </c>
      <c r="O84" s="16" t="n">
        <v>467.02</v>
      </c>
      <c r="P84" s="16" t="n">
        <v>467.02</v>
      </c>
      <c r="Q84" s="16" t="n">
        <v>467.02</v>
      </c>
      <c r="R84" s="16" t="n">
        <v>467.02</v>
      </c>
      <c r="S84" s="16" t="n">
        <v>467.02</v>
      </c>
      <c r="T84" s="16" t="n">
        <v>467.02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CANON-202509-000682</t>
        </is>
      </c>
      <c r="B85" s="3" t="inlineStr">
        <is>
          <t>2025-09-27</t>
        </is>
      </c>
      <c r="C85" s="3" t="inlineStr">
        <is>
          <t>Saoirse Castellanos</t>
        </is>
      </c>
      <c r="D85" s="3" t="inlineStr">
        <is>
          <t>TX</t>
        </is>
      </c>
      <c r="E85" s="14" t="n">
        <v>1100000</v>
      </c>
      <c r="F85" s="14" t="n">
        <v>12590.45</v>
      </c>
      <c r="G85" s="14" t="n">
        <v>1573.81</v>
      </c>
      <c r="H85" s="14" t="n">
        <v>1573.81</v>
      </c>
      <c r="I85" s="14">
        <f>SUM(K85:T85)</f>
        <v/>
      </c>
      <c r="J85" s="14">
        <f>F85-(G85+H85+I85)</f>
        <v/>
      </c>
      <c r="K85" s="14" t="n">
        <v>944.28</v>
      </c>
      <c r="L85" s="14" t="n">
        <v>944.28</v>
      </c>
      <c r="M85" s="14" t="n">
        <v>944.28</v>
      </c>
      <c r="N85" s="14" t="n">
        <v>944.28</v>
      </c>
      <c r="O85" s="14" t="n">
        <v>944.28</v>
      </c>
      <c r="P85" s="14" t="n">
        <v>944.28</v>
      </c>
      <c r="Q85" s="14" t="n">
        <v>944.28</v>
      </c>
      <c r="R85" s="14" t="n">
        <v>944.28</v>
      </c>
      <c r="S85" s="14" t="n">
        <v>944.28</v>
      </c>
      <c r="T85" s="14" t="n">
        <v>944.28</v>
      </c>
      <c r="U85" s="14" t="n">
        <v>350</v>
      </c>
      <c r="V85" s="14" t="n">
        <v>250</v>
      </c>
      <c r="W85" s="14">
        <f>U85+V85</f>
        <v/>
      </c>
    </row>
    <row r="86">
      <c r="A86" s="15" t="inlineStr">
        <is>
          <t>CANON-202509-000683</t>
        </is>
      </c>
      <c r="B86" s="15" t="inlineStr">
        <is>
          <t>2025-09-18</t>
        </is>
      </c>
      <c r="C86" s="15" t="inlineStr">
        <is>
          <t>Fitzgerald Montoya</t>
        </is>
      </c>
      <c r="D86" s="15" t="inlineStr">
        <is>
          <t>OH</t>
        </is>
      </c>
      <c r="E86" s="16" t="n">
        <v>1950000</v>
      </c>
      <c r="F86" s="16" t="n">
        <v>18638.93</v>
      </c>
      <c r="G86" s="16" t="n">
        <v>2329.87</v>
      </c>
      <c r="H86" s="16" t="n">
        <v>2329.87</v>
      </c>
      <c r="I86" s="16">
        <f>SUM(K86:T86)</f>
        <v/>
      </c>
      <c r="J86" s="16">
        <f>F86-(G86+H86+I86)</f>
        <v/>
      </c>
      <c r="K86" s="16" t="n">
        <v>1397.92</v>
      </c>
      <c r="L86" s="16" t="n">
        <v>1397.92</v>
      </c>
      <c r="M86" s="16" t="n">
        <v>1397.92</v>
      </c>
      <c r="N86" s="16" t="n">
        <v>1397.92</v>
      </c>
      <c r="O86" s="16" t="n">
        <v>1397.92</v>
      </c>
      <c r="P86" s="16" t="n">
        <v>1397.92</v>
      </c>
      <c r="Q86" s="16" t="n">
        <v>1397.92</v>
      </c>
      <c r="R86" s="16" t="n">
        <v>1397.92</v>
      </c>
      <c r="S86" s="16" t="n">
        <v>1397.92</v>
      </c>
      <c r="T86" s="16" t="n">
        <v>1397.92</v>
      </c>
      <c r="U86" s="16" t="n">
        <v>350</v>
      </c>
      <c r="V86" s="16" t="n">
        <v>250</v>
      </c>
      <c r="W86" s="16">
        <f>U86+V86</f>
        <v/>
      </c>
    </row>
    <row r="87">
      <c r="A87" s="3" t="inlineStr">
        <is>
          <t>CANON-202509-000684</t>
        </is>
      </c>
      <c r="B87" s="3" t="inlineStr">
        <is>
          <t>2025-09-20</t>
        </is>
      </c>
      <c r="C87" s="3" t="inlineStr">
        <is>
          <t>Noor Larsson</t>
        </is>
      </c>
      <c r="D87" s="3" t="inlineStr">
        <is>
          <t>ME</t>
        </is>
      </c>
      <c r="E87" s="14" t="n">
        <v>420000</v>
      </c>
      <c r="F87" s="14" t="n">
        <v>6156.34</v>
      </c>
      <c r="G87" s="14" t="n">
        <v>769.54</v>
      </c>
      <c r="H87" s="14" t="n">
        <v>769.54</v>
      </c>
      <c r="I87" s="14">
        <f>SUM(K87:T87)</f>
        <v/>
      </c>
      <c r="J87" s="14">
        <f>F87-(G87+H87+I87)</f>
        <v/>
      </c>
      <c r="K87" s="14" t="n">
        <v>461.73</v>
      </c>
      <c r="L87" s="14" t="n">
        <v>461.73</v>
      </c>
      <c r="M87" s="14" t="n">
        <v>461.73</v>
      </c>
      <c r="N87" s="14" t="n">
        <v>461.73</v>
      </c>
      <c r="O87" s="14" t="n">
        <v>461.73</v>
      </c>
      <c r="P87" s="14" t="n">
        <v>461.73</v>
      </c>
      <c r="Q87" s="14" t="n">
        <v>461.73</v>
      </c>
      <c r="R87" s="14" t="n">
        <v>461.73</v>
      </c>
      <c r="S87" s="14" t="n">
        <v>461.73</v>
      </c>
      <c r="T87" s="14" t="n">
        <v>461.73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CANON-202509-000685</t>
        </is>
      </c>
      <c r="B88" s="15" t="inlineStr">
        <is>
          <t>2025-09-28</t>
        </is>
      </c>
      <c r="C88" s="15" t="inlineStr">
        <is>
          <t>Ingrid Chattopadhyay</t>
        </is>
      </c>
      <c r="D88" s="15" t="inlineStr">
        <is>
          <t>MN</t>
        </is>
      </c>
      <c r="E88" s="16" t="n">
        <v>1015000</v>
      </c>
      <c r="F88" s="16" t="n">
        <v>16486.82</v>
      </c>
      <c r="G88" s="16" t="n">
        <v>2060.85</v>
      </c>
      <c r="H88" s="16" t="n">
        <v>2060.85</v>
      </c>
      <c r="I88" s="16">
        <f>SUM(K88:T88)</f>
        <v/>
      </c>
      <c r="J88" s="16">
        <f>F88-(G88+H88+I88)</f>
        <v/>
      </c>
      <c r="K88" s="16" t="n">
        <v>1236.51</v>
      </c>
      <c r="L88" s="16" t="n">
        <v>1236.51</v>
      </c>
      <c r="M88" s="16" t="n">
        <v>1236.51</v>
      </c>
      <c r="N88" s="16" t="n">
        <v>1236.51</v>
      </c>
      <c r="O88" s="16" t="n">
        <v>1236.51</v>
      </c>
      <c r="P88" s="16" t="n">
        <v>1236.51</v>
      </c>
      <c r="Q88" s="16" t="n">
        <v>1236.51</v>
      </c>
      <c r="R88" s="16" t="n">
        <v>1236.51</v>
      </c>
      <c r="S88" s="16" t="n">
        <v>1236.51</v>
      </c>
      <c r="T88" s="16" t="n">
        <v>1236.51</v>
      </c>
      <c r="U88" s="16" t="n">
        <v>350</v>
      </c>
      <c r="V88" s="16" t="n">
        <v>250</v>
      </c>
      <c r="W88" s="16">
        <f>U88+V88</f>
        <v/>
      </c>
    </row>
    <row r="89">
      <c r="A89" s="3" t="inlineStr">
        <is>
          <t>CANON-202509-000687</t>
        </is>
      </c>
      <c r="B89" s="3" t="inlineStr">
        <is>
          <t>2025-09-06</t>
        </is>
      </c>
      <c r="C89" s="3" t="inlineStr">
        <is>
          <t>Aurelio Pennington</t>
        </is>
      </c>
      <c r="D89" s="3" t="inlineStr">
        <is>
          <t>CA</t>
        </is>
      </c>
      <c r="E89" s="14" t="n">
        <v>865000</v>
      </c>
      <c r="F89" s="14" t="n">
        <v>13735.71</v>
      </c>
      <c r="G89" s="14" t="n">
        <v>1716.96</v>
      </c>
      <c r="H89" s="14" t="n">
        <v>1716.96</v>
      </c>
      <c r="I89" s="14">
        <f>SUM(K89:T89)</f>
        <v/>
      </c>
      <c r="J89" s="14">
        <f>F89-(G89+H89+I89)</f>
        <v/>
      </c>
      <c r="K89" s="14" t="n">
        <v>1030.18</v>
      </c>
      <c r="L89" s="14" t="n">
        <v>1030.18</v>
      </c>
      <c r="M89" s="14" t="n">
        <v>1030.18</v>
      </c>
      <c r="N89" s="14" t="n">
        <v>1030.18</v>
      </c>
      <c r="O89" s="14" t="n">
        <v>1030.18</v>
      </c>
      <c r="P89" s="14" t="n">
        <v>1030.18</v>
      </c>
      <c r="Q89" s="14" t="n">
        <v>1030.18</v>
      </c>
      <c r="R89" s="14" t="n">
        <v>1030.18</v>
      </c>
      <c r="S89" s="14" t="n">
        <v>1030.18</v>
      </c>
      <c r="T89" s="14" t="n">
        <v>1030.18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CANON-202509-000688</t>
        </is>
      </c>
      <c r="B90" s="15" t="inlineStr">
        <is>
          <t>2025-09-12</t>
        </is>
      </c>
      <c r="C90" s="15" t="inlineStr">
        <is>
          <t>Leopold Underwood</t>
        </is>
      </c>
      <c r="D90" s="15" t="inlineStr">
        <is>
          <t>NV</t>
        </is>
      </c>
      <c r="E90" s="16" t="n">
        <v>330000</v>
      </c>
      <c r="F90" s="16" t="n">
        <v>5240.22</v>
      </c>
      <c r="G90" s="16" t="n">
        <v>655.03</v>
      </c>
      <c r="H90" s="16" t="n">
        <v>655.03</v>
      </c>
      <c r="I90" s="16">
        <f>SUM(K90:T90)</f>
        <v/>
      </c>
      <c r="J90" s="16">
        <f>F90-(G90+H90+I90)</f>
        <v/>
      </c>
      <c r="K90" s="16" t="n">
        <v>393.02</v>
      </c>
      <c r="L90" s="16" t="n">
        <v>393.02</v>
      </c>
      <c r="M90" s="16" t="n">
        <v>393.02</v>
      </c>
      <c r="N90" s="16" t="n">
        <v>393.02</v>
      </c>
      <c r="O90" s="16" t="n">
        <v>393.02</v>
      </c>
      <c r="P90" s="16" t="n">
        <v>393.02</v>
      </c>
      <c r="Q90" s="16" t="n">
        <v>393.02</v>
      </c>
      <c r="R90" s="16" t="n">
        <v>393.02</v>
      </c>
      <c r="S90" s="16" t="n">
        <v>393.02</v>
      </c>
      <c r="T90" s="16" t="n">
        <v>393.02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CANON-202509-000689</t>
        </is>
      </c>
      <c r="B91" s="3" t="inlineStr">
        <is>
          <t>2025-09-17</t>
        </is>
      </c>
      <c r="C91" s="3" t="inlineStr">
        <is>
          <t>Beatrix Okonkwo</t>
        </is>
      </c>
      <c r="D91" s="3" t="inlineStr">
        <is>
          <t>AK</t>
        </is>
      </c>
      <c r="E91" s="14" t="n">
        <v>380000</v>
      </c>
      <c r="F91" s="14" t="n">
        <v>3292.5</v>
      </c>
      <c r="G91" s="14" t="n">
        <v>411.56</v>
      </c>
      <c r="H91" s="14" t="n">
        <v>411.56</v>
      </c>
      <c r="I91" s="14">
        <f>SUM(K91:T91)</f>
        <v/>
      </c>
      <c r="J91" s="14">
        <f>F91-(G91+H91+I91)</f>
        <v/>
      </c>
      <c r="K91" s="14" t="n">
        <v>246.94</v>
      </c>
      <c r="L91" s="14" t="n">
        <v>246.94</v>
      </c>
      <c r="M91" s="14" t="n">
        <v>246.94</v>
      </c>
      <c r="N91" s="14" t="n">
        <v>246.94</v>
      </c>
      <c r="O91" s="14" t="n">
        <v>246.94</v>
      </c>
      <c r="P91" s="14" t="n">
        <v>246.94</v>
      </c>
      <c r="Q91" s="14" t="n">
        <v>246.94</v>
      </c>
      <c r="R91" s="14" t="n">
        <v>246.94</v>
      </c>
      <c r="S91" s="14" t="n">
        <v>246.94</v>
      </c>
      <c r="T91" s="14" t="n">
        <v>246.94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CANON-202509-000692</t>
        </is>
      </c>
      <c r="B92" s="15" t="inlineStr">
        <is>
          <t>2025-09-03</t>
        </is>
      </c>
      <c r="C92" s="15" t="inlineStr">
        <is>
          <t>Leopold Thistlewood</t>
        </is>
      </c>
      <c r="D92" s="15" t="inlineStr">
        <is>
          <t>AR</t>
        </is>
      </c>
      <c r="E92" s="16" t="n">
        <v>780000</v>
      </c>
      <c r="F92" s="16" t="n">
        <v>18504.84</v>
      </c>
      <c r="G92" s="16" t="n">
        <v>2313.11</v>
      </c>
      <c r="H92" s="16" t="n">
        <v>2313.11</v>
      </c>
      <c r="I92" s="16">
        <f>SUM(K92:T92)</f>
        <v/>
      </c>
      <c r="J92" s="16">
        <f>F92-(G92+H92+I92)</f>
        <v/>
      </c>
      <c r="K92" s="16" t="n">
        <v>1387.86</v>
      </c>
      <c r="L92" s="16" t="n">
        <v>1387.86</v>
      </c>
      <c r="M92" s="16" t="n">
        <v>1387.86</v>
      </c>
      <c r="N92" s="16" t="n">
        <v>1387.86</v>
      </c>
      <c r="O92" s="16" t="n">
        <v>1387.86</v>
      </c>
      <c r="P92" s="16" t="n">
        <v>1387.86</v>
      </c>
      <c r="Q92" s="16" t="n">
        <v>1387.86</v>
      </c>
      <c r="R92" s="16" t="n">
        <v>1387.86</v>
      </c>
      <c r="S92" s="16" t="n">
        <v>1387.86</v>
      </c>
      <c r="T92" s="16" t="n">
        <v>1387.86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CANON-202509-000693</t>
        </is>
      </c>
      <c r="B93" s="3" t="inlineStr">
        <is>
          <t>2025-09-12</t>
        </is>
      </c>
      <c r="C93" s="3" t="inlineStr">
        <is>
          <t>Anouk Chattopadhyay</t>
        </is>
      </c>
      <c r="D93" s="3" t="inlineStr">
        <is>
          <t>CA</t>
        </is>
      </c>
      <c r="E93" s="14" t="n">
        <v>670000</v>
      </c>
      <c r="F93" s="14" t="n">
        <v>10639.22</v>
      </c>
      <c r="G93" s="14" t="n">
        <v>1329.9</v>
      </c>
      <c r="H93" s="14" t="n">
        <v>1329.9</v>
      </c>
      <c r="I93" s="14">
        <f>SUM(K93:T93)</f>
        <v/>
      </c>
      <c r="J93" s="14">
        <f>F93-(G93+H93+I93)</f>
        <v/>
      </c>
      <c r="K93" s="14" t="n">
        <v>797.9400000000001</v>
      </c>
      <c r="L93" s="14" t="n">
        <v>797.9400000000001</v>
      </c>
      <c r="M93" s="14" t="n">
        <v>797.9400000000001</v>
      </c>
      <c r="N93" s="14" t="n">
        <v>797.9400000000001</v>
      </c>
      <c r="O93" s="14" t="n">
        <v>797.9400000000001</v>
      </c>
      <c r="P93" s="14" t="n">
        <v>797.9400000000001</v>
      </c>
      <c r="Q93" s="14" t="n">
        <v>797.9400000000001</v>
      </c>
      <c r="R93" s="14" t="n">
        <v>797.9400000000001</v>
      </c>
      <c r="S93" s="14" t="n">
        <v>797.9400000000001</v>
      </c>
      <c r="T93" s="14" t="n">
        <v>797.9400000000001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CANON-202509-000694</t>
        </is>
      </c>
      <c r="B94" s="15" t="inlineStr">
        <is>
          <t>2025-09-11</t>
        </is>
      </c>
      <c r="C94" s="15" t="inlineStr">
        <is>
          <t>Noor Delacroix</t>
        </is>
      </c>
      <c r="D94" s="15" t="inlineStr">
        <is>
          <t>NY</t>
        </is>
      </c>
      <c r="E94" s="16" t="n">
        <v>745000</v>
      </c>
      <c r="F94" s="16" t="n">
        <v>11216.76</v>
      </c>
      <c r="G94" s="16" t="n">
        <v>1402.1</v>
      </c>
      <c r="H94" s="16" t="n">
        <v>1402.1</v>
      </c>
      <c r="I94" s="16">
        <f>SUM(K94:T94)</f>
        <v/>
      </c>
      <c r="J94" s="16">
        <f>F94-(G94+H94+I94)</f>
        <v/>
      </c>
      <c r="K94" s="16" t="n">
        <v>841.26</v>
      </c>
      <c r="L94" s="16" t="n">
        <v>841.26</v>
      </c>
      <c r="M94" s="16" t="n">
        <v>841.26</v>
      </c>
      <c r="N94" s="16" t="n">
        <v>841.26</v>
      </c>
      <c r="O94" s="16" t="n">
        <v>841.26</v>
      </c>
      <c r="P94" s="16" t="n">
        <v>841.26</v>
      </c>
      <c r="Q94" s="16" t="n">
        <v>841.26</v>
      </c>
      <c r="R94" s="16" t="n">
        <v>841.26</v>
      </c>
      <c r="S94" s="16" t="n">
        <v>841.26</v>
      </c>
      <c r="T94" s="16" t="n">
        <v>841.26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CANON-202509-000695</t>
        </is>
      </c>
      <c r="B95" s="3" t="inlineStr">
        <is>
          <t>2025-09-07</t>
        </is>
      </c>
      <c r="C95" s="3" t="inlineStr">
        <is>
          <t>Marisol Vasquez</t>
        </is>
      </c>
      <c r="D95" s="3" t="inlineStr">
        <is>
          <t>TX</t>
        </is>
      </c>
      <c r="E95" s="14" t="n">
        <v>555000</v>
      </c>
      <c r="F95" s="14" t="n">
        <v>7507.44</v>
      </c>
      <c r="G95" s="14" t="n">
        <v>938.4299999999999</v>
      </c>
      <c r="H95" s="14" t="n">
        <v>938.4299999999999</v>
      </c>
      <c r="I95" s="14">
        <f>SUM(K95:T95)</f>
        <v/>
      </c>
      <c r="J95" s="14">
        <f>F95-(G95+H95+I95)</f>
        <v/>
      </c>
      <c r="K95" s="14" t="n">
        <v>563.0599999999999</v>
      </c>
      <c r="L95" s="14" t="n">
        <v>563.0599999999999</v>
      </c>
      <c r="M95" s="14" t="n">
        <v>563.0599999999999</v>
      </c>
      <c r="N95" s="14" t="n">
        <v>563.0599999999999</v>
      </c>
      <c r="O95" s="14" t="n">
        <v>563.0599999999999</v>
      </c>
      <c r="P95" s="14" t="n">
        <v>563.0599999999999</v>
      </c>
      <c r="Q95" s="14" t="n">
        <v>563.0599999999999</v>
      </c>
      <c r="R95" s="14" t="n">
        <v>563.0599999999999</v>
      </c>
      <c r="S95" s="14" t="n">
        <v>563.0599999999999</v>
      </c>
      <c r="T95" s="14" t="n">
        <v>563.0599999999999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CANON-202509-000696</t>
        </is>
      </c>
      <c r="B96" s="15" t="inlineStr">
        <is>
          <t>2025-09-23</t>
        </is>
      </c>
      <c r="C96" s="15" t="inlineStr">
        <is>
          <t>Ottilie Pennington</t>
        </is>
      </c>
      <c r="D96" s="15" t="inlineStr">
        <is>
          <t>WA</t>
        </is>
      </c>
      <c r="E96" s="16" t="n">
        <v>300000</v>
      </c>
      <c r="F96" s="16" t="n">
        <v>3908.78</v>
      </c>
      <c r="G96" s="16" t="n">
        <v>488.6</v>
      </c>
      <c r="H96" s="16" t="n">
        <v>488.6</v>
      </c>
      <c r="I96" s="16">
        <f>SUM(K96:T96)</f>
        <v/>
      </c>
      <c r="J96" s="16">
        <f>F96-(G96+H96+I96)</f>
        <v/>
      </c>
      <c r="K96" s="16" t="n">
        <v>293.16</v>
      </c>
      <c r="L96" s="16" t="n">
        <v>293.16</v>
      </c>
      <c r="M96" s="16" t="n">
        <v>293.16</v>
      </c>
      <c r="N96" s="16" t="n">
        <v>293.16</v>
      </c>
      <c r="O96" s="16" t="n">
        <v>293.16</v>
      </c>
      <c r="P96" s="16" t="n">
        <v>293.16</v>
      </c>
      <c r="Q96" s="16" t="n">
        <v>293.16</v>
      </c>
      <c r="R96" s="16" t="n">
        <v>293.16</v>
      </c>
      <c r="S96" s="16" t="n">
        <v>293.16</v>
      </c>
      <c r="T96" s="16" t="n">
        <v>293.16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CANON-202509-000697</t>
        </is>
      </c>
      <c r="B97" s="3" t="inlineStr">
        <is>
          <t>2025-09-18</t>
        </is>
      </c>
      <c r="C97" s="3" t="inlineStr">
        <is>
          <t>Ramona Ashcombe</t>
        </is>
      </c>
      <c r="D97" s="3" t="inlineStr">
        <is>
          <t>UT</t>
        </is>
      </c>
      <c r="E97" s="14" t="n">
        <v>1405000</v>
      </c>
      <c r="F97" s="14" t="n">
        <v>27459.22</v>
      </c>
      <c r="G97" s="14" t="n">
        <v>3432.4</v>
      </c>
      <c r="H97" s="14" t="n">
        <v>3432.4</v>
      </c>
      <c r="I97" s="14">
        <f>SUM(K97:T97)</f>
        <v/>
      </c>
      <c r="J97" s="14">
        <f>F97-(G97+H97+I97)</f>
        <v/>
      </c>
      <c r="K97" s="14" t="n">
        <v>2059.44</v>
      </c>
      <c r="L97" s="14" t="n">
        <v>2059.44</v>
      </c>
      <c r="M97" s="14" t="n">
        <v>2059.44</v>
      </c>
      <c r="N97" s="14" t="n">
        <v>2059.44</v>
      </c>
      <c r="O97" s="14" t="n">
        <v>2059.44</v>
      </c>
      <c r="P97" s="14" t="n">
        <v>2059.44</v>
      </c>
      <c r="Q97" s="14" t="n">
        <v>2059.44</v>
      </c>
      <c r="R97" s="14" t="n">
        <v>2059.44</v>
      </c>
      <c r="S97" s="14" t="n">
        <v>2059.44</v>
      </c>
      <c r="T97" s="14" t="n">
        <v>2059.44</v>
      </c>
      <c r="U97" s="14" t="n">
        <v>350</v>
      </c>
      <c r="V97" s="14" t="n">
        <v>250</v>
      </c>
      <c r="W97" s="14">
        <f>U97+V97</f>
        <v/>
      </c>
    </row>
    <row r="98">
      <c r="A98" s="15" t="inlineStr">
        <is>
          <t>CANON-202509-000698</t>
        </is>
      </c>
      <c r="B98" s="15" t="inlineStr">
        <is>
          <t>2025-09-17</t>
        </is>
      </c>
      <c r="C98" s="15" t="inlineStr">
        <is>
          <t>Anouk Delacroix</t>
        </is>
      </c>
      <c r="D98" s="15" t="inlineStr">
        <is>
          <t>NY</t>
        </is>
      </c>
      <c r="E98" s="16" t="n">
        <v>530000</v>
      </c>
      <c r="F98" s="16" t="n">
        <v>7979.71</v>
      </c>
      <c r="G98" s="16" t="n">
        <v>997.46</v>
      </c>
      <c r="H98" s="16" t="n">
        <v>997.46</v>
      </c>
      <c r="I98" s="16">
        <f>SUM(K98:T98)</f>
        <v/>
      </c>
      <c r="J98" s="16">
        <f>F98-(G98+H98+I98)</f>
        <v/>
      </c>
      <c r="K98" s="16" t="n">
        <v>598.48</v>
      </c>
      <c r="L98" s="16" t="n">
        <v>598.48</v>
      </c>
      <c r="M98" s="16" t="n">
        <v>598.48</v>
      </c>
      <c r="N98" s="16" t="n">
        <v>598.48</v>
      </c>
      <c r="O98" s="16" t="n">
        <v>598.48</v>
      </c>
      <c r="P98" s="16" t="n">
        <v>598.48</v>
      </c>
      <c r="Q98" s="16" t="n">
        <v>598.48</v>
      </c>
      <c r="R98" s="16" t="n">
        <v>598.48</v>
      </c>
      <c r="S98" s="16" t="n">
        <v>598.48</v>
      </c>
      <c r="T98" s="16" t="n">
        <v>598.48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CANON-202509-000699</t>
        </is>
      </c>
      <c r="B99" s="3" t="inlineStr">
        <is>
          <t>2025-09-29</t>
        </is>
      </c>
      <c r="C99" s="3" t="inlineStr">
        <is>
          <t>Ingrid Harrington</t>
        </is>
      </c>
      <c r="D99" s="3" t="inlineStr">
        <is>
          <t>NJ</t>
        </is>
      </c>
      <c r="E99" s="14" t="n">
        <v>1145000</v>
      </c>
      <c r="F99" s="14" t="n">
        <v>15084.29</v>
      </c>
      <c r="G99" s="14" t="n">
        <v>1885.54</v>
      </c>
      <c r="H99" s="14" t="n">
        <v>1885.54</v>
      </c>
      <c r="I99" s="14">
        <f>SUM(K99:T99)</f>
        <v/>
      </c>
      <c r="J99" s="14">
        <f>F99-(G99+H99+I99)</f>
        <v/>
      </c>
      <c r="K99" s="14" t="n">
        <v>1131.32</v>
      </c>
      <c r="L99" s="14" t="n">
        <v>1131.32</v>
      </c>
      <c r="M99" s="14" t="n">
        <v>1131.32</v>
      </c>
      <c r="N99" s="14" t="n">
        <v>1131.32</v>
      </c>
      <c r="O99" s="14" t="n">
        <v>1131.32</v>
      </c>
      <c r="P99" s="14" t="n">
        <v>1131.32</v>
      </c>
      <c r="Q99" s="14" t="n">
        <v>1131.32</v>
      </c>
      <c r="R99" s="14" t="n">
        <v>1131.32</v>
      </c>
      <c r="S99" s="14" t="n">
        <v>1131.32</v>
      </c>
      <c r="T99" s="14" t="n">
        <v>1131.32</v>
      </c>
      <c r="U99" s="14" t="n">
        <v>350</v>
      </c>
      <c r="V99" s="14" t="n">
        <v>250</v>
      </c>
      <c r="W99" s="14">
        <f>U99+V99</f>
        <v/>
      </c>
    </row>
    <row r="100">
      <c r="A100" s="15" t="inlineStr">
        <is>
          <t>CANON-202509-000700</t>
        </is>
      </c>
      <c r="B100" s="15" t="inlineStr">
        <is>
          <t>2025-09-05</t>
        </is>
      </c>
      <c r="C100" s="15" t="inlineStr">
        <is>
          <t>Marisol Ashcombe</t>
        </is>
      </c>
      <c r="D100" s="15" t="inlineStr">
        <is>
          <t>WI</t>
        </is>
      </c>
      <c r="E100" s="16" t="n">
        <v>600000</v>
      </c>
      <c r="F100" s="16" t="n">
        <v>8469.040000000001</v>
      </c>
      <c r="G100" s="16" t="n">
        <v>1058.63</v>
      </c>
      <c r="H100" s="16" t="n">
        <v>1058.63</v>
      </c>
      <c r="I100" s="16">
        <f>SUM(K100:T100)</f>
        <v/>
      </c>
      <c r="J100" s="16">
        <f>F100-(G100+H100+I100)</f>
        <v/>
      </c>
      <c r="K100" s="16" t="n">
        <v>635.1799999999999</v>
      </c>
      <c r="L100" s="16" t="n">
        <v>635.1799999999999</v>
      </c>
      <c r="M100" s="16" t="n">
        <v>635.1799999999999</v>
      </c>
      <c r="N100" s="16" t="n">
        <v>635.1799999999999</v>
      </c>
      <c r="O100" s="16" t="n">
        <v>635.1799999999999</v>
      </c>
      <c r="P100" s="16" t="n">
        <v>635.1799999999999</v>
      </c>
      <c r="Q100" s="16" t="n">
        <v>635.1799999999999</v>
      </c>
      <c r="R100" s="16" t="n">
        <v>635.1799999999999</v>
      </c>
      <c r="S100" s="16" t="n">
        <v>635.1799999999999</v>
      </c>
      <c r="T100" s="16" t="n">
        <v>635.1799999999999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CANON-202509-000701</t>
        </is>
      </c>
      <c r="B101" s="3" t="inlineStr">
        <is>
          <t>2025-09-09</t>
        </is>
      </c>
      <c r="C101" s="3" t="inlineStr">
        <is>
          <t>Saoirse Fairweather</t>
        </is>
      </c>
      <c r="D101" s="3" t="inlineStr">
        <is>
          <t>CA</t>
        </is>
      </c>
      <c r="E101" s="14" t="n">
        <v>645000</v>
      </c>
      <c r="F101" s="14" t="n">
        <v>10242.24</v>
      </c>
      <c r="G101" s="14" t="n">
        <v>1280.28</v>
      </c>
      <c r="H101" s="14" t="n">
        <v>1280.28</v>
      </c>
      <c r="I101" s="14">
        <f>SUM(K101:T101)</f>
        <v/>
      </c>
      <c r="J101" s="14">
        <f>F101-(G101+H101+I101)</f>
        <v/>
      </c>
      <c r="K101" s="14" t="n">
        <v>768.17</v>
      </c>
      <c r="L101" s="14" t="n">
        <v>768.17</v>
      </c>
      <c r="M101" s="14" t="n">
        <v>768.17</v>
      </c>
      <c r="N101" s="14" t="n">
        <v>768.17</v>
      </c>
      <c r="O101" s="14" t="n">
        <v>768.17</v>
      </c>
      <c r="P101" s="14" t="n">
        <v>768.17</v>
      </c>
      <c r="Q101" s="14" t="n">
        <v>768.17</v>
      </c>
      <c r="R101" s="14" t="n">
        <v>768.17</v>
      </c>
      <c r="S101" s="14" t="n">
        <v>768.17</v>
      </c>
      <c r="T101" s="14" t="n">
        <v>768.17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CANON-202509-000702</t>
        </is>
      </c>
      <c r="B102" s="15" t="inlineStr">
        <is>
          <t>2025-09-03</t>
        </is>
      </c>
      <c r="C102" s="15" t="inlineStr">
        <is>
          <t>Ramona Farkas</t>
        </is>
      </c>
      <c r="D102" s="15" t="inlineStr">
        <is>
          <t>GA</t>
        </is>
      </c>
      <c r="E102" s="16" t="n">
        <v>505000</v>
      </c>
      <c r="F102" s="16" t="n">
        <v>6652.89</v>
      </c>
      <c r="G102" s="16" t="n">
        <v>831.61</v>
      </c>
      <c r="H102" s="16" t="n">
        <v>831.61</v>
      </c>
      <c r="I102" s="16">
        <f>SUM(K102:T102)</f>
        <v/>
      </c>
      <c r="J102" s="16">
        <f>F102-(G102+H102+I102)</f>
        <v/>
      </c>
      <c r="K102" s="16" t="n">
        <v>498.97</v>
      </c>
      <c r="L102" s="16" t="n">
        <v>498.97</v>
      </c>
      <c r="M102" s="16" t="n">
        <v>498.97</v>
      </c>
      <c r="N102" s="16" t="n">
        <v>498.97</v>
      </c>
      <c r="O102" s="16" t="n">
        <v>498.97</v>
      </c>
      <c r="P102" s="16" t="n">
        <v>498.97</v>
      </c>
      <c r="Q102" s="16" t="n">
        <v>498.97</v>
      </c>
      <c r="R102" s="16" t="n">
        <v>498.97</v>
      </c>
      <c r="S102" s="16" t="n">
        <v>498.97</v>
      </c>
      <c r="T102" s="16" t="n">
        <v>498.97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CANON-202509-000703</t>
        </is>
      </c>
      <c r="B103" s="3" t="inlineStr">
        <is>
          <t>2025-09-08</t>
        </is>
      </c>
      <c r="C103" s="3" t="inlineStr">
        <is>
          <t>Mireille Chattopadhyay</t>
        </is>
      </c>
      <c r="D103" s="3" t="inlineStr">
        <is>
          <t>TN</t>
        </is>
      </c>
      <c r="E103" s="14" t="n">
        <v>315000</v>
      </c>
      <c r="F103" s="14" t="n">
        <v>4189.73</v>
      </c>
      <c r="G103" s="14" t="n">
        <v>523.72</v>
      </c>
      <c r="H103" s="14" t="n">
        <v>523.72</v>
      </c>
      <c r="I103" s="14">
        <f>SUM(K103:T103)</f>
        <v/>
      </c>
      <c r="J103" s="14">
        <f>F103-(G103+H103+I103)</f>
        <v/>
      </c>
      <c r="K103" s="14" t="n">
        <v>314.23</v>
      </c>
      <c r="L103" s="14" t="n">
        <v>314.23</v>
      </c>
      <c r="M103" s="14" t="n">
        <v>314.23</v>
      </c>
      <c r="N103" s="14" t="n">
        <v>314.23</v>
      </c>
      <c r="O103" s="14" t="n">
        <v>314.23</v>
      </c>
      <c r="P103" s="14" t="n">
        <v>314.23</v>
      </c>
      <c r="Q103" s="14" t="n">
        <v>314.23</v>
      </c>
      <c r="R103" s="14" t="n">
        <v>314.23</v>
      </c>
      <c r="S103" s="14" t="n">
        <v>314.23</v>
      </c>
      <c r="T103" s="14" t="n">
        <v>314.23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CANON-202509-000704</t>
        </is>
      </c>
      <c r="B104" s="15" t="inlineStr">
        <is>
          <t>2025-09-27</t>
        </is>
      </c>
      <c r="C104" s="15" t="inlineStr">
        <is>
          <t>Aurelio Vasquez</t>
        </is>
      </c>
      <c r="D104" s="15" t="inlineStr">
        <is>
          <t>CA</t>
        </is>
      </c>
      <c r="E104" s="16" t="n">
        <v>475000</v>
      </c>
      <c r="F104" s="16" t="n">
        <v>8703.15</v>
      </c>
      <c r="G104" s="16" t="n">
        <v>1087.89</v>
      </c>
      <c r="H104" s="16" t="n">
        <v>1087.89</v>
      </c>
      <c r="I104" s="16">
        <f>SUM(K104:T104)</f>
        <v/>
      </c>
      <c r="J104" s="16">
        <f>F104-(G104+H104+I104)</f>
        <v/>
      </c>
      <c r="K104" s="16" t="n">
        <v>652.74</v>
      </c>
      <c r="L104" s="16" t="n">
        <v>652.74</v>
      </c>
      <c r="M104" s="16" t="n">
        <v>652.74</v>
      </c>
      <c r="N104" s="16" t="n">
        <v>652.74</v>
      </c>
      <c r="O104" s="16" t="n">
        <v>652.74</v>
      </c>
      <c r="P104" s="16" t="n">
        <v>652.74</v>
      </c>
      <c r="Q104" s="16" t="n">
        <v>652.74</v>
      </c>
      <c r="R104" s="16" t="n">
        <v>652.74</v>
      </c>
      <c r="S104" s="16" t="n">
        <v>652.74</v>
      </c>
      <c r="T104" s="16" t="n">
        <v>652.74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CANON-202509-000706</t>
        </is>
      </c>
      <c r="B105" s="3" t="inlineStr">
        <is>
          <t>2025-09-23</t>
        </is>
      </c>
      <c r="C105" s="3" t="inlineStr">
        <is>
          <t>Thaddeus Vasquez</t>
        </is>
      </c>
      <c r="D105" s="3" t="inlineStr">
        <is>
          <t>AK</t>
        </is>
      </c>
      <c r="E105" s="14" t="n">
        <v>815000</v>
      </c>
      <c r="F105" s="14" t="n">
        <v>15972.54</v>
      </c>
      <c r="G105" s="14" t="n">
        <v>1996.57</v>
      </c>
      <c r="H105" s="14" t="n">
        <v>1996.57</v>
      </c>
      <c r="I105" s="14">
        <f>SUM(K105:T105)</f>
        <v/>
      </c>
      <c r="J105" s="14">
        <f>F105-(G105+H105+I105)</f>
        <v/>
      </c>
      <c r="K105" s="14" t="n">
        <v>1197.94</v>
      </c>
      <c r="L105" s="14" t="n">
        <v>1197.94</v>
      </c>
      <c r="M105" s="14" t="n">
        <v>1197.94</v>
      </c>
      <c r="N105" s="14" t="n">
        <v>1197.94</v>
      </c>
      <c r="O105" s="14" t="n">
        <v>1197.94</v>
      </c>
      <c r="P105" s="14" t="n">
        <v>1197.94</v>
      </c>
      <c r="Q105" s="14" t="n">
        <v>1197.94</v>
      </c>
      <c r="R105" s="14" t="n">
        <v>1197.94</v>
      </c>
      <c r="S105" s="14" t="n">
        <v>1197.94</v>
      </c>
      <c r="T105" s="14" t="n">
        <v>1197.94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CANON-202509-000707</t>
        </is>
      </c>
      <c r="B106" s="15" t="inlineStr">
        <is>
          <t>2025-09-26</t>
        </is>
      </c>
      <c r="C106" s="15" t="inlineStr">
        <is>
          <t>Callum Farkas</t>
        </is>
      </c>
      <c r="D106" s="15" t="inlineStr">
        <is>
          <t>IL</t>
        </is>
      </c>
      <c r="E106" s="16" t="n">
        <v>660000</v>
      </c>
      <c r="F106" s="16" t="n">
        <v>6984.57</v>
      </c>
      <c r="G106" s="16" t="n">
        <v>873.0700000000001</v>
      </c>
      <c r="H106" s="16" t="n">
        <v>873.0700000000001</v>
      </c>
      <c r="I106" s="16">
        <f>SUM(K106:T106)</f>
        <v/>
      </c>
      <c r="J106" s="16">
        <f>F106-(G106+H106+I106)</f>
        <v/>
      </c>
      <c r="K106" s="16" t="n">
        <v>523.84</v>
      </c>
      <c r="L106" s="16" t="n">
        <v>523.84</v>
      </c>
      <c r="M106" s="16" t="n">
        <v>523.84</v>
      </c>
      <c r="N106" s="16" t="n">
        <v>523.84</v>
      </c>
      <c r="O106" s="16" t="n">
        <v>523.84</v>
      </c>
      <c r="P106" s="16" t="n">
        <v>523.84</v>
      </c>
      <c r="Q106" s="16" t="n">
        <v>523.84</v>
      </c>
      <c r="R106" s="16" t="n">
        <v>523.84</v>
      </c>
      <c r="S106" s="16" t="n">
        <v>523.84</v>
      </c>
      <c r="T106" s="16" t="n">
        <v>523.84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CANON-202509-000708</t>
        </is>
      </c>
      <c r="B107" s="3" t="inlineStr">
        <is>
          <t>2025-09-29</t>
        </is>
      </c>
      <c r="C107" s="3" t="inlineStr">
        <is>
          <t>Wilhelmina Pennington</t>
        </is>
      </c>
      <c r="D107" s="3" t="inlineStr">
        <is>
          <t>ME</t>
        </is>
      </c>
      <c r="E107" s="14" t="n">
        <v>985000</v>
      </c>
      <c r="F107" s="14" t="n">
        <v>12512.99</v>
      </c>
      <c r="G107" s="14" t="n">
        <v>1564.12</v>
      </c>
      <c r="H107" s="14" t="n">
        <v>1564.12</v>
      </c>
      <c r="I107" s="14">
        <f>SUM(K107:T107)</f>
        <v/>
      </c>
      <c r="J107" s="14">
        <f>F107-(G107+H107+I107)</f>
        <v/>
      </c>
      <c r="K107" s="14" t="n">
        <v>938.47</v>
      </c>
      <c r="L107" s="14" t="n">
        <v>938.47</v>
      </c>
      <c r="M107" s="14" t="n">
        <v>938.47</v>
      </c>
      <c r="N107" s="14" t="n">
        <v>938.47</v>
      </c>
      <c r="O107" s="14" t="n">
        <v>938.47</v>
      </c>
      <c r="P107" s="14" t="n">
        <v>938.47</v>
      </c>
      <c r="Q107" s="14" t="n">
        <v>938.47</v>
      </c>
      <c r="R107" s="14" t="n">
        <v>938.47</v>
      </c>
      <c r="S107" s="14" t="n">
        <v>938.47</v>
      </c>
      <c r="T107" s="14" t="n">
        <v>938.47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CANON-202509-000710</t>
        </is>
      </c>
      <c r="B108" s="15" t="inlineStr">
        <is>
          <t>2025-09-10</t>
        </is>
      </c>
      <c r="C108" s="15" t="inlineStr">
        <is>
          <t>Cassius Pennington</t>
        </is>
      </c>
      <c r="D108" s="15" t="inlineStr">
        <is>
          <t>CA</t>
        </is>
      </c>
      <c r="E108" s="16" t="n">
        <v>785000</v>
      </c>
      <c r="F108" s="16" t="n">
        <v>18218.6</v>
      </c>
      <c r="G108" s="16" t="n">
        <v>2277.32</v>
      </c>
      <c r="H108" s="16" t="n">
        <v>2277.32</v>
      </c>
      <c r="I108" s="16">
        <f>SUM(K108:T108)</f>
        <v/>
      </c>
      <c r="J108" s="16">
        <f>F108-(G108+H108+I108)</f>
        <v/>
      </c>
      <c r="K108" s="16" t="n">
        <v>1366.39</v>
      </c>
      <c r="L108" s="16" t="n">
        <v>1366.39</v>
      </c>
      <c r="M108" s="16" t="n">
        <v>1366.39</v>
      </c>
      <c r="N108" s="16" t="n">
        <v>1366.39</v>
      </c>
      <c r="O108" s="16" t="n">
        <v>1366.39</v>
      </c>
      <c r="P108" s="16" t="n">
        <v>1366.39</v>
      </c>
      <c r="Q108" s="16" t="n">
        <v>1366.39</v>
      </c>
      <c r="R108" s="16" t="n">
        <v>1366.39</v>
      </c>
      <c r="S108" s="16" t="n">
        <v>1366.39</v>
      </c>
      <c r="T108" s="16" t="n">
        <v>1366.39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CANON-202509-000711</t>
        </is>
      </c>
      <c r="B109" s="3" t="inlineStr">
        <is>
          <t>2025-09-16</t>
        </is>
      </c>
      <c r="C109" s="3" t="inlineStr">
        <is>
          <t>Emiliano Harrington</t>
        </is>
      </c>
      <c r="D109" s="3" t="inlineStr">
        <is>
          <t>MI</t>
        </is>
      </c>
      <c r="E109" s="14" t="n">
        <v>925000</v>
      </c>
      <c r="F109" s="14" t="n">
        <v>16864.56</v>
      </c>
      <c r="G109" s="14" t="n">
        <v>2108.07</v>
      </c>
      <c r="H109" s="14" t="n">
        <v>2108.07</v>
      </c>
      <c r="I109" s="14">
        <f>SUM(K109:T109)</f>
        <v/>
      </c>
      <c r="J109" s="14">
        <f>F109-(G109+H109+I109)</f>
        <v/>
      </c>
      <c r="K109" s="14" t="n">
        <v>1264.84</v>
      </c>
      <c r="L109" s="14" t="n">
        <v>1264.84</v>
      </c>
      <c r="M109" s="14" t="n">
        <v>1264.84</v>
      </c>
      <c r="N109" s="14" t="n">
        <v>1264.84</v>
      </c>
      <c r="O109" s="14" t="n">
        <v>1264.84</v>
      </c>
      <c r="P109" s="14" t="n">
        <v>1264.84</v>
      </c>
      <c r="Q109" s="14" t="n">
        <v>1264.84</v>
      </c>
      <c r="R109" s="14" t="n">
        <v>1264.84</v>
      </c>
      <c r="S109" s="14" t="n">
        <v>1264.84</v>
      </c>
      <c r="T109" s="14" t="n">
        <v>1264.84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CANON-202509-000713</t>
        </is>
      </c>
      <c r="B110" s="15" t="inlineStr">
        <is>
          <t>2025-09-17</t>
        </is>
      </c>
      <c r="C110" s="15" t="inlineStr">
        <is>
          <t>Fenwick Vasquez</t>
        </is>
      </c>
      <c r="D110" s="15" t="inlineStr">
        <is>
          <t>WA</t>
        </is>
      </c>
      <c r="E110" s="16" t="n">
        <v>460000</v>
      </c>
      <c r="F110" s="16" t="n">
        <v>5993.47</v>
      </c>
      <c r="G110" s="16" t="n">
        <v>749.1799999999999</v>
      </c>
      <c r="H110" s="16" t="n">
        <v>749.1799999999999</v>
      </c>
      <c r="I110" s="16">
        <f>SUM(K110:T110)</f>
        <v/>
      </c>
      <c r="J110" s="16">
        <f>F110-(G110+H110+I110)</f>
        <v/>
      </c>
      <c r="K110" s="16" t="n">
        <v>449.51</v>
      </c>
      <c r="L110" s="16" t="n">
        <v>449.51</v>
      </c>
      <c r="M110" s="16" t="n">
        <v>449.51</v>
      </c>
      <c r="N110" s="16" t="n">
        <v>449.51</v>
      </c>
      <c r="O110" s="16" t="n">
        <v>449.51</v>
      </c>
      <c r="P110" s="16" t="n">
        <v>449.51</v>
      </c>
      <c r="Q110" s="16" t="n">
        <v>449.51</v>
      </c>
      <c r="R110" s="16" t="n">
        <v>449.51</v>
      </c>
      <c r="S110" s="16" t="n">
        <v>449.51</v>
      </c>
      <c r="T110" s="16" t="n">
        <v>449.51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CANON-202509-000714</t>
        </is>
      </c>
      <c r="B111" s="3" t="inlineStr">
        <is>
          <t>2025-09-24</t>
        </is>
      </c>
      <c r="C111" s="3" t="inlineStr">
        <is>
          <t>Anouk Blackwood</t>
        </is>
      </c>
      <c r="D111" s="3" t="inlineStr">
        <is>
          <t>CO</t>
        </is>
      </c>
      <c r="E111" s="14" t="n">
        <v>445000</v>
      </c>
      <c r="F111" s="14" t="n">
        <v>7795.13</v>
      </c>
      <c r="G111" s="14" t="n">
        <v>974.39</v>
      </c>
      <c r="H111" s="14" t="n">
        <v>974.39</v>
      </c>
      <c r="I111" s="14">
        <f>SUM(K111:T111)</f>
        <v/>
      </c>
      <c r="J111" s="14">
        <f>F111-(G111+H111+I111)</f>
        <v/>
      </c>
      <c r="K111" s="14" t="n">
        <v>584.63</v>
      </c>
      <c r="L111" s="14" t="n">
        <v>584.63</v>
      </c>
      <c r="M111" s="14" t="n">
        <v>584.63</v>
      </c>
      <c r="N111" s="14" t="n">
        <v>584.63</v>
      </c>
      <c r="O111" s="14" t="n">
        <v>584.63</v>
      </c>
      <c r="P111" s="14" t="n">
        <v>584.63</v>
      </c>
      <c r="Q111" s="14" t="n">
        <v>584.63</v>
      </c>
      <c r="R111" s="14" t="n">
        <v>584.63</v>
      </c>
      <c r="S111" s="14" t="n">
        <v>584.63</v>
      </c>
      <c r="T111" s="14" t="n">
        <v>584.63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CANON-202509-000715</t>
        </is>
      </c>
      <c r="B112" s="15" t="inlineStr">
        <is>
          <t>2025-09-08</t>
        </is>
      </c>
      <c r="C112" s="15" t="inlineStr">
        <is>
          <t>Fitzgerald Okonkwo</t>
        </is>
      </c>
      <c r="D112" s="15" t="inlineStr">
        <is>
          <t>OK</t>
        </is>
      </c>
      <c r="E112" s="16" t="n">
        <v>560000</v>
      </c>
      <c r="F112" s="16" t="n">
        <v>8299.65</v>
      </c>
      <c r="G112" s="16" t="n">
        <v>1037.46</v>
      </c>
      <c r="H112" s="16" t="n">
        <v>1037.46</v>
      </c>
      <c r="I112" s="16">
        <f>SUM(K112:T112)</f>
        <v/>
      </c>
      <c r="J112" s="16">
        <f>F112-(G112+H112+I112)</f>
        <v/>
      </c>
      <c r="K112" s="16" t="n">
        <v>622.47</v>
      </c>
      <c r="L112" s="16" t="n">
        <v>622.47</v>
      </c>
      <c r="M112" s="16" t="n">
        <v>622.47</v>
      </c>
      <c r="N112" s="16" t="n">
        <v>622.47</v>
      </c>
      <c r="O112" s="16" t="n">
        <v>622.47</v>
      </c>
      <c r="P112" s="16" t="n">
        <v>622.47</v>
      </c>
      <c r="Q112" s="16" t="n">
        <v>622.47</v>
      </c>
      <c r="R112" s="16" t="n">
        <v>622.47</v>
      </c>
      <c r="S112" s="16" t="n">
        <v>622.47</v>
      </c>
      <c r="T112" s="16" t="n">
        <v>622.47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CANON-202509-000716</t>
        </is>
      </c>
      <c r="B113" s="3" t="inlineStr">
        <is>
          <t>2025-09-23</t>
        </is>
      </c>
      <c r="C113" s="3" t="inlineStr">
        <is>
          <t>Wilhelmina Chattopadhyay</t>
        </is>
      </c>
      <c r="D113" s="3" t="inlineStr">
        <is>
          <t>NE</t>
        </is>
      </c>
      <c r="E113" s="14" t="n">
        <v>840000</v>
      </c>
      <c r="F113" s="14" t="n">
        <v>15413.64</v>
      </c>
      <c r="G113" s="14" t="n">
        <v>1926.7</v>
      </c>
      <c r="H113" s="14" t="n">
        <v>1926.7</v>
      </c>
      <c r="I113" s="14">
        <f>SUM(K113:T113)</f>
        <v/>
      </c>
      <c r="J113" s="14">
        <f>F113-(G113+H113+I113)</f>
        <v/>
      </c>
      <c r="K113" s="14" t="n">
        <v>1156.02</v>
      </c>
      <c r="L113" s="14" t="n">
        <v>1156.02</v>
      </c>
      <c r="M113" s="14" t="n">
        <v>1156.02</v>
      </c>
      <c r="N113" s="14" t="n">
        <v>1156.02</v>
      </c>
      <c r="O113" s="14" t="n">
        <v>1156.02</v>
      </c>
      <c r="P113" s="14" t="n">
        <v>1156.02</v>
      </c>
      <c r="Q113" s="14" t="n">
        <v>1156.02</v>
      </c>
      <c r="R113" s="14" t="n">
        <v>1156.02</v>
      </c>
      <c r="S113" s="14" t="n">
        <v>1156.02</v>
      </c>
      <c r="T113" s="14" t="n">
        <v>1156.02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CANON-202509-000717</t>
        </is>
      </c>
      <c r="B114" s="15" t="inlineStr">
        <is>
          <t>2025-09-10</t>
        </is>
      </c>
      <c r="C114" s="15" t="inlineStr">
        <is>
          <t>Everett Pennington</t>
        </is>
      </c>
      <c r="D114" s="15" t="inlineStr">
        <is>
          <t>HI</t>
        </is>
      </c>
      <c r="E114" s="16" t="n">
        <v>775000</v>
      </c>
      <c r="F114" s="16" t="n">
        <v>11850.76</v>
      </c>
      <c r="G114" s="16" t="n">
        <v>1481.35</v>
      </c>
      <c r="H114" s="16" t="n">
        <v>1481.35</v>
      </c>
      <c r="I114" s="16">
        <f>SUM(K114:T114)</f>
        <v/>
      </c>
      <c r="J114" s="16">
        <f>F114-(G114+H114+I114)</f>
        <v/>
      </c>
      <c r="K114" s="16" t="n">
        <v>888.8099999999999</v>
      </c>
      <c r="L114" s="16" t="n">
        <v>888.8099999999999</v>
      </c>
      <c r="M114" s="16" t="n">
        <v>888.8099999999999</v>
      </c>
      <c r="N114" s="16" t="n">
        <v>888.8099999999999</v>
      </c>
      <c r="O114" s="16" t="n">
        <v>888.8099999999999</v>
      </c>
      <c r="P114" s="16" t="n">
        <v>888.8099999999999</v>
      </c>
      <c r="Q114" s="16" t="n">
        <v>888.8099999999999</v>
      </c>
      <c r="R114" s="16" t="n">
        <v>888.8099999999999</v>
      </c>
      <c r="S114" s="16" t="n">
        <v>888.8099999999999</v>
      </c>
      <c r="T114" s="16" t="n">
        <v>888.8099999999999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CANON-202509-000718</t>
        </is>
      </c>
      <c r="B115" s="3" t="inlineStr">
        <is>
          <t>2025-09-19</t>
        </is>
      </c>
      <c r="C115" s="3" t="inlineStr">
        <is>
          <t>Fenwick Bellandi</t>
        </is>
      </c>
      <c r="D115" s="3" t="inlineStr">
        <is>
          <t>MN</t>
        </is>
      </c>
      <c r="E115" s="14" t="n">
        <v>545000</v>
      </c>
      <c r="F115" s="14" t="n">
        <v>8461.98</v>
      </c>
      <c r="G115" s="14" t="n">
        <v>1057.75</v>
      </c>
      <c r="H115" s="14" t="n">
        <v>1057.75</v>
      </c>
      <c r="I115" s="14">
        <f>SUM(K115:T115)</f>
        <v/>
      </c>
      <c r="J115" s="14">
        <f>F115-(G115+H115+I115)</f>
        <v/>
      </c>
      <c r="K115" s="14" t="n">
        <v>634.65</v>
      </c>
      <c r="L115" s="14" t="n">
        <v>634.65</v>
      </c>
      <c r="M115" s="14" t="n">
        <v>634.65</v>
      </c>
      <c r="N115" s="14" t="n">
        <v>634.65</v>
      </c>
      <c r="O115" s="14" t="n">
        <v>634.65</v>
      </c>
      <c r="P115" s="14" t="n">
        <v>634.65</v>
      </c>
      <c r="Q115" s="14" t="n">
        <v>634.65</v>
      </c>
      <c r="R115" s="14" t="n">
        <v>634.65</v>
      </c>
      <c r="S115" s="14" t="n">
        <v>634.65</v>
      </c>
      <c r="T115" s="14" t="n">
        <v>634.65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CANON-202509-000719</t>
        </is>
      </c>
      <c r="B116" s="15" t="inlineStr">
        <is>
          <t>2025-09-06</t>
        </is>
      </c>
      <c r="C116" s="15" t="inlineStr">
        <is>
          <t>Sunniva Nakashima</t>
        </is>
      </c>
      <c r="D116" s="15" t="inlineStr">
        <is>
          <t>CA</t>
        </is>
      </c>
      <c r="E116" s="16" t="n">
        <v>370000</v>
      </c>
      <c r="F116" s="16" t="n">
        <v>3796.41</v>
      </c>
      <c r="G116" s="16" t="n">
        <v>474.55</v>
      </c>
      <c r="H116" s="16" t="n">
        <v>474.55</v>
      </c>
      <c r="I116" s="16">
        <f>SUM(K116:T116)</f>
        <v/>
      </c>
      <c r="J116" s="16">
        <f>F116-(G116+H116+I116)</f>
        <v/>
      </c>
      <c r="K116" s="16" t="n">
        <v>284.73</v>
      </c>
      <c r="L116" s="16" t="n">
        <v>284.73</v>
      </c>
      <c r="M116" s="16" t="n">
        <v>284.73</v>
      </c>
      <c r="N116" s="16" t="n">
        <v>284.73</v>
      </c>
      <c r="O116" s="16" t="n">
        <v>284.73</v>
      </c>
      <c r="P116" s="16" t="n">
        <v>284.73</v>
      </c>
      <c r="Q116" s="16" t="n">
        <v>284.73</v>
      </c>
      <c r="R116" s="16" t="n">
        <v>284.73</v>
      </c>
      <c r="S116" s="16" t="n">
        <v>284.73</v>
      </c>
      <c r="T116" s="16" t="n">
        <v>284.73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CANON-202509-000720</t>
        </is>
      </c>
      <c r="B117" s="3" t="inlineStr">
        <is>
          <t>2025-09-26</t>
        </is>
      </c>
      <c r="C117" s="3" t="inlineStr">
        <is>
          <t>Ingrid Fairweather</t>
        </is>
      </c>
      <c r="D117" s="3" t="inlineStr">
        <is>
          <t>TN</t>
        </is>
      </c>
      <c r="E117" s="14" t="n">
        <v>380000</v>
      </c>
      <c r="F117" s="14" t="n">
        <v>5054.27</v>
      </c>
      <c r="G117" s="14" t="n">
        <v>631.78</v>
      </c>
      <c r="H117" s="14" t="n">
        <v>631.78</v>
      </c>
      <c r="I117" s="14">
        <f>SUM(K117:T117)</f>
        <v/>
      </c>
      <c r="J117" s="14">
        <f>F117-(G117+H117+I117)</f>
        <v/>
      </c>
      <c r="K117" s="14" t="n">
        <v>379.07</v>
      </c>
      <c r="L117" s="14" t="n">
        <v>379.07</v>
      </c>
      <c r="M117" s="14" t="n">
        <v>379.07</v>
      </c>
      <c r="N117" s="14" t="n">
        <v>379.07</v>
      </c>
      <c r="O117" s="14" t="n">
        <v>379.07</v>
      </c>
      <c r="P117" s="14" t="n">
        <v>379.07</v>
      </c>
      <c r="Q117" s="14" t="n">
        <v>379.07</v>
      </c>
      <c r="R117" s="14" t="n">
        <v>379.07</v>
      </c>
      <c r="S117" s="14" t="n">
        <v>379.07</v>
      </c>
      <c r="T117" s="14" t="n">
        <v>379.07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CANON-202509-000721</t>
        </is>
      </c>
      <c r="B118" s="15" t="inlineStr">
        <is>
          <t>2025-09-22</t>
        </is>
      </c>
      <c r="C118" s="15" t="inlineStr">
        <is>
          <t>Emiliano Pennington</t>
        </is>
      </c>
      <c r="D118" s="15" t="inlineStr">
        <is>
          <t>VA</t>
        </is>
      </c>
      <c r="E118" s="16" t="n">
        <v>580000</v>
      </c>
      <c r="F118" s="16" t="n">
        <v>4919.39</v>
      </c>
      <c r="G118" s="16" t="n">
        <v>614.92</v>
      </c>
      <c r="H118" s="16" t="n">
        <v>614.92</v>
      </c>
      <c r="I118" s="16">
        <f>SUM(K118:T118)</f>
        <v/>
      </c>
      <c r="J118" s="16">
        <f>F118-(G118+H118+I118)</f>
        <v/>
      </c>
      <c r="K118" s="16" t="n">
        <v>368.95</v>
      </c>
      <c r="L118" s="16" t="n">
        <v>368.95</v>
      </c>
      <c r="M118" s="16" t="n">
        <v>368.95</v>
      </c>
      <c r="N118" s="16" t="n">
        <v>368.95</v>
      </c>
      <c r="O118" s="16" t="n">
        <v>368.95</v>
      </c>
      <c r="P118" s="16" t="n">
        <v>368.95</v>
      </c>
      <c r="Q118" s="16" t="n">
        <v>368.95</v>
      </c>
      <c r="R118" s="16" t="n">
        <v>368.95</v>
      </c>
      <c r="S118" s="16" t="n">
        <v>368.95</v>
      </c>
      <c r="T118" s="16" t="n">
        <v>368.95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CANON-202509-000722</t>
        </is>
      </c>
      <c r="B119" s="3" t="inlineStr">
        <is>
          <t>2025-09-03</t>
        </is>
      </c>
      <c r="C119" s="3" t="inlineStr">
        <is>
          <t>Sunniva Fairweather</t>
        </is>
      </c>
      <c r="D119" s="3" t="inlineStr">
        <is>
          <t>ID</t>
        </is>
      </c>
      <c r="E119" s="14" t="n">
        <v>415000</v>
      </c>
      <c r="F119" s="14" t="n">
        <v>5576.13</v>
      </c>
      <c r="G119" s="14" t="n">
        <v>697.02</v>
      </c>
      <c r="H119" s="14" t="n">
        <v>697.02</v>
      </c>
      <c r="I119" s="14">
        <f>SUM(K119:T119)</f>
        <v/>
      </c>
      <c r="J119" s="14">
        <f>F119-(G119+H119+I119)</f>
        <v/>
      </c>
      <c r="K119" s="14" t="n">
        <v>418.21</v>
      </c>
      <c r="L119" s="14" t="n">
        <v>418.21</v>
      </c>
      <c r="M119" s="14" t="n">
        <v>418.21</v>
      </c>
      <c r="N119" s="14" t="n">
        <v>418.21</v>
      </c>
      <c r="O119" s="14" t="n">
        <v>418.21</v>
      </c>
      <c r="P119" s="14" t="n">
        <v>418.21</v>
      </c>
      <c r="Q119" s="14" t="n">
        <v>418.21</v>
      </c>
      <c r="R119" s="14" t="n">
        <v>418.21</v>
      </c>
      <c r="S119" s="14" t="n">
        <v>418.21</v>
      </c>
      <c r="T119" s="14" t="n">
        <v>418.21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CANON-202509-000724</t>
        </is>
      </c>
      <c r="B120" s="15" t="inlineStr">
        <is>
          <t>2025-09-29</t>
        </is>
      </c>
      <c r="C120" s="15" t="inlineStr">
        <is>
          <t>Fitzgerald Chattopadhyay</t>
        </is>
      </c>
      <c r="D120" s="15" t="inlineStr">
        <is>
          <t>AK</t>
        </is>
      </c>
      <c r="E120" s="16" t="n">
        <v>755000</v>
      </c>
      <c r="F120" s="16" t="n">
        <v>14796.65</v>
      </c>
      <c r="G120" s="16" t="n">
        <v>1849.58</v>
      </c>
      <c r="H120" s="16" t="n">
        <v>1849.58</v>
      </c>
      <c r="I120" s="16">
        <f>SUM(K120:T120)</f>
        <v/>
      </c>
      <c r="J120" s="16">
        <f>F120-(G120+H120+I120)</f>
        <v/>
      </c>
      <c r="K120" s="16" t="n">
        <v>1109.75</v>
      </c>
      <c r="L120" s="16" t="n">
        <v>1109.75</v>
      </c>
      <c r="M120" s="16" t="n">
        <v>1109.75</v>
      </c>
      <c r="N120" s="16" t="n">
        <v>1109.75</v>
      </c>
      <c r="O120" s="16" t="n">
        <v>1109.75</v>
      </c>
      <c r="P120" s="16" t="n">
        <v>1109.75</v>
      </c>
      <c r="Q120" s="16" t="n">
        <v>1109.75</v>
      </c>
      <c r="R120" s="16" t="n">
        <v>1109.75</v>
      </c>
      <c r="S120" s="16" t="n">
        <v>1109.75</v>
      </c>
      <c r="T120" s="16" t="n">
        <v>1109.75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CANON-202509-000726</t>
        </is>
      </c>
      <c r="B121" s="3" t="inlineStr">
        <is>
          <t>2025-09-15</t>
        </is>
      </c>
      <c r="C121" s="3" t="inlineStr">
        <is>
          <t>Callum Thistlewood</t>
        </is>
      </c>
      <c r="D121" s="3" t="inlineStr">
        <is>
          <t>IA</t>
        </is>
      </c>
      <c r="E121" s="14" t="n">
        <v>540000</v>
      </c>
      <c r="F121" s="14" t="n">
        <v>6986.96</v>
      </c>
      <c r="G121" s="14" t="n">
        <v>873.37</v>
      </c>
      <c r="H121" s="14" t="n">
        <v>873.37</v>
      </c>
      <c r="I121" s="14">
        <f>SUM(K121:T121)</f>
        <v/>
      </c>
      <c r="J121" s="14">
        <f>F121-(G121+H121+I121)</f>
        <v/>
      </c>
      <c r="K121" s="14" t="n">
        <v>524.02</v>
      </c>
      <c r="L121" s="14" t="n">
        <v>524.02</v>
      </c>
      <c r="M121" s="14" t="n">
        <v>524.02</v>
      </c>
      <c r="N121" s="14" t="n">
        <v>524.02</v>
      </c>
      <c r="O121" s="14" t="n">
        <v>524.02</v>
      </c>
      <c r="P121" s="14" t="n">
        <v>524.02</v>
      </c>
      <c r="Q121" s="14" t="n">
        <v>524.02</v>
      </c>
      <c r="R121" s="14" t="n">
        <v>524.02</v>
      </c>
      <c r="S121" s="14" t="n">
        <v>524.02</v>
      </c>
      <c r="T121" s="14" t="n">
        <v>524.02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CANON-202509-000727</t>
        </is>
      </c>
      <c r="B122" s="15" t="inlineStr">
        <is>
          <t>2025-09-13</t>
        </is>
      </c>
      <c r="C122" s="15" t="inlineStr">
        <is>
          <t>Callum Pennington</t>
        </is>
      </c>
      <c r="D122" s="15" t="inlineStr">
        <is>
          <t>NJ</t>
        </is>
      </c>
      <c r="E122" s="16" t="n">
        <v>205000</v>
      </c>
      <c r="F122" s="16" t="n">
        <v>3105.79</v>
      </c>
      <c r="G122" s="16" t="n">
        <v>388.22</v>
      </c>
      <c r="H122" s="16" t="n">
        <v>388.22</v>
      </c>
      <c r="I122" s="16">
        <f>SUM(K122:T122)</f>
        <v/>
      </c>
      <c r="J122" s="16">
        <f>F122-(G122+H122+I122)</f>
        <v/>
      </c>
      <c r="K122" s="16" t="n">
        <v>232.93</v>
      </c>
      <c r="L122" s="16" t="n">
        <v>232.93</v>
      </c>
      <c r="M122" s="16" t="n">
        <v>232.93</v>
      </c>
      <c r="N122" s="16" t="n">
        <v>232.93</v>
      </c>
      <c r="O122" s="16" t="n">
        <v>232.93</v>
      </c>
      <c r="P122" s="16" t="n">
        <v>232.93</v>
      </c>
      <c r="Q122" s="16" t="n">
        <v>232.93</v>
      </c>
      <c r="R122" s="16" t="n">
        <v>232.93</v>
      </c>
      <c r="S122" s="16" t="n">
        <v>232.93</v>
      </c>
      <c r="T122" s="16" t="n">
        <v>232.93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CANON-202509-000728</t>
        </is>
      </c>
      <c r="B123" s="3" t="inlineStr">
        <is>
          <t>2025-09-07</t>
        </is>
      </c>
      <c r="C123" s="3" t="inlineStr">
        <is>
          <t>Everett Ashcombe</t>
        </is>
      </c>
      <c r="D123" s="3" t="inlineStr">
        <is>
          <t>NY</t>
        </is>
      </c>
      <c r="E123" s="14" t="n">
        <v>245000</v>
      </c>
      <c r="F123" s="14" t="n">
        <v>5220.98</v>
      </c>
      <c r="G123" s="14" t="n">
        <v>652.62</v>
      </c>
      <c r="H123" s="14" t="n">
        <v>652.62</v>
      </c>
      <c r="I123" s="14">
        <f>SUM(K123:T123)</f>
        <v/>
      </c>
      <c r="J123" s="14">
        <f>F123-(G123+H123+I123)</f>
        <v/>
      </c>
      <c r="K123" s="14" t="n">
        <v>391.57</v>
      </c>
      <c r="L123" s="14" t="n">
        <v>391.57</v>
      </c>
      <c r="M123" s="14" t="n">
        <v>391.57</v>
      </c>
      <c r="N123" s="14" t="n">
        <v>391.57</v>
      </c>
      <c r="O123" s="14" t="n">
        <v>391.57</v>
      </c>
      <c r="P123" s="14" t="n">
        <v>391.57</v>
      </c>
      <c r="Q123" s="14" t="n">
        <v>391.57</v>
      </c>
      <c r="R123" s="14" t="n">
        <v>391.57</v>
      </c>
      <c r="S123" s="14" t="n">
        <v>391.57</v>
      </c>
      <c r="T123" s="14" t="n">
        <v>391.57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CANON-202509-000729</t>
        </is>
      </c>
      <c r="B124" s="15" t="inlineStr">
        <is>
          <t>2025-09-10</t>
        </is>
      </c>
      <c r="C124" s="15" t="inlineStr">
        <is>
          <t>Aurelio Bellandi</t>
        </is>
      </c>
      <c r="D124" s="15" t="inlineStr">
        <is>
          <t>AR</t>
        </is>
      </c>
      <c r="E124" s="16" t="n">
        <v>410000</v>
      </c>
      <c r="F124" s="16" t="n">
        <v>11774.67</v>
      </c>
      <c r="G124" s="16" t="n">
        <v>1471.83</v>
      </c>
      <c r="H124" s="16" t="n">
        <v>1471.83</v>
      </c>
      <c r="I124" s="16">
        <f>SUM(K124:T124)</f>
        <v/>
      </c>
      <c r="J124" s="16">
        <f>F124-(G124+H124+I124)</f>
        <v/>
      </c>
      <c r="K124" s="16" t="n">
        <v>883.1</v>
      </c>
      <c r="L124" s="16" t="n">
        <v>883.1</v>
      </c>
      <c r="M124" s="16" t="n">
        <v>883.1</v>
      </c>
      <c r="N124" s="16" t="n">
        <v>883.1</v>
      </c>
      <c r="O124" s="16" t="n">
        <v>883.1</v>
      </c>
      <c r="P124" s="16" t="n">
        <v>883.1</v>
      </c>
      <c r="Q124" s="16" t="n">
        <v>883.1</v>
      </c>
      <c r="R124" s="16" t="n">
        <v>883.1</v>
      </c>
      <c r="S124" s="16" t="n">
        <v>883.1</v>
      </c>
      <c r="T124" s="16" t="n">
        <v>883.1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CANON-202509-000730</t>
        </is>
      </c>
      <c r="B125" s="3" t="inlineStr">
        <is>
          <t>2025-09-01</t>
        </is>
      </c>
      <c r="C125" s="3" t="inlineStr">
        <is>
          <t>Lorenzo Chattopadhyay</t>
        </is>
      </c>
      <c r="D125" s="3" t="inlineStr">
        <is>
          <t>PA</t>
        </is>
      </c>
      <c r="E125" s="14" t="n">
        <v>1865000</v>
      </c>
      <c r="F125" s="14" t="n">
        <v>26999.57</v>
      </c>
      <c r="G125" s="14" t="n">
        <v>3374.95</v>
      </c>
      <c r="H125" s="14" t="n">
        <v>3374.95</v>
      </c>
      <c r="I125" s="14">
        <f>SUM(K125:T125)</f>
        <v/>
      </c>
      <c r="J125" s="14">
        <f>F125-(G125+H125+I125)</f>
        <v/>
      </c>
      <c r="K125" s="14" t="n">
        <v>2024.97</v>
      </c>
      <c r="L125" s="14" t="n">
        <v>2024.97</v>
      </c>
      <c r="M125" s="14" t="n">
        <v>2024.97</v>
      </c>
      <c r="N125" s="14" t="n">
        <v>2024.97</v>
      </c>
      <c r="O125" s="14" t="n">
        <v>2024.97</v>
      </c>
      <c r="P125" s="14" t="n">
        <v>2024.97</v>
      </c>
      <c r="Q125" s="14" t="n">
        <v>2024.97</v>
      </c>
      <c r="R125" s="14" t="n">
        <v>2024.97</v>
      </c>
      <c r="S125" s="14" t="n">
        <v>2024.97</v>
      </c>
      <c r="T125" s="14" t="n">
        <v>2024.97</v>
      </c>
      <c r="U125" s="14" t="n">
        <v>350</v>
      </c>
      <c r="V125" s="14" t="n">
        <v>250</v>
      </c>
      <c r="W125" s="14">
        <f>U125+V125</f>
        <v/>
      </c>
    </row>
    <row r="126">
      <c r="A126" s="15" t="inlineStr">
        <is>
          <t>CANON-202509-000731</t>
        </is>
      </c>
      <c r="B126" s="15" t="inlineStr">
        <is>
          <t>2025-09-23</t>
        </is>
      </c>
      <c r="C126" s="15" t="inlineStr">
        <is>
          <t>Callum Pennington</t>
        </is>
      </c>
      <c r="D126" s="15" t="inlineStr">
        <is>
          <t>TX</t>
        </is>
      </c>
      <c r="E126" s="16" t="n">
        <v>580000</v>
      </c>
      <c r="F126" s="16" t="n">
        <v>5190.18</v>
      </c>
      <c r="G126" s="16" t="n">
        <v>648.77</v>
      </c>
      <c r="H126" s="16" t="n">
        <v>648.77</v>
      </c>
      <c r="I126" s="16">
        <f>SUM(K126:T126)</f>
        <v/>
      </c>
      <c r="J126" s="16">
        <f>F126-(G126+H126+I126)</f>
        <v/>
      </c>
      <c r="K126" s="16" t="n">
        <v>389.26</v>
      </c>
      <c r="L126" s="16" t="n">
        <v>389.26</v>
      </c>
      <c r="M126" s="16" t="n">
        <v>389.26</v>
      </c>
      <c r="N126" s="16" t="n">
        <v>389.26</v>
      </c>
      <c r="O126" s="16" t="n">
        <v>389.26</v>
      </c>
      <c r="P126" s="16" t="n">
        <v>389.26</v>
      </c>
      <c r="Q126" s="16" t="n">
        <v>389.26</v>
      </c>
      <c r="R126" s="16" t="n">
        <v>389.26</v>
      </c>
      <c r="S126" s="16" t="n">
        <v>389.26</v>
      </c>
      <c r="T126" s="16" t="n">
        <v>389.26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CANON-202509-000732</t>
        </is>
      </c>
      <c r="B127" s="3" t="inlineStr">
        <is>
          <t>2025-09-25</t>
        </is>
      </c>
      <c r="C127" s="3" t="inlineStr">
        <is>
          <t>Noor Vasquez</t>
        </is>
      </c>
      <c r="D127" s="3" t="inlineStr">
        <is>
          <t>CA</t>
        </is>
      </c>
      <c r="E127" s="14" t="n">
        <v>940000</v>
      </c>
      <c r="F127" s="14" t="n">
        <v>9874.57</v>
      </c>
      <c r="G127" s="14" t="n">
        <v>1234.32</v>
      </c>
      <c r="H127" s="14" t="n">
        <v>1234.32</v>
      </c>
      <c r="I127" s="14">
        <f>SUM(K127:T127)</f>
        <v/>
      </c>
      <c r="J127" s="14">
        <f>F127-(G127+H127+I127)</f>
        <v/>
      </c>
      <c r="K127" s="14" t="n">
        <v>740.59</v>
      </c>
      <c r="L127" s="14" t="n">
        <v>740.59</v>
      </c>
      <c r="M127" s="14" t="n">
        <v>740.59</v>
      </c>
      <c r="N127" s="14" t="n">
        <v>740.59</v>
      </c>
      <c r="O127" s="14" t="n">
        <v>740.59</v>
      </c>
      <c r="P127" s="14" t="n">
        <v>740.59</v>
      </c>
      <c r="Q127" s="14" t="n">
        <v>740.59</v>
      </c>
      <c r="R127" s="14" t="n">
        <v>740.59</v>
      </c>
      <c r="S127" s="14" t="n">
        <v>740.59</v>
      </c>
      <c r="T127" s="14" t="n">
        <v>740.59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CANON-202509-000733</t>
        </is>
      </c>
      <c r="B128" s="15" t="inlineStr">
        <is>
          <t>2025-09-03</t>
        </is>
      </c>
      <c r="C128" s="15" t="inlineStr">
        <is>
          <t>Mireille Montoya</t>
        </is>
      </c>
      <c r="D128" s="15" t="inlineStr">
        <is>
          <t>MD</t>
        </is>
      </c>
      <c r="E128" s="16" t="n">
        <v>1350000</v>
      </c>
      <c r="F128" s="16" t="n">
        <v>8819.190000000001</v>
      </c>
      <c r="G128" s="16" t="n">
        <v>1102.4</v>
      </c>
      <c r="H128" s="16" t="n">
        <v>1102.4</v>
      </c>
      <c r="I128" s="16">
        <f>SUM(K128:T128)</f>
        <v/>
      </c>
      <c r="J128" s="16">
        <f>F128-(G128+H128+I128)</f>
        <v/>
      </c>
      <c r="K128" s="16" t="n">
        <v>661.4400000000001</v>
      </c>
      <c r="L128" s="16" t="n">
        <v>661.4400000000001</v>
      </c>
      <c r="M128" s="16" t="n">
        <v>661.4400000000001</v>
      </c>
      <c r="N128" s="16" t="n">
        <v>661.4400000000001</v>
      </c>
      <c r="O128" s="16" t="n">
        <v>661.4400000000001</v>
      </c>
      <c r="P128" s="16" t="n">
        <v>661.4400000000001</v>
      </c>
      <c r="Q128" s="16" t="n">
        <v>661.4400000000001</v>
      </c>
      <c r="R128" s="16" t="n">
        <v>661.4400000000001</v>
      </c>
      <c r="S128" s="16" t="n">
        <v>661.4400000000001</v>
      </c>
      <c r="T128" s="16" t="n">
        <v>661.4400000000001</v>
      </c>
      <c r="U128" s="16" t="n">
        <v>350</v>
      </c>
      <c r="V128" s="16" t="n">
        <v>250</v>
      </c>
      <c r="W128" s="16">
        <f>U128+V128</f>
        <v/>
      </c>
    </row>
    <row r="129">
      <c r="A129" s="3" t="inlineStr">
        <is>
          <t>CANON-202509-000736</t>
        </is>
      </c>
      <c r="B129" s="3" t="inlineStr">
        <is>
          <t>2025-09-10</t>
        </is>
      </c>
      <c r="C129" s="3" t="inlineStr">
        <is>
          <t>Priya Blackwood</t>
        </is>
      </c>
      <c r="D129" s="3" t="inlineStr">
        <is>
          <t>FL</t>
        </is>
      </c>
      <c r="E129" s="14" t="n">
        <v>570000</v>
      </c>
      <c r="F129" s="14" t="n">
        <v>9520.6</v>
      </c>
      <c r="G129" s="14" t="n">
        <v>1190.08</v>
      </c>
      <c r="H129" s="14" t="n">
        <v>1190.08</v>
      </c>
      <c r="I129" s="14">
        <f>SUM(K129:T129)</f>
        <v/>
      </c>
      <c r="J129" s="14">
        <f>F129-(G129+H129+I129)</f>
        <v/>
      </c>
      <c r="K129" s="14" t="n">
        <v>714.04</v>
      </c>
      <c r="L129" s="14" t="n">
        <v>714.04</v>
      </c>
      <c r="M129" s="14" t="n">
        <v>714.04</v>
      </c>
      <c r="N129" s="14" t="n">
        <v>714.04</v>
      </c>
      <c r="O129" s="14" t="n">
        <v>714.04</v>
      </c>
      <c r="P129" s="14" t="n">
        <v>714.04</v>
      </c>
      <c r="Q129" s="14" t="n">
        <v>714.04</v>
      </c>
      <c r="R129" s="14" t="n">
        <v>714.04</v>
      </c>
      <c r="S129" s="14" t="n">
        <v>714.04</v>
      </c>
      <c r="T129" s="14" t="n">
        <v>714.04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CANON-202509-000737</t>
        </is>
      </c>
      <c r="B130" s="15" t="inlineStr">
        <is>
          <t>2025-09-04</t>
        </is>
      </c>
      <c r="C130" s="15" t="inlineStr">
        <is>
          <t>Horace Chattopadhyay</t>
        </is>
      </c>
      <c r="D130" s="15" t="inlineStr">
        <is>
          <t>PA</t>
        </is>
      </c>
      <c r="E130" s="16" t="n">
        <v>595000</v>
      </c>
      <c r="F130" s="16" t="n">
        <v>6998.72</v>
      </c>
      <c r="G130" s="16" t="n">
        <v>874.84</v>
      </c>
      <c r="H130" s="16" t="n">
        <v>874.84</v>
      </c>
      <c r="I130" s="16">
        <f>SUM(K130:T130)</f>
        <v/>
      </c>
      <c r="J130" s="16">
        <f>F130-(G130+H130+I130)</f>
        <v/>
      </c>
      <c r="K130" s="16" t="n">
        <v>524.9</v>
      </c>
      <c r="L130" s="16" t="n">
        <v>524.9</v>
      </c>
      <c r="M130" s="16" t="n">
        <v>524.9</v>
      </c>
      <c r="N130" s="16" t="n">
        <v>524.9</v>
      </c>
      <c r="O130" s="16" t="n">
        <v>524.9</v>
      </c>
      <c r="P130" s="16" t="n">
        <v>524.9</v>
      </c>
      <c r="Q130" s="16" t="n">
        <v>524.9</v>
      </c>
      <c r="R130" s="16" t="n">
        <v>524.9</v>
      </c>
      <c r="S130" s="16" t="n">
        <v>524.9</v>
      </c>
      <c r="T130" s="16" t="n">
        <v>524.9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CANON-202509-000739</t>
        </is>
      </c>
      <c r="B131" s="3" t="inlineStr">
        <is>
          <t>2025-09-02</t>
        </is>
      </c>
      <c r="C131" s="3" t="inlineStr">
        <is>
          <t>Delphine Whitlock</t>
        </is>
      </c>
      <c r="D131" s="3" t="inlineStr">
        <is>
          <t>TX</t>
        </is>
      </c>
      <c r="E131" s="14" t="n">
        <v>1195000</v>
      </c>
      <c r="F131" s="14" t="n">
        <v>19894.99</v>
      </c>
      <c r="G131" s="14" t="n">
        <v>2486.87</v>
      </c>
      <c r="H131" s="14" t="n">
        <v>2486.87</v>
      </c>
      <c r="I131" s="14">
        <f>SUM(K131:T131)</f>
        <v/>
      </c>
      <c r="J131" s="14">
        <f>F131-(G131+H131+I131)</f>
        <v/>
      </c>
      <c r="K131" s="14" t="n">
        <v>1492.12</v>
      </c>
      <c r="L131" s="14" t="n">
        <v>1492.12</v>
      </c>
      <c r="M131" s="14" t="n">
        <v>1492.12</v>
      </c>
      <c r="N131" s="14" t="n">
        <v>1492.12</v>
      </c>
      <c r="O131" s="14" t="n">
        <v>1492.12</v>
      </c>
      <c r="P131" s="14" t="n">
        <v>1492.12</v>
      </c>
      <c r="Q131" s="14" t="n">
        <v>1492.12</v>
      </c>
      <c r="R131" s="14" t="n">
        <v>1492.12</v>
      </c>
      <c r="S131" s="14" t="n">
        <v>1492.12</v>
      </c>
      <c r="T131" s="14" t="n">
        <v>1492.12</v>
      </c>
      <c r="U131" s="14" t="n">
        <v>350</v>
      </c>
      <c r="V131" s="14" t="n">
        <v>250</v>
      </c>
      <c r="W131" s="14">
        <f>U131+V131</f>
        <v/>
      </c>
    </row>
    <row r="132">
      <c r="A132" s="15" t="inlineStr">
        <is>
          <t>CANON-202509-000740</t>
        </is>
      </c>
      <c r="B132" s="15" t="inlineStr">
        <is>
          <t>2025-09-21</t>
        </is>
      </c>
      <c r="C132" s="15" t="inlineStr">
        <is>
          <t>Wilhelmina Underwood</t>
        </is>
      </c>
      <c r="D132" s="15" t="inlineStr">
        <is>
          <t>NE</t>
        </is>
      </c>
      <c r="E132" s="16" t="n">
        <v>580000</v>
      </c>
      <c r="F132" s="16" t="n">
        <v>8868.959999999999</v>
      </c>
      <c r="G132" s="16" t="n">
        <v>1108.62</v>
      </c>
      <c r="H132" s="16" t="n">
        <v>1108.62</v>
      </c>
      <c r="I132" s="16">
        <f>SUM(K132:T132)</f>
        <v/>
      </c>
      <c r="J132" s="16">
        <f>F132-(G132+H132+I132)</f>
        <v/>
      </c>
      <c r="K132" s="16" t="n">
        <v>665.17</v>
      </c>
      <c r="L132" s="16" t="n">
        <v>665.17</v>
      </c>
      <c r="M132" s="16" t="n">
        <v>665.17</v>
      </c>
      <c r="N132" s="16" t="n">
        <v>665.17</v>
      </c>
      <c r="O132" s="16" t="n">
        <v>665.17</v>
      </c>
      <c r="P132" s="16" t="n">
        <v>665.17</v>
      </c>
      <c r="Q132" s="16" t="n">
        <v>665.17</v>
      </c>
      <c r="R132" s="16" t="n">
        <v>665.17</v>
      </c>
      <c r="S132" s="16" t="n">
        <v>665.17</v>
      </c>
      <c r="T132" s="16" t="n">
        <v>665.17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CANON-202509-000742</t>
        </is>
      </c>
      <c r="B133" s="3" t="inlineStr">
        <is>
          <t>2025-09-11</t>
        </is>
      </c>
      <c r="C133" s="3" t="inlineStr">
        <is>
          <t>Lorenzo Blackwood</t>
        </is>
      </c>
      <c r="D133" s="3" t="inlineStr">
        <is>
          <t>PA</t>
        </is>
      </c>
      <c r="E133" s="14" t="n">
        <v>555000</v>
      </c>
      <c r="F133" s="14" t="n">
        <v>6528.21</v>
      </c>
      <c r="G133" s="14" t="n">
        <v>816.03</v>
      </c>
      <c r="H133" s="14" t="n">
        <v>816.03</v>
      </c>
      <c r="I133" s="14">
        <f>SUM(K133:T133)</f>
        <v/>
      </c>
      <c r="J133" s="14">
        <f>F133-(G133+H133+I133)</f>
        <v/>
      </c>
      <c r="K133" s="14" t="n">
        <v>489.62</v>
      </c>
      <c r="L133" s="14" t="n">
        <v>489.62</v>
      </c>
      <c r="M133" s="14" t="n">
        <v>489.62</v>
      </c>
      <c r="N133" s="14" t="n">
        <v>489.62</v>
      </c>
      <c r="O133" s="14" t="n">
        <v>489.62</v>
      </c>
      <c r="P133" s="14" t="n">
        <v>489.62</v>
      </c>
      <c r="Q133" s="14" t="n">
        <v>489.62</v>
      </c>
      <c r="R133" s="14" t="n">
        <v>489.62</v>
      </c>
      <c r="S133" s="14" t="n">
        <v>489.62</v>
      </c>
      <c r="T133" s="14" t="n">
        <v>489.62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CANON-202509-000743</t>
        </is>
      </c>
      <c r="B134" s="15" t="inlineStr">
        <is>
          <t>2025-09-09</t>
        </is>
      </c>
      <c r="C134" s="15" t="inlineStr">
        <is>
          <t>Emiliano Okonkwo</t>
        </is>
      </c>
      <c r="D134" s="15" t="inlineStr">
        <is>
          <t>ME</t>
        </is>
      </c>
      <c r="E134" s="16" t="n">
        <v>405000</v>
      </c>
      <c r="F134" s="16" t="n">
        <v>3799.34</v>
      </c>
      <c r="G134" s="16" t="n">
        <v>474.92</v>
      </c>
      <c r="H134" s="16" t="n">
        <v>474.92</v>
      </c>
      <c r="I134" s="16">
        <f>SUM(K134:T134)</f>
        <v/>
      </c>
      <c r="J134" s="16">
        <f>F134-(G134+H134+I134)</f>
        <v/>
      </c>
      <c r="K134" s="16" t="n">
        <v>284.95</v>
      </c>
      <c r="L134" s="16" t="n">
        <v>284.95</v>
      </c>
      <c r="M134" s="16" t="n">
        <v>284.95</v>
      </c>
      <c r="N134" s="16" t="n">
        <v>284.95</v>
      </c>
      <c r="O134" s="16" t="n">
        <v>284.95</v>
      </c>
      <c r="P134" s="16" t="n">
        <v>284.95</v>
      </c>
      <c r="Q134" s="16" t="n">
        <v>284.95</v>
      </c>
      <c r="R134" s="16" t="n">
        <v>284.95</v>
      </c>
      <c r="S134" s="16" t="n">
        <v>284.95</v>
      </c>
      <c r="T134" s="16" t="n">
        <v>284.95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CANON-202509-000747</t>
        </is>
      </c>
      <c r="B135" s="3" t="inlineStr">
        <is>
          <t>2025-09-18</t>
        </is>
      </c>
      <c r="C135" s="3" t="inlineStr">
        <is>
          <t>Wilhelmina Thistlewood</t>
        </is>
      </c>
      <c r="D135" s="3" t="inlineStr">
        <is>
          <t>MI</t>
        </is>
      </c>
      <c r="E135" s="14" t="n">
        <v>425000</v>
      </c>
      <c r="F135" s="14" t="n">
        <v>8940.66</v>
      </c>
      <c r="G135" s="14" t="n">
        <v>1117.58</v>
      </c>
      <c r="H135" s="14" t="n">
        <v>1117.58</v>
      </c>
      <c r="I135" s="14">
        <f>SUM(K135:T135)</f>
        <v/>
      </c>
      <c r="J135" s="14">
        <f>F135-(G135+H135+I135)</f>
        <v/>
      </c>
      <c r="K135" s="14" t="n">
        <v>670.55</v>
      </c>
      <c r="L135" s="14" t="n">
        <v>670.55</v>
      </c>
      <c r="M135" s="14" t="n">
        <v>670.55</v>
      </c>
      <c r="N135" s="14" t="n">
        <v>670.55</v>
      </c>
      <c r="O135" s="14" t="n">
        <v>670.55</v>
      </c>
      <c r="P135" s="14" t="n">
        <v>670.55</v>
      </c>
      <c r="Q135" s="14" t="n">
        <v>670.55</v>
      </c>
      <c r="R135" s="14" t="n">
        <v>670.55</v>
      </c>
      <c r="S135" s="14" t="n">
        <v>670.55</v>
      </c>
      <c r="T135" s="14" t="n">
        <v>670.55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CANON-202509-000748</t>
        </is>
      </c>
      <c r="B136" s="15" t="inlineStr">
        <is>
          <t>2025-09-26</t>
        </is>
      </c>
      <c r="C136" s="15" t="inlineStr">
        <is>
          <t>Fitzgerald Blackwood</t>
        </is>
      </c>
      <c r="D136" s="15" t="inlineStr">
        <is>
          <t>CT</t>
        </is>
      </c>
      <c r="E136" s="16" t="n">
        <v>445000</v>
      </c>
      <c r="F136" s="16" t="n">
        <v>6764.37</v>
      </c>
      <c r="G136" s="16" t="n">
        <v>845.55</v>
      </c>
      <c r="H136" s="16" t="n">
        <v>845.55</v>
      </c>
      <c r="I136" s="16">
        <f>SUM(K136:T136)</f>
        <v/>
      </c>
      <c r="J136" s="16">
        <f>F136-(G136+H136+I136)</f>
        <v/>
      </c>
      <c r="K136" s="16" t="n">
        <v>507.33</v>
      </c>
      <c r="L136" s="16" t="n">
        <v>507.33</v>
      </c>
      <c r="M136" s="16" t="n">
        <v>507.33</v>
      </c>
      <c r="N136" s="16" t="n">
        <v>507.33</v>
      </c>
      <c r="O136" s="16" t="n">
        <v>507.33</v>
      </c>
      <c r="P136" s="16" t="n">
        <v>507.33</v>
      </c>
      <c r="Q136" s="16" t="n">
        <v>507.33</v>
      </c>
      <c r="R136" s="16" t="n">
        <v>507.33</v>
      </c>
      <c r="S136" s="16" t="n">
        <v>507.33</v>
      </c>
      <c r="T136" s="16" t="n">
        <v>507.33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CANON-202509-000751</t>
        </is>
      </c>
      <c r="B137" s="3" t="inlineStr">
        <is>
          <t>2025-09-30</t>
        </is>
      </c>
      <c r="C137" s="3" t="inlineStr">
        <is>
          <t>Anouk Thistlewood</t>
        </is>
      </c>
      <c r="D137" s="3" t="inlineStr">
        <is>
          <t>KS</t>
        </is>
      </c>
      <c r="E137" s="14" t="n">
        <v>570000</v>
      </c>
      <c r="F137" s="14" t="n">
        <v>6503.51</v>
      </c>
      <c r="G137" s="14" t="n">
        <v>812.9400000000001</v>
      </c>
      <c r="H137" s="14" t="n">
        <v>812.9400000000001</v>
      </c>
      <c r="I137" s="14">
        <f>SUM(K137:T137)</f>
        <v/>
      </c>
      <c r="J137" s="14">
        <f>F137-(G137+H137+I137)</f>
        <v/>
      </c>
      <c r="K137" s="14" t="n">
        <v>487.76</v>
      </c>
      <c r="L137" s="14" t="n">
        <v>487.76</v>
      </c>
      <c r="M137" s="14" t="n">
        <v>487.76</v>
      </c>
      <c r="N137" s="14" t="n">
        <v>487.76</v>
      </c>
      <c r="O137" s="14" t="n">
        <v>487.76</v>
      </c>
      <c r="P137" s="14" t="n">
        <v>487.76</v>
      </c>
      <c r="Q137" s="14" t="n">
        <v>487.76</v>
      </c>
      <c r="R137" s="14" t="n">
        <v>487.76</v>
      </c>
      <c r="S137" s="14" t="n">
        <v>487.76</v>
      </c>
      <c r="T137" s="14" t="n">
        <v>487.76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CANON-202509-000752</t>
        </is>
      </c>
      <c r="B138" s="15" t="inlineStr">
        <is>
          <t>2025-09-18</t>
        </is>
      </c>
      <c r="C138" s="15" t="inlineStr">
        <is>
          <t>Delphine Montoya</t>
        </is>
      </c>
      <c r="D138" s="15" t="inlineStr">
        <is>
          <t>CO</t>
        </is>
      </c>
      <c r="E138" s="16" t="n">
        <v>710000</v>
      </c>
      <c r="F138" s="16" t="n">
        <v>9186.549999999999</v>
      </c>
      <c r="G138" s="16" t="n">
        <v>1148.32</v>
      </c>
      <c r="H138" s="16" t="n">
        <v>1148.32</v>
      </c>
      <c r="I138" s="16">
        <f>SUM(K138:T138)</f>
        <v/>
      </c>
      <c r="J138" s="16">
        <f>F138-(G138+H138+I138)</f>
        <v/>
      </c>
      <c r="K138" s="16" t="n">
        <v>688.99</v>
      </c>
      <c r="L138" s="16" t="n">
        <v>688.99</v>
      </c>
      <c r="M138" s="16" t="n">
        <v>688.99</v>
      </c>
      <c r="N138" s="16" t="n">
        <v>688.99</v>
      </c>
      <c r="O138" s="16" t="n">
        <v>688.99</v>
      </c>
      <c r="P138" s="16" t="n">
        <v>688.99</v>
      </c>
      <c r="Q138" s="16" t="n">
        <v>688.99</v>
      </c>
      <c r="R138" s="16" t="n">
        <v>688.99</v>
      </c>
      <c r="S138" s="16" t="n">
        <v>688.99</v>
      </c>
      <c r="T138" s="16" t="n">
        <v>688.99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CANON-202509-000753</t>
        </is>
      </c>
      <c r="B139" s="3" t="inlineStr">
        <is>
          <t>2025-09-10</t>
        </is>
      </c>
      <c r="C139" s="3" t="inlineStr">
        <is>
          <t>Ingrid Chattopadhyay</t>
        </is>
      </c>
      <c r="D139" s="3" t="inlineStr">
        <is>
          <t>PA</t>
        </is>
      </c>
      <c r="E139" s="14" t="n">
        <v>550000</v>
      </c>
      <c r="F139" s="14" t="n">
        <v>6469.4</v>
      </c>
      <c r="G139" s="14" t="n">
        <v>808.67</v>
      </c>
      <c r="H139" s="14" t="n">
        <v>808.67</v>
      </c>
      <c r="I139" s="14">
        <f>SUM(K139:T139)</f>
        <v/>
      </c>
      <c r="J139" s="14">
        <f>F139-(G139+H139+I139)</f>
        <v/>
      </c>
      <c r="K139" s="14" t="n">
        <v>485.2</v>
      </c>
      <c r="L139" s="14" t="n">
        <v>485.2</v>
      </c>
      <c r="M139" s="14" t="n">
        <v>485.2</v>
      </c>
      <c r="N139" s="14" t="n">
        <v>485.2</v>
      </c>
      <c r="O139" s="14" t="n">
        <v>485.2</v>
      </c>
      <c r="P139" s="14" t="n">
        <v>485.2</v>
      </c>
      <c r="Q139" s="14" t="n">
        <v>485.2</v>
      </c>
      <c r="R139" s="14" t="n">
        <v>485.2</v>
      </c>
      <c r="S139" s="14" t="n">
        <v>485.2</v>
      </c>
      <c r="T139" s="14" t="n">
        <v>485.2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CANON-202509-000754</t>
        </is>
      </c>
      <c r="B140" s="15" t="inlineStr">
        <is>
          <t>2025-09-10</t>
        </is>
      </c>
      <c r="C140" s="15" t="inlineStr">
        <is>
          <t>Lorenzo Kingsford</t>
        </is>
      </c>
      <c r="D140" s="15" t="inlineStr">
        <is>
          <t>NY</t>
        </is>
      </c>
      <c r="E140" s="16" t="n">
        <v>325000</v>
      </c>
      <c r="F140" s="16" t="n">
        <v>5646.02</v>
      </c>
      <c r="G140" s="16" t="n">
        <v>705.75</v>
      </c>
      <c r="H140" s="16" t="n">
        <v>705.75</v>
      </c>
      <c r="I140" s="16">
        <f>SUM(K140:T140)</f>
        <v/>
      </c>
      <c r="J140" s="16">
        <f>F140-(G140+H140+I140)</f>
        <v/>
      </c>
      <c r="K140" s="16" t="n">
        <v>423.45</v>
      </c>
      <c r="L140" s="16" t="n">
        <v>423.45</v>
      </c>
      <c r="M140" s="16" t="n">
        <v>423.45</v>
      </c>
      <c r="N140" s="16" t="n">
        <v>423.45</v>
      </c>
      <c r="O140" s="16" t="n">
        <v>423.45</v>
      </c>
      <c r="P140" s="16" t="n">
        <v>423.45</v>
      </c>
      <c r="Q140" s="16" t="n">
        <v>423.45</v>
      </c>
      <c r="R140" s="16" t="n">
        <v>423.45</v>
      </c>
      <c r="S140" s="16" t="n">
        <v>423.45</v>
      </c>
      <c r="T140" s="16" t="n">
        <v>423.45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CANON-202509-000758</t>
        </is>
      </c>
      <c r="B141" s="3" t="inlineStr">
        <is>
          <t>2025-09-17</t>
        </is>
      </c>
      <c r="C141" s="3" t="inlineStr">
        <is>
          <t>Desmond Blackwood</t>
        </is>
      </c>
      <c r="D141" s="3" t="inlineStr">
        <is>
          <t>AZ</t>
        </is>
      </c>
      <c r="E141" s="14" t="n">
        <v>685000</v>
      </c>
      <c r="F141" s="14" t="n">
        <v>4757.55</v>
      </c>
      <c r="G141" s="14" t="n">
        <v>594.6900000000001</v>
      </c>
      <c r="H141" s="14" t="n">
        <v>594.6900000000001</v>
      </c>
      <c r="I141" s="14">
        <f>SUM(K141:T141)</f>
        <v/>
      </c>
      <c r="J141" s="14">
        <f>F141-(G141+H141+I141)</f>
        <v/>
      </c>
      <c r="K141" s="14" t="n">
        <v>356.82</v>
      </c>
      <c r="L141" s="14" t="n">
        <v>356.82</v>
      </c>
      <c r="M141" s="14" t="n">
        <v>356.82</v>
      </c>
      <c r="N141" s="14" t="n">
        <v>356.82</v>
      </c>
      <c r="O141" s="14" t="n">
        <v>356.82</v>
      </c>
      <c r="P141" s="14" t="n">
        <v>356.82</v>
      </c>
      <c r="Q141" s="14" t="n">
        <v>356.82</v>
      </c>
      <c r="R141" s="14" t="n">
        <v>356.82</v>
      </c>
      <c r="S141" s="14" t="n">
        <v>356.82</v>
      </c>
      <c r="T141" s="14" t="n">
        <v>356.82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CANON-202509-000760</t>
        </is>
      </c>
      <c r="B142" s="15" t="inlineStr">
        <is>
          <t>2025-09-29</t>
        </is>
      </c>
      <c r="C142" s="15" t="inlineStr">
        <is>
          <t>Horace Delacroix</t>
        </is>
      </c>
      <c r="D142" s="15" t="inlineStr">
        <is>
          <t>NY</t>
        </is>
      </c>
      <c r="E142" s="16" t="n">
        <v>1950000</v>
      </c>
      <c r="F142" s="16" t="n">
        <v>36134.54</v>
      </c>
      <c r="G142" s="16" t="n">
        <v>4516.82</v>
      </c>
      <c r="H142" s="16" t="n">
        <v>4516.82</v>
      </c>
      <c r="I142" s="16">
        <f>SUM(K142:T142)</f>
        <v/>
      </c>
      <c r="J142" s="16">
        <f>F142-(G142+H142+I142)</f>
        <v/>
      </c>
      <c r="K142" s="16" t="n">
        <v>2710.09</v>
      </c>
      <c r="L142" s="16" t="n">
        <v>2710.09</v>
      </c>
      <c r="M142" s="16" t="n">
        <v>2710.09</v>
      </c>
      <c r="N142" s="16" t="n">
        <v>2710.09</v>
      </c>
      <c r="O142" s="16" t="n">
        <v>2710.09</v>
      </c>
      <c r="P142" s="16" t="n">
        <v>2710.09</v>
      </c>
      <c r="Q142" s="16" t="n">
        <v>2710.09</v>
      </c>
      <c r="R142" s="16" t="n">
        <v>2710.09</v>
      </c>
      <c r="S142" s="16" t="n">
        <v>2710.09</v>
      </c>
      <c r="T142" s="16" t="n">
        <v>2710.09</v>
      </c>
      <c r="U142" s="16" t="n">
        <v>350</v>
      </c>
      <c r="V142" s="16" t="n">
        <v>250</v>
      </c>
      <c r="W142" s="16">
        <f>U142+V142</f>
        <v/>
      </c>
    </row>
    <row r="143">
      <c r="A143" s="3" t="inlineStr">
        <is>
          <t>CANON-202509-000762</t>
        </is>
      </c>
      <c r="B143" s="3" t="inlineStr">
        <is>
          <t>2025-09-09</t>
        </is>
      </c>
      <c r="C143" s="3" t="inlineStr">
        <is>
          <t>Anouk Thistlewood</t>
        </is>
      </c>
      <c r="D143" s="3" t="inlineStr">
        <is>
          <t>TX</t>
        </is>
      </c>
      <c r="E143" s="14" t="n">
        <v>1485000</v>
      </c>
      <c r="F143" s="14" t="n">
        <v>11743.46</v>
      </c>
      <c r="G143" s="14" t="n">
        <v>1467.93</v>
      </c>
      <c r="H143" s="14" t="n">
        <v>1467.93</v>
      </c>
      <c r="I143" s="14">
        <f>SUM(K143:T143)</f>
        <v/>
      </c>
      <c r="J143" s="14">
        <f>F143-(G143+H143+I143)</f>
        <v/>
      </c>
      <c r="K143" s="14" t="n">
        <v>880.76</v>
      </c>
      <c r="L143" s="14" t="n">
        <v>880.76</v>
      </c>
      <c r="M143" s="14" t="n">
        <v>880.76</v>
      </c>
      <c r="N143" s="14" t="n">
        <v>880.76</v>
      </c>
      <c r="O143" s="14" t="n">
        <v>880.76</v>
      </c>
      <c r="P143" s="14" t="n">
        <v>880.76</v>
      </c>
      <c r="Q143" s="14" t="n">
        <v>880.76</v>
      </c>
      <c r="R143" s="14" t="n">
        <v>880.76</v>
      </c>
      <c r="S143" s="14" t="n">
        <v>880.76</v>
      </c>
      <c r="T143" s="14" t="n">
        <v>880.76</v>
      </c>
      <c r="U143" s="14" t="n">
        <v>350</v>
      </c>
      <c r="V143" s="14" t="n">
        <v>250</v>
      </c>
      <c r="W143" s="14">
        <f>U143+V143</f>
        <v/>
      </c>
    </row>
    <row r="144">
      <c r="A144" s="15" t="inlineStr">
        <is>
          <t>CANON-202509-000763</t>
        </is>
      </c>
      <c r="B144" s="15" t="inlineStr">
        <is>
          <t>2025-09-23</t>
        </is>
      </c>
      <c r="C144" s="15" t="inlineStr">
        <is>
          <t>Ottilie Chattopadhyay</t>
        </is>
      </c>
      <c r="D144" s="15" t="inlineStr">
        <is>
          <t>AR</t>
        </is>
      </c>
      <c r="E144" s="16" t="n">
        <v>1215000</v>
      </c>
      <c r="F144" s="16" t="n">
        <v>16688.07</v>
      </c>
      <c r="G144" s="16" t="n">
        <v>2086.01</v>
      </c>
      <c r="H144" s="16" t="n">
        <v>2086.01</v>
      </c>
      <c r="I144" s="16">
        <f>SUM(K144:T144)</f>
        <v/>
      </c>
      <c r="J144" s="16">
        <f>F144-(G144+H144+I144)</f>
        <v/>
      </c>
      <c r="K144" s="16" t="n">
        <v>1251.61</v>
      </c>
      <c r="L144" s="16" t="n">
        <v>1251.61</v>
      </c>
      <c r="M144" s="16" t="n">
        <v>1251.61</v>
      </c>
      <c r="N144" s="16" t="n">
        <v>1251.61</v>
      </c>
      <c r="O144" s="16" t="n">
        <v>1251.61</v>
      </c>
      <c r="P144" s="16" t="n">
        <v>1251.61</v>
      </c>
      <c r="Q144" s="16" t="n">
        <v>1251.61</v>
      </c>
      <c r="R144" s="16" t="n">
        <v>1251.61</v>
      </c>
      <c r="S144" s="16" t="n">
        <v>1251.61</v>
      </c>
      <c r="T144" s="16" t="n">
        <v>1251.61</v>
      </c>
      <c r="U144" s="16" t="n">
        <v>350</v>
      </c>
      <c r="V144" s="16" t="n">
        <v>250</v>
      </c>
      <c r="W144" s="16">
        <f>U144+V144</f>
        <v/>
      </c>
    </row>
    <row r="145">
      <c r="A145" s="3" t="inlineStr">
        <is>
          <t>CANON-202509-000765</t>
        </is>
      </c>
      <c r="B145" s="3" t="inlineStr">
        <is>
          <t>2025-09-21</t>
        </is>
      </c>
      <c r="C145" s="3" t="inlineStr">
        <is>
          <t>Priya Bellandi</t>
        </is>
      </c>
      <c r="D145" s="3" t="inlineStr">
        <is>
          <t>FL</t>
        </is>
      </c>
      <c r="E145" s="14" t="n">
        <v>1950000</v>
      </c>
      <c r="F145" s="14" t="n">
        <v>17036.88</v>
      </c>
      <c r="G145" s="14" t="n">
        <v>2129.61</v>
      </c>
      <c r="H145" s="14" t="n">
        <v>2129.61</v>
      </c>
      <c r="I145" s="14">
        <f>SUM(K145:T145)</f>
        <v/>
      </c>
      <c r="J145" s="14">
        <f>F145-(G145+H145+I145)</f>
        <v/>
      </c>
      <c r="K145" s="14" t="n">
        <v>1277.77</v>
      </c>
      <c r="L145" s="14" t="n">
        <v>1277.77</v>
      </c>
      <c r="M145" s="14" t="n">
        <v>1277.77</v>
      </c>
      <c r="N145" s="14" t="n">
        <v>1277.77</v>
      </c>
      <c r="O145" s="14" t="n">
        <v>1277.77</v>
      </c>
      <c r="P145" s="14" t="n">
        <v>1277.77</v>
      </c>
      <c r="Q145" s="14" t="n">
        <v>1277.77</v>
      </c>
      <c r="R145" s="14" t="n">
        <v>1277.77</v>
      </c>
      <c r="S145" s="14" t="n">
        <v>1277.77</v>
      </c>
      <c r="T145" s="14" t="n">
        <v>1277.77</v>
      </c>
      <c r="U145" s="14" t="n">
        <v>350</v>
      </c>
      <c r="V145" s="14" t="n">
        <v>250</v>
      </c>
      <c r="W145" s="14">
        <f>U145+V145</f>
        <v/>
      </c>
    </row>
    <row r="146">
      <c r="A146" s="15" t="inlineStr">
        <is>
          <t>CANON-202509-000766</t>
        </is>
      </c>
      <c r="B146" s="15" t="inlineStr">
        <is>
          <t>2025-09-14</t>
        </is>
      </c>
      <c r="C146" s="15" t="inlineStr">
        <is>
          <t>Wilhelmina Kingsford</t>
        </is>
      </c>
      <c r="D146" s="15" t="inlineStr">
        <is>
          <t>NY</t>
        </is>
      </c>
      <c r="E146" s="16" t="n">
        <v>405000</v>
      </c>
      <c r="F146" s="16" t="n">
        <v>7035.81</v>
      </c>
      <c r="G146" s="16" t="n">
        <v>879.48</v>
      </c>
      <c r="H146" s="16" t="n">
        <v>879.48</v>
      </c>
      <c r="I146" s="16">
        <f>SUM(K146:T146)</f>
        <v/>
      </c>
      <c r="J146" s="16">
        <f>F146-(G146+H146+I146)</f>
        <v/>
      </c>
      <c r="K146" s="16" t="n">
        <v>527.6900000000001</v>
      </c>
      <c r="L146" s="16" t="n">
        <v>527.6900000000001</v>
      </c>
      <c r="M146" s="16" t="n">
        <v>527.6900000000001</v>
      </c>
      <c r="N146" s="16" t="n">
        <v>527.6900000000001</v>
      </c>
      <c r="O146" s="16" t="n">
        <v>527.6900000000001</v>
      </c>
      <c r="P146" s="16" t="n">
        <v>527.6900000000001</v>
      </c>
      <c r="Q146" s="16" t="n">
        <v>527.6900000000001</v>
      </c>
      <c r="R146" s="16" t="n">
        <v>527.6900000000001</v>
      </c>
      <c r="S146" s="16" t="n">
        <v>527.6900000000001</v>
      </c>
      <c r="T146" s="16" t="n">
        <v>527.6900000000001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CANON-202509-000767</t>
        </is>
      </c>
      <c r="B147" s="3" t="inlineStr">
        <is>
          <t>2025-09-22</t>
        </is>
      </c>
      <c r="C147" s="3" t="inlineStr">
        <is>
          <t>Cassius Fairweather</t>
        </is>
      </c>
      <c r="D147" s="3" t="inlineStr">
        <is>
          <t>ME</t>
        </is>
      </c>
      <c r="E147" s="14" t="n">
        <v>1060000</v>
      </c>
      <c r="F147" s="14" t="n">
        <v>11394.11</v>
      </c>
      <c r="G147" s="14" t="n">
        <v>1424.26</v>
      </c>
      <c r="H147" s="14" t="n">
        <v>1424.26</v>
      </c>
      <c r="I147" s="14">
        <f>SUM(K147:T147)</f>
        <v/>
      </c>
      <c r="J147" s="14">
        <f>F147-(G147+H147+I147)</f>
        <v/>
      </c>
      <c r="K147" s="14" t="n">
        <v>854.5599999999999</v>
      </c>
      <c r="L147" s="14" t="n">
        <v>854.5599999999999</v>
      </c>
      <c r="M147" s="14" t="n">
        <v>854.5599999999999</v>
      </c>
      <c r="N147" s="14" t="n">
        <v>854.5599999999999</v>
      </c>
      <c r="O147" s="14" t="n">
        <v>854.5599999999999</v>
      </c>
      <c r="P147" s="14" t="n">
        <v>854.5599999999999</v>
      </c>
      <c r="Q147" s="14" t="n">
        <v>854.5599999999999</v>
      </c>
      <c r="R147" s="14" t="n">
        <v>854.5599999999999</v>
      </c>
      <c r="S147" s="14" t="n">
        <v>854.5599999999999</v>
      </c>
      <c r="T147" s="14" t="n">
        <v>854.5599999999999</v>
      </c>
      <c r="U147" s="14" t="n">
        <v>350</v>
      </c>
      <c r="V147" s="14" t="n">
        <v>250</v>
      </c>
      <c r="W147" s="14">
        <f>U147+V147</f>
        <v/>
      </c>
    </row>
    <row r="148">
      <c r="A148" s="15" t="inlineStr">
        <is>
          <t>CANON-202509-000768</t>
        </is>
      </c>
      <c r="B148" s="15" t="inlineStr">
        <is>
          <t>2025-09-29</t>
        </is>
      </c>
      <c r="C148" s="15" t="inlineStr">
        <is>
          <t>Priya Ashcombe</t>
        </is>
      </c>
      <c r="D148" s="15" t="inlineStr">
        <is>
          <t>SC</t>
        </is>
      </c>
      <c r="E148" s="16" t="n">
        <v>995000</v>
      </c>
      <c r="F148" s="16" t="n">
        <v>21210.77</v>
      </c>
      <c r="G148" s="16" t="n">
        <v>2651.35</v>
      </c>
      <c r="H148" s="16" t="n">
        <v>2651.35</v>
      </c>
      <c r="I148" s="16">
        <f>SUM(K148:T148)</f>
        <v/>
      </c>
      <c r="J148" s="16">
        <f>F148-(G148+H148+I148)</f>
        <v/>
      </c>
      <c r="K148" s="16" t="n">
        <v>1590.81</v>
      </c>
      <c r="L148" s="16" t="n">
        <v>1590.81</v>
      </c>
      <c r="M148" s="16" t="n">
        <v>1590.81</v>
      </c>
      <c r="N148" s="16" t="n">
        <v>1590.81</v>
      </c>
      <c r="O148" s="16" t="n">
        <v>1590.81</v>
      </c>
      <c r="P148" s="16" t="n">
        <v>1590.81</v>
      </c>
      <c r="Q148" s="16" t="n">
        <v>1590.81</v>
      </c>
      <c r="R148" s="16" t="n">
        <v>1590.81</v>
      </c>
      <c r="S148" s="16" t="n">
        <v>1590.81</v>
      </c>
      <c r="T148" s="16" t="n">
        <v>1590.81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CANON-202509-000769</t>
        </is>
      </c>
      <c r="B149" s="3" t="inlineStr">
        <is>
          <t>2025-09-12</t>
        </is>
      </c>
      <c r="C149" s="3" t="inlineStr">
        <is>
          <t>Thaddeus Pennington</t>
        </is>
      </c>
      <c r="D149" s="3" t="inlineStr">
        <is>
          <t>SC</t>
        </is>
      </c>
      <c r="E149" s="14" t="n">
        <v>580000</v>
      </c>
      <c r="F149" s="14" t="n">
        <v>12364.07</v>
      </c>
      <c r="G149" s="14" t="n">
        <v>1545.51</v>
      </c>
      <c r="H149" s="14" t="n">
        <v>1545.51</v>
      </c>
      <c r="I149" s="14">
        <f>SUM(K149:T149)</f>
        <v/>
      </c>
      <c r="J149" s="14">
        <f>F149-(G149+H149+I149)</f>
        <v/>
      </c>
      <c r="K149" s="14" t="n">
        <v>927.3099999999999</v>
      </c>
      <c r="L149" s="14" t="n">
        <v>927.3099999999999</v>
      </c>
      <c r="M149" s="14" t="n">
        <v>927.3099999999999</v>
      </c>
      <c r="N149" s="14" t="n">
        <v>927.3099999999999</v>
      </c>
      <c r="O149" s="14" t="n">
        <v>927.3099999999999</v>
      </c>
      <c r="P149" s="14" t="n">
        <v>927.3099999999999</v>
      </c>
      <c r="Q149" s="14" t="n">
        <v>927.3099999999999</v>
      </c>
      <c r="R149" s="14" t="n">
        <v>927.3099999999999</v>
      </c>
      <c r="S149" s="14" t="n">
        <v>927.3099999999999</v>
      </c>
      <c r="T149" s="14" t="n">
        <v>927.3099999999999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CANON-202509-000772</t>
        </is>
      </c>
      <c r="B150" s="15" t="inlineStr">
        <is>
          <t>2025-09-28</t>
        </is>
      </c>
      <c r="C150" s="15" t="inlineStr">
        <is>
          <t>Horace Thistlewood</t>
        </is>
      </c>
      <c r="D150" s="15" t="inlineStr">
        <is>
          <t>CO</t>
        </is>
      </c>
      <c r="E150" s="16" t="n">
        <v>405000</v>
      </c>
      <c r="F150" s="16" t="n">
        <v>6046.41</v>
      </c>
      <c r="G150" s="16" t="n">
        <v>755.8</v>
      </c>
      <c r="H150" s="16" t="n">
        <v>755.8</v>
      </c>
      <c r="I150" s="16">
        <f>SUM(K150:T150)</f>
        <v/>
      </c>
      <c r="J150" s="16">
        <f>F150-(G150+H150+I150)</f>
        <v/>
      </c>
      <c r="K150" s="16" t="n">
        <v>453.48</v>
      </c>
      <c r="L150" s="16" t="n">
        <v>453.48</v>
      </c>
      <c r="M150" s="16" t="n">
        <v>453.48</v>
      </c>
      <c r="N150" s="16" t="n">
        <v>453.48</v>
      </c>
      <c r="O150" s="16" t="n">
        <v>453.48</v>
      </c>
      <c r="P150" s="16" t="n">
        <v>453.48</v>
      </c>
      <c r="Q150" s="16" t="n">
        <v>453.48</v>
      </c>
      <c r="R150" s="16" t="n">
        <v>453.48</v>
      </c>
      <c r="S150" s="16" t="n">
        <v>453.48</v>
      </c>
      <c r="T150" s="16" t="n">
        <v>453.48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CANON-202509-000773</t>
        </is>
      </c>
      <c r="B151" s="3" t="inlineStr">
        <is>
          <t>2025-09-04</t>
        </is>
      </c>
      <c r="C151" s="3" t="inlineStr">
        <is>
          <t>Aurelio Blackwood</t>
        </is>
      </c>
      <c r="D151" s="3" t="inlineStr">
        <is>
          <t>NC</t>
        </is>
      </c>
      <c r="E151" s="14" t="n">
        <v>775000</v>
      </c>
      <c r="F151" s="14" t="n">
        <v>10483.37</v>
      </c>
      <c r="G151" s="14" t="n">
        <v>1310.42</v>
      </c>
      <c r="H151" s="14" t="n">
        <v>1310.42</v>
      </c>
      <c r="I151" s="14">
        <f>SUM(K151:T151)</f>
        <v/>
      </c>
      <c r="J151" s="14">
        <f>F151-(G151+H151+I151)</f>
        <v/>
      </c>
      <c r="K151" s="14" t="n">
        <v>786.25</v>
      </c>
      <c r="L151" s="14" t="n">
        <v>786.25</v>
      </c>
      <c r="M151" s="14" t="n">
        <v>786.25</v>
      </c>
      <c r="N151" s="14" t="n">
        <v>786.25</v>
      </c>
      <c r="O151" s="14" t="n">
        <v>786.25</v>
      </c>
      <c r="P151" s="14" t="n">
        <v>786.25</v>
      </c>
      <c r="Q151" s="14" t="n">
        <v>786.25</v>
      </c>
      <c r="R151" s="14" t="n">
        <v>786.25</v>
      </c>
      <c r="S151" s="14" t="n">
        <v>786.25</v>
      </c>
      <c r="T151" s="14" t="n">
        <v>786.25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CANON-202509-000774</t>
        </is>
      </c>
      <c r="B152" s="15" t="inlineStr">
        <is>
          <t>2025-09-23</t>
        </is>
      </c>
      <c r="C152" s="15" t="inlineStr">
        <is>
          <t>Leopold Montoya</t>
        </is>
      </c>
      <c r="D152" s="15" t="inlineStr">
        <is>
          <t>PA</t>
        </is>
      </c>
      <c r="E152" s="16" t="n">
        <v>380000</v>
      </c>
      <c r="F152" s="16" t="n">
        <v>5157.43</v>
      </c>
      <c r="G152" s="16" t="n">
        <v>644.6799999999999</v>
      </c>
      <c r="H152" s="16" t="n">
        <v>644.6799999999999</v>
      </c>
      <c r="I152" s="16">
        <f>SUM(K152:T152)</f>
        <v/>
      </c>
      <c r="J152" s="16">
        <f>F152-(G152+H152+I152)</f>
        <v/>
      </c>
      <c r="K152" s="16" t="n">
        <v>386.81</v>
      </c>
      <c r="L152" s="16" t="n">
        <v>386.81</v>
      </c>
      <c r="M152" s="16" t="n">
        <v>386.81</v>
      </c>
      <c r="N152" s="16" t="n">
        <v>386.81</v>
      </c>
      <c r="O152" s="16" t="n">
        <v>386.81</v>
      </c>
      <c r="P152" s="16" t="n">
        <v>386.81</v>
      </c>
      <c r="Q152" s="16" t="n">
        <v>386.81</v>
      </c>
      <c r="R152" s="16" t="n">
        <v>386.81</v>
      </c>
      <c r="S152" s="16" t="n">
        <v>386.81</v>
      </c>
      <c r="T152" s="16" t="n">
        <v>386.81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CANON-202509-000775</t>
        </is>
      </c>
      <c r="B153" s="3" t="inlineStr">
        <is>
          <t>2025-09-24</t>
        </is>
      </c>
      <c r="C153" s="3" t="inlineStr">
        <is>
          <t>Noor Larsson</t>
        </is>
      </c>
      <c r="D153" s="3" t="inlineStr">
        <is>
          <t>CA</t>
        </is>
      </c>
      <c r="E153" s="14" t="n">
        <v>1175000</v>
      </c>
      <c r="F153" s="14" t="n">
        <v>15787.82</v>
      </c>
      <c r="G153" s="14" t="n">
        <v>1973.48</v>
      </c>
      <c r="H153" s="14" t="n">
        <v>1973.48</v>
      </c>
      <c r="I153" s="14">
        <f>SUM(K153:T153)</f>
        <v/>
      </c>
      <c r="J153" s="14">
        <f>F153-(G153+H153+I153)</f>
        <v/>
      </c>
      <c r="K153" s="14" t="n">
        <v>1184.09</v>
      </c>
      <c r="L153" s="14" t="n">
        <v>1184.09</v>
      </c>
      <c r="M153" s="14" t="n">
        <v>1184.09</v>
      </c>
      <c r="N153" s="14" t="n">
        <v>1184.09</v>
      </c>
      <c r="O153" s="14" t="n">
        <v>1184.09</v>
      </c>
      <c r="P153" s="14" t="n">
        <v>1184.09</v>
      </c>
      <c r="Q153" s="14" t="n">
        <v>1184.09</v>
      </c>
      <c r="R153" s="14" t="n">
        <v>1184.09</v>
      </c>
      <c r="S153" s="14" t="n">
        <v>1184.09</v>
      </c>
      <c r="T153" s="14" t="n">
        <v>1184.09</v>
      </c>
      <c r="U153" s="14" t="n">
        <v>350</v>
      </c>
      <c r="V153" s="14" t="n">
        <v>250</v>
      </c>
      <c r="W153" s="14">
        <f>U153+V153</f>
        <v/>
      </c>
    </row>
    <row r="154">
      <c r="A154" s="15" t="inlineStr">
        <is>
          <t>CANON-202509-000776</t>
        </is>
      </c>
      <c r="B154" s="15" t="inlineStr">
        <is>
          <t>2025-09-16</t>
        </is>
      </c>
      <c r="C154" s="15" t="inlineStr">
        <is>
          <t>Horace Castellanos</t>
        </is>
      </c>
      <c r="D154" s="15" t="inlineStr">
        <is>
          <t>NM</t>
        </is>
      </c>
      <c r="E154" s="16" t="n">
        <v>330000</v>
      </c>
      <c r="F154" s="16" t="n">
        <v>5732.89</v>
      </c>
      <c r="G154" s="16" t="n">
        <v>716.61</v>
      </c>
      <c r="H154" s="16" t="n">
        <v>716.61</v>
      </c>
      <c r="I154" s="16">
        <f>SUM(K154:T154)</f>
        <v/>
      </c>
      <c r="J154" s="16">
        <f>F154-(G154+H154+I154)</f>
        <v/>
      </c>
      <c r="K154" s="16" t="n">
        <v>429.97</v>
      </c>
      <c r="L154" s="16" t="n">
        <v>429.97</v>
      </c>
      <c r="M154" s="16" t="n">
        <v>429.97</v>
      </c>
      <c r="N154" s="16" t="n">
        <v>429.97</v>
      </c>
      <c r="O154" s="16" t="n">
        <v>429.97</v>
      </c>
      <c r="P154" s="16" t="n">
        <v>429.97</v>
      </c>
      <c r="Q154" s="16" t="n">
        <v>429.97</v>
      </c>
      <c r="R154" s="16" t="n">
        <v>429.97</v>
      </c>
      <c r="S154" s="16" t="n">
        <v>429.97</v>
      </c>
      <c r="T154" s="16" t="n">
        <v>429.97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CANON-202509-000777</t>
        </is>
      </c>
      <c r="B155" s="3" t="inlineStr">
        <is>
          <t>2025-09-18</t>
        </is>
      </c>
      <c r="C155" s="3" t="inlineStr">
        <is>
          <t>Everett Kingsford</t>
        </is>
      </c>
      <c r="D155" s="3" t="inlineStr">
        <is>
          <t>MD</t>
        </is>
      </c>
      <c r="E155" s="14" t="n">
        <v>720000</v>
      </c>
      <c r="F155" s="14" t="n">
        <v>11758.93</v>
      </c>
      <c r="G155" s="14" t="n">
        <v>1469.87</v>
      </c>
      <c r="H155" s="14" t="n">
        <v>1469.87</v>
      </c>
      <c r="I155" s="14">
        <f>SUM(K155:T155)</f>
        <v/>
      </c>
      <c r="J155" s="14">
        <f>F155-(G155+H155+I155)</f>
        <v/>
      </c>
      <c r="K155" s="14" t="n">
        <v>881.92</v>
      </c>
      <c r="L155" s="14" t="n">
        <v>881.92</v>
      </c>
      <c r="M155" s="14" t="n">
        <v>881.92</v>
      </c>
      <c r="N155" s="14" t="n">
        <v>881.92</v>
      </c>
      <c r="O155" s="14" t="n">
        <v>881.92</v>
      </c>
      <c r="P155" s="14" t="n">
        <v>881.92</v>
      </c>
      <c r="Q155" s="14" t="n">
        <v>881.92</v>
      </c>
      <c r="R155" s="14" t="n">
        <v>881.92</v>
      </c>
      <c r="S155" s="14" t="n">
        <v>881.92</v>
      </c>
      <c r="T155" s="14" t="n">
        <v>881.92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CANON-202509-000779</t>
        </is>
      </c>
      <c r="B156" s="15" t="inlineStr">
        <is>
          <t>2025-09-10</t>
        </is>
      </c>
      <c r="C156" s="15" t="inlineStr">
        <is>
          <t>Everett Vandermeer</t>
        </is>
      </c>
      <c r="D156" s="15" t="inlineStr">
        <is>
          <t>TX</t>
        </is>
      </c>
      <c r="E156" s="16" t="n">
        <v>920000</v>
      </c>
      <c r="F156" s="16" t="n">
        <v>12444.77</v>
      </c>
      <c r="G156" s="16" t="n">
        <v>1555.6</v>
      </c>
      <c r="H156" s="16" t="n">
        <v>1555.6</v>
      </c>
      <c r="I156" s="16">
        <f>SUM(K156:T156)</f>
        <v/>
      </c>
      <c r="J156" s="16">
        <f>F156-(G156+H156+I156)</f>
        <v/>
      </c>
      <c r="K156" s="16" t="n">
        <v>933.36</v>
      </c>
      <c r="L156" s="16" t="n">
        <v>933.36</v>
      </c>
      <c r="M156" s="16" t="n">
        <v>933.36</v>
      </c>
      <c r="N156" s="16" t="n">
        <v>933.36</v>
      </c>
      <c r="O156" s="16" t="n">
        <v>933.36</v>
      </c>
      <c r="P156" s="16" t="n">
        <v>933.36</v>
      </c>
      <c r="Q156" s="16" t="n">
        <v>933.36</v>
      </c>
      <c r="R156" s="16" t="n">
        <v>933.36</v>
      </c>
      <c r="S156" s="16" t="n">
        <v>933.36</v>
      </c>
      <c r="T156" s="16" t="n">
        <v>933.36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CANON-202509-000780</t>
        </is>
      </c>
      <c r="B157" s="3" t="inlineStr">
        <is>
          <t>2025-09-22</t>
        </is>
      </c>
      <c r="C157" s="3" t="inlineStr">
        <is>
          <t>Beatrix Merriweather</t>
        </is>
      </c>
      <c r="D157" s="3" t="inlineStr">
        <is>
          <t>FL</t>
        </is>
      </c>
      <c r="E157" s="14" t="n">
        <v>705000</v>
      </c>
      <c r="F157" s="14" t="n">
        <v>11775.48</v>
      </c>
      <c r="G157" s="14" t="n">
        <v>1471.93</v>
      </c>
      <c r="H157" s="14" t="n">
        <v>1471.93</v>
      </c>
      <c r="I157" s="14">
        <f>SUM(K157:T157)</f>
        <v/>
      </c>
      <c r="J157" s="14">
        <f>F157-(G157+H157+I157)</f>
        <v/>
      </c>
      <c r="K157" s="14" t="n">
        <v>883.16</v>
      </c>
      <c r="L157" s="14" t="n">
        <v>883.16</v>
      </c>
      <c r="M157" s="14" t="n">
        <v>883.16</v>
      </c>
      <c r="N157" s="14" t="n">
        <v>883.16</v>
      </c>
      <c r="O157" s="14" t="n">
        <v>883.16</v>
      </c>
      <c r="P157" s="14" t="n">
        <v>883.16</v>
      </c>
      <c r="Q157" s="14" t="n">
        <v>883.16</v>
      </c>
      <c r="R157" s="14" t="n">
        <v>883.16</v>
      </c>
      <c r="S157" s="14" t="n">
        <v>883.16</v>
      </c>
      <c r="T157" s="14" t="n">
        <v>883.16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CANON-202509-000781</t>
        </is>
      </c>
      <c r="B158" s="15" t="inlineStr">
        <is>
          <t>2025-09-25</t>
        </is>
      </c>
      <c r="C158" s="15" t="inlineStr">
        <is>
          <t>Everett Castellanos</t>
        </is>
      </c>
      <c r="D158" s="15" t="inlineStr">
        <is>
          <t>NH</t>
        </is>
      </c>
      <c r="E158" s="16" t="n">
        <v>1535000</v>
      </c>
      <c r="F158" s="16" t="n">
        <v>19644.39</v>
      </c>
      <c r="G158" s="16" t="n">
        <v>2455.55</v>
      </c>
      <c r="H158" s="16" t="n">
        <v>2455.55</v>
      </c>
      <c r="I158" s="16">
        <f>SUM(K158:T158)</f>
        <v/>
      </c>
      <c r="J158" s="16">
        <f>F158-(G158+H158+I158)</f>
        <v/>
      </c>
      <c r="K158" s="16" t="n">
        <v>1473.33</v>
      </c>
      <c r="L158" s="16" t="n">
        <v>1473.33</v>
      </c>
      <c r="M158" s="16" t="n">
        <v>1473.33</v>
      </c>
      <c r="N158" s="16" t="n">
        <v>1473.33</v>
      </c>
      <c r="O158" s="16" t="n">
        <v>1473.33</v>
      </c>
      <c r="P158" s="16" t="n">
        <v>1473.33</v>
      </c>
      <c r="Q158" s="16" t="n">
        <v>1473.33</v>
      </c>
      <c r="R158" s="16" t="n">
        <v>1473.33</v>
      </c>
      <c r="S158" s="16" t="n">
        <v>1473.33</v>
      </c>
      <c r="T158" s="16" t="n">
        <v>1473.33</v>
      </c>
      <c r="U158" s="16" t="n">
        <v>350</v>
      </c>
      <c r="V158" s="16" t="n">
        <v>250</v>
      </c>
      <c r="W158" s="16">
        <f>U158+V158</f>
        <v/>
      </c>
    </row>
    <row r="159">
      <c r="A159" s="3" t="inlineStr">
        <is>
          <t>CANON-202509-000782</t>
        </is>
      </c>
      <c r="B159" s="3" t="inlineStr">
        <is>
          <t>2025-09-07</t>
        </is>
      </c>
      <c r="C159" s="3" t="inlineStr">
        <is>
          <t>Desmond Chattopadhyay</t>
        </is>
      </c>
      <c r="D159" s="3" t="inlineStr">
        <is>
          <t>OK</t>
        </is>
      </c>
      <c r="E159" s="14" t="n">
        <v>545000</v>
      </c>
      <c r="F159" s="14" t="n">
        <v>8077.34</v>
      </c>
      <c r="G159" s="14" t="n">
        <v>1009.67</v>
      </c>
      <c r="H159" s="14" t="n">
        <v>1009.67</v>
      </c>
      <c r="I159" s="14">
        <f>SUM(K159:T159)</f>
        <v/>
      </c>
      <c r="J159" s="14">
        <f>F159-(G159+H159+I159)</f>
        <v/>
      </c>
      <c r="K159" s="14" t="n">
        <v>605.8</v>
      </c>
      <c r="L159" s="14" t="n">
        <v>605.8</v>
      </c>
      <c r="M159" s="14" t="n">
        <v>605.8</v>
      </c>
      <c r="N159" s="14" t="n">
        <v>605.8</v>
      </c>
      <c r="O159" s="14" t="n">
        <v>605.8</v>
      </c>
      <c r="P159" s="14" t="n">
        <v>605.8</v>
      </c>
      <c r="Q159" s="14" t="n">
        <v>605.8</v>
      </c>
      <c r="R159" s="14" t="n">
        <v>605.8</v>
      </c>
      <c r="S159" s="14" t="n">
        <v>605.8</v>
      </c>
      <c r="T159" s="14" t="n">
        <v>605.8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CANON-202509-000783</t>
        </is>
      </c>
      <c r="B160" s="15" t="inlineStr">
        <is>
          <t>2025-09-30</t>
        </is>
      </c>
      <c r="C160" s="15" t="inlineStr">
        <is>
          <t>Priya Vandermeer</t>
        </is>
      </c>
      <c r="D160" s="15" t="inlineStr">
        <is>
          <t>MS</t>
        </is>
      </c>
      <c r="E160" s="16" t="n">
        <v>415000</v>
      </c>
      <c r="F160" s="16" t="n">
        <v>6702.61</v>
      </c>
      <c r="G160" s="16" t="n">
        <v>837.83</v>
      </c>
      <c r="H160" s="16" t="n">
        <v>837.83</v>
      </c>
      <c r="I160" s="16">
        <f>SUM(K160:T160)</f>
        <v/>
      </c>
      <c r="J160" s="16">
        <f>F160-(G160+H160+I160)</f>
        <v/>
      </c>
      <c r="K160" s="16" t="n">
        <v>502.7</v>
      </c>
      <c r="L160" s="16" t="n">
        <v>502.7</v>
      </c>
      <c r="M160" s="16" t="n">
        <v>502.7</v>
      </c>
      <c r="N160" s="16" t="n">
        <v>502.7</v>
      </c>
      <c r="O160" s="16" t="n">
        <v>502.7</v>
      </c>
      <c r="P160" s="16" t="n">
        <v>502.7</v>
      </c>
      <c r="Q160" s="16" t="n">
        <v>502.7</v>
      </c>
      <c r="R160" s="16" t="n">
        <v>502.7</v>
      </c>
      <c r="S160" s="16" t="n">
        <v>502.7</v>
      </c>
      <c r="T160" s="16" t="n">
        <v>502.7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CANON-202509-000784</t>
        </is>
      </c>
      <c r="B161" s="3" t="inlineStr">
        <is>
          <t>2025-09-18</t>
        </is>
      </c>
      <c r="C161" s="3" t="inlineStr">
        <is>
          <t>Aurelio Montoya</t>
        </is>
      </c>
      <c r="D161" s="3" t="inlineStr">
        <is>
          <t>MN</t>
        </is>
      </c>
      <c r="E161" s="14" t="n">
        <v>340000</v>
      </c>
      <c r="F161" s="14" t="n">
        <v>3898.36</v>
      </c>
      <c r="G161" s="14" t="n">
        <v>487.3</v>
      </c>
      <c r="H161" s="14" t="n">
        <v>487.3</v>
      </c>
      <c r="I161" s="14">
        <f>SUM(K161:T161)</f>
        <v/>
      </c>
      <c r="J161" s="14">
        <f>F161-(G161+H161+I161)</f>
        <v/>
      </c>
      <c r="K161" s="14" t="n">
        <v>292.38</v>
      </c>
      <c r="L161" s="14" t="n">
        <v>292.38</v>
      </c>
      <c r="M161" s="14" t="n">
        <v>292.38</v>
      </c>
      <c r="N161" s="14" t="n">
        <v>292.38</v>
      </c>
      <c r="O161" s="14" t="n">
        <v>292.38</v>
      </c>
      <c r="P161" s="14" t="n">
        <v>292.38</v>
      </c>
      <c r="Q161" s="14" t="n">
        <v>292.38</v>
      </c>
      <c r="R161" s="14" t="n">
        <v>292.38</v>
      </c>
      <c r="S161" s="14" t="n">
        <v>292.38</v>
      </c>
      <c r="T161" s="14" t="n">
        <v>292.38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CANON-202509-000785</t>
        </is>
      </c>
      <c r="B162" s="15" t="inlineStr">
        <is>
          <t>2025-09-11</t>
        </is>
      </c>
      <c r="C162" s="15" t="inlineStr">
        <is>
          <t>Ramona Vasquez</t>
        </is>
      </c>
      <c r="D162" s="15" t="inlineStr">
        <is>
          <t>IN</t>
        </is>
      </c>
      <c r="E162" s="16" t="n">
        <v>420000</v>
      </c>
      <c r="F162" s="16" t="n">
        <v>10750.79</v>
      </c>
      <c r="G162" s="16" t="n">
        <v>1343.85</v>
      </c>
      <c r="H162" s="16" t="n">
        <v>1343.85</v>
      </c>
      <c r="I162" s="16">
        <f>SUM(K162:T162)</f>
        <v/>
      </c>
      <c r="J162" s="16">
        <f>F162-(G162+H162+I162)</f>
        <v/>
      </c>
      <c r="K162" s="16" t="n">
        <v>806.3099999999999</v>
      </c>
      <c r="L162" s="16" t="n">
        <v>806.3099999999999</v>
      </c>
      <c r="M162" s="16" t="n">
        <v>806.3099999999999</v>
      </c>
      <c r="N162" s="16" t="n">
        <v>806.3099999999999</v>
      </c>
      <c r="O162" s="16" t="n">
        <v>806.3099999999999</v>
      </c>
      <c r="P162" s="16" t="n">
        <v>806.3099999999999</v>
      </c>
      <c r="Q162" s="16" t="n">
        <v>806.3099999999999</v>
      </c>
      <c r="R162" s="16" t="n">
        <v>806.3099999999999</v>
      </c>
      <c r="S162" s="16" t="n">
        <v>806.3099999999999</v>
      </c>
      <c r="T162" s="16" t="n">
        <v>806.3099999999999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CANON-202509-000786</t>
        </is>
      </c>
      <c r="B163" s="3" t="inlineStr">
        <is>
          <t>2025-09-06</t>
        </is>
      </c>
      <c r="C163" s="3" t="inlineStr">
        <is>
          <t>Wilhelmina Nakashima</t>
        </is>
      </c>
      <c r="D163" s="3" t="inlineStr">
        <is>
          <t>HI</t>
        </is>
      </c>
      <c r="E163" s="14" t="n">
        <v>450000</v>
      </c>
      <c r="F163" s="14" t="n">
        <v>7939.72</v>
      </c>
      <c r="G163" s="14" t="n">
        <v>992.47</v>
      </c>
      <c r="H163" s="14" t="n">
        <v>992.47</v>
      </c>
      <c r="I163" s="14">
        <f>SUM(K163:T163)</f>
        <v/>
      </c>
      <c r="J163" s="14">
        <f>F163-(G163+H163+I163)</f>
        <v/>
      </c>
      <c r="K163" s="14" t="n">
        <v>595.48</v>
      </c>
      <c r="L163" s="14" t="n">
        <v>595.48</v>
      </c>
      <c r="M163" s="14" t="n">
        <v>595.48</v>
      </c>
      <c r="N163" s="14" t="n">
        <v>595.48</v>
      </c>
      <c r="O163" s="14" t="n">
        <v>595.48</v>
      </c>
      <c r="P163" s="14" t="n">
        <v>595.48</v>
      </c>
      <c r="Q163" s="14" t="n">
        <v>595.48</v>
      </c>
      <c r="R163" s="14" t="n">
        <v>595.48</v>
      </c>
      <c r="S163" s="14" t="n">
        <v>595.48</v>
      </c>
      <c r="T163" s="14" t="n">
        <v>595.48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CANON-202509-000791</t>
        </is>
      </c>
      <c r="B164" s="15" t="inlineStr">
        <is>
          <t>2025-09-04</t>
        </is>
      </c>
      <c r="C164" s="15" t="inlineStr">
        <is>
          <t>Beatrix Pennington</t>
        </is>
      </c>
      <c r="D164" s="15" t="inlineStr">
        <is>
          <t>UT</t>
        </is>
      </c>
      <c r="E164" s="16" t="n">
        <v>790000</v>
      </c>
      <c r="F164" s="16" t="n">
        <v>8298.84</v>
      </c>
      <c r="G164" s="16" t="n">
        <v>1037.36</v>
      </c>
      <c r="H164" s="16" t="n">
        <v>1037.36</v>
      </c>
      <c r="I164" s="16">
        <f>SUM(K164:T164)</f>
        <v/>
      </c>
      <c r="J164" s="16">
        <f>F164-(G164+H164+I164)</f>
        <v/>
      </c>
      <c r="K164" s="16" t="n">
        <v>622.41</v>
      </c>
      <c r="L164" s="16" t="n">
        <v>622.41</v>
      </c>
      <c r="M164" s="16" t="n">
        <v>622.41</v>
      </c>
      <c r="N164" s="16" t="n">
        <v>622.41</v>
      </c>
      <c r="O164" s="16" t="n">
        <v>622.41</v>
      </c>
      <c r="P164" s="16" t="n">
        <v>622.41</v>
      </c>
      <c r="Q164" s="16" t="n">
        <v>622.41</v>
      </c>
      <c r="R164" s="16" t="n">
        <v>622.41</v>
      </c>
      <c r="S164" s="16" t="n">
        <v>622.41</v>
      </c>
      <c r="T164" s="16" t="n">
        <v>622.41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CANON-202509-000792</t>
        </is>
      </c>
      <c r="B165" s="3" t="inlineStr">
        <is>
          <t>2025-09-16</t>
        </is>
      </c>
      <c r="C165" s="3" t="inlineStr">
        <is>
          <t>Mireille Farkas</t>
        </is>
      </c>
      <c r="D165" s="3" t="inlineStr">
        <is>
          <t>CA</t>
        </is>
      </c>
      <c r="E165" s="14" t="n">
        <v>735000</v>
      </c>
      <c r="F165" s="14" t="n">
        <v>7721.07</v>
      </c>
      <c r="G165" s="14" t="n">
        <v>965.13</v>
      </c>
      <c r="H165" s="14" t="n">
        <v>965.13</v>
      </c>
      <c r="I165" s="14">
        <f>SUM(K165:T165)</f>
        <v/>
      </c>
      <c r="J165" s="14">
        <f>F165-(G165+H165+I165)</f>
        <v/>
      </c>
      <c r="K165" s="14" t="n">
        <v>579.08</v>
      </c>
      <c r="L165" s="14" t="n">
        <v>579.08</v>
      </c>
      <c r="M165" s="14" t="n">
        <v>579.08</v>
      </c>
      <c r="N165" s="14" t="n">
        <v>579.08</v>
      </c>
      <c r="O165" s="14" t="n">
        <v>579.08</v>
      </c>
      <c r="P165" s="14" t="n">
        <v>579.08</v>
      </c>
      <c r="Q165" s="14" t="n">
        <v>579.08</v>
      </c>
      <c r="R165" s="14" t="n">
        <v>579.08</v>
      </c>
      <c r="S165" s="14" t="n">
        <v>579.08</v>
      </c>
      <c r="T165" s="14" t="n">
        <v>579.08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CANON-202509-000793</t>
        </is>
      </c>
      <c r="B166" s="15" t="inlineStr">
        <is>
          <t>2025-09-11</t>
        </is>
      </c>
      <c r="C166" s="15" t="inlineStr">
        <is>
          <t>Sunniva Castellanos</t>
        </is>
      </c>
      <c r="D166" s="15" t="inlineStr">
        <is>
          <t>MN</t>
        </is>
      </c>
      <c r="E166" s="16" t="n">
        <v>205000</v>
      </c>
      <c r="F166" s="16" t="n">
        <v>4505.09</v>
      </c>
      <c r="G166" s="16" t="n">
        <v>563.14</v>
      </c>
      <c r="H166" s="16" t="n">
        <v>563.14</v>
      </c>
      <c r="I166" s="16">
        <f>SUM(K166:T166)</f>
        <v/>
      </c>
      <c r="J166" s="16">
        <f>F166-(G166+H166+I166)</f>
        <v/>
      </c>
      <c r="K166" s="16" t="n">
        <v>337.88</v>
      </c>
      <c r="L166" s="16" t="n">
        <v>337.88</v>
      </c>
      <c r="M166" s="16" t="n">
        <v>337.88</v>
      </c>
      <c r="N166" s="16" t="n">
        <v>337.88</v>
      </c>
      <c r="O166" s="16" t="n">
        <v>337.88</v>
      </c>
      <c r="P166" s="16" t="n">
        <v>337.88</v>
      </c>
      <c r="Q166" s="16" t="n">
        <v>337.88</v>
      </c>
      <c r="R166" s="16" t="n">
        <v>337.88</v>
      </c>
      <c r="S166" s="16" t="n">
        <v>337.88</v>
      </c>
      <c r="T166" s="16" t="n">
        <v>337.88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CANON-202509-000794</t>
        </is>
      </c>
      <c r="B167" s="3" t="inlineStr">
        <is>
          <t>2025-09-26</t>
        </is>
      </c>
      <c r="C167" s="3" t="inlineStr">
        <is>
          <t>Thaddeus Vasquez</t>
        </is>
      </c>
      <c r="D167" s="3" t="inlineStr">
        <is>
          <t>TX</t>
        </is>
      </c>
      <c r="E167" s="14" t="n">
        <v>430000</v>
      </c>
      <c r="F167" s="14" t="n">
        <v>6711.44</v>
      </c>
      <c r="G167" s="14" t="n">
        <v>838.9299999999999</v>
      </c>
      <c r="H167" s="14" t="n">
        <v>838.9299999999999</v>
      </c>
      <c r="I167" s="14">
        <f>SUM(K167:T167)</f>
        <v/>
      </c>
      <c r="J167" s="14">
        <f>F167-(G167+H167+I167)</f>
        <v/>
      </c>
      <c r="K167" s="14" t="n">
        <v>503.36</v>
      </c>
      <c r="L167" s="14" t="n">
        <v>503.36</v>
      </c>
      <c r="M167" s="14" t="n">
        <v>503.36</v>
      </c>
      <c r="N167" s="14" t="n">
        <v>503.36</v>
      </c>
      <c r="O167" s="14" t="n">
        <v>503.36</v>
      </c>
      <c r="P167" s="14" t="n">
        <v>503.36</v>
      </c>
      <c r="Q167" s="14" t="n">
        <v>503.36</v>
      </c>
      <c r="R167" s="14" t="n">
        <v>503.36</v>
      </c>
      <c r="S167" s="14" t="n">
        <v>503.36</v>
      </c>
      <c r="T167" s="14" t="n">
        <v>503.36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CANON-202509-000795</t>
        </is>
      </c>
      <c r="B168" s="15" t="inlineStr">
        <is>
          <t>2025-09-23</t>
        </is>
      </c>
      <c r="C168" s="15" t="inlineStr">
        <is>
          <t>Anouk Ashcombe</t>
        </is>
      </c>
      <c r="D168" s="15" t="inlineStr">
        <is>
          <t>MA</t>
        </is>
      </c>
      <c r="E168" s="16" t="n">
        <v>1090000</v>
      </c>
      <c r="F168" s="16" t="n">
        <v>9369.32</v>
      </c>
      <c r="G168" s="16" t="n">
        <v>1171.16</v>
      </c>
      <c r="H168" s="16" t="n">
        <v>1171.16</v>
      </c>
      <c r="I168" s="16">
        <f>SUM(K168:T168)</f>
        <v/>
      </c>
      <c r="J168" s="16">
        <f>F168-(G168+H168+I168)</f>
        <v/>
      </c>
      <c r="K168" s="16" t="n">
        <v>702.7</v>
      </c>
      <c r="L168" s="16" t="n">
        <v>702.7</v>
      </c>
      <c r="M168" s="16" t="n">
        <v>702.7</v>
      </c>
      <c r="N168" s="16" t="n">
        <v>702.7</v>
      </c>
      <c r="O168" s="16" t="n">
        <v>702.7</v>
      </c>
      <c r="P168" s="16" t="n">
        <v>702.7</v>
      </c>
      <c r="Q168" s="16" t="n">
        <v>702.7</v>
      </c>
      <c r="R168" s="16" t="n">
        <v>702.7</v>
      </c>
      <c r="S168" s="16" t="n">
        <v>702.7</v>
      </c>
      <c r="T168" s="16" t="n">
        <v>702.7</v>
      </c>
      <c r="U168" s="16" t="n">
        <v>350</v>
      </c>
      <c r="V168" s="16" t="n">
        <v>250</v>
      </c>
      <c r="W168" s="16">
        <f>U168+V168</f>
        <v/>
      </c>
    </row>
    <row r="169">
      <c r="A169" s="3" t="inlineStr">
        <is>
          <t>CANON-202509-000796</t>
        </is>
      </c>
      <c r="B169" s="3" t="inlineStr">
        <is>
          <t>2025-09-07</t>
        </is>
      </c>
      <c r="C169" s="3" t="inlineStr">
        <is>
          <t>Wilhelmina Underwood</t>
        </is>
      </c>
      <c r="D169" s="3" t="inlineStr">
        <is>
          <t>CA</t>
        </is>
      </c>
      <c r="E169" s="14" t="n">
        <v>320000</v>
      </c>
      <c r="F169" s="14" t="n">
        <v>5863.18</v>
      </c>
      <c r="G169" s="14" t="n">
        <v>732.9</v>
      </c>
      <c r="H169" s="14" t="n">
        <v>732.9</v>
      </c>
      <c r="I169" s="14">
        <f>SUM(K169:T169)</f>
        <v/>
      </c>
      <c r="J169" s="14">
        <f>F169-(G169+H169+I169)</f>
        <v/>
      </c>
      <c r="K169" s="14" t="n">
        <v>439.74</v>
      </c>
      <c r="L169" s="14" t="n">
        <v>439.74</v>
      </c>
      <c r="M169" s="14" t="n">
        <v>439.74</v>
      </c>
      <c r="N169" s="14" t="n">
        <v>439.74</v>
      </c>
      <c r="O169" s="14" t="n">
        <v>439.74</v>
      </c>
      <c r="P169" s="14" t="n">
        <v>439.74</v>
      </c>
      <c r="Q169" s="14" t="n">
        <v>439.74</v>
      </c>
      <c r="R169" s="14" t="n">
        <v>439.74</v>
      </c>
      <c r="S169" s="14" t="n">
        <v>439.74</v>
      </c>
      <c r="T169" s="14" t="n">
        <v>439.74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CANON-202509-000797</t>
        </is>
      </c>
      <c r="B170" s="15" t="inlineStr">
        <is>
          <t>2025-09-17</t>
        </is>
      </c>
      <c r="C170" s="15" t="inlineStr">
        <is>
          <t>Wilhelmina Merriweather</t>
        </is>
      </c>
      <c r="D170" s="15" t="inlineStr">
        <is>
          <t>FL</t>
        </is>
      </c>
      <c r="E170" s="16" t="n">
        <v>1290000</v>
      </c>
      <c r="F170" s="16" t="n">
        <v>26518.93</v>
      </c>
      <c r="G170" s="16" t="n">
        <v>3314.87</v>
      </c>
      <c r="H170" s="16" t="n">
        <v>3314.87</v>
      </c>
      <c r="I170" s="16">
        <f>SUM(K170:T170)</f>
        <v/>
      </c>
      <c r="J170" s="16">
        <f>F170-(G170+H170+I170)</f>
        <v/>
      </c>
      <c r="K170" s="16" t="n">
        <v>1988.92</v>
      </c>
      <c r="L170" s="16" t="n">
        <v>1988.92</v>
      </c>
      <c r="M170" s="16" t="n">
        <v>1988.92</v>
      </c>
      <c r="N170" s="16" t="n">
        <v>1988.92</v>
      </c>
      <c r="O170" s="16" t="n">
        <v>1988.92</v>
      </c>
      <c r="P170" s="16" t="n">
        <v>1988.92</v>
      </c>
      <c r="Q170" s="16" t="n">
        <v>1988.92</v>
      </c>
      <c r="R170" s="16" t="n">
        <v>1988.92</v>
      </c>
      <c r="S170" s="16" t="n">
        <v>1988.92</v>
      </c>
      <c r="T170" s="16" t="n">
        <v>1988.92</v>
      </c>
      <c r="U170" s="16" t="n">
        <v>350</v>
      </c>
      <c r="V170" s="16" t="n">
        <v>250</v>
      </c>
      <c r="W170" s="16">
        <f>U170+V170</f>
        <v/>
      </c>
    </row>
    <row r="171">
      <c r="A171" s="3" t="inlineStr">
        <is>
          <t>CANON-202509-000798</t>
        </is>
      </c>
      <c r="B171" s="3" t="inlineStr">
        <is>
          <t>2025-09-16</t>
        </is>
      </c>
      <c r="C171" s="3" t="inlineStr">
        <is>
          <t>Fenwick Harrington</t>
        </is>
      </c>
      <c r="D171" s="3" t="inlineStr">
        <is>
          <t>MD</t>
        </is>
      </c>
      <c r="E171" s="14" t="n">
        <v>1220000</v>
      </c>
      <c r="F171" s="14" t="n">
        <v>11535.44</v>
      </c>
      <c r="G171" s="14" t="n">
        <v>1441.93</v>
      </c>
      <c r="H171" s="14" t="n">
        <v>1441.93</v>
      </c>
      <c r="I171" s="14">
        <f>SUM(K171:T171)</f>
        <v/>
      </c>
      <c r="J171" s="14">
        <f>F171-(G171+H171+I171)</f>
        <v/>
      </c>
      <c r="K171" s="14" t="n">
        <v>865.16</v>
      </c>
      <c r="L171" s="14" t="n">
        <v>865.16</v>
      </c>
      <c r="M171" s="14" t="n">
        <v>865.16</v>
      </c>
      <c r="N171" s="14" t="n">
        <v>865.16</v>
      </c>
      <c r="O171" s="14" t="n">
        <v>865.16</v>
      </c>
      <c r="P171" s="14" t="n">
        <v>865.16</v>
      </c>
      <c r="Q171" s="14" t="n">
        <v>865.16</v>
      </c>
      <c r="R171" s="14" t="n">
        <v>865.16</v>
      </c>
      <c r="S171" s="14" t="n">
        <v>865.16</v>
      </c>
      <c r="T171" s="14" t="n">
        <v>865.16</v>
      </c>
      <c r="U171" s="14" t="n">
        <v>350</v>
      </c>
      <c r="V171" s="14" t="n">
        <v>250</v>
      </c>
      <c r="W171" s="14">
        <f>U171+V171</f>
        <v/>
      </c>
    </row>
    <row r="172">
      <c r="A172" s="15" t="inlineStr">
        <is>
          <t>CANON-202509-000799</t>
        </is>
      </c>
      <c r="B172" s="15" t="inlineStr">
        <is>
          <t>2025-09-07</t>
        </is>
      </c>
      <c r="C172" s="15" t="inlineStr">
        <is>
          <t>Saoirse Larsson</t>
        </is>
      </c>
      <c r="D172" s="15" t="inlineStr">
        <is>
          <t>MD</t>
        </is>
      </c>
      <c r="E172" s="16" t="n">
        <v>545000</v>
      </c>
      <c r="F172" s="16" t="n">
        <v>6090.05</v>
      </c>
      <c r="G172" s="16" t="n">
        <v>761.26</v>
      </c>
      <c r="H172" s="16" t="n">
        <v>761.26</v>
      </c>
      <c r="I172" s="16">
        <f>SUM(K172:T172)</f>
        <v/>
      </c>
      <c r="J172" s="16">
        <f>F172-(G172+H172+I172)</f>
        <v/>
      </c>
      <c r="K172" s="16" t="n">
        <v>456.75</v>
      </c>
      <c r="L172" s="16" t="n">
        <v>456.75</v>
      </c>
      <c r="M172" s="16" t="n">
        <v>456.75</v>
      </c>
      <c r="N172" s="16" t="n">
        <v>456.75</v>
      </c>
      <c r="O172" s="16" t="n">
        <v>456.75</v>
      </c>
      <c r="P172" s="16" t="n">
        <v>456.75</v>
      </c>
      <c r="Q172" s="16" t="n">
        <v>456.75</v>
      </c>
      <c r="R172" s="16" t="n">
        <v>456.75</v>
      </c>
      <c r="S172" s="16" t="n">
        <v>456.75</v>
      </c>
      <c r="T172" s="16" t="n">
        <v>456.75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CANON-202509-000800</t>
        </is>
      </c>
      <c r="B173" s="3" t="inlineStr">
        <is>
          <t>2025-09-25</t>
        </is>
      </c>
      <c r="C173" s="3" t="inlineStr">
        <is>
          <t>Everett Montoya</t>
        </is>
      </c>
      <c r="D173" s="3" t="inlineStr">
        <is>
          <t>TX</t>
        </is>
      </c>
      <c r="E173" s="14" t="n">
        <v>385000</v>
      </c>
      <c r="F173" s="14" t="n">
        <v>6009.08</v>
      </c>
      <c r="G173" s="14" t="n">
        <v>751.13</v>
      </c>
      <c r="H173" s="14" t="n">
        <v>751.13</v>
      </c>
      <c r="I173" s="14">
        <f>SUM(K173:T173)</f>
        <v/>
      </c>
      <c r="J173" s="14">
        <f>F173-(G173+H173+I173)</f>
        <v/>
      </c>
      <c r="K173" s="14" t="n">
        <v>450.68</v>
      </c>
      <c r="L173" s="14" t="n">
        <v>450.68</v>
      </c>
      <c r="M173" s="14" t="n">
        <v>450.68</v>
      </c>
      <c r="N173" s="14" t="n">
        <v>450.68</v>
      </c>
      <c r="O173" s="14" t="n">
        <v>450.68</v>
      </c>
      <c r="P173" s="14" t="n">
        <v>450.68</v>
      </c>
      <c r="Q173" s="14" t="n">
        <v>450.68</v>
      </c>
      <c r="R173" s="14" t="n">
        <v>450.68</v>
      </c>
      <c r="S173" s="14" t="n">
        <v>450.68</v>
      </c>
      <c r="T173" s="14" t="n">
        <v>450.68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CANON-202509-000802</t>
        </is>
      </c>
      <c r="B174" s="15" t="inlineStr">
        <is>
          <t>2025-09-05</t>
        </is>
      </c>
      <c r="C174" s="15" t="inlineStr">
        <is>
          <t>Ottilie Merriweather</t>
        </is>
      </c>
      <c r="D174" s="15" t="inlineStr">
        <is>
          <t>IN</t>
        </is>
      </c>
      <c r="E174" s="16" t="n">
        <v>485000</v>
      </c>
      <c r="F174" s="16" t="n">
        <v>8096.48</v>
      </c>
      <c r="G174" s="16" t="n">
        <v>1012.06</v>
      </c>
      <c r="H174" s="16" t="n">
        <v>1012.06</v>
      </c>
      <c r="I174" s="16">
        <f>SUM(K174:T174)</f>
        <v/>
      </c>
      <c r="J174" s="16">
        <f>F174-(G174+H174+I174)</f>
        <v/>
      </c>
      <c r="K174" s="16" t="n">
        <v>607.24</v>
      </c>
      <c r="L174" s="16" t="n">
        <v>607.24</v>
      </c>
      <c r="M174" s="16" t="n">
        <v>607.24</v>
      </c>
      <c r="N174" s="16" t="n">
        <v>607.24</v>
      </c>
      <c r="O174" s="16" t="n">
        <v>607.24</v>
      </c>
      <c r="P174" s="16" t="n">
        <v>607.24</v>
      </c>
      <c r="Q174" s="16" t="n">
        <v>607.24</v>
      </c>
      <c r="R174" s="16" t="n">
        <v>607.24</v>
      </c>
      <c r="S174" s="16" t="n">
        <v>607.24</v>
      </c>
      <c r="T174" s="16" t="n">
        <v>607.24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CANON-202509-000804</t>
        </is>
      </c>
      <c r="B175" s="3" t="inlineStr">
        <is>
          <t>2025-09-29</t>
        </is>
      </c>
      <c r="C175" s="3" t="inlineStr">
        <is>
          <t>Horace Farkas</t>
        </is>
      </c>
      <c r="D175" s="3" t="inlineStr">
        <is>
          <t>WY</t>
        </is>
      </c>
      <c r="E175" s="14" t="n">
        <v>370000</v>
      </c>
      <c r="F175" s="14" t="n">
        <v>5373.22</v>
      </c>
      <c r="G175" s="14" t="n">
        <v>671.65</v>
      </c>
      <c r="H175" s="14" t="n">
        <v>671.65</v>
      </c>
      <c r="I175" s="14">
        <f>SUM(K175:T175)</f>
        <v/>
      </c>
      <c r="J175" s="14">
        <f>F175-(G175+H175+I175)</f>
        <v/>
      </c>
      <c r="K175" s="14" t="n">
        <v>402.99</v>
      </c>
      <c r="L175" s="14" t="n">
        <v>402.99</v>
      </c>
      <c r="M175" s="14" t="n">
        <v>402.99</v>
      </c>
      <c r="N175" s="14" t="n">
        <v>402.99</v>
      </c>
      <c r="O175" s="14" t="n">
        <v>402.99</v>
      </c>
      <c r="P175" s="14" t="n">
        <v>402.99</v>
      </c>
      <c r="Q175" s="14" t="n">
        <v>402.99</v>
      </c>
      <c r="R175" s="14" t="n">
        <v>402.99</v>
      </c>
      <c r="S175" s="14" t="n">
        <v>402.99</v>
      </c>
      <c r="T175" s="14" t="n">
        <v>402.99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CANON-202509-000805</t>
        </is>
      </c>
      <c r="B176" s="15" t="inlineStr">
        <is>
          <t>2025-09-07</t>
        </is>
      </c>
      <c r="C176" s="15" t="inlineStr">
        <is>
          <t>Noor Montoya</t>
        </is>
      </c>
      <c r="D176" s="15" t="inlineStr">
        <is>
          <t>TX</t>
        </is>
      </c>
      <c r="E176" s="16" t="n">
        <v>815000</v>
      </c>
      <c r="F176" s="16" t="n">
        <v>11024.45</v>
      </c>
      <c r="G176" s="16" t="n">
        <v>1378.06</v>
      </c>
      <c r="H176" s="16" t="n">
        <v>1378.06</v>
      </c>
      <c r="I176" s="16">
        <f>SUM(K176:T176)</f>
        <v/>
      </c>
      <c r="J176" s="16">
        <f>F176-(G176+H176+I176)</f>
        <v/>
      </c>
      <c r="K176" s="16" t="n">
        <v>826.83</v>
      </c>
      <c r="L176" s="16" t="n">
        <v>826.83</v>
      </c>
      <c r="M176" s="16" t="n">
        <v>826.83</v>
      </c>
      <c r="N176" s="16" t="n">
        <v>826.83</v>
      </c>
      <c r="O176" s="16" t="n">
        <v>826.83</v>
      </c>
      <c r="P176" s="16" t="n">
        <v>826.83</v>
      </c>
      <c r="Q176" s="16" t="n">
        <v>826.83</v>
      </c>
      <c r="R176" s="16" t="n">
        <v>826.83</v>
      </c>
      <c r="S176" s="16" t="n">
        <v>826.83</v>
      </c>
      <c r="T176" s="16" t="n">
        <v>826.83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CANON-202509-000806</t>
        </is>
      </c>
      <c r="B177" s="3" t="inlineStr">
        <is>
          <t>2025-09-09</t>
        </is>
      </c>
      <c r="C177" s="3" t="inlineStr">
        <is>
          <t>Mireille Bellandi</t>
        </is>
      </c>
      <c r="D177" s="3" t="inlineStr">
        <is>
          <t>NY</t>
        </is>
      </c>
      <c r="E177" s="14" t="n">
        <v>600000</v>
      </c>
      <c r="F177" s="14" t="n">
        <v>9033.639999999999</v>
      </c>
      <c r="G177" s="14" t="n">
        <v>1129.2</v>
      </c>
      <c r="H177" s="14" t="n">
        <v>1129.2</v>
      </c>
      <c r="I177" s="14">
        <f>SUM(K177:T177)</f>
        <v/>
      </c>
      <c r="J177" s="14">
        <f>F177-(G177+H177+I177)</f>
        <v/>
      </c>
      <c r="K177" s="14" t="n">
        <v>677.52</v>
      </c>
      <c r="L177" s="14" t="n">
        <v>677.52</v>
      </c>
      <c r="M177" s="14" t="n">
        <v>677.52</v>
      </c>
      <c r="N177" s="14" t="n">
        <v>677.52</v>
      </c>
      <c r="O177" s="14" t="n">
        <v>677.52</v>
      </c>
      <c r="P177" s="14" t="n">
        <v>677.52</v>
      </c>
      <c r="Q177" s="14" t="n">
        <v>677.52</v>
      </c>
      <c r="R177" s="14" t="n">
        <v>677.52</v>
      </c>
      <c r="S177" s="14" t="n">
        <v>677.52</v>
      </c>
      <c r="T177" s="14" t="n">
        <v>677.52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CANON-202509-000807</t>
        </is>
      </c>
      <c r="B178" s="15" t="inlineStr">
        <is>
          <t>2025-09-24</t>
        </is>
      </c>
      <c r="C178" s="15" t="inlineStr">
        <is>
          <t>Ottilie Chattopadhyay</t>
        </is>
      </c>
      <c r="D178" s="15" t="inlineStr">
        <is>
          <t>FL</t>
        </is>
      </c>
      <c r="E178" s="16" t="n">
        <v>410000</v>
      </c>
      <c r="F178" s="16" t="n">
        <v>7901.72</v>
      </c>
      <c r="G178" s="16" t="n">
        <v>987.72</v>
      </c>
      <c r="H178" s="16" t="n">
        <v>987.72</v>
      </c>
      <c r="I178" s="16">
        <f>SUM(K178:T178)</f>
        <v/>
      </c>
      <c r="J178" s="16">
        <f>F178-(G178+H178+I178)</f>
        <v/>
      </c>
      <c r="K178" s="16" t="n">
        <v>592.63</v>
      </c>
      <c r="L178" s="16" t="n">
        <v>592.63</v>
      </c>
      <c r="M178" s="16" t="n">
        <v>592.63</v>
      </c>
      <c r="N178" s="16" t="n">
        <v>592.63</v>
      </c>
      <c r="O178" s="16" t="n">
        <v>592.63</v>
      </c>
      <c r="P178" s="16" t="n">
        <v>592.63</v>
      </c>
      <c r="Q178" s="16" t="n">
        <v>592.63</v>
      </c>
      <c r="R178" s="16" t="n">
        <v>592.63</v>
      </c>
      <c r="S178" s="16" t="n">
        <v>592.63</v>
      </c>
      <c r="T178" s="16" t="n">
        <v>592.63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CANON-202509-000812</t>
        </is>
      </c>
      <c r="B179" s="3" t="inlineStr">
        <is>
          <t>2025-09-02</t>
        </is>
      </c>
      <c r="C179" s="3" t="inlineStr">
        <is>
          <t>Aurelio Okonkwo</t>
        </is>
      </c>
      <c r="D179" s="3" t="inlineStr">
        <is>
          <t>DE</t>
        </is>
      </c>
      <c r="E179" s="14" t="n">
        <v>490000</v>
      </c>
      <c r="F179" s="14" t="n">
        <v>8312.950000000001</v>
      </c>
      <c r="G179" s="14" t="n">
        <v>1039.12</v>
      </c>
      <c r="H179" s="14" t="n">
        <v>1039.12</v>
      </c>
      <c r="I179" s="14">
        <f>SUM(K179:T179)</f>
        <v/>
      </c>
      <c r="J179" s="14">
        <f>F179-(G179+H179+I179)</f>
        <v/>
      </c>
      <c r="K179" s="14" t="n">
        <v>623.47</v>
      </c>
      <c r="L179" s="14" t="n">
        <v>623.47</v>
      </c>
      <c r="M179" s="14" t="n">
        <v>623.47</v>
      </c>
      <c r="N179" s="14" t="n">
        <v>623.47</v>
      </c>
      <c r="O179" s="14" t="n">
        <v>623.47</v>
      </c>
      <c r="P179" s="14" t="n">
        <v>623.47</v>
      </c>
      <c r="Q179" s="14" t="n">
        <v>623.47</v>
      </c>
      <c r="R179" s="14" t="n">
        <v>623.47</v>
      </c>
      <c r="S179" s="14" t="n">
        <v>623.47</v>
      </c>
      <c r="T179" s="14" t="n">
        <v>623.47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CANON-202509-000813</t>
        </is>
      </c>
      <c r="B180" s="15" t="inlineStr">
        <is>
          <t>2025-09-07</t>
        </is>
      </c>
      <c r="C180" s="15" t="inlineStr">
        <is>
          <t>Everett Larsson</t>
        </is>
      </c>
      <c r="D180" s="15" t="inlineStr">
        <is>
          <t>MA</t>
        </is>
      </c>
      <c r="E180" s="16" t="n">
        <v>935000</v>
      </c>
      <c r="F180" s="16" t="n">
        <v>13747.48</v>
      </c>
      <c r="G180" s="16" t="n">
        <v>1718.43</v>
      </c>
      <c r="H180" s="16" t="n">
        <v>1718.43</v>
      </c>
      <c r="I180" s="16">
        <f>SUM(K180:T180)</f>
        <v/>
      </c>
      <c r="J180" s="16">
        <f>F180-(G180+H180+I180)</f>
        <v/>
      </c>
      <c r="K180" s="16" t="n">
        <v>1031.06</v>
      </c>
      <c r="L180" s="16" t="n">
        <v>1031.06</v>
      </c>
      <c r="M180" s="16" t="n">
        <v>1031.06</v>
      </c>
      <c r="N180" s="16" t="n">
        <v>1031.06</v>
      </c>
      <c r="O180" s="16" t="n">
        <v>1031.06</v>
      </c>
      <c r="P180" s="16" t="n">
        <v>1031.06</v>
      </c>
      <c r="Q180" s="16" t="n">
        <v>1031.06</v>
      </c>
      <c r="R180" s="16" t="n">
        <v>1031.06</v>
      </c>
      <c r="S180" s="16" t="n">
        <v>1031.06</v>
      </c>
      <c r="T180" s="16" t="n">
        <v>1031.06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CANON-202509-000817</t>
        </is>
      </c>
      <c r="B181" s="3" t="inlineStr">
        <is>
          <t>2025-09-22</t>
        </is>
      </c>
      <c r="C181" s="3" t="inlineStr">
        <is>
          <t>Horace Chattopadhyay</t>
        </is>
      </c>
      <c r="D181" s="3" t="inlineStr">
        <is>
          <t>DE</t>
        </is>
      </c>
      <c r="E181" s="14" t="n">
        <v>1660000</v>
      </c>
      <c r="F181" s="14" t="n">
        <v>14268.88</v>
      </c>
      <c r="G181" s="14" t="n">
        <v>1783.61</v>
      </c>
      <c r="H181" s="14" t="n">
        <v>1783.61</v>
      </c>
      <c r="I181" s="14">
        <f>SUM(K181:T181)</f>
        <v/>
      </c>
      <c r="J181" s="14">
        <f>F181-(G181+H181+I181)</f>
        <v/>
      </c>
      <c r="K181" s="14" t="n">
        <v>1070.17</v>
      </c>
      <c r="L181" s="14" t="n">
        <v>1070.17</v>
      </c>
      <c r="M181" s="14" t="n">
        <v>1070.17</v>
      </c>
      <c r="N181" s="14" t="n">
        <v>1070.17</v>
      </c>
      <c r="O181" s="14" t="n">
        <v>1070.17</v>
      </c>
      <c r="P181" s="14" t="n">
        <v>1070.17</v>
      </c>
      <c r="Q181" s="14" t="n">
        <v>1070.17</v>
      </c>
      <c r="R181" s="14" t="n">
        <v>1070.17</v>
      </c>
      <c r="S181" s="14" t="n">
        <v>1070.17</v>
      </c>
      <c r="T181" s="14" t="n">
        <v>1070.17</v>
      </c>
      <c r="U181" s="14" t="n">
        <v>350</v>
      </c>
      <c r="V181" s="14" t="n">
        <v>250</v>
      </c>
      <c r="W181" s="14">
        <f>U181+V181</f>
        <v/>
      </c>
    </row>
    <row r="182">
      <c r="A182" s="15" t="inlineStr">
        <is>
          <t>CANON-202509-000819</t>
        </is>
      </c>
      <c r="B182" s="15" t="inlineStr">
        <is>
          <t>2025-09-18</t>
        </is>
      </c>
      <c r="C182" s="15" t="inlineStr">
        <is>
          <t>Beatrix Fairweather</t>
        </is>
      </c>
      <c r="D182" s="15" t="inlineStr">
        <is>
          <t>AR</t>
        </is>
      </c>
      <c r="E182" s="16" t="n">
        <v>215000</v>
      </c>
      <c r="F182" s="16" t="n">
        <v>4939.61</v>
      </c>
      <c r="G182" s="16" t="n">
        <v>617.45</v>
      </c>
      <c r="H182" s="16" t="n">
        <v>617.45</v>
      </c>
      <c r="I182" s="16">
        <f>SUM(K182:T182)</f>
        <v/>
      </c>
      <c r="J182" s="16">
        <f>F182-(G182+H182+I182)</f>
        <v/>
      </c>
      <c r="K182" s="16" t="n">
        <v>370.47</v>
      </c>
      <c r="L182" s="16" t="n">
        <v>370.47</v>
      </c>
      <c r="M182" s="16" t="n">
        <v>370.47</v>
      </c>
      <c r="N182" s="16" t="n">
        <v>370.47</v>
      </c>
      <c r="O182" s="16" t="n">
        <v>370.47</v>
      </c>
      <c r="P182" s="16" t="n">
        <v>370.47</v>
      </c>
      <c r="Q182" s="16" t="n">
        <v>370.47</v>
      </c>
      <c r="R182" s="16" t="n">
        <v>370.47</v>
      </c>
      <c r="S182" s="16" t="n">
        <v>370.47</v>
      </c>
      <c r="T182" s="16" t="n">
        <v>370.47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CANON-202509-000820</t>
        </is>
      </c>
      <c r="B183" s="3" t="inlineStr">
        <is>
          <t>2025-09-02</t>
        </is>
      </c>
      <c r="C183" s="3" t="inlineStr">
        <is>
          <t>Lorenzo Farkas</t>
        </is>
      </c>
      <c r="D183" s="3" t="inlineStr">
        <is>
          <t>OR</t>
        </is>
      </c>
      <c r="E183" s="14" t="n">
        <v>560000</v>
      </c>
      <c r="F183" s="14" t="n">
        <v>4351.49</v>
      </c>
      <c r="G183" s="14" t="n">
        <v>543.9400000000001</v>
      </c>
      <c r="H183" s="14" t="n">
        <v>543.9400000000001</v>
      </c>
      <c r="I183" s="14">
        <f>SUM(K183:T183)</f>
        <v/>
      </c>
      <c r="J183" s="14">
        <f>F183-(G183+H183+I183)</f>
        <v/>
      </c>
      <c r="K183" s="14" t="n">
        <v>326.36</v>
      </c>
      <c r="L183" s="14" t="n">
        <v>326.36</v>
      </c>
      <c r="M183" s="14" t="n">
        <v>326.36</v>
      </c>
      <c r="N183" s="14" t="n">
        <v>326.36</v>
      </c>
      <c r="O183" s="14" t="n">
        <v>326.36</v>
      </c>
      <c r="P183" s="14" t="n">
        <v>326.36</v>
      </c>
      <c r="Q183" s="14" t="n">
        <v>326.36</v>
      </c>
      <c r="R183" s="14" t="n">
        <v>326.36</v>
      </c>
      <c r="S183" s="14" t="n">
        <v>326.36</v>
      </c>
      <c r="T183" s="14" t="n">
        <v>326.36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CANON-202509-000821</t>
        </is>
      </c>
      <c r="B184" s="15" t="inlineStr">
        <is>
          <t>2025-09-20</t>
        </is>
      </c>
      <c r="C184" s="15" t="inlineStr">
        <is>
          <t>Ramona Thistlewood</t>
        </is>
      </c>
      <c r="D184" s="15" t="inlineStr">
        <is>
          <t>CA</t>
        </is>
      </c>
      <c r="E184" s="16" t="n">
        <v>1950000</v>
      </c>
      <c r="F184" s="16" t="n">
        <v>18102.56</v>
      </c>
      <c r="G184" s="16" t="n">
        <v>2262.82</v>
      </c>
      <c r="H184" s="16" t="n">
        <v>2262.82</v>
      </c>
      <c r="I184" s="16">
        <f>SUM(K184:T184)</f>
        <v/>
      </c>
      <c r="J184" s="16">
        <f>F184-(G184+H184+I184)</f>
        <v/>
      </c>
      <c r="K184" s="16" t="n">
        <v>1357.69</v>
      </c>
      <c r="L184" s="16" t="n">
        <v>1357.69</v>
      </c>
      <c r="M184" s="16" t="n">
        <v>1357.69</v>
      </c>
      <c r="N184" s="16" t="n">
        <v>1357.69</v>
      </c>
      <c r="O184" s="16" t="n">
        <v>1357.69</v>
      </c>
      <c r="P184" s="16" t="n">
        <v>1357.69</v>
      </c>
      <c r="Q184" s="16" t="n">
        <v>1357.69</v>
      </c>
      <c r="R184" s="16" t="n">
        <v>1357.69</v>
      </c>
      <c r="S184" s="16" t="n">
        <v>1357.69</v>
      </c>
      <c r="T184" s="16" t="n">
        <v>1357.69</v>
      </c>
      <c r="U184" s="16" t="n">
        <v>350</v>
      </c>
      <c r="V184" s="16" t="n">
        <v>250</v>
      </c>
      <c r="W184" s="16">
        <f>U184+V184</f>
        <v/>
      </c>
    </row>
    <row r="185">
      <c r="A185" s="3" t="inlineStr">
        <is>
          <t>CANON-202509-000822</t>
        </is>
      </c>
      <c r="B185" s="3" t="inlineStr">
        <is>
          <t>2025-09-22</t>
        </is>
      </c>
      <c r="C185" s="3" t="inlineStr">
        <is>
          <t>Wilhelmina Merriweather</t>
        </is>
      </c>
      <c r="D185" s="3" t="inlineStr">
        <is>
          <t>FL</t>
        </is>
      </c>
      <c r="E185" s="14" t="n">
        <v>1490000</v>
      </c>
      <c r="F185" s="14" t="n">
        <v>14549.44</v>
      </c>
      <c r="G185" s="14" t="n">
        <v>1818.68</v>
      </c>
      <c r="H185" s="14" t="n">
        <v>1818.68</v>
      </c>
      <c r="I185" s="14">
        <f>SUM(K185:T185)</f>
        <v/>
      </c>
      <c r="J185" s="14">
        <f>F185-(G185+H185+I185)</f>
        <v/>
      </c>
      <c r="K185" s="14" t="n">
        <v>1091.21</v>
      </c>
      <c r="L185" s="14" t="n">
        <v>1091.21</v>
      </c>
      <c r="M185" s="14" t="n">
        <v>1091.21</v>
      </c>
      <c r="N185" s="14" t="n">
        <v>1091.21</v>
      </c>
      <c r="O185" s="14" t="n">
        <v>1091.21</v>
      </c>
      <c r="P185" s="14" t="n">
        <v>1091.21</v>
      </c>
      <c r="Q185" s="14" t="n">
        <v>1091.21</v>
      </c>
      <c r="R185" s="14" t="n">
        <v>1091.21</v>
      </c>
      <c r="S185" s="14" t="n">
        <v>1091.21</v>
      </c>
      <c r="T185" s="14" t="n">
        <v>1091.21</v>
      </c>
      <c r="U185" s="14" t="n">
        <v>350</v>
      </c>
      <c r="V185" s="14" t="n">
        <v>250</v>
      </c>
      <c r="W185" s="14">
        <f>U185+V185</f>
        <v/>
      </c>
    </row>
    <row r="186">
      <c r="A186" s="15" t="inlineStr">
        <is>
          <t>CANON-202509-000823</t>
        </is>
      </c>
      <c r="B186" s="15" t="inlineStr">
        <is>
          <t>2025-09-14</t>
        </is>
      </c>
      <c r="C186" s="15" t="inlineStr">
        <is>
          <t>Wilhelmina Chattopadhyay</t>
        </is>
      </c>
      <c r="D186" s="15" t="inlineStr">
        <is>
          <t>MI</t>
        </is>
      </c>
      <c r="E186" s="16" t="n">
        <v>885000</v>
      </c>
      <c r="F186" s="16" t="n">
        <v>23582.32</v>
      </c>
      <c r="G186" s="16" t="n">
        <v>2947.79</v>
      </c>
      <c r="H186" s="16" t="n">
        <v>2947.79</v>
      </c>
      <c r="I186" s="16">
        <f>SUM(K186:T186)</f>
        <v/>
      </c>
      <c r="J186" s="16">
        <f>F186-(G186+H186+I186)</f>
        <v/>
      </c>
      <c r="K186" s="16" t="n">
        <v>1768.67</v>
      </c>
      <c r="L186" s="16" t="n">
        <v>1768.67</v>
      </c>
      <c r="M186" s="16" t="n">
        <v>1768.67</v>
      </c>
      <c r="N186" s="16" t="n">
        <v>1768.67</v>
      </c>
      <c r="O186" s="16" t="n">
        <v>1768.67</v>
      </c>
      <c r="P186" s="16" t="n">
        <v>1768.67</v>
      </c>
      <c r="Q186" s="16" t="n">
        <v>1768.67</v>
      </c>
      <c r="R186" s="16" t="n">
        <v>1768.67</v>
      </c>
      <c r="S186" s="16" t="n">
        <v>1768.67</v>
      </c>
      <c r="T186" s="16" t="n">
        <v>1768.67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CANON-202509-000824</t>
        </is>
      </c>
      <c r="B187" s="3" t="inlineStr">
        <is>
          <t>2025-09-16</t>
        </is>
      </c>
      <c r="C187" s="3" t="inlineStr">
        <is>
          <t>Leopold Merriweather</t>
        </is>
      </c>
      <c r="D187" s="3" t="inlineStr">
        <is>
          <t>TN</t>
        </is>
      </c>
      <c r="E187" s="14" t="n">
        <v>690000</v>
      </c>
      <c r="F187" s="14" t="n">
        <v>7953.84</v>
      </c>
      <c r="G187" s="14" t="n">
        <v>994.23</v>
      </c>
      <c r="H187" s="14" t="n">
        <v>994.23</v>
      </c>
      <c r="I187" s="14">
        <f>SUM(K187:T187)</f>
        <v/>
      </c>
      <c r="J187" s="14">
        <f>F187-(G187+H187+I187)</f>
        <v/>
      </c>
      <c r="K187" s="14" t="n">
        <v>596.54</v>
      </c>
      <c r="L187" s="14" t="n">
        <v>596.54</v>
      </c>
      <c r="M187" s="14" t="n">
        <v>596.54</v>
      </c>
      <c r="N187" s="14" t="n">
        <v>596.54</v>
      </c>
      <c r="O187" s="14" t="n">
        <v>596.54</v>
      </c>
      <c r="P187" s="14" t="n">
        <v>596.54</v>
      </c>
      <c r="Q187" s="14" t="n">
        <v>596.54</v>
      </c>
      <c r="R187" s="14" t="n">
        <v>596.54</v>
      </c>
      <c r="S187" s="14" t="n">
        <v>596.54</v>
      </c>
      <c r="T187" s="14" t="n">
        <v>596.54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CANON-202509-000825</t>
        </is>
      </c>
      <c r="B188" s="15" t="inlineStr">
        <is>
          <t>2025-09-20</t>
        </is>
      </c>
      <c r="C188" s="15" t="inlineStr">
        <is>
          <t>Lorenzo Nakashima</t>
        </is>
      </c>
      <c r="D188" s="15" t="inlineStr">
        <is>
          <t>NY</t>
        </is>
      </c>
      <c r="E188" s="16" t="n">
        <v>1950000</v>
      </c>
      <c r="F188" s="16" t="n">
        <v>36134.54</v>
      </c>
      <c r="G188" s="16" t="n">
        <v>4516.82</v>
      </c>
      <c r="H188" s="16" t="n">
        <v>4516.82</v>
      </c>
      <c r="I188" s="16">
        <f>SUM(K188:T188)</f>
        <v/>
      </c>
      <c r="J188" s="16">
        <f>F188-(G188+H188+I188)</f>
        <v/>
      </c>
      <c r="K188" s="16" t="n">
        <v>2710.09</v>
      </c>
      <c r="L188" s="16" t="n">
        <v>2710.09</v>
      </c>
      <c r="M188" s="16" t="n">
        <v>2710.09</v>
      </c>
      <c r="N188" s="16" t="n">
        <v>2710.09</v>
      </c>
      <c r="O188" s="16" t="n">
        <v>2710.09</v>
      </c>
      <c r="P188" s="16" t="n">
        <v>2710.09</v>
      </c>
      <c r="Q188" s="16" t="n">
        <v>2710.09</v>
      </c>
      <c r="R188" s="16" t="n">
        <v>2710.09</v>
      </c>
      <c r="S188" s="16" t="n">
        <v>2710.09</v>
      </c>
      <c r="T188" s="16" t="n">
        <v>2710.09</v>
      </c>
      <c r="U188" s="16" t="n">
        <v>350</v>
      </c>
      <c r="V188" s="16" t="n">
        <v>250</v>
      </c>
      <c r="W188" s="16">
        <f>U188+V188</f>
        <v/>
      </c>
    </row>
    <row r="189">
      <c r="A189" s="3" t="inlineStr">
        <is>
          <t>CANON-202509-000826</t>
        </is>
      </c>
      <c r="B189" s="3" t="inlineStr">
        <is>
          <t>2025-09-19</t>
        </is>
      </c>
      <c r="C189" s="3" t="inlineStr">
        <is>
          <t>Noor Pennington</t>
        </is>
      </c>
      <c r="D189" s="3" t="inlineStr">
        <is>
          <t>AK</t>
        </is>
      </c>
      <c r="E189" s="14" t="n">
        <v>705000</v>
      </c>
      <c r="F189" s="14" t="n">
        <v>9453.559999999999</v>
      </c>
      <c r="G189" s="14" t="n">
        <v>1181.69</v>
      </c>
      <c r="H189" s="14" t="n">
        <v>1181.69</v>
      </c>
      <c r="I189" s="14">
        <f>SUM(K189:T189)</f>
        <v/>
      </c>
      <c r="J189" s="14">
        <f>F189-(G189+H189+I189)</f>
        <v/>
      </c>
      <c r="K189" s="14" t="n">
        <v>709.02</v>
      </c>
      <c r="L189" s="14" t="n">
        <v>709.02</v>
      </c>
      <c r="M189" s="14" t="n">
        <v>709.02</v>
      </c>
      <c r="N189" s="14" t="n">
        <v>709.02</v>
      </c>
      <c r="O189" s="14" t="n">
        <v>709.02</v>
      </c>
      <c r="P189" s="14" t="n">
        <v>709.02</v>
      </c>
      <c r="Q189" s="14" t="n">
        <v>709.02</v>
      </c>
      <c r="R189" s="14" t="n">
        <v>709.02</v>
      </c>
      <c r="S189" s="14" t="n">
        <v>709.02</v>
      </c>
      <c r="T189" s="14" t="n">
        <v>709.02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CANON-202509-000827</t>
        </is>
      </c>
      <c r="B190" s="15" t="inlineStr">
        <is>
          <t>2025-09-01</t>
        </is>
      </c>
      <c r="C190" s="15" t="inlineStr">
        <is>
          <t>Everett Ashcombe</t>
        </is>
      </c>
      <c r="D190" s="15" t="inlineStr">
        <is>
          <t>MT</t>
        </is>
      </c>
      <c r="E190" s="16" t="n">
        <v>210000</v>
      </c>
      <c r="F190" s="16" t="n">
        <v>2014.49</v>
      </c>
      <c r="G190" s="16" t="n">
        <v>251.81</v>
      </c>
      <c r="H190" s="16" t="n">
        <v>251.81</v>
      </c>
      <c r="I190" s="16">
        <f>SUM(K190:T190)</f>
        <v/>
      </c>
      <c r="J190" s="16">
        <f>F190-(G190+H190+I190)</f>
        <v/>
      </c>
      <c r="K190" s="16" t="n">
        <v>151.09</v>
      </c>
      <c r="L190" s="16" t="n">
        <v>151.09</v>
      </c>
      <c r="M190" s="16" t="n">
        <v>151.09</v>
      </c>
      <c r="N190" s="16" t="n">
        <v>151.09</v>
      </c>
      <c r="O190" s="16" t="n">
        <v>151.09</v>
      </c>
      <c r="P190" s="16" t="n">
        <v>151.09</v>
      </c>
      <c r="Q190" s="16" t="n">
        <v>151.09</v>
      </c>
      <c r="R190" s="16" t="n">
        <v>151.09</v>
      </c>
      <c r="S190" s="16" t="n">
        <v>151.09</v>
      </c>
      <c r="T190" s="16" t="n">
        <v>151.09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CANON-202509-000828</t>
        </is>
      </c>
      <c r="B191" s="3" t="inlineStr">
        <is>
          <t>2025-09-25</t>
        </is>
      </c>
      <c r="C191" s="3" t="inlineStr">
        <is>
          <t>Ramona Chattopadhyay</t>
        </is>
      </c>
      <c r="D191" s="3" t="inlineStr">
        <is>
          <t>MS</t>
        </is>
      </c>
      <c r="E191" s="14" t="n">
        <v>1170000</v>
      </c>
      <c r="F191" s="14" t="n">
        <v>9574.24</v>
      </c>
      <c r="G191" s="14" t="n">
        <v>1196.78</v>
      </c>
      <c r="H191" s="14" t="n">
        <v>1196.78</v>
      </c>
      <c r="I191" s="14">
        <f>SUM(K191:T191)</f>
        <v/>
      </c>
      <c r="J191" s="14">
        <f>F191-(G191+H191+I191)</f>
        <v/>
      </c>
      <c r="K191" s="14" t="n">
        <v>718.0700000000001</v>
      </c>
      <c r="L191" s="14" t="n">
        <v>718.0700000000001</v>
      </c>
      <c r="M191" s="14" t="n">
        <v>718.0700000000001</v>
      </c>
      <c r="N191" s="14" t="n">
        <v>718.0700000000001</v>
      </c>
      <c r="O191" s="14" t="n">
        <v>718.0700000000001</v>
      </c>
      <c r="P191" s="14" t="n">
        <v>718.0700000000001</v>
      </c>
      <c r="Q191" s="14" t="n">
        <v>718.0700000000001</v>
      </c>
      <c r="R191" s="14" t="n">
        <v>718.0700000000001</v>
      </c>
      <c r="S191" s="14" t="n">
        <v>718.0700000000001</v>
      </c>
      <c r="T191" s="14" t="n">
        <v>718.0700000000001</v>
      </c>
      <c r="U191" s="14" t="n">
        <v>350</v>
      </c>
      <c r="V191" s="14" t="n">
        <v>250</v>
      </c>
      <c r="W191" s="14">
        <f>U191+V191</f>
        <v/>
      </c>
    </row>
    <row r="192">
      <c r="A192" s="15" t="inlineStr">
        <is>
          <t>CANON-202509-000829</t>
        </is>
      </c>
      <c r="B192" s="15" t="inlineStr">
        <is>
          <t>2025-09-05</t>
        </is>
      </c>
      <c r="C192" s="15" t="inlineStr">
        <is>
          <t>Everett Whitlock</t>
        </is>
      </c>
      <c r="D192" s="15" t="inlineStr">
        <is>
          <t>WY</t>
        </is>
      </c>
      <c r="E192" s="16" t="n">
        <v>1065000</v>
      </c>
      <c r="F192" s="16" t="n">
        <v>14022.66</v>
      </c>
      <c r="G192" s="16" t="n">
        <v>1752.83</v>
      </c>
      <c r="H192" s="16" t="n">
        <v>1752.83</v>
      </c>
      <c r="I192" s="16">
        <f>SUM(K192:T192)</f>
        <v/>
      </c>
      <c r="J192" s="16">
        <f>F192-(G192+H192+I192)</f>
        <v/>
      </c>
      <c r="K192" s="16" t="n">
        <v>1051.7</v>
      </c>
      <c r="L192" s="16" t="n">
        <v>1051.7</v>
      </c>
      <c r="M192" s="16" t="n">
        <v>1051.7</v>
      </c>
      <c r="N192" s="16" t="n">
        <v>1051.7</v>
      </c>
      <c r="O192" s="16" t="n">
        <v>1051.7</v>
      </c>
      <c r="P192" s="16" t="n">
        <v>1051.7</v>
      </c>
      <c r="Q192" s="16" t="n">
        <v>1051.7</v>
      </c>
      <c r="R192" s="16" t="n">
        <v>1051.7</v>
      </c>
      <c r="S192" s="16" t="n">
        <v>1051.7</v>
      </c>
      <c r="T192" s="16" t="n">
        <v>1051.7</v>
      </c>
      <c r="U192" s="16" t="n">
        <v>350</v>
      </c>
      <c r="V192" s="16" t="n">
        <v>250</v>
      </c>
      <c r="W192" s="16">
        <f>U192+V192</f>
        <v/>
      </c>
    </row>
    <row r="193">
      <c r="A193" s="3" t="inlineStr">
        <is>
          <t>CANON-202509-000830</t>
        </is>
      </c>
      <c r="B193" s="3" t="inlineStr">
        <is>
          <t>2025-09-30</t>
        </is>
      </c>
      <c r="C193" s="3" t="inlineStr">
        <is>
          <t>Thaddeus Vandermeer</t>
        </is>
      </c>
      <c r="D193" s="3" t="inlineStr">
        <is>
          <t>KY</t>
        </is>
      </c>
      <c r="E193" s="14" t="n">
        <v>405000</v>
      </c>
      <c r="F193" s="14" t="n">
        <v>7365.62</v>
      </c>
      <c r="G193" s="14" t="n">
        <v>920.7</v>
      </c>
      <c r="H193" s="14" t="n">
        <v>920.7</v>
      </c>
      <c r="I193" s="14">
        <f>SUM(K193:T193)</f>
        <v/>
      </c>
      <c r="J193" s="14">
        <f>F193-(G193+H193+I193)</f>
        <v/>
      </c>
      <c r="K193" s="14" t="n">
        <v>552.42</v>
      </c>
      <c r="L193" s="14" t="n">
        <v>552.42</v>
      </c>
      <c r="M193" s="14" t="n">
        <v>552.42</v>
      </c>
      <c r="N193" s="14" t="n">
        <v>552.42</v>
      </c>
      <c r="O193" s="14" t="n">
        <v>552.42</v>
      </c>
      <c r="P193" s="14" t="n">
        <v>552.42</v>
      </c>
      <c r="Q193" s="14" t="n">
        <v>552.42</v>
      </c>
      <c r="R193" s="14" t="n">
        <v>552.42</v>
      </c>
      <c r="S193" s="14" t="n">
        <v>552.42</v>
      </c>
      <c r="T193" s="14" t="n">
        <v>552.42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CANON-202509-000831</t>
        </is>
      </c>
      <c r="B194" s="15" t="inlineStr">
        <is>
          <t>2025-09-15</t>
        </is>
      </c>
      <c r="C194" s="15" t="inlineStr">
        <is>
          <t>Noor Vasquez</t>
        </is>
      </c>
      <c r="D194" s="15" t="inlineStr">
        <is>
          <t>AL</t>
        </is>
      </c>
      <c r="E194" s="16" t="n">
        <v>970000</v>
      </c>
      <c r="F194" s="16" t="n">
        <v>9585.879999999999</v>
      </c>
      <c r="G194" s="16" t="n">
        <v>1198.23</v>
      </c>
      <c r="H194" s="16" t="n">
        <v>1198.23</v>
      </c>
      <c r="I194" s="16">
        <f>SUM(K194:T194)</f>
        <v/>
      </c>
      <c r="J194" s="16">
        <f>F194-(G194+H194+I194)</f>
        <v/>
      </c>
      <c r="K194" s="16" t="n">
        <v>718.9400000000001</v>
      </c>
      <c r="L194" s="16" t="n">
        <v>718.9400000000001</v>
      </c>
      <c r="M194" s="16" t="n">
        <v>718.9400000000001</v>
      </c>
      <c r="N194" s="16" t="n">
        <v>718.9400000000001</v>
      </c>
      <c r="O194" s="16" t="n">
        <v>718.9400000000001</v>
      </c>
      <c r="P194" s="16" t="n">
        <v>718.9400000000001</v>
      </c>
      <c r="Q194" s="16" t="n">
        <v>718.9400000000001</v>
      </c>
      <c r="R194" s="16" t="n">
        <v>718.9400000000001</v>
      </c>
      <c r="S194" s="16" t="n">
        <v>718.9400000000001</v>
      </c>
      <c r="T194" s="16" t="n">
        <v>718.9400000000001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CANON-202509-000832</t>
        </is>
      </c>
      <c r="B195" s="3" t="inlineStr">
        <is>
          <t>2025-09-27</t>
        </is>
      </c>
      <c r="C195" s="3" t="inlineStr">
        <is>
          <t>Callum Fairweather</t>
        </is>
      </c>
      <c r="D195" s="3" t="inlineStr">
        <is>
          <t>OH</t>
        </is>
      </c>
      <c r="E195" s="14" t="n">
        <v>445000</v>
      </c>
      <c r="F195" s="14" t="n">
        <v>8395.07</v>
      </c>
      <c r="G195" s="14" t="n">
        <v>1049.38</v>
      </c>
      <c r="H195" s="14" t="n">
        <v>1049.38</v>
      </c>
      <c r="I195" s="14">
        <f>SUM(K195:T195)</f>
        <v/>
      </c>
      <c r="J195" s="14">
        <f>F195-(G195+H195+I195)</f>
        <v/>
      </c>
      <c r="K195" s="14" t="n">
        <v>629.63</v>
      </c>
      <c r="L195" s="14" t="n">
        <v>629.63</v>
      </c>
      <c r="M195" s="14" t="n">
        <v>629.63</v>
      </c>
      <c r="N195" s="14" t="n">
        <v>629.63</v>
      </c>
      <c r="O195" s="14" t="n">
        <v>629.63</v>
      </c>
      <c r="P195" s="14" t="n">
        <v>629.63</v>
      </c>
      <c r="Q195" s="14" t="n">
        <v>629.63</v>
      </c>
      <c r="R195" s="14" t="n">
        <v>629.63</v>
      </c>
      <c r="S195" s="14" t="n">
        <v>629.63</v>
      </c>
      <c r="T195" s="14" t="n">
        <v>629.63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CANON-202509-000834</t>
        </is>
      </c>
      <c r="B196" s="15" t="inlineStr">
        <is>
          <t>2025-09-23</t>
        </is>
      </c>
      <c r="C196" s="15" t="inlineStr">
        <is>
          <t>Ingrid Merriweather</t>
        </is>
      </c>
      <c r="D196" s="15" t="inlineStr">
        <is>
          <t>MI</t>
        </is>
      </c>
      <c r="E196" s="16" t="n">
        <v>815000</v>
      </c>
      <c r="F196" s="16" t="n">
        <v>9829.83</v>
      </c>
      <c r="G196" s="16" t="n">
        <v>1228.73</v>
      </c>
      <c r="H196" s="16" t="n">
        <v>1228.73</v>
      </c>
      <c r="I196" s="16">
        <f>SUM(K196:T196)</f>
        <v/>
      </c>
      <c r="J196" s="16">
        <f>F196-(G196+H196+I196)</f>
        <v/>
      </c>
      <c r="K196" s="16" t="n">
        <v>737.24</v>
      </c>
      <c r="L196" s="16" t="n">
        <v>737.24</v>
      </c>
      <c r="M196" s="16" t="n">
        <v>737.24</v>
      </c>
      <c r="N196" s="16" t="n">
        <v>737.24</v>
      </c>
      <c r="O196" s="16" t="n">
        <v>737.24</v>
      </c>
      <c r="P196" s="16" t="n">
        <v>737.24</v>
      </c>
      <c r="Q196" s="16" t="n">
        <v>737.24</v>
      </c>
      <c r="R196" s="16" t="n">
        <v>737.24</v>
      </c>
      <c r="S196" s="16" t="n">
        <v>737.24</v>
      </c>
      <c r="T196" s="16" t="n">
        <v>737.24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CANON-202509-000835</t>
        </is>
      </c>
      <c r="B197" s="3" t="inlineStr">
        <is>
          <t>2025-09-30</t>
        </is>
      </c>
      <c r="C197" s="3" t="inlineStr">
        <is>
          <t>Everett Underwood</t>
        </is>
      </c>
      <c r="D197" s="3" t="inlineStr">
        <is>
          <t>IA</t>
        </is>
      </c>
      <c r="E197" s="14" t="n">
        <v>105000</v>
      </c>
      <c r="F197" s="14" t="n">
        <v>1191.37</v>
      </c>
      <c r="G197" s="14" t="n">
        <v>148.92</v>
      </c>
      <c r="H197" s="14" t="n">
        <v>148.92</v>
      </c>
      <c r="I197" s="14">
        <f>SUM(K197:T197)</f>
        <v/>
      </c>
      <c r="J197" s="14">
        <f>F197-(G197+H197+I197)</f>
        <v/>
      </c>
      <c r="K197" s="14" t="n">
        <v>89.34999999999999</v>
      </c>
      <c r="L197" s="14" t="n">
        <v>89.34999999999999</v>
      </c>
      <c r="M197" s="14" t="n">
        <v>89.34999999999999</v>
      </c>
      <c r="N197" s="14" t="n">
        <v>89.34999999999999</v>
      </c>
      <c r="O197" s="14" t="n">
        <v>89.34999999999999</v>
      </c>
      <c r="P197" s="14" t="n">
        <v>89.34999999999999</v>
      </c>
      <c r="Q197" s="14" t="n">
        <v>89.34999999999999</v>
      </c>
      <c r="R197" s="14" t="n">
        <v>89.34999999999999</v>
      </c>
      <c r="S197" s="14" t="n">
        <v>89.34999999999999</v>
      </c>
      <c r="T197" s="14" t="n">
        <v>89.34999999999999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CANON-202509-000836</t>
        </is>
      </c>
      <c r="B198" s="15" t="inlineStr">
        <is>
          <t>2025-09-18</t>
        </is>
      </c>
      <c r="C198" s="15" t="inlineStr">
        <is>
          <t>Cassius Larsson</t>
        </is>
      </c>
      <c r="D198" s="15" t="inlineStr">
        <is>
          <t>TN</t>
        </is>
      </c>
      <c r="E198" s="16" t="n">
        <v>825000</v>
      </c>
      <c r="F198" s="16" t="n">
        <v>13899.26</v>
      </c>
      <c r="G198" s="16" t="n">
        <v>1737.41</v>
      </c>
      <c r="H198" s="16" t="n">
        <v>1737.41</v>
      </c>
      <c r="I198" s="16">
        <f>SUM(K198:T198)</f>
        <v/>
      </c>
      <c r="J198" s="16">
        <f>F198-(G198+H198+I198)</f>
        <v/>
      </c>
      <c r="K198" s="16" t="n">
        <v>1042.44</v>
      </c>
      <c r="L198" s="16" t="n">
        <v>1042.44</v>
      </c>
      <c r="M198" s="16" t="n">
        <v>1042.44</v>
      </c>
      <c r="N198" s="16" t="n">
        <v>1042.44</v>
      </c>
      <c r="O198" s="16" t="n">
        <v>1042.44</v>
      </c>
      <c r="P198" s="16" t="n">
        <v>1042.44</v>
      </c>
      <c r="Q198" s="16" t="n">
        <v>1042.44</v>
      </c>
      <c r="R198" s="16" t="n">
        <v>1042.44</v>
      </c>
      <c r="S198" s="16" t="n">
        <v>1042.44</v>
      </c>
      <c r="T198" s="16" t="n">
        <v>1042.44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CANON-202509-000837</t>
        </is>
      </c>
      <c r="B199" s="3" t="inlineStr">
        <is>
          <t>2025-09-19</t>
        </is>
      </c>
      <c r="C199" s="3" t="inlineStr">
        <is>
          <t>Aurelio Fairweather</t>
        </is>
      </c>
      <c r="D199" s="3" t="inlineStr">
        <is>
          <t>OH</t>
        </is>
      </c>
      <c r="E199" s="14" t="n">
        <v>1490000</v>
      </c>
      <c r="F199" s="14" t="n">
        <v>29983.28</v>
      </c>
      <c r="G199" s="14" t="n">
        <v>3747.91</v>
      </c>
      <c r="H199" s="14" t="n">
        <v>3747.91</v>
      </c>
      <c r="I199" s="14">
        <f>SUM(K199:T199)</f>
        <v/>
      </c>
      <c r="J199" s="14">
        <f>F199-(G199+H199+I199)</f>
        <v/>
      </c>
      <c r="K199" s="14" t="n">
        <v>2248.75</v>
      </c>
      <c r="L199" s="14" t="n">
        <v>2248.75</v>
      </c>
      <c r="M199" s="14" t="n">
        <v>2248.75</v>
      </c>
      <c r="N199" s="14" t="n">
        <v>2248.75</v>
      </c>
      <c r="O199" s="14" t="n">
        <v>2248.75</v>
      </c>
      <c r="P199" s="14" t="n">
        <v>2248.75</v>
      </c>
      <c r="Q199" s="14" t="n">
        <v>2248.75</v>
      </c>
      <c r="R199" s="14" t="n">
        <v>2248.75</v>
      </c>
      <c r="S199" s="14" t="n">
        <v>2248.75</v>
      </c>
      <c r="T199" s="14" t="n">
        <v>2248.75</v>
      </c>
      <c r="U199" s="14" t="n">
        <v>350</v>
      </c>
      <c r="V199" s="14" t="n">
        <v>250</v>
      </c>
      <c r="W199" s="14">
        <f>U199+V199</f>
        <v/>
      </c>
    </row>
    <row r="200">
      <c r="A200" s="15" t="inlineStr">
        <is>
          <t>CANON-202509-000838</t>
        </is>
      </c>
      <c r="B200" s="15" t="inlineStr">
        <is>
          <t>2025-09-17</t>
        </is>
      </c>
      <c r="C200" s="15" t="inlineStr">
        <is>
          <t>Sunniva Thistlewood</t>
        </is>
      </c>
      <c r="D200" s="15" t="inlineStr">
        <is>
          <t>NE</t>
        </is>
      </c>
      <c r="E200" s="16" t="n">
        <v>755000</v>
      </c>
      <c r="F200" s="16" t="n">
        <v>11544.94</v>
      </c>
      <c r="G200" s="16" t="n">
        <v>1443.12</v>
      </c>
      <c r="H200" s="16" t="n">
        <v>1443.12</v>
      </c>
      <c r="I200" s="16">
        <f>SUM(K200:T200)</f>
        <v/>
      </c>
      <c r="J200" s="16">
        <f>F200-(G200+H200+I200)</f>
        <v/>
      </c>
      <c r="K200" s="16" t="n">
        <v>865.87</v>
      </c>
      <c r="L200" s="16" t="n">
        <v>865.87</v>
      </c>
      <c r="M200" s="16" t="n">
        <v>865.87</v>
      </c>
      <c r="N200" s="16" t="n">
        <v>865.87</v>
      </c>
      <c r="O200" s="16" t="n">
        <v>865.87</v>
      </c>
      <c r="P200" s="16" t="n">
        <v>865.87</v>
      </c>
      <c r="Q200" s="16" t="n">
        <v>865.87</v>
      </c>
      <c r="R200" s="16" t="n">
        <v>865.87</v>
      </c>
      <c r="S200" s="16" t="n">
        <v>865.87</v>
      </c>
      <c r="T200" s="16" t="n">
        <v>865.87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CANON-202509-000839</t>
        </is>
      </c>
      <c r="B201" s="3" t="inlineStr">
        <is>
          <t>2025-09-29</t>
        </is>
      </c>
      <c r="C201" s="3" t="inlineStr">
        <is>
          <t>Mireille Kingsford</t>
        </is>
      </c>
      <c r="D201" s="3" t="inlineStr">
        <is>
          <t>MN</t>
        </is>
      </c>
      <c r="E201" s="14" t="n">
        <v>375000</v>
      </c>
      <c r="F201" s="14" t="n">
        <v>6718.23</v>
      </c>
      <c r="G201" s="14" t="n">
        <v>839.78</v>
      </c>
      <c r="H201" s="14" t="n">
        <v>839.78</v>
      </c>
      <c r="I201" s="14">
        <f>SUM(K201:T201)</f>
        <v/>
      </c>
      <c r="J201" s="14">
        <f>F201-(G201+H201+I201)</f>
        <v/>
      </c>
      <c r="K201" s="14" t="n">
        <v>503.87</v>
      </c>
      <c r="L201" s="14" t="n">
        <v>503.87</v>
      </c>
      <c r="M201" s="14" t="n">
        <v>503.87</v>
      </c>
      <c r="N201" s="14" t="n">
        <v>503.87</v>
      </c>
      <c r="O201" s="14" t="n">
        <v>503.87</v>
      </c>
      <c r="P201" s="14" t="n">
        <v>503.87</v>
      </c>
      <c r="Q201" s="14" t="n">
        <v>503.87</v>
      </c>
      <c r="R201" s="14" t="n">
        <v>503.87</v>
      </c>
      <c r="S201" s="14" t="n">
        <v>503.87</v>
      </c>
      <c r="T201" s="14" t="n">
        <v>503.87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CANON-202509-000840</t>
        </is>
      </c>
      <c r="B202" s="15" t="inlineStr">
        <is>
          <t>2025-09-10</t>
        </is>
      </c>
      <c r="C202" s="15" t="inlineStr">
        <is>
          <t>Leopold Fairweather</t>
        </is>
      </c>
      <c r="D202" s="15" t="inlineStr">
        <is>
          <t>CA</t>
        </is>
      </c>
      <c r="E202" s="16" t="n">
        <v>395000</v>
      </c>
      <c r="F202" s="16" t="n">
        <v>7237.36</v>
      </c>
      <c r="G202" s="16" t="n">
        <v>904.67</v>
      </c>
      <c r="H202" s="16" t="n">
        <v>904.67</v>
      </c>
      <c r="I202" s="16">
        <f>SUM(K202:T202)</f>
        <v/>
      </c>
      <c r="J202" s="16">
        <f>F202-(G202+H202+I202)</f>
        <v/>
      </c>
      <c r="K202" s="16" t="n">
        <v>542.8</v>
      </c>
      <c r="L202" s="16" t="n">
        <v>542.8</v>
      </c>
      <c r="M202" s="16" t="n">
        <v>542.8</v>
      </c>
      <c r="N202" s="16" t="n">
        <v>542.8</v>
      </c>
      <c r="O202" s="16" t="n">
        <v>542.8</v>
      </c>
      <c r="P202" s="16" t="n">
        <v>542.8</v>
      </c>
      <c r="Q202" s="16" t="n">
        <v>542.8</v>
      </c>
      <c r="R202" s="16" t="n">
        <v>542.8</v>
      </c>
      <c r="S202" s="16" t="n">
        <v>542.8</v>
      </c>
      <c r="T202" s="16" t="n">
        <v>542.8</v>
      </c>
      <c r="U202" s="16" t="n">
        <v>350</v>
      </c>
      <c r="V202" s="16" t="n">
        <v>0</v>
      </c>
      <c r="W202" s="16">
        <f>U202+V202</f>
        <v/>
      </c>
    </row>
    <row r="203">
      <c r="A203" s="3" t="inlineStr">
        <is>
          <t>CANON-202509-000842</t>
        </is>
      </c>
      <c r="B203" s="3" t="inlineStr">
        <is>
          <t>2025-09-12</t>
        </is>
      </c>
      <c r="C203" s="3" t="inlineStr">
        <is>
          <t>Lorenzo Farkas</t>
        </is>
      </c>
      <c r="D203" s="3" t="inlineStr">
        <is>
          <t>TX</t>
        </is>
      </c>
      <c r="E203" s="14" t="n">
        <v>675000</v>
      </c>
      <c r="F203" s="14" t="n">
        <v>9130.68</v>
      </c>
      <c r="G203" s="14" t="n">
        <v>1141.34</v>
      </c>
      <c r="H203" s="14" t="n">
        <v>1141.34</v>
      </c>
      <c r="I203" s="14">
        <f>SUM(K203:T203)</f>
        <v/>
      </c>
      <c r="J203" s="14">
        <f>F203-(G203+H203+I203)</f>
        <v/>
      </c>
      <c r="K203" s="14" t="n">
        <v>684.8</v>
      </c>
      <c r="L203" s="14" t="n">
        <v>684.8</v>
      </c>
      <c r="M203" s="14" t="n">
        <v>684.8</v>
      </c>
      <c r="N203" s="14" t="n">
        <v>684.8</v>
      </c>
      <c r="O203" s="14" t="n">
        <v>684.8</v>
      </c>
      <c r="P203" s="14" t="n">
        <v>684.8</v>
      </c>
      <c r="Q203" s="14" t="n">
        <v>684.8</v>
      </c>
      <c r="R203" s="14" t="n">
        <v>684.8</v>
      </c>
      <c r="S203" s="14" t="n">
        <v>684.8</v>
      </c>
      <c r="T203" s="14" t="n">
        <v>684.8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CANON-202509-000843</t>
        </is>
      </c>
      <c r="B204" s="15" t="inlineStr">
        <is>
          <t>2025-09-27</t>
        </is>
      </c>
      <c r="C204" s="15" t="inlineStr">
        <is>
          <t>Desmond Rourke</t>
        </is>
      </c>
      <c r="D204" s="15" t="inlineStr">
        <is>
          <t>AL</t>
        </is>
      </c>
      <c r="E204" s="16" t="n">
        <v>360000</v>
      </c>
      <c r="F204" s="16" t="n">
        <v>6205.19</v>
      </c>
      <c r="G204" s="16" t="n">
        <v>775.65</v>
      </c>
      <c r="H204" s="16" t="n">
        <v>775.65</v>
      </c>
      <c r="I204" s="16">
        <f>SUM(K204:T204)</f>
        <v/>
      </c>
      <c r="J204" s="16">
        <f>F204-(G204+H204+I204)</f>
        <v/>
      </c>
      <c r="K204" s="16" t="n">
        <v>465.39</v>
      </c>
      <c r="L204" s="16" t="n">
        <v>465.39</v>
      </c>
      <c r="M204" s="16" t="n">
        <v>465.39</v>
      </c>
      <c r="N204" s="16" t="n">
        <v>465.39</v>
      </c>
      <c r="O204" s="16" t="n">
        <v>465.39</v>
      </c>
      <c r="P204" s="16" t="n">
        <v>465.39</v>
      </c>
      <c r="Q204" s="16" t="n">
        <v>465.39</v>
      </c>
      <c r="R204" s="16" t="n">
        <v>465.39</v>
      </c>
      <c r="S204" s="16" t="n">
        <v>465.39</v>
      </c>
      <c r="T204" s="16" t="n">
        <v>465.39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CANON-202509-000845</t>
        </is>
      </c>
      <c r="B205" s="3" t="inlineStr">
        <is>
          <t>2025-09-18</t>
        </is>
      </c>
      <c r="C205" s="3" t="inlineStr">
        <is>
          <t>Fitzgerald Vandermeer</t>
        </is>
      </c>
      <c r="D205" s="3" t="inlineStr">
        <is>
          <t>CT</t>
        </is>
      </c>
      <c r="E205" s="14" t="n">
        <v>805000</v>
      </c>
      <c r="F205" s="14" t="n">
        <v>10605.11</v>
      </c>
      <c r="G205" s="14" t="n">
        <v>1325.64</v>
      </c>
      <c r="H205" s="14" t="n">
        <v>1325.64</v>
      </c>
      <c r="I205" s="14">
        <f>SUM(K205:T205)</f>
        <v/>
      </c>
      <c r="J205" s="14">
        <f>F205-(G205+H205+I205)</f>
        <v/>
      </c>
      <c r="K205" s="14" t="n">
        <v>795.38</v>
      </c>
      <c r="L205" s="14" t="n">
        <v>795.38</v>
      </c>
      <c r="M205" s="14" t="n">
        <v>795.38</v>
      </c>
      <c r="N205" s="14" t="n">
        <v>795.38</v>
      </c>
      <c r="O205" s="14" t="n">
        <v>795.38</v>
      </c>
      <c r="P205" s="14" t="n">
        <v>795.38</v>
      </c>
      <c r="Q205" s="14" t="n">
        <v>795.38</v>
      </c>
      <c r="R205" s="14" t="n">
        <v>795.38</v>
      </c>
      <c r="S205" s="14" t="n">
        <v>795.38</v>
      </c>
      <c r="T205" s="14" t="n">
        <v>795.38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CANON-202509-000846</t>
        </is>
      </c>
      <c r="B206" s="15" t="inlineStr">
        <is>
          <t>2025-09-09</t>
        </is>
      </c>
      <c r="C206" s="15" t="inlineStr">
        <is>
          <t>Noor Bellandi</t>
        </is>
      </c>
      <c r="D206" s="15" t="inlineStr">
        <is>
          <t>NY</t>
        </is>
      </c>
      <c r="E206" s="16" t="n">
        <v>700000</v>
      </c>
      <c r="F206" s="16" t="n">
        <v>10539.24</v>
      </c>
      <c r="G206" s="16" t="n">
        <v>1317.4</v>
      </c>
      <c r="H206" s="16" t="n">
        <v>1317.4</v>
      </c>
      <c r="I206" s="16">
        <f>SUM(K206:T206)</f>
        <v/>
      </c>
      <c r="J206" s="16">
        <f>F206-(G206+H206+I206)</f>
        <v/>
      </c>
      <c r="K206" s="16" t="n">
        <v>790.4400000000001</v>
      </c>
      <c r="L206" s="16" t="n">
        <v>790.4400000000001</v>
      </c>
      <c r="M206" s="16" t="n">
        <v>790.4400000000001</v>
      </c>
      <c r="N206" s="16" t="n">
        <v>790.4400000000001</v>
      </c>
      <c r="O206" s="16" t="n">
        <v>790.4400000000001</v>
      </c>
      <c r="P206" s="16" t="n">
        <v>790.4400000000001</v>
      </c>
      <c r="Q206" s="16" t="n">
        <v>790.4400000000001</v>
      </c>
      <c r="R206" s="16" t="n">
        <v>790.4400000000001</v>
      </c>
      <c r="S206" s="16" t="n">
        <v>790.4400000000001</v>
      </c>
      <c r="T206" s="16" t="n">
        <v>790.4400000000001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CANON-202509-000849</t>
        </is>
      </c>
      <c r="B207" s="3" t="inlineStr">
        <is>
          <t>2025-09-06</t>
        </is>
      </c>
      <c r="C207" s="3" t="inlineStr">
        <is>
          <t>Marisol Fairweather</t>
        </is>
      </c>
      <c r="D207" s="3" t="inlineStr">
        <is>
          <t>CA</t>
        </is>
      </c>
      <c r="E207" s="14" t="n">
        <v>480000</v>
      </c>
      <c r="F207" s="14" t="n">
        <v>8794.76</v>
      </c>
      <c r="G207" s="14" t="n">
        <v>1099.35</v>
      </c>
      <c r="H207" s="14" t="n">
        <v>1099.35</v>
      </c>
      <c r="I207" s="14">
        <f>SUM(K207:T207)</f>
        <v/>
      </c>
      <c r="J207" s="14">
        <f>F207-(G207+H207+I207)</f>
        <v/>
      </c>
      <c r="K207" s="14" t="n">
        <v>659.61</v>
      </c>
      <c r="L207" s="14" t="n">
        <v>659.61</v>
      </c>
      <c r="M207" s="14" t="n">
        <v>659.61</v>
      </c>
      <c r="N207" s="14" t="n">
        <v>659.61</v>
      </c>
      <c r="O207" s="14" t="n">
        <v>659.61</v>
      </c>
      <c r="P207" s="14" t="n">
        <v>659.61</v>
      </c>
      <c r="Q207" s="14" t="n">
        <v>659.61</v>
      </c>
      <c r="R207" s="14" t="n">
        <v>659.61</v>
      </c>
      <c r="S207" s="14" t="n">
        <v>659.61</v>
      </c>
      <c r="T207" s="14" t="n">
        <v>659.61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CANON-202509-000853</t>
        </is>
      </c>
      <c r="B208" s="15" t="inlineStr">
        <is>
          <t>2025-09-13</t>
        </is>
      </c>
      <c r="C208" s="15" t="inlineStr">
        <is>
          <t>Lorenzo Whitlock</t>
        </is>
      </c>
      <c r="D208" s="15" t="inlineStr">
        <is>
          <t>NE</t>
        </is>
      </c>
      <c r="E208" s="16" t="n">
        <v>795000</v>
      </c>
      <c r="F208" s="16" t="n">
        <v>12156.59</v>
      </c>
      <c r="G208" s="16" t="n">
        <v>1519.57</v>
      </c>
      <c r="H208" s="16" t="n">
        <v>1519.57</v>
      </c>
      <c r="I208" s="16">
        <f>SUM(K208:T208)</f>
        <v/>
      </c>
      <c r="J208" s="16">
        <f>F208-(G208+H208+I208)</f>
        <v/>
      </c>
      <c r="K208" s="16" t="n">
        <v>911.74</v>
      </c>
      <c r="L208" s="16" t="n">
        <v>911.74</v>
      </c>
      <c r="M208" s="16" t="n">
        <v>911.74</v>
      </c>
      <c r="N208" s="16" t="n">
        <v>911.74</v>
      </c>
      <c r="O208" s="16" t="n">
        <v>911.74</v>
      </c>
      <c r="P208" s="16" t="n">
        <v>911.74</v>
      </c>
      <c r="Q208" s="16" t="n">
        <v>911.74</v>
      </c>
      <c r="R208" s="16" t="n">
        <v>911.74</v>
      </c>
      <c r="S208" s="16" t="n">
        <v>911.74</v>
      </c>
      <c r="T208" s="16" t="n">
        <v>911.74</v>
      </c>
      <c r="U208" s="16" t="n">
        <v>350</v>
      </c>
      <c r="V208" s="16" t="n">
        <v>0</v>
      </c>
      <c r="W208" s="16">
        <f>U208+V208</f>
        <v/>
      </c>
    </row>
    <row r="209">
      <c r="A209" s="3" t="inlineStr">
        <is>
          <t>CANON-202509-000855</t>
        </is>
      </c>
      <c r="B209" s="3" t="inlineStr">
        <is>
          <t>2025-09-04</t>
        </is>
      </c>
      <c r="C209" s="3" t="inlineStr">
        <is>
          <t>Noor Fairweather</t>
        </is>
      </c>
      <c r="D209" s="3" t="inlineStr">
        <is>
          <t>OH</t>
        </is>
      </c>
      <c r="E209" s="14" t="n">
        <v>420000</v>
      </c>
      <c r="F209" s="14" t="n">
        <v>9296.82</v>
      </c>
      <c r="G209" s="14" t="n">
        <v>1162.1</v>
      </c>
      <c r="H209" s="14" t="n">
        <v>1162.1</v>
      </c>
      <c r="I209" s="14">
        <f>SUM(K209:T209)</f>
        <v/>
      </c>
      <c r="J209" s="14">
        <f>F209-(G209+H209+I209)</f>
        <v/>
      </c>
      <c r="K209" s="14" t="n">
        <v>697.26</v>
      </c>
      <c r="L209" s="14" t="n">
        <v>697.26</v>
      </c>
      <c r="M209" s="14" t="n">
        <v>697.26</v>
      </c>
      <c r="N209" s="14" t="n">
        <v>697.26</v>
      </c>
      <c r="O209" s="14" t="n">
        <v>697.26</v>
      </c>
      <c r="P209" s="14" t="n">
        <v>697.26</v>
      </c>
      <c r="Q209" s="14" t="n">
        <v>697.26</v>
      </c>
      <c r="R209" s="14" t="n">
        <v>697.26</v>
      </c>
      <c r="S209" s="14" t="n">
        <v>697.26</v>
      </c>
      <c r="T209" s="14" t="n">
        <v>697.26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CANON-202509-000856</t>
        </is>
      </c>
      <c r="B210" s="15" t="inlineStr">
        <is>
          <t>2025-09-25</t>
        </is>
      </c>
      <c r="C210" s="15" t="inlineStr">
        <is>
          <t>Cassius Delacroix</t>
        </is>
      </c>
      <c r="D210" s="15" t="inlineStr">
        <is>
          <t>NC</t>
        </is>
      </c>
      <c r="E210" s="16" t="n">
        <v>425000</v>
      </c>
      <c r="F210" s="16" t="n">
        <v>10171.21</v>
      </c>
      <c r="G210" s="16" t="n">
        <v>1271.4</v>
      </c>
      <c r="H210" s="16" t="n">
        <v>1271.4</v>
      </c>
      <c r="I210" s="16">
        <f>SUM(K210:T210)</f>
        <v/>
      </c>
      <c r="J210" s="16">
        <f>F210-(G210+H210+I210)</f>
        <v/>
      </c>
      <c r="K210" s="16" t="n">
        <v>762.84</v>
      </c>
      <c r="L210" s="16" t="n">
        <v>762.84</v>
      </c>
      <c r="M210" s="16" t="n">
        <v>762.84</v>
      </c>
      <c r="N210" s="16" t="n">
        <v>762.84</v>
      </c>
      <c r="O210" s="16" t="n">
        <v>762.84</v>
      </c>
      <c r="P210" s="16" t="n">
        <v>762.84</v>
      </c>
      <c r="Q210" s="16" t="n">
        <v>762.84</v>
      </c>
      <c r="R210" s="16" t="n">
        <v>762.84</v>
      </c>
      <c r="S210" s="16" t="n">
        <v>762.84</v>
      </c>
      <c r="T210" s="16" t="n">
        <v>762.84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CANON-202509-000858</t>
        </is>
      </c>
      <c r="B211" s="3" t="inlineStr">
        <is>
          <t>2025-09-01</t>
        </is>
      </c>
      <c r="C211" s="3" t="inlineStr">
        <is>
          <t>Everett Rourke</t>
        </is>
      </c>
      <c r="D211" s="3" t="inlineStr">
        <is>
          <t>MT</t>
        </is>
      </c>
      <c r="E211" s="14" t="n">
        <v>1070000</v>
      </c>
      <c r="F211" s="14" t="n">
        <v>14406.05</v>
      </c>
      <c r="G211" s="14" t="n">
        <v>1800.76</v>
      </c>
      <c r="H211" s="14" t="n">
        <v>1800.76</v>
      </c>
      <c r="I211" s="14">
        <f>SUM(K211:T211)</f>
        <v/>
      </c>
      <c r="J211" s="14">
        <f>F211-(G211+H211+I211)</f>
        <v/>
      </c>
      <c r="K211" s="14" t="n">
        <v>1080.45</v>
      </c>
      <c r="L211" s="14" t="n">
        <v>1080.45</v>
      </c>
      <c r="M211" s="14" t="n">
        <v>1080.45</v>
      </c>
      <c r="N211" s="14" t="n">
        <v>1080.45</v>
      </c>
      <c r="O211" s="14" t="n">
        <v>1080.45</v>
      </c>
      <c r="P211" s="14" t="n">
        <v>1080.45</v>
      </c>
      <c r="Q211" s="14" t="n">
        <v>1080.45</v>
      </c>
      <c r="R211" s="14" t="n">
        <v>1080.45</v>
      </c>
      <c r="S211" s="14" t="n">
        <v>1080.45</v>
      </c>
      <c r="T211" s="14" t="n">
        <v>1080.45</v>
      </c>
      <c r="U211" s="14" t="n">
        <v>350</v>
      </c>
      <c r="V211" s="14" t="n">
        <v>250</v>
      </c>
      <c r="W211" s="14">
        <f>U211+V211</f>
        <v/>
      </c>
    </row>
    <row r="212">
      <c r="A212" s="15" t="inlineStr">
        <is>
          <t>CANON-202509-000859</t>
        </is>
      </c>
      <c r="B212" s="15" t="inlineStr">
        <is>
          <t>2025-09-03</t>
        </is>
      </c>
      <c r="C212" s="15" t="inlineStr">
        <is>
          <t>Saoirse Larsson</t>
        </is>
      </c>
      <c r="D212" s="15" t="inlineStr">
        <is>
          <t>NJ</t>
        </is>
      </c>
      <c r="E212" s="16" t="n">
        <v>630000</v>
      </c>
      <c r="F212" s="16" t="n">
        <v>9855.84</v>
      </c>
      <c r="G212" s="16" t="n">
        <v>1231.98</v>
      </c>
      <c r="H212" s="16" t="n">
        <v>1231.98</v>
      </c>
      <c r="I212" s="16">
        <f>SUM(K212:T212)</f>
        <v/>
      </c>
      <c r="J212" s="16">
        <f>F212-(G212+H212+I212)</f>
        <v/>
      </c>
      <c r="K212" s="16" t="n">
        <v>739.1900000000001</v>
      </c>
      <c r="L212" s="16" t="n">
        <v>739.1900000000001</v>
      </c>
      <c r="M212" s="16" t="n">
        <v>739.1900000000001</v>
      </c>
      <c r="N212" s="16" t="n">
        <v>739.1900000000001</v>
      </c>
      <c r="O212" s="16" t="n">
        <v>739.1900000000001</v>
      </c>
      <c r="P212" s="16" t="n">
        <v>739.1900000000001</v>
      </c>
      <c r="Q212" s="16" t="n">
        <v>739.1900000000001</v>
      </c>
      <c r="R212" s="16" t="n">
        <v>739.1900000000001</v>
      </c>
      <c r="S212" s="16" t="n">
        <v>739.1900000000001</v>
      </c>
      <c r="T212" s="16" t="n">
        <v>739.1900000000001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CANON-202509-000860</t>
        </is>
      </c>
      <c r="B213" s="3" t="inlineStr">
        <is>
          <t>2025-09-09</t>
        </is>
      </c>
      <c r="C213" s="3" t="inlineStr">
        <is>
          <t>Mireille Underwood</t>
        </is>
      </c>
      <c r="D213" s="3" t="inlineStr">
        <is>
          <t>IN</t>
        </is>
      </c>
      <c r="E213" s="14" t="n">
        <v>1255000</v>
      </c>
      <c r="F213" s="14" t="n">
        <v>22347.39</v>
      </c>
      <c r="G213" s="14" t="n">
        <v>2793.42</v>
      </c>
      <c r="H213" s="14" t="n">
        <v>2793.42</v>
      </c>
      <c r="I213" s="14">
        <f>SUM(K213:T213)</f>
        <v/>
      </c>
      <c r="J213" s="14">
        <f>F213-(G213+H213+I213)</f>
        <v/>
      </c>
      <c r="K213" s="14" t="n">
        <v>1676.05</v>
      </c>
      <c r="L213" s="14" t="n">
        <v>1676.05</v>
      </c>
      <c r="M213" s="14" t="n">
        <v>1676.05</v>
      </c>
      <c r="N213" s="14" t="n">
        <v>1676.05</v>
      </c>
      <c r="O213" s="14" t="n">
        <v>1676.05</v>
      </c>
      <c r="P213" s="14" t="n">
        <v>1676.05</v>
      </c>
      <c r="Q213" s="14" t="n">
        <v>1676.05</v>
      </c>
      <c r="R213" s="14" t="n">
        <v>1676.05</v>
      </c>
      <c r="S213" s="14" t="n">
        <v>1676.05</v>
      </c>
      <c r="T213" s="14" t="n">
        <v>1676.05</v>
      </c>
      <c r="U213" s="14" t="n">
        <v>350</v>
      </c>
      <c r="V213" s="14" t="n">
        <v>250</v>
      </c>
      <c r="W213" s="14">
        <f>U213+V213</f>
        <v/>
      </c>
    </row>
    <row r="214">
      <c r="A214" s="15" t="inlineStr">
        <is>
          <t>CANON-202509-000861</t>
        </is>
      </c>
      <c r="B214" s="15" t="inlineStr">
        <is>
          <t>2025-09-05</t>
        </is>
      </c>
      <c r="C214" s="15" t="inlineStr">
        <is>
          <t>Everett Larsson</t>
        </is>
      </c>
      <c r="D214" s="15" t="inlineStr">
        <is>
          <t>OH</t>
        </is>
      </c>
      <c r="E214" s="16" t="n">
        <v>1600000</v>
      </c>
      <c r="F214" s="16" t="n">
        <v>15293.48</v>
      </c>
      <c r="G214" s="16" t="n">
        <v>1911.68</v>
      </c>
      <c r="H214" s="16" t="n">
        <v>1911.68</v>
      </c>
      <c r="I214" s="16">
        <f>SUM(K214:T214)</f>
        <v/>
      </c>
      <c r="J214" s="16">
        <f>F214-(G214+H214+I214)</f>
        <v/>
      </c>
      <c r="K214" s="16" t="n">
        <v>1147.01</v>
      </c>
      <c r="L214" s="16" t="n">
        <v>1147.01</v>
      </c>
      <c r="M214" s="16" t="n">
        <v>1147.01</v>
      </c>
      <c r="N214" s="16" t="n">
        <v>1147.01</v>
      </c>
      <c r="O214" s="16" t="n">
        <v>1147.01</v>
      </c>
      <c r="P214" s="16" t="n">
        <v>1147.01</v>
      </c>
      <c r="Q214" s="16" t="n">
        <v>1147.01</v>
      </c>
      <c r="R214" s="16" t="n">
        <v>1147.01</v>
      </c>
      <c r="S214" s="16" t="n">
        <v>1147.01</v>
      </c>
      <c r="T214" s="16" t="n">
        <v>1147.01</v>
      </c>
      <c r="U214" s="16" t="n">
        <v>350</v>
      </c>
      <c r="V214" s="16" t="n">
        <v>250</v>
      </c>
      <c r="W214" s="16">
        <f>U214+V214</f>
        <v/>
      </c>
    </row>
    <row r="215">
      <c r="A215" s="3" t="inlineStr">
        <is>
          <t>CANON-202509-000862</t>
        </is>
      </c>
      <c r="B215" s="3" t="inlineStr">
        <is>
          <t>2025-09-17</t>
        </is>
      </c>
      <c r="C215" s="3" t="inlineStr">
        <is>
          <t>Delphine Blackwood</t>
        </is>
      </c>
      <c r="D215" s="3" t="inlineStr">
        <is>
          <t>NH</t>
        </is>
      </c>
      <c r="E215" s="14" t="n">
        <v>600000</v>
      </c>
      <c r="F215" s="14" t="n">
        <v>10727.45</v>
      </c>
      <c r="G215" s="14" t="n">
        <v>1340.93</v>
      </c>
      <c r="H215" s="14" t="n">
        <v>1340.93</v>
      </c>
      <c r="I215" s="14">
        <f>SUM(K215:T215)</f>
        <v/>
      </c>
      <c r="J215" s="14">
        <f>F215-(G215+H215+I215)</f>
        <v/>
      </c>
      <c r="K215" s="14" t="n">
        <v>804.5599999999999</v>
      </c>
      <c r="L215" s="14" t="n">
        <v>804.5599999999999</v>
      </c>
      <c r="M215" s="14" t="n">
        <v>804.5599999999999</v>
      </c>
      <c r="N215" s="14" t="n">
        <v>804.5599999999999</v>
      </c>
      <c r="O215" s="14" t="n">
        <v>804.5599999999999</v>
      </c>
      <c r="P215" s="14" t="n">
        <v>804.5599999999999</v>
      </c>
      <c r="Q215" s="14" t="n">
        <v>804.5599999999999</v>
      </c>
      <c r="R215" s="14" t="n">
        <v>804.5599999999999</v>
      </c>
      <c r="S215" s="14" t="n">
        <v>804.5599999999999</v>
      </c>
      <c r="T215" s="14" t="n">
        <v>804.5599999999999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CANON-202509-000863</t>
        </is>
      </c>
      <c r="B216" s="15" t="inlineStr">
        <is>
          <t>2025-09-02</t>
        </is>
      </c>
      <c r="C216" s="15" t="inlineStr">
        <is>
          <t>Horace Montoya</t>
        </is>
      </c>
      <c r="D216" s="15" t="inlineStr">
        <is>
          <t>CA</t>
        </is>
      </c>
      <c r="E216" s="16" t="n">
        <v>615000</v>
      </c>
      <c r="F216" s="16" t="n">
        <v>9765.85</v>
      </c>
      <c r="G216" s="16" t="n">
        <v>1220.73</v>
      </c>
      <c r="H216" s="16" t="n">
        <v>1220.73</v>
      </c>
      <c r="I216" s="16">
        <f>SUM(K216:T216)</f>
        <v/>
      </c>
      <c r="J216" s="16">
        <f>F216-(G216+H216+I216)</f>
        <v/>
      </c>
      <c r="K216" s="16" t="n">
        <v>732.4400000000001</v>
      </c>
      <c r="L216" s="16" t="n">
        <v>732.4400000000001</v>
      </c>
      <c r="M216" s="16" t="n">
        <v>732.4400000000001</v>
      </c>
      <c r="N216" s="16" t="n">
        <v>732.4400000000001</v>
      </c>
      <c r="O216" s="16" t="n">
        <v>732.4400000000001</v>
      </c>
      <c r="P216" s="16" t="n">
        <v>732.4400000000001</v>
      </c>
      <c r="Q216" s="16" t="n">
        <v>732.4400000000001</v>
      </c>
      <c r="R216" s="16" t="n">
        <v>732.4400000000001</v>
      </c>
      <c r="S216" s="16" t="n">
        <v>732.4400000000001</v>
      </c>
      <c r="T216" s="16" t="n">
        <v>732.4400000000001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CANON-202509-000864</t>
        </is>
      </c>
      <c r="B217" s="3" t="inlineStr">
        <is>
          <t>2025-09-30</t>
        </is>
      </c>
      <c r="C217" s="3" t="inlineStr">
        <is>
          <t>Wilhelmina Bellandi</t>
        </is>
      </c>
      <c r="D217" s="3" t="inlineStr">
        <is>
          <t>CA</t>
        </is>
      </c>
      <c r="E217" s="14" t="n">
        <v>615000</v>
      </c>
      <c r="F217" s="14" t="n">
        <v>9765.85</v>
      </c>
      <c r="G217" s="14" t="n">
        <v>1220.73</v>
      </c>
      <c r="H217" s="14" t="n">
        <v>1220.73</v>
      </c>
      <c r="I217" s="14">
        <f>SUM(K217:T217)</f>
        <v/>
      </c>
      <c r="J217" s="14">
        <f>F217-(G217+H217+I217)</f>
        <v/>
      </c>
      <c r="K217" s="14" t="n">
        <v>732.4400000000001</v>
      </c>
      <c r="L217" s="14" t="n">
        <v>732.4400000000001</v>
      </c>
      <c r="M217" s="14" t="n">
        <v>732.4400000000001</v>
      </c>
      <c r="N217" s="14" t="n">
        <v>732.4400000000001</v>
      </c>
      <c r="O217" s="14" t="n">
        <v>732.4400000000001</v>
      </c>
      <c r="P217" s="14" t="n">
        <v>732.4400000000001</v>
      </c>
      <c r="Q217" s="14" t="n">
        <v>732.4400000000001</v>
      </c>
      <c r="R217" s="14" t="n">
        <v>732.4400000000001</v>
      </c>
      <c r="S217" s="14" t="n">
        <v>732.4400000000001</v>
      </c>
      <c r="T217" s="14" t="n">
        <v>732.4400000000001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CANON-202509-000865</t>
        </is>
      </c>
      <c r="B218" s="15" t="inlineStr">
        <is>
          <t>2025-09-27</t>
        </is>
      </c>
      <c r="C218" s="15" t="inlineStr">
        <is>
          <t>Lorenzo Whitlock</t>
        </is>
      </c>
      <c r="D218" s="15" t="inlineStr">
        <is>
          <t>WV</t>
        </is>
      </c>
      <c r="E218" s="16" t="n">
        <v>945000</v>
      </c>
      <c r="F218" s="16" t="n">
        <v>17740.51</v>
      </c>
      <c r="G218" s="16" t="n">
        <v>2217.56</v>
      </c>
      <c r="H218" s="16" t="n">
        <v>2217.56</v>
      </c>
      <c r="I218" s="16">
        <f>SUM(K218:T218)</f>
        <v/>
      </c>
      <c r="J218" s="16">
        <f>F218-(G218+H218+I218)</f>
        <v/>
      </c>
      <c r="K218" s="16" t="n">
        <v>1330.54</v>
      </c>
      <c r="L218" s="16" t="n">
        <v>1330.54</v>
      </c>
      <c r="M218" s="16" t="n">
        <v>1330.54</v>
      </c>
      <c r="N218" s="16" t="n">
        <v>1330.54</v>
      </c>
      <c r="O218" s="16" t="n">
        <v>1330.54</v>
      </c>
      <c r="P218" s="16" t="n">
        <v>1330.54</v>
      </c>
      <c r="Q218" s="16" t="n">
        <v>1330.54</v>
      </c>
      <c r="R218" s="16" t="n">
        <v>1330.54</v>
      </c>
      <c r="S218" s="16" t="n">
        <v>1330.54</v>
      </c>
      <c r="T218" s="16" t="n">
        <v>1330.54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CANON-202509-000866</t>
        </is>
      </c>
      <c r="B219" s="3" t="inlineStr">
        <is>
          <t>2025-09-10</t>
        </is>
      </c>
      <c r="C219" s="3" t="inlineStr">
        <is>
          <t>Priya Pennington</t>
        </is>
      </c>
      <c r="D219" s="3" t="inlineStr">
        <is>
          <t>MA</t>
        </is>
      </c>
      <c r="E219" s="14" t="n">
        <v>620000</v>
      </c>
      <c r="F219" s="14" t="n">
        <v>9115.98</v>
      </c>
      <c r="G219" s="14" t="n">
        <v>1139.5</v>
      </c>
      <c r="H219" s="14" t="n">
        <v>1139.5</v>
      </c>
      <c r="I219" s="14">
        <f>SUM(K219:T219)</f>
        <v/>
      </c>
      <c r="J219" s="14">
        <f>F219-(G219+H219+I219)</f>
        <v/>
      </c>
      <c r="K219" s="14" t="n">
        <v>683.7</v>
      </c>
      <c r="L219" s="14" t="n">
        <v>683.7</v>
      </c>
      <c r="M219" s="14" t="n">
        <v>683.7</v>
      </c>
      <c r="N219" s="14" t="n">
        <v>683.7</v>
      </c>
      <c r="O219" s="14" t="n">
        <v>683.7</v>
      </c>
      <c r="P219" s="14" t="n">
        <v>683.7</v>
      </c>
      <c r="Q219" s="14" t="n">
        <v>683.7</v>
      </c>
      <c r="R219" s="14" t="n">
        <v>683.7</v>
      </c>
      <c r="S219" s="14" t="n">
        <v>683.7</v>
      </c>
      <c r="T219" s="14" t="n">
        <v>683.7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CANON-202509-000867</t>
        </is>
      </c>
      <c r="B220" s="15" t="inlineStr">
        <is>
          <t>2025-09-06</t>
        </is>
      </c>
      <c r="C220" s="15" t="inlineStr">
        <is>
          <t>Sunniva Fairweather</t>
        </is>
      </c>
      <c r="D220" s="15" t="inlineStr">
        <is>
          <t>MN</t>
        </is>
      </c>
      <c r="E220" s="16" t="n">
        <v>290000</v>
      </c>
      <c r="F220" s="16" t="n">
        <v>5195.43</v>
      </c>
      <c r="G220" s="16" t="n">
        <v>649.4299999999999</v>
      </c>
      <c r="H220" s="16" t="n">
        <v>649.4299999999999</v>
      </c>
      <c r="I220" s="16">
        <f>SUM(K220:T220)</f>
        <v/>
      </c>
      <c r="J220" s="16">
        <f>F220-(G220+H220+I220)</f>
        <v/>
      </c>
      <c r="K220" s="16" t="n">
        <v>389.66</v>
      </c>
      <c r="L220" s="16" t="n">
        <v>389.66</v>
      </c>
      <c r="M220" s="16" t="n">
        <v>389.66</v>
      </c>
      <c r="N220" s="16" t="n">
        <v>389.66</v>
      </c>
      <c r="O220" s="16" t="n">
        <v>389.66</v>
      </c>
      <c r="P220" s="16" t="n">
        <v>389.66</v>
      </c>
      <c r="Q220" s="16" t="n">
        <v>389.66</v>
      </c>
      <c r="R220" s="16" t="n">
        <v>389.66</v>
      </c>
      <c r="S220" s="16" t="n">
        <v>389.66</v>
      </c>
      <c r="T220" s="16" t="n">
        <v>389.66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CANON-202509-000869</t>
        </is>
      </c>
      <c r="B221" s="3" t="inlineStr">
        <is>
          <t>2025-09-14</t>
        </is>
      </c>
      <c r="C221" s="3" t="inlineStr">
        <is>
          <t>Ottilie Harrington</t>
        </is>
      </c>
      <c r="D221" s="3" t="inlineStr">
        <is>
          <t>KS</t>
        </is>
      </c>
      <c r="E221" s="14" t="n">
        <v>850000</v>
      </c>
      <c r="F221" s="14" t="n">
        <v>14174.32</v>
      </c>
      <c r="G221" s="14" t="n">
        <v>1771.79</v>
      </c>
      <c r="H221" s="14" t="n">
        <v>1771.79</v>
      </c>
      <c r="I221" s="14">
        <f>SUM(K221:T221)</f>
        <v/>
      </c>
      <c r="J221" s="14">
        <f>F221-(G221+H221+I221)</f>
        <v/>
      </c>
      <c r="K221" s="14" t="n">
        <v>1063.07</v>
      </c>
      <c r="L221" s="14" t="n">
        <v>1063.07</v>
      </c>
      <c r="M221" s="14" t="n">
        <v>1063.07</v>
      </c>
      <c r="N221" s="14" t="n">
        <v>1063.07</v>
      </c>
      <c r="O221" s="14" t="n">
        <v>1063.07</v>
      </c>
      <c r="P221" s="14" t="n">
        <v>1063.07</v>
      </c>
      <c r="Q221" s="14" t="n">
        <v>1063.07</v>
      </c>
      <c r="R221" s="14" t="n">
        <v>1063.07</v>
      </c>
      <c r="S221" s="14" t="n">
        <v>1063.07</v>
      </c>
      <c r="T221" s="14" t="n">
        <v>1063.07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CANON-202509-000872</t>
        </is>
      </c>
      <c r="B222" s="15" t="inlineStr">
        <is>
          <t>2025-09-28</t>
        </is>
      </c>
      <c r="C222" s="15" t="inlineStr">
        <is>
          <t>Beatrix Vasquez</t>
        </is>
      </c>
      <c r="D222" s="15" t="inlineStr">
        <is>
          <t>MD</t>
        </is>
      </c>
      <c r="E222" s="16" t="n">
        <v>540000</v>
      </c>
      <c r="F222" s="16" t="n">
        <v>6034.19</v>
      </c>
      <c r="G222" s="16" t="n">
        <v>754.27</v>
      </c>
      <c r="H222" s="16" t="n">
        <v>754.27</v>
      </c>
      <c r="I222" s="16">
        <f>SUM(K222:T222)</f>
        <v/>
      </c>
      <c r="J222" s="16">
        <f>F222-(G222+H222+I222)</f>
        <v/>
      </c>
      <c r="K222" s="16" t="n">
        <v>452.56</v>
      </c>
      <c r="L222" s="16" t="n">
        <v>452.56</v>
      </c>
      <c r="M222" s="16" t="n">
        <v>452.56</v>
      </c>
      <c r="N222" s="16" t="n">
        <v>452.56</v>
      </c>
      <c r="O222" s="16" t="n">
        <v>452.56</v>
      </c>
      <c r="P222" s="16" t="n">
        <v>452.56</v>
      </c>
      <c r="Q222" s="16" t="n">
        <v>452.56</v>
      </c>
      <c r="R222" s="16" t="n">
        <v>452.56</v>
      </c>
      <c r="S222" s="16" t="n">
        <v>452.56</v>
      </c>
      <c r="T222" s="16" t="n">
        <v>452.56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CANON-202509-000873</t>
        </is>
      </c>
      <c r="B223" s="3" t="inlineStr">
        <is>
          <t>2025-09-29</t>
        </is>
      </c>
      <c r="C223" s="3" t="inlineStr">
        <is>
          <t>Ottilie Thistlewood</t>
        </is>
      </c>
      <c r="D223" s="3" t="inlineStr">
        <is>
          <t>WY</t>
        </is>
      </c>
      <c r="E223" s="14" t="n">
        <v>1670000</v>
      </c>
      <c r="F223" s="14" t="n">
        <v>10994.29</v>
      </c>
      <c r="G223" s="14" t="n">
        <v>1374.29</v>
      </c>
      <c r="H223" s="14" t="n">
        <v>1374.29</v>
      </c>
      <c r="I223" s="14">
        <f>SUM(K223:T223)</f>
        <v/>
      </c>
      <c r="J223" s="14">
        <f>F223-(G223+H223+I223)</f>
        <v/>
      </c>
      <c r="K223" s="14" t="n">
        <v>824.5700000000001</v>
      </c>
      <c r="L223" s="14" t="n">
        <v>824.5700000000001</v>
      </c>
      <c r="M223" s="14" t="n">
        <v>824.5700000000001</v>
      </c>
      <c r="N223" s="14" t="n">
        <v>824.5700000000001</v>
      </c>
      <c r="O223" s="14" t="n">
        <v>824.5700000000001</v>
      </c>
      <c r="P223" s="14" t="n">
        <v>824.5700000000001</v>
      </c>
      <c r="Q223" s="14" t="n">
        <v>824.5700000000001</v>
      </c>
      <c r="R223" s="14" t="n">
        <v>824.5700000000001</v>
      </c>
      <c r="S223" s="14" t="n">
        <v>824.5700000000001</v>
      </c>
      <c r="T223" s="14" t="n">
        <v>824.5700000000001</v>
      </c>
      <c r="U223" s="14" t="n">
        <v>350</v>
      </c>
      <c r="V223" s="14" t="n">
        <v>250</v>
      </c>
      <c r="W223" s="14">
        <f>U223+V223</f>
        <v/>
      </c>
    </row>
    <row r="224">
      <c r="A224" s="15" t="inlineStr">
        <is>
          <t>CANON-202509-000874</t>
        </is>
      </c>
      <c r="B224" s="15" t="inlineStr">
        <is>
          <t>2025-09-21</t>
        </is>
      </c>
      <c r="C224" s="15" t="inlineStr">
        <is>
          <t>Aurelio Nakashima</t>
        </is>
      </c>
      <c r="D224" s="15" t="inlineStr">
        <is>
          <t>OR</t>
        </is>
      </c>
      <c r="E224" s="16" t="n">
        <v>490000</v>
      </c>
      <c r="F224" s="16" t="n">
        <v>7514.91</v>
      </c>
      <c r="G224" s="16" t="n">
        <v>939.36</v>
      </c>
      <c r="H224" s="16" t="n">
        <v>939.36</v>
      </c>
      <c r="I224" s="16">
        <f>SUM(K224:T224)</f>
        <v/>
      </c>
      <c r="J224" s="16">
        <f>F224-(G224+H224+I224)</f>
        <v/>
      </c>
      <c r="K224" s="16" t="n">
        <v>563.62</v>
      </c>
      <c r="L224" s="16" t="n">
        <v>563.62</v>
      </c>
      <c r="M224" s="16" t="n">
        <v>563.62</v>
      </c>
      <c r="N224" s="16" t="n">
        <v>563.62</v>
      </c>
      <c r="O224" s="16" t="n">
        <v>563.62</v>
      </c>
      <c r="P224" s="16" t="n">
        <v>563.62</v>
      </c>
      <c r="Q224" s="16" t="n">
        <v>563.62</v>
      </c>
      <c r="R224" s="16" t="n">
        <v>563.62</v>
      </c>
      <c r="S224" s="16" t="n">
        <v>563.62</v>
      </c>
      <c r="T224" s="16" t="n">
        <v>563.62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CANON-202509-000875</t>
        </is>
      </c>
      <c r="B225" s="3" t="inlineStr">
        <is>
          <t>2025-09-07</t>
        </is>
      </c>
      <c r="C225" s="3" t="inlineStr">
        <is>
          <t>Fenwick Delacroix</t>
        </is>
      </c>
      <c r="D225" s="3" t="inlineStr">
        <is>
          <t>OH</t>
        </is>
      </c>
      <c r="E225" s="14" t="n">
        <v>795000</v>
      </c>
      <c r="F225" s="14" t="n">
        <v>12998.2</v>
      </c>
      <c r="G225" s="14" t="n">
        <v>1624.78</v>
      </c>
      <c r="H225" s="14" t="n">
        <v>1624.78</v>
      </c>
      <c r="I225" s="14">
        <f>SUM(K225:T225)</f>
        <v/>
      </c>
      <c r="J225" s="14">
        <f>F225-(G225+H225+I225)</f>
        <v/>
      </c>
      <c r="K225" s="14" t="n">
        <v>974.87</v>
      </c>
      <c r="L225" s="14" t="n">
        <v>974.87</v>
      </c>
      <c r="M225" s="14" t="n">
        <v>974.87</v>
      </c>
      <c r="N225" s="14" t="n">
        <v>974.87</v>
      </c>
      <c r="O225" s="14" t="n">
        <v>974.87</v>
      </c>
      <c r="P225" s="14" t="n">
        <v>974.87</v>
      </c>
      <c r="Q225" s="14" t="n">
        <v>974.87</v>
      </c>
      <c r="R225" s="14" t="n">
        <v>974.87</v>
      </c>
      <c r="S225" s="14" t="n">
        <v>974.87</v>
      </c>
      <c r="T225" s="14" t="n">
        <v>974.87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CANON-202509-000876</t>
        </is>
      </c>
      <c r="B226" s="15" t="inlineStr">
        <is>
          <t>2025-09-23</t>
        </is>
      </c>
      <c r="C226" s="15" t="inlineStr">
        <is>
          <t>Fenwick Thistlewood</t>
        </is>
      </c>
      <c r="D226" s="15" t="inlineStr">
        <is>
          <t>VT</t>
        </is>
      </c>
      <c r="E226" s="16" t="n">
        <v>240000</v>
      </c>
      <c r="F226" s="16" t="n">
        <v>3020.19</v>
      </c>
      <c r="G226" s="16" t="n">
        <v>377.52</v>
      </c>
      <c r="H226" s="16" t="n">
        <v>377.52</v>
      </c>
      <c r="I226" s="16">
        <f>SUM(K226:T226)</f>
        <v/>
      </c>
      <c r="J226" s="16">
        <f>F226-(G226+H226+I226)</f>
        <v/>
      </c>
      <c r="K226" s="16" t="n">
        <v>226.51</v>
      </c>
      <c r="L226" s="16" t="n">
        <v>226.51</v>
      </c>
      <c r="M226" s="16" t="n">
        <v>226.51</v>
      </c>
      <c r="N226" s="16" t="n">
        <v>226.51</v>
      </c>
      <c r="O226" s="16" t="n">
        <v>226.51</v>
      </c>
      <c r="P226" s="16" t="n">
        <v>226.51</v>
      </c>
      <c r="Q226" s="16" t="n">
        <v>226.51</v>
      </c>
      <c r="R226" s="16" t="n">
        <v>226.51</v>
      </c>
      <c r="S226" s="16" t="n">
        <v>226.51</v>
      </c>
      <c r="T226" s="16" t="n">
        <v>226.51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CANON-202509-000877</t>
        </is>
      </c>
      <c r="B227" s="3" t="inlineStr">
        <is>
          <t>2025-09-30</t>
        </is>
      </c>
      <c r="C227" s="3" t="inlineStr">
        <is>
          <t>Desmond Rourke</t>
        </is>
      </c>
      <c r="D227" s="3" t="inlineStr">
        <is>
          <t>WA</t>
        </is>
      </c>
      <c r="E227" s="14" t="n">
        <v>545000</v>
      </c>
      <c r="F227" s="14" t="n">
        <v>6154.16</v>
      </c>
      <c r="G227" s="14" t="n">
        <v>769.27</v>
      </c>
      <c r="H227" s="14" t="n">
        <v>769.27</v>
      </c>
      <c r="I227" s="14">
        <f>SUM(K227:T227)</f>
        <v/>
      </c>
      <c r="J227" s="14">
        <f>F227-(G227+H227+I227)</f>
        <v/>
      </c>
      <c r="K227" s="14" t="n">
        <v>461.56</v>
      </c>
      <c r="L227" s="14" t="n">
        <v>461.56</v>
      </c>
      <c r="M227" s="14" t="n">
        <v>461.56</v>
      </c>
      <c r="N227" s="14" t="n">
        <v>461.56</v>
      </c>
      <c r="O227" s="14" t="n">
        <v>461.56</v>
      </c>
      <c r="P227" s="14" t="n">
        <v>461.56</v>
      </c>
      <c r="Q227" s="14" t="n">
        <v>461.56</v>
      </c>
      <c r="R227" s="14" t="n">
        <v>461.56</v>
      </c>
      <c r="S227" s="14" t="n">
        <v>461.56</v>
      </c>
      <c r="T227" s="14" t="n">
        <v>461.56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CANON-202509-000878</t>
        </is>
      </c>
      <c r="B228" s="15" t="inlineStr">
        <is>
          <t>2025-09-04</t>
        </is>
      </c>
      <c r="C228" s="15" t="inlineStr">
        <is>
          <t>Horace Blackwood</t>
        </is>
      </c>
      <c r="D228" s="15" t="inlineStr">
        <is>
          <t>NJ</t>
        </is>
      </c>
      <c r="E228" s="16" t="n">
        <v>1120000</v>
      </c>
      <c r="F228" s="16" t="n">
        <v>6270.85</v>
      </c>
      <c r="G228" s="16" t="n">
        <v>783.86</v>
      </c>
      <c r="H228" s="16" t="n">
        <v>783.86</v>
      </c>
      <c r="I228" s="16">
        <f>SUM(K228:T228)</f>
        <v/>
      </c>
      <c r="J228" s="16">
        <f>F228-(G228+H228+I228)</f>
        <v/>
      </c>
      <c r="K228" s="16" t="n">
        <v>470.31</v>
      </c>
      <c r="L228" s="16" t="n">
        <v>470.31</v>
      </c>
      <c r="M228" s="16" t="n">
        <v>470.31</v>
      </c>
      <c r="N228" s="16" t="n">
        <v>470.31</v>
      </c>
      <c r="O228" s="16" t="n">
        <v>470.31</v>
      </c>
      <c r="P228" s="16" t="n">
        <v>470.31</v>
      </c>
      <c r="Q228" s="16" t="n">
        <v>470.31</v>
      </c>
      <c r="R228" s="16" t="n">
        <v>470.31</v>
      </c>
      <c r="S228" s="16" t="n">
        <v>470.31</v>
      </c>
      <c r="T228" s="16" t="n">
        <v>470.31</v>
      </c>
      <c r="U228" s="16" t="n">
        <v>350</v>
      </c>
      <c r="V228" s="16" t="n">
        <v>250</v>
      </c>
      <c r="W228" s="16">
        <f>U228+V228</f>
        <v/>
      </c>
    </row>
    <row r="229">
      <c r="A229" s="3" t="inlineStr">
        <is>
          <t>CANON-202509-000879</t>
        </is>
      </c>
      <c r="B229" s="3" t="inlineStr">
        <is>
          <t>2025-09-03</t>
        </is>
      </c>
      <c r="C229" s="3" t="inlineStr">
        <is>
          <t>Sunniva Vandermeer</t>
        </is>
      </c>
      <c r="D229" s="3" t="inlineStr">
        <is>
          <t>WA</t>
        </is>
      </c>
      <c r="E229" s="14" t="n">
        <v>185000</v>
      </c>
      <c r="F229" s="14" t="n">
        <v>2956.78</v>
      </c>
      <c r="G229" s="14" t="n">
        <v>369.6</v>
      </c>
      <c r="H229" s="14" t="n">
        <v>369.6</v>
      </c>
      <c r="I229" s="14">
        <f>SUM(K229:T229)</f>
        <v/>
      </c>
      <c r="J229" s="14">
        <f>F229-(G229+H229+I229)</f>
        <v/>
      </c>
      <c r="K229" s="14" t="n">
        <v>221.76</v>
      </c>
      <c r="L229" s="14" t="n">
        <v>221.76</v>
      </c>
      <c r="M229" s="14" t="n">
        <v>221.76</v>
      </c>
      <c r="N229" s="14" t="n">
        <v>221.76</v>
      </c>
      <c r="O229" s="14" t="n">
        <v>221.76</v>
      </c>
      <c r="P229" s="14" t="n">
        <v>221.76</v>
      </c>
      <c r="Q229" s="14" t="n">
        <v>221.76</v>
      </c>
      <c r="R229" s="14" t="n">
        <v>221.76</v>
      </c>
      <c r="S229" s="14" t="n">
        <v>221.76</v>
      </c>
      <c r="T229" s="14" t="n">
        <v>221.76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CANON-202509-000880</t>
        </is>
      </c>
      <c r="B230" s="15" t="inlineStr">
        <is>
          <t>2025-09-24</t>
        </is>
      </c>
      <c r="C230" s="15" t="inlineStr">
        <is>
          <t>Sunniva Montoya</t>
        </is>
      </c>
      <c r="D230" s="15" t="inlineStr">
        <is>
          <t>ME</t>
        </is>
      </c>
      <c r="E230" s="16" t="n">
        <v>355000</v>
      </c>
      <c r="F230" s="16" t="n">
        <v>5203.57</v>
      </c>
      <c r="G230" s="16" t="n">
        <v>650.45</v>
      </c>
      <c r="H230" s="16" t="n">
        <v>650.45</v>
      </c>
      <c r="I230" s="16">
        <f>SUM(K230:T230)</f>
        <v/>
      </c>
      <c r="J230" s="16">
        <f>F230-(G230+H230+I230)</f>
        <v/>
      </c>
      <c r="K230" s="16" t="n">
        <v>390.27</v>
      </c>
      <c r="L230" s="16" t="n">
        <v>390.27</v>
      </c>
      <c r="M230" s="16" t="n">
        <v>390.27</v>
      </c>
      <c r="N230" s="16" t="n">
        <v>390.27</v>
      </c>
      <c r="O230" s="16" t="n">
        <v>390.27</v>
      </c>
      <c r="P230" s="16" t="n">
        <v>390.27</v>
      </c>
      <c r="Q230" s="16" t="n">
        <v>390.27</v>
      </c>
      <c r="R230" s="16" t="n">
        <v>390.27</v>
      </c>
      <c r="S230" s="16" t="n">
        <v>390.27</v>
      </c>
      <c r="T230" s="16" t="n">
        <v>390.27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CANON-202509-000881</t>
        </is>
      </c>
      <c r="B231" s="3" t="inlineStr">
        <is>
          <t>2025-09-29</t>
        </is>
      </c>
      <c r="C231" s="3" t="inlineStr">
        <is>
          <t>Callum Farkas</t>
        </is>
      </c>
      <c r="D231" s="3" t="inlineStr">
        <is>
          <t>MI</t>
        </is>
      </c>
      <c r="E231" s="14" t="n">
        <v>340000</v>
      </c>
      <c r="F231" s="14" t="n">
        <v>7152.54</v>
      </c>
      <c r="G231" s="14" t="n">
        <v>894.0700000000001</v>
      </c>
      <c r="H231" s="14" t="n">
        <v>894.0700000000001</v>
      </c>
      <c r="I231" s="14">
        <f>SUM(K231:T231)</f>
        <v/>
      </c>
      <c r="J231" s="14">
        <f>F231-(G231+H231+I231)</f>
        <v/>
      </c>
      <c r="K231" s="14" t="n">
        <v>536.4400000000001</v>
      </c>
      <c r="L231" s="14" t="n">
        <v>536.4400000000001</v>
      </c>
      <c r="M231" s="14" t="n">
        <v>536.4400000000001</v>
      </c>
      <c r="N231" s="14" t="n">
        <v>536.4400000000001</v>
      </c>
      <c r="O231" s="14" t="n">
        <v>536.4400000000001</v>
      </c>
      <c r="P231" s="14" t="n">
        <v>536.4400000000001</v>
      </c>
      <c r="Q231" s="14" t="n">
        <v>536.4400000000001</v>
      </c>
      <c r="R231" s="14" t="n">
        <v>536.4400000000001</v>
      </c>
      <c r="S231" s="14" t="n">
        <v>536.4400000000001</v>
      </c>
      <c r="T231" s="14" t="n">
        <v>536.4400000000001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CANON-202509-000884</t>
        </is>
      </c>
      <c r="B232" s="15" t="inlineStr">
        <is>
          <t>2025-09-11</t>
        </is>
      </c>
      <c r="C232" s="15" t="inlineStr">
        <is>
          <t>Anouk Okonkwo</t>
        </is>
      </c>
      <c r="D232" s="15" t="inlineStr">
        <is>
          <t>ID</t>
        </is>
      </c>
      <c r="E232" s="16" t="n">
        <v>800000</v>
      </c>
      <c r="F232" s="16" t="n">
        <v>9315.940000000001</v>
      </c>
      <c r="G232" s="16" t="n">
        <v>1164.49</v>
      </c>
      <c r="H232" s="16" t="n">
        <v>1164.49</v>
      </c>
      <c r="I232" s="16">
        <f>SUM(K232:T232)</f>
        <v/>
      </c>
      <c r="J232" s="16">
        <f>F232-(G232+H232+I232)</f>
        <v/>
      </c>
      <c r="K232" s="16" t="n">
        <v>698.7</v>
      </c>
      <c r="L232" s="16" t="n">
        <v>698.7</v>
      </c>
      <c r="M232" s="16" t="n">
        <v>698.7</v>
      </c>
      <c r="N232" s="16" t="n">
        <v>698.7</v>
      </c>
      <c r="O232" s="16" t="n">
        <v>698.7</v>
      </c>
      <c r="P232" s="16" t="n">
        <v>698.7</v>
      </c>
      <c r="Q232" s="16" t="n">
        <v>698.7</v>
      </c>
      <c r="R232" s="16" t="n">
        <v>698.7</v>
      </c>
      <c r="S232" s="16" t="n">
        <v>698.7</v>
      </c>
      <c r="T232" s="16" t="n">
        <v>698.7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CANON-202509-000885</t>
        </is>
      </c>
      <c r="B233" s="3" t="inlineStr">
        <is>
          <t>2025-09-05</t>
        </is>
      </c>
      <c r="C233" s="3" t="inlineStr">
        <is>
          <t>Fitzgerald Rourke</t>
        </is>
      </c>
      <c r="D233" s="3" t="inlineStr">
        <is>
          <t>MO</t>
        </is>
      </c>
      <c r="E233" s="14" t="n">
        <v>875000</v>
      </c>
      <c r="F233" s="14" t="n">
        <v>10909.76</v>
      </c>
      <c r="G233" s="14" t="n">
        <v>1363.72</v>
      </c>
      <c r="H233" s="14" t="n">
        <v>1363.72</v>
      </c>
      <c r="I233" s="14">
        <f>SUM(K233:T233)</f>
        <v/>
      </c>
      <c r="J233" s="14">
        <f>F233-(G233+H233+I233)</f>
        <v/>
      </c>
      <c r="K233" s="14" t="n">
        <v>818.23</v>
      </c>
      <c r="L233" s="14" t="n">
        <v>818.23</v>
      </c>
      <c r="M233" s="14" t="n">
        <v>818.23</v>
      </c>
      <c r="N233" s="14" t="n">
        <v>818.23</v>
      </c>
      <c r="O233" s="14" t="n">
        <v>818.23</v>
      </c>
      <c r="P233" s="14" t="n">
        <v>818.23</v>
      </c>
      <c r="Q233" s="14" t="n">
        <v>818.23</v>
      </c>
      <c r="R233" s="14" t="n">
        <v>818.23</v>
      </c>
      <c r="S233" s="14" t="n">
        <v>818.23</v>
      </c>
      <c r="T233" s="14" t="n">
        <v>818.23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CANON-202509-000886</t>
        </is>
      </c>
      <c r="B234" s="15" t="inlineStr">
        <is>
          <t>2025-09-11</t>
        </is>
      </c>
      <c r="C234" s="15" t="inlineStr">
        <is>
          <t>Cassius Thistlewood</t>
        </is>
      </c>
      <c r="D234" s="15" t="inlineStr">
        <is>
          <t>OK</t>
        </is>
      </c>
      <c r="E234" s="16" t="n">
        <v>635000</v>
      </c>
      <c r="F234" s="16" t="n">
        <v>9411.219999999999</v>
      </c>
      <c r="G234" s="16" t="n">
        <v>1176.4</v>
      </c>
      <c r="H234" s="16" t="n">
        <v>1176.4</v>
      </c>
      <c r="I234" s="16">
        <f>SUM(K234:T234)</f>
        <v/>
      </c>
      <c r="J234" s="16">
        <f>F234-(G234+H234+I234)</f>
        <v/>
      </c>
      <c r="K234" s="16" t="n">
        <v>705.84</v>
      </c>
      <c r="L234" s="16" t="n">
        <v>705.84</v>
      </c>
      <c r="M234" s="16" t="n">
        <v>705.84</v>
      </c>
      <c r="N234" s="16" t="n">
        <v>705.84</v>
      </c>
      <c r="O234" s="16" t="n">
        <v>705.84</v>
      </c>
      <c r="P234" s="16" t="n">
        <v>705.84</v>
      </c>
      <c r="Q234" s="16" t="n">
        <v>705.84</v>
      </c>
      <c r="R234" s="16" t="n">
        <v>705.84</v>
      </c>
      <c r="S234" s="16" t="n">
        <v>705.84</v>
      </c>
      <c r="T234" s="16" t="n">
        <v>705.84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CANON-202509-000891</t>
        </is>
      </c>
      <c r="B235" s="3" t="inlineStr">
        <is>
          <t>2025-09-17</t>
        </is>
      </c>
      <c r="C235" s="3" t="inlineStr">
        <is>
          <t>Lorenzo Rourke</t>
        </is>
      </c>
      <c r="D235" s="3" t="inlineStr">
        <is>
          <t>CA</t>
        </is>
      </c>
      <c r="E235" s="14" t="n">
        <v>610000</v>
      </c>
      <c r="F235" s="14" t="n">
        <v>6407.97</v>
      </c>
      <c r="G235" s="14" t="n">
        <v>801</v>
      </c>
      <c r="H235" s="14" t="n">
        <v>801</v>
      </c>
      <c r="I235" s="14">
        <f>SUM(K235:T235)</f>
        <v/>
      </c>
      <c r="J235" s="14">
        <f>F235-(G235+H235+I235)</f>
        <v/>
      </c>
      <c r="K235" s="14" t="n">
        <v>480.6</v>
      </c>
      <c r="L235" s="14" t="n">
        <v>480.6</v>
      </c>
      <c r="M235" s="14" t="n">
        <v>480.6</v>
      </c>
      <c r="N235" s="14" t="n">
        <v>480.6</v>
      </c>
      <c r="O235" s="14" t="n">
        <v>480.6</v>
      </c>
      <c r="P235" s="14" t="n">
        <v>480.6</v>
      </c>
      <c r="Q235" s="14" t="n">
        <v>480.6</v>
      </c>
      <c r="R235" s="14" t="n">
        <v>480.6</v>
      </c>
      <c r="S235" s="14" t="n">
        <v>480.6</v>
      </c>
      <c r="T235" s="14" t="n">
        <v>480.6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CANON-202509-000893</t>
        </is>
      </c>
      <c r="B236" s="15" t="inlineStr">
        <is>
          <t>2025-09-25</t>
        </is>
      </c>
      <c r="C236" s="15" t="inlineStr">
        <is>
          <t>Marisol Larsson</t>
        </is>
      </c>
      <c r="D236" s="15" t="inlineStr">
        <is>
          <t>RI</t>
        </is>
      </c>
      <c r="E236" s="16" t="n">
        <v>700000</v>
      </c>
      <c r="F236" s="16" t="n">
        <v>11280.28</v>
      </c>
      <c r="G236" s="16" t="n">
        <v>1410.04</v>
      </c>
      <c r="H236" s="16" t="n">
        <v>1410.04</v>
      </c>
      <c r="I236" s="16">
        <f>SUM(K236:T236)</f>
        <v/>
      </c>
      <c r="J236" s="16">
        <f>F236-(G236+H236+I236)</f>
        <v/>
      </c>
      <c r="K236" s="16" t="n">
        <v>846.02</v>
      </c>
      <c r="L236" s="16" t="n">
        <v>846.02</v>
      </c>
      <c r="M236" s="16" t="n">
        <v>846.02</v>
      </c>
      <c r="N236" s="16" t="n">
        <v>846.02</v>
      </c>
      <c r="O236" s="16" t="n">
        <v>846.02</v>
      </c>
      <c r="P236" s="16" t="n">
        <v>846.02</v>
      </c>
      <c r="Q236" s="16" t="n">
        <v>846.02</v>
      </c>
      <c r="R236" s="16" t="n">
        <v>846.02</v>
      </c>
      <c r="S236" s="16" t="n">
        <v>846.02</v>
      </c>
      <c r="T236" s="16" t="n">
        <v>846.02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CANON-202509-000895</t>
        </is>
      </c>
      <c r="B237" s="3" t="inlineStr">
        <is>
          <t>2025-09-27</t>
        </is>
      </c>
      <c r="C237" s="3" t="inlineStr">
        <is>
          <t>Callum Pennington</t>
        </is>
      </c>
      <c r="D237" s="3" t="inlineStr">
        <is>
          <t>AK</t>
        </is>
      </c>
      <c r="E237" s="14" t="n">
        <v>1365000</v>
      </c>
      <c r="F237" s="14" t="n">
        <v>22527.63</v>
      </c>
      <c r="G237" s="14" t="n">
        <v>2815.95</v>
      </c>
      <c r="H237" s="14" t="n">
        <v>2815.95</v>
      </c>
      <c r="I237" s="14">
        <f>SUM(K237:T237)</f>
        <v/>
      </c>
      <c r="J237" s="14">
        <f>F237-(G237+H237+I237)</f>
        <v/>
      </c>
      <c r="K237" s="14" t="n">
        <v>1689.57</v>
      </c>
      <c r="L237" s="14" t="n">
        <v>1689.57</v>
      </c>
      <c r="M237" s="14" t="n">
        <v>1689.57</v>
      </c>
      <c r="N237" s="14" t="n">
        <v>1689.57</v>
      </c>
      <c r="O237" s="14" t="n">
        <v>1689.57</v>
      </c>
      <c r="P237" s="14" t="n">
        <v>1689.57</v>
      </c>
      <c r="Q237" s="14" t="n">
        <v>1689.57</v>
      </c>
      <c r="R237" s="14" t="n">
        <v>1689.57</v>
      </c>
      <c r="S237" s="14" t="n">
        <v>1689.57</v>
      </c>
      <c r="T237" s="14" t="n">
        <v>1689.57</v>
      </c>
      <c r="U237" s="14" t="n">
        <v>350</v>
      </c>
      <c r="V237" s="14" t="n">
        <v>250</v>
      </c>
      <c r="W237" s="14">
        <f>U237+V237</f>
        <v/>
      </c>
    </row>
    <row r="238">
      <c r="A238" s="15" t="inlineStr">
        <is>
          <t>CANON-202509-000897</t>
        </is>
      </c>
      <c r="B238" s="15" t="inlineStr">
        <is>
          <t>2025-09-09</t>
        </is>
      </c>
      <c r="C238" s="15" t="inlineStr">
        <is>
          <t>Saoirse Whitlock</t>
        </is>
      </c>
      <c r="D238" s="15" t="inlineStr">
        <is>
          <t>TX</t>
        </is>
      </c>
      <c r="E238" s="16" t="n">
        <v>145000</v>
      </c>
      <c r="F238" s="16" t="n">
        <v>2776.14</v>
      </c>
      <c r="G238" s="16" t="n">
        <v>347.02</v>
      </c>
      <c r="H238" s="16" t="n">
        <v>347.02</v>
      </c>
      <c r="I238" s="16">
        <f>SUM(K238:T238)</f>
        <v/>
      </c>
      <c r="J238" s="16">
        <f>F238-(G238+H238+I238)</f>
        <v/>
      </c>
      <c r="K238" s="16" t="n">
        <v>208.21</v>
      </c>
      <c r="L238" s="16" t="n">
        <v>208.21</v>
      </c>
      <c r="M238" s="16" t="n">
        <v>208.21</v>
      </c>
      <c r="N238" s="16" t="n">
        <v>208.21</v>
      </c>
      <c r="O238" s="16" t="n">
        <v>208.21</v>
      </c>
      <c r="P238" s="16" t="n">
        <v>208.21</v>
      </c>
      <c r="Q238" s="16" t="n">
        <v>208.21</v>
      </c>
      <c r="R238" s="16" t="n">
        <v>208.21</v>
      </c>
      <c r="S238" s="16" t="n">
        <v>208.21</v>
      </c>
      <c r="T238" s="16" t="n">
        <v>208.21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CANON-202509-000898</t>
        </is>
      </c>
      <c r="B239" s="3" t="inlineStr">
        <is>
          <t>2025-09-19</t>
        </is>
      </c>
      <c r="C239" s="3" t="inlineStr">
        <is>
          <t>Priya Harrington</t>
        </is>
      </c>
      <c r="D239" s="3" t="inlineStr">
        <is>
          <t>WI</t>
        </is>
      </c>
      <c r="E239" s="14" t="n">
        <v>1185000</v>
      </c>
      <c r="F239" s="14" t="n">
        <v>9778.48</v>
      </c>
      <c r="G239" s="14" t="n">
        <v>1222.31</v>
      </c>
      <c r="H239" s="14" t="n">
        <v>1222.31</v>
      </c>
      <c r="I239" s="14">
        <f>SUM(K239:T239)</f>
        <v/>
      </c>
      <c r="J239" s="14">
        <f>F239-(G239+H239+I239)</f>
        <v/>
      </c>
      <c r="K239" s="14" t="n">
        <v>733.39</v>
      </c>
      <c r="L239" s="14" t="n">
        <v>733.39</v>
      </c>
      <c r="M239" s="14" t="n">
        <v>733.39</v>
      </c>
      <c r="N239" s="14" t="n">
        <v>733.39</v>
      </c>
      <c r="O239" s="14" t="n">
        <v>733.39</v>
      </c>
      <c r="P239" s="14" t="n">
        <v>733.39</v>
      </c>
      <c r="Q239" s="14" t="n">
        <v>733.39</v>
      </c>
      <c r="R239" s="14" t="n">
        <v>733.39</v>
      </c>
      <c r="S239" s="14" t="n">
        <v>733.39</v>
      </c>
      <c r="T239" s="14" t="n">
        <v>733.39</v>
      </c>
      <c r="U239" s="14" t="n">
        <v>350</v>
      </c>
      <c r="V239" s="14" t="n">
        <v>250</v>
      </c>
      <c r="W239" s="14">
        <f>U239+V239</f>
        <v/>
      </c>
    </row>
    <row r="240">
      <c r="A240" s="15" t="inlineStr">
        <is>
          <t>CANON-202509-000899</t>
        </is>
      </c>
      <c r="B240" s="15" t="inlineStr">
        <is>
          <t>2025-09-03</t>
        </is>
      </c>
      <c r="C240" s="15" t="inlineStr">
        <is>
          <t>Saoirse Delacroix</t>
        </is>
      </c>
      <c r="D240" s="15" t="inlineStr">
        <is>
          <t>IL</t>
        </is>
      </c>
      <c r="E240" s="16" t="n">
        <v>1455000</v>
      </c>
      <c r="F240" s="16" t="n">
        <v>19694.85</v>
      </c>
      <c r="G240" s="16" t="n">
        <v>2461.86</v>
      </c>
      <c r="H240" s="16" t="n">
        <v>2461.86</v>
      </c>
      <c r="I240" s="16">
        <f>SUM(K240:T240)</f>
        <v/>
      </c>
      <c r="J240" s="16">
        <f>F240-(G240+H240+I240)</f>
        <v/>
      </c>
      <c r="K240" s="16" t="n">
        <v>1477.11</v>
      </c>
      <c r="L240" s="16" t="n">
        <v>1477.11</v>
      </c>
      <c r="M240" s="16" t="n">
        <v>1477.11</v>
      </c>
      <c r="N240" s="16" t="n">
        <v>1477.11</v>
      </c>
      <c r="O240" s="16" t="n">
        <v>1477.11</v>
      </c>
      <c r="P240" s="16" t="n">
        <v>1477.11</v>
      </c>
      <c r="Q240" s="16" t="n">
        <v>1477.11</v>
      </c>
      <c r="R240" s="16" t="n">
        <v>1477.11</v>
      </c>
      <c r="S240" s="16" t="n">
        <v>1477.11</v>
      </c>
      <c r="T240" s="16" t="n">
        <v>1477.11</v>
      </c>
      <c r="U240" s="16" t="n">
        <v>350</v>
      </c>
      <c r="V240" s="16" t="n">
        <v>250</v>
      </c>
      <c r="W240" s="16">
        <f>U240+V240</f>
        <v/>
      </c>
    </row>
    <row r="241">
      <c r="A241" s="3" t="inlineStr">
        <is>
          <t>CANON-202509-000900</t>
        </is>
      </c>
      <c r="B241" s="3" t="inlineStr">
        <is>
          <t>2025-09-24</t>
        </is>
      </c>
      <c r="C241" s="3" t="inlineStr">
        <is>
          <t>Desmond Farkas</t>
        </is>
      </c>
      <c r="D241" s="3" t="inlineStr">
        <is>
          <t>CA</t>
        </is>
      </c>
      <c r="E241" s="14" t="n">
        <v>200000</v>
      </c>
      <c r="F241" s="14" t="n">
        <v>4495.1</v>
      </c>
      <c r="G241" s="14" t="n">
        <v>561.89</v>
      </c>
      <c r="H241" s="14" t="n">
        <v>561.89</v>
      </c>
      <c r="I241" s="14">
        <f>SUM(K241:T241)</f>
        <v/>
      </c>
      <c r="J241" s="14">
        <f>F241-(G241+H241+I241)</f>
        <v/>
      </c>
      <c r="K241" s="14" t="n">
        <v>337.13</v>
      </c>
      <c r="L241" s="14" t="n">
        <v>337.13</v>
      </c>
      <c r="M241" s="14" t="n">
        <v>337.13</v>
      </c>
      <c r="N241" s="14" t="n">
        <v>337.13</v>
      </c>
      <c r="O241" s="14" t="n">
        <v>337.13</v>
      </c>
      <c r="P241" s="14" t="n">
        <v>337.13</v>
      </c>
      <c r="Q241" s="14" t="n">
        <v>337.13</v>
      </c>
      <c r="R241" s="14" t="n">
        <v>337.13</v>
      </c>
      <c r="S241" s="14" t="n">
        <v>337.13</v>
      </c>
      <c r="T241" s="14" t="n">
        <v>337.13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CANON-202509-000902</t>
        </is>
      </c>
      <c r="B242" s="15" t="inlineStr">
        <is>
          <t>2025-09-05</t>
        </is>
      </c>
      <c r="C242" s="15" t="inlineStr">
        <is>
          <t>Wilhelmina Blackwood</t>
        </is>
      </c>
      <c r="D242" s="15" t="inlineStr">
        <is>
          <t>MO</t>
        </is>
      </c>
      <c r="E242" s="16" t="n">
        <v>585000</v>
      </c>
      <c r="F242" s="16" t="n">
        <v>7293.96</v>
      </c>
      <c r="G242" s="16" t="n">
        <v>911.75</v>
      </c>
      <c r="H242" s="16" t="n">
        <v>911.75</v>
      </c>
      <c r="I242" s="16">
        <f>SUM(K242:T242)</f>
        <v/>
      </c>
      <c r="J242" s="16">
        <f>F242-(G242+H242+I242)</f>
        <v/>
      </c>
      <c r="K242" s="16" t="n">
        <v>547.05</v>
      </c>
      <c r="L242" s="16" t="n">
        <v>547.05</v>
      </c>
      <c r="M242" s="16" t="n">
        <v>547.05</v>
      </c>
      <c r="N242" s="16" t="n">
        <v>547.05</v>
      </c>
      <c r="O242" s="16" t="n">
        <v>547.05</v>
      </c>
      <c r="P242" s="16" t="n">
        <v>547.05</v>
      </c>
      <c r="Q242" s="16" t="n">
        <v>547.05</v>
      </c>
      <c r="R242" s="16" t="n">
        <v>547.05</v>
      </c>
      <c r="S242" s="16" t="n">
        <v>547.05</v>
      </c>
      <c r="T242" s="16" t="n">
        <v>547.05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CANON-202509-000903</t>
        </is>
      </c>
      <c r="B243" s="3" t="inlineStr">
        <is>
          <t>2025-09-28</t>
        </is>
      </c>
      <c r="C243" s="3" t="inlineStr">
        <is>
          <t>Wilhelmina Ashcombe</t>
        </is>
      </c>
      <c r="D243" s="3" t="inlineStr">
        <is>
          <t>CO</t>
        </is>
      </c>
      <c r="E243" s="14" t="n">
        <v>700000</v>
      </c>
      <c r="F243" s="14" t="n">
        <v>9057.16</v>
      </c>
      <c r="G243" s="14" t="n">
        <v>1132.14</v>
      </c>
      <c r="H243" s="14" t="n">
        <v>1132.14</v>
      </c>
      <c r="I243" s="14">
        <f>SUM(K243:T243)</f>
        <v/>
      </c>
      <c r="J243" s="14">
        <f>F243-(G243+H243+I243)</f>
        <v/>
      </c>
      <c r="K243" s="14" t="n">
        <v>679.29</v>
      </c>
      <c r="L243" s="14" t="n">
        <v>679.29</v>
      </c>
      <c r="M243" s="14" t="n">
        <v>679.29</v>
      </c>
      <c r="N243" s="14" t="n">
        <v>679.29</v>
      </c>
      <c r="O243" s="14" t="n">
        <v>679.29</v>
      </c>
      <c r="P243" s="14" t="n">
        <v>679.29</v>
      </c>
      <c r="Q243" s="14" t="n">
        <v>679.29</v>
      </c>
      <c r="R243" s="14" t="n">
        <v>679.29</v>
      </c>
      <c r="S243" s="14" t="n">
        <v>679.29</v>
      </c>
      <c r="T243" s="14" t="n">
        <v>679.29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CANON-202509-000904</t>
        </is>
      </c>
      <c r="B244" s="15" t="inlineStr">
        <is>
          <t>2025-09-14</t>
        </is>
      </c>
      <c r="C244" s="15" t="inlineStr">
        <is>
          <t>Wilhelmina Underwood</t>
        </is>
      </c>
      <c r="D244" s="15" t="inlineStr">
        <is>
          <t>TX</t>
        </is>
      </c>
      <c r="E244" s="16" t="n">
        <v>760000</v>
      </c>
      <c r="F244" s="16" t="n">
        <v>6800.92</v>
      </c>
      <c r="G244" s="16" t="n">
        <v>850.12</v>
      </c>
      <c r="H244" s="16" t="n">
        <v>850.12</v>
      </c>
      <c r="I244" s="16">
        <f>SUM(K244:T244)</f>
        <v/>
      </c>
      <c r="J244" s="16">
        <f>F244-(G244+H244+I244)</f>
        <v/>
      </c>
      <c r="K244" s="16" t="n">
        <v>510.07</v>
      </c>
      <c r="L244" s="16" t="n">
        <v>510.07</v>
      </c>
      <c r="M244" s="16" t="n">
        <v>510.07</v>
      </c>
      <c r="N244" s="16" t="n">
        <v>510.07</v>
      </c>
      <c r="O244" s="16" t="n">
        <v>510.07</v>
      </c>
      <c r="P244" s="16" t="n">
        <v>510.07</v>
      </c>
      <c r="Q244" s="16" t="n">
        <v>510.07</v>
      </c>
      <c r="R244" s="16" t="n">
        <v>510.07</v>
      </c>
      <c r="S244" s="16" t="n">
        <v>510.07</v>
      </c>
      <c r="T244" s="16" t="n">
        <v>510.07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CANON-202509-000905</t>
        </is>
      </c>
      <c r="B245" s="3" t="inlineStr">
        <is>
          <t>2025-09-19</t>
        </is>
      </c>
      <c r="C245" s="3" t="inlineStr">
        <is>
          <t>Delphine Pennington</t>
        </is>
      </c>
      <c r="D245" s="3" t="inlineStr">
        <is>
          <t>WY</t>
        </is>
      </c>
      <c r="E245" s="14" t="n">
        <v>505000</v>
      </c>
      <c r="F245" s="14" t="n">
        <v>6355.89</v>
      </c>
      <c r="G245" s="14" t="n">
        <v>794.49</v>
      </c>
      <c r="H245" s="14" t="n">
        <v>794.49</v>
      </c>
      <c r="I245" s="14">
        <f>SUM(K245:T245)</f>
        <v/>
      </c>
      <c r="J245" s="14">
        <f>F245-(G245+H245+I245)</f>
        <v/>
      </c>
      <c r="K245" s="14" t="n">
        <v>476.69</v>
      </c>
      <c r="L245" s="14" t="n">
        <v>476.69</v>
      </c>
      <c r="M245" s="14" t="n">
        <v>476.69</v>
      </c>
      <c r="N245" s="14" t="n">
        <v>476.69</v>
      </c>
      <c r="O245" s="14" t="n">
        <v>476.69</v>
      </c>
      <c r="P245" s="14" t="n">
        <v>476.69</v>
      </c>
      <c r="Q245" s="14" t="n">
        <v>476.69</v>
      </c>
      <c r="R245" s="14" t="n">
        <v>476.69</v>
      </c>
      <c r="S245" s="14" t="n">
        <v>476.69</v>
      </c>
      <c r="T245" s="14" t="n">
        <v>476.69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CANON-202509-000906</t>
        </is>
      </c>
      <c r="B246" s="15" t="inlineStr">
        <is>
          <t>2025-09-12</t>
        </is>
      </c>
      <c r="C246" s="15" t="inlineStr">
        <is>
          <t>Aurelio Chattopadhyay</t>
        </is>
      </c>
      <c r="D246" s="15" t="inlineStr">
        <is>
          <t>WI</t>
        </is>
      </c>
      <c r="E246" s="16" t="n">
        <v>505000</v>
      </c>
      <c r="F246" s="16" t="n">
        <v>7128.11</v>
      </c>
      <c r="G246" s="16" t="n">
        <v>891.01</v>
      </c>
      <c r="H246" s="16" t="n">
        <v>891.01</v>
      </c>
      <c r="I246" s="16">
        <f>SUM(K246:T246)</f>
        <v/>
      </c>
      <c r="J246" s="16">
        <f>F246-(G246+H246+I246)</f>
        <v/>
      </c>
      <c r="K246" s="16" t="n">
        <v>534.61</v>
      </c>
      <c r="L246" s="16" t="n">
        <v>534.61</v>
      </c>
      <c r="M246" s="16" t="n">
        <v>534.61</v>
      </c>
      <c r="N246" s="16" t="n">
        <v>534.61</v>
      </c>
      <c r="O246" s="16" t="n">
        <v>534.61</v>
      </c>
      <c r="P246" s="16" t="n">
        <v>534.61</v>
      </c>
      <c r="Q246" s="16" t="n">
        <v>534.61</v>
      </c>
      <c r="R246" s="16" t="n">
        <v>534.61</v>
      </c>
      <c r="S246" s="16" t="n">
        <v>534.61</v>
      </c>
      <c r="T246" s="16" t="n">
        <v>534.61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CANON-202509-000907</t>
        </is>
      </c>
      <c r="B247" s="3" t="inlineStr">
        <is>
          <t>2025-09-02</t>
        </is>
      </c>
      <c r="C247" s="3" t="inlineStr">
        <is>
          <t>Fenwick Montoya</t>
        </is>
      </c>
      <c r="D247" s="3" t="inlineStr">
        <is>
          <t>FL</t>
        </is>
      </c>
      <c r="E247" s="14" t="n">
        <v>690000</v>
      </c>
      <c r="F247" s="14" t="n">
        <v>11524.95</v>
      </c>
      <c r="G247" s="14" t="n">
        <v>1440.62</v>
      </c>
      <c r="H247" s="14" t="n">
        <v>1440.62</v>
      </c>
      <c r="I247" s="14">
        <f>SUM(K247:T247)</f>
        <v/>
      </c>
      <c r="J247" s="14">
        <f>F247-(G247+H247+I247)</f>
        <v/>
      </c>
      <c r="K247" s="14" t="n">
        <v>864.37</v>
      </c>
      <c r="L247" s="14" t="n">
        <v>864.37</v>
      </c>
      <c r="M247" s="14" t="n">
        <v>864.37</v>
      </c>
      <c r="N247" s="14" t="n">
        <v>864.37</v>
      </c>
      <c r="O247" s="14" t="n">
        <v>864.37</v>
      </c>
      <c r="P247" s="14" t="n">
        <v>864.37</v>
      </c>
      <c r="Q247" s="14" t="n">
        <v>864.37</v>
      </c>
      <c r="R247" s="14" t="n">
        <v>864.37</v>
      </c>
      <c r="S247" s="14" t="n">
        <v>864.37</v>
      </c>
      <c r="T247" s="14" t="n">
        <v>864.37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CANON-202509-000908</t>
        </is>
      </c>
      <c r="B248" s="15" t="inlineStr">
        <is>
          <t>2025-09-23</t>
        </is>
      </c>
      <c r="C248" s="15" t="inlineStr">
        <is>
          <t>Anouk Harrington</t>
        </is>
      </c>
      <c r="D248" s="15" t="inlineStr">
        <is>
          <t>PA</t>
        </is>
      </c>
      <c r="E248" s="16" t="n">
        <v>315000</v>
      </c>
      <c r="F248" s="16" t="n">
        <v>4275.24</v>
      </c>
      <c r="G248" s="16" t="n">
        <v>534.4</v>
      </c>
      <c r="H248" s="16" t="n">
        <v>534.4</v>
      </c>
      <c r="I248" s="16">
        <f>SUM(K248:T248)</f>
        <v/>
      </c>
      <c r="J248" s="16">
        <f>F248-(G248+H248+I248)</f>
        <v/>
      </c>
      <c r="K248" s="16" t="n">
        <v>320.64</v>
      </c>
      <c r="L248" s="16" t="n">
        <v>320.64</v>
      </c>
      <c r="M248" s="16" t="n">
        <v>320.64</v>
      </c>
      <c r="N248" s="16" t="n">
        <v>320.64</v>
      </c>
      <c r="O248" s="16" t="n">
        <v>320.64</v>
      </c>
      <c r="P248" s="16" t="n">
        <v>320.64</v>
      </c>
      <c r="Q248" s="16" t="n">
        <v>320.64</v>
      </c>
      <c r="R248" s="16" t="n">
        <v>320.64</v>
      </c>
      <c r="S248" s="16" t="n">
        <v>320.64</v>
      </c>
      <c r="T248" s="16" t="n">
        <v>320.64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CANON-202509-000909</t>
        </is>
      </c>
      <c r="B249" s="3" t="inlineStr">
        <is>
          <t>2025-09-23</t>
        </is>
      </c>
      <c r="C249" s="3" t="inlineStr">
        <is>
          <t>Desmond Pennington</t>
        </is>
      </c>
      <c r="D249" s="3" t="inlineStr">
        <is>
          <t>TX</t>
        </is>
      </c>
      <c r="E249" s="14" t="n">
        <v>770000</v>
      </c>
      <c r="F249" s="14" t="n">
        <v>10415.74</v>
      </c>
      <c r="G249" s="14" t="n">
        <v>1301.97</v>
      </c>
      <c r="H249" s="14" t="n">
        <v>1301.97</v>
      </c>
      <c r="I249" s="14">
        <f>SUM(K249:T249)</f>
        <v/>
      </c>
      <c r="J249" s="14">
        <f>F249-(G249+H249+I249)</f>
        <v/>
      </c>
      <c r="K249" s="14" t="n">
        <v>781.1799999999999</v>
      </c>
      <c r="L249" s="14" t="n">
        <v>781.1799999999999</v>
      </c>
      <c r="M249" s="14" t="n">
        <v>781.1799999999999</v>
      </c>
      <c r="N249" s="14" t="n">
        <v>781.1799999999999</v>
      </c>
      <c r="O249" s="14" t="n">
        <v>781.1799999999999</v>
      </c>
      <c r="P249" s="14" t="n">
        <v>781.1799999999999</v>
      </c>
      <c r="Q249" s="14" t="n">
        <v>781.1799999999999</v>
      </c>
      <c r="R249" s="14" t="n">
        <v>781.1799999999999</v>
      </c>
      <c r="S249" s="14" t="n">
        <v>781.1799999999999</v>
      </c>
      <c r="T249" s="14" t="n">
        <v>781.1799999999999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CANON-202509-000910</t>
        </is>
      </c>
      <c r="B250" s="15" t="inlineStr">
        <is>
          <t>2025-09-28</t>
        </is>
      </c>
      <c r="C250" s="15" t="inlineStr">
        <is>
          <t>Thaddeus Fairweather</t>
        </is>
      </c>
      <c r="D250" s="15" t="inlineStr">
        <is>
          <t>GA</t>
        </is>
      </c>
      <c r="E250" s="16" t="n">
        <v>575000</v>
      </c>
      <c r="F250" s="16" t="n">
        <v>7575.08</v>
      </c>
      <c r="G250" s="16" t="n">
        <v>946.88</v>
      </c>
      <c r="H250" s="16" t="n">
        <v>946.88</v>
      </c>
      <c r="I250" s="16">
        <f>SUM(K250:T250)</f>
        <v/>
      </c>
      <c r="J250" s="16">
        <f>F250-(G250+H250+I250)</f>
        <v/>
      </c>
      <c r="K250" s="16" t="n">
        <v>568.13</v>
      </c>
      <c r="L250" s="16" t="n">
        <v>568.13</v>
      </c>
      <c r="M250" s="16" t="n">
        <v>568.13</v>
      </c>
      <c r="N250" s="16" t="n">
        <v>568.13</v>
      </c>
      <c r="O250" s="16" t="n">
        <v>568.13</v>
      </c>
      <c r="P250" s="16" t="n">
        <v>568.13</v>
      </c>
      <c r="Q250" s="16" t="n">
        <v>568.13</v>
      </c>
      <c r="R250" s="16" t="n">
        <v>568.13</v>
      </c>
      <c r="S250" s="16" t="n">
        <v>568.13</v>
      </c>
      <c r="T250" s="16" t="n">
        <v>568.13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CANON-202509-000911</t>
        </is>
      </c>
      <c r="B251" s="3" t="inlineStr">
        <is>
          <t>2025-09-24</t>
        </is>
      </c>
      <c r="C251" s="3" t="inlineStr">
        <is>
          <t>Delphine Farkas</t>
        </is>
      </c>
      <c r="D251" s="3" t="inlineStr">
        <is>
          <t>PA</t>
        </is>
      </c>
      <c r="E251" s="14" t="n">
        <v>780000</v>
      </c>
      <c r="F251" s="14" t="n">
        <v>9174.790000000001</v>
      </c>
      <c r="G251" s="14" t="n">
        <v>1146.85</v>
      </c>
      <c r="H251" s="14" t="n">
        <v>1146.85</v>
      </c>
      <c r="I251" s="14">
        <f>SUM(K251:T251)</f>
        <v/>
      </c>
      <c r="J251" s="14">
        <f>F251-(G251+H251+I251)</f>
        <v/>
      </c>
      <c r="K251" s="14" t="n">
        <v>688.11</v>
      </c>
      <c r="L251" s="14" t="n">
        <v>688.11</v>
      </c>
      <c r="M251" s="14" t="n">
        <v>688.11</v>
      </c>
      <c r="N251" s="14" t="n">
        <v>688.11</v>
      </c>
      <c r="O251" s="14" t="n">
        <v>688.11</v>
      </c>
      <c r="P251" s="14" t="n">
        <v>688.11</v>
      </c>
      <c r="Q251" s="14" t="n">
        <v>688.11</v>
      </c>
      <c r="R251" s="14" t="n">
        <v>688.11</v>
      </c>
      <c r="S251" s="14" t="n">
        <v>688.11</v>
      </c>
      <c r="T251" s="14" t="n">
        <v>688.11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CANON-202509-000912</t>
        </is>
      </c>
      <c r="B252" s="15" t="inlineStr">
        <is>
          <t>2025-09-06</t>
        </is>
      </c>
      <c r="C252" s="15" t="inlineStr">
        <is>
          <t>Aurelio Whitlock</t>
        </is>
      </c>
      <c r="D252" s="15" t="inlineStr">
        <is>
          <t>HI</t>
        </is>
      </c>
      <c r="E252" s="16" t="n">
        <v>250000</v>
      </c>
      <c r="F252" s="16" t="n">
        <v>4410.96</v>
      </c>
      <c r="G252" s="16" t="n">
        <v>551.37</v>
      </c>
      <c r="H252" s="16" t="n">
        <v>551.37</v>
      </c>
      <c r="I252" s="16">
        <f>SUM(K252:T252)</f>
        <v/>
      </c>
      <c r="J252" s="16">
        <f>F252-(G252+H252+I252)</f>
        <v/>
      </c>
      <c r="K252" s="16" t="n">
        <v>330.82</v>
      </c>
      <c r="L252" s="16" t="n">
        <v>330.82</v>
      </c>
      <c r="M252" s="16" t="n">
        <v>330.82</v>
      </c>
      <c r="N252" s="16" t="n">
        <v>330.82</v>
      </c>
      <c r="O252" s="16" t="n">
        <v>330.82</v>
      </c>
      <c r="P252" s="16" t="n">
        <v>330.82</v>
      </c>
      <c r="Q252" s="16" t="n">
        <v>330.82</v>
      </c>
      <c r="R252" s="16" t="n">
        <v>330.82</v>
      </c>
      <c r="S252" s="16" t="n">
        <v>330.82</v>
      </c>
      <c r="T252" s="16" t="n">
        <v>330.82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CANON-202509-000913</t>
        </is>
      </c>
      <c r="B253" s="3" t="inlineStr">
        <is>
          <t>2025-09-04</t>
        </is>
      </c>
      <c r="C253" s="3" t="inlineStr">
        <is>
          <t>Aurelio Castellanos</t>
        </is>
      </c>
      <c r="D253" s="3" t="inlineStr">
        <is>
          <t>TX</t>
        </is>
      </c>
      <c r="E253" s="14" t="n">
        <v>885000</v>
      </c>
      <c r="F253" s="14" t="n">
        <v>11971.33</v>
      </c>
      <c r="G253" s="14" t="n">
        <v>1496.42</v>
      </c>
      <c r="H253" s="14" t="n">
        <v>1496.42</v>
      </c>
      <c r="I253" s="14">
        <f>SUM(K253:T253)</f>
        <v/>
      </c>
      <c r="J253" s="14">
        <f>F253-(G253+H253+I253)</f>
        <v/>
      </c>
      <c r="K253" s="14" t="n">
        <v>897.85</v>
      </c>
      <c r="L253" s="14" t="n">
        <v>897.85</v>
      </c>
      <c r="M253" s="14" t="n">
        <v>897.85</v>
      </c>
      <c r="N253" s="14" t="n">
        <v>897.85</v>
      </c>
      <c r="O253" s="14" t="n">
        <v>897.85</v>
      </c>
      <c r="P253" s="14" t="n">
        <v>897.85</v>
      </c>
      <c r="Q253" s="14" t="n">
        <v>897.85</v>
      </c>
      <c r="R253" s="14" t="n">
        <v>897.85</v>
      </c>
      <c r="S253" s="14" t="n">
        <v>897.85</v>
      </c>
      <c r="T253" s="14" t="n">
        <v>897.85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CANON-202509-000914</t>
        </is>
      </c>
      <c r="B254" s="15" t="inlineStr">
        <is>
          <t>2025-09-07</t>
        </is>
      </c>
      <c r="C254" s="15" t="inlineStr">
        <is>
          <t>Mireille Vasquez</t>
        </is>
      </c>
      <c r="D254" s="15" t="inlineStr">
        <is>
          <t>FL</t>
        </is>
      </c>
      <c r="E254" s="16" t="n">
        <v>130000</v>
      </c>
      <c r="F254" s="16" t="n">
        <v>3507.59</v>
      </c>
      <c r="G254" s="16" t="n">
        <v>438.45</v>
      </c>
      <c r="H254" s="16" t="n">
        <v>438.45</v>
      </c>
      <c r="I254" s="16">
        <f>SUM(K254:T254)</f>
        <v/>
      </c>
      <c r="J254" s="16">
        <f>F254-(G254+H254+I254)</f>
        <v/>
      </c>
      <c r="K254" s="16" t="n">
        <v>263.07</v>
      </c>
      <c r="L254" s="16" t="n">
        <v>263.07</v>
      </c>
      <c r="M254" s="16" t="n">
        <v>263.07</v>
      </c>
      <c r="N254" s="16" t="n">
        <v>263.07</v>
      </c>
      <c r="O254" s="16" t="n">
        <v>263.07</v>
      </c>
      <c r="P254" s="16" t="n">
        <v>263.07</v>
      </c>
      <c r="Q254" s="16" t="n">
        <v>263.07</v>
      </c>
      <c r="R254" s="16" t="n">
        <v>263.07</v>
      </c>
      <c r="S254" s="16" t="n">
        <v>263.07</v>
      </c>
      <c r="T254" s="16" t="n">
        <v>263.07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CANON-202509-000915</t>
        </is>
      </c>
      <c r="B255" s="3" t="inlineStr">
        <is>
          <t>2025-09-17</t>
        </is>
      </c>
      <c r="C255" s="3" t="inlineStr">
        <is>
          <t>Lorenzo Castellanos</t>
        </is>
      </c>
      <c r="D255" s="3" t="inlineStr">
        <is>
          <t>PA</t>
        </is>
      </c>
      <c r="E255" s="14" t="n">
        <v>1780000</v>
      </c>
      <c r="F255" s="14" t="n">
        <v>25769.02</v>
      </c>
      <c r="G255" s="14" t="n">
        <v>3221.13</v>
      </c>
      <c r="H255" s="14" t="n">
        <v>3221.13</v>
      </c>
      <c r="I255" s="14">
        <f>SUM(K255:T255)</f>
        <v/>
      </c>
      <c r="J255" s="14">
        <f>F255-(G255+H255+I255)</f>
        <v/>
      </c>
      <c r="K255" s="14" t="n">
        <v>1932.68</v>
      </c>
      <c r="L255" s="14" t="n">
        <v>1932.68</v>
      </c>
      <c r="M255" s="14" t="n">
        <v>1932.68</v>
      </c>
      <c r="N255" s="14" t="n">
        <v>1932.68</v>
      </c>
      <c r="O255" s="14" t="n">
        <v>1932.68</v>
      </c>
      <c r="P255" s="14" t="n">
        <v>1932.68</v>
      </c>
      <c r="Q255" s="14" t="n">
        <v>1932.68</v>
      </c>
      <c r="R255" s="14" t="n">
        <v>1932.68</v>
      </c>
      <c r="S255" s="14" t="n">
        <v>1932.68</v>
      </c>
      <c r="T255" s="14" t="n">
        <v>1932.68</v>
      </c>
      <c r="U255" s="14" t="n">
        <v>350</v>
      </c>
      <c r="V255" s="14" t="n">
        <v>250</v>
      </c>
      <c r="W255" s="14">
        <f>U255+V255</f>
        <v/>
      </c>
    </row>
    <row r="256">
      <c r="A256" s="15" t="inlineStr">
        <is>
          <t>CANON-202509-000916</t>
        </is>
      </c>
      <c r="B256" s="15" t="inlineStr">
        <is>
          <t>2025-09-10</t>
        </is>
      </c>
      <c r="C256" s="15" t="inlineStr">
        <is>
          <t>Leopold Ashcombe</t>
        </is>
      </c>
      <c r="D256" s="15" t="inlineStr">
        <is>
          <t>KS</t>
        </is>
      </c>
      <c r="E256" s="16" t="n">
        <v>475000</v>
      </c>
      <c r="F256" s="16" t="n">
        <v>9588.52</v>
      </c>
      <c r="G256" s="16" t="n">
        <v>1198.57</v>
      </c>
      <c r="H256" s="16" t="n">
        <v>1198.57</v>
      </c>
      <c r="I256" s="16">
        <f>SUM(K256:T256)</f>
        <v/>
      </c>
      <c r="J256" s="16">
        <f>F256-(G256+H256+I256)</f>
        <v/>
      </c>
      <c r="K256" s="16" t="n">
        <v>719.14</v>
      </c>
      <c r="L256" s="16" t="n">
        <v>719.14</v>
      </c>
      <c r="M256" s="16" t="n">
        <v>719.14</v>
      </c>
      <c r="N256" s="16" t="n">
        <v>719.14</v>
      </c>
      <c r="O256" s="16" t="n">
        <v>719.14</v>
      </c>
      <c r="P256" s="16" t="n">
        <v>719.14</v>
      </c>
      <c r="Q256" s="16" t="n">
        <v>719.14</v>
      </c>
      <c r="R256" s="16" t="n">
        <v>719.14</v>
      </c>
      <c r="S256" s="16" t="n">
        <v>719.14</v>
      </c>
      <c r="T256" s="16" t="n">
        <v>719.14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CANON-202509-000917</t>
        </is>
      </c>
      <c r="B257" s="3" t="inlineStr">
        <is>
          <t>2025-09-26</t>
        </is>
      </c>
      <c r="C257" s="3" t="inlineStr">
        <is>
          <t>Ramona Thistlewood</t>
        </is>
      </c>
      <c r="D257" s="3" t="inlineStr">
        <is>
          <t>AZ</t>
        </is>
      </c>
      <c r="E257" s="14" t="n">
        <v>600000</v>
      </c>
      <c r="F257" s="14" t="n">
        <v>4715.51</v>
      </c>
      <c r="G257" s="14" t="n">
        <v>589.4400000000001</v>
      </c>
      <c r="H257" s="14" t="n">
        <v>589.4400000000001</v>
      </c>
      <c r="I257" s="14">
        <f>SUM(K257:T257)</f>
        <v/>
      </c>
      <c r="J257" s="14">
        <f>F257-(G257+H257+I257)</f>
        <v/>
      </c>
      <c r="K257" s="14" t="n">
        <v>353.66</v>
      </c>
      <c r="L257" s="14" t="n">
        <v>353.66</v>
      </c>
      <c r="M257" s="14" t="n">
        <v>353.66</v>
      </c>
      <c r="N257" s="14" t="n">
        <v>353.66</v>
      </c>
      <c r="O257" s="14" t="n">
        <v>353.66</v>
      </c>
      <c r="P257" s="14" t="n">
        <v>353.66</v>
      </c>
      <c r="Q257" s="14" t="n">
        <v>353.66</v>
      </c>
      <c r="R257" s="14" t="n">
        <v>353.66</v>
      </c>
      <c r="S257" s="14" t="n">
        <v>353.66</v>
      </c>
      <c r="T257" s="14" t="n">
        <v>353.66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CANON-202509-000919</t>
        </is>
      </c>
      <c r="B258" s="15" t="inlineStr">
        <is>
          <t>2025-09-16</t>
        </is>
      </c>
      <c r="C258" s="15" t="inlineStr">
        <is>
          <t>Desmond Castellanos</t>
        </is>
      </c>
      <c r="D258" s="15" t="inlineStr">
        <is>
          <t>LA</t>
        </is>
      </c>
      <c r="E258" s="16" t="n">
        <v>1280000</v>
      </c>
      <c r="F258" s="16" t="n">
        <v>15415.09</v>
      </c>
      <c r="G258" s="16" t="n">
        <v>1926.89</v>
      </c>
      <c r="H258" s="16" t="n">
        <v>1926.89</v>
      </c>
      <c r="I258" s="16">
        <f>SUM(K258:T258)</f>
        <v/>
      </c>
      <c r="J258" s="16">
        <f>F258-(G258+H258+I258)</f>
        <v/>
      </c>
      <c r="K258" s="16" t="n">
        <v>1156.13</v>
      </c>
      <c r="L258" s="16" t="n">
        <v>1156.13</v>
      </c>
      <c r="M258" s="16" t="n">
        <v>1156.13</v>
      </c>
      <c r="N258" s="16" t="n">
        <v>1156.13</v>
      </c>
      <c r="O258" s="16" t="n">
        <v>1156.13</v>
      </c>
      <c r="P258" s="16" t="n">
        <v>1156.13</v>
      </c>
      <c r="Q258" s="16" t="n">
        <v>1156.13</v>
      </c>
      <c r="R258" s="16" t="n">
        <v>1156.13</v>
      </c>
      <c r="S258" s="16" t="n">
        <v>1156.13</v>
      </c>
      <c r="T258" s="16" t="n">
        <v>1156.13</v>
      </c>
      <c r="U258" s="16" t="n">
        <v>350</v>
      </c>
      <c r="V258" s="16" t="n">
        <v>250</v>
      </c>
      <c r="W258" s="16">
        <f>U258+V258</f>
        <v/>
      </c>
    </row>
    <row r="259">
      <c r="A259" s="3" t="inlineStr">
        <is>
          <t>CANON-202509-000920</t>
        </is>
      </c>
      <c r="B259" s="3" t="inlineStr">
        <is>
          <t>2025-09-03</t>
        </is>
      </c>
      <c r="C259" s="3" t="inlineStr">
        <is>
          <t>Thaddeus Rourke</t>
        </is>
      </c>
      <c r="D259" s="3" t="inlineStr">
        <is>
          <t>TX</t>
        </is>
      </c>
      <c r="E259" s="14" t="n">
        <v>320000</v>
      </c>
      <c r="F259" s="14" t="n">
        <v>4994.56</v>
      </c>
      <c r="G259" s="14" t="n">
        <v>624.3200000000001</v>
      </c>
      <c r="H259" s="14" t="n">
        <v>624.3200000000001</v>
      </c>
      <c r="I259" s="14">
        <f>SUM(K259:T259)</f>
        <v/>
      </c>
      <c r="J259" s="14">
        <f>F259-(G259+H259+I259)</f>
        <v/>
      </c>
      <c r="K259" s="14" t="n">
        <v>374.59</v>
      </c>
      <c r="L259" s="14" t="n">
        <v>374.59</v>
      </c>
      <c r="M259" s="14" t="n">
        <v>374.59</v>
      </c>
      <c r="N259" s="14" t="n">
        <v>374.59</v>
      </c>
      <c r="O259" s="14" t="n">
        <v>374.59</v>
      </c>
      <c r="P259" s="14" t="n">
        <v>374.59</v>
      </c>
      <c r="Q259" s="14" t="n">
        <v>374.59</v>
      </c>
      <c r="R259" s="14" t="n">
        <v>374.59</v>
      </c>
      <c r="S259" s="14" t="n">
        <v>374.59</v>
      </c>
      <c r="T259" s="14" t="n">
        <v>374.59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CANON-202509-000921</t>
        </is>
      </c>
      <c r="B260" s="15" t="inlineStr">
        <is>
          <t>2025-09-14</t>
        </is>
      </c>
      <c r="C260" s="15" t="inlineStr">
        <is>
          <t>Horace Farkas</t>
        </is>
      </c>
      <c r="D260" s="15" t="inlineStr">
        <is>
          <t>OH</t>
        </is>
      </c>
      <c r="E260" s="16" t="n">
        <v>565000</v>
      </c>
      <c r="F260" s="16" t="n">
        <v>9237.719999999999</v>
      </c>
      <c r="G260" s="16" t="n">
        <v>1154.71</v>
      </c>
      <c r="H260" s="16" t="n">
        <v>1154.71</v>
      </c>
      <c r="I260" s="16">
        <f>SUM(K260:T260)</f>
        <v/>
      </c>
      <c r="J260" s="16">
        <f>F260-(G260+H260+I260)</f>
        <v/>
      </c>
      <c r="K260" s="16" t="n">
        <v>692.83</v>
      </c>
      <c r="L260" s="16" t="n">
        <v>692.83</v>
      </c>
      <c r="M260" s="16" t="n">
        <v>692.83</v>
      </c>
      <c r="N260" s="16" t="n">
        <v>692.83</v>
      </c>
      <c r="O260" s="16" t="n">
        <v>692.83</v>
      </c>
      <c r="P260" s="16" t="n">
        <v>692.83</v>
      </c>
      <c r="Q260" s="16" t="n">
        <v>692.83</v>
      </c>
      <c r="R260" s="16" t="n">
        <v>692.83</v>
      </c>
      <c r="S260" s="16" t="n">
        <v>692.83</v>
      </c>
      <c r="T260" s="16" t="n">
        <v>692.83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CANON-202509-000922</t>
        </is>
      </c>
      <c r="B261" s="3" t="inlineStr">
        <is>
          <t>2025-09-09</t>
        </is>
      </c>
      <c r="C261" s="3" t="inlineStr">
        <is>
          <t>Delphine Montoya</t>
        </is>
      </c>
      <c r="D261" s="3" t="inlineStr">
        <is>
          <t>UT</t>
        </is>
      </c>
      <c r="E261" s="14" t="n">
        <v>950000</v>
      </c>
      <c r="F261" s="14" t="n">
        <v>15085.46</v>
      </c>
      <c r="G261" s="14" t="n">
        <v>1885.68</v>
      </c>
      <c r="H261" s="14" t="n">
        <v>1885.68</v>
      </c>
      <c r="I261" s="14">
        <f>SUM(K261:T261)</f>
        <v/>
      </c>
      <c r="J261" s="14">
        <f>F261-(G261+H261+I261)</f>
        <v/>
      </c>
      <c r="K261" s="14" t="n">
        <v>1131.41</v>
      </c>
      <c r="L261" s="14" t="n">
        <v>1131.41</v>
      </c>
      <c r="M261" s="14" t="n">
        <v>1131.41</v>
      </c>
      <c r="N261" s="14" t="n">
        <v>1131.41</v>
      </c>
      <c r="O261" s="14" t="n">
        <v>1131.41</v>
      </c>
      <c r="P261" s="14" t="n">
        <v>1131.41</v>
      </c>
      <c r="Q261" s="14" t="n">
        <v>1131.41</v>
      </c>
      <c r="R261" s="14" t="n">
        <v>1131.41</v>
      </c>
      <c r="S261" s="14" t="n">
        <v>1131.41</v>
      </c>
      <c r="T261" s="14" t="n">
        <v>1131.41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CANON-202509-000923</t>
        </is>
      </c>
      <c r="B262" s="15" t="inlineStr">
        <is>
          <t>2025-09-04</t>
        </is>
      </c>
      <c r="C262" s="15" t="inlineStr">
        <is>
          <t>Fenwick Harrington</t>
        </is>
      </c>
      <c r="D262" s="15" t="inlineStr">
        <is>
          <t>AR</t>
        </is>
      </c>
      <c r="E262" s="16" t="n">
        <v>725000</v>
      </c>
      <c r="F262" s="16" t="n">
        <v>11768.43</v>
      </c>
      <c r="G262" s="16" t="n">
        <v>1471.05</v>
      </c>
      <c r="H262" s="16" t="n">
        <v>1471.05</v>
      </c>
      <c r="I262" s="16">
        <f>SUM(K262:T262)</f>
        <v/>
      </c>
      <c r="J262" s="16">
        <f>F262-(G262+H262+I262)</f>
        <v/>
      </c>
      <c r="K262" s="16" t="n">
        <v>882.63</v>
      </c>
      <c r="L262" s="16" t="n">
        <v>882.63</v>
      </c>
      <c r="M262" s="16" t="n">
        <v>882.63</v>
      </c>
      <c r="N262" s="16" t="n">
        <v>882.63</v>
      </c>
      <c r="O262" s="16" t="n">
        <v>882.63</v>
      </c>
      <c r="P262" s="16" t="n">
        <v>882.63</v>
      </c>
      <c r="Q262" s="16" t="n">
        <v>882.63</v>
      </c>
      <c r="R262" s="16" t="n">
        <v>882.63</v>
      </c>
      <c r="S262" s="16" t="n">
        <v>882.63</v>
      </c>
      <c r="T262" s="16" t="n">
        <v>882.63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CANON-202509-000924</t>
        </is>
      </c>
      <c r="B263" s="3" t="inlineStr">
        <is>
          <t>2025-09-11</t>
        </is>
      </c>
      <c r="C263" s="3" t="inlineStr">
        <is>
          <t>Priya Castellanos</t>
        </is>
      </c>
      <c r="D263" s="3" t="inlineStr">
        <is>
          <t>CA</t>
        </is>
      </c>
      <c r="E263" s="14" t="n">
        <v>495000</v>
      </c>
      <c r="F263" s="14" t="n">
        <v>9069.6</v>
      </c>
      <c r="G263" s="14" t="n">
        <v>1133.7</v>
      </c>
      <c r="H263" s="14" t="n">
        <v>1133.7</v>
      </c>
      <c r="I263" s="14">
        <f>SUM(K263:T263)</f>
        <v/>
      </c>
      <c r="J263" s="14">
        <f>F263-(G263+H263+I263)</f>
        <v/>
      </c>
      <c r="K263" s="14" t="n">
        <v>680.22</v>
      </c>
      <c r="L263" s="14" t="n">
        <v>680.22</v>
      </c>
      <c r="M263" s="14" t="n">
        <v>680.22</v>
      </c>
      <c r="N263" s="14" t="n">
        <v>680.22</v>
      </c>
      <c r="O263" s="14" t="n">
        <v>680.22</v>
      </c>
      <c r="P263" s="14" t="n">
        <v>680.22</v>
      </c>
      <c r="Q263" s="14" t="n">
        <v>680.22</v>
      </c>
      <c r="R263" s="14" t="n">
        <v>680.22</v>
      </c>
      <c r="S263" s="14" t="n">
        <v>680.22</v>
      </c>
      <c r="T263" s="14" t="n">
        <v>680.22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CANON-202509-000925</t>
        </is>
      </c>
      <c r="B264" s="15" t="inlineStr">
        <is>
          <t>2025-09-18</t>
        </is>
      </c>
      <c r="C264" s="15" t="inlineStr">
        <is>
          <t>Leopold Ashcombe</t>
        </is>
      </c>
      <c r="D264" s="15" t="inlineStr">
        <is>
          <t>OR</t>
        </is>
      </c>
      <c r="E264" s="16" t="n">
        <v>535000</v>
      </c>
      <c r="F264" s="16" t="n">
        <v>10393.07</v>
      </c>
      <c r="G264" s="16" t="n">
        <v>1299.13</v>
      </c>
      <c r="H264" s="16" t="n">
        <v>1299.13</v>
      </c>
      <c r="I264" s="16">
        <f>SUM(K264:T264)</f>
        <v/>
      </c>
      <c r="J264" s="16">
        <f>F264-(G264+H264+I264)</f>
        <v/>
      </c>
      <c r="K264" s="16" t="n">
        <v>779.48</v>
      </c>
      <c r="L264" s="16" t="n">
        <v>779.48</v>
      </c>
      <c r="M264" s="16" t="n">
        <v>779.48</v>
      </c>
      <c r="N264" s="16" t="n">
        <v>779.48</v>
      </c>
      <c r="O264" s="16" t="n">
        <v>779.48</v>
      </c>
      <c r="P264" s="16" t="n">
        <v>779.48</v>
      </c>
      <c r="Q264" s="16" t="n">
        <v>779.48</v>
      </c>
      <c r="R264" s="16" t="n">
        <v>779.48</v>
      </c>
      <c r="S264" s="16" t="n">
        <v>779.48</v>
      </c>
      <c r="T264" s="16" t="n">
        <v>779.48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CANON-202509-000926</t>
        </is>
      </c>
      <c r="B265" s="3" t="inlineStr">
        <is>
          <t>2025-09-23</t>
        </is>
      </c>
      <c r="C265" s="3" t="inlineStr">
        <is>
          <t>Emiliano Chattopadhyay</t>
        </is>
      </c>
      <c r="D265" s="3" t="inlineStr">
        <is>
          <t>VA</t>
        </is>
      </c>
      <c r="E265" s="14" t="n">
        <v>720000</v>
      </c>
      <c r="F265" s="14" t="n">
        <v>9231.25</v>
      </c>
      <c r="G265" s="14" t="n">
        <v>1153.91</v>
      </c>
      <c r="H265" s="14" t="n">
        <v>1153.91</v>
      </c>
      <c r="I265" s="14">
        <f>SUM(K265:T265)</f>
        <v/>
      </c>
      <c r="J265" s="14">
        <f>F265-(G265+H265+I265)</f>
        <v/>
      </c>
      <c r="K265" s="14" t="n">
        <v>692.34</v>
      </c>
      <c r="L265" s="14" t="n">
        <v>692.34</v>
      </c>
      <c r="M265" s="14" t="n">
        <v>692.34</v>
      </c>
      <c r="N265" s="14" t="n">
        <v>692.34</v>
      </c>
      <c r="O265" s="14" t="n">
        <v>692.34</v>
      </c>
      <c r="P265" s="14" t="n">
        <v>692.34</v>
      </c>
      <c r="Q265" s="14" t="n">
        <v>692.34</v>
      </c>
      <c r="R265" s="14" t="n">
        <v>692.34</v>
      </c>
      <c r="S265" s="14" t="n">
        <v>692.34</v>
      </c>
      <c r="T265" s="14" t="n">
        <v>692.34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CANON-202509-000927</t>
        </is>
      </c>
      <c r="B266" s="15" t="inlineStr">
        <is>
          <t>2025-09-17</t>
        </is>
      </c>
      <c r="C266" s="15" t="inlineStr">
        <is>
          <t>Saoirse Whitlock</t>
        </is>
      </c>
      <c r="D266" s="15" t="inlineStr">
        <is>
          <t>WV</t>
        </is>
      </c>
      <c r="E266" s="16" t="n">
        <v>370000</v>
      </c>
      <c r="F266" s="16" t="n">
        <v>6678.87</v>
      </c>
      <c r="G266" s="16" t="n">
        <v>834.86</v>
      </c>
      <c r="H266" s="16" t="n">
        <v>834.86</v>
      </c>
      <c r="I266" s="16">
        <f>SUM(K266:T266)</f>
        <v/>
      </c>
      <c r="J266" s="16">
        <f>F266-(G266+H266+I266)</f>
        <v/>
      </c>
      <c r="K266" s="16" t="n">
        <v>500.92</v>
      </c>
      <c r="L266" s="16" t="n">
        <v>500.92</v>
      </c>
      <c r="M266" s="16" t="n">
        <v>500.92</v>
      </c>
      <c r="N266" s="16" t="n">
        <v>500.92</v>
      </c>
      <c r="O266" s="16" t="n">
        <v>500.92</v>
      </c>
      <c r="P266" s="16" t="n">
        <v>500.92</v>
      </c>
      <c r="Q266" s="16" t="n">
        <v>500.92</v>
      </c>
      <c r="R266" s="16" t="n">
        <v>500.92</v>
      </c>
      <c r="S266" s="16" t="n">
        <v>500.92</v>
      </c>
      <c r="T266" s="16" t="n">
        <v>500.92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CANON-202509-000929</t>
        </is>
      </c>
      <c r="B267" s="3" t="inlineStr">
        <is>
          <t>2025-09-27</t>
        </is>
      </c>
      <c r="C267" s="3" t="inlineStr">
        <is>
          <t>Horace Farkas</t>
        </is>
      </c>
      <c r="D267" s="3" t="inlineStr">
        <is>
          <t>AL</t>
        </is>
      </c>
      <c r="E267" s="14" t="n">
        <v>385000</v>
      </c>
      <c r="F267" s="14" t="n">
        <v>6636.11</v>
      </c>
      <c r="G267" s="14" t="n">
        <v>829.51</v>
      </c>
      <c r="H267" s="14" t="n">
        <v>829.51</v>
      </c>
      <c r="I267" s="14">
        <f>SUM(K267:T267)</f>
        <v/>
      </c>
      <c r="J267" s="14">
        <f>F267-(G267+H267+I267)</f>
        <v/>
      </c>
      <c r="K267" s="14" t="n">
        <v>497.71</v>
      </c>
      <c r="L267" s="14" t="n">
        <v>497.71</v>
      </c>
      <c r="M267" s="14" t="n">
        <v>497.71</v>
      </c>
      <c r="N267" s="14" t="n">
        <v>497.71</v>
      </c>
      <c r="O267" s="14" t="n">
        <v>497.71</v>
      </c>
      <c r="P267" s="14" t="n">
        <v>497.71</v>
      </c>
      <c r="Q267" s="14" t="n">
        <v>497.71</v>
      </c>
      <c r="R267" s="14" t="n">
        <v>497.71</v>
      </c>
      <c r="S267" s="14" t="n">
        <v>497.71</v>
      </c>
      <c r="T267" s="14" t="n">
        <v>497.71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CANON-202509-000930</t>
        </is>
      </c>
      <c r="B268" s="15" t="inlineStr">
        <is>
          <t>2025-09-06</t>
        </is>
      </c>
      <c r="C268" s="15" t="inlineStr">
        <is>
          <t>Marisol Delacroix</t>
        </is>
      </c>
      <c r="D268" s="15" t="inlineStr">
        <is>
          <t>HI</t>
        </is>
      </c>
      <c r="E268" s="16" t="n">
        <v>360000</v>
      </c>
      <c r="F268" s="16" t="n">
        <v>9739.389999999999</v>
      </c>
      <c r="G268" s="16" t="n">
        <v>1217.42</v>
      </c>
      <c r="H268" s="16" t="n">
        <v>1217.42</v>
      </c>
      <c r="I268" s="16">
        <f>SUM(K268:T268)</f>
        <v/>
      </c>
      <c r="J268" s="16">
        <f>F268-(G268+H268+I268)</f>
        <v/>
      </c>
      <c r="K268" s="16" t="n">
        <v>730.45</v>
      </c>
      <c r="L268" s="16" t="n">
        <v>730.45</v>
      </c>
      <c r="M268" s="16" t="n">
        <v>730.45</v>
      </c>
      <c r="N268" s="16" t="n">
        <v>730.45</v>
      </c>
      <c r="O268" s="16" t="n">
        <v>730.45</v>
      </c>
      <c r="P268" s="16" t="n">
        <v>730.45</v>
      </c>
      <c r="Q268" s="16" t="n">
        <v>730.45</v>
      </c>
      <c r="R268" s="16" t="n">
        <v>730.45</v>
      </c>
      <c r="S268" s="16" t="n">
        <v>730.45</v>
      </c>
      <c r="T268" s="16" t="n">
        <v>730.45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CANON-202509-000931</t>
        </is>
      </c>
      <c r="B269" s="3" t="inlineStr">
        <is>
          <t>2025-09-03</t>
        </is>
      </c>
      <c r="C269" s="3" t="inlineStr">
        <is>
          <t>Thaddeus Ashcombe</t>
        </is>
      </c>
      <c r="D269" s="3" t="inlineStr">
        <is>
          <t>MD</t>
        </is>
      </c>
      <c r="E269" s="14" t="n">
        <v>355000</v>
      </c>
      <c r="F269" s="14" t="n">
        <v>4577.22</v>
      </c>
      <c r="G269" s="14" t="n">
        <v>572.15</v>
      </c>
      <c r="H269" s="14" t="n">
        <v>572.15</v>
      </c>
      <c r="I269" s="14">
        <f>SUM(K269:T269)</f>
        <v/>
      </c>
      <c r="J269" s="14">
        <f>F269-(G269+H269+I269)</f>
        <v/>
      </c>
      <c r="K269" s="14" t="n">
        <v>343.29</v>
      </c>
      <c r="L269" s="14" t="n">
        <v>343.29</v>
      </c>
      <c r="M269" s="14" t="n">
        <v>343.29</v>
      </c>
      <c r="N269" s="14" t="n">
        <v>343.29</v>
      </c>
      <c r="O269" s="14" t="n">
        <v>343.29</v>
      </c>
      <c r="P269" s="14" t="n">
        <v>343.29</v>
      </c>
      <c r="Q269" s="14" t="n">
        <v>343.29</v>
      </c>
      <c r="R269" s="14" t="n">
        <v>343.29</v>
      </c>
      <c r="S269" s="14" t="n">
        <v>343.29</v>
      </c>
      <c r="T269" s="14" t="n">
        <v>343.29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CANON-202509-000933</t>
        </is>
      </c>
      <c r="B270" s="15" t="inlineStr">
        <is>
          <t>2025-09-09</t>
        </is>
      </c>
      <c r="C270" s="15" t="inlineStr">
        <is>
          <t>Marisol Kingsford</t>
        </is>
      </c>
      <c r="D270" s="15" t="inlineStr">
        <is>
          <t>MA</t>
        </is>
      </c>
      <c r="E270" s="16" t="n">
        <v>700000</v>
      </c>
      <c r="F270" s="16" t="n">
        <v>15042.49</v>
      </c>
      <c r="G270" s="16" t="n">
        <v>1880.31</v>
      </c>
      <c r="H270" s="16" t="n">
        <v>1880.31</v>
      </c>
      <c r="I270" s="16">
        <f>SUM(K270:T270)</f>
        <v/>
      </c>
      <c r="J270" s="16">
        <f>F270-(G270+H270+I270)</f>
        <v/>
      </c>
      <c r="K270" s="16" t="n">
        <v>1128.19</v>
      </c>
      <c r="L270" s="16" t="n">
        <v>1128.19</v>
      </c>
      <c r="M270" s="16" t="n">
        <v>1128.19</v>
      </c>
      <c r="N270" s="16" t="n">
        <v>1128.19</v>
      </c>
      <c r="O270" s="16" t="n">
        <v>1128.19</v>
      </c>
      <c r="P270" s="16" t="n">
        <v>1128.19</v>
      </c>
      <c r="Q270" s="16" t="n">
        <v>1128.19</v>
      </c>
      <c r="R270" s="16" t="n">
        <v>1128.19</v>
      </c>
      <c r="S270" s="16" t="n">
        <v>1128.19</v>
      </c>
      <c r="T270" s="16" t="n">
        <v>1128.19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CANON-202509-000934</t>
        </is>
      </c>
      <c r="B271" s="3" t="inlineStr">
        <is>
          <t>2025-09-23</t>
        </is>
      </c>
      <c r="C271" s="3" t="inlineStr">
        <is>
          <t>Anouk Whitlock</t>
        </is>
      </c>
      <c r="D271" s="3" t="inlineStr">
        <is>
          <t>NE</t>
        </is>
      </c>
      <c r="E271" s="14" t="n">
        <v>245000</v>
      </c>
      <c r="F271" s="14" t="n">
        <v>5302.56</v>
      </c>
      <c r="G271" s="14" t="n">
        <v>662.8200000000001</v>
      </c>
      <c r="H271" s="14" t="n">
        <v>662.8200000000001</v>
      </c>
      <c r="I271" s="14">
        <f>SUM(K271:T271)</f>
        <v/>
      </c>
      <c r="J271" s="14">
        <f>F271-(G271+H271+I271)</f>
        <v/>
      </c>
      <c r="K271" s="14" t="n">
        <v>397.69</v>
      </c>
      <c r="L271" s="14" t="n">
        <v>397.69</v>
      </c>
      <c r="M271" s="14" t="n">
        <v>397.69</v>
      </c>
      <c r="N271" s="14" t="n">
        <v>397.69</v>
      </c>
      <c r="O271" s="14" t="n">
        <v>397.69</v>
      </c>
      <c r="P271" s="14" t="n">
        <v>397.69</v>
      </c>
      <c r="Q271" s="14" t="n">
        <v>397.69</v>
      </c>
      <c r="R271" s="14" t="n">
        <v>397.69</v>
      </c>
      <c r="S271" s="14" t="n">
        <v>397.69</v>
      </c>
      <c r="T271" s="14" t="n">
        <v>397.69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CANON-202509-000935</t>
        </is>
      </c>
      <c r="B272" s="15" t="inlineStr">
        <is>
          <t>2025-09-09</t>
        </is>
      </c>
      <c r="C272" s="15" t="inlineStr">
        <is>
          <t>Marisol Montoya</t>
        </is>
      </c>
      <c r="D272" s="15" t="inlineStr">
        <is>
          <t>ND</t>
        </is>
      </c>
      <c r="E272" s="16" t="n">
        <v>370000</v>
      </c>
      <c r="F272" s="16" t="n">
        <v>5122.14</v>
      </c>
      <c r="G272" s="16" t="n">
        <v>640.27</v>
      </c>
      <c r="H272" s="16" t="n">
        <v>640.27</v>
      </c>
      <c r="I272" s="16">
        <f>SUM(K272:T272)</f>
        <v/>
      </c>
      <c r="J272" s="16">
        <f>F272-(G272+H272+I272)</f>
        <v/>
      </c>
      <c r="K272" s="16" t="n">
        <v>384.16</v>
      </c>
      <c r="L272" s="16" t="n">
        <v>384.16</v>
      </c>
      <c r="M272" s="16" t="n">
        <v>384.16</v>
      </c>
      <c r="N272" s="16" t="n">
        <v>384.16</v>
      </c>
      <c r="O272" s="16" t="n">
        <v>384.16</v>
      </c>
      <c r="P272" s="16" t="n">
        <v>384.16</v>
      </c>
      <c r="Q272" s="16" t="n">
        <v>384.16</v>
      </c>
      <c r="R272" s="16" t="n">
        <v>384.16</v>
      </c>
      <c r="S272" s="16" t="n">
        <v>384.16</v>
      </c>
      <c r="T272" s="16" t="n">
        <v>384.16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CANON-202509-000939</t>
        </is>
      </c>
      <c r="B273" s="3" t="inlineStr">
        <is>
          <t>2025-09-15</t>
        </is>
      </c>
      <c r="C273" s="3" t="inlineStr">
        <is>
          <t>Horace Rourke</t>
        </is>
      </c>
      <c r="D273" s="3" t="inlineStr">
        <is>
          <t>CA</t>
        </is>
      </c>
      <c r="E273" s="14" t="n">
        <v>490000</v>
      </c>
      <c r="F273" s="14" t="n">
        <v>8977.99</v>
      </c>
      <c r="G273" s="14" t="n">
        <v>1122.25</v>
      </c>
      <c r="H273" s="14" t="n">
        <v>1122.25</v>
      </c>
      <c r="I273" s="14">
        <f>SUM(K273:T273)</f>
        <v/>
      </c>
      <c r="J273" s="14">
        <f>F273-(G273+H273+I273)</f>
        <v/>
      </c>
      <c r="K273" s="14" t="n">
        <v>673.35</v>
      </c>
      <c r="L273" s="14" t="n">
        <v>673.35</v>
      </c>
      <c r="M273" s="14" t="n">
        <v>673.35</v>
      </c>
      <c r="N273" s="14" t="n">
        <v>673.35</v>
      </c>
      <c r="O273" s="14" t="n">
        <v>673.35</v>
      </c>
      <c r="P273" s="14" t="n">
        <v>673.35</v>
      </c>
      <c r="Q273" s="14" t="n">
        <v>673.35</v>
      </c>
      <c r="R273" s="14" t="n">
        <v>673.35</v>
      </c>
      <c r="S273" s="14" t="n">
        <v>673.35</v>
      </c>
      <c r="T273" s="14" t="n">
        <v>673.35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CANON-202509-000940</t>
        </is>
      </c>
      <c r="B274" s="15" t="inlineStr">
        <is>
          <t>2025-09-25</t>
        </is>
      </c>
      <c r="C274" s="15" t="inlineStr">
        <is>
          <t>Sunniva Montoya</t>
        </is>
      </c>
      <c r="D274" s="15" t="inlineStr">
        <is>
          <t>WA</t>
        </is>
      </c>
      <c r="E274" s="16" t="n">
        <v>390000</v>
      </c>
      <c r="F274" s="16" t="n">
        <v>5081.42</v>
      </c>
      <c r="G274" s="16" t="n">
        <v>635.1799999999999</v>
      </c>
      <c r="H274" s="16" t="n">
        <v>635.1799999999999</v>
      </c>
      <c r="I274" s="16">
        <f>SUM(K274:T274)</f>
        <v/>
      </c>
      <c r="J274" s="16">
        <f>F274-(G274+H274+I274)</f>
        <v/>
      </c>
      <c r="K274" s="16" t="n">
        <v>381.11</v>
      </c>
      <c r="L274" s="16" t="n">
        <v>381.11</v>
      </c>
      <c r="M274" s="16" t="n">
        <v>381.11</v>
      </c>
      <c r="N274" s="16" t="n">
        <v>381.11</v>
      </c>
      <c r="O274" s="16" t="n">
        <v>381.11</v>
      </c>
      <c r="P274" s="16" t="n">
        <v>381.11</v>
      </c>
      <c r="Q274" s="16" t="n">
        <v>381.11</v>
      </c>
      <c r="R274" s="16" t="n">
        <v>381.11</v>
      </c>
      <c r="S274" s="16" t="n">
        <v>381.11</v>
      </c>
      <c r="T274" s="16" t="n">
        <v>381.11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CANON-202509-000941</t>
        </is>
      </c>
      <c r="B275" s="3" t="inlineStr">
        <is>
          <t>2025-09-10</t>
        </is>
      </c>
      <c r="C275" s="3" t="inlineStr">
        <is>
          <t>Aurelio Larsson</t>
        </is>
      </c>
      <c r="D275" s="3" t="inlineStr">
        <is>
          <t>GA</t>
        </is>
      </c>
      <c r="E275" s="14" t="n">
        <v>1190000</v>
      </c>
      <c r="F275" s="14" t="n">
        <v>9165.08</v>
      </c>
      <c r="G275" s="14" t="n">
        <v>1145.63</v>
      </c>
      <c r="H275" s="14" t="n">
        <v>1145.63</v>
      </c>
      <c r="I275" s="14">
        <f>SUM(K275:T275)</f>
        <v/>
      </c>
      <c r="J275" s="14">
        <f>F275-(G275+H275+I275)</f>
        <v/>
      </c>
      <c r="K275" s="14" t="n">
        <v>687.38</v>
      </c>
      <c r="L275" s="14" t="n">
        <v>687.38</v>
      </c>
      <c r="M275" s="14" t="n">
        <v>687.38</v>
      </c>
      <c r="N275" s="14" t="n">
        <v>687.38</v>
      </c>
      <c r="O275" s="14" t="n">
        <v>687.38</v>
      </c>
      <c r="P275" s="14" t="n">
        <v>687.38</v>
      </c>
      <c r="Q275" s="14" t="n">
        <v>687.38</v>
      </c>
      <c r="R275" s="14" t="n">
        <v>687.38</v>
      </c>
      <c r="S275" s="14" t="n">
        <v>687.38</v>
      </c>
      <c r="T275" s="14" t="n">
        <v>687.38</v>
      </c>
      <c r="U275" s="14" t="n">
        <v>350</v>
      </c>
      <c r="V275" s="14" t="n">
        <v>250</v>
      </c>
      <c r="W275" s="14">
        <f>U275+V275</f>
        <v/>
      </c>
    </row>
    <row r="276">
      <c r="A276" s="15" t="inlineStr">
        <is>
          <t>CANON-202509-000942</t>
        </is>
      </c>
      <c r="B276" s="15" t="inlineStr">
        <is>
          <t>2025-09-24</t>
        </is>
      </c>
      <c r="C276" s="15" t="inlineStr">
        <is>
          <t>Lorenzo Larsson</t>
        </is>
      </c>
      <c r="D276" s="15" t="inlineStr">
        <is>
          <t>OK</t>
        </is>
      </c>
      <c r="E276" s="16" t="n">
        <v>535000</v>
      </c>
      <c r="F276" s="16" t="n">
        <v>11588.73</v>
      </c>
      <c r="G276" s="16" t="n">
        <v>1448.59</v>
      </c>
      <c r="H276" s="16" t="n">
        <v>1448.59</v>
      </c>
      <c r="I276" s="16">
        <f>SUM(K276:T276)</f>
        <v/>
      </c>
      <c r="J276" s="16">
        <f>F276-(G276+H276+I276)</f>
        <v/>
      </c>
      <c r="K276" s="16" t="n">
        <v>869.15</v>
      </c>
      <c r="L276" s="16" t="n">
        <v>869.15</v>
      </c>
      <c r="M276" s="16" t="n">
        <v>869.15</v>
      </c>
      <c r="N276" s="16" t="n">
        <v>869.15</v>
      </c>
      <c r="O276" s="16" t="n">
        <v>869.15</v>
      </c>
      <c r="P276" s="16" t="n">
        <v>869.15</v>
      </c>
      <c r="Q276" s="16" t="n">
        <v>869.15</v>
      </c>
      <c r="R276" s="16" t="n">
        <v>869.15</v>
      </c>
      <c r="S276" s="16" t="n">
        <v>869.15</v>
      </c>
      <c r="T276" s="16" t="n">
        <v>869.15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CANON-202509-000943</t>
        </is>
      </c>
      <c r="B277" s="3" t="inlineStr">
        <is>
          <t>2025-09-10</t>
        </is>
      </c>
      <c r="C277" s="3" t="inlineStr">
        <is>
          <t>Thaddeus Rourke</t>
        </is>
      </c>
      <c r="D277" s="3" t="inlineStr">
        <is>
          <t>ID</t>
        </is>
      </c>
      <c r="E277" s="14" t="n">
        <v>190000</v>
      </c>
      <c r="F277" s="14" t="n">
        <v>3131.59</v>
      </c>
      <c r="G277" s="14" t="n">
        <v>391.45</v>
      </c>
      <c r="H277" s="14" t="n">
        <v>391.45</v>
      </c>
      <c r="I277" s="14">
        <f>SUM(K277:T277)</f>
        <v/>
      </c>
      <c r="J277" s="14">
        <f>F277-(G277+H277+I277)</f>
        <v/>
      </c>
      <c r="K277" s="14" t="n">
        <v>234.87</v>
      </c>
      <c r="L277" s="14" t="n">
        <v>234.87</v>
      </c>
      <c r="M277" s="14" t="n">
        <v>234.87</v>
      </c>
      <c r="N277" s="14" t="n">
        <v>234.87</v>
      </c>
      <c r="O277" s="14" t="n">
        <v>234.87</v>
      </c>
      <c r="P277" s="14" t="n">
        <v>234.87</v>
      </c>
      <c r="Q277" s="14" t="n">
        <v>234.87</v>
      </c>
      <c r="R277" s="14" t="n">
        <v>234.87</v>
      </c>
      <c r="S277" s="14" t="n">
        <v>234.87</v>
      </c>
      <c r="T277" s="14" t="n">
        <v>234.87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CANON-202509-000944</t>
        </is>
      </c>
      <c r="B278" s="15" t="inlineStr">
        <is>
          <t>2025-09-18</t>
        </is>
      </c>
      <c r="C278" s="15" t="inlineStr">
        <is>
          <t>Everett Delacroix</t>
        </is>
      </c>
      <c r="D278" s="15" t="inlineStr">
        <is>
          <t>NJ</t>
        </is>
      </c>
      <c r="E278" s="16" t="n">
        <v>825000</v>
      </c>
      <c r="F278" s="16" t="n">
        <v>12906.46</v>
      </c>
      <c r="G278" s="16" t="n">
        <v>1613.31</v>
      </c>
      <c r="H278" s="16" t="n">
        <v>1613.31</v>
      </c>
      <c r="I278" s="16">
        <f>SUM(K278:T278)</f>
        <v/>
      </c>
      <c r="J278" s="16">
        <f>F278-(G278+H278+I278)</f>
        <v/>
      </c>
      <c r="K278" s="16" t="n">
        <v>967.98</v>
      </c>
      <c r="L278" s="16" t="n">
        <v>967.98</v>
      </c>
      <c r="M278" s="16" t="n">
        <v>967.98</v>
      </c>
      <c r="N278" s="16" t="n">
        <v>967.98</v>
      </c>
      <c r="O278" s="16" t="n">
        <v>967.98</v>
      </c>
      <c r="P278" s="16" t="n">
        <v>967.98</v>
      </c>
      <c r="Q278" s="16" t="n">
        <v>967.98</v>
      </c>
      <c r="R278" s="16" t="n">
        <v>967.98</v>
      </c>
      <c r="S278" s="16" t="n">
        <v>967.98</v>
      </c>
      <c r="T278" s="16" t="n">
        <v>967.98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CANON-202509-000945</t>
        </is>
      </c>
      <c r="B279" s="3" t="inlineStr">
        <is>
          <t>2025-09-23</t>
        </is>
      </c>
      <c r="C279" s="3" t="inlineStr">
        <is>
          <t>Mireille Farkas</t>
        </is>
      </c>
      <c r="D279" s="3" t="inlineStr">
        <is>
          <t>DE</t>
        </is>
      </c>
      <c r="E279" s="14" t="n">
        <v>215000</v>
      </c>
      <c r="F279" s="14" t="n">
        <v>4474.29</v>
      </c>
      <c r="G279" s="14" t="n">
        <v>559.29</v>
      </c>
      <c r="H279" s="14" t="n">
        <v>559.29</v>
      </c>
      <c r="I279" s="14">
        <f>SUM(K279:T279)</f>
        <v/>
      </c>
      <c r="J279" s="14">
        <f>F279-(G279+H279+I279)</f>
        <v/>
      </c>
      <c r="K279" s="14" t="n">
        <v>335.57</v>
      </c>
      <c r="L279" s="14" t="n">
        <v>335.57</v>
      </c>
      <c r="M279" s="14" t="n">
        <v>335.57</v>
      </c>
      <c r="N279" s="14" t="n">
        <v>335.57</v>
      </c>
      <c r="O279" s="14" t="n">
        <v>335.57</v>
      </c>
      <c r="P279" s="14" t="n">
        <v>335.57</v>
      </c>
      <c r="Q279" s="14" t="n">
        <v>335.57</v>
      </c>
      <c r="R279" s="14" t="n">
        <v>335.57</v>
      </c>
      <c r="S279" s="14" t="n">
        <v>335.57</v>
      </c>
      <c r="T279" s="14" t="n">
        <v>335.57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CANON-202509-000946</t>
        </is>
      </c>
      <c r="B280" s="15" t="inlineStr">
        <is>
          <t>2025-09-04</t>
        </is>
      </c>
      <c r="C280" s="15" t="inlineStr">
        <is>
          <t>Leopold Vasquez</t>
        </is>
      </c>
      <c r="D280" s="15" t="inlineStr">
        <is>
          <t>ME</t>
        </is>
      </c>
      <c r="E280" s="16" t="n">
        <v>105000</v>
      </c>
      <c r="F280" s="16" t="n">
        <v>1887.94</v>
      </c>
      <c r="G280" s="16" t="n">
        <v>235.99</v>
      </c>
      <c r="H280" s="16" t="n">
        <v>235.99</v>
      </c>
      <c r="I280" s="16">
        <f>SUM(K280:T280)</f>
        <v/>
      </c>
      <c r="J280" s="16">
        <f>F280-(G280+H280+I280)</f>
        <v/>
      </c>
      <c r="K280" s="16" t="n">
        <v>141.6</v>
      </c>
      <c r="L280" s="16" t="n">
        <v>141.6</v>
      </c>
      <c r="M280" s="16" t="n">
        <v>141.6</v>
      </c>
      <c r="N280" s="16" t="n">
        <v>141.6</v>
      </c>
      <c r="O280" s="16" t="n">
        <v>141.6</v>
      </c>
      <c r="P280" s="16" t="n">
        <v>141.6</v>
      </c>
      <c r="Q280" s="16" t="n">
        <v>141.6</v>
      </c>
      <c r="R280" s="16" t="n">
        <v>141.6</v>
      </c>
      <c r="S280" s="16" t="n">
        <v>141.6</v>
      </c>
      <c r="T280" s="16" t="n">
        <v>141.6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CANON-202509-000947</t>
        </is>
      </c>
      <c r="B281" s="3" t="inlineStr">
        <is>
          <t>2025-09-09</t>
        </is>
      </c>
      <c r="C281" s="3" t="inlineStr">
        <is>
          <t>Thaddeus Ashcombe</t>
        </is>
      </c>
      <c r="D281" s="3" t="inlineStr">
        <is>
          <t>IL</t>
        </is>
      </c>
      <c r="E281" s="14" t="n">
        <v>610000</v>
      </c>
      <c r="F281" s="14" t="n">
        <v>5704.8</v>
      </c>
      <c r="G281" s="14" t="n">
        <v>713.1</v>
      </c>
      <c r="H281" s="14" t="n">
        <v>713.1</v>
      </c>
      <c r="I281" s="14">
        <f>SUM(K281:T281)</f>
        <v/>
      </c>
      <c r="J281" s="14">
        <f>F281-(G281+H281+I281)</f>
        <v/>
      </c>
      <c r="K281" s="14" t="n">
        <v>427.86</v>
      </c>
      <c r="L281" s="14" t="n">
        <v>427.86</v>
      </c>
      <c r="M281" s="14" t="n">
        <v>427.86</v>
      </c>
      <c r="N281" s="14" t="n">
        <v>427.86</v>
      </c>
      <c r="O281" s="14" t="n">
        <v>427.86</v>
      </c>
      <c r="P281" s="14" t="n">
        <v>427.86</v>
      </c>
      <c r="Q281" s="14" t="n">
        <v>427.86</v>
      </c>
      <c r="R281" s="14" t="n">
        <v>427.86</v>
      </c>
      <c r="S281" s="14" t="n">
        <v>427.86</v>
      </c>
      <c r="T281" s="14" t="n">
        <v>427.86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CANON-202509-000948</t>
        </is>
      </c>
      <c r="B282" s="15" t="inlineStr">
        <is>
          <t>2025-09-21</t>
        </is>
      </c>
      <c r="C282" s="15" t="inlineStr">
        <is>
          <t>Emiliano Whitlock</t>
        </is>
      </c>
      <c r="D282" s="15" t="inlineStr">
        <is>
          <t>MI</t>
        </is>
      </c>
      <c r="E282" s="16" t="n">
        <v>690000</v>
      </c>
      <c r="F282" s="16" t="n">
        <v>15096.05</v>
      </c>
      <c r="G282" s="16" t="n">
        <v>1887.01</v>
      </c>
      <c r="H282" s="16" t="n">
        <v>1887.01</v>
      </c>
      <c r="I282" s="16">
        <f>SUM(K282:T282)</f>
        <v/>
      </c>
      <c r="J282" s="16">
        <f>F282-(G282+H282+I282)</f>
        <v/>
      </c>
      <c r="K282" s="16" t="n">
        <v>1132.2</v>
      </c>
      <c r="L282" s="16" t="n">
        <v>1132.2</v>
      </c>
      <c r="M282" s="16" t="n">
        <v>1132.2</v>
      </c>
      <c r="N282" s="16" t="n">
        <v>1132.2</v>
      </c>
      <c r="O282" s="16" t="n">
        <v>1132.2</v>
      </c>
      <c r="P282" s="16" t="n">
        <v>1132.2</v>
      </c>
      <c r="Q282" s="16" t="n">
        <v>1132.2</v>
      </c>
      <c r="R282" s="16" t="n">
        <v>1132.2</v>
      </c>
      <c r="S282" s="16" t="n">
        <v>1132.2</v>
      </c>
      <c r="T282" s="16" t="n">
        <v>1132.2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CANON-202509-000950</t>
        </is>
      </c>
      <c r="B283" s="3" t="inlineStr">
        <is>
          <t>2025-09-18</t>
        </is>
      </c>
      <c r="C283" s="3" t="inlineStr">
        <is>
          <t>Delphine Blackwood</t>
        </is>
      </c>
      <c r="D283" s="3" t="inlineStr">
        <is>
          <t>MD</t>
        </is>
      </c>
      <c r="E283" s="14" t="n">
        <v>1135000</v>
      </c>
      <c r="F283" s="14" t="n">
        <v>6634.17</v>
      </c>
      <c r="G283" s="14" t="n">
        <v>829.27</v>
      </c>
      <c r="H283" s="14" t="n">
        <v>829.27</v>
      </c>
      <c r="I283" s="14">
        <f>SUM(K283:T283)</f>
        <v/>
      </c>
      <c r="J283" s="14">
        <f>F283-(G283+H283+I283)</f>
        <v/>
      </c>
      <c r="K283" s="14" t="n">
        <v>497.56</v>
      </c>
      <c r="L283" s="14" t="n">
        <v>497.56</v>
      </c>
      <c r="M283" s="14" t="n">
        <v>497.56</v>
      </c>
      <c r="N283" s="14" t="n">
        <v>497.56</v>
      </c>
      <c r="O283" s="14" t="n">
        <v>497.56</v>
      </c>
      <c r="P283" s="14" t="n">
        <v>497.56</v>
      </c>
      <c r="Q283" s="14" t="n">
        <v>497.56</v>
      </c>
      <c r="R283" s="14" t="n">
        <v>497.56</v>
      </c>
      <c r="S283" s="14" t="n">
        <v>497.56</v>
      </c>
      <c r="T283" s="14" t="n">
        <v>497.56</v>
      </c>
      <c r="U283" s="14" t="n">
        <v>350</v>
      </c>
      <c r="V283" s="14" t="n">
        <v>250</v>
      </c>
      <c r="W283" s="14">
        <f>U283+V283</f>
        <v/>
      </c>
    </row>
    <row r="284">
      <c r="A284" s="15" t="inlineStr">
        <is>
          <t>CANON-202509-000951</t>
        </is>
      </c>
      <c r="B284" s="15" t="inlineStr">
        <is>
          <t>2025-09-29</t>
        </is>
      </c>
      <c r="C284" s="15" t="inlineStr">
        <is>
          <t>Marisol Rourke</t>
        </is>
      </c>
      <c r="D284" s="15" t="inlineStr">
        <is>
          <t>TN</t>
        </is>
      </c>
      <c r="E284" s="16" t="n">
        <v>390000</v>
      </c>
      <c r="F284" s="16" t="n">
        <v>5187.28</v>
      </c>
      <c r="G284" s="16" t="n">
        <v>648.41</v>
      </c>
      <c r="H284" s="16" t="n">
        <v>648.41</v>
      </c>
      <c r="I284" s="16">
        <f>SUM(K284:T284)</f>
        <v/>
      </c>
      <c r="J284" s="16">
        <f>F284-(G284+H284+I284)</f>
        <v/>
      </c>
      <c r="K284" s="16" t="n">
        <v>389.05</v>
      </c>
      <c r="L284" s="16" t="n">
        <v>389.05</v>
      </c>
      <c r="M284" s="16" t="n">
        <v>389.05</v>
      </c>
      <c r="N284" s="16" t="n">
        <v>389.05</v>
      </c>
      <c r="O284" s="16" t="n">
        <v>389.05</v>
      </c>
      <c r="P284" s="16" t="n">
        <v>389.05</v>
      </c>
      <c r="Q284" s="16" t="n">
        <v>389.05</v>
      </c>
      <c r="R284" s="16" t="n">
        <v>389.05</v>
      </c>
      <c r="S284" s="16" t="n">
        <v>389.05</v>
      </c>
      <c r="T284" s="16" t="n">
        <v>389.05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CANON-202509-000952</t>
        </is>
      </c>
      <c r="B285" s="3" t="inlineStr">
        <is>
          <t>2025-09-29</t>
        </is>
      </c>
      <c r="C285" s="3" t="inlineStr">
        <is>
          <t>Lorenzo Vandermeer</t>
        </is>
      </c>
      <c r="D285" s="3" t="inlineStr">
        <is>
          <t>MN</t>
        </is>
      </c>
      <c r="E285" s="14" t="n">
        <v>555000</v>
      </c>
      <c r="F285" s="14" t="n">
        <v>10340.69</v>
      </c>
      <c r="G285" s="14" t="n">
        <v>1292.59</v>
      </c>
      <c r="H285" s="14" t="n">
        <v>1292.59</v>
      </c>
      <c r="I285" s="14">
        <f>SUM(K285:T285)</f>
        <v/>
      </c>
      <c r="J285" s="14">
        <f>F285-(G285+H285+I285)</f>
        <v/>
      </c>
      <c r="K285" s="14" t="n">
        <v>775.55</v>
      </c>
      <c r="L285" s="14" t="n">
        <v>775.55</v>
      </c>
      <c r="M285" s="14" t="n">
        <v>775.55</v>
      </c>
      <c r="N285" s="14" t="n">
        <v>775.55</v>
      </c>
      <c r="O285" s="14" t="n">
        <v>775.55</v>
      </c>
      <c r="P285" s="14" t="n">
        <v>775.55</v>
      </c>
      <c r="Q285" s="14" t="n">
        <v>775.55</v>
      </c>
      <c r="R285" s="14" t="n">
        <v>775.55</v>
      </c>
      <c r="S285" s="14" t="n">
        <v>775.55</v>
      </c>
      <c r="T285" s="14" t="n">
        <v>775.55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CANON-202509-000953</t>
        </is>
      </c>
      <c r="B286" s="15" t="inlineStr">
        <is>
          <t>2025-09-25</t>
        </is>
      </c>
      <c r="C286" s="15" t="inlineStr">
        <is>
          <t>Saoirse Whitlock</t>
        </is>
      </c>
      <c r="D286" s="15" t="inlineStr">
        <is>
          <t>PA</t>
        </is>
      </c>
      <c r="E286" s="16" t="n">
        <v>595000</v>
      </c>
      <c r="F286" s="16" t="n">
        <v>6998.72</v>
      </c>
      <c r="G286" s="16" t="n">
        <v>874.84</v>
      </c>
      <c r="H286" s="16" t="n">
        <v>874.84</v>
      </c>
      <c r="I286" s="16">
        <f>SUM(K286:T286)</f>
        <v/>
      </c>
      <c r="J286" s="16">
        <f>F286-(G286+H286+I286)</f>
        <v/>
      </c>
      <c r="K286" s="16" t="n">
        <v>524.9</v>
      </c>
      <c r="L286" s="16" t="n">
        <v>524.9</v>
      </c>
      <c r="M286" s="16" t="n">
        <v>524.9</v>
      </c>
      <c r="N286" s="16" t="n">
        <v>524.9</v>
      </c>
      <c r="O286" s="16" t="n">
        <v>524.9</v>
      </c>
      <c r="P286" s="16" t="n">
        <v>524.9</v>
      </c>
      <c r="Q286" s="16" t="n">
        <v>524.9</v>
      </c>
      <c r="R286" s="16" t="n">
        <v>524.9</v>
      </c>
      <c r="S286" s="16" t="n">
        <v>524.9</v>
      </c>
      <c r="T286" s="16" t="n">
        <v>524.9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CANON-202509-000954</t>
        </is>
      </c>
      <c r="B287" s="3" t="inlineStr">
        <is>
          <t>2025-09-18</t>
        </is>
      </c>
      <c r="C287" s="3" t="inlineStr">
        <is>
          <t>Aurelio Rourke</t>
        </is>
      </c>
      <c r="D287" s="3" t="inlineStr">
        <is>
          <t>MS</t>
        </is>
      </c>
      <c r="E287" s="14" t="n">
        <v>360000</v>
      </c>
      <c r="F287" s="14" t="n">
        <v>5814.31</v>
      </c>
      <c r="G287" s="14" t="n">
        <v>726.79</v>
      </c>
      <c r="H287" s="14" t="n">
        <v>726.79</v>
      </c>
      <c r="I287" s="14">
        <f>SUM(K287:T287)</f>
        <v/>
      </c>
      <c r="J287" s="14">
        <f>F287-(G287+H287+I287)</f>
        <v/>
      </c>
      <c r="K287" s="14" t="n">
        <v>436.07</v>
      </c>
      <c r="L287" s="14" t="n">
        <v>436.07</v>
      </c>
      <c r="M287" s="14" t="n">
        <v>436.07</v>
      </c>
      <c r="N287" s="14" t="n">
        <v>436.07</v>
      </c>
      <c r="O287" s="14" t="n">
        <v>436.07</v>
      </c>
      <c r="P287" s="14" t="n">
        <v>436.07</v>
      </c>
      <c r="Q287" s="14" t="n">
        <v>436.07</v>
      </c>
      <c r="R287" s="14" t="n">
        <v>436.07</v>
      </c>
      <c r="S287" s="14" t="n">
        <v>436.07</v>
      </c>
      <c r="T287" s="14" t="n">
        <v>436.07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CANON-202509-000955</t>
        </is>
      </c>
      <c r="B288" s="15" t="inlineStr">
        <is>
          <t>2025-09-30</t>
        </is>
      </c>
      <c r="C288" s="15" t="inlineStr">
        <is>
          <t>Mireille Nakashima</t>
        </is>
      </c>
      <c r="D288" s="15" t="inlineStr">
        <is>
          <t>LA</t>
        </is>
      </c>
      <c r="E288" s="16" t="n">
        <v>290000</v>
      </c>
      <c r="F288" s="16" t="n">
        <v>4762.48</v>
      </c>
      <c r="G288" s="16" t="n">
        <v>595.3099999999999</v>
      </c>
      <c r="H288" s="16" t="n">
        <v>595.3099999999999</v>
      </c>
      <c r="I288" s="16">
        <f>SUM(K288:T288)</f>
        <v/>
      </c>
      <c r="J288" s="16">
        <f>F288-(G288+H288+I288)</f>
        <v/>
      </c>
      <c r="K288" s="16" t="n">
        <v>357.19</v>
      </c>
      <c r="L288" s="16" t="n">
        <v>357.19</v>
      </c>
      <c r="M288" s="16" t="n">
        <v>357.19</v>
      </c>
      <c r="N288" s="16" t="n">
        <v>357.19</v>
      </c>
      <c r="O288" s="16" t="n">
        <v>357.19</v>
      </c>
      <c r="P288" s="16" t="n">
        <v>357.19</v>
      </c>
      <c r="Q288" s="16" t="n">
        <v>357.19</v>
      </c>
      <c r="R288" s="16" t="n">
        <v>357.19</v>
      </c>
      <c r="S288" s="16" t="n">
        <v>357.19</v>
      </c>
      <c r="T288" s="16" t="n">
        <v>357.19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CANON-202509-000956</t>
        </is>
      </c>
      <c r="B289" s="3" t="inlineStr">
        <is>
          <t>2025-09-25</t>
        </is>
      </c>
      <c r="C289" s="3" t="inlineStr">
        <is>
          <t>Sunniva Rourke</t>
        </is>
      </c>
      <c r="D289" s="3" t="inlineStr">
        <is>
          <t>MT</t>
        </is>
      </c>
      <c r="E289" s="14" t="n">
        <v>345000</v>
      </c>
      <c r="F289" s="14" t="n">
        <v>6677.1</v>
      </c>
      <c r="G289" s="14" t="n">
        <v>834.64</v>
      </c>
      <c r="H289" s="14" t="n">
        <v>834.64</v>
      </c>
      <c r="I289" s="14">
        <f>SUM(K289:T289)</f>
        <v/>
      </c>
      <c r="J289" s="14">
        <f>F289-(G289+H289+I289)</f>
        <v/>
      </c>
      <c r="K289" s="14" t="n">
        <v>500.78</v>
      </c>
      <c r="L289" s="14" t="n">
        <v>500.78</v>
      </c>
      <c r="M289" s="14" t="n">
        <v>500.78</v>
      </c>
      <c r="N289" s="14" t="n">
        <v>500.78</v>
      </c>
      <c r="O289" s="14" t="n">
        <v>500.78</v>
      </c>
      <c r="P289" s="14" t="n">
        <v>500.78</v>
      </c>
      <c r="Q289" s="14" t="n">
        <v>500.78</v>
      </c>
      <c r="R289" s="14" t="n">
        <v>500.78</v>
      </c>
      <c r="S289" s="14" t="n">
        <v>500.78</v>
      </c>
      <c r="T289" s="14" t="n">
        <v>500.78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CANON-202509-000957</t>
        </is>
      </c>
      <c r="B290" s="15" t="inlineStr">
        <is>
          <t>2025-09-03</t>
        </is>
      </c>
      <c r="C290" s="15" t="inlineStr">
        <is>
          <t>Sunniva Larsson</t>
        </is>
      </c>
      <c r="D290" s="15" t="inlineStr">
        <is>
          <t>LA</t>
        </is>
      </c>
      <c r="E290" s="16" t="n">
        <v>420000</v>
      </c>
      <c r="F290" s="16" t="n">
        <v>6897.38</v>
      </c>
      <c r="G290" s="16" t="n">
        <v>862.17</v>
      </c>
      <c r="H290" s="16" t="n">
        <v>862.17</v>
      </c>
      <c r="I290" s="16">
        <f>SUM(K290:T290)</f>
        <v/>
      </c>
      <c r="J290" s="16">
        <f>F290-(G290+H290+I290)</f>
        <v/>
      </c>
      <c r="K290" s="16" t="n">
        <v>517.3</v>
      </c>
      <c r="L290" s="16" t="n">
        <v>517.3</v>
      </c>
      <c r="M290" s="16" t="n">
        <v>517.3</v>
      </c>
      <c r="N290" s="16" t="n">
        <v>517.3</v>
      </c>
      <c r="O290" s="16" t="n">
        <v>517.3</v>
      </c>
      <c r="P290" s="16" t="n">
        <v>517.3</v>
      </c>
      <c r="Q290" s="16" t="n">
        <v>517.3</v>
      </c>
      <c r="R290" s="16" t="n">
        <v>517.3</v>
      </c>
      <c r="S290" s="16" t="n">
        <v>517.3</v>
      </c>
      <c r="T290" s="16" t="n">
        <v>517.3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CANON-202509-000958</t>
        </is>
      </c>
      <c r="B291" s="3" t="inlineStr">
        <is>
          <t>2025-09-11</t>
        </is>
      </c>
      <c r="C291" s="3" t="inlineStr">
        <is>
          <t>Mireille Larsson</t>
        </is>
      </c>
      <c r="D291" s="3" t="inlineStr">
        <is>
          <t>FL</t>
        </is>
      </c>
      <c r="E291" s="14" t="n">
        <v>440000</v>
      </c>
      <c r="F291" s="14" t="n">
        <v>9949.74</v>
      </c>
      <c r="G291" s="14" t="n">
        <v>1243.72</v>
      </c>
      <c r="H291" s="14" t="n">
        <v>1243.72</v>
      </c>
      <c r="I291" s="14">
        <f>SUM(K291:T291)</f>
        <v/>
      </c>
      <c r="J291" s="14">
        <f>F291-(G291+H291+I291)</f>
        <v/>
      </c>
      <c r="K291" s="14" t="n">
        <v>746.23</v>
      </c>
      <c r="L291" s="14" t="n">
        <v>746.23</v>
      </c>
      <c r="M291" s="14" t="n">
        <v>746.23</v>
      </c>
      <c r="N291" s="14" t="n">
        <v>746.23</v>
      </c>
      <c r="O291" s="14" t="n">
        <v>746.23</v>
      </c>
      <c r="P291" s="14" t="n">
        <v>746.23</v>
      </c>
      <c r="Q291" s="14" t="n">
        <v>746.23</v>
      </c>
      <c r="R291" s="14" t="n">
        <v>746.23</v>
      </c>
      <c r="S291" s="14" t="n">
        <v>746.23</v>
      </c>
      <c r="T291" s="14" t="n">
        <v>746.23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CANON-202509-000960</t>
        </is>
      </c>
      <c r="B292" s="15" t="inlineStr">
        <is>
          <t>2025-09-03</t>
        </is>
      </c>
      <c r="C292" s="15" t="inlineStr">
        <is>
          <t>Everett Larsson</t>
        </is>
      </c>
      <c r="D292" s="15" t="inlineStr">
        <is>
          <t>FL</t>
        </is>
      </c>
      <c r="E292" s="16" t="n">
        <v>455000</v>
      </c>
      <c r="F292" s="16" t="n">
        <v>8768.969999999999</v>
      </c>
      <c r="G292" s="16" t="n">
        <v>1096.12</v>
      </c>
      <c r="H292" s="16" t="n">
        <v>1096.12</v>
      </c>
      <c r="I292" s="16">
        <f>SUM(K292:T292)</f>
        <v/>
      </c>
      <c r="J292" s="16">
        <f>F292-(G292+H292+I292)</f>
        <v/>
      </c>
      <c r="K292" s="16" t="n">
        <v>657.67</v>
      </c>
      <c r="L292" s="16" t="n">
        <v>657.67</v>
      </c>
      <c r="M292" s="16" t="n">
        <v>657.67</v>
      </c>
      <c r="N292" s="16" t="n">
        <v>657.67</v>
      </c>
      <c r="O292" s="16" t="n">
        <v>657.67</v>
      </c>
      <c r="P292" s="16" t="n">
        <v>657.67</v>
      </c>
      <c r="Q292" s="16" t="n">
        <v>657.67</v>
      </c>
      <c r="R292" s="16" t="n">
        <v>657.67</v>
      </c>
      <c r="S292" s="16" t="n">
        <v>657.67</v>
      </c>
      <c r="T292" s="16" t="n">
        <v>657.67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CANON-202509-000961</t>
        </is>
      </c>
      <c r="B293" s="3" t="inlineStr">
        <is>
          <t>2025-09-01</t>
        </is>
      </c>
      <c r="C293" s="3" t="inlineStr">
        <is>
          <t>Cassius Vandermeer</t>
        </is>
      </c>
      <c r="D293" s="3" t="inlineStr">
        <is>
          <t>WV</t>
        </is>
      </c>
      <c r="E293" s="14" t="n">
        <v>200000</v>
      </c>
      <c r="F293" s="14" t="n">
        <v>4428.51</v>
      </c>
      <c r="G293" s="14" t="n">
        <v>553.5599999999999</v>
      </c>
      <c r="H293" s="14" t="n">
        <v>553.5599999999999</v>
      </c>
      <c r="I293" s="14">
        <f>SUM(K293:T293)</f>
        <v/>
      </c>
      <c r="J293" s="14">
        <f>F293-(G293+H293+I293)</f>
        <v/>
      </c>
      <c r="K293" s="14" t="n">
        <v>332.14</v>
      </c>
      <c r="L293" s="14" t="n">
        <v>332.14</v>
      </c>
      <c r="M293" s="14" t="n">
        <v>332.14</v>
      </c>
      <c r="N293" s="14" t="n">
        <v>332.14</v>
      </c>
      <c r="O293" s="14" t="n">
        <v>332.14</v>
      </c>
      <c r="P293" s="14" t="n">
        <v>332.14</v>
      </c>
      <c r="Q293" s="14" t="n">
        <v>332.14</v>
      </c>
      <c r="R293" s="14" t="n">
        <v>332.14</v>
      </c>
      <c r="S293" s="14" t="n">
        <v>332.14</v>
      </c>
      <c r="T293" s="14" t="n">
        <v>332.14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CANON-202509-000963</t>
        </is>
      </c>
      <c r="B294" s="15" t="inlineStr">
        <is>
          <t>2025-09-05</t>
        </is>
      </c>
      <c r="C294" s="15" t="inlineStr">
        <is>
          <t>Sunniva Underwood</t>
        </is>
      </c>
      <c r="D294" s="15" t="inlineStr">
        <is>
          <t>MO</t>
        </is>
      </c>
      <c r="E294" s="16" t="n">
        <v>1485000</v>
      </c>
      <c r="F294" s="16" t="n">
        <v>15666.9</v>
      </c>
      <c r="G294" s="16" t="n">
        <v>1958.36</v>
      </c>
      <c r="H294" s="16" t="n">
        <v>1958.36</v>
      </c>
      <c r="I294" s="16">
        <f>SUM(K294:T294)</f>
        <v/>
      </c>
      <c r="J294" s="16">
        <f>F294-(G294+H294+I294)</f>
        <v/>
      </c>
      <c r="K294" s="16" t="n">
        <v>1175.02</v>
      </c>
      <c r="L294" s="16" t="n">
        <v>1175.02</v>
      </c>
      <c r="M294" s="16" t="n">
        <v>1175.02</v>
      </c>
      <c r="N294" s="16" t="n">
        <v>1175.02</v>
      </c>
      <c r="O294" s="16" t="n">
        <v>1175.02</v>
      </c>
      <c r="P294" s="16" t="n">
        <v>1175.02</v>
      </c>
      <c r="Q294" s="16" t="n">
        <v>1175.02</v>
      </c>
      <c r="R294" s="16" t="n">
        <v>1175.02</v>
      </c>
      <c r="S294" s="16" t="n">
        <v>1175.02</v>
      </c>
      <c r="T294" s="16" t="n">
        <v>1175.02</v>
      </c>
      <c r="U294" s="16" t="n">
        <v>350</v>
      </c>
      <c r="V294" s="16" t="n">
        <v>250</v>
      </c>
      <c r="W294" s="16">
        <f>U294+V294</f>
        <v/>
      </c>
    </row>
    <row r="295">
      <c r="A295" s="3" t="inlineStr">
        <is>
          <t>CANON-202509-000964</t>
        </is>
      </c>
      <c r="B295" s="3" t="inlineStr">
        <is>
          <t>2025-09-16</t>
        </is>
      </c>
      <c r="C295" s="3" t="inlineStr">
        <is>
          <t>Fenwick Chattopadhyay</t>
        </is>
      </c>
      <c r="D295" s="3" t="inlineStr">
        <is>
          <t>MT</t>
        </is>
      </c>
      <c r="E295" s="14" t="n">
        <v>790000</v>
      </c>
      <c r="F295" s="14" t="n">
        <v>8641.940000000001</v>
      </c>
      <c r="G295" s="14" t="n">
        <v>1080.24</v>
      </c>
      <c r="H295" s="14" t="n">
        <v>1080.24</v>
      </c>
      <c r="I295" s="14">
        <f>SUM(K295:T295)</f>
        <v/>
      </c>
      <c r="J295" s="14">
        <f>F295-(G295+H295+I295)</f>
        <v/>
      </c>
      <c r="K295" s="14" t="n">
        <v>648.15</v>
      </c>
      <c r="L295" s="14" t="n">
        <v>648.15</v>
      </c>
      <c r="M295" s="14" t="n">
        <v>648.15</v>
      </c>
      <c r="N295" s="14" t="n">
        <v>648.15</v>
      </c>
      <c r="O295" s="14" t="n">
        <v>648.15</v>
      </c>
      <c r="P295" s="14" t="n">
        <v>648.15</v>
      </c>
      <c r="Q295" s="14" t="n">
        <v>648.15</v>
      </c>
      <c r="R295" s="14" t="n">
        <v>648.15</v>
      </c>
      <c r="S295" s="14" t="n">
        <v>648.15</v>
      </c>
      <c r="T295" s="14" t="n">
        <v>648.15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CANON-202509-000965</t>
        </is>
      </c>
      <c r="B296" s="15" t="inlineStr">
        <is>
          <t>2025-09-12</t>
        </is>
      </c>
      <c r="C296" s="15" t="inlineStr">
        <is>
          <t>Ramona Merriweather</t>
        </is>
      </c>
      <c r="D296" s="15" t="inlineStr">
        <is>
          <t>TX</t>
        </is>
      </c>
      <c r="E296" s="16" t="n">
        <v>820000</v>
      </c>
      <c r="F296" s="16" t="n">
        <v>7337.83</v>
      </c>
      <c r="G296" s="16" t="n">
        <v>917.23</v>
      </c>
      <c r="H296" s="16" t="n">
        <v>917.23</v>
      </c>
      <c r="I296" s="16">
        <f>SUM(K296:T296)</f>
        <v/>
      </c>
      <c r="J296" s="16">
        <f>F296-(G296+H296+I296)</f>
        <v/>
      </c>
      <c r="K296" s="16" t="n">
        <v>550.34</v>
      </c>
      <c r="L296" s="16" t="n">
        <v>550.34</v>
      </c>
      <c r="M296" s="16" t="n">
        <v>550.34</v>
      </c>
      <c r="N296" s="16" t="n">
        <v>550.34</v>
      </c>
      <c r="O296" s="16" t="n">
        <v>550.34</v>
      </c>
      <c r="P296" s="16" t="n">
        <v>550.34</v>
      </c>
      <c r="Q296" s="16" t="n">
        <v>550.34</v>
      </c>
      <c r="R296" s="16" t="n">
        <v>550.34</v>
      </c>
      <c r="S296" s="16" t="n">
        <v>550.34</v>
      </c>
      <c r="T296" s="16" t="n">
        <v>550.34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CANON-202509-000967</t>
        </is>
      </c>
      <c r="B297" s="3" t="inlineStr">
        <is>
          <t>2025-09-19</t>
        </is>
      </c>
      <c r="C297" s="3" t="inlineStr">
        <is>
          <t>Mireille Montoya</t>
        </is>
      </c>
      <c r="D297" s="3" t="inlineStr">
        <is>
          <t>WA</t>
        </is>
      </c>
      <c r="E297" s="14" t="n">
        <v>305000</v>
      </c>
      <c r="F297" s="14" t="n">
        <v>3973.93</v>
      </c>
      <c r="G297" s="14" t="n">
        <v>496.74</v>
      </c>
      <c r="H297" s="14" t="n">
        <v>496.74</v>
      </c>
      <c r="I297" s="14">
        <f>SUM(K297:T297)</f>
        <v/>
      </c>
      <c r="J297" s="14">
        <f>F297-(G297+H297+I297)</f>
        <v/>
      </c>
      <c r="K297" s="14" t="n">
        <v>298.04</v>
      </c>
      <c r="L297" s="14" t="n">
        <v>298.04</v>
      </c>
      <c r="M297" s="14" t="n">
        <v>298.04</v>
      </c>
      <c r="N297" s="14" t="n">
        <v>298.04</v>
      </c>
      <c r="O297" s="14" t="n">
        <v>298.04</v>
      </c>
      <c r="P297" s="14" t="n">
        <v>298.04</v>
      </c>
      <c r="Q297" s="14" t="n">
        <v>298.04</v>
      </c>
      <c r="R297" s="14" t="n">
        <v>298.04</v>
      </c>
      <c r="S297" s="14" t="n">
        <v>298.04</v>
      </c>
      <c r="T297" s="14" t="n">
        <v>298.04</v>
      </c>
      <c r="U297" s="14" t="n">
        <v>350</v>
      </c>
      <c r="V297" s="14" t="n">
        <v>0</v>
      </c>
      <c r="W297" s="14">
        <f>U297+V297</f>
        <v/>
      </c>
    </row>
    <row r="298">
      <c r="A298" s="15" t="inlineStr">
        <is>
          <t>CANON-202509-000970</t>
        </is>
      </c>
      <c r="B298" s="15" t="inlineStr">
        <is>
          <t>2025-09-16</t>
        </is>
      </c>
      <c r="C298" s="15" t="inlineStr">
        <is>
          <t>Ramona Harrington</t>
        </is>
      </c>
      <c r="D298" s="15" t="inlineStr">
        <is>
          <t>IL</t>
        </is>
      </c>
      <c r="E298" s="16" t="n">
        <v>415000</v>
      </c>
      <c r="F298" s="16" t="n">
        <v>7660.13</v>
      </c>
      <c r="G298" s="16" t="n">
        <v>957.52</v>
      </c>
      <c r="H298" s="16" t="n">
        <v>957.52</v>
      </c>
      <c r="I298" s="16">
        <f>SUM(K298:T298)</f>
        <v/>
      </c>
      <c r="J298" s="16">
        <f>F298-(G298+H298+I298)</f>
        <v/>
      </c>
      <c r="K298" s="16" t="n">
        <v>574.51</v>
      </c>
      <c r="L298" s="16" t="n">
        <v>574.51</v>
      </c>
      <c r="M298" s="16" t="n">
        <v>574.51</v>
      </c>
      <c r="N298" s="16" t="n">
        <v>574.51</v>
      </c>
      <c r="O298" s="16" t="n">
        <v>574.51</v>
      </c>
      <c r="P298" s="16" t="n">
        <v>574.51</v>
      </c>
      <c r="Q298" s="16" t="n">
        <v>574.51</v>
      </c>
      <c r="R298" s="16" t="n">
        <v>574.51</v>
      </c>
      <c r="S298" s="16" t="n">
        <v>574.51</v>
      </c>
      <c r="T298" s="16" t="n">
        <v>574.51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CANON-202509-000971</t>
        </is>
      </c>
      <c r="B299" s="3" t="inlineStr">
        <is>
          <t>2025-09-17</t>
        </is>
      </c>
      <c r="C299" s="3" t="inlineStr">
        <is>
          <t>Anouk Vasquez</t>
        </is>
      </c>
      <c r="D299" s="3" t="inlineStr">
        <is>
          <t>WA</t>
        </is>
      </c>
      <c r="E299" s="14" t="n">
        <v>470000</v>
      </c>
      <c r="F299" s="14" t="n">
        <v>9389.77</v>
      </c>
      <c r="G299" s="14" t="n">
        <v>1173.72</v>
      </c>
      <c r="H299" s="14" t="n">
        <v>1173.72</v>
      </c>
      <c r="I299" s="14">
        <f>SUM(K299:T299)</f>
        <v/>
      </c>
      <c r="J299" s="14">
        <f>F299-(G299+H299+I299)</f>
        <v/>
      </c>
      <c r="K299" s="14" t="n">
        <v>704.23</v>
      </c>
      <c r="L299" s="14" t="n">
        <v>704.23</v>
      </c>
      <c r="M299" s="14" t="n">
        <v>704.23</v>
      </c>
      <c r="N299" s="14" t="n">
        <v>704.23</v>
      </c>
      <c r="O299" s="14" t="n">
        <v>704.23</v>
      </c>
      <c r="P299" s="14" t="n">
        <v>704.23</v>
      </c>
      <c r="Q299" s="14" t="n">
        <v>704.23</v>
      </c>
      <c r="R299" s="14" t="n">
        <v>704.23</v>
      </c>
      <c r="S299" s="14" t="n">
        <v>704.23</v>
      </c>
      <c r="T299" s="14" t="n">
        <v>704.23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CANON-202509-000972</t>
        </is>
      </c>
      <c r="B300" s="15" t="inlineStr">
        <is>
          <t>2025-09-13</t>
        </is>
      </c>
      <c r="C300" s="15" t="inlineStr">
        <is>
          <t>Delphine Okonkwo</t>
        </is>
      </c>
      <c r="D300" s="15" t="inlineStr">
        <is>
          <t>AR</t>
        </is>
      </c>
      <c r="E300" s="16" t="n">
        <v>595000</v>
      </c>
      <c r="F300" s="16" t="n">
        <v>9658.219999999999</v>
      </c>
      <c r="G300" s="16" t="n">
        <v>1207.28</v>
      </c>
      <c r="H300" s="16" t="n">
        <v>1207.28</v>
      </c>
      <c r="I300" s="16">
        <f>SUM(K300:T300)</f>
        <v/>
      </c>
      <c r="J300" s="16">
        <f>F300-(G300+H300+I300)</f>
        <v/>
      </c>
      <c r="K300" s="16" t="n">
        <v>724.37</v>
      </c>
      <c r="L300" s="16" t="n">
        <v>724.37</v>
      </c>
      <c r="M300" s="16" t="n">
        <v>724.37</v>
      </c>
      <c r="N300" s="16" t="n">
        <v>724.37</v>
      </c>
      <c r="O300" s="16" t="n">
        <v>724.37</v>
      </c>
      <c r="P300" s="16" t="n">
        <v>724.37</v>
      </c>
      <c r="Q300" s="16" t="n">
        <v>724.37</v>
      </c>
      <c r="R300" s="16" t="n">
        <v>724.37</v>
      </c>
      <c r="S300" s="16" t="n">
        <v>724.37</v>
      </c>
      <c r="T300" s="16" t="n">
        <v>724.37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CANON-202509-000975</t>
        </is>
      </c>
      <c r="B301" s="3" t="inlineStr">
        <is>
          <t>2025-09-30</t>
        </is>
      </c>
      <c r="C301" s="3" t="inlineStr">
        <is>
          <t>Cassius Thistlewood</t>
        </is>
      </c>
      <c r="D301" s="3" t="inlineStr">
        <is>
          <t>NE</t>
        </is>
      </c>
      <c r="E301" s="14" t="n">
        <v>940000</v>
      </c>
      <c r="F301" s="14" t="n">
        <v>21007.91</v>
      </c>
      <c r="G301" s="14" t="n">
        <v>2625.99</v>
      </c>
      <c r="H301" s="14" t="n">
        <v>2625.99</v>
      </c>
      <c r="I301" s="14">
        <f>SUM(K301:T301)</f>
        <v/>
      </c>
      <c r="J301" s="14">
        <f>F301-(G301+H301+I301)</f>
        <v/>
      </c>
      <c r="K301" s="14" t="n">
        <v>1575.59</v>
      </c>
      <c r="L301" s="14" t="n">
        <v>1575.59</v>
      </c>
      <c r="M301" s="14" t="n">
        <v>1575.59</v>
      </c>
      <c r="N301" s="14" t="n">
        <v>1575.59</v>
      </c>
      <c r="O301" s="14" t="n">
        <v>1575.59</v>
      </c>
      <c r="P301" s="14" t="n">
        <v>1575.59</v>
      </c>
      <c r="Q301" s="14" t="n">
        <v>1575.59</v>
      </c>
      <c r="R301" s="14" t="n">
        <v>1575.59</v>
      </c>
      <c r="S301" s="14" t="n">
        <v>1575.59</v>
      </c>
      <c r="T301" s="14" t="n">
        <v>1575.59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CANON-202509-000976</t>
        </is>
      </c>
      <c r="B302" s="15" t="inlineStr">
        <is>
          <t>2025-09-19</t>
        </is>
      </c>
      <c r="C302" s="15" t="inlineStr">
        <is>
          <t>Ramona Castellanos</t>
        </is>
      </c>
      <c r="D302" s="15" t="inlineStr">
        <is>
          <t>FL</t>
        </is>
      </c>
      <c r="E302" s="16" t="n">
        <v>855000</v>
      </c>
      <c r="F302" s="16" t="n">
        <v>17137.09</v>
      </c>
      <c r="G302" s="16" t="n">
        <v>2142.14</v>
      </c>
      <c r="H302" s="16" t="n">
        <v>2142.14</v>
      </c>
      <c r="I302" s="16">
        <f>SUM(K302:T302)</f>
        <v/>
      </c>
      <c r="J302" s="16">
        <f>F302-(G302+H302+I302)</f>
        <v/>
      </c>
      <c r="K302" s="16" t="n">
        <v>1285.28</v>
      </c>
      <c r="L302" s="16" t="n">
        <v>1285.28</v>
      </c>
      <c r="M302" s="16" t="n">
        <v>1285.28</v>
      </c>
      <c r="N302" s="16" t="n">
        <v>1285.28</v>
      </c>
      <c r="O302" s="16" t="n">
        <v>1285.28</v>
      </c>
      <c r="P302" s="16" t="n">
        <v>1285.28</v>
      </c>
      <c r="Q302" s="16" t="n">
        <v>1285.28</v>
      </c>
      <c r="R302" s="16" t="n">
        <v>1285.28</v>
      </c>
      <c r="S302" s="16" t="n">
        <v>1285.28</v>
      </c>
      <c r="T302" s="16" t="n">
        <v>1285.28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CANON-202509-000980</t>
        </is>
      </c>
      <c r="B303" s="3" t="inlineStr">
        <is>
          <t>2025-09-16</t>
        </is>
      </c>
      <c r="C303" s="3" t="inlineStr">
        <is>
          <t>Emiliano Montoya</t>
        </is>
      </c>
      <c r="D303" s="3" t="inlineStr">
        <is>
          <t>LA</t>
        </is>
      </c>
      <c r="E303" s="14" t="n">
        <v>745000</v>
      </c>
      <c r="F303" s="14" t="n">
        <v>10603.35</v>
      </c>
      <c r="G303" s="14" t="n">
        <v>1325.42</v>
      </c>
      <c r="H303" s="14" t="n">
        <v>1325.42</v>
      </c>
      <c r="I303" s="14">
        <f>SUM(K303:T303)</f>
        <v/>
      </c>
      <c r="J303" s="14">
        <f>F303-(G303+H303+I303)</f>
        <v/>
      </c>
      <c r="K303" s="14" t="n">
        <v>795.25</v>
      </c>
      <c r="L303" s="14" t="n">
        <v>795.25</v>
      </c>
      <c r="M303" s="14" t="n">
        <v>795.25</v>
      </c>
      <c r="N303" s="14" t="n">
        <v>795.25</v>
      </c>
      <c r="O303" s="14" t="n">
        <v>795.25</v>
      </c>
      <c r="P303" s="14" t="n">
        <v>795.25</v>
      </c>
      <c r="Q303" s="14" t="n">
        <v>795.25</v>
      </c>
      <c r="R303" s="14" t="n">
        <v>795.25</v>
      </c>
      <c r="S303" s="14" t="n">
        <v>795.25</v>
      </c>
      <c r="T303" s="14" t="n">
        <v>795.25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CANON-202509-000981</t>
        </is>
      </c>
      <c r="B304" s="15" t="inlineStr">
        <is>
          <t>2025-09-21</t>
        </is>
      </c>
      <c r="C304" s="15" t="inlineStr">
        <is>
          <t>Leopold Pennington</t>
        </is>
      </c>
      <c r="D304" s="15" t="inlineStr">
        <is>
          <t>AL</t>
        </is>
      </c>
      <c r="E304" s="16" t="n">
        <v>210000</v>
      </c>
      <c r="F304" s="16" t="n">
        <v>6853.3</v>
      </c>
      <c r="G304" s="16" t="n">
        <v>856.66</v>
      </c>
      <c r="H304" s="16" t="n">
        <v>856.66</v>
      </c>
      <c r="I304" s="16">
        <f>SUM(K304:T304)</f>
        <v/>
      </c>
      <c r="J304" s="16">
        <f>F304-(G304+H304+I304)</f>
        <v/>
      </c>
      <c r="K304" s="16" t="n">
        <v>514</v>
      </c>
      <c r="L304" s="16" t="n">
        <v>514</v>
      </c>
      <c r="M304" s="16" t="n">
        <v>514</v>
      </c>
      <c r="N304" s="16" t="n">
        <v>514</v>
      </c>
      <c r="O304" s="16" t="n">
        <v>514</v>
      </c>
      <c r="P304" s="16" t="n">
        <v>514</v>
      </c>
      <c r="Q304" s="16" t="n">
        <v>514</v>
      </c>
      <c r="R304" s="16" t="n">
        <v>514</v>
      </c>
      <c r="S304" s="16" t="n">
        <v>514</v>
      </c>
      <c r="T304" s="16" t="n">
        <v>514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CANON-202509-000982</t>
        </is>
      </c>
      <c r="B305" s="3" t="inlineStr">
        <is>
          <t>2025-09-30</t>
        </is>
      </c>
      <c r="C305" s="3" t="inlineStr">
        <is>
          <t>Leopold Kingsford</t>
        </is>
      </c>
      <c r="D305" s="3" t="inlineStr">
        <is>
          <t>NY</t>
        </is>
      </c>
      <c r="E305" s="14" t="n">
        <v>535000</v>
      </c>
      <c r="F305" s="14" t="n">
        <v>8054.99</v>
      </c>
      <c r="G305" s="14" t="n">
        <v>1006.87</v>
      </c>
      <c r="H305" s="14" t="n">
        <v>1006.87</v>
      </c>
      <c r="I305" s="14">
        <f>SUM(K305:T305)</f>
        <v/>
      </c>
      <c r="J305" s="14">
        <f>F305-(G305+H305+I305)</f>
        <v/>
      </c>
      <c r="K305" s="14" t="n">
        <v>604.12</v>
      </c>
      <c r="L305" s="14" t="n">
        <v>604.12</v>
      </c>
      <c r="M305" s="14" t="n">
        <v>604.12</v>
      </c>
      <c r="N305" s="14" t="n">
        <v>604.12</v>
      </c>
      <c r="O305" s="14" t="n">
        <v>604.12</v>
      </c>
      <c r="P305" s="14" t="n">
        <v>604.12</v>
      </c>
      <c r="Q305" s="14" t="n">
        <v>604.12</v>
      </c>
      <c r="R305" s="14" t="n">
        <v>604.12</v>
      </c>
      <c r="S305" s="14" t="n">
        <v>604.12</v>
      </c>
      <c r="T305" s="14" t="n">
        <v>604.12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CANON-202509-000983</t>
        </is>
      </c>
      <c r="B306" s="15" t="inlineStr">
        <is>
          <t>2025-09-30</t>
        </is>
      </c>
      <c r="C306" s="15" t="inlineStr">
        <is>
          <t>Aurelio Chattopadhyay</t>
        </is>
      </c>
      <c r="D306" s="15" t="inlineStr">
        <is>
          <t>DE</t>
        </is>
      </c>
      <c r="E306" s="16" t="n">
        <v>390000</v>
      </c>
      <c r="F306" s="16" t="n">
        <v>6616.43</v>
      </c>
      <c r="G306" s="16" t="n">
        <v>827.05</v>
      </c>
      <c r="H306" s="16" t="n">
        <v>827.05</v>
      </c>
      <c r="I306" s="16">
        <f>SUM(K306:T306)</f>
        <v/>
      </c>
      <c r="J306" s="16">
        <f>F306-(G306+H306+I306)</f>
        <v/>
      </c>
      <c r="K306" s="16" t="n">
        <v>496.23</v>
      </c>
      <c r="L306" s="16" t="n">
        <v>496.23</v>
      </c>
      <c r="M306" s="16" t="n">
        <v>496.23</v>
      </c>
      <c r="N306" s="16" t="n">
        <v>496.23</v>
      </c>
      <c r="O306" s="16" t="n">
        <v>496.23</v>
      </c>
      <c r="P306" s="16" t="n">
        <v>496.23</v>
      </c>
      <c r="Q306" s="16" t="n">
        <v>496.23</v>
      </c>
      <c r="R306" s="16" t="n">
        <v>496.23</v>
      </c>
      <c r="S306" s="16" t="n">
        <v>496.23</v>
      </c>
      <c r="T306" s="16" t="n">
        <v>496.23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CANON-202509-000984</t>
        </is>
      </c>
      <c r="B307" s="3" t="inlineStr">
        <is>
          <t>2025-09-20</t>
        </is>
      </c>
      <c r="C307" s="3" t="inlineStr">
        <is>
          <t>Delphine Delacroix</t>
        </is>
      </c>
      <c r="D307" s="3" t="inlineStr">
        <is>
          <t>OH</t>
        </is>
      </c>
      <c r="E307" s="14" t="n">
        <v>330000</v>
      </c>
      <c r="F307" s="14" t="n">
        <v>6225.56</v>
      </c>
      <c r="G307" s="14" t="n">
        <v>778.2</v>
      </c>
      <c r="H307" s="14" t="n">
        <v>778.2</v>
      </c>
      <c r="I307" s="14">
        <f>SUM(K307:T307)</f>
        <v/>
      </c>
      <c r="J307" s="14">
        <f>F307-(G307+H307+I307)</f>
        <v/>
      </c>
      <c r="K307" s="14" t="n">
        <v>466.92</v>
      </c>
      <c r="L307" s="14" t="n">
        <v>466.92</v>
      </c>
      <c r="M307" s="14" t="n">
        <v>466.92</v>
      </c>
      <c r="N307" s="14" t="n">
        <v>466.92</v>
      </c>
      <c r="O307" s="14" t="n">
        <v>466.92</v>
      </c>
      <c r="P307" s="14" t="n">
        <v>466.92</v>
      </c>
      <c r="Q307" s="14" t="n">
        <v>466.92</v>
      </c>
      <c r="R307" s="14" t="n">
        <v>466.92</v>
      </c>
      <c r="S307" s="14" t="n">
        <v>466.92</v>
      </c>
      <c r="T307" s="14" t="n">
        <v>466.92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CANON-202509-000986</t>
        </is>
      </c>
      <c r="B308" s="15" t="inlineStr">
        <is>
          <t>2025-09-24</t>
        </is>
      </c>
      <c r="C308" s="15" t="inlineStr">
        <is>
          <t>Mireille Blackwood</t>
        </is>
      </c>
      <c r="D308" s="15" t="inlineStr">
        <is>
          <t>NY</t>
        </is>
      </c>
      <c r="E308" s="16" t="n">
        <v>385000</v>
      </c>
      <c r="F308" s="16" t="n">
        <v>4280.55</v>
      </c>
      <c r="G308" s="16" t="n">
        <v>535.0700000000001</v>
      </c>
      <c r="H308" s="16" t="n">
        <v>535.0700000000001</v>
      </c>
      <c r="I308" s="16">
        <f>SUM(K308:T308)</f>
        <v/>
      </c>
      <c r="J308" s="16">
        <f>F308-(G308+H308+I308)</f>
        <v/>
      </c>
      <c r="K308" s="16" t="n">
        <v>321.04</v>
      </c>
      <c r="L308" s="16" t="n">
        <v>321.04</v>
      </c>
      <c r="M308" s="16" t="n">
        <v>321.04</v>
      </c>
      <c r="N308" s="16" t="n">
        <v>321.04</v>
      </c>
      <c r="O308" s="16" t="n">
        <v>321.04</v>
      </c>
      <c r="P308" s="16" t="n">
        <v>321.04</v>
      </c>
      <c r="Q308" s="16" t="n">
        <v>321.04</v>
      </c>
      <c r="R308" s="16" t="n">
        <v>321.04</v>
      </c>
      <c r="S308" s="16" t="n">
        <v>321.04</v>
      </c>
      <c r="T308" s="16" t="n">
        <v>321.04</v>
      </c>
      <c r="U308" s="16" t="n">
        <v>350</v>
      </c>
      <c r="V308" s="16" t="n">
        <v>0</v>
      </c>
      <c r="W308" s="16">
        <f>U308+V308</f>
        <v/>
      </c>
    </row>
    <row r="309">
      <c r="A309" s="3" t="inlineStr">
        <is>
          <t>CANON-202509-000987</t>
        </is>
      </c>
      <c r="B309" s="3" t="inlineStr">
        <is>
          <t>2025-09-29</t>
        </is>
      </c>
      <c r="C309" s="3" t="inlineStr">
        <is>
          <t>Priya Harrington</t>
        </is>
      </c>
      <c r="D309" s="3" t="inlineStr">
        <is>
          <t>NJ</t>
        </is>
      </c>
      <c r="E309" s="14" t="n">
        <v>340000</v>
      </c>
      <c r="F309" s="14" t="n">
        <v>4199.23</v>
      </c>
      <c r="G309" s="14" t="n">
        <v>524.9</v>
      </c>
      <c r="H309" s="14" t="n">
        <v>524.9</v>
      </c>
      <c r="I309" s="14">
        <f>SUM(K309:T309)</f>
        <v/>
      </c>
      <c r="J309" s="14">
        <f>F309-(G309+H309+I309)</f>
        <v/>
      </c>
      <c r="K309" s="14" t="n">
        <v>314.94</v>
      </c>
      <c r="L309" s="14" t="n">
        <v>314.94</v>
      </c>
      <c r="M309" s="14" t="n">
        <v>314.94</v>
      </c>
      <c r="N309" s="14" t="n">
        <v>314.94</v>
      </c>
      <c r="O309" s="14" t="n">
        <v>314.94</v>
      </c>
      <c r="P309" s="14" t="n">
        <v>314.94</v>
      </c>
      <c r="Q309" s="14" t="n">
        <v>314.94</v>
      </c>
      <c r="R309" s="14" t="n">
        <v>314.94</v>
      </c>
      <c r="S309" s="14" t="n">
        <v>314.94</v>
      </c>
      <c r="T309" s="14" t="n">
        <v>314.94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CANON-202509-000988</t>
        </is>
      </c>
      <c r="B310" s="15" t="inlineStr">
        <is>
          <t>2025-09-25</t>
        </is>
      </c>
      <c r="C310" s="15" t="inlineStr">
        <is>
          <t>Aurelio Rourke</t>
        </is>
      </c>
      <c r="D310" s="15" t="inlineStr">
        <is>
          <t>MS</t>
        </is>
      </c>
      <c r="E310" s="16" t="n">
        <v>265000</v>
      </c>
      <c r="F310" s="16" t="n">
        <v>4279.98</v>
      </c>
      <c r="G310" s="16" t="n">
        <v>535</v>
      </c>
      <c r="H310" s="16" t="n">
        <v>535</v>
      </c>
      <c r="I310" s="16">
        <f>SUM(K310:T310)</f>
        <v/>
      </c>
      <c r="J310" s="16">
        <f>F310-(G310+H310+I310)</f>
        <v/>
      </c>
      <c r="K310" s="16" t="n">
        <v>321</v>
      </c>
      <c r="L310" s="16" t="n">
        <v>321</v>
      </c>
      <c r="M310" s="16" t="n">
        <v>321</v>
      </c>
      <c r="N310" s="16" t="n">
        <v>321</v>
      </c>
      <c r="O310" s="16" t="n">
        <v>321</v>
      </c>
      <c r="P310" s="16" t="n">
        <v>321</v>
      </c>
      <c r="Q310" s="16" t="n">
        <v>321</v>
      </c>
      <c r="R310" s="16" t="n">
        <v>321</v>
      </c>
      <c r="S310" s="16" t="n">
        <v>321</v>
      </c>
      <c r="T310" s="16" t="n">
        <v>321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CANON-202509-000989</t>
        </is>
      </c>
      <c r="B311" s="3" t="inlineStr">
        <is>
          <t>2025-09-20</t>
        </is>
      </c>
      <c r="C311" s="3" t="inlineStr">
        <is>
          <t>Beatrix Montoya</t>
        </is>
      </c>
      <c r="D311" s="3" t="inlineStr">
        <is>
          <t>MD</t>
        </is>
      </c>
      <c r="E311" s="14" t="n">
        <v>770000</v>
      </c>
      <c r="F311" s="14" t="n">
        <v>12575.52</v>
      </c>
      <c r="G311" s="14" t="n">
        <v>1571.94</v>
      </c>
      <c r="H311" s="14" t="n">
        <v>1571.94</v>
      </c>
      <c r="I311" s="14">
        <f>SUM(K311:T311)</f>
        <v/>
      </c>
      <c r="J311" s="14">
        <f>F311-(G311+H311+I311)</f>
        <v/>
      </c>
      <c r="K311" s="14" t="n">
        <v>943.16</v>
      </c>
      <c r="L311" s="14" t="n">
        <v>943.16</v>
      </c>
      <c r="M311" s="14" t="n">
        <v>943.16</v>
      </c>
      <c r="N311" s="14" t="n">
        <v>943.16</v>
      </c>
      <c r="O311" s="14" t="n">
        <v>943.16</v>
      </c>
      <c r="P311" s="14" t="n">
        <v>943.16</v>
      </c>
      <c r="Q311" s="14" t="n">
        <v>943.16</v>
      </c>
      <c r="R311" s="14" t="n">
        <v>943.16</v>
      </c>
      <c r="S311" s="14" t="n">
        <v>943.16</v>
      </c>
      <c r="T311" s="14" t="n">
        <v>943.16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CANON-202509-000990</t>
        </is>
      </c>
      <c r="B312" s="15" t="inlineStr">
        <is>
          <t>2025-09-29</t>
        </is>
      </c>
      <c r="C312" s="15" t="inlineStr">
        <is>
          <t>Ingrid Castellanos</t>
        </is>
      </c>
      <c r="D312" s="15" t="inlineStr">
        <is>
          <t>WY</t>
        </is>
      </c>
      <c r="E312" s="16" t="n">
        <v>680000</v>
      </c>
      <c r="F312" s="16" t="n">
        <v>5661.73</v>
      </c>
      <c r="G312" s="16" t="n">
        <v>707.72</v>
      </c>
      <c r="H312" s="16" t="n">
        <v>707.72</v>
      </c>
      <c r="I312" s="16">
        <f>SUM(K312:T312)</f>
        <v/>
      </c>
      <c r="J312" s="16">
        <f>F312-(G312+H312+I312)</f>
        <v/>
      </c>
      <c r="K312" s="16" t="n">
        <v>424.63</v>
      </c>
      <c r="L312" s="16" t="n">
        <v>424.63</v>
      </c>
      <c r="M312" s="16" t="n">
        <v>424.63</v>
      </c>
      <c r="N312" s="16" t="n">
        <v>424.63</v>
      </c>
      <c r="O312" s="16" t="n">
        <v>424.63</v>
      </c>
      <c r="P312" s="16" t="n">
        <v>424.63</v>
      </c>
      <c r="Q312" s="16" t="n">
        <v>424.63</v>
      </c>
      <c r="R312" s="16" t="n">
        <v>424.63</v>
      </c>
      <c r="S312" s="16" t="n">
        <v>424.63</v>
      </c>
      <c r="T312" s="16" t="n">
        <v>424.63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CANON-202509-000994</t>
        </is>
      </c>
      <c r="B313" s="3" t="inlineStr">
        <is>
          <t>2025-09-20</t>
        </is>
      </c>
      <c r="C313" s="3" t="inlineStr">
        <is>
          <t>Marisol Vasquez</t>
        </is>
      </c>
      <c r="D313" s="3" t="inlineStr">
        <is>
          <t>KS</t>
        </is>
      </c>
      <c r="E313" s="14" t="n">
        <v>1065000</v>
      </c>
      <c r="F313" s="14" t="n">
        <v>10281.87</v>
      </c>
      <c r="G313" s="14" t="n">
        <v>1285.23</v>
      </c>
      <c r="H313" s="14" t="n">
        <v>1285.23</v>
      </c>
      <c r="I313" s="14">
        <f>SUM(K313:T313)</f>
        <v/>
      </c>
      <c r="J313" s="14">
        <f>F313-(G313+H313+I313)</f>
        <v/>
      </c>
      <c r="K313" s="14" t="n">
        <v>771.14</v>
      </c>
      <c r="L313" s="14" t="n">
        <v>771.14</v>
      </c>
      <c r="M313" s="14" t="n">
        <v>771.14</v>
      </c>
      <c r="N313" s="14" t="n">
        <v>771.14</v>
      </c>
      <c r="O313" s="14" t="n">
        <v>771.14</v>
      </c>
      <c r="P313" s="14" t="n">
        <v>771.14</v>
      </c>
      <c r="Q313" s="14" t="n">
        <v>771.14</v>
      </c>
      <c r="R313" s="14" t="n">
        <v>771.14</v>
      </c>
      <c r="S313" s="14" t="n">
        <v>771.14</v>
      </c>
      <c r="T313" s="14" t="n">
        <v>771.14</v>
      </c>
      <c r="U313" s="14" t="n">
        <v>350</v>
      </c>
      <c r="V313" s="14" t="n">
        <v>250</v>
      </c>
      <c r="W313" s="14">
        <f>U313+V313</f>
        <v/>
      </c>
    </row>
    <row r="314">
      <c r="A314" s="15" t="inlineStr">
        <is>
          <t>CANON-202509-000998</t>
        </is>
      </c>
      <c r="B314" s="15" t="inlineStr">
        <is>
          <t>2025-09-30</t>
        </is>
      </c>
      <c r="C314" s="15" t="inlineStr">
        <is>
          <t>Ottilie Vasquez</t>
        </is>
      </c>
      <c r="D314" s="15" t="inlineStr">
        <is>
          <t>MA</t>
        </is>
      </c>
      <c r="E314" s="16" t="n">
        <v>900000</v>
      </c>
      <c r="F314" s="16" t="n">
        <v>19340.34</v>
      </c>
      <c r="G314" s="16" t="n">
        <v>2417.54</v>
      </c>
      <c r="H314" s="16" t="n">
        <v>2417.54</v>
      </c>
      <c r="I314" s="16">
        <f>SUM(K314:T314)</f>
        <v/>
      </c>
      <c r="J314" s="16">
        <f>F314-(G314+H314+I314)</f>
        <v/>
      </c>
      <c r="K314" s="16" t="n">
        <v>1450.53</v>
      </c>
      <c r="L314" s="16" t="n">
        <v>1450.53</v>
      </c>
      <c r="M314" s="16" t="n">
        <v>1450.53</v>
      </c>
      <c r="N314" s="16" t="n">
        <v>1450.53</v>
      </c>
      <c r="O314" s="16" t="n">
        <v>1450.53</v>
      </c>
      <c r="P314" s="16" t="n">
        <v>1450.53</v>
      </c>
      <c r="Q314" s="16" t="n">
        <v>1450.53</v>
      </c>
      <c r="R314" s="16" t="n">
        <v>1450.53</v>
      </c>
      <c r="S314" s="16" t="n">
        <v>1450.53</v>
      </c>
      <c r="T314" s="16" t="n">
        <v>1450.53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CANON-202509-000999</t>
        </is>
      </c>
      <c r="B315" s="3" t="inlineStr">
        <is>
          <t>2025-09-04</t>
        </is>
      </c>
      <c r="C315" s="3" t="inlineStr">
        <is>
          <t>Mireille Merriweather</t>
        </is>
      </c>
      <c r="D315" s="3" t="inlineStr">
        <is>
          <t>MN</t>
        </is>
      </c>
      <c r="E315" s="14" t="n">
        <v>325000</v>
      </c>
      <c r="F315" s="14" t="n">
        <v>5822.46</v>
      </c>
      <c r="G315" s="14" t="n">
        <v>727.8099999999999</v>
      </c>
      <c r="H315" s="14" t="n">
        <v>727.8099999999999</v>
      </c>
      <c r="I315" s="14">
        <f>SUM(K315:T315)</f>
        <v/>
      </c>
      <c r="J315" s="14">
        <f>F315-(G315+H315+I315)</f>
        <v/>
      </c>
      <c r="K315" s="14" t="n">
        <v>436.68</v>
      </c>
      <c r="L315" s="14" t="n">
        <v>436.68</v>
      </c>
      <c r="M315" s="14" t="n">
        <v>436.68</v>
      </c>
      <c r="N315" s="14" t="n">
        <v>436.68</v>
      </c>
      <c r="O315" s="14" t="n">
        <v>436.68</v>
      </c>
      <c r="P315" s="14" t="n">
        <v>436.68</v>
      </c>
      <c r="Q315" s="14" t="n">
        <v>436.68</v>
      </c>
      <c r="R315" s="14" t="n">
        <v>436.68</v>
      </c>
      <c r="S315" s="14" t="n">
        <v>436.68</v>
      </c>
      <c r="T315" s="14" t="n">
        <v>436.68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CANON-202509-001000</t>
        </is>
      </c>
      <c r="B316" s="15" t="inlineStr">
        <is>
          <t>2025-09-17</t>
        </is>
      </c>
      <c r="C316" s="15" t="inlineStr">
        <is>
          <t>Horace Vandermeer</t>
        </is>
      </c>
      <c r="D316" s="15" t="inlineStr">
        <is>
          <t>AZ</t>
        </is>
      </c>
      <c r="E316" s="16" t="n">
        <v>545000</v>
      </c>
      <c r="F316" s="16" t="n">
        <v>6474.69</v>
      </c>
      <c r="G316" s="16" t="n">
        <v>809.34</v>
      </c>
      <c r="H316" s="16" t="n">
        <v>809.34</v>
      </c>
      <c r="I316" s="16">
        <f>SUM(K316:T316)</f>
        <v/>
      </c>
      <c r="J316" s="16">
        <f>F316-(G316+H316+I316)</f>
        <v/>
      </c>
      <c r="K316" s="16" t="n">
        <v>485.6</v>
      </c>
      <c r="L316" s="16" t="n">
        <v>485.6</v>
      </c>
      <c r="M316" s="16" t="n">
        <v>485.6</v>
      </c>
      <c r="N316" s="16" t="n">
        <v>485.6</v>
      </c>
      <c r="O316" s="16" t="n">
        <v>485.6</v>
      </c>
      <c r="P316" s="16" t="n">
        <v>485.6</v>
      </c>
      <c r="Q316" s="16" t="n">
        <v>485.6</v>
      </c>
      <c r="R316" s="16" t="n">
        <v>485.6</v>
      </c>
      <c r="S316" s="16" t="n">
        <v>485.6</v>
      </c>
      <c r="T316" s="16" t="n">
        <v>485.6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CANON-202509-001001</t>
        </is>
      </c>
      <c r="B317" s="3" t="inlineStr">
        <is>
          <t>2025-09-10</t>
        </is>
      </c>
      <c r="C317" s="3" t="inlineStr">
        <is>
          <t>Ottilie Vasquez</t>
        </is>
      </c>
      <c r="D317" s="3" t="inlineStr">
        <is>
          <t>ND</t>
        </is>
      </c>
      <c r="E317" s="14" t="n">
        <v>645000</v>
      </c>
      <c r="F317" s="14" t="n">
        <v>7738.58</v>
      </c>
      <c r="G317" s="14" t="n">
        <v>967.3200000000001</v>
      </c>
      <c r="H317" s="14" t="n">
        <v>967.3200000000001</v>
      </c>
      <c r="I317" s="14">
        <f>SUM(K317:T317)</f>
        <v/>
      </c>
      <c r="J317" s="14">
        <f>F317-(G317+H317+I317)</f>
        <v/>
      </c>
      <c r="K317" s="14" t="n">
        <v>580.39</v>
      </c>
      <c r="L317" s="14" t="n">
        <v>580.39</v>
      </c>
      <c r="M317" s="14" t="n">
        <v>580.39</v>
      </c>
      <c r="N317" s="14" t="n">
        <v>580.39</v>
      </c>
      <c r="O317" s="14" t="n">
        <v>580.39</v>
      </c>
      <c r="P317" s="14" t="n">
        <v>580.39</v>
      </c>
      <c r="Q317" s="14" t="n">
        <v>580.39</v>
      </c>
      <c r="R317" s="14" t="n">
        <v>580.39</v>
      </c>
      <c r="S317" s="14" t="n">
        <v>580.39</v>
      </c>
      <c r="T317" s="14" t="n">
        <v>580.39</v>
      </c>
      <c r="U317" s="14" t="n">
        <v>350</v>
      </c>
      <c r="V317" s="14" t="n">
        <v>0</v>
      </c>
      <c r="W317" s="14">
        <f>U317+V317</f>
        <v/>
      </c>
    </row>
    <row r="318">
      <c r="A318" s="15" t="inlineStr">
        <is>
          <t>CANON-202509-001003</t>
        </is>
      </c>
      <c r="B318" s="15" t="inlineStr">
        <is>
          <t>2025-09-24</t>
        </is>
      </c>
      <c r="C318" s="15" t="inlineStr">
        <is>
          <t>Delphine Blackwood</t>
        </is>
      </c>
      <c r="D318" s="15" t="inlineStr">
        <is>
          <t>GA</t>
        </is>
      </c>
      <c r="E318" s="16" t="n">
        <v>330000</v>
      </c>
      <c r="F318" s="16" t="n">
        <v>5016.28</v>
      </c>
      <c r="G318" s="16" t="n">
        <v>627.03</v>
      </c>
      <c r="H318" s="16" t="n">
        <v>627.03</v>
      </c>
      <c r="I318" s="16">
        <f>SUM(K318:T318)</f>
        <v/>
      </c>
      <c r="J318" s="16">
        <f>F318-(G318+H318+I318)</f>
        <v/>
      </c>
      <c r="K318" s="16" t="n">
        <v>376.22</v>
      </c>
      <c r="L318" s="16" t="n">
        <v>376.22</v>
      </c>
      <c r="M318" s="16" t="n">
        <v>376.22</v>
      </c>
      <c r="N318" s="16" t="n">
        <v>376.22</v>
      </c>
      <c r="O318" s="16" t="n">
        <v>376.22</v>
      </c>
      <c r="P318" s="16" t="n">
        <v>376.22</v>
      </c>
      <c r="Q318" s="16" t="n">
        <v>376.22</v>
      </c>
      <c r="R318" s="16" t="n">
        <v>376.22</v>
      </c>
      <c r="S318" s="16" t="n">
        <v>376.22</v>
      </c>
      <c r="T318" s="16" t="n">
        <v>376.22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CANON-202509-001005</t>
        </is>
      </c>
      <c r="B319" s="3" t="inlineStr">
        <is>
          <t>2025-09-12</t>
        </is>
      </c>
      <c r="C319" s="3" t="inlineStr">
        <is>
          <t>Fitzgerald Montoya</t>
        </is>
      </c>
      <c r="D319" s="3" t="inlineStr">
        <is>
          <t>CA</t>
        </is>
      </c>
      <c r="E319" s="14" t="n">
        <v>1675000</v>
      </c>
      <c r="F319" s="14" t="n">
        <v>32736.08</v>
      </c>
      <c r="G319" s="14" t="n">
        <v>4092.01</v>
      </c>
      <c r="H319" s="14" t="n">
        <v>4092.01</v>
      </c>
      <c r="I319" s="14">
        <f>SUM(K319:T319)</f>
        <v/>
      </c>
      <c r="J319" s="14">
        <f>F319-(G319+H319+I319)</f>
        <v/>
      </c>
      <c r="K319" s="14" t="n">
        <v>2455.21</v>
      </c>
      <c r="L319" s="14" t="n">
        <v>2455.21</v>
      </c>
      <c r="M319" s="14" t="n">
        <v>2455.21</v>
      </c>
      <c r="N319" s="14" t="n">
        <v>2455.21</v>
      </c>
      <c r="O319" s="14" t="n">
        <v>2455.21</v>
      </c>
      <c r="P319" s="14" t="n">
        <v>2455.21</v>
      </c>
      <c r="Q319" s="14" t="n">
        <v>2455.21</v>
      </c>
      <c r="R319" s="14" t="n">
        <v>2455.21</v>
      </c>
      <c r="S319" s="14" t="n">
        <v>2455.21</v>
      </c>
      <c r="T319" s="14" t="n">
        <v>2455.21</v>
      </c>
      <c r="U319" s="14" t="n">
        <v>350</v>
      </c>
      <c r="V319" s="14" t="n">
        <v>250</v>
      </c>
      <c r="W319" s="14">
        <f>U319+V319</f>
        <v/>
      </c>
    </row>
    <row r="320">
      <c r="A320" s="15" t="inlineStr">
        <is>
          <t>CANON-202509-001006</t>
        </is>
      </c>
      <c r="B320" s="15" t="inlineStr">
        <is>
          <t>2025-09-22</t>
        </is>
      </c>
      <c r="C320" s="15" t="inlineStr">
        <is>
          <t>Priya Farkas</t>
        </is>
      </c>
      <c r="D320" s="15" t="inlineStr">
        <is>
          <t>AL</t>
        </is>
      </c>
      <c r="E320" s="16" t="n">
        <v>500000</v>
      </c>
      <c r="F320" s="16" t="n">
        <v>10916.55</v>
      </c>
      <c r="G320" s="16" t="n">
        <v>1364.57</v>
      </c>
      <c r="H320" s="16" t="n">
        <v>1364.57</v>
      </c>
      <c r="I320" s="16">
        <f>SUM(K320:T320)</f>
        <v/>
      </c>
      <c r="J320" s="16">
        <f>F320-(G320+H320+I320)</f>
        <v/>
      </c>
      <c r="K320" s="16" t="n">
        <v>818.74</v>
      </c>
      <c r="L320" s="16" t="n">
        <v>818.74</v>
      </c>
      <c r="M320" s="16" t="n">
        <v>818.74</v>
      </c>
      <c r="N320" s="16" t="n">
        <v>818.74</v>
      </c>
      <c r="O320" s="16" t="n">
        <v>818.74</v>
      </c>
      <c r="P320" s="16" t="n">
        <v>818.74</v>
      </c>
      <c r="Q320" s="16" t="n">
        <v>818.74</v>
      </c>
      <c r="R320" s="16" t="n">
        <v>818.74</v>
      </c>
      <c r="S320" s="16" t="n">
        <v>818.74</v>
      </c>
      <c r="T320" s="16" t="n">
        <v>818.74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CANON-202509-001008</t>
        </is>
      </c>
      <c r="B321" s="3" t="inlineStr">
        <is>
          <t>2025-09-11</t>
        </is>
      </c>
      <c r="C321" s="3" t="inlineStr">
        <is>
          <t>Anouk Farkas</t>
        </is>
      </c>
      <c r="D321" s="3" t="inlineStr">
        <is>
          <t>VA</t>
        </is>
      </c>
      <c r="E321" s="14" t="n">
        <v>245000</v>
      </c>
      <c r="F321" s="14" t="n">
        <v>4445.98</v>
      </c>
      <c r="G321" s="14" t="n">
        <v>555.75</v>
      </c>
      <c r="H321" s="14" t="n">
        <v>555.75</v>
      </c>
      <c r="I321" s="14">
        <f>SUM(K321:T321)</f>
        <v/>
      </c>
      <c r="J321" s="14">
        <f>F321-(G321+H321+I321)</f>
        <v/>
      </c>
      <c r="K321" s="14" t="n">
        <v>333.45</v>
      </c>
      <c r="L321" s="14" t="n">
        <v>333.45</v>
      </c>
      <c r="M321" s="14" t="n">
        <v>333.45</v>
      </c>
      <c r="N321" s="14" t="n">
        <v>333.45</v>
      </c>
      <c r="O321" s="14" t="n">
        <v>333.45</v>
      </c>
      <c r="P321" s="14" t="n">
        <v>333.45</v>
      </c>
      <c r="Q321" s="14" t="n">
        <v>333.45</v>
      </c>
      <c r="R321" s="14" t="n">
        <v>333.45</v>
      </c>
      <c r="S321" s="14" t="n">
        <v>333.45</v>
      </c>
      <c r="T321" s="14" t="n">
        <v>333.45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CANON-202509-001009</t>
        </is>
      </c>
      <c r="B322" s="15" t="inlineStr">
        <is>
          <t>2025-09-21</t>
        </is>
      </c>
      <c r="C322" s="15" t="inlineStr">
        <is>
          <t>Fitzgerald Pennington</t>
        </is>
      </c>
      <c r="D322" s="15" t="inlineStr">
        <is>
          <t>IN</t>
        </is>
      </c>
      <c r="E322" s="16" t="n">
        <v>985000</v>
      </c>
      <c r="F322" s="16" t="n">
        <v>20828.26</v>
      </c>
      <c r="G322" s="16" t="n">
        <v>2603.53</v>
      </c>
      <c r="H322" s="16" t="n">
        <v>2603.53</v>
      </c>
      <c r="I322" s="16">
        <f>SUM(K322:T322)</f>
        <v/>
      </c>
      <c r="J322" s="16">
        <f>F322-(G322+H322+I322)</f>
        <v/>
      </c>
      <c r="K322" s="16" t="n">
        <v>1562.12</v>
      </c>
      <c r="L322" s="16" t="n">
        <v>1562.12</v>
      </c>
      <c r="M322" s="16" t="n">
        <v>1562.12</v>
      </c>
      <c r="N322" s="16" t="n">
        <v>1562.12</v>
      </c>
      <c r="O322" s="16" t="n">
        <v>1562.12</v>
      </c>
      <c r="P322" s="16" t="n">
        <v>1562.12</v>
      </c>
      <c r="Q322" s="16" t="n">
        <v>1562.12</v>
      </c>
      <c r="R322" s="16" t="n">
        <v>1562.12</v>
      </c>
      <c r="S322" s="16" t="n">
        <v>1562.12</v>
      </c>
      <c r="T322" s="16" t="n">
        <v>1562.12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CANON-202509-001010</t>
        </is>
      </c>
      <c r="B323" s="3" t="inlineStr">
        <is>
          <t>2025-09-27</t>
        </is>
      </c>
      <c r="C323" s="3" t="inlineStr">
        <is>
          <t>Delphine Nakashima</t>
        </is>
      </c>
      <c r="D323" s="3" t="inlineStr">
        <is>
          <t>KS</t>
        </is>
      </c>
      <c r="E323" s="14" t="n">
        <v>175000</v>
      </c>
      <c r="F323" s="14" t="n">
        <v>2826.08</v>
      </c>
      <c r="G323" s="14" t="n">
        <v>353.26</v>
      </c>
      <c r="H323" s="14" t="n">
        <v>353.26</v>
      </c>
      <c r="I323" s="14">
        <f>SUM(K323:T323)</f>
        <v/>
      </c>
      <c r="J323" s="14">
        <f>F323-(G323+H323+I323)</f>
        <v/>
      </c>
      <c r="K323" s="14" t="n">
        <v>211.96</v>
      </c>
      <c r="L323" s="14" t="n">
        <v>211.96</v>
      </c>
      <c r="M323" s="14" t="n">
        <v>211.96</v>
      </c>
      <c r="N323" s="14" t="n">
        <v>211.96</v>
      </c>
      <c r="O323" s="14" t="n">
        <v>211.96</v>
      </c>
      <c r="P323" s="14" t="n">
        <v>211.96</v>
      </c>
      <c r="Q323" s="14" t="n">
        <v>211.96</v>
      </c>
      <c r="R323" s="14" t="n">
        <v>211.96</v>
      </c>
      <c r="S323" s="14" t="n">
        <v>211.96</v>
      </c>
      <c r="T323" s="14" t="n">
        <v>211.96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CANON-202509-001012</t>
        </is>
      </c>
      <c r="B324" s="15" t="inlineStr">
        <is>
          <t>2025-09-30</t>
        </is>
      </c>
      <c r="C324" s="15" t="inlineStr">
        <is>
          <t>Anouk Nakashima</t>
        </is>
      </c>
      <c r="D324" s="15" t="inlineStr">
        <is>
          <t>DE</t>
        </is>
      </c>
      <c r="E324" s="16" t="n">
        <v>200000</v>
      </c>
      <c r="F324" s="16" t="n">
        <v>4162.13</v>
      </c>
      <c r="G324" s="16" t="n">
        <v>520.27</v>
      </c>
      <c r="H324" s="16" t="n">
        <v>520.27</v>
      </c>
      <c r="I324" s="16">
        <f>SUM(K324:T324)</f>
        <v/>
      </c>
      <c r="J324" s="16">
        <f>F324-(G324+H324+I324)</f>
        <v/>
      </c>
      <c r="K324" s="16" t="n">
        <v>312.16</v>
      </c>
      <c r="L324" s="16" t="n">
        <v>312.16</v>
      </c>
      <c r="M324" s="16" t="n">
        <v>312.16</v>
      </c>
      <c r="N324" s="16" t="n">
        <v>312.16</v>
      </c>
      <c r="O324" s="16" t="n">
        <v>312.16</v>
      </c>
      <c r="P324" s="16" t="n">
        <v>312.16</v>
      </c>
      <c r="Q324" s="16" t="n">
        <v>312.16</v>
      </c>
      <c r="R324" s="16" t="n">
        <v>312.16</v>
      </c>
      <c r="S324" s="16" t="n">
        <v>312.16</v>
      </c>
      <c r="T324" s="16" t="n">
        <v>312.16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CANON-202509-001013</t>
        </is>
      </c>
      <c r="B325" s="3" t="inlineStr">
        <is>
          <t>2025-09-26</t>
        </is>
      </c>
      <c r="C325" s="3" t="inlineStr">
        <is>
          <t>Saoirse Delacroix</t>
        </is>
      </c>
      <c r="D325" s="3" t="inlineStr">
        <is>
          <t>MA</t>
        </is>
      </c>
      <c r="E325" s="14" t="n">
        <v>335000</v>
      </c>
      <c r="F325" s="14" t="n">
        <v>5683.35</v>
      </c>
      <c r="G325" s="14" t="n">
        <v>710.42</v>
      </c>
      <c r="H325" s="14" t="n">
        <v>710.42</v>
      </c>
      <c r="I325" s="14">
        <f>SUM(K325:T325)</f>
        <v/>
      </c>
      <c r="J325" s="14">
        <f>F325-(G325+H325+I325)</f>
        <v/>
      </c>
      <c r="K325" s="14" t="n">
        <v>426.25</v>
      </c>
      <c r="L325" s="14" t="n">
        <v>426.25</v>
      </c>
      <c r="M325" s="14" t="n">
        <v>426.25</v>
      </c>
      <c r="N325" s="14" t="n">
        <v>426.25</v>
      </c>
      <c r="O325" s="14" t="n">
        <v>426.25</v>
      </c>
      <c r="P325" s="14" t="n">
        <v>426.25</v>
      </c>
      <c r="Q325" s="14" t="n">
        <v>426.25</v>
      </c>
      <c r="R325" s="14" t="n">
        <v>426.25</v>
      </c>
      <c r="S325" s="14" t="n">
        <v>426.25</v>
      </c>
      <c r="T325" s="14" t="n">
        <v>426.25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CANON-202509-001015</t>
        </is>
      </c>
      <c r="B326" s="15" t="inlineStr">
        <is>
          <t>2025-09-02</t>
        </is>
      </c>
      <c r="C326" s="15" t="inlineStr">
        <is>
          <t>Mireille Rourke</t>
        </is>
      </c>
      <c r="D326" s="15" t="inlineStr">
        <is>
          <t>MA</t>
        </is>
      </c>
      <c r="E326" s="16" t="n">
        <v>105000</v>
      </c>
      <c r="F326" s="16" t="n">
        <v>2185.12</v>
      </c>
      <c r="G326" s="16" t="n">
        <v>273.14</v>
      </c>
      <c r="H326" s="16" t="n">
        <v>273.14</v>
      </c>
      <c r="I326" s="16">
        <f>SUM(K326:T326)</f>
        <v/>
      </c>
      <c r="J326" s="16">
        <f>F326-(G326+H326+I326)</f>
        <v/>
      </c>
      <c r="K326" s="16" t="n">
        <v>163.88</v>
      </c>
      <c r="L326" s="16" t="n">
        <v>163.88</v>
      </c>
      <c r="M326" s="16" t="n">
        <v>163.88</v>
      </c>
      <c r="N326" s="16" t="n">
        <v>163.88</v>
      </c>
      <c r="O326" s="16" t="n">
        <v>163.88</v>
      </c>
      <c r="P326" s="16" t="n">
        <v>163.88</v>
      </c>
      <c r="Q326" s="16" t="n">
        <v>163.88</v>
      </c>
      <c r="R326" s="16" t="n">
        <v>163.88</v>
      </c>
      <c r="S326" s="16" t="n">
        <v>163.88</v>
      </c>
      <c r="T326" s="16" t="n">
        <v>163.88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CANON-202509-001017</t>
        </is>
      </c>
      <c r="B327" s="3" t="inlineStr">
        <is>
          <t>2025-09-04</t>
        </is>
      </c>
      <c r="C327" s="3" t="inlineStr">
        <is>
          <t>Everett Whitlock</t>
        </is>
      </c>
      <c r="D327" s="3" t="inlineStr">
        <is>
          <t>CA</t>
        </is>
      </c>
      <c r="E327" s="14" t="n">
        <v>1950000</v>
      </c>
      <c r="F327" s="14" t="n">
        <v>18102.56</v>
      </c>
      <c r="G327" s="14" t="n">
        <v>2262.82</v>
      </c>
      <c r="H327" s="14" t="n">
        <v>2262.82</v>
      </c>
      <c r="I327" s="14">
        <f>SUM(K327:T327)</f>
        <v/>
      </c>
      <c r="J327" s="14">
        <f>F327-(G327+H327+I327)</f>
        <v/>
      </c>
      <c r="K327" s="14" t="n">
        <v>1357.69</v>
      </c>
      <c r="L327" s="14" t="n">
        <v>1357.69</v>
      </c>
      <c r="M327" s="14" t="n">
        <v>1357.69</v>
      </c>
      <c r="N327" s="14" t="n">
        <v>1357.69</v>
      </c>
      <c r="O327" s="14" t="n">
        <v>1357.69</v>
      </c>
      <c r="P327" s="14" t="n">
        <v>1357.69</v>
      </c>
      <c r="Q327" s="14" t="n">
        <v>1357.69</v>
      </c>
      <c r="R327" s="14" t="n">
        <v>1357.69</v>
      </c>
      <c r="S327" s="14" t="n">
        <v>1357.69</v>
      </c>
      <c r="T327" s="14" t="n">
        <v>1357.69</v>
      </c>
      <c r="U327" s="14" t="n">
        <v>350</v>
      </c>
      <c r="V327" s="14" t="n">
        <v>250</v>
      </c>
      <c r="W327" s="14">
        <f>U327+V327</f>
        <v/>
      </c>
    </row>
    <row r="328">
      <c r="A328" s="15" t="inlineStr">
        <is>
          <t>CANON-202509-001018</t>
        </is>
      </c>
      <c r="B328" s="15" t="inlineStr">
        <is>
          <t>2025-09-15</t>
        </is>
      </c>
      <c r="C328" s="15" t="inlineStr">
        <is>
          <t>Leopold Whitlock</t>
        </is>
      </c>
      <c r="D328" s="15" t="inlineStr">
        <is>
          <t>NJ</t>
        </is>
      </c>
      <c r="E328" s="16" t="n">
        <v>470000</v>
      </c>
      <c r="F328" s="16" t="n">
        <v>6810.98</v>
      </c>
      <c r="G328" s="16" t="n">
        <v>851.37</v>
      </c>
      <c r="H328" s="16" t="n">
        <v>851.37</v>
      </c>
      <c r="I328" s="16">
        <f>SUM(K328:T328)</f>
        <v/>
      </c>
      <c r="J328" s="16">
        <f>F328-(G328+H328+I328)</f>
        <v/>
      </c>
      <c r="K328" s="16" t="n">
        <v>510.82</v>
      </c>
      <c r="L328" s="16" t="n">
        <v>510.82</v>
      </c>
      <c r="M328" s="16" t="n">
        <v>510.82</v>
      </c>
      <c r="N328" s="16" t="n">
        <v>510.82</v>
      </c>
      <c r="O328" s="16" t="n">
        <v>510.82</v>
      </c>
      <c r="P328" s="16" t="n">
        <v>510.82</v>
      </c>
      <c r="Q328" s="16" t="n">
        <v>510.82</v>
      </c>
      <c r="R328" s="16" t="n">
        <v>510.82</v>
      </c>
      <c r="S328" s="16" t="n">
        <v>510.82</v>
      </c>
      <c r="T328" s="16" t="n">
        <v>510.82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CANON-202509-001020</t>
        </is>
      </c>
      <c r="B329" s="3" t="inlineStr">
        <is>
          <t>2025-09-05</t>
        </is>
      </c>
      <c r="C329" s="3" t="inlineStr">
        <is>
          <t>Fenwick Farkas</t>
        </is>
      </c>
      <c r="D329" s="3" t="inlineStr">
        <is>
          <t>MT</t>
        </is>
      </c>
      <c r="E329" s="14" t="n">
        <v>290000</v>
      </c>
      <c r="F329" s="14" t="n">
        <v>2342.67</v>
      </c>
      <c r="G329" s="14" t="n">
        <v>292.83</v>
      </c>
      <c r="H329" s="14" t="n">
        <v>292.83</v>
      </c>
      <c r="I329" s="14">
        <f>SUM(K329:T329)</f>
        <v/>
      </c>
      <c r="J329" s="14">
        <f>F329-(G329+H329+I329)</f>
        <v/>
      </c>
      <c r="K329" s="14" t="n">
        <v>175.7</v>
      </c>
      <c r="L329" s="14" t="n">
        <v>175.7</v>
      </c>
      <c r="M329" s="14" t="n">
        <v>175.7</v>
      </c>
      <c r="N329" s="14" t="n">
        <v>175.7</v>
      </c>
      <c r="O329" s="14" t="n">
        <v>175.7</v>
      </c>
      <c r="P329" s="14" t="n">
        <v>175.7</v>
      </c>
      <c r="Q329" s="14" t="n">
        <v>175.7</v>
      </c>
      <c r="R329" s="14" t="n">
        <v>175.7</v>
      </c>
      <c r="S329" s="14" t="n">
        <v>175.7</v>
      </c>
      <c r="T329" s="14" t="n">
        <v>175.7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CANON-202509-001021</t>
        </is>
      </c>
      <c r="B330" s="15" t="inlineStr">
        <is>
          <t>2025-09-23</t>
        </is>
      </c>
      <c r="C330" s="15" t="inlineStr">
        <is>
          <t>Saoirse Kingsford</t>
        </is>
      </c>
      <c r="D330" s="15" t="inlineStr">
        <is>
          <t>NJ</t>
        </is>
      </c>
      <c r="E330" s="16" t="n">
        <v>400000</v>
      </c>
      <c r="F330" s="16" t="n">
        <v>4940.27</v>
      </c>
      <c r="G330" s="16" t="n">
        <v>617.53</v>
      </c>
      <c r="H330" s="16" t="n">
        <v>617.53</v>
      </c>
      <c r="I330" s="16">
        <f>SUM(K330:T330)</f>
        <v/>
      </c>
      <c r="J330" s="16">
        <f>F330-(G330+H330+I330)</f>
        <v/>
      </c>
      <c r="K330" s="16" t="n">
        <v>370.52</v>
      </c>
      <c r="L330" s="16" t="n">
        <v>370.52</v>
      </c>
      <c r="M330" s="16" t="n">
        <v>370.52</v>
      </c>
      <c r="N330" s="16" t="n">
        <v>370.52</v>
      </c>
      <c r="O330" s="16" t="n">
        <v>370.52</v>
      </c>
      <c r="P330" s="16" t="n">
        <v>370.52</v>
      </c>
      <c r="Q330" s="16" t="n">
        <v>370.52</v>
      </c>
      <c r="R330" s="16" t="n">
        <v>370.52</v>
      </c>
      <c r="S330" s="16" t="n">
        <v>370.52</v>
      </c>
      <c r="T330" s="16" t="n">
        <v>370.52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CANON-202509-001022</t>
        </is>
      </c>
      <c r="B331" s="3" t="inlineStr">
        <is>
          <t>2025-09-09</t>
        </is>
      </c>
      <c r="C331" s="3" t="inlineStr">
        <is>
          <t>Fenwick Vasquez</t>
        </is>
      </c>
      <c r="D331" s="3" t="inlineStr">
        <is>
          <t>CO</t>
        </is>
      </c>
      <c r="E331" s="14" t="n">
        <v>580000</v>
      </c>
      <c r="F331" s="14" t="n">
        <v>9005.4</v>
      </c>
      <c r="G331" s="14" t="n">
        <v>1125.67</v>
      </c>
      <c r="H331" s="14" t="n">
        <v>1125.67</v>
      </c>
      <c r="I331" s="14">
        <f>SUM(K331:T331)</f>
        <v/>
      </c>
      <c r="J331" s="14">
        <f>F331-(G331+H331+I331)</f>
        <v/>
      </c>
      <c r="K331" s="14" t="n">
        <v>675.4</v>
      </c>
      <c r="L331" s="14" t="n">
        <v>675.4</v>
      </c>
      <c r="M331" s="14" t="n">
        <v>675.4</v>
      </c>
      <c r="N331" s="14" t="n">
        <v>675.4</v>
      </c>
      <c r="O331" s="14" t="n">
        <v>675.4</v>
      </c>
      <c r="P331" s="14" t="n">
        <v>675.4</v>
      </c>
      <c r="Q331" s="14" t="n">
        <v>675.4</v>
      </c>
      <c r="R331" s="14" t="n">
        <v>675.4</v>
      </c>
      <c r="S331" s="14" t="n">
        <v>675.4</v>
      </c>
      <c r="T331" s="14" t="n">
        <v>675.4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CANON-202509-001026</t>
        </is>
      </c>
      <c r="B332" s="15" t="inlineStr">
        <is>
          <t>2025-09-16</t>
        </is>
      </c>
      <c r="C332" s="15" t="inlineStr">
        <is>
          <t>Wilhelmina Thistlewood</t>
        </is>
      </c>
      <c r="D332" s="15" t="inlineStr">
        <is>
          <t>CO</t>
        </is>
      </c>
      <c r="E332" s="16" t="n">
        <v>495000</v>
      </c>
      <c r="F332" s="16" t="n">
        <v>7390.05</v>
      </c>
      <c r="G332" s="16" t="n">
        <v>923.76</v>
      </c>
      <c r="H332" s="16" t="n">
        <v>923.76</v>
      </c>
      <c r="I332" s="16">
        <f>SUM(K332:T332)</f>
        <v/>
      </c>
      <c r="J332" s="16">
        <f>F332-(G332+H332+I332)</f>
        <v/>
      </c>
      <c r="K332" s="16" t="n">
        <v>554.25</v>
      </c>
      <c r="L332" s="16" t="n">
        <v>554.25</v>
      </c>
      <c r="M332" s="16" t="n">
        <v>554.25</v>
      </c>
      <c r="N332" s="16" t="n">
        <v>554.25</v>
      </c>
      <c r="O332" s="16" t="n">
        <v>554.25</v>
      </c>
      <c r="P332" s="16" t="n">
        <v>554.25</v>
      </c>
      <c r="Q332" s="16" t="n">
        <v>554.25</v>
      </c>
      <c r="R332" s="16" t="n">
        <v>554.25</v>
      </c>
      <c r="S332" s="16" t="n">
        <v>554.25</v>
      </c>
      <c r="T332" s="16" t="n">
        <v>554.25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CANON-202509-001027</t>
        </is>
      </c>
      <c r="B333" s="3" t="inlineStr">
        <is>
          <t>2025-09-11</t>
        </is>
      </c>
      <c r="C333" s="3" t="inlineStr">
        <is>
          <t>Ramona Rourke</t>
        </is>
      </c>
      <c r="D333" s="3" t="inlineStr">
        <is>
          <t>AL</t>
        </is>
      </c>
      <c r="E333" s="14" t="n">
        <v>835000</v>
      </c>
      <c r="F333" s="14" t="n">
        <v>12473.59</v>
      </c>
      <c r="G333" s="14" t="n">
        <v>1559.2</v>
      </c>
      <c r="H333" s="14" t="n">
        <v>1559.2</v>
      </c>
      <c r="I333" s="14">
        <f>SUM(K333:T333)</f>
        <v/>
      </c>
      <c r="J333" s="14">
        <f>F333-(G333+H333+I333)</f>
        <v/>
      </c>
      <c r="K333" s="14" t="n">
        <v>935.52</v>
      </c>
      <c r="L333" s="14" t="n">
        <v>935.52</v>
      </c>
      <c r="M333" s="14" t="n">
        <v>935.52</v>
      </c>
      <c r="N333" s="14" t="n">
        <v>935.52</v>
      </c>
      <c r="O333" s="14" t="n">
        <v>935.52</v>
      </c>
      <c r="P333" s="14" t="n">
        <v>935.52</v>
      </c>
      <c r="Q333" s="14" t="n">
        <v>935.52</v>
      </c>
      <c r="R333" s="14" t="n">
        <v>935.52</v>
      </c>
      <c r="S333" s="14" t="n">
        <v>935.52</v>
      </c>
      <c r="T333" s="14" t="n">
        <v>935.52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CANON-202509-001028</t>
        </is>
      </c>
      <c r="B334" s="15" t="inlineStr">
        <is>
          <t>2025-09-03</t>
        </is>
      </c>
      <c r="C334" s="15" t="inlineStr">
        <is>
          <t>Thaddeus Chattopadhyay</t>
        </is>
      </c>
      <c r="D334" s="15" t="inlineStr">
        <is>
          <t>OH</t>
        </is>
      </c>
      <c r="E334" s="16" t="n">
        <v>635000</v>
      </c>
      <c r="F334" s="16" t="n">
        <v>6069.6</v>
      </c>
      <c r="G334" s="16" t="n">
        <v>758.7</v>
      </c>
      <c r="H334" s="16" t="n">
        <v>758.7</v>
      </c>
      <c r="I334" s="16">
        <f>SUM(K334:T334)</f>
        <v/>
      </c>
      <c r="J334" s="16">
        <f>F334-(G334+H334+I334)</f>
        <v/>
      </c>
      <c r="K334" s="16" t="n">
        <v>455.22</v>
      </c>
      <c r="L334" s="16" t="n">
        <v>455.22</v>
      </c>
      <c r="M334" s="16" t="n">
        <v>455.22</v>
      </c>
      <c r="N334" s="16" t="n">
        <v>455.22</v>
      </c>
      <c r="O334" s="16" t="n">
        <v>455.22</v>
      </c>
      <c r="P334" s="16" t="n">
        <v>455.22</v>
      </c>
      <c r="Q334" s="16" t="n">
        <v>455.22</v>
      </c>
      <c r="R334" s="16" t="n">
        <v>455.22</v>
      </c>
      <c r="S334" s="16" t="n">
        <v>455.22</v>
      </c>
      <c r="T334" s="16" t="n">
        <v>455.22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CANON-202509-001031</t>
        </is>
      </c>
      <c r="B335" s="3" t="inlineStr">
        <is>
          <t>2025-09-25</t>
        </is>
      </c>
      <c r="C335" s="3" t="inlineStr">
        <is>
          <t>Ingrid Pennington</t>
        </is>
      </c>
      <c r="D335" s="3" t="inlineStr">
        <is>
          <t>IN</t>
        </is>
      </c>
      <c r="E335" s="14" t="n">
        <v>525000</v>
      </c>
      <c r="F335" s="14" t="n">
        <v>5024.82</v>
      </c>
      <c r="G335" s="14" t="n">
        <v>628.1</v>
      </c>
      <c r="H335" s="14" t="n">
        <v>628.1</v>
      </c>
      <c r="I335" s="14">
        <f>SUM(K335:T335)</f>
        <v/>
      </c>
      <c r="J335" s="14">
        <f>F335-(G335+H335+I335)</f>
        <v/>
      </c>
      <c r="K335" s="14" t="n">
        <v>376.86</v>
      </c>
      <c r="L335" s="14" t="n">
        <v>376.86</v>
      </c>
      <c r="M335" s="14" t="n">
        <v>376.86</v>
      </c>
      <c r="N335" s="14" t="n">
        <v>376.86</v>
      </c>
      <c r="O335" s="14" t="n">
        <v>376.86</v>
      </c>
      <c r="P335" s="14" t="n">
        <v>376.86</v>
      </c>
      <c r="Q335" s="14" t="n">
        <v>376.86</v>
      </c>
      <c r="R335" s="14" t="n">
        <v>376.86</v>
      </c>
      <c r="S335" s="14" t="n">
        <v>376.86</v>
      </c>
      <c r="T335" s="14" t="n">
        <v>376.86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CANON-202509-001032</t>
        </is>
      </c>
      <c r="B336" s="15" t="inlineStr">
        <is>
          <t>2025-09-03</t>
        </is>
      </c>
      <c r="C336" s="15" t="inlineStr">
        <is>
          <t>Emiliano Kingsford</t>
        </is>
      </c>
      <c r="D336" s="15" t="inlineStr">
        <is>
          <t>PA</t>
        </is>
      </c>
      <c r="E336" s="16" t="n">
        <v>200000</v>
      </c>
      <c r="F336" s="16" t="n">
        <v>2062.97</v>
      </c>
      <c r="G336" s="16" t="n">
        <v>257.87</v>
      </c>
      <c r="H336" s="16" t="n">
        <v>257.87</v>
      </c>
      <c r="I336" s="16">
        <f>SUM(K336:T336)</f>
        <v/>
      </c>
      <c r="J336" s="16">
        <f>F336-(G336+H336+I336)</f>
        <v/>
      </c>
      <c r="K336" s="16" t="n">
        <v>154.72</v>
      </c>
      <c r="L336" s="16" t="n">
        <v>154.72</v>
      </c>
      <c r="M336" s="16" t="n">
        <v>154.72</v>
      </c>
      <c r="N336" s="16" t="n">
        <v>154.72</v>
      </c>
      <c r="O336" s="16" t="n">
        <v>154.72</v>
      </c>
      <c r="P336" s="16" t="n">
        <v>154.72</v>
      </c>
      <c r="Q336" s="16" t="n">
        <v>154.72</v>
      </c>
      <c r="R336" s="16" t="n">
        <v>154.72</v>
      </c>
      <c r="S336" s="16" t="n">
        <v>154.72</v>
      </c>
      <c r="T336" s="16" t="n">
        <v>154.72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CANON-202509-001033</t>
        </is>
      </c>
      <c r="B337" s="3" t="inlineStr">
        <is>
          <t>2025-09-11</t>
        </is>
      </c>
      <c r="C337" s="3" t="inlineStr">
        <is>
          <t>Priya Merriweather</t>
        </is>
      </c>
      <c r="D337" s="3" t="inlineStr">
        <is>
          <t>RI</t>
        </is>
      </c>
      <c r="E337" s="14" t="n">
        <v>465000</v>
      </c>
      <c r="F337" s="14" t="n">
        <v>8646.15</v>
      </c>
      <c r="G337" s="14" t="n">
        <v>1080.77</v>
      </c>
      <c r="H337" s="14" t="n">
        <v>1080.77</v>
      </c>
      <c r="I337" s="14">
        <f>SUM(K337:T337)</f>
        <v/>
      </c>
      <c r="J337" s="14">
        <f>F337-(G337+H337+I337)</f>
        <v/>
      </c>
      <c r="K337" s="14" t="n">
        <v>648.46</v>
      </c>
      <c r="L337" s="14" t="n">
        <v>648.46</v>
      </c>
      <c r="M337" s="14" t="n">
        <v>648.46</v>
      </c>
      <c r="N337" s="14" t="n">
        <v>648.46</v>
      </c>
      <c r="O337" s="14" t="n">
        <v>648.46</v>
      </c>
      <c r="P337" s="14" t="n">
        <v>648.46</v>
      </c>
      <c r="Q337" s="14" t="n">
        <v>648.46</v>
      </c>
      <c r="R337" s="14" t="n">
        <v>648.46</v>
      </c>
      <c r="S337" s="14" t="n">
        <v>648.46</v>
      </c>
      <c r="T337" s="14" t="n">
        <v>648.46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CANON-202509-001034</t>
        </is>
      </c>
      <c r="B338" s="15" t="inlineStr">
        <is>
          <t>2025-09-22</t>
        </is>
      </c>
      <c r="C338" s="15" t="inlineStr">
        <is>
          <t>Delphine Castellanos</t>
        </is>
      </c>
      <c r="D338" s="15" t="inlineStr">
        <is>
          <t>MO</t>
        </is>
      </c>
      <c r="E338" s="16" t="n">
        <v>1365000</v>
      </c>
      <c r="F338" s="16" t="n">
        <v>20946.74</v>
      </c>
      <c r="G338" s="16" t="n">
        <v>2618.34</v>
      </c>
      <c r="H338" s="16" t="n">
        <v>2618.34</v>
      </c>
      <c r="I338" s="16">
        <f>SUM(K338:T338)</f>
        <v/>
      </c>
      <c r="J338" s="16">
        <f>F338-(G338+H338+I338)</f>
        <v/>
      </c>
      <c r="K338" s="16" t="n">
        <v>1571.01</v>
      </c>
      <c r="L338" s="16" t="n">
        <v>1571.01</v>
      </c>
      <c r="M338" s="16" t="n">
        <v>1571.01</v>
      </c>
      <c r="N338" s="16" t="n">
        <v>1571.01</v>
      </c>
      <c r="O338" s="16" t="n">
        <v>1571.01</v>
      </c>
      <c r="P338" s="16" t="n">
        <v>1571.01</v>
      </c>
      <c r="Q338" s="16" t="n">
        <v>1571.01</v>
      </c>
      <c r="R338" s="16" t="n">
        <v>1571.01</v>
      </c>
      <c r="S338" s="16" t="n">
        <v>1571.01</v>
      </c>
      <c r="T338" s="16" t="n">
        <v>1571.01</v>
      </c>
      <c r="U338" s="16" t="n">
        <v>350</v>
      </c>
      <c r="V338" s="16" t="n">
        <v>250</v>
      </c>
      <c r="W338" s="16">
        <f>U338+V338</f>
        <v/>
      </c>
    </row>
    <row r="339">
      <c r="A339" s="3" t="inlineStr">
        <is>
          <t>CANON-202509-001035</t>
        </is>
      </c>
      <c r="B339" s="3" t="inlineStr">
        <is>
          <t>2025-09-12</t>
        </is>
      </c>
      <c r="C339" s="3" t="inlineStr">
        <is>
          <t>Anouk Thistlewood</t>
        </is>
      </c>
      <c r="D339" s="3" t="inlineStr">
        <is>
          <t>SC</t>
        </is>
      </c>
      <c r="E339" s="14" t="n">
        <v>375000</v>
      </c>
      <c r="F339" s="14" t="n">
        <v>6311.06</v>
      </c>
      <c r="G339" s="14" t="n">
        <v>788.88</v>
      </c>
      <c r="H339" s="14" t="n">
        <v>788.88</v>
      </c>
      <c r="I339" s="14">
        <f>SUM(K339:T339)</f>
        <v/>
      </c>
      <c r="J339" s="14">
        <f>F339-(G339+H339+I339)</f>
        <v/>
      </c>
      <c r="K339" s="14" t="n">
        <v>473.33</v>
      </c>
      <c r="L339" s="14" t="n">
        <v>473.33</v>
      </c>
      <c r="M339" s="14" t="n">
        <v>473.33</v>
      </c>
      <c r="N339" s="14" t="n">
        <v>473.33</v>
      </c>
      <c r="O339" s="14" t="n">
        <v>473.33</v>
      </c>
      <c r="P339" s="14" t="n">
        <v>473.33</v>
      </c>
      <c r="Q339" s="14" t="n">
        <v>473.33</v>
      </c>
      <c r="R339" s="14" t="n">
        <v>473.33</v>
      </c>
      <c r="S339" s="14" t="n">
        <v>473.33</v>
      </c>
      <c r="T339" s="14" t="n">
        <v>473.33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CANON-202509-001036</t>
        </is>
      </c>
      <c r="B340" s="15" t="inlineStr">
        <is>
          <t>2025-09-09</t>
        </is>
      </c>
      <c r="C340" s="15" t="inlineStr">
        <is>
          <t>Horace Kingsford</t>
        </is>
      </c>
      <c r="D340" s="15" t="inlineStr">
        <is>
          <t>UT</t>
        </is>
      </c>
      <c r="E340" s="16" t="n">
        <v>1220000</v>
      </c>
      <c r="F340" s="16" t="n">
        <v>11325.7</v>
      </c>
      <c r="G340" s="16" t="n">
        <v>1415.71</v>
      </c>
      <c r="H340" s="16" t="n">
        <v>1415.71</v>
      </c>
      <c r="I340" s="16">
        <f>SUM(K340:T340)</f>
        <v/>
      </c>
      <c r="J340" s="16">
        <f>F340-(G340+H340+I340)</f>
        <v/>
      </c>
      <c r="K340" s="16" t="n">
        <v>849.4299999999999</v>
      </c>
      <c r="L340" s="16" t="n">
        <v>849.4299999999999</v>
      </c>
      <c r="M340" s="16" t="n">
        <v>849.4299999999999</v>
      </c>
      <c r="N340" s="16" t="n">
        <v>849.4299999999999</v>
      </c>
      <c r="O340" s="16" t="n">
        <v>849.4299999999999</v>
      </c>
      <c r="P340" s="16" t="n">
        <v>849.4299999999999</v>
      </c>
      <c r="Q340" s="16" t="n">
        <v>849.4299999999999</v>
      </c>
      <c r="R340" s="16" t="n">
        <v>849.4299999999999</v>
      </c>
      <c r="S340" s="16" t="n">
        <v>849.4299999999999</v>
      </c>
      <c r="T340" s="16" t="n">
        <v>849.4299999999999</v>
      </c>
      <c r="U340" s="16" t="n">
        <v>350</v>
      </c>
      <c r="V340" s="16" t="n">
        <v>250</v>
      </c>
      <c r="W340" s="16">
        <f>U340+V340</f>
        <v/>
      </c>
    </row>
    <row r="341">
      <c r="A341" s="3" t="inlineStr">
        <is>
          <t>CANON-202509-001037</t>
        </is>
      </c>
      <c r="B341" s="3" t="inlineStr">
        <is>
          <t>2025-09-18</t>
        </is>
      </c>
      <c r="C341" s="3" t="inlineStr">
        <is>
          <t>Cassius Nakashima</t>
        </is>
      </c>
      <c r="D341" s="3" t="inlineStr">
        <is>
          <t>IN</t>
        </is>
      </c>
      <c r="E341" s="14" t="n">
        <v>220000</v>
      </c>
      <c r="F341" s="14" t="n">
        <v>2791.2</v>
      </c>
      <c r="G341" s="14" t="n">
        <v>348.9</v>
      </c>
      <c r="H341" s="14" t="n">
        <v>348.9</v>
      </c>
      <c r="I341" s="14">
        <f>SUM(K341:T341)</f>
        <v/>
      </c>
      <c r="J341" s="14">
        <f>F341-(G341+H341+I341)</f>
        <v/>
      </c>
      <c r="K341" s="14" t="n">
        <v>209.34</v>
      </c>
      <c r="L341" s="14" t="n">
        <v>209.34</v>
      </c>
      <c r="M341" s="14" t="n">
        <v>209.34</v>
      </c>
      <c r="N341" s="14" t="n">
        <v>209.34</v>
      </c>
      <c r="O341" s="14" t="n">
        <v>209.34</v>
      </c>
      <c r="P341" s="14" t="n">
        <v>209.34</v>
      </c>
      <c r="Q341" s="14" t="n">
        <v>209.34</v>
      </c>
      <c r="R341" s="14" t="n">
        <v>209.34</v>
      </c>
      <c r="S341" s="14" t="n">
        <v>209.34</v>
      </c>
      <c r="T341" s="14" t="n">
        <v>209.34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CANON-202509-001038</t>
        </is>
      </c>
      <c r="B342" s="15" t="inlineStr">
        <is>
          <t>2025-09-15</t>
        </is>
      </c>
      <c r="C342" s="15" t="inlineStr">
        <is>
          <t>Cassius Thistlewood</t>
        </is>
      </c>
      <c r="D342" s="15" t="inlineStr">
        <is>
          <t>GA</t>
        </is>
      </c>
      <c r="E342" s="16" t="n">
        <v>390000</v>
      </c>
      <c r="F342" s="16" t="n">
        <v>5928.32</v>
      </c>
      <c r="G342" s="16" t="n">
        <v>741.04</v>
      </c>
      <c r="H342" s="16" t="n">
        <v>741.04</v>
      </c>
      <c r="I342" s="16">
        <f>SUM(K342:T342)</f>
        <v/>
      </c>
      <c r="J342" s="16">
        <f>F342-(G342+H342+I342)</f>
        <v/>
      </c>
      <c r="K342" s="16" t="n">
        <v>444.62</v>
      </c>
      <c r="L342" s="16" t="n">
        <v>444.62</v>
      </c>
      <c r="M342" s="16" t="n">
        <v>444.62</v>
      </c>
      <c r="N342" s="16" t="n">
        <v>444.62</v>
      </c>
      <c r="O342" s="16" t="n">
        <v>444.62</v>
      </c>
      <c r="P342" s="16" t="n">
        <v>444.62</v>
      </c>
      <c r="Q342" s="16" t="n">
        <v>444.62</v>
      </c>
      <c r="R342" s="16" t="n">
        <v>444.62</v>
      </c>
      <c r="S342" s="16" t="n">
        <v>444.62</v>
      </c>
      <c r="T342" s="16" t="n">
        <v>444.62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CANON-202509-001040</t>
        </is>
      </c>
      <c r="B343" s="3" t="inlineStr">
        <is>
          <t>2025-09-28</t>
        </is>
      </c>
      <c r="C343" s="3" t="inlineStr">
        <is>
          <t>Cassius Fairweather</t>
        </is>
      </c>
      <c r="D343" s="3" t="inlineStr">
        <is>
          <t>AK</t>
        </is>
      </c>
      <c r="E343" s="14" t="n">
        <v>1530000</v>
      </c>
      <c r="F343" s="14" t="n">
        <v>25250.75</v>
      </c>
      <c r="G343" s="14" t="n">
        <v>3156.34</v>
      </c>
      <c r="H343" s="14" t="n">
        <v>3156.34</v>
      </c>
      <c r="I343" s="14">
        <f>SUM(K343:T343)</f>
        <v/>
      </c>
      <c r="J343" s="14">
        <f>F343-(G343+H343+I343)</f>
        <v/>
      </c>
      <c r="K343" s="14" t="n">
        <v>1893.81</v>
      </c>
      <c r="L343" s="14" t="n">
        <v>1893.81</v>
      </c>
      <c r="M343" s="14" t="n">
        <v>1893.81</v>
      </c>
      <c r="N343" s="14" t="n">
        <v>1893.81</v>
      </c>
      <c r="O343" s="14" t="n">
        <v>1893.81</v>
      </c>
      <c r="P343" s="14" t="n">
        <v>1893.81</v>
      </c>
      <c r="Q343" s="14" t="n">
        <v>1893.81</v>
      </c>
      <c r="R343" s="14" t="n">
        <v>1893.81</v>
      </c>
      <c r="S343" s="14" t="n">
        <v>1893.81</v>
      </c>
      <c r="T343" s="14" t="n">
        <v>1893.81</v>
      </c>
      <c r="U343" s="14" t="n">
        <v>350</v>
      </c>
      <c r="V343" s="14" t="n">
        <v>250</v>
      </c>
      <c r="W343" s="14">
        <f>U343+V343</f>
        <v/>
      </c>
    </row>
    <row r="344">
      <c r="A344" s="15" t="inlineStr">
        <is>
          <t>CANON-202509-001042</t>
        </is>
      </c>
      <c r="B344" s="15" t="inlineStr">
        <is>
          <t>2025-09-26</t>
        </is>
      </c>
      <c r="C344" s="15" t="inlineStr">
        <is>
          <t>Beatrix Kingsford</t>
        </is>
      </c>
      <c r="D344" s="15" t="inlineStr">
        <is>
          <t>SD</t>
        </is>
      </c>
      <c r="E344" s="16" t="n">
        <v>535000</v>
      </c>
      <c r="F344" s="16" t="n">
        <v>6985.19</v>
      </c>
      <c r="G344" s="16" t="n">
        <v>873.15</v>
      </c>
      <c r="H344" s="16" t="n">
        <v>873.15</v>
      </c>
      <c r="I344" s="16">
        <f>SUM(K344:T344)</f>
        <v/>
      </c>
      <c r="J344" s="16">
        <f>F344-(G344+H344+I344)</f>
        <v/>
      </c>
      <c r="K344" s="16" t="n">
        <v>523.89</v>
      </c>
      <c r="L344" s="16" t="n">
        <v>523.89</v>
      </c>
      <c r="M344" s="16" t="n">
        <v>523.89</v>
      </c>
      <c r="N344" s="16" t="n">
        <v>523.89</v>
      </c>
      <c r="O344" s="16" t="n">
        <v>523.89</v>
      </c>
      <c r="P344" s="16" t="n">
        <v>523.89</v>
      </c>
      <c r="Q344" s="16" t="n">
        <v>523.89</v>
      </c>
      <c r="R344" s="16" t="n">
        <v>523.89</v>
      </c>
      <c r="S344" s="16" t="n">
        <v>523.89</v>
      </c>
      <c r="T344" s="16" t="n">
        <v>523.89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CANON-202509-001043</t>
        </is>
      </c>
      <c r="B345" s="3" t="inlineStr">
        <is>
          <t>2025-09-26</t>
        </is>
      </c>
      <c r="C345" s="3" t="inlineStr">
        <is>
          <t>Wilhelmina Underwood</t>
        </is>
      </c>
      <c r="D345" s="3" t="inlineStr">
        <is>
          <t>MO</t>
        </is>
      </c>
      <c r="E345" s="14" t="n">
        <v>650000</v>
      </c>
      <c r="F345" s="14" t="n">
        <v>8104.39</v>
      </c>
      <c r="G345" s="14" t="n">
        <v>1013.05</v>
      </c>
      <c r="H345" s="14" t="n">
        <v>1013.05</v>
      </c>
      <c r="I345" s="14">
        <f>SUM(K345:T345)</f>
        <v/>
      </c>
      <c r="J345" s="14">
        <f>F345-(G345+H345+I345)</f>
        <v/>
      </c>
      <c r="K345" s="14" t="n">
        <v>607.83</v>
      </c>
      <c r="L345" s="14" t="n">
        <v>607.83</v>
      </c>
      <c r="M345" s="14" t="n">
        <v>607.83</v>
      </c>
      <c r="N345" s="14" t="n">
        <v>607.83</v>
      </c>
      <c r="O345" s="14" t="n">
        <v>607.83</v>
      </c>
      <c r="P345" s="14" t="n">
        <v>607.83</v>
      </c>
      <c r="Q345" s="14" t="n">
        <v>607.83</v>
      </c>
      <c r="R345" s="14" t="n">
        <v>607.83</v>
      </c>
      <c r="S345" s="14" t="n">
        <v>607.83</v>
      </c>
      <c r="T345" s="14" t="n">
        <v>607.83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CANON-202509-001047</t>
        </is>
      </c>
      <c r="B346" s="15" t="inlineStr">
        <is>
          <t>2025-09-27</t>
        </is>
      </c>
      <c r="C346" s="15" t="inlineStr">
        <is>
          <t>Everett Farkas</t>
        </is>
      </c>
      <c r="D346" s="15" t="inlineStr">
        <is>
          <t>AK</t>
        </is>
      </c>
      <c r="E346" s="16" t="n">
        <v>235000</v>
      </c>
      <c r="F346" s="16" t="n">
        <v>4460.14</v>
      </c>
      <c r="G346" s="16" t="n">
        <v>557.52</v>
      </c>
      <c r="H346" s="16" t="n">
        <v>557.52</v>
      </c>
      <c r="I346" s="16">
        <f>SUM(K346:T346)</f>
        <v/>
      </c>
      <c r="J346" s="16">
        <f>F346-(G346+H346+I346)</f>
        <v/>
      </c>
      <c r="K346" s="16" t="n">
        <v>334.51</v>
      </c>
      <c r="L346" s="16" t="n">
        <v>334.51</v>
      </c>
      <c r="M346" s="16" t="n">
        <v>334.51</v>
      </c>
      <c r="N346" s="16" t="n">
        <v>334.51</v>
      </c>
      <c r="O346" s="16" t="n">
        <v>334.51</v>
      </c>
      <c r="P346" s="16" t="n">
        <v>334.51</v>
      </c>
      <c r="Q346" s="16" t="n">
        <v>334.51</v>
      </c>
      <c r="R346" s="16" t="n">
        <v>334.51</v>
      </c>
      <c r="S346" s="16" t="n">
        <v>334.51</v>
      </c>
      <c r="T346" s="16" t="n">
        <v>334.51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CANON-202509-001049</t>
        </is>
      </c>
      <c r="B347" s="3" t="inlineStr">
        <is>
          <t>2025-09-27</t>
        </is>
      </c>
      <c r="C347" s="3" t="inlineStr">
        <is>
          <t>Leopold Underwood</t>
        </is>
      </c>
      <c r="D347" s="3" t="inlineStr">
        <is>
          <t>OK</t>
        </is>
      </c>
      <c r="E347" s="14" t="n">
        <v>635000</v>
      </c>
      <c r="F347" s="14" t="n">
        <v>6225.88</v>
      </c>
      <c r="G347" s="14" t="n">
        <v>778.24</v>
      </c>
      <c r="H347" s="14" t="n">
        <v>778.24</v>
      </c>
      <c r="I347" s="14">
        <f>SUM(K347:T347)</f>
        <v/>
      </c>
      <c r="J347" s="14">
        <f>F347-(G347+H347+I347)</f>
        <v/>
      </c>
      <c r="K347" s="14" t="n">
        <v>466.94</v>
      </c>
      <c r="L347" s="14" t="n">
        <v>466.94</v>
      </c>
      <c r="M347" s="14" t="n">
        <v>466.94</v>
      </c>
      <c r="N347" s="14" t="n">
        <v>466.94</v>
      </c>
      <c r="O347" s="14" t="n">
        <v>466.94</v>
      </c>
      <c r="P347" s="14" t="n">
        <v>466.94</v>
      </c>
      <c r="Q347" s="14" t="n">
        <v>466.94</v>
      </c>
      <c r="R347" s="14" t="n">
        <v>466.94</v>
      </c>
      <c r="S347" s="14" t="n">
        <v>466.94</v>
      </c>
      <c r="T347" s="14" t="n">
        <v>466.94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CANON-202509-001052</t>
        </is>
      </c>
      <c r="B348" s="15" t="inlineStr">
        <is>
          <t>2025-09-21</t>
        </is>
      </c>
      <c r="C348" s="15" t="inlineStr">
        <is>
          <t>Sunniva Pennington</t>
        </is>
      </c>
      <c r="D348" s="15" t="inlineStr">
        <is>
          <t>SD</t>
        </is>
      </c>
      <c r="E348" s="16" t="n">
        <v>945000</v>
      </c>
      <c r="F348" s="16" t="n">
        <v>8162.28</v>
      </c>
      <c r="G348" s="16" t="n">
        <v>1020.28</v>
      </c>
      <c r="H348" s="16" t="n">
        <v>1020.28</v>
      </c>
      <c r="I348" s="16">
        <f>SUM(K348:T348)</f>
        <v/>
      </c>
      <c r="J348" s="16">
        <f>F348-(G348+H348+I348)</f>
        <v/>
      </c>
      <c r="K348" s="16" t="n">
        <v>612.17</v>
      </c>
      <c r="L348" s="16" t="n">
        <v>612.17</v>
      </c>
      <c r="M348" s="16" t="n">
        <v>612.17</v>
      </c>
      <c r="N348" s="16" t="n">
        <v>612.17</v>
      </c>
      <c r="O348" s="16" t="n">
        <v>612.17</v>
      </c>
      <c r="P348" s="16" t="n">
        <v>612.17</v>
      </c>
      <c r="Q348" s="16" t="n">
        <v>612.17</v>
      </c>
      <c r="R348" s="16" t="n">
        <v>612.17</v>
      </c>
      <c r="S348" s="16" t="n">
        <v>612.17</v>
      </c>
      <c r="T348" s="16" t="n">
        <v>612.17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CANON-202509-001053</t>
        </is>
      </c>
      <c r="B349" s="3" t="inlineStr">
        <is>
          <t>2025-09-08</t>
        </is>
      </c>
      <c r="C349" s="3" t="inlineStr">
        <is>
          <t>Cassius Farkas</t>
        </is>
      </c>
      <c r="D349" s="3" t="inlineStr">
        <is>
          <t>DE</t>
        </is>
      </c>
      <c r="E349" s="14" t="n">
        <v>870000</v>
      </c>
      <c r="F349" s="14" t="n">
        <v>18695.66</v>
      </c>
      <c r="G349" s="14" t="n">
        <v>2336.96</v>
      </c>
      <c r="H349" s="14" t="n">
        <v>2336.96</v>
      </c>
      <c r="I349" s="14">
        <f>SUM(K349:T349)</f>
        <v/>
      </c>
      <c r="J349" s="14">
        <f>F349-(G349+H349+I349)</f>
        <v/>
      </c>
      <c r="K349" s="14" t="n">
        <v>1402.17</v>
      </c>
      <c r="L349" s="14" t="n">
        <v>1402.17</v>
      </c>
      <c r="M349" s="14" t="n">
        <v>1402.17</v>
      </c>
      <c r="N349" s="14" t="n">
        <v>1402.17</v>
      </c>
      <c r="O349" s="14" t="n">
        <v>1402.17</v>
      </c>
      <c r="P349" s="14" t="n">
        <v>1402.17</v>
      </c>
      <c r="Q349" s="14" t="n">
        <v>1402.17</v>
      </c>
      <c r="R349" s="14" t="n">
        <v>1402.17</v>
      </c>
      <c r="S349" s="14" t="n">
        <v>1402.17</v>
      </c>
      <c r="T349" s="14" t="n">
        <v>1402.17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CANON-202509-001055</t>
        </is>
      </c>
      <c r="B350" s="15" t="inlineStr">
        <is>
          <t>2025-09-13</t>
        </is>
      </c>
      <c r="C350" s="15" t="inlineStr">
        <is>
          <t>Ramona Merriweather</t>
        </is>
      </c>
      <c r="D350" s="15" t="inlineStr">
        <is>
          <t>PA</t>
        </is>
      </c>
      <c r="E350" s="16" t="n">
        <v>250000</v>
      </c>
      <c r="F350" s="16" t="n">
        <v>3393.05</v>
      </c>
      <c r="G350" s="16" t="n">
        <v>424.13</v>
      </c>
      <c r="H350" s="16" t="n">
        <v>424.13</v>
      </c>
      <c r="I350" s="16">
        <f>SUM(K350:T350)</f>
        <v/>
      </c>
      <c r="J350" s="16">
        <f>F350-(G350+H350+I350)</f>
        <v/>
      </c>
      <c r="K350" s="16" t="n">
        <v>254.48</v>
      </c>
      <c r="L350" s="16" t="n">
        <v>254.48</v>
      </c>
      <c r="M350" s="16" t="n">
        <v>254.48</v>
      </c>
      <c r="N350" s="16" t="n">
        <v>254.48</v>
      </c>
      <c r="O350" s="16" t="n">
        <v>254.48</v>
      </c>
      <c r="P350" s="16" t="n">
        <v>254.48</v>
      </c>
      <c r="Q350" s="16" t="n">
        <v>254.48</v>
      </c>
      <c r="R350" s="16" t="n">
        <v>254.48</v>
      </c>
      <c r="S350" s="16" t="n">
        <v>254.48</v>
      </c>
      <c r="T350" s="16" t="n">
        <v>254.48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CANON-202509-001056</t>
        </is>
      </c>
      <c r="B351" s="3" t="inlineStr">
        <is>
          <t>2025-09-27</t>
        </is>
      </c>
      <c r="C351" s="3" t="inlineStr">
        <is>
          <t>Sunniva Rourke</t>
        </is>
      </c>
      <c r="D351" s="3" t="inlineStr">
        <is>
          <t>OR</t>
        </is>
      </c>
      <c r="E351" s="14" t="n">
        <v>370000</v>
      </c>
      <c r="F351" s="14" t="n">
        <v>5674.52</v>
      </c>
      <c r="G351" s="14" t="n">
        <v>709.3200000000001</v>
      </c>
      <c r="H351" s="14" t="n">
        <v>709.3200000000001</v>
      </c>
      <c r="I351" s="14">
        <f>SUM(K351:T351)</f>
        <v/>
      </c>
      <c r="J351" s="14">
        <f>F351-(G351+H351+I351)</f>
        <v/>
      </c>
      <c r="K351" s="14" t="n">
        <v>425.59</v>
      </c>
      <c r="L351" s="14" t="n">
        <v>425.59</v>
      </c>
      <c r="M351" s="14" t="n">
        <v>425.59</v>
      </c>
      <c r="N351" s="14" t="n">
        <v>425.59</v>
      </c>
      <c r="O351" s="14" t="n">
        <v>425.59</v>
      </c>
      <c r="P351" s="14" t="n">
        <v>425.59</v>
      </c>
      <c r="Q351" s="14" t="n">
        <v>425.59</v>
      </c>
      <c r="R351" s="14" t="n">
        <v>425.59</v>
      </c>
      <c r="S351" s="14" t="n">
        <v>425.59</v>
      </c>
      <c r="T351" s="14" t="n">
        <v>425.59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CANON-202509-001057</t>
        </is>
      </c>
      <c r="B352" s="15" t="inlineStr">
        <is>
          <t>2025-09-17</t>
        </is>
      </c>
      <c r="C352" s="15" t="inlineStr">
        <is>
          <t>Desmond Farkas</t>
        </is>
      </c>
      <c r="D352" s="15" t="inlineStr">
        <is>
          <t>AR</t>
        </is>
      </c>
      <c r="E352" s="16" t="n">
        <v>680000</v>
      </c>
      <c r="F352" s="16" t="n">
        <v>6452.97</v>
      </c>
      <c r="G352" s="16" t="n">
        <v>806.62</v>
      </c>
      <c r="H352" s="16" t="n">
        <v>806.62</v>
      </c>
      <c r="I352" s="16">
        <f>SUM(K352:T352)</f>
        <v/>
      </c>
      <c r="J352" s="16">
        <f>F352-(G352+H352+I352)</f>
        <v/>
      </c>
      <c r="K352" s="16" t="n">
        <v>483.97</v>
      </c>
      <c r="L352" s="16" t="n">
        <v>483.97</v>
      </c>
      <c r="M352" s="16" t="n">
        <v>483.97</v>
      </c>
      <c r="N352" s="16" t="n">
        <v>483.97</v>
      </c>
      <c r="O352" s="16" t="n">
        <v>483.97</v>
      </c>
      <c r="P352" s="16" t="n">
        <v>483.97</v>
      </c>
      <c r="Q352" s="16" t="n">
        <v>483.97</v>
      </c>
      <c r="R352" s="16" t="n">
        <v>483.97</v>
      </c>
      <c r="S352" s="16" t="n">
        <v>483.97</v>
      </c>
      <c r="T352" s="16" t="n">
        <v>483.97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CANON-202509-001059</t>
        </is>
      </c>
      <c r="B353" s="3" t="inlineStr">
        <is>
          <t>2025-09-01</t>
        </is>
      </c>
      <c r="C353" s="3" t="inlineStr">
        <is>
          <t>Anouk Merriweather</t>
        </is>
      </c>
      <c r="D353" s="3" t="inlineStr">
        <is>
          <t>IL</t>
        </is>
      </c>
      <c r="E353" s="14" t="n">
        <v>900000</v>
      </c>
      <c r="F353" s="14" t="n">
        <v>14397.36</v>
      </c>
      <c r="G353" s="14" t="n">
        <v>1799.67</v>
      </c>
      <c r="H353" s="14" t="n">
        <v>1799.67</v>
      </c>
      <c r="I353" s="14">
        <f>SUM(K353:T353)</f>
        <v/>
      </c>
      <c r="J353" s="14">
        <f>F353-(G353+H353+I353)</f>
        <v/>
      </c>
      <c r="K353" s="14" t="n">
        <v>1079.8</v>
      </c>
      <c r="L353" s="14" t="n">
        <v>1079.8</v>
      </c>
      <c r="M353" s="14" t="n">
        <v>1079.8</v>
      </c>
      <c r="N353" s="14" t="n">
        <v>1079.8</v>
      </c>
      <c r="O353" s="14" t="n">
        <v>1079.8</v>
      </c>
      <c r="P353" s="14" t="n">
        <v>1079.8</v>
      </c>
      <c r="Q353" s="14" t="n">
        <v>1079.8</v>
      </c>
      <c r="R353" s="14" t="n">
        <v>1079.8</v>
      </c>
      <c r="S353" s="14" t="n">
        <v>1079.8</v>
      </c>
      <c r="T353" s="14" t="n">
        <v>1079.8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CANON-202509-001061</t>
        </is>
      </c>
      <c r="B354" s="15" t="inlineStr">
        <is>
          <t>2025-09-04</t>
        </is>
      </c>
      <c r="C354" s="15" t="inlineStr">
        <is>
          <t>Everett Harrington</t>
        </is>
      </c>
      <c r="D354" s="15" t="inlineStr">
        <is>
          <t>WV</t>
        </is>
      </c>
      <c r="E354" s="16" t="n">
        <v>1245000</v>
      </c>
      <c r="F354" s="16" t="n">
        <v>16480.55</v>
      </c>
      <c r="G354" s="16" t="n">
        <v>2060.07</v>
      </c>
      <c r="H354" s="16" t="n">
        <v>2060.07</v>
      </c>
      <c r="I354" s="16">
        <f>SUM(K354:T354)</f>
        <v/>
      </c>
      <c r="J354" s="16">
        <f>F354-(G354+H354+I354)</f>
        <v/>
      </c>
      <c r="K354" s="16" t="n">
        <v>1236.04</v>
      </c>
      <c r="L354" s="16" t="n">
        <v>1236.04</v>
      </c>
      <c r="M354" s="16" t="n">
        <v>1236.04</v>
      </c>
      <c r="N354" s="16" t="n">
        <v>1236.04</v>
      </c>
      <c r="O354" s="16" t="n">
        <v>1236.04</v>
      </c>
      <c r="P354" s="16" t="n">
        <v>1236.04</v>
      </c>
      <c r="Q354" s="16" t="n">
        <v>1236.04</v>
      </c>
      <c r="R354" s="16" t="n">
        <v>1236.04</v>
      </c>
      <c r="S354" s="16" t="n">
        <v>1236.04</v>
      </c>
      <c r="T354" s="16" t="n">
        <v>1236.04</v>
      </c>
      <c r="U354" s="16" t="n">
        <v>350</v>
      </c>
      <c r="V354" s="16" t="n">
        <v>250</v>
      </c>
      <c r="W354" s="16">
        <f>U354+V354</f>
        <v/>
      </c>
    </row>
    <row r="355">
      <c r="A355" s="3" t="inlineStr">
        <is>
          <t>CANON-202509-001062</t>
        </is>
      </c>
      <c r="B355" s="3" t="inlineStr">
        <is>
          <t>2025-09-22</t>
        </is>
      </c>
      <c r="C355" s="3" t="inlineStr">
        <is>
          <t>Saoirse Okonkwo</t>
        </is>
      </c>
      <c r="D355" s="3" t="inlineStr">
        <is>
          <t>AK</t>
        </is>
      </c>
      <c r="E355" s="14" t="n">
        <v>850000</v>
      </c>
      <c r="F355" s="14" t="n">
        <v>16658.48</v>
      </c>
      <c r="G355" s="14" t="n">
        <v>2082.31</v>
      </c>
      <c r="H355" s="14" t="n">
        <v>2082.31</v>
      </c>
      <c r="I355" s="14">
        <f>SUM(K355:T355)</f>
        <v/>
      </c>
      <c r="J355" s="14">
        <f>F355-(G355+H355+I355)</f>
        <v/>
      </c>
      <c r="K355" s="14" t="n">
        <v>1249.39</v>
      </c>
      <c r="L355" s="14" t="n">
        <v>1249.39</v>
      </c>
      <c r="M355" s="14" t="n">
        <v>1249.39</v>
      </c>
      <c r="N355" s="14" t="n">
        <v>1249.39</v>
      </c>
      <c r="O355" s="14" t="n">
        <v>1249.39</v>
      </c>
      <c r="P355" s="14" t="n">
        <v>1249.39</v>
      </c>
      <c r="Q355" s="14" t="n">
        <v>1249.39</v>
      </c>
      <c r="R355" s="14" t="n">
        <v>1249.39</v>
      </c>
      <c r="S355" s="14" t="n">
        <v>1249.39</v>
      </c>
      <c r="T355" s="14" t="n">
        <v>1249.39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CANON-202509-001063</t>
        </is>
      </c>
      <c r="B356" s="15" t="inlineStr">
        <is>
          <t>2025-09-01</t>
        </is>
      </c>
      <c r="C356" s="15" t="inlineStr">
        <is>
          <t>Leopold Vasquez</t>
        </is>
      </c>
      <c r="D356" s="15" t="inlineStr">
        <is>
          <t>NE</t>
        </is>
      </c>
      <c r="E356" s="16" t="n">
        <v>1015000</v>
      </c>
      <c r="F356" s="16" t="n">
        <v>9073.629999999999</v>
      </c>
      <c r="G356" s="16" t="n">
        <v>1134.2</v>
      </c>
      <c r="H356" s="16" t="n">
        <v>1134.2</v>
      </c>
      <c r="I356" s="16">
        <f>SUM(K356:T356)</f>
        <v/>
      </c>
      <c r="J356" s="16">
        <f>F356-(G356+H356+I356)</f>
        <v/>
      </c>
      <c r="K356" s="16" t="n">
        <v>680.52</v>
      </c>
      <c r="L356" s="16" t="n">
        <v>680.52</v>
      </c>
      <c r="M356" s="16" t="n">
        <v>680.52</v>
      </c>
      <c r="N356" s="16" t="n">
        <v>680.52</v>
      </c>
      <c r="O356" s="16" t="n">
        <v>680.52</v>
      </c>
      <c r="P356" s="16" t="n">
        <v>680.52</v>
      </c>
      <c r="Q356" s="16" t="n">
        <v>680.52</v>
      </c>
      <c r="R356" s="16" t="n">
        <v>680.52</v>
      </c>
      <c r="S356" s="16" t="n">
        <v>680.52</v>
      </c>
      <c r="T356" s="16" t="n">
        <v>680.52</v>
      </c>
      <c r="U356" s="16" t="n">
        <v>350</v>
      </c>
      <c r="V356" s="16" t="n">
        <v>250</v>
      </c>
      <c r="W356" s="16">
        <f>U356+V356</f>
        <v/>
      </c>
    </row>
    <row r="357">
      <c r="A357" s="3" t="inlineStr">
        <is>
          <t>CANON-202509-001064</t>
        </is>
      </c>
      <c r="B357" s="3" t="inlineStr">
        <is>
          <t>2025-09-14</t>
        </is>
      </c>
      <c r="C357" s="3" t="inlineStr">
        <is>
          <t>Mireille Kingsford</t>
        </is>
      </c>
      <c r="D357" s="3" t="inlineStr">
        <is>
          <t>UT</t>
        </is>
      </c>
      <c r="E357" s="14" t="n">
        <v>140000</v>
      </c>
      <c r="F357" s="14" t="n">
        <v>1949.51</v>
      </c>
      <c r="G357" s="14" t="n">
        <v>243.69</v>
      </c>
      <c r="H357" s="14" t="n">
        <v>243.69</v>
      </c>
      <c r="I357" s="14">
        <f>SUM(K357:T357)</f>
        <v/>
      </c>
      <c r="J357" s="14">
        <f>F357-(G357+H357+I357)</f>
        <v/>
      </c>
      <c r="K357" s="14" t="n">
        <v>146.21</v>
      </c>
      <c r="L357" s="14" t="n">
        <v>146.21</v>
      </c>
      <c r="M357" s="14" t="n">
        <v>146.21</v>
      </c>
      <c r="N357" s="14" t="n">
        <v>146.21</v>
      </c>
      <c r="O357" s="14" t="n">
        <v>146.21</v>
      </c>
      <c r="P357" s="14" t="n">
        <v>146.21</v>
      </c>
      <c r="Q357" s="14" t="n">
        <v>146.21</v>
      </c>
      <c r="R357" s="14" t="n">
        <v>146.21</v>
      </c>
      <c r="S357" s="14" t="n">
        <v>146.21</v>
      </c>
      <c r="T357" s="14" t="n">
        <v>146.21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CANON-202509-001065</t>
        </is>
      </c>
      <c r="B358" s="15" t="inlineStr">
        <is>
          <t>2025-09-16</t>
        </is>
      </c>
      <c r="C358" s="15" t="inlineStr">
        <is>
          <t>Sunniva Chattopadhyay</t>
        </is>
      </c>
      <c r="D358" s="15" t="inlineStr">
        <is>
          <t>CT</t>
        </is>
      </c>
      <c r="E358" s="16" t="n">
        <v>640000</v>
      </c>
      <c r="F358" s="16" t="n">
        <v>8431.389999999999</v>
      </c>
      <c r="G358" s="16" t="n">
        <v>1053.92</v>
      </c>
      <c r="H358" s="16" t="n">
        <v>1053.92</v>
      </c>
      <c r="I358" s="16">
        <f>SUM(K358:T358)</f>
        <v/>
      </c>
      <c r="J358" s="16">
        <f>F358-(G358+H358+I358)</f>
        <v/>
      </c>
      <c r="K358" s="16" t="n">
        <v>632.35</v>
      </c>
      <c r="L358" s="16" t="n">
        <v>632.35</v>
      </c>
      <c r="M358" s="16" t="n">
        <v>632.35</v>
      </c>
      <c r="N358" s="16" t="n">
        <v>632.35</v>
      </c>
      <c r="O358" s="16" t="n">
        <v>632.35</v>
      </c>
      <c r="P358" s="16" t="n">
        <v>632.35</v>
      </c>
      <c r="Q358" s="16" t="n">
        <v>632.35</v>
      </c>
      <c r="R358" s="16" t="n">
        <v>632.35</v>
      </c>
      <c r="S358" s="16" t="n">
        <v>632.35</v>
      </c>
      <c r="T358" s="16" t="n">
        <v>632.35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CANON-202509-001066</t>
        </is>
      </c>
      <c r="B359" s="3" t="inlineStr">
        <is>
          <t>2025-09-13</t>
        </is>
      </c>
      <c r="C359" s="3" t="inlineStr">
        <is>
          <t>Horace Okonkwo</t>
        </is>
      </c>
      <c r="D359" s="3" t="inlineStr">
        <is>
          <t>CO</t>
        </is>
      </c>
      <c r="E359" s="14" t="n">
        <v>375000</v>
      </c>
      <c r="F359" s="14" t="n">
        <v>3583.05</v>
      </c>
      <c r="G359" s="14" t="n">
        <v>447.88</v>
      </c>
      <c r="H359" s="14" t="n">
        <v>447.88</v>
      </c>
      <c r="I359" s="14">
        <f>SUM(K359:T359)</f>
        <v/>
      </c>
      <c r="J359" s="14">
        <f>F359-(G359+H359+I359)</f>
        <v/>
      </c>
      <c r="K359" s="14" t="n">
        <v>268.73</v>
      </c>
      <c r="L359" s="14" t="n">
        <v>268.73</v>
      </c>
      <c r="M359" s="14" t="n">
        <v>268.73</v>
      </c>
      <c r="N359" s="14" t="n">
        <v>268.73</v>
      </c>
      <c r="O359" s="14" t="n">
        <v>268.73</v>
      </c>
      <c r="P359" s="14" t="n">
        <v>268.73</v>
      </c>
      <c r="Q359" s="14" t="n">
        <v>268.73</v>
      </c>
      <c r="R359" s="14" t="n">
        <v>268.73</v>
      </c>
      <c r="S359" s="14" t="n">
        <v>268.73</v>
      </c>
      <c r="T359" s="14" t="n">
        <v>268.73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CANON-202509-001067</t>
        </is>
      </c>
      <c r="B360" s="15" t="inlineStr">
        <is>
          <t>2025-09-08</t>
        </is>
      </c>
      <c r="C360" s="15" t="inlineStr">
        <is>
          <t>Noor Delacroix</t>
        </is>
      </c>
      <c r="D360" s="15" t="inlineStr">
        <is>
          <t>HI</t>
        </is>
      </c>
      <c r="E360" s="16" t="n">
        <v>805000</v>
      </c>
      <c r="F360" s="16" t="n">
        <v>17990.82</v>
      </c>
      <c r="G360" s="16" t="n">
        <v>2248.85</v>
      </c>
      <c r="H360" s="16" t="n">
        <v>2248.85</v>
      </c>
      <c r="I360" s="16">
        <f>SUM(K360:T360)</f>
        <v/>
      </c>
      <c r="J360" s="16">
        <f>F360-(G360+H360+I360)</f>
        <v/>
      </c>
      <c r="K360" s="16" t="n">
        <v>1349.31</v>
      </c>
      <c r="L360" s="16" t="n">
        <v>1349.31</v>
      </c>
      <c r="M360" s="16" t="n">
        <v>1349.31</v>
      </c>
      <c r="N360" s="16" t="n">
        <v>1349.31</v>
      </c>
      <c r="O360" s="16" t="n">
        <v>1349.31</v>
      </c>
      <c r="P360" s="16" t="n">
        <v>1349.31</v>
      </c>
      <c r="Q360" s="16" t="n">
        <v>1349.31</v>
      </c>
      <c r="R360" s="16" t="n">
        <v>1349.31</v>
      </c>
      <c r="S360" s="16" t="n">
        <v>1349.31</v>
      </c>
      <c r="T360" s="16" t="n">
        <v>1349.31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CANON-202509-001068</t>
        </is>
      </c>
      <c r="B361" s="3" t="inlineStr">
        <is>
          <t>2025-09-14</t>
        </is>
      </c>
      <c r="C361" s="3" t="inlineStr">
        <is>
          <t>Callum Okonkwo</t>
        </is>
      </c>
      <c r="D361" s="3" t="inlineStr">
        <is>
          <t>PA</t>
        </is>
      </c>
      <c r="E361" s="14" t="n">
        <v>815000</v>
      </c>
      <c r="F361" s="14" t="n">
        <v>6341.82</v>
      </c>
      <c r="G361" s="14" t="n">
        <v>792.73</v>
      </c>
      <c r="H361" s="14" t="n">
        <v>792.73</v>
      </c>
      <c r="I361" s="14">
        <f>SUM(K361:T361)</f>
        <v/>
      </c>
      <c r="J361" s="14">
        <f>F361-(G361+H361+I361)</f>
        <v/>
      </c>
      <c r="K361" s="14" t="n">
        <v>475.64</v>
      </c>
      <c r="L361" s="14" t="n">
        <v>475.64</v>
      </c>
      <c r="M361" s="14" t="n">
        <v>475.64</v>
      </c>
      <c r="N361" s="14" t="n">
        <v>475.64</v>
      </c>
      <c r="O361" s="14" t="n">
        <v>475.64</v>
      </c>
      <c r="P361" s="14" t="n">
        <v>475.64</v>
      </c>
      <c r="Q361" s="14" t="n">
        <v>475.64</v>
      </c>
      <c r="R361" s="14" t="n">
        <v>475.64</v>
      </c>
      <c r="S361" s="14" t="n">
        <v>475.64</v>
      </c>
      <c r="T361" s="14" t="n">
        <v>475.64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CANON-202509-001069</t>
        </is>
      </c>
      <c r="B362" s="15" t="inlineStr">
        <is>
          <t>2025-09-07</t>
        </is>
      </c>
      <c r="C362" s="15" t="inlineStr">
        <is>
          <t>Ottilie Pennington</t>
        </is>
      </c>
      <c r="D362" s="15" t="inlineStr">
        <is>
          <t>IN</t>
        </is>
      </c>
      <c r="E362" s="16" t="n">
        <v>405000</v>
      </c>
      <c r="F362" s="16" t="n">
        <v>6760.97</v>
      </c>
      <c r="G362" s="16" t="n">
        <v>845.12</v>
      </c>
      <c r="H362" s="16" t="n">
        <v>845.12</v>
      </c>
      <c r="I362" s="16">
        <f>SUM(K362:T362)</f>
        <v/>
      </c>
      <c r="J362" s="16">
        <f>F362-(G362+H362+I362)</f>
        <v/>
      </c>
      <c r="K362" s="16" t="n">
        <v>507.07</v>
      </c>
      <c r="L362" s="16" t="n">
        <v>507.07</v>
      </c>
      <c r="M362" s="16" t="n">
        <v>507.07</v>
      </c>
      <c r="N362" s="16" t="n">
        <v>507.07</v>
      </c>
      <c r="O362" s="16" t="n">
        <v>507.07</v>
      </c>
      <c r="P362" s="16" t="n">
        <v>507.07</v>
      </c>
      <c r="Q362" s="16" t="n">
        <v>507.07</v>
      </c>
      <c r="R362" s="16" t="n">
        <v>507.07</v>
      </c>
      <c r="S362" s="16" t="n">
        <v>507.07</v>
      </c>
      <c r="T362" s="16" t="n">
        <v>507.07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CANON-202509-001071</t>
        </is>
      </c>
      <c r="B363" s="3" t="inlineStr">
        <is>
          <t>2025-09-26</t>
        </is>
      </c>
      <c r="C363" s="3" t="inlineStr">
        <is>
          <t>Sunniva Vandermeer</t>
        </is>
      </c>
      <c r="D363" s="3" t="inlineStr">
        <is>
          <t>UT</t>
        </is>
      </c>
      <c r="E363" s="14" t="n">
        <v>195000</v>
      </c>
      <c r="F363" s="14" t="n">
        <v>4382.72</v>
      </c>
      <c r="G363" s="14" t="n">
        <v>547.84</v>
      </c>
      <c r="H363" s="14" t="n">
        <v>547.84</v>
      </c>
      <c r="I363" s="14">
        <f>SUM(K363:T363)</f>
        <v/>
      </c>
      <c r="J363" s="14">
        <f>F363-(G363+H363+I363)</f>
        <v/>
      </c>
      <c r="K363" s="14" t="n">
        <v>328.7</v>
      </c>
      <c r="L363" s="14" t="n">
        <v>328.7</v>
      </c>
      <c r="M363" s="14" t="n">
        <v>328.7</v>
      </c>
      <c r="N363" s="14" t="n">
        <v>328.7</v>
      </c>
      <c r="O363" s="14" t="n">
        <v>328.7</v>
      </c>
      <c r="P363" s="14" t="n">
        <v>328.7</v>
      </c>
      <c r="Q363" s="14" t="n">
        <v>328.7</v>
      </c>
      <c r="R363" s="14" t="n">
        <v>328.7</v>
      </c>
      <c r="S363" s="14" t="n">
        <v>328.7</v>
      </c>
      <c r="T363" s="14" t="n">
        <v>328.7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CANON-202509-001072</t>
        </is>
      </c>
      <c r="B364" s="15" t="inlineStr">
        <is>
          <t>2025-09-09</t>
        </is>
      </c>
      <c r="C364" s="15" t="inlineStr">
        <is>
          <t>Lorenzo Fairweather</t>
        </is>
      </c>
      <c r="D364" s="15" t="inlineStr">
        <is>
          <t>WV</t>
        </is>
      </c>
      <c r="E364" s="16" t="n">
        <v>1590000</v>
      </c>
      <c r="F364" s="16" t="n">
        <v>30614.47</v>
      </c>
      <c r="G364" s="16" t="n">
        <v>3826.81</v>
      </c>
      <c r="H364" s="16" t="n">
        <v>3826.81</v>
      </c>
      <c r="I364" s="16">
        <f>SUM(K364:T364)</f>
        <v/>
      </c>
      <c r="J364" s="16">
        <f>F364-(G364+H364+I364)</f>
        <v/>
      </c>
      <c r="K364" s="16" t="n">
        <v>2296.09</v>
      </c>
      <c r="L364" s="16" t="n">
        <v>2296.09</v>
      </c>
      <c r="M364" s="16" t="n">
        <v>2296.09</v>
      </c>
      <c r="N364" s="16" t="n">
        <v>2296.09</v>
      </c>
      <c r="O364" s="16" t="n">
        <v>2296.09</v>
      </c>
      <c r="P364" s="16" t="n">
        <v>2296.09</v>
      </c>
      <c r="Q364" s="16" t="n">
        <v>2296.09</v>
      </c>
      <c r="R364" s="16" t="n">
        <v>2296.09</v>
      </c>
      <c r="S364" s="16" t="n">
        <v>2296.09</v>
      </c>
      <c r="T364" s="16" t="n">
        <v>2296.09</v>
      </c>
      <c r="U364" s="16" t="n">
        <v>350</v>
      </c>
      <c r="V364" s="16" t="n">
        <v>250</v>
      </c>
      <c r="W364" s="16">
        <f>U364+V364</f>
        <v/>
      </c>
    </row>
    <row r="365">
      <c r="A365" s="3" t="inlineStr">
        <is>
          <t>CANON-202509-001073</t>
        </is>
      </c>
      <c r="B365" s="3" t="inlineStr">
        <is>
          <t>2025-09-09</t>
        </is>
      </c>
      <c r="C365" s="3" t="inlineStr">
        <is>
          <t>Ottilie Kingsford</t>
        </is>
      </c>
      <c r="D365" s="3" t="inlineStr">
        <is>
          <t>GA</t>
        </is>
      </c>
      <c r="E365" s="14" t="n">
        <v>1820000</v>
      </c>
      <c r="F365" s="14" t="n">
        <v>29509.88</v>
      </c>
      <c r="G365" s="14" t="n">
        <v>3688.74</v>
      </c>
      <c r="H365" s="14" t="n">
        <v>3688.74</v>
      </c>
      <c r="I365" s="14">
        <f>SUM(K365:T365)</f>
        <v/>
      </c>
      <c r="J365" s="14">
        <f>F365-(G365+H365+I365)</f>
        <v/>
      </c>
      <c r="K365" s="14" t="n">
        <v>2213.24</v>
      </c>
      <c r="L365" s="14" t="n">
        <v>2213.24</v>
      </c>
      <c r="M365" s="14" t="n">
        <v>2213.24</v>
      </c>
      <c r="N365" s="14" t="n">
        <v>2213.24</v>
      </c>
      <c r="O365" s="14" t="n">
        <v>2213.24</v>
      </c>
      <c r="P365" s="14" t="n">
        <v>2213.24</v>
      </c>
      <c r="Q365" s="14" t="n">
        <v>2213.24</v>
      </c>
      <c r="R365" s="14" t="n">
        <v>2213.24</v>
      </c>
      <c r="S365" s="14" t="n">
        <v>2213.24</v>
      </c>
      <c r="T365" s="14" t="n">
        <v>2213.24</v>
      </c>
      <c r="U365" s="14" t="n">
        <v>350</v>
      </c>
      <c r="V365" s="14" t="n">
        <v>250</v>
      </c>
      <c r="W365" s="14">
        <f>U365+V365</f>
        <v/>
      </c>
    </row>
    <row r="366">
      <c r="A366" s="15" t="inlineStr">
        <is>
          <t>CANON-202509-001074</t>
        </is>
      </c>
      <c r="B366" s="15" t="inlineStr">
        <is>
          <t>2025-09-25</t>
        </is>
      </c>
      <c r="C366" s="15" t="inlineStr">
        <is>
          <t>Ramona Delacroix</t>
        </is>
      </c>
      <c r="D366" s="15" t="inlineStr">
        <is>
          <t>OH</t>
        </is>
      </c>
      <c r="E366" s="16" t="n">
        <v>690000</v>
      </c>
      <c r="F366" s="16" t="n">
        <v>11281.46</v>
      </c>
      <c r="G366" s="16" t="n">
        <v>1410.18</v>
      </c>
      <c r="H366" s="16" t="n">
        <v>1410.18</v>
      </c>
      <c r="I366" s="16">
        <f>SUM(K366:T366)</f>
        <v/>
      </c>
      <c r="J366" s="16">
        <f>F366-(G366+H366+I366)</f>
        <v/>
      </c>
      <c r="K366" s="16" t="n">
        <v>846.11</v>
      </c>
      <c r="L366" s="16" t="n">
        <v>846.11</v>
      </c>
      <c r="M366" s="16" t="n">
        <v>846.11</v>
      </c>
      <c r="N366" s="16" t="n">
        <v>846.11</v>
      </c>
      <c r="O366" s="16" t="n">
        <v>846.11</v>
      </c>
      <c r="P366" s="16" t="n">
        <v>846.11</v>
      </c>
      <c r="Q366" s="16" t="n">
        <v>846.11</v>
      </c>
      <c r="R366" s="16" t="n">
        <v>846.11</v>
      </c>
      <c r="S366" s="16" t="n">
        <v>846.11</v>
      </c>
      <c r="T366" s="16" t="n">
        <v>846.11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CANON-202509-001075</t>
        </is>
      </c>
      <c r="B367" s="3" t="inlineStr">
        <is>
          <t>2025-09-12</t>
        </is>
      </c>
      <c r="C367" s="3" t="inlineStr">
        <is>
          <t>Leopold Castellanos</t>
        </is>
      </c>
      <c r="D367" s="3" t="inlineStr">
        <is>
          <t>AL</t>
        </is>
      </c>
      <c r="E367" s="14" t="n">
        <v>525000</v>
      </c>
      <c r="F367" s="14" t="n">
        <v>7842.68</v>
      </c>
      <c r="G367" s="14" t="n">
        <v>980.34</v>
      </c>
      <c r="H367" s="14" t="n">
        <v>980.34</v>
      </c>
      <c r="I367" s="14">
        <f>SUM(K367:T367)</f>
        <v/>
      </c>
      <c r="J367" s="14">
        <f>F367-(G367+H367+I367)</f>
        <v/>
      </c>
      <c r="K367" s="14" t="n">
        <v>588.2</v>
      </c>
      <c r="L367" s="14" t="n">
        <v>588.2</v>
      </c>
      <c r="M367" s="14" t="n">
        <v>588.2</v>
      </c>
      <c r="N367" s="14" t="n">
        <v>588.2</v>
      </c>
      <c r="O367" s="14" t="n">
        <v>588.2</v>
      </c>
      <c r="P367" s="14" t="n">
        <v>588.2</v>
      </c>
      <c r="Q367" s="14" t="n">
        <v>588.2</v>
      </c>
      <c r="R367" s="14" t="n">
        <v>588.2</v>
      </c>
      <c r="S367" s="14" t="n">
        <v>588.2</v>
      </c>
      <c r="T367" s="14" t="n">
        <v>588.2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CANON-202509-001076</t>
        </is>
      </c>
      <c r="B368" s="15" t="inlineStr">
        <is>
          <t>2025-09-06</t>
        </is>
      </c>
      <c r="C368" s="15" t="inlineStr">
        <is>
          <t>Noor Delacroix</t>
        </is>
      </c>
      <c r="D368" s="15" t="inlineStr">
        <is>
          <t>CT</t>
        </is>
      </c>
      <c r="E368" s="16" t="n">
        <v>620000</v>
      </c>
      <c r="F368" s="16" t="n">
        <v>8167.92</v>
      </c>
      <c r="G368" s="16" t="n">
        <v>1020.99</v>
      </c>
      <c r="H368" s="16" t="n">
        <v>1020.99</v>
      </c>
      <c r="I368" s="16">
        <f>SUM(K368:T368)</f>
        <v/>
      </c>
      <c r="J368" s="16">
        <f>F368-(G368+H368+I368)</f>
        <v/>
      </c>
      <c r="K368" s="16" t="n">
        <v>612.59</v>
      </c>
      <c r="L368" s="16" t="n">
        <v>612.59</v>
      </c>
      <c r="M368" s="16" t="n">
        <v>612.59</v>
      </c>
      <c r="N368" s="16" t="n">
        <v>612.59</v>
      </c>
      <c r="O368" s="16" t="n">
        <v>612.59</v>
      </c>
      <c r="P368" s="16" t="n">
        <v>612.59</v>
      </c>
      <c r="Q368" s="16" t="n">
        <v>612.59</v>
      </c>
      <c r="R368" s="16" t="n">
        <v>612.59</v>
      </c>
      <c r="S368" s="16" t="n">
        <v>612.59</v>
      </c>
      <c r="T368" s="16" t="n">
        <v>612.59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CANON-202509-001077</t>
        </is>
      </c>
      <c r="B369" s="3" t="inlineStr">
        <is>
          <t>2025-09-17</t>
        </is>
      </c>
      <c r="C369" s="3" t="inlineStr">
        <is>
          <t>Thaddeus Montoya</t>
        </is>
      </c>
      <c r="D369" s="3" t="inlineStr">
        <is>
          <t>RI</t>
        </is>
      </c>
      <c r="E369" s="14" t="n">
        <v>580000</v>
      </c>
      <c r="F369" s="14" t="n">
        <v>9346.52</v>
      </c>
      <c r="G369" s="14" t="n">
        <v>1168.32</v>
      </c>
      <c r="H369" s="14" t="n">
        <v>1168.32</v>
      </c>
      <c r="I369" s="14">
        <f>SUM(K369:T369)</f>
        <v/>
      </c>
      <c r="J369" s="14">
        <f>F369-(G369+H369+I369)</f>
        <v/>
      </c>
      <c r="K369" s="14" t="n">
        <v>700.99</v>
      </c>
      <c r="L369" s="14" t="n">
        <v>700.99</v>
      </c>
      <c r="M369" s="14" t="n">
        <v>700.99</v>
      </c>
      <c r="N369" s="14" t="n">
        <v>700.99</v>
      </c>
      <c r="O369" s="14" t="n">
        <v>700.99</v>
      </c>
      <c r="P369" s="14" t="n">
        <v>700.99</v>
      </c>
      <c r="Q369" s="14" t="n">
        <v>700.99</v>
      </c>
      <c r="R369" s="14" t="n">
        <v>700.99</v>
      </c>
      <c r="S369" s="14" t="n">
        <v>700.99</v>
      </c>
      <c r="T369" s="14" t="n">
        <v>700.99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CANON-202509-001078</t>
        </is>
      </c>
      <c r="B370" s="15" t="inlineStr">
        <is>
          <t>2025-09-10</t>
        </is>
      </c>
      <c r="C370" s="15" t="inlineStr">
        <is>
          <t>Aurelio Fairweather</t>
        </is>
      </c>
      <c r="D370" s="15" t="inlineStr">
        <is>
          <t>WY</t>
        </is>
      </c>
      <c r="E370" s="16" t="n">
        <v>410000</v>
      </c>
      <c r="F370" s="16" t="n">
        <v>5954.11</v>
      </c>
      <c r="G370" s="16" t="n">
        <v>744.26</v>
      </c>
      <c r="H370" s="16" t="n">
        <v>744.26</v>
      </c>
      <c r="I370" s="16">
        <f>SUM(K370:T370)</f>
        <v/>
      </c>
      <c r="J370" s="16">
        <f>F370-(G370+H370+I370)</f>
        <v/>
      </c>
      <c r="K370" s="16" t="n">
        <v>446.56</v>
      </c>
      <c r="L370" s="16" t="n">
        <v>446.56</v>
      </c>
      <c r="M370" s="16" t="n">
        <v>446.56</v>
      </c>
      <c r="N370" s="16" t="n">
        <v>446.56</v>
      </c>
      <c r="O370" s="16" t="n">
        <v>446.56</v>
      </c>
      <c r="P370" s="16" t="n">
        <v>446.56</v>
      </c>
      <c r="Q370" s="16" t="n">
        <v>446.56</v>
      </c>
      <c r="R370" s="16" t="n">
        <v>446.56</v>
      </c>
      <c r="S370" s="16" t="n">
        <v>446.56</v>
      </c>
      <c r="T370" s="16" t="n">
        <v>446.56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CANON-202509-001079</t>
        </is>
      </c>
      <c r="B371" s="3" t="inlineStr">
        <is>
          <t>2025-09-20</t>
        </is>
      </c>
      <c r="C371" s="3" t="inlineStr">
        <is>
          <t>Horace Okonkwo</t>
        </is>
      </c>
      <c r="D371" s="3" t="inlineStr">
        <is>
          <t>WA</t>
        </is>
      </c>
      <c r="E371" s="14" t="n">
        <v>810000</v>
      </c>
      <c r="F371" s="14" t="n">
        <v>9146.549999999999</v>
      </c>
      <c r="G371" s="14" t="n">
        <v>1143.32</v>
      </c>
      <c r="H371" s="14" t="n">
        <v>1143.32</v>
      </c>
      <c r="I371" s="14">
        <f>SUM(K371:T371)</f>
        <v/>
      </c>
      <c r="J371" s="14">
        <f>F371-(G371+H371+I371)</f>
        <v/>
      </c>
      <c r="K371" s="14" t="n">
        <v>685.99</v>
      </c>
      <c r="L371" s="14" t="n">
        <v>685.99</v>
      </c>
      <c r="M371" s="14" t="n">
        <v>685.99</v>
      </c>
      <c r="N371" s="14" t="n">
        <v>685.99</v>
      </c>
      <c r="O371" s="14" t="n">
        <v>685.99</v>
      </c>
      <c r="P371" s="14" t="n">
        <v>685.99</v>
      </c>
      <c r="Q371" s="14" t="n">
        <v>685.99</v>
      </c>
      <c r="R371" s="14" t="n">
        <v>685.99</v>
      </c>
      <c r="S371" s="14" t="n">
        <v>685.99</v>
      </c>
      <c r="T371" s="14" t="n">
        <v>685.99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CANON-202509-001080</t>
        </is>
      </c>
      <c r="B372" s="15" t="inlineStr">
        <is>
          <t>2025-09-22</t>
        </is>
      </c>
      <c r="C372" s="15" t="inlineStr">
        <is>
          <t>Fitzgerald Thistlewood</t>
        </is>
      </c>
      <c r="D372" s="15" t="inlineStr">
        <is>
          <t>FL</t>
        </is>
      </c>
      <c r="E372" s="16" t="n">
        <v>365000</v>
      </c>
      <c r="F372" s="16" t="n">
        <v>4502.05</v>
      </c>
      <c r="G372" s="16" t="n">
        <v>562.76</v>
      </c>
      <c r="H372" s="16" t="n">
        <v>562.76</v>
      </c>
      <c r="I372" s="16">
        <f>SUM(K372:T372)</f>
        <v/>
      </c>
      <c r="J372" s="16">
        <f>F372-(G372+H372+I372)</f>
        <v/>
      </c>
      <c r="K372" s="16" t="n">
        <v>337.65</v>
      </c>
      <c r="L372" s="16" t="n">
        <v>337.65</v>
      </c>
      <c r="M372" s="16" t="n">
        <v>337.65</v>
      </c>
      <c r="N372" s="16" t="n">
        <v>337.65</v>
      </c>
      <c r="O372" s="16" t="n">
        <v>337.65</v>
      </c>
      <c r="P372" s="16" t="n">
        <v>337.65</v>
      </c>
      <c r="Q372" s="16" t="n">
        <v>337.65</v>
      </c>
      <c r="R372" s="16" t="n">
        <v>337.65</v>
      </c>
      <c r="S372" s="16" t="n">
        <v>337.65</v>
      </c>
      <c r="T372" s="16" t="n">
        <v>337.65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CANON-202509-001081</t>
        </is>
      </c>
      <c r="B373" s="3" t="inlineStr">
        <is>
          <t>2025-09-06</t>
        </is>
      </c>
      <c r="C373" s="3" t="inlineStr">
        <is>
          <t>Noor Underwood</t>
        </is>
      </c>
      <c r="D373" s="3" t="inlineStr">
        <is>
          <t>NY</t>
        </is>
      </c>
      <c r="E373" s="14" t="n">
        <v>835000</v>
      </c>
      <c r="F373" s="14" t="n">
        <v>8316.74</v>
      </c>
      <c r="G373" s="14" t="n">
        <v>1039.59</v>
      </c>
      <c r="H373" s="14" t="n">
        <v>1039.59</v>
      </c>
      <c r="I373" s="14">
        <f>SUM(K373:T373)</f>
        <v/>
      </c>
      <c r="J373" s="14">
        <f>F373-(G373+H373+I373)</f>
        <v/>
      </c>
      <c r="K373" s="14" t="n">
        <v>623.76</v>
      </c>
      <c r="L373" s="14" t="n">
        <v>623.76</v>
      </c>
      <c r="M373" s="14" t="n">
        <v>623.76</v>
      </c>
      <c r="N373" s="14" t="n">
        <v>623.76</v>
      </c>
      <c r="O373" s="14" t="n">
        <v>623.76</v>
      </c>
      <c r="P373" s="14" t="n">
        <v>623.76</v>
      </c>
      <c r="Q373" s="14" t="n">
        <v>623.76</v>
      </c>
      <c r="R373" s="14" t="n">
        <v>623.76</v>
      </c>
      <c r="S373" s="14" t="n">
        <v>623.76</v>
      </c>
      <c r="T373" s="14" t="n">
        <v>623.76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CANON-202509-001082</t>
        </is>
      </c>
      <c r="B374" s="15" t="inlineStr">
        <is>
          <t>2025-09-09</t>
        </is>
      </c>
      <c r="C374" s="15" t="inlineStr">
        <is>
          <t>Ramona Blackwood</t>
        </is>
      </c>
      <c r="D374" s="15" t="inlineStr">
        <is>
          <t>HI</t>
        </is>
      </c>
      <c r="E374" s="16" t="n">
        <v>850000</v>
      </c>
      <c r="F374" s="16" t="n">
        <v>18996.51</v>
      </c>
      <c r="G374" s="16" t="n">
        <v>2374.56</v>
      </c>
      <c r="H374" s="16" t="n">
        <v>2374.56</v>
      </c>
      <c r="I374" s="16">
        <f>SUM(K374:T374)</f>
        <v/>
      </c>
      <c r="J374" s="16">
        <f>F374-(G374+H374+I374)</f>
        <v/>
      </c>
      <c r="K374" s="16" t="n">
        <v>1424.74</v>
      </c>
      <c r="L374" s="16" t="n">
        <v>1424.74</v>
      </c>
      <c r="M374" s="16" t="n">
        <v>1424.74</v>
      </c>
      <c r="N374" s="16" t="n">
        <v>1424.74</v>
      </c>
      <c r="O374" s="16" t="n">
        <v>1424.74</v>
      </c>
      <c r="P374" s="16" t="n">
        <v>1424.74</v>
      </c>
      <c r="Q374" s="16" t="n">
        <v>1424.74</v>
      </c>
      <c r="R374" s="16" t="n">
        <v>1424.74</v>
      </c>
      <c r="S374" s="16" t="n">
        <v>1424.74</v>
      </c>
      <c r="T374" s="16" t="n">
        <v>1424.74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CANON-202509-001083</t>
        </is>
      </c>
      <c r="B375" s="3" t="inlineStr">
        <is>
          <t>2025-09-19</t>
        </is>
      </c>
      <c r="C375" s="3" t="inlineStr">
        <is>
          <t>Callum Farkas</t>
        </is>
      </c>
      <c r="D375" s="3" t="inlineStr">
        <is>
          <t>OK</t>
        </is>
      </c>
      <c r="E375" s="14" t="n">
        <v>405000</v>
      </c>
      <c r="F375" s="14" t="n">
        <v>6925.88</v>
      </c>
      <c r="G375" s="14" t="n">
        <v>865.74</v>
      </c>
      <c r="H375" s="14" t="n">
        <v>865.74</v>
      </c>
      <c r="I375" s="14">
        <f>SUM(K375:T375)</f>
        <v/>
      </c>
      <c r="J375" s="14">
        <f>F375-(G375+H375+I375)</f>
        <v/>
      </c>
      <c r="K375" s="14" t="n">
        <v>519.4400000000001</v>
      </c>
      <c r="L375" s="14" t="n">
        <v>519.4400000000001</v>
      </c>
      <c r="M375" s="14" t="n">
        <v>519.4400000000001</v>
      </c>
      <c r="N375" s="14" t="n">
        <v>519.4400000000001</v>
      </c>
      <c r="O375" s="14" t="n">
        <v>519.4400000000001</v>
      </c>
      <c r="P375" s="14" t="n">
        <v>519.4400000000001</v>
      </c>
      <c r="Q375" s="14" t="n">
        <v>519.4400000000001</v>
      </c>
      <c r="R375" s="14" t="n">
        <v>519.4400000000001</v>
      </c>
      <c r="S375" s="14" t="n">
        <v>519.4400000000001</v>
      </c>
      <c r="T375" s="14" t="n">
        <v>519.4400000000001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CANON-202509-001084</t>
        </is>
      </c>
      <c r="B376" s="15" t="inlineStr">
        <is>
          <t>2025-09-11</t>
        </is>
      </c>
      <c r="C376" s="15" t="inlineStr">
        <is>
          <t>Saoirse Delacroix</t>
        </is>
      </c>
      <c r="D376" s="15" t="inlineStr">
        <is>
          <t>CA</t>
        </is>
      </c>
      <c r="E376" s="16" t="n">
        <v>750000</v>
      </c>
      <c r="F376" s="16" t="n">
        <v>11909.58</v>
      </c>
      <c r="G376" s="16" t="n">
        <v>1488.7</v>
      </c>
      <c r="H376" s="16" t="n">
        <v>1488.7</v>
      </c>
      <c r="I376" s="16">
        <f>SUM(K376:T376)</f>
        <v/>
      </c>
      <c r="J376" s="16">
        <f>F376-(G376+H376+I376)</f>
        <v/>
      </c>
      <c r="K376" s="16" t="n">
        <v>893.22</v>
      </c>
      <c r="L376" s="16" t="n">
        <v>893.22</v>
      </c>
      <c r="M376" s="16" t="n">
        <v>893.22</v>
      </c>
      <c r="N376" s="16" t="n">
        <v>893.22</v>
      </c>
      <c r="O376" s="16" t="n">
        <v>893.22</v>
      </c>
      <c r="P376" s="16" t="n">
        <v>893.22</v>
      </c>
      <c r="Q376" s="16" t="n">
        <v>893.22</v>
      </c>
      <c r="R376" s="16" t="n">
        <v>893.22</v>
      </c>
      <c r="S376" s="16" t="n">
        <v>893.22</v>
      </c>
      <c r="T376" s="16" t="n">
        <v>893.22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CANON-202509-001085</t>
        </is>
      </c>
      <c r="B377" s="3" t="inlineStr">
        <is>
          <t>2025-09-03</t>
        </is>
      </c>
      <c r="C377" s="3" t="inlineStr">
        <is>
          <t>Lorenzo Delacroix</t>
        </is>
      </c>
      <c r="D377" s="3" t="inlineStr">
        <is>
          <t>FL</t>
        </is>
      </c>
      <c r="E377" s="14" t="n">
        <v>745000</v>
      </c>
      <c r="F377" s="14" t="n">
        <v>12443.6</v>
      </c>
      <c r="G377" s="14" t="n">
        <v>1555.45</v>
      </c>
      <c r="H377" s="14" t="n">
        <v>1555.45</v>
      </c>
      <c r="I377" s="14">
        <f>SUM(K377:T377)</f>
        <v/>
      </c>
      <c r="J377" s="14">
        <f>F377-(G377+H377+I377)</f>
        <v/>
      </c>
      <c r="K377" s="14" t="n">
        <v>933.27</v>
      </c>
      <c r="L377" s="14" t="n">
        <v>933.27</v>
      </c>
      <c r="M377" s="14" t="n">
        <v>933.27</v>
      </c>
      <c r="N377" s="14" t="n">
        <v>933.27</v>
      </c>
      <c r="O377" s="14" t="n">
        <v>933.27</v>
      </c>
      <c r="P377" s="14" t="n">
        <v>933.27</v>
      </c>
      <c r="Q377" s="14" t="n">
        <v>933.27</v>
      </c>
      <c r="R377" s="14" t="n">
        <v>933.27</v>
      </c>
      <c r="S377" s="14" t="n">
        <v>933.27</v>
      </c>
      <c r="T377" s="14" t="n">
        <v>933.27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CANON-202509-001087</t>
        </is>
      </c>
      <c r="B378" s="15" t="inlineStr">
        <is>
          <t>2025-09-23</t>
        </is>
      </c>
      <c r="C378" s="15" t="inlineStr">
        <is>
          <t>Wilhelmina Okonkwo</t>
        </is>
      </c>
      <c r="D378" s="15" t="inlineStr">
        <is>
          <t>GA</t>
        </is>
      </c>
      <c r="E378" s="16" t="n">
        <v>695000</v>
      </c>
      <c r="F378" s="16" t="n">
        <v>9155.969999999999</v>
      </c>
      <c r="G378" s="16" t="n">
        <v>1144.5</v>
      </c>
      <c r="H378" s="16" t="n">
        <v>1144.5</v>
      </c>
      <c r="I378" s="16">
        <f>SUM(K378:T378)</f>
        <v/>
      </c>
      <c r="J378" s="16">
        <f>F378-(G378+H378+I378)</f>
        <v/>
      </c>
      <c r="K378" s="16" t="n">
        <v>686.7</v>
      </c>
      <c r="L378" s="16" t="n">
        <v>686.7</v>
      </c>
      <c r="M378" s="16" t="n">
        <v>686.7</v>
      </c>
      <c r="N378" s="16" t="n">
        <v>686.7</v>
      </c>
      <c r="O378" s="16" t="n">
        <v>686.7</v>
      </c>
      <c r="P378" s="16" t="n">
        <v>686.7</v>
      </c>
      <c r="Q378" s="16" t="n">
        <v>686.7</v>
      </c>
      <c r="R378" s="16" t="n">
        <v>686.7</v>
      </c>
      <c r="S378" s="16" t="n">
        <v>686.7</v>
      </c>
      <c r="T378" s="16" t="n">
        <v>686.7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CANON-202509-001088</t>
        </is>
      </c>
      <c r="B379" s="3" t="inlineStr">
        <is>
          <t>2025-09-19</t>
        </is>
      </c>
      <c r="C379" s="3" t="inlineStr">
        <is>
          <t>Ramona Montoya</t>
        </is>
      </c>
      <c r="D379" s="3" t="inlineStr">
        <is>
          <t>AL</t>
        </is>
      </c>
      <c r="E379" s="14" t="n">
        <v>1950000</v>
      </c>
      <c r="F379" s="14" t="n">
        <v>35852.24</v>
      </c>
      <c r="G379" s="14" t="n">
        <v>4481.53</v>
      </c>
      <c r="H379" s="14" t="n">
        <v>4481.53</v>
      </c>
      <c r="I379" s="14">
        <f>SUM(K379:T379)</f>
        <v/>
      </c>
      <c r="J379" s="14">
        <f>F379-(G379+H379+I379)</f>
        <v/>
      </c>
      <c r="K379" s="14" t="n">
        <v>2688.92</v>
      </c>
      <c r="L379" s="14" t="n">
        <v>2688.92</v>
      </c>
      <c r="M379" s="14" t="n">
        <v>2688.92</v>
      </c>
      <c r="N379" s="14" t="n">
        <v>2688.92</v>
      </c>
      <c r="O379" s="14" t="n">
        <v>2688.92</v>
      </c>
      <c r="P379" s="14" t="n">
        <v>2688.92</v>
      </c>
      <c r="Q379" s="14" t="n">
        <v>2688.92</v>
      </c>
      <c r="R379" s="14" t="n">
        <v>2688.92</v>
      </c>
      <c r="S379" s="14" t="n">
        <v>2688.92</v>
      </c>
      <c r="T379" s="14" t="n">
        <v>2688.92</v>
      </c>
      <c r="U379" s="14" t="n">
        <v>350</v>
      </c>
      <c r="V379" s="14" t="n">
        <v>250</v>
      </c>
      <c r="W379" s="14">
        <f>U379+V379</f>
        <v/>
      </c>
    </row>
    <row r="380">
      <c r="A380" s="15" t="inlineStr">
        <is>
          <t>CANON-202509-001090</t>
        </is>
      </c>
      <c r="B380" s="15" t="inlineStr">
        <is>
          <t>2025-09-05</t>
        </is>
      </c>
      <c r="C380" s="15" t="inlineStr">
        <is>
          <t>Ramona Ashcombe</t>
        </is>
      </c>
      <c r="D380" s="15" t="inlineStr">
        <is>
          <t>LA</t>
        </is>
      </c>
      <c r="E380" s="16" t="n">
        <v>635000</v>
      </c>
      <c r="F380" s="16" t="n">
        <v>9037.75</v>
      </c>
      <c r="G380" s="16" t="n">
        <v>1129.72</v>
      </c>
      <c r="H380" s="16" t="n">
        <v>1129.72</v>
      </c>
      <c r="I380" s="16">
        <f>SUM(K380:T380)</f>
        <v/>
      </c>
      <c r="J380" s="16">
        <f>F380-(G380+H380+I380)</f>
        <v/>
      </c>
      <c r="K380" s="16" t="n">
        <v>677.83</v>
      </c>
      <c r="L380" s="16" t="n">
        <v>677.83</v>
      </c>
      <c r="M380" s="16" t="n">
        <v>677.83</v>
      </c>
      <c r="N380" s="16" t="n">
        <v>677.83</v>
      </c>
      <c r="O380" s="16" t="n">
        <v>677.83</v>
      </c>
      <c r="P380" s="16" t="n">
        <v>677.83</v>
      </c>
      <c r="Q380" s="16" t="n">
        <v>677.83</v>
      </c>
      <c r="R380" s="16" t="n">
        <v>677.83</v>
      </c>
      <c r="S380" s="16" t="n">
        <v>677.83</v>
      </c>
      <c r="T380" s="16" t="n">
        <v>677.83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CANON-202509-001091</t>
        </is>
      </c>
      <c r="B381" s="3" t="inlineStr">
        <is>
          <t>2025-09-05</t>
        </is>
      </c>
      <c r="C381" s="3" t="inlineStr">
        <is>
          <t>Ingrid Harrington</t>
        </is>
      </c>
      <c r="D381" s="3" t="inlineStr">
        <is>
          <t>VA</t>
        </is>
      </c>
      <c r="E381" s="14" t="n">
        <v>480000</v>
      </c>
      <c r="F381" s="14" t="n">
        <v>7100.96</v>
      </c>
      <c r="G381" s="14" t="n">
        <v>887.62</v>
      </c>
      <c r="H381" s="14" t="n">
        <v>887.62</v>
      </c>
      <c r="I381" s="14">
        <f>SUM(K381:T381)</f>
        <v/>
      </c>
      <c r="J381" s="14">
        <f>F381-(G381+H381+I381)</f>
        <v/>
      </c>
      <c r="K381" s="14" t="n">
        <v>532.5700000000001</v>
      </c>
      <c r="L381" s="14" t="n">
        <v>532.5700000000001</v>
      </c>
      <c r="M381" s="14" t="n">
        <v>532.5700000000001</v>
      </c>
      <c r="N381" s="14" t="n">
        <v>532.5700000000001</v>
      </c>
      <c r="O381" s="14" t="n">
        <v>532.5700000000001</v>
      </c>
      <c r="P381" s="14" t="n">
        <v>532.5700000000001</v>
      </c>
      <c r="Q381" s="14" t="n">
        <v>532.5700000000001</v>
      </c>
      <c r="R381" s="14" t="n">
        <v>532.5700000000001</v>
      </c>
      <c r="S381" s="14" t="n">
        <v>532.5700000000001</v>
      </c>
      <c r="T381" s="14" t="n">
        <v>532.5700000000001</v>
      </c>
      <c r="U381" s="14" t="n">
        <v>350</v>
      </c>
      <c r="V381" s="14" t="n">
        <v>0</v>
      </c>
      <c r="W381" s="14">
        <f>U381+V381</f>
        <v/>
      </c>
    </row>
    <row r="382">
      <c r="A382" s="9" t="inlineStr">
        <is>
          <t>TOTAL</t>
        </is>
      </c>
      <c r="E382" s="10">
        <f>SUM(E5:E381)</f>
        <v/>
      </c>
      <c r="F382" s="10">
        <f>SUM(F5:F381)</f>
        <v/>
      </c>
      <c r="G382" s="10">
        <f>SUM(G5:G381)</f>
        <v/>
      </c>
      <c r="H382" s="10">
        <f>SUM(H5:H381)</f>
        <v/>
      </c>
      <c r="I382" s="10">
        <f>SUM(I5:I381)</f>
        <v/>
      </c>
      <c r="J382" s="10">
        <f>SUM(J5:J381)</f>
        <v/>
      </c>
      <c r="K382" s="10">
        <f>SUM(K5:K381)</f>
        <v/>
      </c>
      <c r="L382" s="10">
        <f>SUM(L5:L381)</f>
        <v/>
      </c>
      <c r="M382" s="10">
        <f>SUM(M5:M381)</f>
        <v/>
      </c>
      <c r="N382" s="10">
        <f>SUM(N5:N381)</f>
        <v/>
      </c>
      <c r="O382" s="10">
        <f>SUM(O5:O381)</f>
        <v/>
      </c>
      <c r="P382" s="10">
        <f>SUM(P5:P381)</f>
        <v/>
      </c>
      <c r="Q382" s="10">
        <f>SUM(Q5:Q381)</f>
        <v/>
      </c>
      <c r="R382" s="10">
        <f>SUM(R5:R381)</f>
        <v/>
      </c>
      <c r="S382" s="10">
        <f>SUM(S5:S381)</f>
        <v/>
      </c>
      <c r="T382" s="10">
        <f>SUM(T5:T381)</f>
        <v/>
      </c>
      <c r="U382" s="10">
        <f>SUM(U5:U381)</f>
        <v/>
      </c>
      <c r="V382" s="10">
        <f>SUM(V5:V381)</f>
        <v/>
      </c>
      <c r="W382" s="10">
        <f>SUM(W5:W381)</f>
        <v/>
      </c>
    </row>
    <row r="383">
      <c r="A383" s="5" t="inlineStr">
        <is>
          <t>Foot check: Premium − (B+T+M+Resid)</t>
        </is>
      </c>
      <c r="F383" s="17">
        <f>F382-(G382+H382+I382+J382)</f>
        <v/>
      </c>
    </row>
    <row r="384">
      <c r="A384" s="5" t="inlineStr">
        <is>
          <t>Foot check: Markets − Σ(10 syndicates)</t>
        </is>
      </c>
      <c r="I384" s="17">
        <f>I382-SUM(K382:T382)</f>
        <v/>
      </c>
    </row>
  </sheetData>
  <autoFilter ref="A4:W381"/>
  <mergeCells count="2">
    <mergeCell ref="A2:W2"/>
    <mergeCell ref="A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W4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2025-10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CANON-202510-001092</t>
        </is>
      </c>
      <c r="B5" s="3" t="inlineStr">
        <is>
          <t>2025-10-17</t>
        </is>
      </c>
      <c r="C5" s="3" t="inlineStr">
        <is>
          <t>Lorenzo Thistlewood</t>
        </is>
      </c>
      <c r="D5" s="3" t="inlineStr">
        <is>
          <t>MA</t>
        </is>
      </c>
      <c r="E5" s="14" t="n">
        <v>355000</v>
      </c>
      <c r="F5" s="14" t="n">
        <v>7140.25</v>
      </c>
      <c r="G5" s="14" t="n">
        <v>892.53</v>
      </c>
      <c r="H5" s="14" t="n">
        <v>892.53</v>
      </c>
      <c r="I5" s="14">
        <f>SUM(K5:T5)</f>
        <v/>
      </c>
      <c r="J5" s="14">
        <f>F5-(G5+H5+I5)</f>
        <v/>
      </c>
      <c r="K5" s="14" t="n">
        <v>535.52</v>
      </c>
      <c r="L5" s="14" t="n">
        <v>535.52</v>
      </c>
      <c r="M5" s="14" t="n">
        <v>535.52</v>
      </c>
      <c r="N5" s="14" t="n">
        <v>535.52</v>
      </c>
      <c r="O5" s="14" t="n">
        <v>535.52</v>
      </c>
      <c r="P5" s="14" t="n">
        <v>535.52</v>
      </c>
      <c r="Q5" s="14" t="n">
        <v>535.52</v>
      </c>
      <c r="R5" s="14" t="n">
        <v>535.52</v>
      </c>
      <c r="S5" s="14" t="n">
        <v>535.52</v>
      </c>
      <c r="T5" s="14" t="n">
        <v>535.52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CANON-202510-001093</t>
        </is>
      </c>
      <c r="B6" s="15" t="inlineStr">
        <is>
          <t>2025-10-27</t>
        </is>
      </c>
      <c r="C6" s="15" t="inlineStr">
        <is>
          <t>Beatrix Castellanos</t>
        </is>
      </c>
      <c r="D6" s="15" t="inlineStr">
        <is>
          <t>AK</t>
        </is>
      </c>
      <c r="E6" s="16" t="n">
        <v>465000</v>
      </c>
      <c r="F6" s="16" t="n">
        <v>7269.63</v>
      </c>
      <c r="G6" s="16" t="n">
        <v>908.7</v>
      </c>
      <c r="H6" s="16" t="n">
        <v>908.7</v>
      </c>
      <c r="I6" s="16">
        <f>SUM(K6:T6)</f>
        <v/>
      </c>
      <c r="J6" s="16">
        <f>F6-(G6+H6+I6)</f>
        <v/>
      </c>
      <c r="K6" s="16" t="n">
        <v>545.22</v>
      </c>
      <c r="L6" s="16" t="n">
        <v>545.22</v>
      </c>
      <c r="M6" s="16" t="n">
        <v>545.22</v>
      </c>
      <c r="N6" s="16" t="n">
        <v>545.22</v>
      </c>
      <c r="O6" s="16" t="n">
        <v>545.22</v>
      </c>
      <c r="P6" s="16" t="n">
        <v>545.22</v>
      </c>
      <c r="Q6" s="16" t="n">
        <v>545.22</v>
      </c>
      <c r="R6" s="16" t="n">
        <v>545.22</v>
      </c>
      <c r="S6" s="16" t="n">
        <v>545.22</v>
      </c>
      <c r="T6" s="16" t="n">
        <v>545.22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CANON-202510-001095</t>
        </is>
      </c>
      <c r="B7" s="3" t="inlineStr">
        <is>
          <t>2025-10-02</t>
        </is>
      </c>
      <c r="C7" s="3" t="inlineStr">
        <is>
          <t>Wilhelmina Harrington</t>
        </is>
      </c>
      <c r="D7" s="3" t="inlineStr">
        <is>
          <t>CO</t>
        </is>
      </c>
      <c r="E7" s="14" t="n">
        <v>720000</v>
      </c>
      <c r="F7" s="14" t="n">
        <v>9413.07</v>
      </c>
      <c r="G7" s="14" t="n">
        <v>1176.63</v>
      </c>
      <c r="H7" s="14" t="n">
        <v>1176.63</v>
      </c>
      <c r="I7" s="14">
        <f>SUM(K7:T7)</f>
        <v/>
      </c>
      <c r="J7" s="14">
        <f>F7-(G7+H7+I7)</f>
        <v/>
      </c>
      <c r="K7" s="14" t="n">
        <v>705.98</v>
      </c>
      <c r="L7" s="14" t="n">
        <v>705.98</v>
      </c>
      <c r="M7" s="14" t="n">
        <v>705.98</v>
      </c>
      <c r="N7" s="14" t="n">
        <v>705.98</v>
      </c>
      <c r="O7" s="14" t="n">
        <v>705.98</v>
      </c>
      <c r="P7" s="14" t="n">
        <v>705.98</v>
      </c>
      <c r="Q7" s="14" t="n">
        <v>705.98</v>
      </c>
      <c r="R7" s="14" t="n">
        <v>705.98</v>
      </c>
      <c r="S7" s="14" t="n">
        <v>705.98</v>
      </c>
      <c r="T7" s="14" t="n">
        <v>705.98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CANON-202510-001096</t>
        </is>
      </c>
      <c r="B8" s="15" t="inlineStr">
        <is>
          <t>2025-10-02</t>
        </is>
      </c>
      <c r="C8" s="15" t="inlineStr">
        <is>
          <t>Saoirse Rourke</t>
        </is>
      </c>
      <c r="D8" s="15" t="inlineStr">
        <is>
          <t>KY</t>
        </is>
      </c>
      <c r="E8" s="16" t="n">
        <v>325000</v>
      </c>
      <c r="F8" s="16" t="n">
        <v>5972.31</v>
      </c>
      <c r="G8" s="16" t="n">
        <v>746.54</v>
      </c>
      <c r="H8" s="16" t="n">
        <v>746.54</v>
      </c>
      <c r="I8" s="16">
        <f>SUM(K8:T8)</f>
        <v/>
      </c>
      <c r="J8" s="16">
        <f>F8-(G8+H8+I8)</f>
        <v/>
      </c>
      <c r="K8" s="16" t="n">
        <v>447.92</v>
      </c>
      <c r="L8" s="16" t="n">
        <v>447.92</v>
      </c>
      <c r="M8" s="16" t="n">
        <v>447.92</v>
      </c>
      <c r="N8" s="16" t="n">
        <v>447.92</v>
      </c>
      <c r="O8" s="16" t="n">
        <v>447.92</v>
      </c>
      <c r="P8" s="16" t="n">
        <v>447.92</v>
      </c>
      <c r="Q8" s="16" t="n">
        <v>447.92</v>
      </c>
      <c r="R8" s="16" t="n">
        <v>447.92</v>
      </c>
      <c r="S8" s="16" t="n">
        <v>447.92</v>
      </c>
      <c r="T8" s="16" t="n">
        <v>447.92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CANON-202510-001097</t>
        </is>
      </c>
      <c r="B9" s="3" t="inlineStr">
        <is>
          <t>2025-10-27</t>
        </is>
      </c>
      <c r="C9" s="3" t="inlineStr">
        <is>
          <t>Cassius Bellandi</t>
        </is>
      </c>
      <c r="D9" s="3" t="inlineStr">
        <is>
          <t>CO</t>
        </is>
      </c>
      <c r="E9" s="14" t="n">
        <v>1140000</v>
      </c>
      <c r="F9" s="14" t="n">
        <v>12611.1</v>
      </c>
      <c r="G9" s="14" t="n">
        <v>1576.39</v>
      </c>
      <c r="H9" s="14" t="n">
        <v>1576.39</v>
      </c>
      <c r="I9" s="14">
        <f>SUM(K9:T9)</f>
        <v/>
      </c>
      <c r="J9" s="14">
        <f>F9-(G9+H9+I9)</f>
        <v/>
      </c>
      <c r="K9" s="14" t="n">
        <v>945.83</v>
      </c>
      <c r="L9" s="14" t="n">
        <v>945.83</v>
      </c>
      <c r="M9" s="14" t="n">
        <v>945.83</v>
      </c>
      <c r="N9" s="14" t="n">
        <v>945.83</v>
      </c>
      <c r="O9" s="14" t="n">
        <v>945.83</v>
      </c>
      <c r="P9" s="14" t="n">
        <v>945.83</v>
      </c>
      <c r="Q9" s="14" t="n">
        <v>945.83</v>
      </c>
      <c r="R9" s="14" t="n">
        <v>945.83</v>
      </c>
      <c r="S9" s="14" t="n">
        <v>945.83</v>
      </c>
      <c r="T9" s="14" t="n">
        <v>945.83</v>
      </c>
      <c r="U9" s="14" t="n">
        <v>350</v>
      </c>
      <c r="V9" s="14" t="n">
        <v>250</v>
      </c>
      <c r="W9" s="14">
        <f>U9+V9</f>
        <v/>
      </c>
    </row>
    <row r="10">
      <c r="A10" s="15" t="inlineStr">
        <is>
          <t>CANON-202510-001099</t>
        </is>
      </c>
      <c r="B10" s="15" t="inlineStr">
        <is>
          <t>2025-10-09</t>
        </is>
      </c>
      <c r="C10" s="15" t="inlineStr">
        <is>
          <t>Emiliano Kingsford</t>
        </is>
      </c>
      <c r="D10" s="15" t="inlineStr">
        <is>
          <t>IN</t>
        </is>
      </c>
      <c r="E10" s="16" t="n">
        <v>1805000</v>
      </c>
      <c r="F10" s="16" t="n">
        <v>32476.19</v>
      </c>
      <c r="G10" s="16" t="n">
        <v>4059.52</v>
      </c>
      <c r="H10" s="16" t="n">
        <v>4059.52</v>
      </c>
      <c r="I10" s="16">
        <f>SUM(K10:T10)</f>
        <v/>
      </c>
      <c r="J10" s="16">
        <f>F10-(G10+H10+I10)</f>
        <v/>
      </c>
      <c r="K10" s="16" t="n">
        <v>2435.71</v>
      </c>
      <c r="L10" s="16" t="n">
        <v>2435.71</v>
      </c>
      <c r="M10" s="16" t="n">
        <v>2435.71</v>
      </c>
      <c r="N10" s="16" t="n">
        <v>2435.71</v>
      </c>
      <c r="O10" s="16" t="n">
        <v>2435.71</v>
      </c>
      <c r="P10" s="16" t="n">
        <v>2435.71</v>
      </c>
      <c r="Q10" s="16" t="n">
        <v>2435.71</v>
      </c>
      <c r="R10" s="16" t="n">
        <v>2435.71</v>
      </c>
      <c r="S10" s="16" t="n">
        <v>2435.71</v>
      </c>
      <c r="T10" s="16" t="n">
        <v>2435.71</v>
      </c>
      <c r="U10" s="16" t="n">
        <v>350</v>
      </c>
      <c r="V10" s="16" t="n">
        <v>250</v>
      </c>
      <c r="W10" s="16">
        <f>U10+V10</f>
        <v/>
      </c>
    </row>
    <row r="11">
      <c r="A11" s="3" t="inlineStr">
        <is>
          <t>CANON-202510-001100</t>
        </is>
      </c>
      <c r="B11" s="3" t="inlineStr">
        <is>
          <t>2025-10-05</t>
        </is>
      </c>
      <c r="C11" s="3" t="inlineStr">
        <is>
          <t>Mireille Rourke</t>
        </is>
      </c>
      <c r="D11" s="3" t="inlineStr">
        <is>
          <t>IA</t>
        </is>
      </c>
      <c r="E11" s="14" t="n">
        <v>275000</v>
      </c>
      <c r="F11" s="14" t="n">
        <v>4148.39</v>
      </c>
      <c r="G11" s="14" t="n">
        <v>518.55</v>
      </c>
      <c r="H11" s="14" t="n">
        <v>518.55</v>
      </c>
      <c r="I11" s="14">
        <f>SUM(K11:T11)</f>
        <v/>
      </c>
      <c r="J11" s="14">
        <f>F11-(G11+H11+I11)</f>
        <v/>
      </c>
      <c r="K11" s="14" t="n">
        <v>311.13</v>
      </c>
      <c r="L11" s="14" t="n">
        <v>311.13</v>
      </c>
      <c r="M11" s="14" t="n">
        <v>311.13</v>
      </c>
      <c r="N11" s="14" t="n">
        <v>311.13</v>
      </c>
      <c r="O11" s="14" t="n">
        <v>311.13</v>
      </c>
      <c r="P11" s="14" t="n">
        <v>311.13</v>
      </c>
      <c r="Q11" s="14" t="n">
        <v>311.13</v>
      </c>
      <c r="R11" s="14" t="n">
        <v>311.13</v>
      </c>
      <c r="S11" s="14" t="n">
        <v>311.13</v>
      </c>
      <c r="T11" s="14" t="n">
        <v>311.13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CANON-202510-001101</t>
        </is>
      </c>
      <c r="B12" s="15" t="inlineStr">
        <is>
          <t>2025-10-24</t>
        </is>
      </c>
      <c r="C12" s="15" t="inlineStr">
        <is>
          <t>Aurelio Fairweather</t>
        </is>
      </c>
      <c r="D12" s="15" t="inlineStr">
        <is>
          <t>MT</t>
        </is>
      </c>
      <c r="E12" s="16" t="n">
        <v>200000</v>
      </c>
      <c r="F12" s="16" t="n">
        <v>3128.91</v>
      </c>
      <c r="G12" s="16" t="n">
        <v>391.11</v>
      </c>
      <c r="H12" s="16" t="n">
        <v>391.11</v>
      </c>
      <c r="I12" s="16">
        <f>SUM(K12:T12)</f>
        <v/>
      </c>
      <c r="J12" s="16">
        <f>F12-(G12+H12+I12)</f>
        <v/>
      </c>
      <c r="K12" s="16" t="n">
        <v>234.67</v>
      </c>
      <c r="L12" s="16" t="n">
        <v>234.67</v>
      </c>
      <c r="M12" s="16" t="n">
        <v>234.67</v>
      </c>
      <c r="N12" s="16" t="n">
        <v>234.67</v>
      </c>
      <c r="O12" s="16" t="n">
        <v>234.67</v>
      </c>
      <c r="P12" s="16" t="n">
        <v>234.67</v>
      </c>
      <c r="Q12" s="16" t="n">
        <v>234.67</v>
      </c>
      <c r="R12" s="16" t="n">
        <v>234.67</v>
      </c>
      <c r="S12" s="16" t="n">
        <v>234.67</v>
      </c>
      <c r="T12" s="16" t="n">
        <v>234.67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CANON-202510-001103</t>
        </is>
      </c>
      <c r="B13" s="3" t="inlineStr">
        <is>
          <t>2025-10-18</t>
        </is>
      </c>
      <c r="C13" s="3" t="inlineStr">
        <is>
          <t>Mireille Ashcombe</t>
        </is>
      </c>
      <c r="D13" s="3" t="inlineStr">
        <is>
          <t>NJ</t>
        </is>
      </c>
      <c r="E13" s="14" t="n">
        <v>900000</v>
      </c>
      <c r="F13" s="14" t="n">
        <v>14226.57</v>
      </c>
      <c r="G13" s="14" t="n">
        <v>1778.32</v>
      </c>
      <c r="H13" s="14" t="n">
        <v>1778.32</v>
      </c>
      <c r="I13" s="14">
        <f>SUM(K13:T13)</f>
        <v/>
      </c>
      <c r="J13" s="14">
        <f>F13-(G13+H13+I13)</f>
        <v/>
      </c>
      <c r="K13" s="14" t="n">
        <v>1066.99</v>
      </c>
      <c r="L13" s="14" t="n">
        <v>1066.99</v>
      </c>
      <c r="M13" s="14" t="n">
        <v>1066.99</v>
      </c>
      <c r="N13" s="14" t="n">
        <v>1066.99</v>
      </c>
      <c r="O13" s="14" t="n">
        <v>1066.99</v>
      </c>
      <c r="P13" s="14" t="n">
        <v>1066.99</v>
      </c>
      <c r="Q13" s="14" t="n">
        <v>1066.99</v>
      </c>
      <c r="R13" s="14" t="n">
        <v>1066.99</v>
      </c>
      <c r="S13" s="14" t="n">
        <v>1066.99</v>
      </c>
      <c r="T13" s="14" t="n">
        <v>1066.99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CANON-202510-001104</t>
        </is>
      </c>
      <c r="B14" s="15" t="inlineStr">
        <is>
          <t>2025-10-08</t>
        </is>
      </c>
      <c r="C14" s="15" t="inlineStr">
        <is>
          <t>Marisol Whitlock</t>
        </is>
      </c>
      <c r="D14" s="15" t="inlineStr">
        <is>
          <t>KS</t>
        </is>
      </c>
      <c r="E14" s="16" t="n">
        <v>360000</v>
      </c>
      <c r="F14" s="16" t="n">
        <v>4788.82</v>
      </c>
      <c r="G14" s="16" t="n">
        <v>598.6</v>
      </c>
      <c r="H14" s="16" t="n">
        <v>598.6</v>
      </c>
      <c r="I14" s="16">
        <f>SUM(K14:T14)</f>
        <v/>
      </c>
      <c r="J14" s="16">
        <f>F14-(G14+H14+I14)</f>
        <v/>
      </c>
      <c r="K14" s="16" t="n">
        <v>359.16</v>
      </c>
      <c r="L14" s="16" t="n">
        <v>359.16</v>
      </c>
      <c r="M14" s="16" t="n">
        <v>359.16</v>
      </c>
      <c r="N14" s="16" t="n">
        <v>359.16</v>
      </c>
      <c r="O14" s="16" t="n">
        <v>359.16</v>
      </c>
      <c r="P14" s="16" t="n">
        <v>359.16</v>
      </c>
      <c r="Q14" s="16" t="n">
        <v>359.16</v>
      </c>
      <c r="R14" s="16" t="n">
        <v>359.16</v>
      </c>
      <c r="S14" s="16" t="n">
        <v>359.16</v>
      </c>
      <c r="T14" s="16" t="n">
        <v>359.16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CANON-202510-001106</t>
        </is>
      </c>
      <c r="B15" s="3" t="inlineStr">
        <is>
          <t>2025-10-10</t>
        </is>
      </c>
      <c r="C15" s="3" t="inlineStr">
        <is>
          <t>Anouk Castellanos</t>
        </is>
      </c>
      <c r="D15" s="3" t="inlineStr">
        <is>
          <t>DE</t>
        </is>
      </c>
      <c r="E15" s="14" t="n">
        <v>1480000</v>
      </c>
      <c r="F15" s="14" t="n">
        <v>23002.41</v>
      </c>
      <c r="G15" s="14" t="n">
        <v>2875.3</v>
      </c>
      <c r="H15" s="14" t="n">
        <v>2875.3</v>
      </c>
      <c r="I15" s="14">
        <f>SUM(K15:T15)</f>
        <v/>
      </c>
      <c r="J15" s="14">
        <f>F15-(G15+H15+I15)</f>
        <v/>
      </c>
      <c r="K15" s="14" t="n">
        <v>1725.18</v>
      </c>
      <c r="L15" s="14" t="n">
        <v>1725.18</v>
      </c>
      <c r="M15" s="14" t="n">
        <v>1725.18</v>
      </c>
      <c r="N15" s="14" t="n">
        <v>1725.18</v>
      </c>
      <c r="O15" s="14" t="n">
        <v>1725.18</v>
      </c>
      <c r="P15" s="14" t="n">
        <v>1725.18</v>
      </c>
      <c r="Q15" s="14" t="n">
        <v>1725.18</v>
      </c>
      <c r="R15" s="14" t="n">
        <v>1725.18</v>
      </c>
      <c r="S15" s="14" t="n">
        <v>1725.18</v>
      </c>
      <c r="T15" s="14" t="n">
        <v>1725.18</v>
      </c>
      <c r="U15" s="14" t="n">
        <v>350</v>
      </c>
      <c r="V15" s="14" t="n">
        <v>250</v>
      </c>
      <c r="W15" s="14">
        <f>U15+V15</f>
        <v/>
      </c>
    </row>
    <row r="16">
      <c r="A16" s="15" t="inlineStr">
        <is>
          <t>CANON-202510-001107</t>
        </is>
      </c>
      <c r="B16" s="15" t="inlineStr">
        <is>
          <t>2025-10-22</t>
        </is>
      </c>
      <c r="C16" s="15" t="inlineStr">
        <is>
          <t>Desmond Castellanos</t>
        </is>
      </c>
      <c r="D16" s="15" t="inlineStr">
        <is>
          <t>NM</t>
        </is>
      </c>
      <c r="E16" s="16" t="n">
        <v>705000</v>
      </c>
      <c r="F16" s="16" t="n">
        <v>10725.19</v>
      </c>
      <c r="G16" s="16" t="n">
        <v>1340.65</v>
      </c>
      <c r="H16" s="16" t="n">
        <v>1340.65</v>
      </c>
      <c r="I16" s="16">
        <f>SUM(K16:T16)</f>
        <v/>
      </c>
      <c r="J16" s="16">
        <f>F16-(G16+H16+I16)</f>
        <v/>
      </c>
      <c r="K16" s="16" t="n">
        <v>804.39</v>
      </c>
      <c r="L16" s="16" t="n">
        <v>804.39</v>
      </c>
      <c r="M16" s="16" t="n">
        <v>804.39</v>
      </c>
      <c r="N16" s="16" t="n">
        <v>804.39</v>
      </c>
      <c r="O16" s="16" t="n">
        <v>804.39</v>
      </c>
      <c r="P16" s="16" t="n">
        <v>804.39</v>
      </c>
      <c r="Q16" s="16" t="n">
        <v>804.39</v>
      </c>
      <c r="R16" s="16" t="n">
        <v>804.39</v>
      </c>
      <c r="S16" s="16" t="n">
        <v>804.39</v>
      </c>
      <c r="T16" s="16" t="n">
        <v>804.39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CANON-202510-001108</t>
        </is>
      </c>
      <c r="B17" s="3" t="inlineStr">
        <is>
          <t>2025-10-05</t>
        </is>
      </c>
      <c r="C17" s="3" t="inlineStr">
        <is>
          <t>Sunniva Rourke</t>
        </is>
      </c>
      <c r="D17" s="3" t="inlineStr">
        <is>
          <t>ND</t>
        </is>
      </c>
      <c r="E17" s="14" t="n">
        <v>620000</v>
      </c>
      <c r="F17" s="14" t="n">
        <v>7516.19</v>
      </c>
      <c r="G17" s="14" t="n">
        <v>939.52</v>
      </c>
      <c r="H17" s="14" t="n">
        <v>939.52</v>
      </c>
      <c r="I17" s="14">
        <f>SUM(K17:T17)</f>
        <v/>
      </c>
      <c r="J17" s="14">
        <f>F17-(G17+H17+I17)</f>
        <v/>
      </c>
      <c r="K17" s="14" t="n">
        <v>563.71</v>
      </c>
      <c r="L17" s="14" t="n">
        <v>563.71</v>
      </c>
      <c r="M17" s="14" t="n">
        <v>563.71</v>
      </c>
      <c r="N17" s="14" t="n">
        <v>563.71</v>
      </c>
      <c r="O17" s="14" t="n">
        <v>563.71</v>
      </c>
      <c r="P17" s="14" t="n">
        <v>563.71</v>
      </c>
      <c r="Q17" s="14" t="n">
        <v>563.71</v>
      </c>
      <c r="R17" s="14" t="n">
        <v>563.71</v>
      </c>
      <c r="S17" s="14" t="n">
        <v>563.71</v>
      </c>
      <c r="T17" s="14" t="n">
        <v>563.71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CANON-202510-001110</t>
        </is>
      </c>
      <c r="B18" s="15" t="inlineStr">
        <is>
          <t>2025-10-01</t>
        </is>
      </c>
      <c r="C18" s="15" t="inlineStr">
        <is>
          <t>Anouk Merriweather</t>
        </is>
      </c>
      <c r="D18" s="15" t="inlineStr">
        <is>
          <t>KS</t>
        </is>
      </c>
      <c r="E18" s="16" t="n">
        <v>285000</v>
      </c>
      <c r="F18" s="16" t="n">
        <v>3791.15</v>
      </c>
      <c r="G18" s="16" t="n">
        <v>473.89</v>
      </c>
      <c r="H18" s="16" t="n">
        <v>473.89</v>
      </c>
      <c r="I18" s="16">
        <f>SUM(K18:T18)</f>
        <v/>
      </c>
      <c r="J18" s="16">
        <f>F18-(G18+H18+I18)</f>
        <v/>
      </c>
      <c r="K18" s="16" t="n">
        <v>284.34</v>
      </c>
      <c r="L18" s="16" t="n">
        <v>284.34</v>
      </c>
      <c r="M18" s="16" t="n">
        <v>284.34</v>
      </c>
      <c r="N18" s="16" t="n">
        <v>284.34</v>
      </c>
      <c r="O18" s="16" t="n">
        <v>284.34</v>
      </c>
      <c r="P18" s="16" t="n">
        <v>284.34</v>
      </c>
      <c r="Q18" s="16" t="n">
        <v>284.34</v>
      </c>
      <c r="R18" s="16" t="n">
        <v>284.34</v>
      </c>
      <c r="S18" s="16" t="n">
        <v>284.34</v>
      </c>
      <c r="T18" s="16" t="n">
        <v>284.34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CANON-202510-001111</t>
        </is>
      </c>
      <c r="B19" s="3" t="inlineStr">
        <is>
          <t>2025-10-18</t>
        </is>
      </c>
      <c r="C19" s="3" t="inlineStr">
        <is>
          <t>Desmond Thistlewood</t>
        </is>
      </c>
      <c r="D19" s="3" t="inlineStr">
        <is>
          <t>VT</t>
        </is>
      </c>
      <c r="E19" s="14" t="n">
        <v>560000</v>
      </c>
      <c r="F19" s="14" t="n">
        <v>9743.950000000001</v>
      </c>
      <c r="G19" s="14" t="n">
        <v>1217.99</v>
      </c>
      <c r="H19" s="14" t="n">
        <v>1217.99</v>
      </c>
      <c r="I19" s="14">
        <f>SUM(K19:T19)</f>
        <v/>
      </c>
      <c r="J19" s="14">
        <f>F19-(G19+H19+I19)</f>
        <v/>
      </c>
      <c r="K19" s="14" t="n">
        <v>730.8</v>
      </c>
      <c r="L19" s="14" t="n">
        <v>730.8</v>
      </c>
      <c r="M19" s="14" t="n">
        <v>730.8</v>
      </c>
      <c r="N19" s="14" t="n">
        <v>730.8</v>
      </c>
      <c r="O19" s="14" t="n">
        <v>730.8</v>
      </c>
      <c r="P19" s="14" t="n">
        <v>730.8</v>
      </c>
      <c r="Q19" s="14" t="n">
        <v>730.8</v>
      </c>
      <c r="R19" s="14" t="n">
        <v>730.8</v>
      </c>
      <c r="S19" s="14" t="n">
        <v>730.8</v>
      </c>
      <c r="T19" s="14" t="n">
        <v>730.8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CANON-202510-001112</t>
        </is>
      </c>
      <c r="B20" s="15" t="inlineStr">
        <is>
          <t>2025-10-19</t>
        </is>
      </c>
      <c r="C20" s="15" t="inlineStr">
        <is>
          <t>Priya Ashcombe</t>
        </is>
      </c>
      <c r="D20" s="15" t="inlineStr">
        <is>
          <t>MA</t>
        </is>
      </c>
      <c r="E20" s="16" t="n">
        <v>540000</v>
      </c>
      <c r="F20" s="16" t="n">
        <v>11725.2</v>
      </c>
      <c r="G20" s="16" t="n">
        <v>1465.65</v>
      </c>
      <c r="H20" s="16" t="n">
        <v>1465.65</v>
      </c>
      <c r="I20" s="16">
        <f>SUM(K20:T20)</f>
        <v/>
      </c>
      <c r="J20" s="16">
        <f>F20-(G20+H20+I20)</f>
        <v/>
      </c>
      <c r="K20" s="16" t="n">
        <v>879.39</v>
      </c>
      <c r="L20" s="16" t="n">
        <v>879.39</v>
      </c>
      <c r="M20" s="16" t="n">
        <v>879.39</v>
      </c>
      <c r="N20" s="16" t="n">
        <v>879.39</v>
      </c>
      <c r="O20" s="16" t="n">
        <v>879.39</v>
      </c>
      <c r="P20" s="16" t="n">
        <v>879.39</v>
      </c>
      <c r="Q20" s="16" t="n">
        <v>879.39</v>
      </c>
      <c r="R20" s="16" t="n">
        <v>879.39</v>
      </c>
      <c r="S20" s="16" t="n">
        <v>879.39</v>
      </c>
      <c r="T20" s="16" t="n">
        <v>879.39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CANON-202510-001114</t>
        </is>
      </c>
      <c r="B21" s="3" t="inlineStr">
        <is>
          <t>2025-10-31</t>
        </is>
      </c>
      <c r="C21" s="3" t="inlineStr">
        <is>
          <t>Ramona Montoya</t>
        </is>
      </c>
      <c r="D21" s="3" t="inlineStr">
        <is>
          <t>CO</t>
        </is>
      </c>
      <c r="E21" s="14" t="n">
        <v>310000</v>
      </c>
      <c r="F21" s="14" t="n">
        <v>4676.36</v>
      </c>
      <c r="G21" s="14" t="n">
        <v>584.54</v>
      </c>
      <c r="H21" s="14" t="n">
        <v>584.54</v>
      </c>
      <c r="I21" s="14">
        <f>SUM(K21:T21)</f>
        <v/>
      </c>
      <c r="J21" s="14">
        <f>F21-(G21+H21+I21)</f>
        <v/>
      </c>
      <c r="K21" s="14" t="n">
        <v>350.73</v>
      </c>
      <c r="L21" s="14" t="n">
        <v>350.73</v>
      </c>
      <c r="M21" s="14" t="n">
        <v>350.73</v>
      </c>
      <c r="N21" s="14" t="n">
        <v>350.73</v>
      </c>
      <c r="O21" s="14" t="n">
        <v>350.73</v>
      </c>
      <c r="P21" s="14" t="n">
        <v>350.73</v>
      </c>
      <c r="Q21" s="14" t="n">
        <v>350.73</v>
      </c>
      <c r="R21" s="14" t="n">
        <v>350.73</v>
      </c>
      <c r="S21" s="14" t="n">
        <v>350.73</v>
      </c>
      <c r="T21" s="14" t="n">
        <v>350.73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CANON-202510-001115</t>
        </is>
      </c>
      <c r="B22" s="15" t="inlineStr">
        <is>
          <t>2025-10-22</t>
        </is>
      </c>
      <c r="C22" s="15" t="inlineStr">
        <is>
          <t>Ramona Ashcombe</t>
        </is>
      </c>
      <c r="D22" s="15" t="inlineStr">
        <is>
          <t>TX</t>
        </is>
      </c>
      <c r="E22" s="16" t="n">
        <v>325000</v>
      </c>
      <c r="F22" s="16" t="n">
        <v>5125.49</v>
      </c>
      <c r="G22" s="16" t="n">
        <v>640.6900000000001</v>
      </c>
      <c r="H22" s="16" t="n">
        <v>640.6900000000001</v>
      </c>
      <c r="I22" s="16">
        <f>SUM(K22:T22)</f>
        <v/>
      </c>
      <c r="J22" s="16">
        <f>F22-(G22+H22+I22)</f>
        <v/>
      </c>
      <c r="K22" s="16" t="n">
        <v>384.41</v>
      </c>
      <c r="L22" s="16" t="n">
        <v>384.41</v>
      </c>
      <c r="M22" s="16" t="n">
        <v>384.41</v>
      </c>
      <c r="N22" s="16" t="n">
        <v>384.41</v>
      </c>
      <c r="O22" s="16" t="n">
        <v>384.41</v>
      </c>
      <c r="P22" s="16" t="n">
        <v>384.41</v>
      </c>
      <c r="Q22" s="16" t="n">
        <v>384.41</v>
      </c>
      <c r="R22" s="16" t="n">
        <v>384.41</v>
      </c>
      <c r="S22" s="16" t="n">
        <v>384.41</v>
      </c>
      <c r="T22" s="16" t="n">
        <v>384.41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CANON-202510-001116</t>
        </is>
      </c>
      <c r="B23" s="3" t="inlineStr">
        <is>
          <t>2025-10-31</t>
        </is>
      </c>
      <c r="C23" s="3" t="inlineStr">
        <is>
          <t>Ramona Kingsford</t>
        </is>
      </c>
      <c r="D23" s="3" t="inlineStr">
        <is>
          <t>SD</t>
        </is>
      </c>
      <c r="E23" s="14" t="n">
        <v>225000</v>
      </c>
      <c r="F23" s="14" t="n">
        <v>6484.66</v>
      </c>
      <c r="G23" s="14" t="n">
        <v>810.58</v>
      </c>
      <c r="H23" s="14" t="n">
        <v>810.58</v>
      </c>
      <c r="I23" s="14">
        <f>SUM(K23:T23)</f>
        <v/>
      </c>
      <c r="J23" s="14">
        <f>F23-(G23+H23+I23)</f>
        <v/>
      </c>
      <c r="K23" s="14" t="n">
        <v>486.35</v>
      </c>
      <c r="L23" s="14" t="n">
        <v>486.35</v>
      </c>
      <c r="M23" s="14" t="n">
        <v>486.35</v>
      </c>
      <c r="N23" s="14" t="n">
        <v>486.35</v>
      </c>
      <c r="O23" s="14" t="n">
        <v>486.35</v>
      </c>
      <c r="P23" s="14" t="n">
        <v>486.35</v>
      </c>
      <c r="Q23" s="14" t="n">
        <v>486.35</v>
      </c>
      <c r="R23" s="14" t="n">
        <v>486.35</v>
      </c>
      <c r="S23" s="14" t="n">
        <v>486.35</v>
      </c>
      <c r="T23" s="14" t="n">
        <v>486.35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CANON-202510-001117</t>
        </is>
      </c>
      <c r="B24" s="15" t="inlineStr">
        <is>
          <t>2025-10-24</t>
        </is>
      </c>
      <c r="C24" s="15" t="inlineStr">
        <is>
          <t>Fitzgerald Fairweather</t>
        </is>
      </c>
      <c r="D24" s="15" t="inlineStr">
        <is>
          <t>MD</t>
        </is>
      </c>
      <c r="E24" s="16" t="n">
        <v>410000</v>
      </c>
      <c r="F24" s="16" t="n">
        <v>5341.48</v>
      </c>
      <c r="G24" s="16" t="n">
        <v>667.6799999999999</v>
      </c>
      <c r="H24" s="16" t="n">
        <v>667.6799999999999</v>
      </c>
      <c r="I24" s="16">
        <f>SUM(K24:T24)</f>
        <v/>
      </c>
      <c r="J24" s="16">
        <f>F24-(G24+H24+I24)</f>
        <v/>
      </c>
      <c r="K24" s="16" t="n">
        <v>400.61</v>
      </c>
      <c r="L24" s="16" t="n">
        <v>400.61</v>
      </c>
      <c r="M24" s="16" t="n">
        <v>400.61</v>
      </c>
      <c r="N24" s="16" t="n">
        <v>400.61</v>
      </c>
      <c r="O24" s="16" t="n">
        <v>400.61</v>
      </c>
      <c r="P24" s="16" t="n">
        <v>400.61</v>
      </c>
      <c r="Q24" s="16" t="n">
        <v>400.61</v>
      </c>
      <c r="R24" s="16" t="n">
        <v>400.61</v>
      </c>
      <c r="S24" s="16" t="n">
        <v>400.61</v>
      </c>
      <c r="T24" s="16" t="n">
        <v>400.61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CANON-202510-001118</t>
        </is>
      </c>
      <c r="B25" s="3" t="inlineStr">
        <is>
          <t>2025-10-18</t>
        </is>
      </c>
      <c r="C25" s="3" t="inlineStr">
        <is>
          <t>Beatrix Farkas</t>
        </is>
      </c>
      <c r="D25" s="3" t="inlineStr">
        <is>
          <t>WV</t>
        </is>
      </c>
      <c r="E25" s="14" t="n">
        <v>445000</v>
      </c>
      <c r="F25" s="14" t="n">
        <v>8116.45</v>
      </c>
      <c r="G25" s="14" t="n">
        <v>1014.56</v>
      </c>
      <c r="H25" s="14" t="n">
        <v>1014.56</v>
      </c>
      <c r="I25" s="14">
        <f>SUM(K25:T25)</f>
        <v/>
      </c>
      <c r="J25" s="14">
        <f>F25-(G25+H25+I25)</f>
        <v/>
      </c>
      <c r="K25" s="14" t="n">
        <v>608.73</v>
      </c>
      <c r="L25" s="14" t="n">
        <v>608.73</v>
      </c>
      <c r="M25" s="14" t="n">
        <v>608.73</v>
      </c>
      <c r="N25" s="14" t="n">
        <v>608.73</v>
      </c>
      <c r="O25" s="14" t="n">
        <v>608.73</v>
      </c>
      <c r="P25" s="14" t="n">
        <v>608.73</v>
      </c>
      <c r="Q25" s="14" t="n">
        <v>608.73</v>
      </c>
      <c r="R25" s="14" t="n">
        <v>608.73</v>
      </c>
      <c r="S25" s="14" t="n">
        <v>608.73</v>
      </c>
      <c r="T25" s="14" t="n">
        <v>608.73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CANON-202510-001119</t>
        </is>
      </c>
      <c r="B26" s="15" t="inlineStr">
        <is>
          <t>2025-10-27</t>
        </is>
      </c>
      <c r="C26" s="15" t="inlineStr">
        <is>
          <t>Lorenzo Merriweather</t>
        </is>
      </c>
      <c r="D26" s="15" t="inlineStr">
        <is>
          <t>UT</t>
        </is>
      </c>
      <c r="E26" s="16" t="n">
        <v>380000</v>
      </c>
      <c r="F26" s="16" t="n">
        <v>7035.11</v>
      </c>
      <c r="G26" s="16" t="n">
        <v>879.39</v>
      </c>
      <c r="H26" s="16" t="n">
        <v>879.39</v>
      </c>
      <c r="I26" s="16">
        <f>SUM(K26:T26)</f>
        <v/>
      </c>
      <c r="J26" s="16">
        <f>F26-(G26+H26+I26)</f>
        <v/>
      </c>
      <c r="K26" s="16" t="n">
        <v>527.63</v>
      </c>
      <c r="L26" s="16" t="n">
        <v>527.63</v>
      </c>
      <c r="M26" s="16" t="n">
        <v>527.63</v>
      </c>
      <c r="N26" s="16" t="n">
        <v>527.63</v>
      </c>
      <c r="O26" s="16" t="n">
        <v>527.63</v>
      </c>
      <c r="P26" s="16" t="n">
        <v>527.63</v>
      </c>
      <c r="Q26" s="16" t="n">
        <v>527.63</v>
      </c>
      <c r="R26" s="16" t="n">
        <v>527.63</v>
      </c>
      <c r="S26" s="16" t="n">
        <v>527.63</v>
      </c>
      <c r="T26" s="16" t="n">
        <v>527.63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CANON-202510-001120</t>
        </is>
      </c>
      <c r="B27" s="3" t="inlineStr">
        <is>
          <t>2025-10-23</t>
        </is>
      </c>
      <c r="C27" s="3" t="inlineStr">
        <is>
          <t>Fenwick Rourke</t>
        </is>
      </c>
      <c r="D27" s="3" t="inlineStr">
        <is>
          <t>MT</t>
        </is>
      </c>
      <c r="E27" s="14" t="n">
        <v>625000</v>
      </c>
      <c r="F27" s="14" t="n">
        <v>6908.27</v>
      </c>
      <c r="G27" s="14" t="n">
        <v>863.53</v>
      </c>
      <c r="H27" s="14" t="n">
        <v>863.53</v>
      </c>
      <c r="I27" s="14">
        <f>SUM(K27:T27)</f>
        <v/>
      </c>
      <c r="J27" s="14">
        <f>F27-(G27+H27+I27)</f>
        <v/>
      </c>
      <c r="K27" s="14" t="n">
        <v>518.12</v>
      </c>
      <c r="L27" s="14" t="n">
        <v>518.12</v>
      </c>
      <c r="M27" s="14" t="n">
        <v>518.12</v>
      </c>
      <c r="N27" s="14" t="n">
        <v>518.12</v>
      </c>
      <c r="O27" s="14" t="n">
        <v>518.12</v>
      </c>
      <c r="P27" s="14" t="n">
        <v>518.12</v>
      </c>
      <c r="Q27" s="14" t="n">
        <v>518.12</v>
      </c>
      <c r="R27" s="14" t="n">
        <v>518.12</v>
      </c>
      <c r="S27" s="14" t="n">
        <v>518.12</v>
      </c>
      <c r="T27" s="14" t="n">
        <v>518.12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CANON-202510-001123</t>
        </is>
      </c>
      <c r="B28" s="15" t="inlineStr">
        <is>
          <t>2025-10-31</t>
        </is>
      </c>
      <c r="C28" s="15" t="inlineStr">
        <is>
          <t>Sunniva Kingsford</t>
        </is>
      </c>
      <c r="D28" s="15" t="inlineStr">
        <is>
          <t>AL</t>
        </is>
      </c>
      <c r="E28" s="16" t="n">
        <v>705000</v>
      </c>
      <c r="F28" s="16" t="n">
        <v>7039.7</v>
      </c>
      <c r="G28" s="16" t="n">
        <v>879.96</v>
      </c>
      <c r="H28" s="16" t="n">
        <v>879.96</v>
      </c>
      <c r="I28" s="16">
        <f>SUM(K28:T28)</f>
        <v/>
      </c>
      <c r="J28" s="16">
        <f>F28-(G28+H28+I28)</f>
        <v/>
      </c>
      <c r="K28" s="16" t="n">
        <v>527.98</v>
      </c>
      <c r="L28" s="16" t="n">
        <v>527.98</v>
      </c>
      <c r="M28" s="16" t="n">
        <v>527.98</v>
      </c>
      <c r="N28" s="16" t="n">
        <v>527.98</v>
      </c>
      <c r="O28" s="16" t="n">
        <v>527.98</v>
      </c>
      <c r="P28" s="16" t="n">
        <v>527.98</v>
      </c>
      <c r="Q28" s="16" t="n">
        <v>527.98</v>
      </c>
      <c r="R28" s="16" t="n">
        <v>527.98</v>
      </c>
      <c r="S28" s="16" t="n">
        <v>527.98</v>
      </c>
      <c r="T28" s="16" t="n">
        <v>527.98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CANON-202510-001125</t>
        </is>
      </c>
      <c r="B29" s="3" t="inlineStr">
        <is>
          <t>2025-10-23</t>
        </is>
      </c>
      <c r="C29" s="3" t="inlineStr">
        <is>
          <t>Fenwick Whitlock</t>
        </is>
      </c>
      <c r="D29" s="3" t="inlineStr">
        <is>
          <t>RI</t>
        </is>
      </c>
      <c r="E29" s="14" t="n">
        <v>575000</v>
      </c>
      <c r="F29" s="14" t="n">
        <v>9362.549999999999</v>
      </c>
      <c r="G29" s="14" t="n">
        <v>1170.32</v>
      </c>
      <c r="H29" s="14" t="n">
        <v>1170.32</v>
      </c>
      <c r="I29" s="14">
        <f>SUM(K29:T29)</f>
        <v/>
      </c>
      <c r="J29" s="14">
        <f>F29-(G29+H29+I29)</f>
        <v/>
      </c>
      <c r="K29" s="14" t="n">
        <v>702.1900000000001</v>
      </c>
      <c r="L29" s="14" t="n">
        <v>702.1900000000001</v>
      </c>
      <c r="M29" s="14" t="n">
        <v>702.1900000000001</v>
      </c>
      <c r="N29" s="14" t="n">
        <v>702.1900000000001</v>
      </c>
      <c r="O29" s="14" t="n">
        <v>702.1900000000001</v>
      </c>
      <c r="P29" s="14" t="n">
        <v>702.1900000000001</v>
      </c>
      <c r="Q29" s="14" t="n">
        <v>702.1900000000001</v>
      </c>
      <c r="R29" s="14" t="n">
        <v>702.1900000000001</v>
      </c>
      <c r="S29" s="14" t="n">
        <v>702.1900000000001</v>
      </c>
      <c r="T29" s="14" t="n">
        <v>702.1900000000001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CANON-202510-001127</t>
        </is>
      </c>
      <c r="B30" s="15" t="inlineStr">
        <is>
          <t>2025-10-18</t>
        </is>
      </c>
      <c r="C30" s="15" t="inlineStr">
        <is>
          <t>Mireille Okonkwo</t>
        </is>
      </c>
      <c r="D30" s="15" t="inlineStr">
        <is>
          <t>NY</t>
        </is>
      </c>
      <c r="E30" s="16" t="n">
        <v>545000</v>
      </c>
      <c r="F30" s="16" t="n">
        <v>12117.77</v>
      </c>
      <c r="G30" s="16" t="n">
        <v>1514.72</v>
      </c>
      <c r="H30" s="16" t="n">
        <v>1514.72</v>
      </c>
      <c r="I30" s="16">
        <f>SUM(K30:T30)</f>
        <v/>
      </c>
      <c r="J30" s="16">
        <f>F30-(G30+H30+I30)</f>
        <v/>
      </c>
      <c r="K30" s="16" t="n">
        <v>908.83</v>
      </c>
      <c r="L30" s="16" t="n">
        <v>908.83</v>
      </c>
      <c r="M30" s="16" t="n">
        <v>908.83</v>
      </c>
      <c r="N30" s="16" t="n">
        <v>908.83</v>
      </c>
      <c r="O30" s="16" t="n">
        <v>908.83</v>
      </c>
      <c r="P30" s="16" t="n">
        <v>908.83</v>
      </c>
      <c r="Q30" s="16" t="n">
        <v>908.83</v>
      </c>
      <c r="R30" s="16" t="n">
        <v>908.83</v>
      </c>
      <c r="S30" s="16" t="n">
        <v>908.83</v>
      </c>
      <c r="T30" s="16" t="n">
        <v>908.83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CANON-202510-001129</t>
        </is>
      </c>
      <c r="B31" s="3" t="inlineStr">
        <is>
          <t>2025-10-06</t>
        </is>
      </c>
      <c r="C31" s="3" t="inlineStr">
        <is>
          <t>Desmond Fairweather</t>
        </is>
      </c>
      <c r="D31" s="3" t="inlineStr">
        <is>
          <t>OR</t>
        </is>
      </c>
      <c r="E31" s="14" t="n">
        <v>695000</v>
      </c>
      <c r="F31" s="14" t="n">
        <v>9334.030000000001</v>
      </c>
      <c r="G31" s="14" t="n">
        <v>1166.75</v>
      </c>
      <c r="H31" s="14" t="n">
        <v>1166.75</v>
      </c>
      <c r="I31" s="14">
        <f>SUM(K31:T31)</f>
        <v/>
      </c>
      <c r="J31" s="14">
        <f>F31-(G31+H31+I31)</f>
        <v/>
      </c>
      <c r="K31" s="14" t="n">
        <v>700.05</v>
      </c>
      <c r="L31" s="14" t="n">
        <v>700.05</v>
      </c>
      <c r="M31" s="14" t="n">
        <v>700.05</v>
      </c>
      <c r="N31" s="14" t="n">
        <v>700.05</v>
      </c>
      <c r="O31" s="14" t="n">
        <v>700.05</v>
      </c>
      <c r="P31" s="14" t="n">
        <v>700.05</v>
      </c>
      <c r="Q31" s="14" t="n">
        <v>700.05</v>
      </c>
      <c r="R31" s="14" t="n">
        <v>700.05</v>
      </c>
      <c r="S31" s="14" t="n">
        <v>700.05</v>
      </c>
      <c r="T31" s="14" t="n">
        <v>700.05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CANON-202510-001130</t>
        </is>
      </c>
      <c r="B32" s="15" t="inlineStr">
        <is>
          <t>2025-10-30</t>
        </is>
      </c>
      <c r="C32" s="15" t="inlineStr">
        <is>
          <t>Emiliano Delacroix</t>
        </is>
      </c>
      <c r="D32" s="15" t="inlineStr">
        <is>
          <t>CA</t>
        </is>
      </c>
      <c r="E32" s="16" t="n">
        <v>480000</v>
      </c>
      <c r="F32" s="16" t="n">
        <v>8886.459999999999</v>
      </c>
      <c r="G32" s="16" t="n">
        <v>1110.81</v>
      </c>
      <c r="H32" s="16" t="n">
        <v>1110.81</v>
      </c>
      <c r="I32" s="16">
        <f>SUM(K32:T32)</f>
        <v/>
      </c>
      <c r="J32" s="16">
        <f>F32-(G32+H32+I32)</f>
        <v/>
      </c>
      <c r="K32" s="16" t="n">
        <v>666.48</v>
      </c>
      <c r="L32" s="16" t="n">
        <v>666.48</v>
      </c>
      <c r="M32" s="16" t="n">
        <v>666.48</v>
      </c>
      <c r="N32" s="16" t="n">
        <v>666.48</v>
      </c>
      <c r="O32" s="16" t="n">
        <v>666.48</v>
      </c>
      <c r="P32" s="16" t="n">
        <v>666.48</v>
      </c>
      <c r="Q32" s="16" t="n">
        <v>666.48</v>
      </c>
      <c r="R32" s="16" t="n">
        <v>666.48</v>
      </c>
      <c r="S32" s="16" t="n">
        <v>666.48</v>
      </c>
      <c r="T32" s="16" t="n">
        <v>666.48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CANON-202510-001131</t>
        </is>
      </c>
      <c r="B33" s="3" t="inlineStr">
        <is>
          <t>2025-10-19</t>
        </is>
      </c>
      <c r="C33" s="3" t="inlineStr">
        <is>
          <t>Emiliano Delacroix</t>
        </is>
      </c>
      <c r="D33" s="3" t="inlineStr">
        <is>
          <t>FL</t>
        </is>
      </c>
      <c r="E33" s="14" t="n">
        <v>570000</v>
      </c>
      <c r="F33" s="14" t="n">
        <v>9619.870000000001</v>
      </c>
      <c r="G33" s="14" t="n">
        <v>1202.48</v>
      </c>
      <c r="H33" s="14" t="n">
        <v>1202.48</v>
      </c>
      <c r="I33" s="14">
        <f>SUM(K33:T33)</f>
        <v/>
      </c>
      <c r="J33" s="14">
        <f>F33-(G33+H33+I33)</f>
        <v/>
      </c>
      <c r="K33" s="14" t="n">
        <v>721.49</v>
      </c>
      <c r="L33" s="14" t="n">
        <v>721.49</v>
      </c>
      <c r="M33" s="14" t="n">
        <v>721.49</v>
      </c>
      <c r="N33" s="14" t="n">
        <v>721.49</v>
      </c>
      <c r="O33" s="14" t="n">
        <v>721.49</v>
      </c>
      <c r="P33" s="14" t="n">
        <v>721.49</v>
      </c>
      <c r="Q33" s="14" t="n">
        <v>721.49</v>
      </c>
      <c r="R33" s="14" t="n">
        <v>721.49</v>
      </c>
      <c r="S33" s="14" t="n">
        <v>721.49</v>
      </c>
      <c r="T33" s="14" t="n">
        <v>721.49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CANON-202510-001132</t>
        </is>
      </c>
      <c r="B34" s="15" t="inlineStr">
        <is>
          <t>2025-10-24</t>
        </is>
      </c>
      <c r="C34" s="15" t="inlineStr">
        <is>
          <t>Anouk Larsson</t>
        </is>
      </c>
      <c r="D34" s="15" t="inlineStr">
        <is>
          <t>AZ</t>
        </is>
      </c>
      <c r="E34" s="16" t="n">
        <v>870000</v>
      </c>
      <c r="F34" s="16" t="n">
        <v>6105.44</v>
      </c>
      <c r="G34" s="16" t="n">
        <v>763.1799999999999</v>
      </c>
      <c r="H34" s="16" t="n">
        <v>763.1799999999999</v>
      </c>
      <c r="I34" s="16">
        <f>SUM(K34:T34)</f>
        <v/>
      </c>
      <c r="J34" s="16">
        <f>F34-(G34+H34+I34)</f>
        <v/>
      </c>
      <c r="K34" s="16" t="n">
        <v>457.91</v>
      </c>
      <c r="L34" s="16" t="n">
        <v>457.91</v>
      </c>
      <c r="M34" s="16" t="n">
        <v>457.91</v>
      </c>
      <c r="N34" s="16" t="n">
        <v>457.91</v>
      </c>
      <c r="O34" s="16" t="n">
        <v>457.91</v>
      </c>
      <c r="P34" s="16" t="n">
        <v>457.91</v>
      </c>
      <c r="Q34" s="16" t="n">
        <v>457.91</v>
      </c>
      <c r="R34" s="16" t="n">
        <v>457.91</v>
      </c>
      <c r="S34" s="16" t="n">
        <v>457.91</v>
      </c>
      <c r="T34" s="16" t="n">
        <v>457.91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CANON-202510-001133</t>
        </is>
      </c>
      <c r="B35" s="3" t="inlineStr">
        <is>
          <t>2025-10-18</t>
        </is>
      </c>
      <c r="C35" s="3" t="inlineStr">
        <is>
          <t>Desmond Fairweather</t>
        </is>
      </c>
      <c r="D35" s="3" t="inlineStr">
        <is>
          <t>VT</t>
        </is>
      </c>
      <c r="E35" s="14" t="n">
        <v>845000</v>
      </c>
      <c r="F35" s="14" t="n">
        <v>12252.44</v>
      </c>
      <c r="G35" s="14" t="n">
        <v>1531.56</v>
      </c>
      <c r="H35" s="14" t="n">
        <v>1531.56</v>
      </c>
      <c r="I35" s="14">
        <f>SUM(K35:T35)</f>
        <v/>
      </c>
      <c r="J35" s="14">
        <f>F35-(G35+H35+I35)</f>
        <v/>
      </c>
      <c r="K35" s="14" t="n">
        <v>918.9299999999999</v>
      </c>
      <c r="L35" s="14" t="n">
        <v>918.9299999999999</v>
      </c>
      <c r="M35" s="14" t="n">
        <v>918.9299999999999</v>
      </c>
      <c r="N35" s="14" t="n">
        <v>918.9299999999999</v>
      </c>
      <c r="O35" s="14" t="n">
        <v>918.9299999999999</v>
      </c>
      <c r="P35" s="14" t="n">
        <v>918.9299999999999</v>
      </c>
      <c r="Q35" s="14" t="n">
        <v>918.9299999999999</v>
      </c>
      <c r="R35" s="14" t="n">
        <v>918.9299999999999</v>
      </c>
      <c r="S35" s="14" t="n">
        <v>918.9299999999999</v>
      </c>
      <c r="T35" s="14" t="n">
        <v>918.9299999999999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CANON-202510-001134</t>
        </is>
      </c>
      <c r="B36" s="15" t="inlineStr">
        <is>
          <t>2025-10-11</t>
        </is>
      </c>
      <c r="C36" s="15" t="inlineStr">
        <is>
          <t>Mireille Harrington</t>
        </is>
      </c>
      <c r="D36" s="15" t="inlineStr">
        <is>
          <t>OR</t>
        </is>
      </c>
      <c r="E36" s="16" t="n">
        <v>1310000</v>
      </c>
      <c r="F36" s="16" t="n">
        <v>14886.93</v>
      </c>
      <c r="G36" s="16" t="n">
        <v>1860.87</v>
      </c>
      <c r="H36" s="16" t="n">
        <v>1860.87</v>
      </c>
      <c r="I36" s="16">
        <f>SUM(K36:T36)</f>
        <v/>
      </c>
      <c r="J36" s="16">
        <f>F36-(G36+H36+I36)</f>
        <v/>
      </c>
      <c r="K36" s="16" t="n">
        <v>1116.52</v>
      </c>
      <c r="L36" s="16" t="n">
        <v>1116.52</v>
      </c>
      <c r="M36" s="16" t="n">
        <v>1116.52</v>
      </c>
      <c r="N36" s="16" t="n">
        <v>1116.52</v>
      </c>
      <c r="O36" s="16" t="n">
        <v>1116.52</v>
      </c>
      <c r="P36" s="16" t="n">
        <v>1116.52</v>
      </c>
      <c r="Q36" s="16" t="n">
        <v>1116.52</v>
      </c>
      <c r="R36" s="16" t="n">
        <v>1116.52</v>
      </c>
      <c r="S36" s="16" t="n">
        <v>1116.52</v>
      </c>
      <c r="T36" s="16" t="n">
        <v>1116.52</v>
      </c>
      <c r="U36" s="16" t="n">
        <v>350</v>
      </c>
      <c r="V36" s="16" t="n">
        <v>250</v>
      </c>
      <c r="W36" s="16">
        <f>U36+V36</f>
        <v/>
      </c>
    </row>
    <row r="37">
      <c r="A37" s="3" t="inlineStr">
        <is>
          <t>CANON-202510-001135</t>
        </is>
      </c>
      <c r="B37" s="3" t="inlineStr">
        <is>
          <t>2025-10-20</t>
        </is>
      </c>
      <c r="C37" s="3" t="inlineStr">
        <is>
          <t>Fitzgerald Ashcombe</t>
        </is>
      </c>
      <c r="D37" s="3" t="inlineStr">
        <is>
          <t>WA</t>
        </is>
      </c>
      <c r="E37" s="14" t="n">
        <v>1070000</v>
      </c>
      <c r="F37" s="14" t="n">
        <v>10330.24</v>
      </c>
      <c r="G37" s="14" t="n">
        <v>1291.28</v>
      </c>
      <c r="H37" s="14" t="n">
        <v>1291.28</v>
      </c>
      <c r="I37" s="14">
        <f>SUM(K37:T37)</f>
        <v/>
      </c>
      <c r="J37" s="14">
        <f>F37-(G37+H37+I37)</f>
        <v/>
      </c>
      <c r="K37" s="14" t="n">
        <v>774.77</v>
      </c>
      <c r="L37" s="14" t="n">
        <v>774.77</v>
      </c>
      <c r="M37" s="14" t="n">
        <v>774.77</v>
      </c>
      <c r="N37" s="14" t="n">
        <v>774.77</v>
      </c>
      <c r="O37" s="14" t="n">
        <v>774.77</v>
      </c>
      <c r="P37" s="14" t="n">
        <v>774.77</v>
      </c>
      <c r="Q37" s="14" t="n">
        <v>774.77</v>
      </c>
      <c r="R37" s="14" t="n">
        <v>774.77</v>
      </c>
      <c r="S37" s="14" t="n">
        <v>774.77</v>
      </c>
      <c r="T37" s="14" t="n">
        <v>774.77</v>
      </c>
      <c r="U37" s="14" t="n">
        <v>350</v>
      </c>
      <c r="V37" s="14" t="n">
        <v>250</v>
      </c>
      <c r="W37" s="14">
        <f>U37+V37</f>
        <v/>
      </c>
    </row>
    <row r="38">
      <c r="A38" s="15" t="inlineStr">
        <is>
          <t>CANON-202510-001136</t>
        </is>
      </c>
      <c r="B38" s="15" t="inlineStr">
        <is>
          <t>2025-10-17</t>
        </is>
      </c>
      <c r="C38" s="15" t="inlineStr">
        <is>
          <t>Noor Pennington</t>
        </is>
      </c>
      <c r="D38" s="15" t="inlineStr">
        <is>
          <t>AZ</t>
        </is>
      </c>
      <c r="E38" s="16" t="n">
        <v>1410000</v>
      </c>
      <c r="F38" s="16" t="n">
        <v>8853.450000000001</v>
      </c>
      <c r="G38" s="16" t="n">
        <v>1106.68</v>
      </c>
      <c r="H38" s="16" t="n">
        <v>1106.68</v>
      </c>
      <c r="I38" s="16">
        <f>SUM(K38:T38)</f>
        <v/>
      </c>
      <c r="J38" s="16">
        <f>F38-(G38+H38+I38)</f>
        <v/>
      </c>
      <c r="K38" s="16" t="n">
        <v>664.01</v>
      </c>
      <c r="L38" s="16" t="n">
        <v>664.01</v>
      </c>
      <c r="M38" s="16" t="n">
        <v>664.01</v>
      </c>
      <c r="N38" s="16" t="n">
        <v>664.01</v>
      </c>
      <c r="O38" s="16" t="n">
        <v>664.01</v>
      </c>
      <c r="P38" s="16" t="n">
        <v>664.01</v>
      </c>
      <c r="Q38" s="16" t="n">
        <v>664.01</v>
      </c>
      <c r="R38" s="16" t="n">
        <v>664.01</v>
      </c>
      <c r="S38" s="16" t="n">
        <v>664.01</v>
      </c>
      <c r="T38" s="16" t="n">
        <v>664.01</v>
      </c>
      <c r="U38" s="16" t="n">
        <v>350</v>
      </c>
      <c r="V38" s="16" t="n">
        <v>250</v>
      </c>
      <c r="W38" s="16">
        <f>U38+V38</f>
        <v/>
      </c>
    </row>
    <row r="39">
      <c r="A39" s="3" t="inlineStr">
        <is>
          <t>CANON-202510-001137</t>
        </is>
      </c>
      <c r="B39" s="3" t="inlineStr">
        <is>
          <t>2025-10-24</t>
        </is>
      </c>
      <c r="C39" s="3" t="inlineStr">
        <is>
          <t>Thaddeus Merriweather</t>
        </is>
      </c>
      <c r="D39" s="3" t="inlineStr">
        <is>
          <t>DE</t>
        </is>
      </c>
      <c r="E39" s="14" t="n">
        <v>575000</v>
      </c>
      <c r="F39" s="14" t="n">
        <v>8542.48</v>
      </c>
      <c r="G39" s="14" t="n">
        <v>1067.81</v>
      </c>
      <c r="H39" s="14" t="n">
        <v>1067.81</v>
      </c>
      <c r="I39" s="14">
        <f>SUM(K39:T39)</f>
        <v/>
      </c>
      <c r="J39" s="14">
        <f>F39-(G39+H39+I39)</f>
        <v/>
      </c>
      <c r="K39" s="14" t="n">
        <v>640.6900000000001</v>
      </c>
      <c r="L39" s="14" t="n">
        <v>640.6900000000001</v>
      </c>
      <c r="M39" s="14" t="n">
        <v>640.6900000000001</v>
      </c>
      <c r="N39" s="14" t="n">
        <v>640.6900000000001</v>
      </c>
      <c r="O39" s="14" t="n">
        <v>640.6900000000001</v>
      </c>
      <c r="P39" s="14" t="n">
        <v>640.6900000000001</v>
      </c>
      <c r="Q39" s="14" t="n">
        <v>640.6900000000001</v>
      </c>
      <c r="R39" s="14" t="n">
        <v>640.6900000000001</v>
      </c>
      <c r="S39" s="14" t="n">
        <v>640.6900000000001</v>
      </c>
      <c r="T39" s="14" t="n">
        <v>640.6900000000001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CANON-202510-001139</t>
        </is>
      </c>
      <c r="B40" s="15" t="inlineStr">
        <is>
          <t>2025-10-08</t>
        </is>
      </c>
      <c r="C40" s="15" t="inlineStr">
        <is>
          <t>Fitzgerald Vandermeer</t>
        </is>
      </c>
      <c r="D40" s="15" t="inlineStr">
        <is>
          <t>NV</t>
        </is>
      </c>
      <c r="E40" s="16" t="n">
        <v>445000</v>
      </c>
      <c r="F40" s="16" t="n">
        <v>7140.03</v>
      </c>
      <c r="G40" s="16" t="n">
        <v>892.5</v>
      </c>
      <c r="H40" s="16" t="n">
        <v>892.5</v>
      </c>
      <c r="I40" s="16">
        <f>SUM(K40:T40)</f>
        <v/>
      </c>
      <c r="J40" s="16">
        <f>F40-(G40+H40+I40)</f>
        <v/>
      </c>
      <c r="K40" s="16" t="n">
        <v>535.5</v>
      </c>
      <c r="L40" s="16" t="n">
        <v>535.5</v>
      </c>
      <c r="M40" s="16" t="n">
        <v>535.5</v>
      </c>
      <c r="N40" s="16" t="n">
        <v>535.5</v>
      </c>
      <c r="O40" s="16" t="n">
        <v>535.5</v>
      </c>
      <c r="P40" s="16" t="n">
        <v>535.5</v>
      </c>
      <c r="Q40" s="16" t="n">
        <v>535.5</v>
      </c>
      <c r="R40" s="16" t="n">
        <v>535.5</v>
      </c>
      <c r="S40" s="16" t="n">
        <v>535.5</v>
      </c>
      <c r="T40" s="16" t="n">
        <v>535.5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CANON-202510-001141</t>
        </is>
      </c>
      <c r="B41" s="3" t="inlineStr">
        <is>
          <t>2025-10-16</t>
        </is>
      </c>
      <c r="C41" s="3" t="inlineStr">
        <is>
          <t>Lorenzo Farkas</t>
        </is>
      </c>
      <c r="D41" s="3" t="inlineStr">
        <is>
          <t>WV</t>
        </is>
      </c>
      <c r="E41" s="14" t="n">
        <v>640000</v>
      </c>
      <c r="F41" s="14" t="n">
        <v>10116.68</v>
      </c>
      <c r="G41" s="14" t="n">
        <v>1264.59</v>
      </c>
      <c r="H41" s="14" t="n">
        <v>1264.59</v>
      </c>
      <c r="I41" s="14">
        <f>SUM(K41:T41)</f>
        <v/>
      </c>
      <c r="J41" s="14">
        <f>F41-(G41+H41+I41)</f>
        <v/>
      </c>
      <c r="K41" s="14" t="n">
        <v>758.75</v>
      </c>
      <c r="L41" s="14" t="n">
        <v>758.75</v>
      </c>
      <c r="M41" s="14" t="n">
        <v>758.75</v>
      </c>
      <c r="N41" s="14" t="n">
        <v>758.75</v>
      </c>
      <c r="O41" s="14" t="n">
        <v>758.75</v>
      </c>
      <c r="P41" s="14" t="n">
        <v>758.75</v>
      </c>
      <c r="Q41" s="14" t="n">
        <v>758.75</v>
      </c>
      <c r="R41" s="14" t="n">
        <v>758.75</v>
      </c>
      <c r="S41" s="14" t="n">
        <v>758.75</v>
      </c>
      <c r="T41" s="14" t="n">
        <v>758.75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CANON-202510-001142</t>
        </is>
      </c>
      <c r="B42" s="15" t="inlineStr">
        <is>
          <t>2025-10-08</t>
        </is>
      </c>
      <c r="C42" s="15" t="inlineStr">
        <is>
          <t>Lorenzo Bellandi</t>
        </is>
      </c>
      <c r="D42" s="15" t="inlineStr">
        <is>
          <t>PA</t>
        </is>
      </c>
      <c r="E42" s="16" t="n">
        <v>365000</v>
      </c>
      <c r="F42" s="16" t="n">
        <v>3203.52</v>
      </c>
      <c r="G42" s="16" t="n">
        <v>400.44</v>
      </c>
      <c r="H42" s="16" t="n">
        <v>400.44</v>
      </c>
      <c r="I42" s="16">
        <f>SUM(K42:T42)</f>
        <v/>
      </c>
      <c r="J42" s="16">
        <f>F42-(G42+H42+I42)</f>
        <v/>
      </c>
      <c r="K42" s="16" t="n">
        <v>240.26</v>
      </c>
      <c r="L42" s="16" t="n">
        <v>240.26</v>
      </c>
      <c r="M42" s="16" t="n">
        <v>240.26</v>
      </c>
      <c r="N42" s="16" t="n">
        <v>240.26</v>
      </c>
      <c r="O42" s="16" t="n">
        <v>240.26</v>
      </c>
      <c r="P42" s="16" t="n">
        <v>240.26</v>
      </c>
      <c r="Q42" s="16" t="n">
        <v>240.26</v>
      </c>
      <c r="R42" s="16" t="n">
        <v>240.26</v>
      </c>
      <c r="S42" s="16" t="n">
        <v>240.26</v>
      </c>
      <c r="T42" s="16" t="n">
        <v>240.26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CANON-202510-001144</t>
        </is>
      </c>
      <c r="B43" s="3" t="inlineStr">
        <is>
          <t>2025-10-20</t>
        </is>
      </c>
      <c r="C43" s="3" t="inlineStr">
        <is>
          <t>Ramona Whitlock</t>
        </is>
      </c>
      <c r="D43" s="3" t="inlineStr">
        <is>
          <t>NE</t>
        </is>
      </c>
      <c r="E43" s="14" t="n">
        <v>1935000</v>
      </c>
      <c r="F43" s="14" t="n">
        <v>36796.54</v>
      </c>
      <c r="G43" s="14" t="n">
        <v>4599.57</v>
      </c>
      <c r="H43" s="14" t="n">
        <v>4599.57</v>
      </c>
      <c r="I43" s="14">
        <f>SUM(K43:T43)</f>
        <v/>
      </c>
      <c r="J43" s="14">
        <f>F43-(G43+H43+I43)</f>
        <v/>
      </c>
      <c r="K43" s="14" t="n">
        <v>2759.74</v>
      </c>
      <c r="L43" s="14" t="n">
        <v>2759.74</v>
      </c>
      <c r="M43" s="14" t="n">
        <v>2759.74</v>
      </c>
      <c r="N43" s="14" t="n">
        <v>2759.74</v>
      </c>
      <c r="O43" s="14" t="n">
        <v>2759.74</v>
      </c>
      <c r="P43" s="14" t="n">
        <v>2759.74</v>
      </c>
      <c r="Q43" s="14" t="n">
        <v>2759.74</v>
      </c>
      <c r="R43" s="14" t="n">
        <v>2759.74</v>
      </c>
      <c r="S43" s="14" t="n">
        <v>2759.74</v>
      </c>
      <c r="T43" s="14" t="n">
        <v>2759.74</v>
      </c>
      <c r="U43" s="14" t="n">
        <v>350</v>
      </c>
      <c r="V43" s="14" t="n">
        <v>250</v>
      </c>
      <c r="W43" s="14">
        <f>U43+V43</f>
        <v/>
      </c>
    </row>
    <row r="44">
      <c r="A44" s="15" t="inlineStr">
        <is>
          <t>CANON-202510-001145</t>
        </is>
      </c>
      <c r="B44" s="15" t="inlineStr">
        <is>
          <t>2025-10-12</t>
        </is>
      </c>
      <c r="C44" s="15" t="inlineStr">
        <is>
          <t>Lorenzo Rourke</t>
        </is>
      </c>
      <c r="D44" s="15" t="inlineStr">
        <is>
          <t>SD</t>
        </is>
      </c>
      <c r="E44" s="16" t="n">
        <v>985000</v>
      </c>
      <c r="F44" s="16" t="n">
        <v>18992.21</v>
      </c>
      <c r="G44" s="16" t="n">
        <v>2374.03</v>
      </c>
      <c r="H44" s="16" t="n">
        <v>2374.03</v>
      </c>
      <c r="I44" s="16">
        <f>SUM(K44:T44)</f>
        <v/>
      </c>
      <c r="J44" s="16">
        <f>F44-(G44+H44+I44)</f>
        <v/>
      </c>
      <c r="K44" s="16" t="n">
        <v>1424.42</v>
      </c>
      <c r="L44" s="16" t="n">
        <v>1424.42</v>
      </c>
      <c r="M44" s="16" t="n">
        <v>1424.42</v>
      </c>
      <c r="N44" s="16" t="n">
        <v>1424.42</v>
      </c>
      <c r="O44" s="16" t="n">
        <v>1424.42</v>
      </c>
      <c r="P44" s="16" t="n">
        <v>1424.42</v>
      </c>
      <c r="Q44" s="16" t="n">
        <v>1424.42</v>
      </c>
      <c r="R44" s="16" t="n">
        <v>1424.42</v>
      </c>
      <c r="S44" s="16" t="n">
        <v>1424.42</v>
      </c>
      <c r="T44" s="16" t="n">
        <v>1424.42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CANON-202510-001146</t>
        </is>
      </c>
      <c r="B45" s="3" t="inlineStr">
        <is>
          <t>2025-10-01</t>
        </is>
      </c>
      <c r="C45" s="3" t="inlineStr">
        <is>
          <t>Lorenzo Harrington</t>
        </is>
      </c>
      <c r="D45" s="3" t="inlineStr">
        <is>
          <t>SC</t>
        </is>
      </c>
      <c r="E45" s="14" t="n">
        <v>1160000</v>
      </c>
      <c r="F45" s="14" t="n">
        <v>21040.81</v>
      </c>
      <c r="G45" s="14" t="n">
        <v>2630.1</v>
      </c>
      <c r="H45" s="14" t="n">
        <v>2630.1</v>
      </c>
      <c r="I45" s="14">
        <f>SUM(K45:T45)</f>
        <v/>
      </c>
      <c r="J45" s="14">
        <f>F45-(G45+H45+I45)</f>
        <v/>
      </c>
      <c r="K45" s="14" t="n">
        <v>1578.06</v>
      </c>
      <c r="L45" s="14" t="n">
        <v>1578.06</v>
      </c>
      <c r="M45" s="14" t="n">
        <v>1578.06</v>
      </c>
      <c r="N45" s="14" t="n">
        <v>1578.06</v>
      </c>
      <c r="O45" s="14" t="n">
        <v>1578.06</v>
      </c>
      <c r="P45" s="14" t="n">
        <v>1578.06</v>
      </c>
      <c r="Q45" s="14" t="n">
        <v>1578.06</v>
      </c>
      <c r="R45" s="14" t="n">
        <v>1578.06</v>
      </c>
      <c r="S45" s="14" t="n">
        <v>1578.06</v>
      </c>
      <c r="T45" s="14" t="n">
        <v>1578.06</v>
      </c>
      <c r="U45" s="14" t="n">
        <v>350</v>
      </c>
      <c r="V45" s="14" t="n">
        <v>250</v>
      </c>
      <c r="W45" s="14">
        <f>U45+V45</f>
        <v/>
      </c>
    </row>
    <row r="46">
      <c r="A46" s="15" t="inlineStr">
        <is>
          <t>CANON-202510-001147</t>
        </is>
      </c>
      <c r="B46" s="15" t="inlineStr">
        <is>
          <t>2025-10-31</t>
        </is>
      </c>
      <c r="C46" s="15" t="inlineStr">
        <is>
          <t>Anouk Okonkwo</t>
        </is>
      </c>
      <c r="D46" s="15" t="inlineStr">
        <is>
          <t>OR</t>
        </is>
      </c>
      <c r="E46" s="16" t="n">
        <v>635000</v>
      </c>
      <c r="F46" s="16" t="n">
        <v>10233.86</v>
      </c>
      <c r="G46" s="16" t="n">
        <v>1279.23</v>
      </c>
      <c r="H46" s="16" t="n">
        <v>1279.23</v>
      </c>
      <c r="I46" s="16">
        <f>SUM(K46:T46)</f>
        <v/>
      </c>
      <c r="J46" s="16">
        <f>F46-(G46+H46+I46)</f>
        <v/>
      </c>
      <c r="K46" s="16" t="n">
        <v>767.54</v>
      </c>
      <c r="L46" s="16" t="n">
        <v>767.54</v>
      </c>
      <c r="M46" s="16" t="n">
        <v>767.54</v>
      </c>
      <c r="N46" s="16" t="n">
        <v>767.54</v>
      </c>
      <c r="O46" s="16" t="n">
        <v>767.54</v>
      </c>
      <c r="P46" s="16" t="n">
        <v>767.54</v>
      </c>
      <c r="Q46" s="16" t="n">
        <v>767.54</v>
      </c>
      <c r="R46" s="16" t="n">
        <v>767.54</v>
      </c>
      <c r="S46" s="16" t="n">
        <v>767.54</v>
      </c>
      <c r="T46" s="16" t="n">
        <v>767.54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CANON-202510-001148</t>
        </is>
      </c>
      <c r="B47" s="3" t="inlineStr">
        <is>
          <t>2025-10-12</t>
        </is>
      </c>
      <c r="C47" s="3" t="inlineStr">
        <is>
          <t>Anouk Blackwood</t>
        </is>
      </c>
      <c r="D47" s="3" t="inlineStr">
        <is>
          <t>AR</t>
        </is>
      </c>
      <c r="E47" s="14" t="n">
        <v>300000</v>
      </c>
      <c r="F47" s="14" t="n">
        <v>3633.57</v>
      </c>
      <c r="G47" s="14" t="n">
        <v>454.2</v>
      </c>
      <c r="H47" s="14" t="n">
        <v>454.2</v>
      </c>
      <c r="I47" s="14">
        <f>SUM(K47:T47)</f>
        <v/>
      </c>
      <c r="J47" s="14">
        <f>F47-(G47+H47+I47)</f>
        <v/>
      </c>
      <c r="K47" s="14" t="n">
        <v>272.52</v>
      </c>
      <c r="L47" s="14" t="n">
        <v>272.52</v>
      </c>
      <c r="M47" s="14" t="n">
        <v>272.52</v>
      </c>
      <c r="N47" s="14" t="n">
        <v>272.52</v>
      </c>
      <c r="O47" s="14" t="n">
        <v>272.52</v>
      </c>
      <c r="P47" s="14" t="n">
        <v>272.52</v>
      </c>
      <c r="Q47" s="14" t="n">
        <v>272.52</v>
      </c>
      <c r="R47" s="14" t="n">
        <v>272.52</v>
      </c>
      <c r="S47" s="14" t="n">
        <v>272.52</v>
      </c>
      <c r="T47" s="14" t="n">
        <v>272.52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CANON-202510-001149</t>
        </is>
      </c>
      <c r="B48" s="15" t="inlineStr">
        <is>
          <t>2025-10-17</t>
        </is>
      </c>
      <c r="C48" s="15" t="inlineStr">
        <is>
          <t>Ingrid Vasquez</t>
        </is>
      </c>
      <c r="D48" s="15" t="inlineStr">
        <is>
          <t>SD</t>
        </is>
      </c>
      <c r="E48" s="16" t="n">
        <v>555000</v>
      </c>
      <c r="F48" s="16" t="n">
        <v>7321.87</v>
      </c>
      <c r="G48" s="16" t="n">
        <v>915.23</v>
      </c>
      <c r="H48" s="16" t="n">
        <v>915.23</v>
      </c>
      <c r="I48" s="16">
        <f>SUM(K48:T48)</f>
        <v/>
      </c>
      <c r="J48" s="16">
        <f>F48-(G48+H48+I48)</f>
        <v/>
      </c>
      <c r="K48" s="16" t="n">
        <v>549.14</v>
      </c>
      <c r="L48" s="16" t="n">
        <v>549.14</v>
      </c>
      <c r="M48" s="16" t="n">
        <v>549.14</v>
      </c>
      <c r="N48" s="16" t="n">
        <v>549.14</v>
      </c>
      <c r="O48" s="16" t="n">
        <v>549.14</v>
      </c>
      <c r="P48" s="16" t="n">
        <v>549.14</v>
      </c>
      <c r="Q48" s="16" t="n">
        <v>549.14</v>
      </c>
      <c r="R48" s="16" t="n">
        <v>549.14</v>
      </c>
      <c r="S48" s="16" t="n">
        <v>549.14</v>
      </c>
      <c r="T48" s="16" t="n">
        <v>549.14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CANON-202510-001150</t>
        </is>
      </c>
      <c r="B49" s="3" t="inlineStr">
        <is>
          <t>2025-10-29</t>
        </is>
      </c>
      <c r="C49" s="3" t="inlineStr">
        <is>
          <t>Mireille Castellanos</t>
        </is>
      </c>
      <c r="D49" s="3" t="inlineStr">
        <is>
          <t>NC</t>
        </is>
      </c>
      <c r="E49" s="14" t="n">
        <v>570000</v>
      </c>
      <c r="F49" s="14" t="n">
        <v>7790.74</v>
      </c>
      <c r="G49" s="14" t="n">
        <v>973.84</v>
      </c>
      <c r="H49" s="14" t="n">
        <v>973.84</v>
      </c>
      <c r="I49" s="14">
        <f>SUM(K49:T49)</f>
        <v/>
      </c>
      <c r="J49" s="14">
        <f>F49-(G49+H49+I49)</f>
        <v/>
      </c>
      <c r="K49" s="14" t="n">
        <v>584.3099999999999</v>
      </c>
      <c r="L49" s="14" t="n">
        <v>584.3099999999999</v>
      </c>
      <c r="M49" s="14" t="n">
        <v>584.3099999999999</v>
      </c>
      <c r="N49" s="14" t="n">
        <v>584.3099999999999</v>
      </c>
      <c r="O49" s="14" t="n">
        <v>584.3099999999999</v>
      </c>
      <c r="P49" s="14" t="n">
        <v>584.3099999999999</v>
      </c>
      <c r="Q49" s="14" t="n">
        <v>584.3099999999999</v>
      </c>
      <c r="R49" s="14" t="n">
        <v>584.3099999999999</v>
      </c>
      <c r="S49" s="14" t="n">
        <v>584.3099999999999</v>
      </c>
      <c r="T49" s="14" t="n">
        <v>584.3099999999999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CANON-202510-001152</t>
        </is>
      </c>
      <c r="B50" s="15" t="inlineStr">
        <is>
          <t>2025-10-16</t>
        </is>
      </c>
      <c r="C50" s="15" t="inlineStr">
        <is>
          <t>Beatrix Vasquez</t>
        </is>
      </c>
      <c r="D50" s="15" t="inlineStr">
        <is>
          <t>NM</t>
        </is>
      </c>
      <c r="E50" s="16" t="n">
        <v>580000</v>
      </c>
      <c r="F50" s="16" t="n">
        <v>12895.98</v>
      </c>
      <c r="G50" s="16" t="n">
        <v>1612</v>
      </c>
      <c r="H50" s="16" t="n">
        <v>1612</v>
      </c>
      <c r="I50" s="16">
        <f>SUM(K50:T50)</f>
        <v/>
      </c>
      <c r="J50" s="16">
        <f>F50-(G50+H50+I50)</f>
        <v/>
      </c>
      <c r="K50" s="16" t="n">
        <v>967.2</v>
      </c>
      <c r="L50" s="16" t="n">
        <v>967.2</v>
      </c>
      <c r="M50" s="16" t="n">
        <v>967.2</v>
      </c>
      <c r="N50" s="16" t="n">
        <v>967.2</v>
      </c>
      <c r="O50" s="16" t="n">
        <v>967.2</v>
      </c>
      <c r="P50" s="16" t="n">
        <v>967.2</v>
      </c>
      <c r="Q50" s="16" t="n">
        <v>967.2</v>
      </c>
      <c r="R50" s="16" t="n">
        <v>967.2</v>
      </c>
      <c r="S50" s="16" t="n">
        <v>967.2</v>
      </c>
      <c r="T50" s="16" t="n">
        <v>967.2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CANON-202510-001153</t>
        </is>
      </c>
      <c r="B51" s="3" t="inlineStr">
        <is>
          <t>2025-10-16</t>
        </is>
      </c>
      <c r="C51" s="3" t="inlineStr">
        <is>
          <t>Ingrid Blackwood</t>
        </is>
      </c>
      <c r="D51" s="3" t="inlineStr">
        <is>
          <t>AZ</t>
        </is>
      </c>
      <c r="E51" s="14" t="n">
        <v>1625000</v>
      </c>
      <c r="F51" s="14" t="n">
        <v>16505.56</v>
      </c>
      <c r="G51" s="14" t="n">
        <v>2063.2</v>
      </c>
      <c r="H51" s="14" t="n">
        <v>2063.2</v>
      </c>
      <c r="I51" s="14">
        <f>SUM(K51:T51)</f>
        <v/>
      </c>
      <c r="J51" s="14">
        <f>F51-(G51+H51+I51)</f>
        <v/>
      </c>
      <c r="K51" s="14" t="n">
        <v>1237.92</v>
      </c>
      <c r="L51" s="14" t="n">
        <v>1237.92</v>
      </c>
      <c r="M51" s="14" t="n">
        <v>1237.92</v>
      </c>
      <c r="N51" s="14" t="n">
        <v>1237.92</v>
      </c>
      <c r="O51" s="14" t="n">
        <v>1237.92</v>
      </c>
      <c r="P51" s="14" t="n">
        <v>1237.92</v>
      </c>
      <c r="Q51" s="14" t="n">
        <v>1237.92</v>
      </c>
      <c r="R51" s="14" t="n">
        <v>1237.92</v>
      </c>
      <c r="S51" s="14" t="n">
        <v>1237.92</v>
      </c>
      <c r="T51" s="14" t="n">
        <v>1237.92</v>
      </c>
      <c r="U51" s="14" t="n">
        <v>350</v>
      </c>
      <c r="V51" s="14" t="n">
        <v>250</v>
      </c>
      <c r="W51" s="14">
        <f>U51+V51</f>
        <v/>
      </c>
    </row>
    <row r="52">
      <c r="A52" s="15" t="inlineStr">
        <is>
          <t>CANON-202510-001155</t>
        </is>
      </c>
      <c r="B52" s="15" t="inlineStr">
        <is>
          <t>2025-10-15</t>
        </is>
      </c>
      <c r="C52" s="15" t="inlineStr">
        <is>
          <t>Fenwick Farkas</t>
        </is>
      </c>
      <c r="D52" s="15" t="inlineStr">
        <is>
          <t>MN</t>
        </is>
      </c>
      <c r="E52" s="16" t="n">
        <v>485000</v>
      </c>
      <c r="F52" s="16" t="n">
        <v>8779.49</v>
      </c>
      <c r="G52" s="16" t="n">
        <v>1097.44</v>
      </c>
      <c r="H52" s="16" t="n">
        <v>1097.44</v>
      </c>
      <c r="I52" s="16">
        <f>SUM(K52:T52)</f>
        <v/>
      </c>
      <c r="J52" s="16">
        <f>F52-(G52+H52+I52)</f>
        <v/>
      </c>
      <c r="K52" s="16" t="n">
        <v>658.46</v>
      </c>
      <c r="L52" s="16" t="n">
        <v>658.46</v>
      </c>
      <c r="M52" s="16" t="n">
        <v>658.46</v>
      </c>
      <c r="N52" s="16" t="n">
        <v>658.46</v>
      </c>
      <c r="O52" s="16" t="n">
        <v>658.46</v>
      </c>
      <c r="P52" s="16" t="n">
        <v>658.46</v>
      </c>
      <c r="Q52" s="16" t="n">
        <v>658.46</v>
      </c>
      <c r="R52" s="16" t="n">
        <v>658.46</v>
      </c>
      <c r="S52" s="16" t="n">
        <v>658.46</v>
      </c>
      <c r="T52" s="16" t="n">
        <v>658.46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CANON-202510-001156</t>
        </is>
      </c>
      <c r="B53" s="3" t="inlineStr">
        <is>
          <t>2025-10-18</t>
        </is>
      </c>
      <c r="C53" s="3" t="inlineStr">
        <is>
          <t>Saoirse Okonkwo</t>
        </is>
      </c>
      <c r="D53" s="3" t="inlineStr">
        <is>
          <t>KY</t>
        </is>
      </c>
      <c r="E53" s="14" t="n">
        <v>1505000</v>
      </c>
      <c r="F53" s="14" t="n">
        <v>29500.13</v>
      </c>
      <c r="G53" s="14" t="n">
        <v>3687.52</v>
      </c>
      <c r="H53" s="14" t="n">
        <v>3687.52</v>
      </c>
      <c r="I53" s="14">
        <f>SUM(K53:T53)</f>
        <v/>
      </c>
      <c r="J53" s="14">
        <f>F53-(G53+H53+I53)</f>
        <v/>
      </c>
      <c r="K53" s="14" t="n">
        <v>2212.51</v>
      </c>
      <c r="L53" s="14" t="n">
        <v>2212.51</v>
      </c>
      <c r="M53" s="14" t="n">
        <v>2212.51</v>
      </c>
      <c r="N53" s="14" t="n">
        <v>2212.51</v>
      </c>
      <c r="O53" s="14" t="n">
        <v>2212.51</v>
      </c>
      <c r="P53" s="14" t="n">
        <v>2212.51</v>
      </c>
      <c r="Q53" s="14" t="n">
        <v>2212.51</v>
      </c>
      <c r="R53" s="14" t="n">
        <v>2212.51</v>
      </c>
      <c r="S53" s="14" t="n">
        <v>2212.51</v>
      </c>
      <c r="T53" s="14" t="n">
        <v>2212.51</v>
      </c>
      <c r="U53" s="14" t="n">
        <v>350</v>
      </c>
      <c r="V53" s="14" t="n">
        <v>250</v>
      </c>
      <c r="W53" s="14">
        <f>U53+V53</f>
        <v/>
      </c>
    </row>
    <row r="54">
      <c r="A54" s="15" t="inlineStr">
        <is>
          <t>CANON-202510-001158</t>
        </is>
      </c>
      <c r="B54" s="15" t="inlineStr">
        <is>
          <t>2025-10-16</t>
        </is>
      </c>
      <c r="C54" s="15" t="inlineStr">
        <is>
          <t>Wilhelmina Ashcombe</t>
        </is>
      </c>
      <c r="D54" s="15" t="inlineStr">
        <is>
          <t>MS</t>
        </is>
      </c>
      <c r="E54" s="16" t="n">
        <v>650000</v>
      </c>
      <c r="F54" s="16" t="n">
        <v>6081.65</v>
      </c>
      <c r="G54" s="16" t="n">
        <v>760.21</v>
      </c>
      <c r="H54" s="16" t="n">
        <v>760.21</v>
      </c>
      <c r="I54" s="16">
        <f>SUM(K54:T54)</f>
        <v/>
      </c>
      <c r="J54" s="16">
        <f>F54-(G54+H54+I54)</f>
        <v/>
      </c>
      <c r="K54" s="16" t="n">
        <v>456.12</v>
      </c>
      <c r="L54" s="16" t="n">
        <v>456.12</v>
      </c>
      <c r="M54" s="16" t="n">
        <v>456.12</v>
      </c>
      <c r="N54" s="16" t="n">
        <v>456.12</v>
      </c>
      <c r="O54" s="16" t="n">
        <v>456.12</v>
      </c>
      <c r="P54" s="16" t="n">
        <v>456.12</v>
      </c>
      <c r="Q54" s="16" t="n">
        <v>456.12</v>
      </c>
      <c r="R54" s="16" t="n">
        <v>456.12</v>
      </c>
      <c r="S54" s="16" t="n">
        <v>456.12</v>
      </c>
      <c r="T54" s="16" t="n">
        <v>456.12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CANON-202510-001159</t>
        </is>
      </c>
      <c r="B55" s="3" t="inlineStr">
        <is>
          <t>2025-10-11</t>
        </is>
      </c>
      <c r="C55" s="3" t="inlineStr">
        <is>
          <t>Ottilie Kingsford</t>
        </is>
      </c>
      <c r="D55" s="3" t="inlineStr">
        <is>
          <t>NH</t>
        </is>
      </c>
      <c r="E55" s="14" t="n">
        <v>290000</v>
      </c>
      <c r="F55" s="14" t="n">
        <v>6341.94</v>
      </c>
      <c r="G55" s="14" t="n">
        <v>792.74</v>
      </c>
      <c r="H55" s="14" t="n">
        <v>792.74</v>
      </c>
      <c r="I55" s="14">
        <f>SUM(K55:T55)</f>
        <v/>
      </c>
      <c r="J55" s="14">
        <f>F55-(G55+H55+I55)</f>
        <v/>
      </c>
      <c r="K55" s="14" t="n">
        <v>475.65</v>
      </c>
      <c r="L55" s="14" t="n">
        <v>475.65</v>
      </c>
      <c r="M55" s="14" t="n">
        <v>475.65</v>
      </c>
      <c r="N55" s="14" t="n">
        <v>475.65</v>
      </c>
      <c r="O55" s="14" t="n">
        <v>475.65</v>
      </c>
      <c r="P55" s="14" t="n">
        <v>475.65</v>
      </c>
      <c r="Q55" s="14" t="n">
        <v>475.65</v>
      </c>
      <c r="R55" s="14" t="n">
        <v>475.65</v>
      </c>
      <c r="S55" s="14" t="n">
        <v>475.65</v>
      </c>
      <c r="T55" s="14" t="n">
        <v>475.65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CANON-202510-001160</t>
        </is>
      </c>
      <c r="B56" s="15" t="inlineStr">
        <is>
          <t>2025-10-12</t>
        </is>
      </c>
      <c r="C56" s="15" t="inlineStr">
        <is>
          <t>Ingrid Ashcombe</t>
        </is>
      </c>
      <c r="D56" s="15" t="inlineStr">
        <is>
          <t>NM</t>
        </is>
      </c>
      <c r="E56" s="16" t="n">
        <v>410000</v>
      </c>
      <c r="F56" s="16" t="n">
        <v>7196.94</v>
      </c>
      <c r="G56" s="16" t="n">
        <v>899.62</v>
      </c>
      <c r="H56" s="16" t="n">
        <v>899.62</v>
      </c>
      <c r="I56" s="16">
        <f>SUM(K56:T56)</f>
        <v/>
      </c>
      <c r="J56" s="16">
        <f>F56-(G56+H56+I56)</f>
        <v/>
      </c>
      <c r="K56" s="16" t="n">
        <v>539.77</v>
      </c>
      <c r="L56" s="16" t="n">
        <v>539.77</v>
      </c>
      <c r="M56" s="16" t="n">
        <v>539.77</v>
      </c>
      <c r="N56" s="16" t="n">
        <v>539.77</v>
      </c>
      <c r="O56" s="16" t="n">
        <v>539.77</v>
      </c>
      <c r="P56" s="16" t="n">
        <v>539.77</v>
      </c>
      <c r="Q56" s="16" t="n">
        <v>539.77</v>
      </c>
      <c r="R56" s="16" t="n">
        <v>539.77</v>
      </c>
      <c r="S56" s="16" t="n">
        <v>539.77</v>
      </c>
      <c r="T56" s="16" t="n">
        <v>539.77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CANON-202510-001161</t>
        </is>
      </c>
      <c r="B57" s="3" t="inlineStr">
        <is>
          <t>2025-10-31</t>
        </is>
      </c>
      <c r="C57" s="3" t="inlineStr">
        <is>
          <t>Mireille Bellandi</t>
        </is>
      </c>
      <c r="D57" s="3" t="inlineStr">
        <is>
          <t>MI</t>
        </is>
      </c>
      <c r="E57" s="14" t="n">
        <v>785000</v>
      </c>
      <c r="F57" s="14" t="n">
        <v>14461.31</v>
      </c>
      <c r="G57" s="14" t="n">
        <v>1807.66</v>
      </c>
      <c r="H57" s="14" t="n">
        <v>1807.66</v>
      </c>
      <c r="I57" s="14">
        <f>SUM(K57:T57)</f>
        <v/>
      </c>
      <c r="J57" s="14">
        <f>F57-(G57+H57+I57)</f>
        <v/>
      </c>
      <c r="K57" s="14" t="n">
        <v>1084.6</v>
      </c>
      <c r="L57" s="14" t="n">
        <v>1084.6</v>
      </c>
      <c r="M57" s="14" t="n">
        <v>1084.6</v>
      </c>
      <c r="N57" s="14" t="n">
        <v>1084.6</v>
      </c>
      <c r="O57" s="14" t="n">
        <v>1084.6</v>
      </c>
      <c r="P57" s="14" t="n">
        <v>1084.6</v>
      </c>
      <c r="Q57" s="14" t="n">
        <v>1084.6</v>
      </c>
      <c r="R57" s="14" t="n">
        <v>1084.6</v>
      </c>
      <c r="S57" s="14" t="n">
        <v>1084.6</v>
      </c>
      <c r="T57" s="14" t="n">
        <v>1084.6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CANON-202510-001163</t>
        </is>
      </c>
      <c r="B58" s="15" t="inlineStr">
        <is>
          <t>2025-10-08</t>
        </is>
      </c>
      <c r="C58" s="15" t="inlineStr">
        <is>
          <t>Wilhelmina Pennington</t>
        </is>
      </c>
      <c r="D58" s="15" t="inlineStr">
        <is>
          <t>FL</t>
        </is>
      </c>
      <c r="E58" s="16" t="n">
        <v>440000</v>
      </c>
      <c r="F58" s="16" t="n">
        <v>8568.309999999999</v>
      </c>
      <c r="G58" s="16" t="n">
        <v>1071.04</v>
      </c>
      <c r="H58" s="16" t="n">
        <v>1071.04</v>
      </c>
      <c r="I58" s="16">
        <f>SUM(K58:T58)</f>
        <v/>
      </c>
      <c r="J58" s="16">
        <f>F58-(G58+H58+I58)</f>
        <v/>
      </c>
      <c r="K58" s="16" t="n">
        <v>642.62</v>
      </c>
      <c r="L58" s="16" t="n">
        <v>642.62</v>
      </c>
      <c r="M58" s="16" t="n">
        <v>642.62</v>
      </c>
      <c r="N58" s="16" t="n">
        <v>642.62</v>
      </c>
      <c r="O58" s="16" t="n">
        <v>642.62</v>
      </c>
      <c r="P58" s="16" t="n">
        <v>642.62</v>
      </c>
      <c r="Q58" s="16" t="n">
        <v>642.62</v>
      </c>
      <c r="R58" s="16" t="n">
        <v>642.62</v>
      </c>
      <c r="S58" s="16" t="n">
        <v>642.62</v>
      </c>
      <c r="T58" s="16" t="n">
        <v>642.62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CANON-202510-001164</t>
        </is>
      </c>
      <c r="B59" s="3" t="inlineStr">
        <is>
          <t>2025-10-18</t>
        </is>
      </c>
      <c r="C59" s="3" t="inlineStr">
        <is>
          <t>Thaddeus Kingsford</t>
        </is>
      </c>
      <c r="D59" s="3" t="inlineStr">
        <is>
          <t>NY</t>
        </is>
      </c>
      <c r="E59" s="14" t="n">
        <v>415000</v>
      </c>
      <c r="F59" s="14" t="n">
        <v>4662.21</v>
      </c>
      <c r="G59" s="14" t="n">
        <v>582.78</v>
      </c>
      <c r="H59" s="14" t="n">
        <v>582.78</v>
      </c>
      <c r="I59" s="14">
        <f>SUM(K59:T59)</f>
        <v/>
      </c>
      <c r="J59" s="14">
        <f>F59-(G59+H59+I59)</f>
        <v/>
      </c>
      <c r="K59" s="14" t="n">
        <v>349.67</v>
      </c>
      <c r="L59" s="14" t="n">
        <v>349.67</v>
      </c>
      <c r="M59" s="14" t="n">
        <v>349.67</v>
      </c>
      <c r="N59" s="14" t="n">
        <v>349.67</v>
      </c>
      <c r="O59" s="14" t="n">
        <v>349.67</v>
      </c>
      <c r="P59" s="14" t="n">
        <v>349.67</v>
      </c>
      <c r="Q59" s="14" t="n">
        <v>349.67</v>
      </c>
      <c r="R59" s="14" t="n">
        <v>349.67</v>
      </c>
      <c r="S59" s="14" t="n">
        <v>349.67</v>
      </c>
      <c r="T59" s="14" t="n">
        <v>349.67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CANON-202510-001167</t>
        </is>
      </c>
      <c r="B60" s="15" t="inlineStr">
        <is>
          <t>2025-10-17</t>
        </is>
      </c>
      <c r="C60" s="15" t="inlineStr">
        <is>
          <t>Sunniva Nakashima</t>
        </is>
      </c>
      <c r="D60" s="15" t="inlineStr">
        <is>
          <t>MO</t>
        </is>
      </c>
      <c r="E60" s="16" t="n">
        <v>1950000</v>
      </c>
      <c r="F60" s="16" t="n">
        <v>14362.06</v>
      </c>
      <c r="G60" s="16" t="n">
        <v>1795.26</v>
      </c>
      <c r="H60" s="16" t="n">
        <v>1795.26</v>
      </c>
      <c r="I60" s="16">
        <f>SUM(K60:T60)</f>
        <v/>
      </c>
      <c r="J60" s="16">
        <f>F60-(G60+H60+I60)</f>
        <v/>
      </c>
      <c r="K60" s="16" t="n">
        <v>1077.15</v>
      </c>
      <c r="L60" s="16" t="n">
        <v>1077.15</v>
      </c>
      <c r="M60" s="16" t="n">
        <v>1077.15</v>
      </c>
      <c r="N60" s="16" t="n">
        <v>1077.15</v>
      </c>
      <c r="O60" s="16" t="n">
        <v>1077.15</v>
      </c>
      <c r="P60" s="16" t="n">
        <v>1077.15</v>
      </c>
      <c r="Q60" s="16" t="n">
        <v>1077.15</v>
      </c>
      <c r="R60" s="16" t="n">
        <v>1077.15</v>
      </c>
      <c r="S60" s="16" t="n">
        <v>1077.15</v>
      </c>
      <c r="T60" s="16" t="n">
        <v>1077.15</v>
      </c>
      <c r="U60" s="16" t="n">
        <v>350</v>
      </c>
      <c r="V60" s="16" t="n">
        <v>250</v>
      </c>
      <c r="W60" s="16">
        <f>U60+V60</f>
        <v/>
      </c>
    </row>
    <row r="61">
      <c r="A61" s="3" t="inlineStr">
        <is>
          <t>CANON-202510-001168</t>
        </is>
      </c>
      <c r="B61" s="3" t="inlineStr">
        <is>
          <t>2025-10-09</t>
        </is>
      </c>
      <c r="C61" s="3" t="inlineStr">
        <is>
          <t>Delphine Vasquez</t>
        </is>
      </c>
      <c r="D61" s="3" t="inlineStr">
        <is>
          <t>MI</t>
        </is>
      </c>
      <c r="E61" s="14" t="n">
        <v>500000</v>
      </c>
      <c r="F61" s="14" t="n">
        <v>6093.45</v>
      </c>
      <c r="G61" s="14" t="n">
        <v>761.6799999999999</v>
      </c>
      <c r="H61" s="14" t="n">
        <v>761.6799999999999</v>
      </c>
      <c r="I61" s="14">
        <f>SUM(K61:T61)</f>
        <v/>
      </c>
      <c r="J61" s="14">
        <f>F61-(G61+H61+I61)</f>
        <v/>
      </c>
      <c r="K61" s="14" t="n">
        <v>457.01</v>
      </c>
      <c r="L61" s="14" t="n">
        <v>457.01</v>
      </c>
      <c r="M61" s="14" t="n">
        <v>457.01</v>
      </c>
      <c r="N61" s="14" t="n">
        <v>457.01</v>
      </c>
      <c r="O61" s="14" t="n">
        <v>457.01</v>
      </c>
      <c r="P61" s="14" t="n">
        <v>457.01</v>
      </c>
      <c r="Q61" s="14" t="n">
        <v>457.01</v>
      </c>
      <c r="R61" s="14" t="n">
        <v>457.01</v>
      </c>
      <c r="S61" s="14" t="n">
        <v>457.01</v>
      </c>
      <c r="T61" s="14" t="n">
        <v>457.01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CANON-202510-001169</t>
        </is>
      </c>
      <c r="B62" s="15" t="inlineStr">
        <is>
          <t>2025-10-09</t>
        </is>
      </c>
      <c r="C62" s="15" t="inlineStr">
        <is>
          <t>Thaddeus Larsson</t>
        </is>
      </c>
      <c r="D62" s="15" t="inlineStr">
        <is>
          <t>CO</t>
        </is>
      </c>
      <c r="E62" s="16" t="n">
        <v>650000</v>
      </c>
      <c r="F62" s="16" t="n">
        <v>5621.69</v>
      </c>
      <c r="G62" s="16" t="n">
        <v>702.71</v>
      </c>
      <c r="H62" s="16" t="n">
        <v>702.71</v>
      </c>
      <c r="I62" s="16">
        <f>SUM(K62:T62)</f>
        <v/>
      </c>
      <c r="J62" s="16">
        <f>F62-(G62+H62+I62)</f>
        <v/>
      </c>
      <c r="K62" s="16" t="n">
        <v>421.63</v>
      </c>
      <c r="L62" s="16" t="n">
        <v>421.63</v>
      </c>
      <c r="M62" s="16" t="n">
        <v>421.63</v>
      </c>
      <c r="N62" s="16" t="n">
        <v>421.63</v>
      </c>
      <c r="O62" s="16" t="n">
        <v>421.63</v>
      </c>
      <c r="P62" s="16" t="n">
        <v>421.63</v>
      </c>
      <c r="Q62" s="16" t="n">
        <v>421.63</v>
      </c>
      <c r="R62" s="16" t="n">
        <v>421.63</v>
      </c>
      <c r="S62" s="16" t="n">
        <v>421.63</v>
      </c>
      <c r="T62" s="16" t="n">
        <v>421.63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CANON-202510-001170</t>
        </is>
      </c>
      <c r="B63" s="3" t="inlineStr">
        <is>
          <t>2025-10-25</t>
        </is>
      </c>
      <c r="C63" s="3" t="inlineStr">
        <is>
          <t>Thaddeus Whitlock</t>
        </is>
      </c>
      <c r="D63" s="3" t="inlineStr">
        <is>
          <t>TX</t>
        </is>
      </c>
      <c r="E63" s="14" t="n">
        <v>915000</v>
      </c>
      <c r="F63" s="14" t="n">
        <v>12506.19</v>
      </c>
      <c r="G63" s="14" t="n">
        <v>1563.27</v>
      </c>
      <c r="H63" s="14" t="n">
        <v>1563.27</v>
      </c>
      <c r="I63" s="14">
        <f>SUM(K63:T63)</f>
        <v/>
      </c>
      <c r="J63" s="14">
        <f>F63-(G63+H63+I63)</f>
        <v/>
      </c>
      <c r="K63" s="14" t="n">
        <v>937.96</v>
      </c>
      <c r="L63" s="14" t="n">
        <v>937.96</v>
      </c>
      <c r="M63" s="14" t="n">
        <v>937.96</v>
      </c>
      <c r="N63" s="14" t="n">
        <v>937.96</v>
      </c>
      <c r="O63" s="14" t="n">
        <v>937.96</v>
      </c>
      <c r="P63" s="14" t="n">
        <v>937.96</v>
      </c>
      <c r="Q63" s="14" t="n">
        <v>937.96</v>
      </c>
      <c r="R63" s="14" t="n">
        <v>937.96</v>
      </c>
      <c r="S63" s="14" t="n">
        <v>937.96</v>
      </c>
      <c r="T63" s="14" t="n">
        <v>937.96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CANON-202510-001171</t>
        </is>
      </c>
      <c r="B64" s="15" t="inlineStr">
        <is>
          <t>2025-10-25</t>
        </is>
      </c>
      <c r="C64" s="15" t="inlineStr">
        <is>
          <t>Priya Vandermeer</t>
        </is>
      </c>
      <c r="D64" s="15" t="inlineStr">
        <is>
          <t>CA</t>
        </is>
      </c>
      <c r="E64" s="16" t="n">
        <v>1170000</v>
      </c>
      <c r="F64" s="16" t="n">
        <v>15884.56</v>
      </c>
      <c r="G64" s="16" t="n">
        <v>1985.57</v>
      </c>
      <c r="H64" s="16" t="n">
        <v>1985.57</v>
      </c>
      <c r="I64" s="16">
        <f>SUM(K64:T64)</f>
        <v/>
      </c>
      <c r="J64" s="16">
        <f>F64-(G64+H64+I64)</f>
        <v/>
      </c>
      <c r="K64" s="16" t="n">
        <v>1191.34</v>
      </c>
      <c r="L64" s="16" t="n">
        <v>1191.34</v>
      </c>
      <c r="M64" s="16" t="n">
        <v>1191.34</v>
      </c>
      <c r="N64" s="16" t="n">
        <v>1191.34</v>
      </c>
      <c r="O64" s="16" t="n">
        <v>1191.34</v>
      </c>
      <c r="P64" s="16" t="n">
        <v>1191.34</v>
      </c>
      <c r="Q64" s="16" t="n">
        <v>1191.34</v>
      </c>
      <c r="R64" s="16" t="n">
        <v>1191.34</v>
      </c>
      <c r="S64" s="16" t="n">
        <v>1191.34</v>
      </c>
      <c r="T64" s="16" t="n">
        <v>1191.34</v>
      </c>
      <c r="U64" s="16" t="n">
        <v>350</v>
      </c>
      <c r="V64" s="16" t="n">
        <v>250</v>
      </c>
      <c r="W64" s="16">
        <f>U64+V64</f>
        <v/>
      </c>
    </row>
    <row r="65">
      <c r="A65" s="3" t="inlineStr">
        <is>
          <t>CANON-202510-001172</t>
        </is>
      </c>
      <c r="B65" s="3" t="inlineStr">
        <is>
          <t>2025-10-11</t>
        </is>
      </c>
      <c r="C65" s="3" t="inlineStr">
        <is>
          <t>Anouk Kingsford</t>
        </is>
      </c>
      <c r="D65" s="3" t="inlineStr">
        <is>
          <t>MS</t>
        </is>
      </c>
      <c r="E65" s="14" t="n">
        <v>745000</v>
      </c>
      <c r="F65" s="14" t="n">
        <v>15399.96</v>
      </c>
      <c r="G65" s="14" t="n">
        <v>1924.99</v>
      </c>
      <c r="H65" s="14" t="n">
        <v>1924.99</v>
      </c>
      <c r="I65" s="14">
        <f>SUM(K65:T65)</f>
        <v/>
      </c>
      <c r="J65" s="14">
        <f>F65-(G65+H65+I65)</f>
        <v/>
      </c>
      <c r="K65" s="14" t="n">
        <v>1155</v>
      </c>
      <c r="L65" s="14" t="n">
        <v>1155</v>
      </c>
      <c r="M65" s="14" t="n">
        <v>1155</v>
      </c>
      <c r="N65" s="14" t="n">
        <v>1155</v>
      </c>
      <c r="O65" s="14" t="n">
        <v>1155</v>
      </c>
      <c r="P65" s="14" t="n">
        <v>1155</v>
      </c>
      <c r="Q65" s="14" t="n">
        <v>1155</v>
      </c>
      <c r="R65" s="14" t="n">
        <v>1155</v>
      </c>
      <c r="S65" s="14" t="n">
        <v>1155</v>
      </c>
      <c r="T65" s="14" t="n">
        <v>1155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CANON-202510-001173</t>
        </is>
      </c>
      <c r="B66" s="15" t="inlineStr">
        <is>
          <t>2025-10-10</t>
        </is>
      </c>
      <c r="C66" s="15" t="inlineStr">
        <is>
          <t>Saoirse Chattopadhyay</t>
        </is>
      </c>
      <c r="D66" s="15" t="inlineStr">
        <is>
          <t>OK</t>
        </is>
      </c>
      <c r="E66" s="16" t="n">
        <v>400000</v>
      </c>
      <c r="F66" s="16" t="n">
        <v>6911.7</v>
      </c>
      <c r="G66" s="16" t="n">
        <v>863.96</v>
      </c>
      <c r="H66" s="16" t="n">
        <v>863.96</v>
      </c>
      <c r="I66" s="16">
        <f>SUM(K66:T66)</f>
        <v/>
      </c>
      <c r="J66" s="16">
        <f>F66-(G66+H66+I66)</f>
        <v/>
      </c>
      <c r="K66" s="16" t="n">
        <v>518.38</v>
      </c>
      <c r="L66" s="16" t="n">
        <v>518.38</v>
      </c>
      <c r="M66" s="16" t="n">
        <v>518.38</v>
      </c>
      <c r="N66" s="16" t="n">
        <v>518.38</v>
      </c>
      <c r="O66" s="16" t="n">
        <v>518.38</v>
      </c>
      <c r="P66" s="16" t="n">
        <v>518.38</v>
      </c>
      <c r="Q66" s="16" t="n">
        <v>518.38</v>
      </c>
      <c r="R66" s="16" t="n">
        <v>518.38</v>
      </c>
      <c r="S66" s="16" t="n">
        <v>518.38</v>
      </c>
      <c r="T66" s="16" t="n">
        <v>518.38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CANON-202510-001174</t>
        </is>
      </c>
      <c r="B67" s="3" t="inlineStr">
        <is>
          <t>2025-10-27</t>
        </is>
      </c>
      <c r="C67" s="3" t="inlineStr">
        <is>
          <t>Priya Harrington</t>
        </is>
      </c>
      <c r="D67" s="3" t="inlineStr">
        <is>
          <t>MT</t>
        </is>
      </c>
      <c r="E67" s="14" t="n">
        <v>955000</v>
      </c>
      <c r="F67" s="14" t="n">
        <v>10555.83</v>
      </c>
      <c r="G67" s="14" t="n">
        <v>1319.48</v>
      </c>
      <c r="H67" s="14" t="n">
        <v>1319.48</v>
      </c>
      <c r="I67" s="14">
        <f>SUM(K67:T67)</f>
        <v/>
      </c>
      <c r="J67" s="14">
        <f>F67-(G67+H67+I67)</f>
        <v/>
      </c>
      <c r="K67" s="14" t="n">
        <v>791.6900000000001</v>
      </c>
      <c r="L67" s="14" t="n">
        <v>791.6900000000001</v>
      </c>
      <c r="M67" s="14" t="n">
        <v>791.6900000000001</v>
      </c>
      <c r="N67" s="14" t="n">
        <v>791.6900000000001</v>
      </c>
      <c r="O67" s="14" t="n">
        <v>791.6900000000001</v>
      </c>
      <c r="P67" s="14" t="n">
        <v>791.6900000000001</v>
      </c>
      <c r="Q67" s="14" t="n">
        <v>791.6900000000001</v>
      </c>
      <c r="R67" s="14" t="n">
        <v>791.6900000000001</v>
      </c>
      <c r="S67" s="14" t="n">
        <v>791.6900000000001</v>
      </c>
      <c r="T67" s="14" t="n">
        <v>791.6900000000001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CANON-202510-001175</t>
        </is>
      </c>
      <c r="B68" s="15" t="inlineStr">
        <is>
          <t>2025-10-08</t>
        </is>
      </c>
      <c r="C68" s="15" t="inlineStr">
        <is>
          <t>Ingrid Underwood</t>
        </is>
      </c>
      <c r="D68" s="15" t="inlineStr">
        <is>
          <t>MT</t>
        </is>
      </c>
      <c r="E68" s="16" t="n">
        <v>610000</v>
      </c>
      <c r="F68" s="16" t="n">
        <v>9854.370000000001</v>
      </c>
      <c r="G68" s="16" t="n">
        <v>1231.8</v>
      </c>
      <c r="H68" s="16" t="n">
        <v>1231.8</v>
      </c>
      <c r="I68" s="16">
        <f>SUM(K68:T68)</f>
        <v/>
      </c>
      <c r="J68" s="16">
        <f>F68-(G68+H68+I68)</f>
        <v/>
      </c>
      <c r="K68" s="16" t="n">
        <v>739.08</v>
      </c>
      <c r="L68" s="16" t="n">
        <v>739.08</v>
      </c>
      <c r="M68" s="16" t="n">
        <v>739.08</v>
      </c>
      <c r="N68" s="16" t="n">
        <v>739.08</v>
      </c>
      <c r="O68" s="16" t="n">
        <v>739.08</v>
      </c>
      <c r="P68" s="16" t="n">
        <v>739.08</v>
      </c>
      <c r="Q68" s="16" t="n">
        <v>739.08</v>
      </c>
      <c r="R68" s="16" t="n">
        <v>739.08</v>
      </c>
      <c r="S68" s="16" t="n">
        <v>739.08</v>
      </c>
      <c r="T68" s="16" t="n">
        <v>739.08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CANON-202510-001177</t>
        </is>
      </c>
      <c r="B69" s="3" t="inlineStr">
        <is>
          <t>2025-10-08</t>
        </is>
      </c>
      <c r="C69" s="3" t="inlineStr">
        <is>
          <t>Horace Harrington</t>
        </is>
      </c>
      <c r="D69" s="3" t="inlineStr">
        <is>
          <t>NY</t>
        </is>
      </c>
      <c r="E69" s="14" t="n">
        <v>675000</v>
      </c>
      <c r="F69" s="14" t="n">
        <v>10268.81</v>
      </c>
      <c r="G69" s="14" t="n">
        <v>1283.6</v>
      </c>
      <c r="H69" s="14" t="n">
        <v>1283.6</v>
      </c>
      <c r="I69" s="14">
        <f>SUM(K69:T69)</f>
        <v/>
      </c>
      <c r="J69" s="14">
        <f>F69-(G69+H69+I69)</f>
        <v/>
      </c>
      <c r="K69" s="14" t="n">
        <v>770.16</v>
      </c>
      <c r="L69" s="14" t="n">
        <v>770.16</v>
      </c>
      <c r="M69" s="14" t="n">
        <v>770.16</v>
      </c>
      <c r="N69" s="14" t="n">
        <v>770.16</v>
      </c>
      <c r="O69" s="14" t="n">
        <v>770.16</v>
      </c>
      <c r="P69" s="14" t="n">
        <v>770.16</v>
      </c>
      <c r="Q69" s="14" t="n">
        <v>770.16</v>
      </c>
      <c r="R69" s="14" t="n">
        <v>770.16</v>
      </c>
      <c r="S69" s="14" t="n">
        <v>770.16</v>
      </c>
      <c r="T69" s="14" t="n">
        <v>770.16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CANON-202510-001179</t>
        </is>
      </c>
      <c r="B70" s="15" t="inlineStr">
        <is>
          <t>2025-10-31</t>
        </is>
      </c>
      <c r="C70" s="15" t="inlineStr">
        <is>
          <t>Wilhelmina Castellanos</t>
        </is>
      </c>
      <c r="D70" s="15" t="inlineStr">
        <is>
          <t>UT</t>
        </is>
      </c>
      <c r="E70" s="16" t="n">
        <v>445000</v>
      </c>
      <c r="F70" s="16" t="n">
        <v>8238.49</v>
      </c>
      <c r="G70" s="16" t="n">
        <v>1029.81</v>
      </c>
      <c r="H70" s="16" t="n">
        <v>1029.81</v>
      </c>
      <c r="I70" s="16">
        <f>SUM(K70:T70)</f>
        <v/>
      </c>
      <c r="J70" s="16">
        <f>F70-(G70+H70+I70)</f>
        <v/>
      </c>
      <c r="K70" s="16" t="n">
        <v>617.89</v>
      </c>
      <c r="L70" s="16" t="n">
        <v>617.89</v>
      </c>
      <c r="M70" s="16" t="n">
        <v>617.89</v>
      </c>
      <c r="N70" s="16" t="n">
        <v>617.89</v>
      </c>
      <c r="O70" s="16" t="n">
        <v>617.89</v>
      </c>
      <c r="P70" s="16" t="n">
        <v>617.89</v>
      </c>
      <c r="Q70" s="16" t="n">
        <v>617.89</v>
      </c>
      <c r="R70" s="16" t="n">
        <v>617.89</v>
      </c>
      <c r="S70" s="16" t="n">
        <v>617.89</v>
      </c>
      <c r="T70" s="16" t="n">
        <v>617.89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CANON-202510-001180</t>
        </is>
      </c>
      <c r="B71" s="3" t="inlineStr">
        <is>
          <t>2025-10-22</t>
        </is>
      </c>
      <c r="C71" s="3" t="inlineStr">
        <is>
          <t>Cassius Chattopadhyay</t>
        </is>
      </c>
      <c r="D71" s="3" t="inlineStr">
        <is>
          <t>PA</t>
        </is>
      </c>
      <c r="E71" s="14" t="n">
        <v>320000</v>
      </c>
      <c r="F71" s="14" t="n">
        <v>4388.38</v>
      </c>
      <c r="G71" s="14" t="n">
        <v>548.55</v>
      </c>
      <c r="H71" s="14" t="n">
        <v>548.55</v>
      </c>
      <c r="I71" s="14">
        <f>SUM(K71:T71)</f>
        <v/>
      </c>
      <c r="J71" s="14">
        <f>F71-(G71+H71+I71)</f>
        <v/>
      </c>
      <c r="K71" s="14" t="n">
        <v>329.13</v>
      </c>
      <c r="L71" s="14" t="n">
        <v>329.13</v>
      </c>
      <c r="M71" s="14" t="n">
        <v>329.13</v>
      </c>
      <c r="N71" s="14" t="n">
        <v>329.13</v>
      </c>
      <c r="O71" s="14" t="n">
        <v>329.13</v>
      </c>
      <c r="P71" s="14" t="n">
        <v>329.13</v>
      </c>
      <c r="Q71" s="14" t="n">
        <v>329.13</v>
      </c>
      <c r="R71" s="14" t="n">
        <v>329.13</v>
      </c>
      <c r="S71" s="14" t="n">
        <v>329.13</v>
      </c>
      <c r="T71" s="14" t="n">
        <v>329.13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CANON-202510-001181</t>
        </is>
      </c>
      <c r="B72" s="15" t="inlineStr">
        <is>
          <t>2025-10-26</t>
        </is>
      </c>
      <c r="C72" s="15" t="inlineStr">
        <is>
          <t>Fitzgerald Delacroix</t>
        </is>
      </c>
      <c r="D72" s="15" t="inlineStr">
        <is>
          <t>RI</t>
        </is>
      </c>
      <c r="E72" s="16" t="n">
        <v>545000</v>
      </c>
      <c r="F72" s="16" t="n">
        <v>8874.08</v>
      </c>
      <c r="G72" s="16" t="n">
        <v>1109.26</v>
      </c>
      <c r="H72" s="16" t="n">
        <v>1109.26</v>
      </c>
      <c r="I72" s="16">
        <f>SUM(K72:T72)</f>
        <v/>
      </c>
      <c r="J72" s="16">
        <f>F72-(G72+H72+I72)</f>
        <v/>
      </c>
      <c r="K72" s="16" t="n">
        <v>665.5599999999999</v>
      </c>
      <c r="L72" s="16" t="n">
        <v>665.5599999999999</v>
      </c>
      <c r="M72" s="16" t="n">
        <v>665.5599999999999</v>
      </c>
      <c r="N72" s="16" t="n">
        <v>665.5599999999999</v>
      </c>
      <c r="O72" s="16" t="n">
        <v>665.5599999999999</v>
      </c>
      <c r="P72" s="16" t="n">
        <v>665.5599999999999</v>
      </c>
      <c r="Q72" s="16" t="n">
        <v>665.5599999999999</v>
      </c>
      <c r="R72" s="16" t="n">
        <v>665.5599999999999</v>
      </c>
      <c r="S72" s="16" t="n">
        <v>665.5599999999999</v>
      </c>
      <c r="T72" s="16" t="n">
        <v>665.5599999999999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CANON-202510-001182</t>
        </is>
      </c>
      <c r="B73" s="3" t="inlineStr">
        <is>
          <t>2025-10-17</t>
        </is>
      </c>
      <c r="C73" s="3" t="inlineStr">
        <is>
          <t>Fitzgerald Chattopadhyay</t>
        </is>
      </c>
      <c r="D73" s="3" t="inlineStr">
        <is>
          <t>KY</t>
        </is>
      </c>
      <c r="E73" s="14" t="n">
        <v>505000</v>
      </c>
      <c r="F73" s="14" t="n">
        <v>11754.73</v>
      </c>
      <c r="G73" s="14" t="n">
        <v>1469.34</v>
      </c>
      <c r="H73" s="14" t="n">
        <v>1469.34</v>
      </c>
      <c r="I73" s="14">
        <f>SUM(K73:T73)</f>
        <v/>
      </c>
      <c r="J73" s="14">
        <f>F73-(G73+H73+I73)</f>
        <v/>
      </c>
      <c r="K73" s="14" t="n">
        <v>881.6</v>
      </c>
      <c r="L73" s="14" t="n">
        <v>881.6</v>
      </c>
      <c r="M73" s="14" t="n">
        <v>881.6</v>
      </c>
      <c r="N73" s="14" t="n">
        <v>881.6</v>
      </c>
      <c r="O73" s="14" t="n">
        <v>881.6</v>
      </c>
      <c r="P73" s="14" t="n">
        <v>881.6</v>
      </c>
      <c r="Q73" s="14" t="n">
        <v>881.6</v>
      </c>
      <c r="R73" s="14" t="n">
        <v>881.6</v>
      </c>
      <c r="S73" s="14" t="n">
        <v>881.6</v>
      </c>
      <c r="T73" s="14" t="n">
        <v>881.6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CANON-202510-001183</t>
        </is>
      </c>
      <c r="B74" s="15" t="inlineStr">
        <is>
          <t>2025-10-23</t>
        </is>
      </c>
      <c r="C74" s="15" t="inlineStr">
        <is>
          <t>Anouk Fairweather</t>
        </is>
      </c>
      <c r="D74" s="15" t="inlineStr">
        <is>
          <t>SC</t>
        </is>
      </c>
      <c r="E74" s="16" t="n">
        <v>120000</v>
      </c>
      <c r="F74" s="16" t="n">
        <v>1360.39</v>
      </c>
      <c r="G74" s="16" t="n">
        <v>170.05</v>
      </c>
      <c r="H74" s="16" t="n">
        <v>170.05</v>
      </c>
      <c r="I74" s="16">
        <f>SUM(K74:T74)</f>
        <v/>
      </c>
      <c r="J74" s="16">
        <f>F74-(G74+H74+I74)</f>
        <v/>
      </c>
      <c r="K74" s="16" t="n">
        <v>102.03</v>
      </c>
      <c r="L74" s="16" t="n">
        <v>102.03</v>
      </c>
      <c r="M74" s="16" t="n">
        <v>102.03</v>
      </c>
      <c r="N74" s="16" t="n">
        <v>102.03</v>
      </c>
      <c r="O74" s="16" t="n">
        <v>102.03</v>
      </c>
      <c r="P74" s="16" t="n">
        <v>102.03</v>
      </c>
      <c r="Q74" s="16" t="n">
        <v>102.03</v>
      </c>
      <c r="R74" s="16" t="n">
        <v>102.03</v>
      </c>
      <c r="S74" s="16" t="n">
        <v>102.03</v>
      </c>
      <c r="T74" s="16" t="n">
        <v>102.03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CANON-202510-001184</t>
        </is>
      </c>
      <c r="B75" s="3" t="inlineStr">
        <is>
          <t>2025-10-03</t>
        </is>
      </c>
      <c r="C75" s="3" t="inlineStr">
        <is>
          <t>Ingrid Vandermeer</t>
        </is>
      </c>
      <c r="D75" s="3" t="inlineStr">
        <is>
          <t>TX</t>
        </is>
      </c>
      <c r="E75" s="14" t="n">
        <v>610000</v>
      </c>
      <c r="F75" s="14" t="n">
        <v>10004.95</v>
      </c>
      <c r="G75" s="14" t="n">
        <v>1250.62</v>
      </c>
      <c r="H75" s="14" t="n">
        <v>1250.62</v>
      </c>
      <c r="I75" s="14">
        <f>SUM(K75:T75)</f>
        <v/>
      </c>
      <c r="J75" s="14">
        <f>F75-(G75+H75+I75)</f>
        <v/>
      </c>
      <c r="K75" s="14" t="n">
        <v>750.37</v>
      </c>
      <c r="L75" s="14" t="n">
        <v>750.37</v>
      </c>
      <c r="M75" s="14" t="n">
        <v>750.37</v>
      </c>
      <c r="N75" s="14" t="n">
        <v>750.37</v>
      </c>
      <c r="O75" s="14" t="n">
        <v>750.37</v>
      </c>
      <c r="P75" s="14" t="n">
        <v>750.37</v>
      </c>
      <c r="Q75" s="14" t="n">
        <v>750.37</v>
      </c>
      <c r="R75" s="14" t="n">
        <v>750.37</v>
      </c>
      <c r="S75" s="14" t="n">
        <v>750.37</v>
      </c>
      <c r="T75" s="14" t="n">
        <v>750.37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CANON-202510-001185</t>
        </is>
      </c>
      <c r="B76" s="15" t="inlineStr">
        <is>
          <t>2025-10-16</t>
        </is>
      </c>
      <c r="C76" s="15" t="inlineStr">
        <is>
          <t>Aurelio Montoya</t>
        </is>
      </c>
      <c r="D76" s="15" t="inlineStr">
        <is>
          <t>NY</t>
        </is>
      </c>
      <c r="E76" s="16" t="n">
        <v>325000</v>
      </c>
      <c r="F76" s="16" t="n">
        <v>3651.13</v>
      </c>
      <c r="G76" s="16" t="n">
        <v>456.39</v>
      </c>
      <c r="H76" s="16" t="n">
        <v>456.39</v>
      </c>
      <c r="I76" s="16">
        <f>SUM(K76:T76)</f>
        <v/>
      </c>
      <c r="J76" s="16">
        <f>F76-(G76+H76+I76)</f>
        <v/>
      </c>
      <c r="K76" s="16" t="n">
        <v>273.83</v>
      </c>
      <c r="L76" s="16" t="n">
        <v>273.83</v>
      </c>
      <c r="M76" s="16" t="n">
        <v>273.83</v>
      </c>
      <c r="N76" s="16" t="n">
        <v>273.83</v>
      </c>
      <c r="O76" s="16" t="n">
        <v>273.83</v>
      </c>
      <c r="P76" s="16" t="n">
        <v>273.83</v>
      </c>
      <c r="Q76" s="16" t="n">
        <v>273.83</v>
      </c>
      <c r="R76" s="16" t="n">
        <v>273.83</v>
      </c>
      <c r="S76" s="16" t="n">
        <v>273.83</v>
      </c>
      <c r="T76" s="16" t="n">
        <v>273.83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CANON-202510-001186</t>
        </is>
      </c>
      <c r="B77" s="3" t="inlineStr">
        <is>
          <t>2025-10-10</t>
        </is>
      </c>
      <c r="C77" s="3" t="inlineStr">
        <is>
          <t>Ottilie Merriweather</t>
        </is>
      </c>
      <c r="D77" s="3" t="inlineStr">
        <is>
          <t>MD</t>
        </is>
      </c>
      <c r="E77" s="14" t="n">
        <v>520000</v>
      </c>
      <c r="F77" s="14" t="n">
        <v>5871.28</v>
      </c>
      <c r="G77" s="14" t="n">
        <v>733.91</v>
      </c>
      <c r="H77" s="14" t="n">
        <v>733.91</v>
      </c>
      <c r="I77" s="14">
        <f>SUM(K77:T77)</f>
        <v/>
      </c>
      <c r="J77" s="14">
        <f>F77-(G77+H77+I77)</f>
        <v/>
      </c>
      <c r="K77" s="14" t="n">
        <v>440.35</v>
      </c>
      <c r="L77" s="14" t="n">
        <v>440.35</v>
      </c>
      <c r="M77" s="14" t="n">
        <v>440.35</v>
      </c>
      <c r="N77" s="14" t="n">
        <v>440.35</v>
      </c>
      <c r="O77" s="14" t="n">
        <v>440.35</v>
      </c>
      <c r="P77" s="14" t="n">
        <v>440.35</v>
      </c>
      <c r="Q77" s="14" t="n">
        <v>440.35</v>
      </c>
      <c r="R77" s="14" t="n">
        <v>440.35</v>
      </c>
      <c r="S77" s="14" t="n">
        <v>440.35</v>
      </c>
      <c r="T77" s="14" t="n">
        <v>440.35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CANON-202510-001187</t>
        </is>
      </c>
      <c r="B78" s="15" t="inlineStr">
        <is>
          <t>2025-10-21</t>
        </is>
      </c>
      <c r="C78" s="15" t="inlineStr">
        <is>
          <t>Wilhelmina Kingsford</t>
        </is>
      </c>
      <c r="D78" s="15" t="inlineStr">
        <is>
          <t>NH</t>
        </is>
      </c>
      <c r="E78" s="16" t="n">
        <v>750000</v>
      </c>
      <c r="F78" s="16" t="n">
        <v>9270.450000000001</v>
      </c>
      <c r="G78" s="16" t="n">
        <v>1158.81</v>
      </c>
      <c r="H78" s="16" t="n">
        <v>1158.81</v>
      </c>
      <c r="I78" s="16">
        <f>SUM(K78:T78)</f>
        <v/>
      </c>
      <c r="J78" s="16">
        <f>F78-(G78+H78+I78)</f>
        <v/>
      </c>
      <c r="K78" s="16" t="n">
        <v>695.28</v>
      </c>
      <c r="L78" s="16" t="n">
        <v>695.28</v>
      </c>
      <c r="M78" s="16" t="n">
        <v>695.28</v>
      </c>
      <c r="N78" s="16" t="n">
        <v>695.28</v>
      </c>
      <c r="O78" s="16" t="n">
        <v>695.28</v>
      </c>
      <c r="P78" s="16" t="n">
        <v>695.28</v>
      </c>
      <c r="Q78" s="16" t="n">
        <v>695.28</v>
      </c>
      <c r="R78" s="16" t="n">
        <v>695.28</v>
      </c>
      <c r="S78" s="16" t="n">
        <v>695.28</v>
      </c>
      <c r="T78" s="16" t="n">
        <v>695.28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CANON-202510-001188</t>
        </is>
      </c>
      <c r="B79" s="3" t="inlineStr">
        <is>
          <t>2025-10-18</t>
        </is>
      </c>
      <c r="C79" s="3" t="inlineStr">
        <is>
          <t>Horace Castellanos</t>
        </is>
      </c>
      <c r="D79" s="3" t="inlineStr">
        <is>
          <t>TX</t>
        </is>
      </c>
      <c r="E79" s="14" t="n">
        <v>1070000</v>
      </c>
      <c r="F79" s="14" t="n">
        <v>12374.77</v>
      </c>
      <c r="G79" s="14" t="n">
        <v>1546.85</v>
      </c>
      <c r="H79" s="14" t="n">
        <v>1546.85</v>
      </c>
      <c r="I79" s="14">
        <f>SUM(K79:T79)</f>
        <v/>
      </c>
      <c r="J79" s="14">
        <f>F79-(G79+H79+I79)</f>
        <v/>
      </c>
      <c r="K79" s="14" t="n">
        <v>928.11</v>
      </c>
      <c r="L79" s="14" t="n">
        <v>928.11</v>
      </c>
      <c r="M79" s="14" t="n">
        <v>928.11</v>
      </c>
      <c r="N79" s="14" t="n">
        <v>928.11</v>
      </c>
      <c r="O79" s="14" t="n">
        <v>928.11</v>
      </c>
      <c r="P79" s="14" t="n">
        <v>928.11</v>
      </c>
      <c r="Q79" s="14" t="n">
        <v>928.11</v>
      </c>
      <c r="R79" s="14" t="n">
        <v>928.11</v>
      </c>
      <c r="S79" s="14" t="n">
        <v>928.11</v>
      </c>
      <c r="T79" s="14" t="n">
        <v>928.11</v>
      </c>
      <c r="U79" s="14" t="n">
        <v>350</v>
      </c>
      <c r="V79" s="14" t="n">
        <v>250</v>
      </c>
      <c r="W79" s="14">
        <f>U79+V79</f>
        <v/>
      </c>
    </row>
    <row r="80">
      <c r="A80" s="15" t="inlineStr">
        <is>
          <t>CANON-202510-001190</t>
        </is>
      </c>
      <c r="B80" s="15" t="inlineStr">
        <is>
          <t>2025-10-27</t>
        </is>
      </c>
      <c r="C80" s="15" t="inlineStr">
        <is>
          <t>Fitzgerald Merriweather</t>
        </is>
      </c>
      <c r="D80" s="15" t="inlineStr">
        <is>
          <t>MA</t>
        </is>
      </c>
      <c r="E80" s="16" t="n">
        <v>1320000</v>
      </c>
      <c r="F80" s="16" t="n">
        <v>16593.55</v>
      </c>
      <c r="G80" s="16" t="n">
        <v>2074.19</v>
      </c>
      <c r="H80" s="16" t="n">
        <v>2074.19</v>
      </c>
      <c r="I80" s="16">
        <f>SUM(K80:T80)</f>
        <v/>
      </c>
      <c r="J80" s="16">
        <f>F80-(G80+H80+I80)</f>
        <v/>
      </c>
      <c r="K80" s="16" t="n">
        <v>1244.52</v>
      </c>
      <c r="L80" s="16" t="n">
        <v>1244.52</v>
      </c>
      <c r="M80" s="16" t="n">
        <v>1244.52</v>
      </c>
      <c r="N80" s="16" t="n">
        <v>1244.52</v>
      </c>
      <c r="O80" s="16" t="n">
        <v>1244.52</v>
      </c>
      <c r="P80" s="16" t="n">
        <v>1244.52</v>
      </c>
      <c r="Q80" s="16" t="n">
        <v>1244.52</v>
      </c>
      <c r="R80" s="16" t="n">
        <v>1244.52</v>
      </c>
      <c r="S80" s="16" t="n">
        <v>1244.52</v>
      </c>
      <c r="T80" s="16" t="n">
        <v>1244.52</v>
      </c>
      <c r="U80" s="16" t="n">
        <v>350</v>
      </c>
      <c r="V80" s="16" t="n">
        <v>250</v>
      </c>
      <c r="W80" s="16">
        <f>U80+V80</f>
        <v/>
      </c>
    </row>
    <row r="81">
      <c r="A81" s="3" t="inlineStr">
        <is>
          <t>CANON-202510-001191</t>
        </is>
      </c>
      <c r="B81" s="3" t="inlineStr">
        <is>
          <t>2025-10-25</t>
        </is>
      </c>
      <c r="C81" s="3" t="inlineStr">
        <is>
          <t>Delphine Larsson</t>
        </is>
      </c>
      <c r="D81" s="3" t="inlineStr">
        <is>
          <t>CA</t>
        </is>
      </c>
      <c r="E81" s="14" t="n">
        <v>1275000</v>
      </c>
      <c r="F81" s="14" t="n">
        <v>17310.09</v>
      </c>
      <c r="G81" s="14" t="n">
        <v>2163.76</v>
      </c>
      <c r="H81" s="14" t="n">
        <v>2163.76</v>
      </c>
      <c r="I81" s="14">
        <f>SUM(K81:T81)</f>
        <v/>
      </c>
      <c r="J81" s="14">
        <f>F81-(G81+H81+I81)</f>
        <v/>
      </c>
      <c r="K81" s="14" t="n">
        <v>1298.26</v>
      </c>
      <c r="L81" s="14" t="n">
        <v>1298.26</v>
      </c>
      <c r="M81" s="14" t="n">
        <v>1298.26</v>
      </c>
      <c r="N81" s="14" t="n">
        <v>1298.26</v>
      </c>
      <c r="O81" s="14" t="n">
        <v>1298.26</v>
      </c>
      <c r="P81" s="14" t="n">
        <v>1298.26</v>
      </c>
      <c r="Q81" s="14" t="n">
        <v>1298.26</v>
      </c>
      <c r="R81" s="14" t="n">
        <v>1298.26</v>
      </c>
      <c r="S81" s="14" t="n">
        <v>1298.26</v>
      </c>
      <c r="T81" s="14" t="n">
        <v>1298.26</v>
      </c>
      <c r="U81" s="14" t="n">
        <v>350</v>
      </c>
      <c r="V81" s="14" t="n">
        <v>250</v>
      </c>
      <c r="W81" s="14">
        <f>U81+V81</f>
        <v/>
      </c>
    </row>
    <row r="82">
      <c r="A82" s="15" t="inlineStr">
        <is>
          <t>CANON-202510-001192</t>
        </is>
      </c>
      <c r="B82" s="15" t="inlineStr">
        <is>
          <t>2025-10-13</t>
        </is>
      </c>
      <c r="C82" s="15" t="inlineStr">
        <is>
          <t>Sunniva Larsson</t>
        </is>
      </c>
      <c r="D82" s="15" t="inlineStr">
        <is>
          <t>OH</t>
        </is>
      </c>
      <c r="E82" s="16" t="n">
        <v>905000</v>
      </c>
      <c r="F82" s="16" t="n">
        <v>14950.97</v>
      </c>
      <c r="G82" s="16" t="n">
        <v>1868.87</v>
      </c>
      <c r="H82" s="16" t="n">
        <v>1868.87</v>
      </c>
      <c r="I82" s="16">
        <f>SUM(K82:T82)</f>
        <v/>
      </c>
      <c r="J82" s="16">
        <f>F82-(G82+H82+I82)</f>
        <v/>
      </c>
      <c r="K82" s="16" t="n">
        <v>1121.32</v>
      </c>
      <c r="L82" s="16" t="n">
        <v>1121.32</v>
      </c>
      <c r="M82" s="16" t="n">
        <v>1121.32</v>
      </c>
      <c r="N82" s="16" t="n">
        <v>1121.32</v>
      </c>
      <c r="O82" s="16" t="n">
        <v>1121.32</v>
      </c>
      <c r="P82" s="16" t="n">
        <v>1121.32</v>
      </c>
      <c r="Q82" s="16" t="n">
        <v>1121.32</v>
      </c>
      <c r="R82" s="16" t="n">
        <v>1121.32</v>
      </c>
      <c r="S82" s="16" t="n">
        <v>1121.32</v>
      </c>
      <c r="T82" s="16" t="n">
        <v>1121.32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CANON-202510-001194</t>
        </is>
      </c>
      <c r="B83" s="3" t="inlineStr">
        <is>
          <t>2025-10-09</t>
        </is>
      </c>
      <c r="C83" s="3" t="inlineStr">
        <is>
          <t>Ramona Farkas</t>
        </is>
      </c>
      <c r="D83" s="3" t="inlineStr">
        <is>
          <t>HI</t>
        </is>
      </c>
      <c r="E83" s="14" t="n">
        <v>190000</v>
      </c>
      <c r="F83" s="14" t="n">
        <v>4155.06</v>
      </c>
      <c r="G83" s="14" t="n">
        <v>519.38</v>
      </c>
      <c r="H83" s="14" t="n">
        <v>519.38</v>
      </c>
      <c r="I83" s="14">
        <f>SUM(K83:T83)</f>
        <v/>
      </c>
      <c r="J83" s="14">
        <f>F83-(G83+H83+I83)</f>
        <v/>
      </c>
      <c r="K83" s="14" t="n">
        <v>311.63</v>
      </c>
      <c r="L83" s="14" t="n">
        <v>311.63</v>
      </c>
      <c r="M83" s="14" t="n">
        <v>311.63</v>
      </c>
      <c r="N83" s="14" t="n">
        <v>311.63</v>
      </c>
      <c r="O83" s="14" t="n">
        <v>311.63</v>
      </c>
      <c r="P83" s="14" t="n">
        <v>311.63</v>
      </c>
      <c r="Q83" s="14" t="n">
        <v>311.63</v>
      </c>
      <c r="R83" s="14" t="n">
        <v>311.63</v>
      </c>
      <c r="S83" s="14" t="n">
        <v>311.63</v>
      </c>
      <c r="T83" s="14" t="n">
        <v>311.63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CANON-202510-001195</t>
        </is>
      </c>
      <c r="B84" s="15" t="inlineStr">
        <is>
          <t>2025-10-22</t>
        </is>
      </c>
      <c r="C84" s="15" t="inlineStr">
        <is>
          <t>Marisol Pennington</t>
        </is>
      </c>
      <c r="D84" s="15" t="inlineStr">
        <is>
          <t>KS</t>
        </is>
      </c>
      <c r="E84" s="16" t="n">
        <v>760000</v>
      </c>
      <c r="F84" s="16" t="n">
        <v>8761.76</v>
      </c>
      <c r="G84" s="16" t="n">
        <v>1095.22</v>
      </c>
      <c r="H84" s="16" t="n">
        <v>1095.22</v>
      </c>
      <c r="I84" s="16">
        <f>SUM(K84:T84)</f>
        <v/>
      </c>
      <c r="J84" s="16">
        <f>F84-(G84+H84+I84)</f>
        <v/>
      </c>
      <c r="K84" s="16" t="n">
        <v>657.13</v>
      </c>
      <c r="L84" s="16" t="n">
        <v>657.13</v>
      </c>
      <c r="M84" s="16" t="n">
        <v>657.13</v>
      </c>
      <c r="N84" s="16" t="n">
        <v>657.13</v>
      </c>
      <c r="O84" s="16" t="n">
        <v>657.13</v>
      </c>
      <c r="P84" s="16" t="n">
        <v>657.13</v>
      </c>
      <c r="Q84" s="16" t="n">
        <v>657.13</v>
      </c>
      <c r="R84" s="16" t="n">
        <v>657.13</v>
      </c>
      <c r="S84" s="16" t="n">
        <v>657.13</v>
      </c>
      <c r="T84" s="16" t="n">
        <v>657.13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CANON-202510-001196</t>
        </is>
      </c>
      <c r="B85" s="3" t="inlineStr">
        <is>
          <t>2025-10-27</t>
        </is>
      </c>
      <c r="C85" s="3" t="inlineStr">
        <is>
          <t>Ramona Nakashima</t>
        </is>
      </c>
      <c r="D85" s="3" t="inlineStr">
        <is>
          <t>MI</t>
        </is>
      </c>
      <c r="E85" s="14" t="n">
        <v>595000</v>
      </c>
      <c r="F85" s="14" t="n">
        <v>16020.1</v>
      </c>
      <c r="G85" s="14" t="n">
        <v>2002.51</v>
      </c>
      <c r="H85" s="14" t="n">
        <v>2002.51</v>
      </c>
      <c r="I85" s="14">
        <f>SUM(K85:T85)</f>
        <v/>
      </c>
      <c r="J85" s="14">
        <f>F85-(G85+H85+I85)</f>
        <v/>
      </c>
      <c r="K85" s="14" t="n">
        <v>1201.51</v>
      </c>
      <c r="L85" s="14" t="n">
        <v>1201.51</v>
      </c>
      <c r="M85" s="14" t="n">
        <v>1201.51</v>
      </c>
      <c r="N85" s="14" t="n">
        <v>1201.51</v>
      </c>
      <c r="O85" s="14" t="n">
        <v>1201.51</v>
      </c>
      <c r="P85" s="14" t="n">
        <v>1201.51</v>
      </c>
      <c r="Q85" s="14" t="n">
        <v>1201.51</v>
      </c>
      <c r="R85" s="14" t="n">
        <v>1201.51</v>
      </c>
      <c r="S85" s="14" t="n">
        <v>1201.51</v>
      </c>
      <c r="T85" s="14" t="n">
        <v>1201.51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CANON-202510-001197</t>
        </is>
      </c>
      <c r="B86" s="15" t="inlineStr">
        <is>
          <t>2025-10-31</t>
        </is>
      </c>
      <c r="C86" s="15" t="inlineStr">
        <is>
          <t>Aurelio Bellandi</t>
        </is>
      </c>
      <c r="D86" s="15" t="inlineStr">
        <is>
          <t>RI</t>
        </is>
      </c>
      <c r="E86" s="16" t="n">
        <v>290000</v>
      </c>
      <c r="F86" s="16" t="n">
        <v>5448.44</v>
      </c>
      <c r="G86" s="16" t="n">
        <v>681.05</v>
      </c>
      <c r="H86" s="16" t="n">
        <v>681.05</v>
      </c>
      <c r="I86" s="16">
        <f>SUM(K86:T86)</f>
        <v/>
      </c>
      <c r="J86" s="16">
        <f>F86-(G86+H86+I86)</f>
        <v/>
      </c>
      <c r="K86" s="16" t="n">
        <v>408.63</v>
      </c>
      <c r="L86" s="16" t="n">
        <v>408.63</v>
      </c>
      <c r="M86" s="16" t="n">
        <v>408.63</v>
      </c>
      <c r="N86" s="16" t="n">
        <v>408.63</v>
      </c>
      <c r="O86" s="16" t="n">
        <v>408.63</v>
      </c>
      <c r="P86" s="16" t="n">
        <v>408.63</v>
      </c>
      <c r="Q86" s="16" t="n">
        <v>408.63</v>
      </c>
      <c r="R86" s="16" t="n">
        <v>408.63</v>
      </c>
      <c r="S86" s="16" t="n">
        <v>408.63</v>
      </c>
      <c r="T86" s="16" t="n">
        <v>408.63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CANON-202510-001200</t>
        </is>
      </c>
      <c r="B87" s="3" t="inlineStr">
        <is>
          <t>2025-10-30</t>
        </is>
      </c>
      <c r="C87" s="3" t="inlineStr">
        <is>
          <t>Leopold Bellandi</t>
        </is>
      </c>
      <c r="D87" s="3" t="inlineStr">
        <is>
          <t>CO</t>
        </is>
      </c>
      <c r="E87" s="14" t="n">
        <v>1685000</v>
      </c>
      <c r="F87" s="14" t="n">
        <v>18640.09</v>
      </c>
      <c r="G87" s="14" t="n">
        <v>2330.01</v>
      </c>
      <c r="H87" s="14" t="n">
        <v>2330.01</v>
      </c>
      <c r="I87" s="14">
        <f>SUM(K87:T87)</f>
        <v/>
      </c>
      <c r="J87" s="14">
        <f>F87-(G87+H87+I87)</f>
        <v/>
      </c>
      <c r="K87" s="14" t="n">
        <v>1398.01</v>
      </c>
      <c r="L87" s="14" t="n">
        <v>1398.01</v>
      </c>
      <c r="M87" s="14" t="n">
        <v>1398.01</v>
      </c>
      <c r="N87" s="14" t="n">
        <v>1398.01</v>
      </c>
      <c r="O87" s="14" t="n">
        <v>1398.01</v>
      </c>
      <c r="P87" s="14" t="n">
        <v>1398.01</v>
      </c>
      <c r="Q87" s="14" t="n">
        <v>1398.01</v>
      </c>
      <c r="R87" s="14" t="n">
        <v>1398.01</v>
      </c>
      <c r="S87" s="14" t="n">
        <v>1398.01</v>
      </c>
      <c r="T87" s="14" t="n">
        <v>1398.01</v>
      </c>
      <c r="U87" s="14" t="n">
        <v>350</v>
      </c>
      <c r="V87" s="14" t="n">
        <v>250</v>
      </c>
      <c r="W87" s="14">
        <f>U87+V87</f>
        <v/>
      </c>
    </row>
    <row r="88">
      <c r="A88" s="15" t="inlineStr">
        <is>
          <t>CANON-202510-001201</t>
        </is>
      </c>
      <c r="B88" s="15" t="inlineStr">
        <is>
          <t>2025-10-14</t>
        </is>
      </c>
      <c r="C88" s="15" t="inlineStr">
        <is>
          <t>Aurelio Harrington</t>
        </is>
      </c>
      <c r="D88" s="15" t="inlineStr">
        <is>
          <t>MI</t>
        </is>
      </c>
      <c r="E88" s="16" t="n">
        <v>1775000</v>
      </c>
      <c r="F88" s="16" t="n">
        <v>19116.41</v>
      </c>
      <c r="G88" s="16" t="n">
        <v>2389.55</v>
      </c>
      <c r="H88" s="16" t="n">
        <v>2389.55</v>
      </c>
      <c r="I88" s="16">
        <f>SUM(K88:T88)</f>
        <v/>
      </c>
      <c r="J88" s="16">
        <f>F88-(G88+H88+I88)</f>
        <v/>
      </c>
      <c r="K88" s="16" t="n">
        <v>1433.73</v>
      </c>
      <c r="L88" s="16" t="n">
        <v>1433.73</v>
      </c>
      <c r="M88" s="16" t="n">
        <v>1433.73</v>
      </c>
      <c r="N88" s="16" t="n">
        <v>1433.73</v>
      </c>
      <c r="O88" s="16" t="n">
        <v>1433.73</v>
      </c>
      <c r="P88" s="16" t="n">
        <v>1433.73</v>
      </c>
      <c r="Q88" s="16" t="n">
        <v>1433.73</v>
      </c>
      <c r="R88" s="16" t="n">
        <v>1433.73</v>
      </c>
      <c r="S88" s="16" t="n">
        <v>1433.73</v>
      </c>
      <c r="T88" s="16" t="n">
        <v>1433.73</v>
      </c>
      <c r="U88" s="16" t="n">
        <v>350</v>
      </c>
      <c r="V88" s="16" t="n">
        <v>250</v>
      </c>
      <c r="W88" s="16">
        <f>U88+V88</f>
        <v/>
      </c>
    </row>
    <row r="89">
      <c r="A89" s="3" t="inlineStr">
        <is>
          <t>CANON-202510-001202</t>
        </is>
      </c>
      <c r="B89" s="3" t="inlineStr">
        <is>
          <t>2025-10-20</t>
        </is>
      </c>
      <c r="C89" s="3" t="inlineStr">
        <is>
          <t>Ramona Merriweather</t>
        </is>
      </c>
      <c r="D89" s="3" t="inlineStr">
        <is>
          <t>WA</t>
        </is>
      </c>
      <c r="E89" s="14" t="n">
        <v>365000</v>
      </c>
      <c r="F89" s="14" t="n">
        <v>4805.27</v>
      </c>
      <c r="G89" s="14" t="n">
        <v>600.66</v>
      </c>
      <c r="H89" s="14" t="n">
        <v>600.66</v>
      </c>
      <c r="I89" s="14">
        <f>SUM(K89:T89)</f>
        <v/>
      </c>
      <c r="J89" s="14">
        <f>F89-(G89+H89+I89)</f>
        <v/>
      </c>
      <c r="K89" s="14" t="n">
        <v>360.4</v>
      </c>
      <c r="L89" s="14" t="n">
        <v>360.4</v>
      </c>
      <c r="M89" s="14" t="n">
        <v>360.4</v>
      </c>
      <c r="N89" s="14" t="n">
        <v>360.4</v>
      </c>
      <c r="O89" s="14" t="n">
        <v>360.4</v>
      </c>
      <c r="P89" s="14" t="n">
        <v>360.4</v>
      </c>
      <c r="Q89" s="14" t="n">
        <v>360.4</v>
      </c>
      <c r="R89" s="14" t="n">
        <v>360.4</v>
      </c>
      <c r="S89" s="14" t="n">
        <v>360.4</v>
      </c>
      <c r="T89" s="14" t="n">
        <v>360.4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CANON-202510-001203</t>
        </is>
      </c>
      <c r="B90" s="15" t="inlineStr">
        <is>
          <t>2025-10-31</t>
        </is>
      </c>
      <c r="C90" s="15" t="inlineStr">
        <is>
          <t>Beatrix Delacroix</t>
        </is>
      </c>
      <c r="D90" s="15" t="inlineStr">
        <is>
          <t>MI</t>
        </is>
      </c>
      <c r="E90" s="16" t="n">
        <v>905000</v>
      </c>
      <c r="F90" s="16" t="n">
        <v>24366.69</v>
      </c>
      <c r="G90" s="16" t="n">
        <v>3045.84</v>
      </c>
      <c r="H90" s="16" t="n">
        <v>3045.84</v>
      </c>
      <c r="I90" s="16">
        <f>SUM(K90:T90)</f>
        <v/>
      </c>
      <c r="J90" s="16">
        <f>F90-(G90+H90+I90)</f>
        <v/>
      </c>
      <c r="K90" s="16" t="n">
        <v>1827.5</v>
      </c>
      <c r="L90" s="16" t="n">
        <v>1827.5</v>
      </c>
      <c r="M90" s="16" t="n">
        <v>1827.5</v>
      </c>
      <c r="N90" s="16" t="n">
        <v>1827.5</v>
      </c>
      <c r="O90" s="16" t="n">
        <v>1827.5</v>
      </c>
      <c r="P90" s="16" t="n">
        <v>1827.5</v>
      </c>
      <c r="Q90" s="16" t="n">
        <v>1827.5</v>
      </c>
      <c r="R90" s="16" t="n">
        <v>1827.5</v>
      </c>
      <c r="S90" s="16" t="n">
        <v>1827.5</v>
      </c>
      <c r="T90" s="16" t="n">
        <v>1827.5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CANON-202510-001204</t>
        </is>
      </c>
      <c r="B91" s="3" t="inlineStr">
        <is>
          <t>2025-10-11</t>
        </is>
      </c>
      <c r="C91" s="3" t="inlineStr">
        <is>
          <t>Fenwick Whitlock</t>
        </is>
      </c>
      <c r="D91" s="3" t="inlineStr">
        <is>
          <t>WA</t>
        </is>
      </c>
      <c r="E91" s="14" t="n">
        <v>370000</v>
      </c>
      <c r="F91" s="14" t="n">
        <v>4871.1</v>
      </c>
      <c r="G91" s="14" t="n">
        <v>608.89</v>
      </c>
      <c r="H91" s="14" t="n">
        <v>608.89</v>
      </c>
      <c r="I91" s="14">
        <f>SUM(K91:T91)</f>
        <v/>
      </c>
      <c r="J91" s="14">
        <f>F91-(G91+H91+I91)</f>
        <v/>
      </c>
      <c r="K91" s="14" t="n">
        <v>365.33</v>
      </c>
      <c r="L91" s="14" t="n">
        <v>365.33</v>
      </c>
      <c r="M91" s="14" t="n">
        <v>365.33</v>
      </c>
      <c r="N91" s="14" t="n">
        <v>365.33</v>
      </c>
      <c r="O91" s="14" t="n">
        <v>365.33</v>
      </c>
      <c r="P91" s="14" t="n">
        <v>365.33</v>
      </c>
      <c r="Q91" s="14" t="n">
        <v>365.33</v>
      </c>
      <c r="R91" s="14" t="n">
        <v>365.33</v>
      </c>
      <c r="S91" s="14" t="n">
        <v>365.33</v>
      </c>
      <c r="T91" s="14" t="n">
        <v>365.33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CANON-202510-001209</t>
        </is>
      </c>
      <c r="B92" s="15" t="inlineStr">
        <is>
          <t>2025-10-30</t>
        </is>
      </c>
      <c r="C92" s="15" t="inlineStr">
        <is>
          <t>Saoirse Blackwood</t>
        </is>
      </c>
      <c r="D92" s="15" t="inlineStr">
        <is>
          <t>WV</t>
        </is>
      </c>
      <c r="E92" s="16" t="n">
        <v>705000</v>
      </c>
      <c r="F92" s="16" t="n">
        <v>11144.15</v>
      </c>
      <c r="G92" s="16" t="n">
        <v>1393.02</v>
      </c>
      <c r="H92" s="16" t="n">
        <v>1393.02</v>
      </c>
      <c r="I92" s="16">
        <f>SUM(K92:T92)</f>
        <v/>
      </c>
      <c r="J92" s="16">
        <f>F92-(G92+H92+I92)</f>
        <v/>
      </c>
      <c r="K92" s="16" t="n">
        <v>835.8099999999999</v>
      </c>
      <c r="L92" s="16" t="n">
        <v>835.8099999999999</v>
      </c>
      <c r="M92" s="16" t="n">
        <v>835.8099999999999</v>
      </c>
      <c r="N92" s="16" t="n">
        <v>835.8099999999999</v>
      </c>
      <c r="O92" s="16" t="n">
        <v>835.8099999999999</v>
      </c>
      <c r="P92" s="16" t="n">
        <v>835.8099999999999</v>
      </c>
      <c r="Q92" s="16" t="n">
        <v>835.8099999999999</v>
      </c>
      <c r="R92" s="16" t="n">
        <v>835.8099999999999</v>
      </c>
      <c r="S92" s="16" t="n">
        <v>835.8099999999999</v>
      </c>
      <c r="T92" s="16" t="n">
        <v>835.8099999999999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CANON-202510-001210</t>
        </is>
      </c>
      <c r="B93" s="3" t="inlineStr">
        <is>
          <t>2025-10-19</t>
        </is>
      </c>
      <c r="C93" s="3" t="inlineStr">
        <is>
          <t>Sunniva Whitlock</t>
        </is>
      </c>
      <c r="D93" s="3" t="inlineStr">
        <is>
          <t>NE</t>
        </is>
      </c>
      <c r="E93" s="14" t="n">
        <v>1330000</v>
      </c>
      <c r="F93" s="14" t="n">
        <v>25291.68</v>
      </c>
      <c r="G93" s="14" t="n">
        <v>3161.46</v>
      </c>
      <c r="H93" s="14" t="n">
        <v>3161.46</v>
      </c>
      <c r="I93" s="14">
        <f>SUM(K93:T93)</f>
        <v/>
      </c>
      <c r="J93" s="14">
        <f>F93-(G93+H93+I93)</f>
        <v/>
      </c>
      <c r="K93" s="14" t="n">
        <v>1896.88</v>
      </c>
      <c r="L93" s="14" t="n">
        <v>1896.88</v>
      </c>
      <c r="M93" s="14" t="n">
        <v>1896.88</v>
      </c>
      <c r="N93" s="14" t="n">
        <v>1896.88</v>
      </c>
      <c r="O93" s="14" t="n">
        <v>1896.88</v>
      </c>
      <c r="P93" s="14" t="n">
        <v>1896.88</v>
      </c>
      <c r="Q93" s="14" t="n">
        <v>1896.88</v>
      </c>
      <c r="R93" s="14" t="n">
        <v>1896.88</v>
      </c>
      <c r="S93" s="14" t="n">
        <v>1896.88</v>
      </c>
      <c r="T93" s="14" t="n">
        <v>1896.88</v>
      </c>
      <c r="U93" s="14" t="n">
        <v>350</v>
      </c>
      <c r="V93" s="14" t="n">
        <v>250</v>
      </c>
      <c r="W93" s="14">
        <f>U93+V93</f>
        <v/>
      </c>
    </row>
    <row r="94">
      <c r="A94" s="15" t="inlineStr">
        <is>
          <t>CANON-202510-001211</t>
        </is>
      </c>
      <c r="B94" s="15" t="inlineStr">
        <is>
          <t>2025-10-08</t>
        </is>
      </c>
      <c r="C94" s="15" t="inlineStr">
        <is>
          <t>Fitzgerald Bellandi</t>
        </is>
      </c>
      <c r="D94" s="15" t="inlineStr">
        <is>
          <t>NY</t>
        </is>
      </c>
      <c r="E94" s="16" t="n">
        <v>1145000</v>
      </c>
      <c r="F94" s="16" t="n">
        <v>18222.88</v>
      </c>
      <c r="G94" s="16" t="n">
        <v>2277.86</v>
      </c>
      <c r="H94" s="16" t="n">
        <v>2277.86</v>
      </c>
      <c r="I94" s="16">
        <f>SUM(K94:T94)</f>
        <v/>
      </c>
      <c r="J94" s="16">
        <f>F94-(G94+H94+I94)</f>
        <v/>
      </c>
      <c r="K94" s="16" t="n">
        <v>1366.72</v>
      </c>
      <c r="L94" s="16" t="n">
        <v>1366.72</v>
      </c>
      <c r="M94" s="16" t="n">
        <v>1366.72</v>
      </c>
      <c r="N94" s="16" t="n">
        <v>1366.72</v>
      </c>
      <c r="O94" s="16" t="n">
        <v>1366.72</v>
      </c>
      <c r="P94" s="16" t="n">
        <v>1366.72</v>
      </c>
      <c r="Q94" s="16" t="n">
        <v>1366.72</v>
      </c>
      <c r="R94" s="16" t="n">
        <v>1366.72</v>
      </c>
      <c r="S94" s="16" t="n">
        <v>1366.72</v>
      </c>
      <c r="T94" s="16" t="n">
        <v>1366.72</v>
      </c>
      <c r="U94" s="16" t="n">
        <v>350</v>
      </c>
      <c r="V94" s="16" t="n">
        <v>250</v>
      </c>
      <c r="W94" s="16">
        <f>U94+V94</f>
        <v/>
      </c>
    </row>
    <row r="95">
      <c r="A95" s="3" t="inlineStr">
        <is>
          <t>CANON-202510-001212</t>
        </is>
      </c>
      <c r="B95" s="3" t="inlineStr">
        <is>
          <t>2025-10-08</t>
        </is>
      </c>
      <c r="C95" s="3" t="inlineStr">
        <is>
          <t>Mireille Vandermeer</t>
        </is>
      </c>
      <c r="D95" s="3" t="inlineStr">
        <is>
          <t>ND</t>
        </is>
      </c>
      <c r="E95" s="14" t="n">
        <v>355000</v>
      </c>
      <c r="F95" s="14" t="n">
        <v>4965.73</v>
      </c>
      <c r="G95" s="14" t="n">
        <v>620.72</v>
      </c>
      <c r="H95" s="14" t="n">
        <v>620.72</v>
      </c>
      <c r="I95" s="14">
        <f>SUM(K95:T95)</f>
        <v/>
      </c>
      <c r="J95" s="14">
        <f>F95-(G95+H95+I95)</f>
        <v/>
      </c>
      <c r="K95" s="14" t="n">
        <v>372.43</v>
      </c>
      <c r="L95" s="14" t="n">
        <v>372.43</v>
      </c>
      <c r="M95" s="14" t="n">
        <v>372.43</v>
      </c>
      <c r="N95" s="14" t="n">
        <v>372.43</v>
      </c>
      <c r="O95" s="14" t="n">
        <v>372.43</v>
      </c>
      <c r="P95" s="14" t="n">
        <v>372.43</v>
      </c>
      <c r="Q95" s="14" t="n">
        <v>372.43</v>
      </c>
      <c r="R95" s="14" t="n">
        <v>372.43</v>
      </c>
      <c r="S95" s="14" t="n">
        <v>372.43</v>
      </c>
      <c r="T95" s="14" t="n">
        <v>372.43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CANON-202510-001214</t>
        </is>
      </c>
      <c r="B96" s="15" t="inlineStr">
        <is>
          <t>2025-10-12</t>
        </is>
      </c>
      <c r="C96" s="15" t="inlineStr">
        <is>
          <t>Sunniva Chattopadhyay</t>
        </is>
      </c>
      <c r="D96" s="15" t="inlineStr">
        <is>
          <t>NC</t>
        </is>
      </c>
      <c r="E96" s="16" t="n">
        <v>555000</v>
      </c>
      <c r="F96" s="16" t="n">
        <v>7585.72</v>
      </c>
      <c r="G96" s="16" t="n">
        <v>948.22</v>
      </c>
      <c r="H96" s="16" t="n">
        <v>948.22</v>
      </c>
      <c r="I96" s="16">
        <f>SUM(K96:T96)</f>
        <v/>
      </c>
      <c r="J96" s="16">
        <f>F96-(G96+H96+I96)</f>
        <v/>
      </c>
      <c r="K96" s="16" t="n">
        <v>568.9299999999999</v>
      </c>
      <c r="L96" s="16" t="n">
        <v>568.9299999999999</v>
      </c>
      <c r="M96" s="16" t="n">
        <v>568.9299999999999</v>
      </c>
      <c r="N96" s="16" t="n">
        <v>568.9299999999999</v>
      </c>
      <c r="O96" s="16" t="n">
        <v>568.9299999999999</v>
      </c>
      <c r="P96" s="16" t="n">
        <v>568.9299999999999</v>
      </c>
      <c r="Q96" s="16" t="n">
        <v>568.9299999999999</v>
      </c>
      <c r="R96" s="16" t="n">
        <v>568.9299999999999</v>
      </c>
      <c r="S96" s="16" t="n">
        <v>568.9299999999999</v>
      </c>
      <c r="T96" s="16" t="n">
        <v>568.9299999999999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CANON-202510-001215</t>
        </is>
      </c>
      <c r="B97" s="3" t="inlineStr">
        <is>
          <t>2025-10-22</t>
        </is>
      </c>
      <c r="C97" s="3" t="inlineStr">
        <is>
          <t>Emiliano Okonkwo</t>
        </is>
      </c>
      <c r="D97" s="3" t="inlineStr">
        <is>
          <t>IA</t>
        </is>
      </c>
      <c r="E97" s="14" t="n">
        <v>1425000</v>
      </c>
      <c r="F97" s="14" t="n">
        <v>10891.4</v>
      </c>
      <c r="G97" s="14" t="n">
        <v>1361.42</v>
      </c>
      <c r="H97" s="14" t="n">
        <v>1361.42</v>
      </c>
      <c r="I97" s="14">
        <f>SUM(K97:T97)</f>
        <v/>
      </c>
      <c r="J97" s="14">
        <f>F97-(G97+H97+I97)</f>
        <v/>
      </c>
      <c r="K97" s="14" t="n">
        <v>816.85</v>
      </c>
      <c r="L97" s="14" t="n">
        <v>816.85</v>
      </c>
      <c r="M97" s="14" t="n">
        <v>816.85</v>
      </c>
      <c r="N97" s="14" t="n">
        <v>816.85</v>
      </c>
      <c r="O97" s="14" t="n">
        <v>816.85</v>
      </c>
      <c r="P97" s="14" t="n">
        <v>816.85</v>
      </c>
      <c r="Q97" s="14" t="n">
        <v>816.85</v>
      </c>
      <c r="R97" s="14" t="n">
        <v>816.85</v>
      </c>
      <c r="S97" s="14" t="n">
        <v>816.85</v>
      </c>
      <c r="T97" s="14" t="n">
        <v>816.85</v>
      </c>
      <c r="U97" s="14" t="n">
        <v>350</v>
      </c>
      <c r="V97" s="14" t="n">
        <v>250</v>
      </c>
      <c r="W97" s="14">
        <f>U97+V97</f>
        <v/>
      </c>
    </row>
    <row r="98">
      <c r="A98" s="15" t="inlineStr">
        <is>
          <t>CANON-202510-001216</t>
        </is>
      </c>
      <c r="B98" s="15" t="inlineStr">
        <is>
          <t>2025-10-12</t>
        </is>
      </c>
      <c r="C98" s="15" t="inlineStr">
        <is>
          <t>Ramona Vasquez</t>
        </is>
      </c>
      <c r="D98" s="15" t="inlineStr">
        <is>
          <t>GA</t>
        </is>
      </c>
      <c r="E98" s="16" t="n">
        <v>720000</v>
      </c>
      <c r="F98" s="16" t="n">
        <v>5603.08</v>
      </c>
      <c r="G98" s="16" t="n">
        <v>700.38</v>
      </c>
      <c r="H98" s="16" t="n">
        <v>700.38</v>
      </c>
      <c r="I98" s="16">
        <f>SUM(K98:T98)</f>
        <v/>
      </c>
      <c r="J98" s="16">
        <f>F98-(G98+H98+I98)</f>
        <v/>
      </c>
      <c r="K98" s="16" t="n">
        <v>420.23</v>
      </c>
      <c r="L98" s="16" t="n">
        <v>420.23</v>
      </c>
      <c r="M98" s="16" t="n">
        <v>420.23</v>
      </c>
      <c r="N98" s="16" t="n">
        <v>420.23</v>
      </c>
      <c r="O98" s="16" t="n">
        <v>420.23</v>
      </c>
      <c r="P98" s="16" t="n">
        <v>420.23</v>
      </c>
      <c r="Q98" s="16" t="n">
        <v>420.23</v>
      </c>
      <c r="R98" s="16" t="n">
        <v>420.23</v>
      </c>
      <c r="S98" s="16" t="n">
        <v>420.23</v>
      </c>
      <c r="T98" s="16" t="n">
        <v>420.23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CANON-202510-001217</t>
        </is>
      </c>
      <c r="B99" s="3" t="inlineStr">
        <is>
          <t>2025-10-16</t>
        </is>
      </c>
      <c r="C99" s="3" t="inlineStr">
        <is>
          <t>Cassius Ashcombe</t>
        </is>
      </c>
      <c r="D99" s="3" t="inlineStr">
        <is>
          <t>OR</t>
        </is>
      </c>
      <c r="E99" s="14" t="n">
        <v>370000</v>
      </c>
      <c r="F99" s="14" t="n">
        <v>5733.69</v>
      </c>
      <c r="G99" s="14" t="n">
        <v>716.71</v>
      </c>
      <c r="H99" s="14" t="n">
        <v>716.71</v>
      </c>
      <c r="I99" s="14">
        <f>SUM(K99:T99)</f>
        <v/>
      </c>
      <c r="J99" s="14">
        <f>F99-(G99+H99+I99)</f>
        <v/>
      </c>
      <c r="K99" s="14" t="n">
        <v>430.03</v>
      </c>
      <c r="L99" s="14" t="n">
        <v>430.03</v>
      </c>
      <c r="M99" s="14" t="n">
        <v>430.03</v>
      </c>
      <c r="N99" s="14" t="n">
        <v>430.03</v>
      </c>
      <c r="O99" s="14" t="n">
        <v>430.03</v>
      </c>
      <c r="P99" s="14" t="n">
        <v>430.03</v>
      </c>
      <c r="Q99" s="14" t="n">
        <v>430.03</v>
      </c>
      <c r="R99" s="14" t="n">
        <v>430.03</v>
      </c>
      <c r="S99" s="14" t="n">
        <v>430.03</v>
      </c>
      <c r="T99" s="14" t="n">
        <v>430.03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CANON-202510-001218</t>
        </is>
      </c>
      <c r="B100" s="15" t="inlineStr">
        <is>
          <t>2025-10-30</t>
        </is>
      </c>
      <c r="C100" s="15" t="inlineStr">
        <is>
          <t>Wilhelmina Vasquez</t>
        </is>
      </c>
      <c r="D100" s="15" t="inlineStr">
        <is>
          <t>CO</t>
        </is>
      </c>
      <c r="E100" s="16" t="n">
        <v>205000</v>
      </c>
      <c r="F100" s="16" t="n">
        <v>3793.39</v>
      </c>
      <c r="G100" s="16" t="n">
        <v>474.17</v>
      </c>
      <c r="H100" s="16" t="n">
        <v>474.17</v>
      </c>
      <c r="I100" s="16">
        <f>SUM(K100:T100)</f>
        <v/>
      </c>
      <c r="J100" s="16">
        <f>F100-(G100+H100+I100)</f>
        <v/>
      </c>
      <c r="K100" s="16" t="n">
        <v>284.5</v>
      </c>
      <c r="L100" s="16" t="n">
        <v>284.5</v>
      </c>
      <c r="M100" s="16" t="n">
        <v>284.5</v>
      </c>
      <c r="N100" s="16" t="n">
        <v>284.5</v>
      </c>
      <c r="O100" s="16" t="n">
        <v>284.5</v>
      </c>
      <c r="P100" s="16" t="n">
        <v>284.5</v>
      </c>
      <c r="Q100" s="16" t="n">
        <v>284.5</v>
      </c>
      <c r="R100" s="16" t="n">
        <v>284.5</v>
      </c>
      <c r="S100" s="16" t="n">
        <v>284.5</v>
      </c>
      <c r="T100" s="16" t="n">
        <v>284.5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CANON-202510-001219</t>
        </is>
      </c>
      <c r="B101" s="3" t="inlineStr">
        <is>
          <t>2025-10-13</t>
        </is>
      </c>
      <c r="C101" s="3" t="inlineStr">
        <is>
          <t>Emiliano Bellandi</t>
        </is>
      </c>
      <c r="D101" s="3" t="inlineStr">
        <is>
          <t>NY</t>
        </is>
      </c>
      <c r="E101" s="14" t="n">
        <v>490000</v>
      </c>
      <c r="F101" s="14" t="n">
        <v>13188.54</v>
      </c>
      <c r="G101" s="14" t="n">
        <v>1648.57</v>
      </c>
      <c r="H101" s="14" t="n">
        <v>1648.57</v>
      </c>
      <c r="I101" s="14">
        <f>SUM(K101:T101)</f>
        <v/>
      </c>
      <c r="J101" s="14">
        <f>F101-(G101+H101+I101)</f>
        <v/>
      </c>
      <c r="K101" s="14" t="n">
        <v>989.14</v>
      </c>
      <c r="L101" s="14" t="n">
        <v>989.14</v>
      </c>
      <c r="M101" s="14" t="n">
        <v>989.14</v>
      </c>
      <c r="N101" s="14" t="n">
        <v>989.14</v>
      </c>
      <c r="O101" s="14" t="n">
        <v>989.14</v>
      </c>
      <c r="P101" s="14" t="n">
        <v>989.14</v>
      </c>
      <c r="Q101" s="14" t="n">
        <v>989.14</v>
      </c>
      <c r="R101" s="14" t="n">
        <v>989.14</v>
      </c>
      <c r="S101" s="14" t="n">
        <v>989.14</v>
      </c>
      <c r="T101" s="14" t="n">
        <v>989.14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CANON-202510-001220</t>
        </is>
      </c>
      <c r="B102" s="15" t="inlineStr">
        <is>
          <t>2025-10-22</t>
        </is>
      </c>
      <c r="C102" s="15" t="inlineStr">
        <is>
          <t>Callum Blackwood</t>
        </is>
      </c>
      <c r="D102" s="15" t="inlineStr">
        <is>
          <t>TX</t>
        </is>
      </c>
      <c r="E102" s="16" t="n">
        <v>835000</v>
      </c>
      <c r="F102" s="16" t="n">
        <v>7549.98</v>
      </c>
      <c r="G102" s="16" t="n">
        <v>943.75</v>
      </c>
      <c r="H102" s="16" t="n">
        <v>943.75</v>
      </c>
      <c r="I102" s="16">
        <f>SUM(K102:T102)</f>
        <v/>
      </c>
      <c r="J102" s="16">
        <f>F102-(G102+H102+I102)</f>
        <v/>
      </c>
      <c r="K102" s="16" t="n">
        <v>566.25</v>
      </c>
      <c r="L102" s="16" t="n">
        <v>566.25</v>
      </c>
      <c r="M102" s="16" t="n">
        <v>566.25</v>
      </c>
      <c r="N102" s="16" t="n">
        <v>566.25</v>
      </c>
      <c r="O102" s="16" t="n">
        <v>566.25</v>
      </c>
      <c r="P102" s="16" t="n">
        <v>566.25</v>
      </c>
      <c r="Q102" s="16" t="n">
        <v>566.25</v>
      </c>
      <c r="R102" s="16" t="n">
        <v>566.25</v>
      </c>
      <c r="S102" s="16" t="n">
        <v>566.25</v>
      </c>
      <c r="T102" s="16" t="n">
        <v>566.25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CANON-202510-001221</t>
        </is>
      </c>
      <c r="B103" s="3" t="inlineStr">
        <is>
          <t>2025-10-02</t>
        </is>
      </c>
      <c r="C103" s="3" t="inlineStr">
        <is>
          <t>Callum Vasquez</t>
        </is>
      </c>
      <c r="D103" s="3" t="inlineStr">
        <is>
          <t>ME</t>
        </is>
      </c>
      <c r="E103" s="14" t="n">
        <v>1170000</v>
      </c>
      <c r="F103" s="14" t="n">
        <v>12707.64</v>
      </c>
      <c r="G103" s="14" t="n">
        <v>1588.45</v>
      </c>
      <c r="H103" s="14" t="n">
        <v>1588.45</v>
      </c>
      <c r="I103" s="14">
        <f>SUM(K103:T103)</f>
        <v/>
      </c>
      <c r="J103" s="14">
        <f>F103-(G103+H103+I103)</f>
        <v/>
      </c>
      <c r="K103" s="14" t="n">
        <v>953.0700000000001</v>
      </c>
      <c r="L103" s="14" t="n">
        <v>953.0700000000001</v>
      </c>
      <c r="M103" s="14" t="n">
        <v>953.0700000000001</v>
      </c>
      <c r="N103" s="14" t="n">
        <v>953.0700000000001</v>
      </c>
      <c r="O103" s="14" t="n">
        <v>953.0700000000001</v>
      </c>
      <c r="P103" s="14" t="n">
        <v>953.0700000000001</v>
      </c>
      <c r="Q103" s="14" t="n">
        <v>953.0700000000001</v>
      </c>
      <c r="R103" s="14" t="n">
        <v>953.0700000000001</v>
      </c>
      <c r="S103" s="14" t="n">
        <v>953.0700000000001</v>
      </c>
      <c r="T103" s="14" t="n">
        <v>953.0700000000001</v>
      </c>
      <c r="U103" s="14" t="n">
        <v>350</v>
      </c>
      <c r="V103" s="14" t="n">
        <v>250</v>
      </c>
      <c r="W103" s="14">
        <f>U103+V103</f>
        <v/>
      </c>
    </row>
    <row r="104">
      <c r="A104" s="15" t="inlineStr">
        <is>
          <t>CANON-202510-001223</t>
        </is>
      </c>
      <c r="B104" s="15" t="inlineStr">
        <is>
          <t>2025-10-01</t>
        </is>
      </c>
      <c r="C104" s="15" t="inlineStr">
        <is>
          <t>Marisol Rourke</t>
        </is>
      </c>
      <c r="D104" s="15" t="inlineStr">
        <is>
          <t>WA</t>
        </is>
      </c>
      <c r="E104" s="16" t="n">
        <v>1225000</v>
      </c>
      <c r="F104" s="16" t="n">
        <v>17202.44</v>
      </c>
      <c r="G104" s="16" t="n">
        <v>2150.3</v>
      </c>
      <c r="H104" s="16" t="n">
        <v>2150.3</v>
      </c>
      <c r="I104" s="16">
        <f>SUM(K104:T104)</f>
        <v/>
      </c>
      <c r="J104" s="16">
        <f>F104-(G104+H104+I104)</f>
        <v/>
      </c>
      <c r="K104" s="16" t="n">
        <v>1290.18</v>
      </c>
      <c r="L104" s="16" t="n">
        <v>1290.18</v>
      </c>
      <c r="M104" s="16" t="n">
        <v>1290.18</v>
      </c>
      <c r="N104" s="16" t="n">
        <v>1290.18</v>
      </c>
      <c r="O104" s="16" t="n">
        <v>1290.18</v>
      </c>
      <c r="P104" s="16" t="n">
        <v>1290.18</v>
      </c>
      <c r="Q104" s="16" t="n">
        <v>1290.18</v>
      </c>
      <c r="R104" s="16" t="n">
        <v>1290.18</v>
      </c>
      <c r="S104" s="16" t="n">
        <v>1290.18</v>
      </c>
      <c r="T104" s="16" t="n">
        <v>1290.18</v>
      </c>
      <c r="U104" s="16" t="n">
        <v>350</v>
      </c>
      <c r="V104" s="16" t="n">
        <v>250</v>
      </c>
      <c r="W104" s="16">
        <f>U104+V104</f>
        <v/>
      </c>
    </row>
    <row r="105">
      <c r="A105" s="3" t="inlineStr">
        <is>
          <t>CANON-202510-001228</t>
        </is>
      </c>
      <c r="B105" s="3" t="inlineStr">
        <is>
          <t>2025-10-21</t>
        </is>
      </c>
      <c r="C105" s="3" t="inlineStr">
        <is>
          <t>Leopold Kingsford</t>
        </is>
      </c>
      <c r="D105" s="3" t="inlineStr">
        <is>
          <t>ME</t>
        </is>
      </c>
      <c r="E105" s="14" t="n">
        <v>235000</v>
      </c>
      <c r="F105" s="14" t="n">
        <v>4269.45</v>
      </c>
      <c r="G105" s="14" t="n">
        <v>533.6799999999999</v>
      </c>
      <c r="H105" s="14" t="n">
        <v>533.6799999999999</v>
      </c>
      <c r="I105" s="14">
        <f>SUM(K105:T105)</f>
        <v/>
      </c>
      <c r="J105" s="14">
        <f>F105-(G105+H105+I105)</f>
        <v/>
      </c>
      <c r="K105" s="14" t="n">
        <v>320.21</v>
      </c>
      <c r="L105" s="14" t="n">
        <v>320.21</v>
      </c>
      <c r="M105" s="14" t="n">
        <v>320.21</v>
      </c>
      <c r="N105" s="14" t="n">
        <v>320.21</v>
      </c>
      <c r="O105" s="14" t="n">
        <v>320.21</v>
      </c>
      <c r="P105" s="14" t="n">
        <v>320.21</v>
      </c>
      <c r="Q105" s="14" t="n">
        <v>320.21</v>
      </c>
      <c r="R105" s="14" t="n">
        <v>320.21</v>
      </c>
      <c r="S105" s="14" t="n">
        <v>320.21</v>
      </c>
      <c r="T105" s="14" t="n">
        <v>320.21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CANON-202510-001230</t>
        </is>
      </c>
      <c r="B106" s="15" t="inlineStr">
        <is>
          <t>2025-10-31</t>
        </is>
      </c>
      <c r="C106" s="15" t="inlineStr">
        <is>
          <t>Emiliano Merriweather</t>
        </is>
      </c>
      <c r="D106" s="15" t="inlineStr">
        <is>
          <t>NH</t>
        </is>
      </c>
      <c r="E106" s="16" t="n">
        <v>390000</v>
      </c>
      <c r="F106" s="16" t="n">
        <v>5562.27</v>
      </c>
      <c r="G106" s="16" t="n">
        <v>695.28</v>
      </c>
      <c r="H106" s="16" t="n">
        <v>695.28</v>
      </c>
      <c r="I106" s="16">
        <f>SUM(K106:T106)</f>
        <v/>
      </c>
      <c r="J106" s="16">
        <f>F106-(G106+H106+I106)</f>
        <v/>
      </c>
      <c r="K106" s="16" t="n">
        <v>417.17</v>
      </c>
      <c r="L106" s="16" t="n">
        <v>417.17</v>
      </c>
      <c r="M106" s="16" t="n">
        <v>417.17</v>
      </c>
      <c r="N106" s="16" t="n">
        <v>417.17</v>
      </c>
      <c r="O106" s="16" t="n">
        <v>417.17</v>
      </c>
      <c r="P106" s="16" t="n">
        <v>417.17</v>
      </c>
      <c r="Q106" s="16" t="n">
        <v>417.17</v>
      </c>
      <c r="R106" s="16" t="n">
        <v>417.17</v>
      </c>
      <c r="S106" s="16" t="n">
        <v>417.17</v>
      </c>
      <c r="T106" s="16" t="n">
        <v>417.17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CANON-202510-001232</t>
        </is>
      </c>
      <c r="B107" s="3" t="inlineStr">
        <is>
          <t>2025-10-11</t>
        </is>
      </c>
      <c r="C107" s="3" t="inlineStr">
        <is>
          <t>Lorenzo Ashcombe</t>
        </is>
      </c>
      <c r="D107" s="3" t="inlineStr">
        <is>
          <t>OH</t>
        </is>
      </c>
      <c r="E107" s="14" t="n">
        <v>1950000</v>
      </c>
      <c r="F107" s="14" t="n">
        <v>27258.68</v>
      </c>
      <c r="G107" s="14" t="n">
        <v>3407.34</v>
      </c>
      <c r="H107" s="14" t="n">
        <v>3407.34</v>
      </c>
      <c r="I107" s="14">
        <f>SUM(K107:T107)</f>
        <v/>
      </c>
      <c r="J107" s="14">
        <f>F107-(G107+H107+I107)</f>
        <v/>
      </c>
      <c r="K107" s="14" t="n">
        <v>2044.4</v>
      </c>
      <c r="L107" s="14" t="n">
        <v>2044.4</v>
      </c>
      <c r="M107" s="14" t="n">
        <v>2044.4</v>
      </c>
      <c r="N107" s="14" t="n">
        <v>2044.4</v>
      </c>
      <c r="O107" s="14" t="n">
        <v>2044.4</v>
      </c>
      <c r="P107" s="14" t="n">
        <v>2044.4</v>
      </c>
      <c r="Q107" s="14" t="n">
        <v>2044.4</v>
      </c>
      <c r="R107" s="14" t="n">
        <v>2044.4</v>
      </c>
      <c r="S107" s="14" t="n">
        <v>2044.4</v>
      </c>
      <c r="T107" s="14" t="n">
        <v>2044.4</v>
      </c>
      <c r="U107" s="14" t="n">
        <v>350</v>
      </c>
      <c r="V107" s="14" t="n">
        <v>250</v>
      </c>
      <c r="W107" s="14">
        <f>U107+V107</f>
        <v/>
      </c>
    </row>
    <row r="108">
      <c r="A108" s="15" t="inlineStr">
        <is>
          <t>CANON-202510-001235</t>
        </is>
      </c>
      <c r="B108" s="15" t="inlineStr">
        <is>
          <t>2025-10-19</t>
        </is>
      </c>
      <c r="C108" s="15" t="inlineStr">
        <is>
          <t>Ottilie Fairweather</t>
        </is>
      </c>
      <c r="D108" s="15" t="inlineStr">
        <is>
          <t>IL</t>
        </is>
      </c>
      <c r="E108" s="16" t="n">
        <v>1455000</v>
      </c>
      <c r="F108" s="16" t="n">
        <v>28945.74</v>
      </c>
      <c r="G108" s="16" t="n">
        <v>3618.22</v>
      </c>
      <c r="H108" s="16" t="n">
        <v>3618.22</v>
      </c>
      <c r="I108" s="16">
        <f>SUM(K108:T108)</f>
        <v/>
      </c>
      <c r="J108" s="16">
        <f>F108-(G108+H108+I108)</f>
        <v/>
      </c>
      <c r="K108" s="16" t="n">
        <v>2170.93</v>
      </c>
      <c r="L108" s="16" t="n">
        <v>2170.93</v>
      </c>
      <c r="M108" s="16" t="n">
        <v>2170.93</v>
      </c>
      <c r="N108" s="16" t="n">
        <v>2170.93</v>
      </c>
      <c r="O108" s="16" t="n">
        <v>2170.93</v>
      </c>
      <c r="P108" s="16" t="n">
        <v>2170.93</v>
      </c>
      <c r="Q108" s="16" t="n">
        <v>2170.93</v>
      </c>
      <c r="R108" s="16" t="n">
        <v>2170.93</v>
      </c>
      <c r="S108" s="16" t="n">
        <v>2170.93</v>
      </c>
      <c r="T108" s="16" t="n">
        <v>2170.93</v>
      </c>
      <c r="U108" s="16" t="n">
        <v>350</v>
      </c>
      <c r="V108" s="16" t="n">
        <v>250</v>
      </c>
      <c r="W108" s="16">
        <f>U108+V108</f>
        <v/>
      </c>
    </row>
    <row r="109">
      <c r="A109" s="3" t="inlineStr">
        <is>
          <t>CANON-202510-001239</t>
        </is>
      </c>
      <c r="B109" s="3" t="inlineStr">
        <is>
          <t>2025-10-18</t>
        </is>
      </c>
      <c r="C109" s="3" t="inlineStr">
        <is>
          <t>Sunniva Fairweather</t>
        </is>
      </c>
      <c r="D109" s="3" t="inlineStr">
        <is>
          <t>IL</t>
        </is>
      </c>
      <c r="E109" s="14" t="n">
        <v>580000</v>
      </c>
      <c r="F109" s="14" t="n">
        <v>9375.030000000001</v>
      </c>
      <c r="G109" s="14" t="n">
        <v>1171.88</v>
      </c>
      <c r="H109" s="14" t="n">
        <v>1171.88</v>
      </c>
      <c r="I109" s="14">
        <f>SUM(K109:T109)</f>
        <v/>
      </c>
      <c r="J109" s="14">
        <f>F109-(G109+H109+I109)</f>
        <v/>
      </c>
      <c r="K109" s="14" t="n">
        <v>703.13</v>
      </c>
      <c r="L109" s="14" t="n">
        <v>703.13</v>
      </c>
      <c r="M109" s="14" t="n">
        <v>703.13</v>
      </c>
      <c r="N109" s="14" t="n">
        <v>703.13</v>
      </c>
      <c r="O109" s="14" t="n">
        <v>703.13</v>
      </c>
      <c r="P109" s="14" t="n">
        <v>703.13</v>
      </c>
      <c r="Q109" s="14" t="n">
        <v>703.13</v>
      </c>
      <c r="R109" s="14" t="n">
        <v>703.13</v>
      </c>
      <c r="S109" s="14" t="n">
        <v>703.13</v>
      </c>
      <c r="T109" s="14" t="n">
        <v>703.13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CANON-202510-001240</t>
        </is>
      </c>
      <c r="B110" s="15" t="inlineStr">
        <is>
          <t>2025-10-21</t>
        </is>
      </c>
      <c r="C110" s="15" t="inlineStr">
        <is>
          <t>Beatrix Thistlewood</t>
        </is>
      </c>
      <c r="D110" s="15" t="inlineStr">
        <is>
          <t>UT</t>
        </is>
      </c>
      <c r="E110" s="16" t="n">
        <v>830000</v>
      </c>
      <c r="F110" s="16" t="n">
        <v>13317.35</v>
      </c>
      <c r="G110" s="16" t="n">
        <v>1664.67</v>
      </c>
      <c r="H110" s="16" t="n">
        <v>1664.67</v>
      </c>
      <c r="I110" s="16">
        <f>SUM(K110:T110)</f>
        <v/>
      </c>
      <c r="J110" s="16">
        <f>F110-(G110+H110+I110)</f>
        <v/>
      </c>
      <c r="K110" s="16" t="n">
        <v>998.8</v>
      </c>
      <c r="L110" s="16" t="n">
        <v>998.8</v>
      </c>
      <c r="M110" s="16" t="n">
        <v>998.8</v>
      </c>
      <c r="N110" s="16" t="n">
        <v>998.8</v>
      </c>
      <c r="O110" s="16" t="n">
        <v>998.8</v>
      </c>
      <c r="P110" s="16" t="n">
        <v>998.8</v>
      </c>
      <c r="Q110" s="16" t="n">
        <v>998.8</v>
      </c>
      <c r="R110" s="16" t="n">
        <v>998.8</v>
      </c>
      <c r="S110" s="16" t="n">
        <v>998.8</v>
      </c>
      <c r="T110" s="16" t="n">
        <v>998.8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CANON-202510-001241</t>
        </is>
      </c>
      <c r="B111" s="3" t="inlineStr">
        <is>
          <t>2025-10-10</t>
        </is>
      </c>
      <c r="C111" s="3" t="inlineStr">
        <is>
          <t>Cassius Montoya</t>
        </is>
      </c>
      <c r="D111" s="3" t="inlineStr">
        <is>
          <t>CA</t>
        </is>
      </c>
      <c r="E111" s="14" t="n">
        <v>885000</v>
      </c>
      <c r="F111" s="14" t="n">
        <v>14199.82</v>
      </c>
      <c r="G111" s="14" t="n">
        <v>1774.98</v>
      </c>
      <c r="H111" s="14" t="n">
        <v>1774.98</v>
      </c>
      <c r="I111" s="14">
        <f>SUM(K111:T111)</f>
        <v/>
      </c>
      <c r="J111" s="14">
        <f>F111-(G111+H111+I111)</f>
        <v/>
      </c>
      <c r="K111" s="14" t="n">
        <v>1064.99</v>
      </c>
      <c r="L111" s="14" t="n">
        <v>1064.99</v>
      </c>
      <c r="M111" s="14" t="n">
        <v>1064.99</v>
      </c>
      <c r="N111" s="14" t="n">
        <v>1064.99</v>
      </c>
      <c r="O111" s="14" t="n">
        <v>1064.99</v>
      </c>
      <c r="P111" s="14" t="n">
        <v>1064.99</v>
      </c>
      <c r="Q111" s="14" t="n">
        <v>1064.99</v>
      </c>
      <c r="R111" s="14" t="n">
        <v>1064.99</v>
      </c>
      <c r="S111" s="14" t="n">
        <v>1064.99</v>
      </c>
      <c r="T111" s="14" t="n">
        <v>1064.99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CANON-202510-001243</t>
        </is>
      </c>
      <c r="B112" s="15" t="inlineStr">
        <is>
          <t>2025-10-14</t>
        </is>
      </c>
      <c r="C112" s="15" t="inlineStr">
        <is>
          <t>Priya Underwood</t>
        </is>
      </c>
      <c r="D112" s="15" t="inlineStr">
        <is>
          <t>AK</t>
        </is>
      </c>
      <c r="E112" s="16" t="n">
        <v>655000</v>
      </c>
      <c r="F112" s="16" t="n">
        <v>12970.68</v>
      </c>
      <c r="G112" s="16" t="n">
        <v>1621.34</v>
      </c>
      <c r="H112" s="16" t="n">
        <v>1621.34</v>
      </c>
      <c r="I112" s="16">
        <f>SUM(K112:T112)</f>
        <v/>
      </c>
      <c r="J112" s="16">
        <f>F112-(G112+H112+I112)</f>
        <v/>
      </c>
      <c r="K112" s="16" t="n">
        <v>972.8</v>
      </c>
      <c r="L112" s="16" t="n">
        <v>972.8</v>
      </c>
      <c r="M112" s="16" t="n">
        <v>972.8</v>
      </c>
      <c r="N112" s="16" t="n">
        <v>972.8</v>
      </c>
      <c r="O112" s="16" t="n">
        <v>972.8</v>
      </c>
      <c r="P112" s="16" t="n">
        <v>972.8</v>
      </c>
      <c r="Q112" s="16" t="n">
        <v>972.8</v>
      </c>
      <c r="R112" s="16" t="n">
        <v>972.8</v>
      </c>
      <c r="S112" s="16" t="n">
        <v>972.8</v>
      </c>
      <c r="T112" s="16" t="n">
        <v>972.8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CANON-202510-001244</t>
        </is>
      </c>
      <c r="B113" s="3" t="inlineStr">
        <is>
          <t>2025-10-01</t>
        </is>
      </c>
      <c r="C113" s="3" t="inlineStr">
        <is>
          <t>Desmond Farkas</t>
        </is>
      </c>
      <c r="D113" s="3" t="inlineStr">
        <is>
          <t>MI</t>
        </is>
      </c>
      <c r="E113" s="14" t="n">
        <v>295000</v>
      </c>
      <c r="F113" s="14" t="n">
        <v>6270.58</v>
      </c>
      <c r="G113" s="14" t="n">
        <v>783.8200000000001</v>
      </c>
      <c r="H113" s="14" t="n">
        <v>783.8200000000001</v>
      </c>
      <c r="I113" s="14">
        <f>SUM(K113:T113)</f>
        <v/>
      </c>
      <c r="J113" s="14">
        <f>F113-(G113+H113+I113)</f>
        <v/>
      </c>
      <c r="K113" s="14" t="n">
        <v>470.29</v>
      </c>
      <c r="L113" s="14" t="n">
        <v>470.29</v>
      </c>
      <c r="M113" s="14" t="n">
        <v>470.29</v>
      </c>
      <c r="N113" s="14" t="n">
        <v>470.29</v>
      </c>
      <c r="O113" s="14" t="n">
        <v>470.29</v>
      </c>
      <c r="P113" s="14" t="n">
        <v>470.29</v>
      </c>
      <c r="Q113" s="14" t="n">
        <v>470.29</v>
      </c>
      <c r="R113" s="14" t="n">
        <v>470.29</v>
      </c>
      <c r="S113" s="14" t="n">
        <v>470.29</v>
      </c>
      <c r="T113" s="14" t="n">
        <v>470.29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CANON-202510-001247</t>
        </is>
      </c>
      <c r="B114" s="15" t="inlineStr">
        <is>
          <t>2025-10-12</t>
        </is>
      </c>
      <c r="C114" s="15" t="inlineStr">
        <is>
          <t>Leopold Vasquez</t>
        </is>
      </c>
      <c r="D114" s="15" t="inlineStr">
        <is>
          <t>TX</t>
        </is>
      </c>
      <c r="E114" s="16" t="n">
        <v>955000</v>
      </c>
      <c r="F114" s="16" t="n">
        <v>15663.49</v>
      </c>
      <c r="G114" s="16" t="n">
        <v>1957.94</v>
      </c>
      <c r="H114" s="16" t="n">
        <v>1957.94</v>
      </c>
      <c r="I114" s="16">
        <f>SUM(K114:T114)</f>
        <v/>
      </c>
      <c r="J114" s="16">
        <f>F114-(G114+H114+I114)</f>
        <v/>
      </c>
      <c r="K114" s="16" t="n">
        <v>1174.76</v>
      </c>
      <c r="L114" s="16" t="n">
        <v>1174.76</v>
      </c>
      <c r="M114" s="16" t="n">
        <v>1174.76</v>
      </c>
      <c r="N114" s="16" t="n">
        <v>1174.76</v>
      </c>
      <c r="O114" s="16" t="n">
        <v>1174.76</v>
      </c>
      <c r="P114" s="16" t="n">
        <v>1174.76</v>
      </c>
      <c r="Q114" s="16" t="n">
        <v>1174.76</v>
      </c>
      <c r="R114" s="16" t="n">
        <v>1174.76</v>
      </c>
      <c r="S114" s="16" t="n">
        <v>1174.76</v>
      </c>
      <c r="T114" s="16" t="n">
        <v>1174.76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CANON-202510-001248</t>
        </is>
      </c>
      <c r="B115" s="3" t="inlineStr">
        <is>
          <t>2025-10-27</t>
        </is>
      </c>
      <c r="C115" s="3" t="inlineStr">
        <is>
          <t>Horace Castellanos</t>
        </is>
      </c>
      <c r="D115" s="3" t="inlineStr">
        <is>
          <t>MS</t>
        </is>
      </c>
      <c r="E115" s="14" t="n">
        <v>295000</v>
      </c>
      <c r="F115" s="14" t="n">
        <v>3081.08</v>
      </c>
      <c r="G115" s="14" t="n">
        <v>385.13</v>
      </c>
      <c r="H115" s="14" t="n">
        <v>385.13</v>
      </c>
      <c r="I115" s="14">
        <f>SUM(K115:T115)</f>
        <v/>
      </c>
      <c r="J115" s="14">
        <f>F115-(G115+H115+I115)</f>
        <v/>
      </c>
      <c r="K115" s="14" t="n">
        <v>231.08</v>
      </c>
      <c r="L115" s="14" t="n">
        <v>231.08</v>
      </c>
      <c r="M115" s="14" t="n">
        <v>231.08</v>
      </c>
      <c r="N115" s="14" t="n">
        <v>231.08</v>
      </c>
      <c r="O115" s="14" t="n">
        <v>231.08</v>
      </c>
      <c r="P115" s="14" t="n">
        <v>231.08</v>
      </c>
      <c r="Q115" s="14" t="n">
        <v>231.08</v>
      </c>
      <c r="R115" s="14" t="n">
        <v>231.08</v>
      </c>
      <c r="S115" s="14" t="n">
        <v>231.08</v>
      </c>
      <c r="T115" s="14" t="n">
        <v>231.08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CANON-202510-001249</t>
        </is>
      </c>
      <c r="B116" s="15" t="inlineStr">
        <is>
          <t>2025-10-22</t>
        </is>
      </c>
      <c r="C116" s="15" t="inlineStr">
        <is>
          <t>Desmond Bellandi</t>
        </is>
      </c>
      <c r="D116" s="15" t="inlineStr">
        <is>
          <t>FL</t>
        </is>
      </c>
      <c r="E116" s="16" t="n">
        <v>475000</v>
      </c>
      <c r="F116" s="16" t="n">
        <v>9249.879999999999</v>
      </c>
      <c r="G116" s="16" t="n">
        <v>1156.23</v>
      </c>
      <c r="H116" s="16" t="n">
        <v>1156.23</v>
      </c>
      <c r="I116" s="16">
        <f>SUM(K116:T116)</f>
        <v/>
      </c>
      <c r="J116" s="16">
        <f>F116-(G116+H116+I116)</f>
        <v/>
      </c>
      <c r="K116" s="16" t="n">
        <v>693.74</v>
      </c>
      <c r="L116" s="16" t="n">
        <v>693.74</v>
      </c>
      <c r="M116" s="16" t="n">
        <v>693.74</v>
      </c>
      <c r="N116" s="16" t="n">
        <v>693.74</v>
      </c>
      <c r="O116" s="16" t="n">
        <v>693.74</v>
      </c>
      <c r="P116" s="16" t="n">
        <v>693.74</v>
      </c>
      <c r="Q116" s="16" t="n">
        <v>693.74</v>
      </c>
      <c r="R116" s="16" t="n">
        <v>693.74</v>
      </c>
      <c r="S116" s="16" t="n">
        <v>693.74</v>
      </c>
      <c r="T116" s="16" t="n">
        <v>693.74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CANON-202510-001250</t>
        </is>
      </c>
      <c r="B117" s="3" t="inlineStr">
        <is>
          <t>2025-10-08</t>
        </is>
      </c>
      <c r="C117" s="3" t="inlineStr">
        <is>
          <t>Saoirse Underwood</t>
        </is>
      </c>
      <c r="D117" s="3" t="inlineStr">
        <is>
          <t>NH</t>
        </is>
      </c>
      <c r="E117" s="14" t="n">
        <v>290000</v>
      </c>
      <c r="F117" s="14" t="n">
        <v>2647.07</v>
      </c>
      <c r="G117" s="14" t="n">
        <v>330.88</v>
      </c>
      <c r="H117" s="14" t="n">
        <v>330.88</v>
      </c>
      <c r="I117" s="14">
        <f>SUM(K117:T117)</f>
        <v/>
      </c>
      <c r="J117" s="14">
        <f>F117-(G117+H117+I117)</f>
        <v/>
      </c>
      <c r="K117" s="14" t="n">
        <v>198.53</v>
      </c>
      <c r="L117" s="14" t="n">
        <v>198.53</v>
      </c>
      <c r="M117" s="14" t="n">
        <v>198.53</v>
      </c>
      <c r="N117" s="14" t="n">
        <v>198.53</v>
      </c>
      <c r="O117" s="14" t="n">
        <v>198.53</v>
      </c>
      <c r="P117" s="14" t="n">
        <v>198.53</v>
      </c>
      <c r="Q117" s="14" t="n">
        <v>198.53</v>
      </c>
      <c r="R117" s="14" t="n">
        <v>198.53</v>
      </c>
      <c r="S117" s="14" t="n">
        <v>198.53</v>
      </c>
      <c r="T117" s="14" t="n">
        <v>198.53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CANON-202510-001251</t>
        </is>
      </c>
      <c r="B118" s="15" t="inlineStr">
        <is>
          <t>2025-10-12</t>
        </is>
      </c>
      <c r="C118" s="15" t="inlineStr">
        <is>
          <t>Callum Blackwood</t>
        </is>
      </c>
      <c r="D118" s="15" t="inlineStr">
        <is>
          <t>CT</t>
        </is>
      </c>
      <c r="E118" s="16" t="n">
        <v>975000</v>
      </c>
      <c r="F118" s="16" t="n">
        <v>12978.62</v>
      </c>
      <c r="G118" s="16" t="n">
        <v>1622.33</v>
      </c>
      <c r="H118" s="16" t="n">
        <v>1622.33</v>
      </c>
      <c r="I118" s="16">
        <f>SUM(K118:T118)</f>
        <v/>
      </c>
      <c r="J118" s="16">
        <f>F118-(G118+H118+I118)</f>
        <v/>
      </c>
      <c r="K118" s="16" t="n">
        <v>973.4</v>
      </c>
      <c r="L118" s="16" t="n">
        <v>973.4</v>
      </c>
      <c r="M118" s="16" t="n">
        <v>973.4</v>
      </c>
      <c r="N118" s="16" t="n">
        <v>973.4</v>
      </c>
      <c r="O118" s="16" t="n">
        <v>973.4</v>
      </c>
      <c r="P118" s="16" t="n">
        <v>973.4</v>
      </c>
      <c r="Q118" s="16" t="n">
        <v>973.4</v>
      </c>
      <c r="R118" s="16" t="n">
        <v>973.4</v>
      </c>
      <c r="S118" s="16" t="n">
        <v>973.4</v>
      </c>
      <c r="T118" s="16" t="n">
        <v>973.4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CANON-202510-001253</t>
        </is>
      </c>
      <c r="B119" s="3" t="inlineStr">
        <is>
          <t>2025-10-24</t>
        </is>
      </c>
      <c r="C119" s="3" t="inlineStr">
        <is>
          <t>Priya Nakashima</t>
        </is>
      </c>
      <c r="D119" s="3" t="inlineStr">
        <is>
          <t>TX</t>
        </is>
      </c>
      <c r="E119" s="14" t="n">
        <v>1950000</v>
      </c>
      <c r="F119" s="14" t="n">
        <v>15581.48</v>
      </c>
      <c r="G119" s="14" t="n">
        <v>1947.68</v>
      </c>
      <c r="H119" s="14" t="n">
        <v>1947.68</v>
      </c>
      <c r="I119" s="14">
        <f>SUM(K119:T119)</f>
        <v/>
      </c>
      <c r="J119" s="14">
        <f>F119-(G119+H119+I119)</f>
        <v/>
      </c>
      <c r="K119" s="14" t="n">
        <v>1168.61</v>
      </c>
      <c r="L119" s="14" t="n">
        <v>1168.61</v>
      </c>
      <c r="M119" s="14" t="n">
        <v>1168.61</v>
      </c>
      <c r="N119" s="14" t="n">
        <v>1168.61</v>
      </c>
      <c r="O119" s="14" t="n">
        <v>1168.61</v>
      </c>
      <c r="P119" s="14" t="n">
        <v>1168.61</v>
      </c>
      <c r="Q119" s="14" t="n">
        <v>1168.61</v>
      </c>
      <c r="R119" s="14" t="n">
        <v>1168.61</v>
      </c>
      <c r="S119" s="14" t="n">
        <v>1168.61</v>
      </c>
      <c r="T119" s="14" t="n">
        <v>1168.61</v>
      </c>
      <c r="U119" s="14" t="n">
        <v>350</v>
      </c>
      <c r="V119" s="14" t="n">
        <v>250</v>
      </c>
      <c r="W119" s="14">
        <f>U119+V119</f>
        <v/>
      </c>
    </row>
    <row r="120">
      <c r="A120" s="15" t="inlineStr">
        <is>
          <t>CANON-202510-001255</t>
        </is>
      </c>
      <c r="B120" s="15" t="inlineStr">
        <is>
          <t>2025-10-29</t>
        </is>
      </c>
      <c r="C120" s="15" t="inlineStr">
        <is>
          <t>Marisol Nakashima</t>
        </is>
      </c>
      <c r="D120" s="15" t="inlineStr">
        <is>
          <t>FL</t>
        </is>
      </c>
      <c r="E120" s="16" t="n">
        <v>455000</v>
      </c>
      <c r="F120" s="16" t="n">
        <v>8860.4</v>
      </c>
      <c r="G120" s="16" t="n">
        <v>1107.55</v>
      </c>
      <c r="H120" s="16" t="n">
        <v>1107.55</v>
      </c>
      <c r="I120" s="16">
        <f>SUM(K120:T120)</f>
        <v/>
      </c>
      <c r="J120" s="16">
        <f>F120-(G120+H120+I120)</f>
        <v/>
      </c>
      <c r="K120" s="16" t="n">
        <v>664.53</v>
      </c>
      <c r="L120" s="16" t="n">
        <v>664.53</v>
      </c>
      <c r="M120" s="16" t="n">
        <v>664.53</v>
      </c>
      <c r="N120" s="16" t="n">
        <v>664.53</v>
      </c>
      <c r="O120" s="16" t="n">
        <v>664.53</v>
      </c>
      <c r="P120" s="16" t="n">
        <v>664.53</v>
      </c>
      <c r="Q120" s="16" t="n">
        <v>664.53</v>
      </c>
      <c r="R120" s="16" t="n">
        <v>664.53</v>
      </c>
      <c r="S120" s="16" t="n">
        <v>664.53</v>
      </c>
      <c r="T120" s="16" t="n">
        <v>664.53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CANON-202510-001256</t>
        </is>
      </c>
      <c r="B121" s="3" t="inlineStr">
        <is>
          <t>2025-10-02</t>
        </is>
      </c>
      <c r="C121" s="3" t="inlineStr">
        <is>
          <t>Fitzgerald Vasquez</t>
        </is>
      </c>
      <c r="D121" s="3" t="inlineStr">
        <is>
          <t>IA</t>
        </is>
      </c>
      <c r="E121" s="14" t="n">
        <v>520000</v>
      </c>
      <c r="F121" s="14" t="n">
        <v>6798.32</v>
      </c>
      <c r="G121" s="14" t="n">
        <v>849.79</v>
      </c>
      <c r="H121" s="14" t="n">
        <v>849.79</v>
      </c>
      <c r="I121" s="14">
        <f>SUM(K121:T121)</f>
        <v/>
      </c>
      <c r="J121" s="14">
        <f>F121-(G121+H121+I121)</f>
        <v/>
      </c>
      <c r="K121" s="14" t="n">
        <v>509.87</v>
      </c>
      <c r="L121" s="14" t="n">
        <v>509.87</v>
      </c>
      <c r="M121" s="14" t="n">
        <v>509.87</v>
      </c>
      <c r="N121" s="14" t="n">
        <v>509.87</v>
      </c>
      <c r="O121" s="14" t="n">
        <v>509.87</v>
      </c>
      <c r="P121" s="14" t="n">
        <v>509.87</v>
      </c>
      <c r="Q121" s="14" t="n">
        <v>509.87</v>
      </c>
      <c r="R121" s="14" t="n">
        <v>509.87</v>
      </c>
      <c r="S121" s="14" t="n">
        <v>509.87</v>
      </c>
      <c r="T121" s="14" t="n">
        <v>509.87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CANON-202510-001257</t>
        </is>
      </c>
      <c r="B122" s="15" t="inlineStr">
        <is>
          <t>2025-10-01</t>
        </is>
      </c>
      <c r="C122" s="15" t="inlineStr">
        <is>
          <t>Cassius Ashcombe</t>
        </is>
      </c>
      <c r="D122" s="15" t="inlineStr">
        <is>
          <t>MA</t>
        </is>
      </c>
      <c r="E122" s="16" t="n">
        <v>1570000</v>
      </c>
      <c r="F122" s="16" t="n">
        <v>19736.27</v>
      </c>
      <c r="G122" s="16" t="n">
        <v>2467.03</v>
      </c>
      <c r="H122" s="16" t="n">
        <v>2467.03</v>
      </c>
      <c r="I122" s="16">
        <f>SUM(K122:T122)</f>
        <v/>
      </c>
      <c r="J122" s="16">
        <f>F122-(G122+H122+I122)</f>
        <v/>
      </c>
      <c r="K122" s="16" t="n">
        <v>1480.22</v>
      </c>
      <c r="L122" s="16" t="n">
        <v>1480.22</v>
      </c>
      <c r="M122" s="16" t="n">
        <v>1480.22</v>
      </c>
      <c r="N122" s="16" t="n">
        <v>1480.22</v>
      </c>
      <c r="O122" s="16" t="n">
        <v>1480.22</v>
      </c>
      <c r="P122" s="16" t="n">
        <v>1480.22</v>
      </c>
      <c r="Q122" s="16" t="n">
        <v>1480.22</v>
      </c>
      <c r="R122" s="16" t="n">
        <v>1480.22</v>
      </c>
      <c r="S122" s="16" t="n">
        <v>1480.22</v>
      </c>
      <c r="T122" s="16" t="n">
        <v>1480.22</v>
      </c>
      <c r="U122" s="16" t="n">
        <v>350</v>
      </c>
      <c r="V122" s="16" t="n">
        <v>250</v>
      </c>
      <c r="W122" s="16">
        <f>U122+V122</f>
        <v/>
      </c>
    </row>
    <row r="123">
      <c r="A123" s="3" t="inlineStr">
        <is>
          <t>CANON-202510-001258</t>
        </is>
      </c>
      <c r="B123" s="3" t="inlineStr">
        <is>
          <t>2025-10-10</t>
        </is>
      </c>
      <c r="C123" s="3" t="inlineStr">
        <is>
          <t>Mireille Farkas</t>
        </is>
      </c>
      <c r="D123" s="3" t="inlineStr">
        <is>
          <t>CA</t>
        </is>
      </c>
      <c r="E123" s="14" t="n">
        <v>1180000</v>
      </c>
      <c r="F123" s="14" t="n">
        <v>11068.59</v>
      </c>
      <c r="G123" s="14" t="n">
        <v>1383.57</v>
      </c>
      <c r="H123" s="14" t="n">
        <v>1383.57</v>
      </c>
      <c r="I123" s="14">
        <f>SUM(K123:T123)</f>
        <v/>
      </c>
      <c r="J123" s="14">
        <f>F123-(G123+H123+I123)</f>
        <v/>
      </c>
      <c r="K123" s="14" t="n">
        <v>830.14</v>
      </c>
      <c r="L123" s="14" t="n">
        <v>830.14</v>
      </c>
      <c r="M123" s="14" t="n">
        <v>830.14</v>
      </c>
      <c r="N123" s="14" t="n">
        <v>830.14</v>
      </c>
      <c r="O123" s="14" t="n">
        <v>830.14</v>
      </c>
      <c r="P123" s="14" t="n">
        <v>830.14</v>
      </c>
      <c r="Q123" s="14" t="n">
        <v>830.14</v>
      </c>
      <c r="R123" s="14" t="n">
        <v>830.14</v>
      </c>
      <c r="S123" s="14" t="n">
        <v>830.14</v>
      </c>
      <c r="T123" s="14" t="n">
        <v>830.14</v>
      </c>
      <c r="U123" s="14" t="n">
        <v>350</v>
      </c>
      <c r="V123" s="14" t="n">
        <v>250</v>
      </c>
      <c r="W123" s="14">
        <f>U123+V123</f>
        <v/>
      </c>
    </row>
    <row r="124">
      <c r="A124" s="15" t="inlineStr">
        <is>
          <t>CANON-202510-001261</t>
        </is>
      </c>
      <c r="B124" s="15" t="inlineStr">
        <is>
          <t>2025-10-10</t>
        </is>
      </c>
      <c r="C124" s="15" t="inlineStr">
        <is>
          <t>Anouk Merriweather</t>
        </is>
      </c>
      <c r="D124" s="15" t="inlineStr">
        <is>
          <t>WA</t>
        </is>
      </c>
      <c r="E124" s="16" t="n">
        <v>405000</v>
      </c>
      <c r="F124" s="16" t="n">
        <v>3412.4</v>
      </c>
      <c r="G124" s="16" t="n">
        <v>426.55</v>
      </c>
      <c r="H124" s="16" t="n">
        <v>426.55</v>
      </c>
      <c r="I124" s="16">
        <f>SUM(K124:T124)</f>
        <v/>
      </c>
      <c r="J124" s="16">
        <f>F124-(G124+H124+I124)</f>
        <v/>
      </c>
      <c r="K124" s="16" t="n">
        <v>255.93</v>
      </c>
      <c r="L124" s="16" t="n">
        <v>255.93</v>
      </c>
      <c r="M124" s="16" t="n">
        <v>255.93</v>
      </c>
      <c r="N124" s="16" t="n">
        <v>255.93</v>
      </c>
      <c r="O124" s="16" t="n">
        <v>255.93</v>
      </c>
      <c r="P124" s="16" t="n">
        <v>255.93</v>
      </c>
      <c r="Q124" s="16" t="n">
        <v>255.93</v>
      </c>
      <c r="R124" s="16" t="n">
        <v>255.93</v>
      </c>
      <c r="S124" s="16" t="n">
        <v>255.93</v>
      </c>
      <c r="T124" s="16" t="n">
        <v>255.93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CANON-202510-001262</t>
        </is>
      </c>
      <c r="B125" s="3" t="inlineStr">
        <is>
          <t>2025-10-25</t>
        </is>
      </c>
      <c r="C125" s="3" t="inlineStr">
        <is>
          <t>Aurelio Thistlewood</t>
        </is>
      </c>
      <c r="D125" s="3" t="inlineStr">
        <is>
          <t>NC</t>
        </is>
      </c>
      <c r="E125" s="14" t="n">
        <v>810000</v>
      </c>
      <c r="F125" s="14" t="n">
        <v>11071.06</v>
      </c>
      <c r="G125" s="14" t="n">
        <v>1383.88</v>
      </c>
      <c r="H125" s="14" t="n">
        <v>1383.88</v>
      </c>
      <c r="I125" s="14">
        <f>SUM(K125:T125)</f>
        <v/>
      </c>
      <c r="J125" s="14">
        <f>F125-(G125+H125+I125)</f>
        <v/>
      </c>
      <c r="K125" s="14" t="n">
        <v>830.33</v>
      </c>
      <c r="L125" s="14" t="n">
        <v>830.33</v>
      </c>
      <c r="M125" s="14" t="n">
        <v>830.33</v>
      </c>
      <c r="N125" s="14" t="n">
        <v>830.33</v>
      </c>
      <c r="O125" s="14" t="n">
        <v>830.33</v>
      </c>
      <c r="P125" s="14" t="n">
        <v>830.33</v>
      </c>
      <c r="Q125" s="14" t="n">
        <v>830.33</v>
      </c>
      <c r="R125" s="14" t="n">
        <v>830.33</v>
      </c>
      <c r="S125" s="14" t="n">
        <v>830.33</v>
      </c>
      <c r="T125" s="14" t="n">
        <v>830.33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CANON-202510-001264</t>
        </is>
      </c>
      <c r="B126" s="15" t="inlineStr">
        <is>
          <t>2025-10-29</t>
        </is>
      </c>
      <c r="C126" s="15" t="inlineStr">
        <is>
          <t>Fenwick Vasquez</t>
        </is>
      </c>
      <c r="D126" s="15" t="inlineStr">
        <is>
          <t>CA</t>
        </is>
      </c>
      <c r="E126" s="16" t="n">
        <v>910000</v>
      </c>
      <c r="F126" s="16" t="n">
        <v>14600.95</v>
      </c>
      <c r="G126" s="16" t="n">
        <v>1825.12</v>
      </c>
      <c r="H126" s="16" t="n">
        <v>1825.12</v>
      </c>
      <c r="I126" s="16">
        <f>SUM(K126:T126)</f>
        <v/>
      </c>
      <c r="J126" s="16">
        <f>F126-(G126+H126+I126)</f>
        <v/>
      </c>
      <c r="K126" s="16" t="n">
        <v>1095.07</v>
      </c>
      <c r="L126" s="16" t="n">
        <v>1095.07</v>
      </c>
      <c r="M126" s="16" t="n">
        <v>1095.07</v>
      </c>
      <c r="N126" s="16" t="n">
        <v>1095.07</v>
      </c>
      <c r="O126" s="16" t="n">
        <v>1095.07</v>
      </c>
      <c r="P126" s="16" t="n">
        <v>1095.07</v>
      </c>
      <c r="Q126" s="16" t="n">
        <v>1095.07</v>
      </c>
      <c r="R126" s="16" t="n">
        <v>1095.07</v>
      </c>
      <c r="S126" s="16" t="n">
        <v>1095.07</v>
      </c>
      <c r="T126" s="16" t="n">
        <v>1095.07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CANON-202510-001265</t>
        </is>
      </c>
      <c r="B127" s="3" t="inlineStr">
        <is>
          <t>2025-10-06</t>
        </is>
      </c>
      <c r="C127" s="3" t="inlineStr">
        <is>
          <t>Wilhelmina Harrington</t>
        </is>
      </c>
      <c r="D127" s="3" t="inlineStr">
        <is>
          <t>RI</t>
        </is>
      </c>
      <c r="E127" s="14" t="n">
        <v>1950000</v>
      </c>
      <c r="F127" s="14" t="n">
        <v>18562.29</v>
      </c>
      <c r="G127" s="14" t="n">
        <v>2320.29</v>
      </c>
      <c r="H127" s="14" t="n">
        <v>2320.29</v>
      </c>
      <c r="I127" s="14">
        <f>SUM(K127:T127)</f>
        <v/>
      </c>
      <c r="J127" s="14">
        <f>F127-(G127+H127+I127)</f>
        <v/>
      </c>
      <c r="K127" s="14" t="n">
        <v>1392.17</v>
      </c>
      <c r="L127" s="14" t="n">
        <v>1392.17</v>
      </c>
      <c r="M127" s="14" t="n">
        <v>1392.17</v>
      </c>
      <c r="N127" s="14" t="n">
        <v>1392.17</v>
      </c>
      <c r="O127" s="14" t="n">
        <v>1392.17</v>
      </c>
      <c r="P127" s="14" t="n">
        <v>1392.17</v>
      </c>
      <c r="Q127" s="14" t="n">
        <v>1392.17</v>
      </c>
      <c r="R127" s="14" t="n">
        <v>1392.17</v>
      </c>
      <c r="S127" s="14" t="n">
        <v>1392.17</v>
      </c>
      <c r="T127" s="14" t="n">
        <v>1392.17</v>
      </c>
      <c r="U127" s="14" t="n">
        <v>350</v>
      </c>
      <c r="V127" s="14" t="n">
        <v>250</v>
      </c>
      <c r="W127" s="14">
        <f>U127+V127</f>
        <v/>
      </c>
    </row>
    <row r="128">
      <c r="A128" s="15" t="inlineStr">
        <is>
          <t>CANON-202510-001266</t>
        </is>
      </c>
      <c r="B128" s="15" t="inlineStr">
        <is>
          <t>2025-10-30</t>
        </is>
      </c>
      <c r="C128" s="15" t="inlineStr">
        <is>
          <t>Cassius Harrington</t>
        </is>
      </c>
      <c r="D128" s="15" t="inlineStr">
        <is>
          <t>CA</t>
        </is>
      </c>
      <c r="E128" s="16" t="n">
        <v>475000</v>
      </c>
      <c r="F128" s="16" t="n">
        <v>13483.98</v>
      </c>
      <c r="G128" s="16" t="n">
        <v>1685.5</v>
      </c>
      <c r="H128" s="16" t="n">
        <v>1685.5</v>
      </c>
      <c r="I128" s="16">
        <f>SUM(K128:T128)</f>
        <v/>
      </c>
      <c r="J128" s="16">
        <f>F128-(G128+H128+I128)</f>
        <v/>
      </c>
      <c r="K128" s="16" t="n">
        <v>1011.3</v>
      </c>
      <c r="L128" s="16" t="n">
        <v>1011.3</v>
      </c>
      <c r="M128" s="16" t="n">
        <v>1011.3</v>
      </c>
      <c r="N128" s="16" t="n">
        <v>1011.3</v>
      </c>
      <c r="O128" s="16" t="n">
        <v>1011.3</v>
      </c>
      <c r="P128" s="16" t="n">
        <v>1011.3</v>
      </c>
      <c r="Q128" s="16" t="n">
        <v>1011.3</v>
      </c>
      <c r="R128" s="16" t="n">
        <v>1011.3</v>
      </c>
      <c r="S128" s="16" t="n">
        <v>1011.3</v>
      </c>
      <c r="T128" s="16" t="n">
        <v>1011.3</v>
      </c>
      <c r="U128" s="16" t="n">
        <v>350</v>
      </c>
      <c r="V128" s="16" t="n">
        <v>0</v>
      </c>
      <c r="W128" s="16">
        <f>U128+V128</f>
        <v/>
      </c>
    </row>
    <row r="129">
      <c r="A129" s="3" t="inlineStr">
        <is>
          <t>CANON-202510-001267</t>
        </is>
      </c>
      <c r="B129" s="3" t="inlineStr">
        <is>
          <t>2025-10-18</t>
        </is>
      </c>
      <c r="C129" s="3" t="inlineStr">
        <is>
          <t>Saoirse Underwood</t>
        </is>
      </c>
      <c r="D129" s="3" t="inlineStr">
        <is>
          <t>MI</t>
        </is>
      </c>
      <c r="E129" s="14" t="n">
        <v>235000</v>
      </c>
      <c r="F129" s="14" t="n">
        <v>6127.45</v>
      </c>
      <c r="G129" s="14" t="n">
        <v>765.9299999999999</v>
      </c>
      <c r="H129" s="14" t="n">
        <v>765.9299999999999</v>
      </c>
      <c r="I129" s="14">
        <f>SUM(K129:T129)</f>
        <v/>
      </c>
      <c r="J129" s="14">
        <f>F129-(G129+H129+I129)</f>
        <v/>
      </c>
      <c r="K129" s="14" t="n">
        <v>459.56</v>
      </c>
      <c r="L129" s="14" t="n">
        <v>459.56</v>
      </c>
      <c r="M129" s="14" t="n">
        <v>459.56</v>
      </c>
      <c r="N129" s="14" t="n">
        <v>459.56</v>
      </c>
      <c r="O129" s="14" t="n">
        <v>459.56</v>
      </c>
      <c r="P129" s="14" t="n">
        <v>459.56</v>
      </c>
      <c r="Q129" s="14" t="n">
        <v>459.56</v>
      </c>
      <c r="R129" s="14" t="n">
        <v>459.56</v>
      </c>
      <c r="S129" s="14" t="n">
        <v>459.56</v>
      </c>
      <c r="T129" s="14" t="n">
        <v>459.56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CANON-202510-001268</t>
        </is>
      </c>
      <c r="B130" s="15" t="inlineStr">
        <is>
          <t>2025-10-12</t>
        </is>
      </c>
      <c r="C130" s="15" t="inlineStr">
        <is>
          <t>Desmond Kingsford</t>
        </is>
      </c>
      <c r="D130" s="15" t="inlineStr">
        <is>
          <t>MO</t>
        </is>
      </c>
      <c r="E130" s="16" t="n">
        <v>550000</v>
      </c>
      <c r="F130" s="16" t="n">
        <v>4583.84</v>
      </c>
      <c r="G130" s="16" t="n">
        <v>572.98</v>
      </c>
      <c r="H130" s="16" t="n">
        <v>572.98</v>
      </c>
      <c r="I130" s="16">
        <f>SUM(K130:T130)</f>
        <v/>
      </c>
      <c r="J130" s="16">
        <f>F130-(G130+H130+I130)</f>
        <v/>
      </c>
      <c r="K130" s="16" t="n">
        <v>343.79</v>
      </c>
      <c r="L130" s="16" t="n">
        <v>343.79</v>
      </c>
      <c r="M130" s="16" t="n">
        <v>343.79</v>
      </c>
      <c r="N130" s="16" t="n">
        <v>343.79</v>
      </c>
      <c r="O130" s="16" t="n">
        <v>343.79</v>
      </c>
      <c r="P130" s="16" t="n">
        <v>343.79</v>
      </c>
      <c r="Q130" s="16" t="n">
        <v>343.79</v>
      </c>
      <c r="R130" s="16" t="n">
        <v>343.79</v>
      </c>
      <c r="S130" s="16" t="n">
        <v>343.79</v>
      </c>
      <c r="T130" s="16" t="n">
        <v>343.79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CANON-202510-001270</t>
        </is>
      </c>
      <c r="B131" s="3" t="inlineStr">
        <is>
          <t>2025-10-11</t>
        </is>
      </c>
      <c r="C131" s="3" t="inlineStr">
        <is>
          <t>Thaddeus Blackwood</t>
        </is>
      </c>
      <c r="D131" s="3" t="inlineStr">
        <is>
          <t>IN</t>
        </is>
      </c>
      <c r="E131" s="14" t="n">
        <v>490000</v>
      </c>
      <c r="F131" s="14" t="n">
        <v>8265.23</v>
      </c>
      <c r="G131" s="14" t="n">
        <v>1033.15</v>
      </c>
      <c r="H131" s="14" t="n">
        <v>1033.15</v>
      </c>
      <c r="I131" s="14">
        <f>SUM(K131:T131)</f>
        <v/>
      </c>
      <c r="J131" s="14">
        <f>F131-(G131+H131+I131)</f>
        <v/>
      </c>
      <c r="K131" s="14" t="n">
        <v>619.89</v>
      </c>
      <c r="L131" s="14" t="n">
        <v>619.89</v>
      </c>
      <c r="M131" s="14" t="n">
        <v>619.89</v>
      </c>
      <c r="N131" s="14" t="n">
        <v>619.89</v>
      </c>
      <c r="O131" s="14" t="n">
        <v>619.89</v>
      </c>
      <c r="P131" s="14" t="n">
        <v>619.89</v>
      </c>
      <c r="Q131" s="14" t="n">
        <v>619.89</v>
      </c>
      <c r="R131" s="14" t="n">
        <v>619.89</v>
      </c>
      <c r="S131" s="14" t="n">
        <v>619.89</v>
      </c>
      <c r="T131" s="14" t="n">
        <v>619.89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CANON-202510-001274</t>
        </is>
      </c>
      <c r="B132" s="15" t="inlineStr">
        <is>
          <t>2025-10-13</t>
        </is>
      </c>
      <c r="C132" s="15" t="inlineStr">
        <is>
          <t>Fitzgerald Thistlewood</t>
        </is>
      </c>
      <c r="D132" s="15" t="inlineStr">
        <is>
          <t>CA</t>
        </is>
      </c>
      <c r="E132" s="16" t="n">
        <v>685000</v>
      </c>
      <c r="F132" s="16" t="n">
        <v>7270.86</v>
      </c>
      <c r="G132" s="16" t="n">
        <v>908.86</v>
      </c>
      <c r="H132" s="16" t="n">
        <v>908.86</v>
      </c>
      <c r="I132" s="16">
        <f>SUM(K132:T132)</f>
        <v/>
      </c>
      <c r="J132" s="16">
        <f>F132-(G132+H132+I132)</f>
        <v/>
      </c>
      <c r="K132" s="16" t="n">
        <v>545.3099999999999</v>
      </c>
      <c r="L132" s="16" t="n">
        <v>545.3099999999999</v>
      </c>
      <c r="M132" s="16" t="n">
        <v>545.3099999999999</v>
      </c>
      <c r="N132" s="16" t="n">
        <v>545.3099999999999</v>
      </c>
      <c r="O132" s="16" t="n">
        <v>545.3099999999999</v>
      </c>
      <c r="P132" s="16" t="n">
        <v>545.3099999999999</v>
      </c>
      <c r="Q132" s="16" t="n">
        <v>545.3099999999999</v>
      </c>
      <c r="R132" s="16" t="n">
        <v>545.3099999999999</v>
      </c>
      <c r="S132" s="16" t="n">
        <v>545.3099999999999</v>
      </c>
      <c r="T132" s="16" t="n">
        <v>545.3099999999999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CANON-202510-001275</t>
        </is>
      </c>
      <c r="B133" s="3" t="inlineStr">
        <is>
          <t>2025-10-20</t>
        </is>
      </c>
      <c r="C133" s="3" t="inlineStr">
        <is>
          <t>Callum Kingsford</t>
        </is>
      </c>
      <c r="D133" s="3" t="inlineStr">
        <is>
          <t>NV</t>
        </is>
      </c>
      <c r="E133" s="14" t="n">
        <v>230000</v>
      </c>
      <c r="F133" s="14" t="n">
        <v>2804.66</v>
      </c>
      <c r="G133" s="14" t="n">
        <v>350.58</v>
      </c>
      <c r="H133" s="14" t="n">
        <v>350.58</v>
      </c>
      <c r="I133" s="14">
        <f>SUM(K133:T133)</f>
        <v/>
      </c>
      <c r="J133" s="14">
        <f>F133-(G133+H133+I133)</f>
        <v/>
      </c>
      <c r="K133" s="14" t="n">
        <v>210.35</v>
      </c>
      <c r="L133" s="14" t="n">
        <v>210.35</v>
      </c>
      <c r="M133" s="14" t="n">
        <v>210.35</v>
      </c>
      <c r="N133" s="14" t="n">
        <v>210.35</v>
      </c>
      <c r="O133" s="14" t="n">
        <v>210.35</v>
      </c>
      <c r="P133" s="14" t="n">
        <v>210.35</v>
      </c>
      <c r="Q133" s="14" t="n">
        <v>210.35</v>
      </c>
      <c r="R133" s="14" t="n">
        <v>210.35</v>
      </c>
      <c r="S133" s="14" t="n">
        <v>210.35</v>
      </c>
      <c r="T133" s="14" t="n">
        <v>210.35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CANON-202510-001277</t>
        </is>
      </c>
      <c r="B134" s="15" t="inlineStr">
        <is>
          <t>2025-10-31</t>
        </is>
      </c>
      <c r="C134" s="15" t="inlineStr">
        <is>
          <t>Saoirse Larsson</t>
        </is>
      </c>
      <c r="D134" s="15" t="inlineStr">
        <is>
          <t>OR</t>
        </is>
      </c>
      <c r="E134" s="16" t="n">
        <v>285000</v>
      </c>
      <c r="F134" s="16" t="n">
        <v>4416.49</v>
      </c>
      <c r="G134" s="16" t="n">
        <v>552.0599999999999</v>
      </c>
      <c r="H134" s="16" t="n">
        <v>552.0599999999999</v>
      </c>
      <c r="I134" s="16">
        <f>SUM(K134:T134)</f>
        <v/>
      </c>
      <c r="J134" s="16">
        <f>F134-(G134+H134+I134)</f>
        <v/>
      </c>
      <c r="K134" s="16" t="n">
        <v>331.24</v>
      </c>
      <c r="L134" s="16" t="n">
        <v>331.24</v>
      </c>
      <c r="M134" s="16" t="n">
        <v>331.24</v>
      </c>
      <c r="N134" s="16" t="n">
        <v>331.24</v>
      </c>
      <c r="O134" s="16" t="n">
        <v>331.24</v>
      </c>
      <c r="P134" s="16" t="n">
        <v>331.24</v>
      </c>
      <c r="Q134" s="16" t="n">
        <v>331.24</v>
      </c>
      <c r="R134" s="16" t="n">
        <v>331.24</v>
      </c>
      <c r="S134" s="16" t="n">
        <v>331.24</v>
      </c>
      <c r="T134" s="16" t="n">
        <v>331.24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CANON-202510-001278</t>
        </is>
      </c>
      <c r="B135" s="3" t="inlineStr">
        <is>
          <t>2025-10-26</t>
        </is>
      </c>
      <c r="C135" s="3" t="inlineStr">
        <is>
          <t>Thaddeus Montoya</t>
        </is>
      </c>
      <c r="D135" s="3" t="inlineStr">
        <is>
          <t>FL</t>
        </is>
      </c>
      <c r="E135" s="14" t="n">
        <v>715000</v>
      </c>
      <c r="F135" s="14" t="n">
        <v>12067.03</v>
      </c>
      <c r="G135" s="14" t="n">
        <v>1508.38</v>
      </c>
      <c r="H135" s="14" t="n">
        <v>1508.38</v>
      </c>
      <c r="I135" s="14">
        <f>SUM(K135:T135)</f>
        <v/>
      </c>
      <c r="J135" s="14">
        <f>F135-(G135+H135+I135)</f>
        <v/>
      </c>
      <c r="K135" s="14" t="n">
        <v>905.03</v>
      </c>
      <c r="L135" s="14" t="n">
        <v>905.03</v>
      </c>
      <c r="M135" s="14" t="n">
        <v>905.03</v>
      </c>
      <c r="N135" s="14" t="n">
        <v>905.03</v>
      </c>
      <c r="O135" s="14" t="n">
        <v>905.03</v>
      </c>
      <c r="P135" s="14" t="n">
        <v>905.03</v>
      </c>
      <c r="Q135" s="14" t="n">
        <v>905.03</v>
      </c>
      <c r="R135" s="14" t="n">
        <v>905.03</v>
      </c>
      <c r="S135" s="14" t="n">
        <v>905.03</v>
      </c>
      <c r="T135" s="14" t="n">
        <v>905.03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CANON-202510-001281</t>
        </is>
      </c>
      <c r="B136" s="15" t="inlineStr">
        <is>
          <t>2025-10-02</t>
        </is>
      </c>
      <c r="C136" s="15" t="inlineStr">
        <is>
          <t>Leopold Nakashima</t>
        </is>
      </c>
      <c r="D136" s="15" t="inlineStr">
        <is>
          <t>NE</t>
        </is>
      </c>
      <c r="E136" s="16" t="n">
        <v>420000</v>
      </c>
      <c r="F136" s="16" t="n">
        <v>7487.67</v>
      </c>
      <c r="G136" s="16" t="n">
        <v>935.96</v>
      </c>
      <c r="H136" s="16" t="n">
        <v>935.96</v>
      </c>
      <c r="I136" s="16">
        <f>SUM(K136:T136)</f>
        <v/>
      </c>
      <c r="J136" s="16">
        <f>F136-(G136+H136+I136)</f>
        <v/>
      </c>
      <c r="K136" s="16" t="n">
        <v>561.58</v>
      </c>
      <c r="L136" s="16" t="n">
        <v>561.58</v>
      </c>
      <c r="M136" s="16" t="n">
        <v>561.58</v>
      </c>
      <c r="N136" s="16" t="n">
        <v>561.58</v>
      </c>
      <c r="O136" s="16" t="n">
        <v>561.58</v>
      </c>
      <c r="P136" s="16" t="n">
        <v>561.58</v>
      </c>
      <c r="Q136" s="16" t="n">
        <v>561.58</v>
      </c>
      <c r="R136" s="16" t="n">
        <v>561.58</v>
      </c>
      <c r="S136" s="16" t="n">
        <v>561.58</v>
      </c>
      <c r="T136" s="16" t="n">
        <v>561.58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CANON-202510-001283</t>
        </is>
      </c>
      <c r="B137" s="3" t="inlineStr">
        <is>
          <t>2025-10-12</t>
        </is>
      </c>
      <c r="C137" s="3" t="inlineStr">
        <is>
          <t>Aurelio Montoya</t>
        </is>
      </c>
      <c r="D137" s="3" t="inlineStr">
        <is>
          <t>DE</t>
        </is>
      </c>
      <c r="E137" s="14" t="n">
        <v>740000</v>
      </c>
      <c r="F137" s="14" t="n">
        <v>16067.86</v>
      </c>
      <c r="G137" s="14" t="n">
        <v>2008.48</v>
      </c>
      <c r="H137" s="14" t="n">
        <v>2008.48</v>
      </c>
      <c r="I137" s="14">
        <f>SUM(K137:T137)</f>
        <v/>
      </c>
      <c r="J137" s="14">
        <f>F137-(G137+H137+I137)</f>
        <v/>
      </c>
      <c r="K137" s="14" t="n">
        <v>1205.09</v>
      </c>
      <c r="L137" s="14" t="n">
        <v>1205.09</v>
      </c>
      <c r="M137" s="14" t="n">
        <v>1205.09</v>
      </c>
      <c r="N137" s="14" t="n">
        <v>1205.09</v>
      </c>
      <c r="O137" s="14" t="n">
        <v>1205.09</v>
      </c>
      <c r="P137" s="14" t="n">
        <v>1205.09</v>
      </c>
      <c r="Q137" s="14" t="n">
        <v>1205.09</v>
      </c>
      <c r="R137" s="14" t="n">
        <v>1205.09</v>
      </c>
      <c r="S137" s="14" t="n">
        <v>1205.09</v>
      </c>
      <c r="T137" s="14" t="n">
        <v>1205.09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CANON-202510-001285</t>
        </is>
      </c>
      <c r="B138" s="15" t="inlineStr">
        <is>
          <t>2025-10-20</t>
        </is>
      </c>
      <c r="C138" s="15" t="inlineStr">
        <is>
          <t>Saoirse Montoya</t>
        </is>
      </c>
      <c r="D138" s="15" t="inlineStr">
        <is>
          <t>WI</t>
        </is>
      </c>
      <c r="E138" s="16" t="n">
        <v>205000</v>
      </c>
      <c r="F138" s="16" t="n">
        <v>4138.24</v>
      </c>
      <c r="G138" s="16" t="n">
        <v>517.28</v>
      </c>
      <c r="H138" s="16" t="n">
        <v>517.28</v>
      </c>
      <c r="I138" s="16">
        <f>SUM(K138:T138)</f>
        <v/>
      </c>
      <c r="J138" s="16">
        <f>F138-(G138+H138+I138)</f>
        <v/>
      </c>
      <c r="K138" s="16" t="n">
        <v>310.37</v>
      </c>
      <c r="L138" s="16" t="n">
        <v>310.37</v>
      </c>
      <c r="M138" s="16" t="n">
        <v>310.37</v>
      </c>
      <c r="N138" s="16" t="n">
        <v>310.37</v>
      </c>
      <c r="O138" s="16" t="n">
        <v>310.37</v>
      </c>
      <c r="P138" s="16" t="n">
        <v>310.37</v>
      </c>
      <c r="Q138" s="16" t="n">
        <v>310.37</v>
      </c>
      <c r="R138" s="16" t="n">
        <v>310.37</v>
      </c>
      <c r="S138" s="16" t="n">
        <v>310.37</v>
      </c>
      <c r="T138" s="16" t="n">
        <v>310.37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CANON-202510-001287</t>
        </is>
      </c>
      <c r="B139" s="3" t="inlineStr">
        <is>
          <t>2025-10-08</t>
        </is>
      </c>
      <c r="C139" s="3" t="inlineStr">
        <is>
          <t>Emiliano Rourke</t>
        </is>
      </c>
      <c r="D139" s="3" t="inlineStr">
        <is>
          <t>VT</t>
        </is>
      </c>
      <c r="E139" s="14" t="n">
        <v>1655000</v>
      </c>
      <c r="F139" s="14" t="n">
        <v>14029.24</v>
      </c>
      <c r="G139" s="14" t="n">
        <v>1753.65</v>
      </c>
      <c r="H139" s="14" t="n">
        <v>1753.65</v>
      </c>
      <c r="I139" s="14">
        <f>SUM(K139:T139)</f>
        <v/>
      </c>
      <c r="J139" s="14">
        <f>F139-(G139+H139+I139)</f>
        <v/>
      </c>
      <c r="K139" s="14" t="n">
        <v>1052.19</v>
      </c>
      <c r="L139" s="14" t="n">
        <v>1052.19</v>
      </c>
      <c r="M139" s="14" t="n">
        <v>1052.19</v>
      </c>
      <c r="N139" s="14" t="n">
        <v>1052.19</v>
      </c>
      <c r="O139" s="14" t="n">
        <v>1052.19</v>
      </c>
      <c r="P139" s="14" t="n">
        <v>1052.19</v>
      </c>
      <c r="Q139" s="14" t="n">
        <v>1052.19</v>
      </c>
      <c r="R139" s="14" t="n">
        <v>1052.19</v>
      </c>
      <c r="S139" s="14" t="n">
        <v>1052.19</v>
      </c>
      <c r="T139" s="14" t="n">
        <v>1052.19</v>
      </c>
      <c r="U139" s="14" t="n">
        <v>350</v>
      </c>
      <c r="V139" s="14" t="n">
        <v>250</v>
      </c>
      <c r="W139" s="14">
        <f>U139+V139</f>
        <v/>
      </c>
    </row>
    <row r="140">
      <c r="A140" s="15" t="inlineStr">
        <is>
          <t>CANON-202510-001288</t>
        </is>
      </c>
      <c r="B140" s="15" t="inlineStr">
        <is>
          <t>2025-10-12</t>
        </is>
      </c>
      <c r="C140" s="15" t="inlineStr">
        <is>
          <t>Fitzgerald Underwood</t>
        </is>
      </c>
      <c r="D140" s="15" t="inlineStr">
        <is>
          <t>HI</t>
        </is>
      </c>
      <c r="E140" s="16" t="n">
        <v>895000</v>
      </c>
      <c r="F140" s="16" t="n">
        <v>20210.76</v>
      </c>
      <c r="G140" s="16" t="n">
        <v>2526.34</v>
      </c>
      <c r="H140" s="16" t="n">
        <v>2526.34</v>
      </c>
      <c r="I140" s="16">
        <f>SUM(K140:T140)</f>
        <v/>
      </c>
      <c r="J140" s="16">
        <f>F140-(G140+H140+I140)</f>
        <v/>
      </c>
      <c r="K140" s="16" t="n">
        <v>1515.81</v>
      </c>
      <c r="L140" s="16" t="n">
        <v>1515.81</v>
      </c>
      <c r="M140" s="16" t="n">
        <v>1515.81</v>
      </c>
      <c r="N140" s="16" t="n">
        <v>1515.81</v>
      </c>
      <c r="O140" s="16" t="n">
        <v>1515.81</v>
      </c>
      <c r="P140" s="16" t="n">
        <v>1515.81</v>
      </c>
      <c r="Q140" s="16" t="n">
        <v>1515.81</v>
      </c>
      <c r="R140" s="16" t="n">
        <v>1515.81</v>
      </c>
      <c r="S140" s="16" t="n">
        <v>1515.81</v>
      </c>
      <c r="T140" s="16" t="n">
        <v>1515.81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CANON-202510-001289</t>
        </is>
      </c>
      <c r="B141" s="3" t="inlineStr">
        <is>
          <t>2025-10-20</t>
        </is>
      </c>
      <c r="C141" s="3" t="inlineStr">
        <is>
          <t>Beatrix Nakashima</t>
        </is>
      </c>
      <c r="D141" s="3" t="inlineStr">
        <is>
          <t>ID</t>
        </is>
      </c>
      <c r="E141" s="14" t="n">
        <v>990000</v>
      </c>
      <c r="F141" s="14" t="n">
        <v>11648.67</v>
      </c>
      <c r="G141" s="14" t="n">
        <v>1456.08</v>
      </c>
      <c r="H141" s="14" t="n">
        <v>1456.08</v>
      </c>
      <c r="I141" s="14">
        <f>SUM(K141:T141)</f>
        <v/>
      </c>
      <c r="J141" s="14">
        <f>F141-(G141+H141+I141)</f>
        <v/>
      </c>
      <c r="K141" s="14" t="n">
        <v>873.65</v>
      </c>
      <c r="L141" s="14" t="n">
        <v>873.65</v>
      </c>
      <c r="M141" s="14" t="n">
        <v>873.65</v>
      </c>
      <c r="N141" s="14" t="n">
        <v>873.65</v>
      </c>
      <c r="O141" s="14" t="n">
        <v>873.65</v>
      </c>
      <c r="P141" s="14" t="n">
        <v>873.65</v>
      </c>
      <c r="Q141" s="14" t="n">
        <v>873.65</v>
      </c>
      <c r="R141" s="14" t="n">
        <v>873.65</v>
      </c>
      <c r="S141" s="14" t="n">
        <v>873.65</v>
      </c>
      <c r="T141" s="14" t="n">
        <v>873.65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CANON-202510-001290</t>
        </is>
      </c>
      <c r="B142" s="15" t="inlineStr">
        <is>
          <t>2025-10-31</t>
        </is>
      </c>
      <c r="C142" s="15" t="inlineStr">
        <is>
          <t>Aurelio Delacroix</t>
        </is>
      </c>
      <c r="D142" s="15" t="inlineStr">
        <is>
          <t>TX</t>
        </is>
      </c>
      <c r="E142" s="16" t="n">
        <v>1145000</v>
      </c>
      <c r="F142" s="16" t="n">
        <v>13242.16</v>
      </c>
      <c r="G142" s="16" t="n">
        <v>1655.27</v>
      </c>
      <c r="H142" s="16" t="n">
        <v>1655.27</v>
      </c>
      <c r="I142" s="16">
        <f>SUM(K142:T142)</f>
        <v/>
      </c>
      <c r="J142" s="16">
        <f>F142-(G142+H142+I142)</f>
        <v/>
      </c>
      <c r="K142" s="16" t="n">
        <v>993.16</v>
      </c>
      <c r="L142" s="16" t="n">
        <v>993.16</v>
      </c>
      <c r="M142" s="16" t="n">
        <v>993.16</v>
      </c>
      <c r="N142" s="16" t="n">
        <v>993.16</v>
      </c>
      <c r="O142" s="16" t="n">
        <v>993.16</v>
      </c>
      <c r="P142" s="16" t="n">
        <v>993.16</v>
      </c>
      <c r="Q142" s="16" t="n">
        <v>993.16</v>
      </c>
      <c r="R142" s="16" t="n">
        <v>993.16</v>
      </c>
      <c r="S142" s="16" t="n">
        <v>993.16</v>
      </c>
      <c r="T142" s="16" t="n">
        <v>993.16</v>
      </c>
      <c r="U142" s="16" t="n">
        <v>350</v>
      </c>
      <c r="V142" s="16" t="n">
        <v>250</v>
      </c>
      <c r="W142" s="16">
        <f>U142+V142</f>
        <v/>
      </c>
    </row>
    <row r="143">
      <c r="A143" s="3" t="inlineStr">
        <is>
          <t>CANON-202510-001291</t>
        </is>
      </c>
      <c r="B143" s="3" t="inlineStr">
        <is>
          <t>2025-10-24</t>
        </is>
      </c>
      <c r="C143" s="3" t="inlineStr">
        <is>
          <t>Lorenzo Ashcombe</t>
        </is>
      </c>
      <c r="D143" s="3" t="inlineStr">
        <is>
          <t>TX</t>
        </is>
      </c>
      <c r="E143" s="14" t="n">
        <v>345000</v>
      </c>
      <c r="F143" s="14" t="n">
        <v>5440.91</v>
      </c>
      <c r="G143" s="14" t="n">
        <v>680.11</v>
      </c>
      <c r="H143" s="14" t="n">
        <v>680.11</v>
      </c>
      <c r="I143" s="14">
        <f>SUM(K143:T143)</f>
        <v/>
      </c>
      <c r="J143" s="14">
        <f>F143-(G143+H143+I143)</f>
        <v/>
      </c>
      <c r="K143" s="14" t="n">
        <v>408.07</v>
      </c>
      <c r="L143" s="14" t="n">
        <v>408.07</v>
      </c>
      <c r="M143" s="14" t="n">
        <v>408.07</v>
      </c>
      <c r="N143" s="14" t="n">
        <v>408.07</v>
      </c>
      <c r="O143" s="14" t="n">
        <v>408.07</v>
      </c>
      <c r="P143" s="14" t="n">
        <v>408.07</v>
      </c>
      <c r="Q143" s="14" t="n">
        <v>408.07</v>
      </c>
      <c r="R143" s="14" t="n">
        <v>408.07</v>
      </c>
      <c r="S143" s="14" t="n">
        <v>408.07</v>
      </c>
      <c r="T143" s="14" t="n">
        <v>408.07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CANON-202510-001292</t>
        </is>
      </c>
      <c r="B144" s="15" t="inlineStr">
        <is>
          <t>2025-10-29</t>
        </is>
      </c>
      <c r="C144" s="15" t="inlineStr">
        <is>
          <t>Wilhelmina Bellandi</t>
        </is>
      </c>
      <c r="D144" s="15" t="inlineStr">
        <is>
          <t>NY</t>
        </is>
      </c>
      <c r="E144" s="16" t="n">
        <v>515000</v>
      </c>
      <c r="F144" s="16" t="n">
        <v>4580.3</v>
      </c>
      <c r="G144" s="16" t="n">
        <v>572.54</v>
      </c>
      <c r="H144" s="16" t="n">
        <v>572.54</v>
      </c>
      <c r="I144" s="16">
        <f>SUM(K144:T144)</f>
        <v/>
      </c>
      <c r="J144" s="16">
        <f>F144-(G144+H144+I144)</f>
        <v/>
      </c>
      <c r="K144" s="16" t="n">
        <v>343.52</v>
      </c>
      <c r="L144" s="16" t="n">
        <v>343.52</v>
      </c>
      <c r="M144" s="16" t="n">
        <v>343.52</v>
      </c>
      <c r="N144" s="16" t="n">
        <v>343.52</v>
      </c>
      <c r="O144" s="16" t="n">
        <v>343.52</v>
      </c>
      <c r="P144" s="16" t="n">
        <v>343.52</v>
      </c>
      <c r="Q144" s="16" t="n">
        <v>343.52</v>
      </c>
      <c r="R144" s="16" t="n">
        <v>343.52</v>
      </c>
      <c r="S144" s="16" t="n">
        <v>343.52</v>
      </c>
      <c r="T144" s="16" t="n">
        <v>343.52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CANON-202510-001293</t>
        </is>
      </c>
      <c r="B145" s="3" t="inlineStr">
        <is>
          <t>2025-10-16</t>
        </is>
      </c>
      <c r="C145" s="3" t="inlineStr">
        <is>
          <t>Priya Castellanos</t>
        </is>
      </c>
      <c r="D145" s="3" t="inlineStr">
        <is>
          <t>MO</t>
        </is>
      </c>
      <c r="E145" s="14" t="n">
        <v>700000</v>
      </c>
      <c r="F145" s="14" t="n">
        <v>5833.98</v>
      </c>
      <c r="G145" s="14" t="n">
        <v>729.25</v>
      </c>
      <c r="H145" s="14" t="n">
        <v>729.25</v>
      </c>
      <c r="I145" s="14">
        <f>SUM(K145:T145)</f>
        <v/>
      </c>
      <c r="J145" s="14">
        <f>F145-(G145+H145+I145)</f>
        <v/>
      </c>
      <c r="K145" s="14" t="n">
        <v>437.55</v>
      </c>
      <c r="L145" s="14" t="n">
        <v>437.55</v>
      </c>
      <c r="M145" s="14" t="n">
        <v>437.55</v>
      </c>
      <c r="N145" s="14" t="n">
        <v>437.55</v>
      </c>
      <c r="O145" s="14" t="n">
        <v>437.55</v>
      </c>
      <c r="P145" s="14" t="n">
        <v>437.55</v>
      </c>
      <c r="Q145" s="14" t="n">
        <v>437.55</v>
      </c>
      <c r="R145" s="14" t="n">
        <v>437.55</v>
      </c>
      <c r="S145" s="14" t="n">
        <v>437.55</v>
      </c>
      <c r="T145" s="14" t="n">
        <v>437.55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CANON-202510-001294</t>
        </is>
      </c>
      <c r="B146" s="15" t="inlineStr">
        <is>
          <t>2025-10-14</t>
        </is>
      </c>
      <c r="C146" s="15" t="inlineStr">
        <is>
          <t>Aurelio Vasquez</t>
        </is>
      </c>
      <c r="D146" s="15" t="inlineStr">
        <is>
          <t>MA</t>
        </is>
      </c>
      <c r="E146" s="16" t="n">
        <v>490000</v>
      </c>
      <c r="F146" s="16" t="n">
        <v>8399.629999999999</v>
      </c>
      <c r="G146" s="16" t="n">
        <v>1049.95</v>
      </c>
      <c r="H146" s="16" t="n">
        <v>1049.95</v>
      </c>
      <c r="I146" s="16">
        <f>SUM(K146:T146)</f>
        <v/>
      </c>
      <c r="J146" s="16">
        <f>F146-(G146+H146+I146)</f>
        <v/>
      </c>
      <c r="K146" s="16" t="n">
        <v>629.97</v>
      </c>
      <c r="L146" s="16" t="n">
        <v>629.97</v>
      </c>
      <c r="M146" s="16" t="n">
        <v>629.97</v>
      </c>
      <c r="N146" s="16" t="n">
        <v>629.97</v>
      </c>
      <c r="O146" s="16" t="n">
        <v>629.97</v>
      </c>
      <c r="P146" s="16" t="n">
        <v>629.97</v>
      </c>
      <c r="Q146" s="16" t="n">
        <v>629.97</v>
      </c>
      <c r="R146" s="16" t="n">
        <v>629.97</v>
      </c>
      <c r="S146" s="16" t="n">
        <v>629.97</v>
      </c>
      <c r="T146" s="16" t="n">
        <v>629.97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CANON-202510-001295</t>
        </is>
      </c>
      <c r="B147" s="3" t="inlineStr">
        <is>
          <t>2025-10-31</t>
        </is>
      </c>
      <c r="C147" s="3" t="inlineStr">
        <is>
          <t>Cassius Fairweather</t>
        </is>
      </c>
      <c r="D147" s="3" t="inlineStr">
        <is>
          <t>KS</t>
        </is>
      </c>
      <c r="E147" s="14" t="n">
        <v>300000</v>
      </c>
      <c r="F147" s="14" t="n">
        <v>6119.04</v>
      </c>
      <c r="G147" s="14" t="n">
        <v>764.88</v>
      </c>
      <c r="H147" s="14" t="n">
        <v>764.88</v>
      </c>
      <c r="I147" s="14">
        <f>SUM(K147:T147)</f>
        <v/>
      </c>
      <c r="J147" s="14">
        <f>F147-(G147+H147+I147)</f>
        <v/>
      </c>
      <c r="K147" s="14" t="n">
        <v>458.93</v>
      </c>
      <c r="L147" s="14" t="n">
        <v>458.93</v>
      </c>
      <c r="M147" s="14" t="n">
        <v>458.93</v>
      </c>
      <c r="N147" s="14" t="n">
        <v>458.93</v>
      </c>
      <c r="O147" s="14" t="n">
        <v>458.93</v>
      </c>
      <c r="P147" s="14" t="n">
        <v>458.93</v>
      </c>
      <c r="Q147" s="14" t="n">
        <v>458.93</v>
      </c>
      <c r="R147" s="14" t="n">
        <v>458.93</v>
      </c>
      <c r="S147" s="14" t="n">
        <v>458.93</v>
      </c>
      <c r="T147" s="14" t="n">
        <v>458.93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CANON-202510-001296</t>
        </is>
      </c>
      <c r="B148" s="15" t="inlineStr">
        <is>
          <t>2025-10-28</t>
        </is>
      </c>
      <c r="C148" s="15" t="inlineStr">
        <is>
          <t>Ingrid Nakashima</t>
        </is>
      </c>
      <c r="D148" s="15" t="inlineStr">
        <is>
          <t>KY</t>
        </is>
      </c>
      <c r="E148" s="16" t="n">
        <v>685000</v>
      </c>
      <c r="F148" s="16" t="n">
        <v>13091.3</v>
      </c>
      <c r="G148" s="16" t="n">
        <v>1636.41</v>
      </c>
      <c r="H148" s="16" t="n">
        <v>1636.41</v>
      </c>
      <c r="I148" s="16">
        <f>SUM(K148:T148)</f>
        <v/>
      </c>
      <c r="J148" s="16">
        <f>F148-(G148+H148+I148)</f>
        <v/>
      </c>
      <c r="K148" s="16" t="n">
        <v>981.85</v>
      </c>
      <c r="L148" s="16" t="n">
        <v>981.85</v>
      </c>
      <c r="M148" s="16" t="n">
        <v>981.85</v>
      </c>
      <c r="N148" s="16" t="n">
        <v>981.85</v>
      </c>
      <c r="O148" s="16" t="n">
        <v>981.85</v>
      </c>
      <c r="P148" s="16" t="n">
        <v>981.85</v>
      </c>
      <c r="Q148" s="16" t="n">
        <v>981.85</v>
      </c>
      <c r="R148" s="16" t="n">
        <v>981.85</v>
      </c>
      <c r="S148" s="16" t="n">
        <v>981.85</v>
      </c>
      <c r="T148" s="16" t="n">
        <v>981.85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CANON-202510-001297</t>
        </is>
      </c>
      <c r="B149" s="3" t="inlineStr">
        <is>
          <t>2025-10-27</t>
        </is>
      </c>
      <c r="C149" s="3" t="inlineStr">
        <is>
          <t>Saoirse Harrington</t>
        </is>
      </c>
      <c r="D149" s="3" t="inlineStr">
        <is>
          <t>MA</t>
        </is>
      </c>
      <c r="E149" s="14" t="n">
        <v>1240000</v>
      </c>
      <c r="F149" s="14" t="n">
        <v>22673.29</v>
      </c>
      <c r="G149" s="14" t="n">
        <v>2834.16</v>
      </c>
      <c r="H149" s="14" t="n">
        <v>2834.16</v>
      </c>
      <c r="I149" s="14">
        <f>SUM(K149:T149)</f>
        <v/>
      </c>
      <c r="J149" s="14">
        <f>F149-(G149+H149+I149)</f>
        <v/>
      </c>
      <c r="K149" s="14" t="n">
        <v>1700.5</v>
      </c>
      <c r="L149" s="14" t="n">
        <v>1700.5</v>
      </c>
      <c r="M149" s="14" t="n">
        <v>1700.5</v>
      </c>
      <c r="N149" s="14" t="n">
        <v>1700.5</v>
      </c>
      <c r="O149" s="14" t="n">
        <v>1700.5</v>
      </c>
      <c r="P149" s="14" t="n">
        <v>1700.5</v>
      </c>
      <c r="Q149" s="14" t="n">
        <v>1700.5</v>
      </c>
      <c r="R149" s="14" t="n">
        <v>1700.5</v>
      </c>
      <c r="S149" s="14" t="n">
        <v>1700.5</v>
      </c>
      <c r="T149" s="14" t="n">
        <v>1700.5</v>
      </c>
      <c r="U149" s="14" t="n">
        <v>350</v>
      </c>
      <c r="V149" s="14" t="n">
        <v>250</v>
      </c>
      <c r="W149" s="14">
        <f>U149+V149</f>
        <v/>
      </c>
    </row>
    <row r="150">
      <c r="A150" s="15" t="inlineStr">
        <is>
          <t>CANON-202510-001299</t>
        </is>
      </c>
      <c r="B150" s="15" t="inlineStr">
        <is>
          <t>2025-10-03</t>
        </is>
      </c>
      <c r="C150" s="15" t="inlineStr">
        <is>
          <t>Saoirse Vandermeer</t>
        </is>
      </c>
      <c r="D150" s="15" t="inlineStr">
        <is>
          <t>KS</t>
        </is>
      </c>
      <c r="E150" s="16" t="n">
        <v>1480000</v>
      </c>
      <c r="F150" s="16" t="n">
        <v>14437.4</v>
      </c>
      <c r="G150" s="16" t="n">
        <v>1804.67</v>
      </c>
      <c r="H150" s="16" t="n">
        <v>1804.67</v>
      </c>
      <c r="I150" s="16">
        <f>SUM(K150:T150)</f>
        <v/>
      </c>
      <c r="J150" s="16">
        <f>F150-(G150+H150+I150)</f>
        <v/>
      </c>
      <c r="K150" s="16" t="n">
        <v>1082.8</v>
      </c>
      <c r="L150" s="16" t="n">
        <v>1082.8</v>
      </c>
      <c r="M150" s="16" t="n">
        <v>1082.8</v>
      </c>
      <c r="N150" s="16" t="n">
        <v>1082.8</v>
      </c>
      <c r="O150" s="16" t="n">
        <v>1082.8</v>
      </c>
      <c r="P150" s="16" t="n">
        <v>1082.8</v>
      </c>
      <c r="Q150" s="16" t="n">
        <v>1082.8</v>
      </c>
      <c r="R150" s="16" t="n">
        <v>1082.8</v>
      </c>
      <c r="S150" s="16" t="n">
        <v>1082.8</v>
      </c>
      <c r="T150" s="16" t="n">
        <v>1082.8</v>
      </c>
      <c r="U150" s="16" t="n">
        <v>350</v>
      </c>
      <c r="V150" s="16" t="n">
        <v>250</v>
      </c>
      <c r="W150" s="16">
        <f>U150+V150</f>
        <v/>
      </c>
    </row>
    <row r="151">
      <c r="A151" s="3" t="inlineStr">
        <is>
          <t>CANON-202510-001300</t>
        </is>
      </c>
      <c r="B151" s="3" t="inlineStr">
        <is>
          <t>2025-10-22</t>
        </is>
      </c>
      <c r="C151" s="3" t="inlineStr">
        <is>
          <t>Saoirse Larsson</t>
        </is>
      </c>
      <c r="D151" s="3" t="inlineStr">
        <is>
          <t>AR</t>
        </is>
      </c>
      <c r="E151" s="14" t="n">
        <v>285000</v>
      </c>
      <c r="F151" s="14" t="n">
        <v>5393.59</v>
      </c>
      <c r="G151" s="14" t="n">
        <v>674.2</v>
      </c>
      <c r="H151" s="14" t="n">
        <v>674.2</v>
      </c>
      <c r="I151" s="14">
        <f>SUM(K151:T151)</f>
        <v/>
      </c>
      <c r="J151" s="14">
        <f>F151-(G151+H151+I151)</f>
        <v/>
      </c>
      <c r="K151" s="14" t="n">
        <v>404.52</v>
      </c>
      <c r="L151" s="14" t="n">
        <v>404.52</v>
      </c>
      <c r="M151" s="14" t="n">
        <v>404.52</v>
      </c>
      <c r="N151" s="14" t="n">
        <v>404.52</v>
      </c>
      <c r="O151" s="14" t="n">
        <v>404.52</v>
      </c>
      <c r="P151" s="14" t="n">
        <v>404.52</v>
      </c>
      <c r="Q151" s="14" t="n">
        <v>404.52</v>
      </c>
      <c r="R151" s="14" t="n">
        <v>404.52</v>
      </c>
      <c r="S151" s="14" t="n">
        <v>404.52</v>
      </c>
      <c r="T151" s="14" t="n">
        <v>404.52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CANON-202510-001302</t>
        </is>
      </c>
      <c r="B152" s="15" t="inlineStr">
        <is>
          <t>2025-10-27</t>
        </is>
      </c>
      <c r="C152" s="15" t="inlineStr">
        <is>
          <t>Mireille Montoya</t>
        </is>
      </c>
      <c r="D152" s="15" t="inlineStr">
        <is>
          <t>FL</t>
        </is>
      </c>
      <c r="E152" s="16" t="n">
        <v>730000</v>
      </c>
      <c r="F152" s="16" t="n">
        <v>18006.43</v>
      </c>
      <c r="G152" s="16" t="n">
        <v>2250.8</v>
      </c>
      <c r="H152" s="16" t="n">
        <v>2250.8</v>
      </c>
      <c r="I152" s="16">
        <f>SUM(K152:T152)</f>
        <v/>
      </c>
      <c r="J152" s="16">
        <f>F152-(G152+H152+I152)</f>
        <v/>
      </c>
      <c r="K152" s="16" t="n">
        <v>1350.48</v>
      </c>
      <c r="L152" s="16" t="n">
        <v>1350.48</v>
      </c>
      <c r="M152" s="16" t="n">
        <v>1350.48</v>
      </c>
      <c r="N152" s="16" t="n">
        <v>1350.48</v>
      </c>
      <c r="O152" s="16" t="n">
        <v>1350.48</v>
      </c>
      <c r="P152" s="16" t="n">
        <v>1350.48</v>
      </c>
      <c r="Q152" s="16" t="n">
        <v>1350.48</v>
      </c>
      <c r="R152" s="16" t="n">
        <v>1350.48</v>
      </c>
      <c r="S152" s="16" t="n">
        <v>1350.48</v>
      </c>
      <c r="T152" s="16" t="n">
        <v>1350.48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CANON-202510-001303</t>
        </is>
      </c>
      <c r="B153" s="3" t="inlineStr">
        <is>
          <t>2025-10-27</t>
        </is>
      </c>
      <c r="C153" s="3" t="inlineStr">
        <is>
          <t>Delphine Larsson</t>
        </is>
      </c>
      <c r="D153" s="3" t="inlineStr">
        <is>
          <t>FL</t>
        </is>
      </c>
      <c r="E153" s="14" t="n">
        <v>380000</v>
      </c>
      <c r="F153" s="14" t="n">
        <v>7399.9</v>
      </c>
      <c r="G153" s="14" t="n">
        <v>924.99</v>
      </c>
      <c r="H153" s="14" t="n">
        <v>924.99</v>
      </c>
      <c r="I153" s="14">
        <f>SUM(K153:T153)</f>
        <v/>
      </c>
      <c r="J153" s="14">
        <f>F153-(G153+H153+I153)</f>
        <v/>
      </c>
      <c r="K153" s="14" t="n">
        <v>554.99</v>
      </c>
      <c r="L153" s="14" t="n">
        <v>554.99</v>
      </c>
      <c r="M153" s="14" t="n">
        <v>554.99</v>
      </c>
      <c r="N153" s="14" t="n">
        <v>554.99</v>
      </c>
      <c r="O153" s="14" t="n">
        <v>554.99</v>
      </c>
      <c r="P153" s="14" t="n">
        <v>554.99</v>
      </c>
      <c r="Q153" s="14" t="n">
        <v>554.99</v>
      </c>
      <c r="R153" s="14" t="n">
        <v>554.99</v>
      </c>
      <c r="S153" s="14" t="n">
        <v>554.99</v>
      </c>
      <c r="T153" s="14" t="n">
        <v>554.99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CANON-202510-001304</t>
        </is>
      </c>
      <c r="B154" s="15" t="inlineStr">
        <is>
          <t>2025-10-11</t>
        </is>
      </c>
      <c r="C154" s="15" t="inlineStr">
        <is>
          <t>Thaddeus Vasquez</t>
        </is>
      </c>
      <c r="D154" s="15" t="inlineStr">
        <is>
          <t>MI</t>
        </is>
      </c>
      <c r="E154" s="16" t="n">
        <v>745000</v>
      </c>
      <c r="F154" s="16" t="n">
        <v>8023.51</v>
      </c>
      <c r="G154" s="16" t="n">
        <v>1002.94</v>
      </c>
      <c r="H154" s="16" t="n">
        <v>1002.94</v>
      </c>
      <c r="I154" s="16">
        <f>SUM(K154:T154)</f>
        <v/>
      </c>
      <c r="J154" s="16">
        <f>F154-(G154+H154+I154)</f>
        <v/>
      </c>
      <c r="K154" s="16" t="n">
        <v>601.76</v>
      </c>
      <c r="L154" s="16" t="n">
        <v>601.76</v>
      </c>
      <c r="M154" s="16" t="n">
        <v>601.76</v>
      </c>
      <c r="N154" s="16" t="n">
        <v>601.76</v>
      </c>
      <c r="O154" s="16" t="n">
        <v>601.76</v>
      </c>
      <c r="P154" s="16" t="n">
        <v>601.76</v>
      </c>
      <c r="Q154" s="16" t="n">
        <v>601.76</v>
      </c>
      <c r="R154" s="16" t="n">
        <v>601.76</v>
      </c>
      <c r="S154" s="16" t="n">
        <v>601.76</v>
      </c>
      <c r="T154" s="16" t="n">
        <v>601.76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CANON-202510-001305</t>
        </is>
      </c>
      <c r="B155" s="3" t="inlineStr">
        <is>
          <t>2025-10-25</t>
        </is>
      </c>
      <c r="C155" s="3" t="inlineStr">
        <is>
          <t>Delphine Rourke</t>
        </is>
      </c>
      <c r="D155" s="3" t="inlineStr">
        <is>
          <t>LA</t>
        </is>
      </c>
      <c r="E155" s="14" t="n">
        <v>690000</v>
      </c>
      <c r="F155" s="14" t="n">
        <v>14502.77</v>
      </c>
      <c r="G155" s="14" t="n">
        <v>1812.85</v>
      </c>
      <c r="H155" s="14" t="n">
        <v>1812.85</v>
      </c>
      <c r="I155" s="14">
        <f>SUM(K155:T155)</f>
        <v/>
      </c>
      <c r="J155" s="14">
        <f>F155-(G155+H155+I155)</f>
        <v/>
      </c>
      <c r="K155" s="14" t="n">
        <v>1087.71</v>
      </c>
      <c r="L155" s="14" t="n">
        <v>1087.71</v>
      </c>
      <c r="M155" s="14" t="n">
        <v>1087.71</v>
      </c>
      <c r="N155" s="14" t="n">
        <v>1087.71</v>
      </c>
      <c r="O155" s="14" t="n">
        <v>1087.71</v>
      </c>
      <c r="P155" s="14" t="n">
        <v>1087.71</v>
      </c>
      <c r="Q155" s="14" t="n">
        <v>1087.71</v>
      </c>
      <c r="R155" s="14" t="n">
        <v>1087.71</v>
      </c>
      <c r="S155" s="14" t="n">
        <v>1087.71</v>
      </c>
      <c r="T155" s="14" t="n">
        <v>1087.71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CANON-202510-001306</t>
        </is>
      </c>
      <c r="B156" s="15" t="inlineStr">
        <is>
          <t>2025-10-17</t>
        </is>
      </c>
      <c r="C156" s="15" t="inlineStr">
        <is>
          <t>Wilhelmina Underwood</t>
        </is>
      </c>
      <c r="D156" s="15" t="inlineStr">
        <is>
          <t>ME</t>
        </is>
      </c>
      <c r="E156" s="16" t="n">
        <v>810000</v>
      </c>
      <c r="F156" s="16" t="n">
        <v>10397.16</v>
      </c>
      <c r="G156" s="16" t="n">
        <v>1299.64</v>
      </c>
      <c r="H156" s="16" t="n">
        <v>1299.64</v>
      </c>
      <c r="I156" s="16">
        <f>SUM(K156:T156)</f>
        <v/>
      </c>
      <c r="J156" s="16">
        <f>F156-(G156+H156+I156)</f>
        <v/>
      </c>
      <c r="K156" s="16" t="n">
        <v>779.79</v>
      </c>
      <c r="L156" s="16" t="n">
        <v>779.79</v>
      </c>
      <c r="M156" s="16" t="n">
        <v>779.79</v>
      </c>
      <c r="N156" s="16" t="n">
        <v>779.79</v>
      </c>
      <c r="O156" s="16" t="n">
        <v>779.79</v>
      </c>
      <c r="P156" s="16" t="n">
        <v>779.79</v>
      </c>
      <c r="Q156" s="16" t="n">
        <v>779.79</v>
      </c>
      <c r="R156" s="16" t="n">
        <v>779.79</v>
      </c>
      <c r="S156" s="16" t="n">
        <v>779.79</v>
      </c>
      <c r="T156" s="16" t="n">
        <v>779.79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CANON-202510-001307</t>
        </is>
      </c>
      <c r="B157" s="3" t="inlineStr">
        <is>
          <t>2025-10-25</t>
        </is>
      </c>
      <c r="C157" s="3" t="inlineStr">
        <is>
          <t>Ingrid Underwood</t>
        </is>
      </c>
      <c r="D157" s="3" t="inlineStr">
        <is>
          <t>CT</t>
        </is>
      </c>
      <c r="E157" s="14" t="n">
        <v>1060000</v>
      </c>
      <c r="F157" s="14" t="n">
        <v>11939.31</v>
      </c>
      <c r="G157" s="14" t="n">
        <v>1492.41</v>
      </c>
      <c r="H157" s="14" t="n">
        <v>1492.41</v>
      </c>
      <c r="I157" s="14">
        <f>SUM(K157:T157)</f>
        <v/>
      </c>
      <c r="J157" s="14">
        <f>F157-(G157+H157+I157)</f>
        <v/>
      </c>
      <c r="K157" s="14" t="n">
        <v>895.45</v>
      </c>
      <c r="L157" s="14" t="n">
        <v>895.45</v>
      </c>
      <c r="M157" s="14" t="n">
        <v>895.45</v>
      </c>
      <c r="N157" s="14" t="n">
        <v>895.45</v>
      </c>
      <c r="O157" s="14" t="n">
        <v>895.45</v>
      </c>
      <c r="P157" s="14" t="n">
        <v>895.45</v>
      </c>
      <c r="Q157" s="14" t="n">
        <v>895.45</v>
      </c>
      <c r="R157" s="14" t="n">
        <v>895.45</v>
      </c>
      <c r="S157" s="14" t="n">
        <v>895.45</v>
      </c>
      <c r="T157" s="14" t="n">
        <v>895.45</v>
      </c>
      <c r="U157" s="14" t="n">
        <v>350</v>
      </c>
      <c r="V157" s="14" t="n">
        <v>250</v>
      </c>
      <c r="W157" s="14">
        <f>U157+V157</f>
        <v/>
      </c>
    </row>
    <row r="158">
      <c r="A158" s="15" t="inlineStr">
        <is>
          <t>CANON-202510-001308</t>
        </is>
      </c>
      <c r="B158" s="15" t="inlineStr">
        <is>
          <t>2025-10-20</t>
        </is>
      </c>
      <c r="C158" s="15" t="inlineStr">
        <is>
          <t>Ramona Castellanos</t>
        </is>
      </c>
      <c r="D158" s="15" t="inlineStr">
        <is>
          <t>NY</t>
        </is>
      </c>
      <c r="E158" s="16" t="n">
        <v>675000</v>
      </c>
      <c r="F158" s="16" t="n">
        <v>10268.81</v>
      </c>
      <c r="G158" s="16" t="n">
        <v>1283.6</v>
      </c>
      <c r="H158" s="16" t="n">
        <v>1283.6</v>
      </c>
      <c r="I158" s="16">
        <f>SUM(K158:T158)</f>
        <v/>
      </c>
      <c r="J158" s="16">
        <f>F158-(G158+H158+I158)</f>
        <v/>
      </c>
      <c r="K158" s="16" t="n">
        <v>770.16</v>
      </c>
      <c r="L158" s="16" t="n">
        <v>770.16</v>
      </c>
      <c r="M158" s="16" t="n">
        <v>770.16</v>
      </c>
      <c r="N158" s="16" t="n">
        <v>770.16</v>
      </c>
      <c r="O158" s="16" t="n">
        <v>770.16</v>
      </c>
      <c r="P158" s="16" t="n">
        <v>770.16</v>
      </c>
      <c r="Q158" s="16" t="n">
        <v>770.16</v>
      </c>
      <c r="R158" s="16" t="n">
        <v>770.16</v>
      </c>
      <c r="S158" s="16" t="n">
        <v>770.16</v>
      </c>
      <c r="T158" s="16" t="n">
        <v>770.16</v>
      </c>
      <c r="U158" s="16" t="n">
        <v>350</v>
      </c>
      <c r="V158" s="16" t="n">
        <v>0</v>
      </c>
      <c r="W158" s="16">
        <f>U158+V158</f>
        <v/>
      </c>
    </row>
    <row r="159">
      <c r="A159" s="3" t="inlineStr">
        <is>
          <t>CANON-202510-001311</t>
        </is>
      </c>
      <c r="B159" s="3" t="inlineStr">
        <is>
          <t>2025-10-16</t>
        </is>
      </c>
      <c r="C159" s="3" t="inlineStr">
        <is>
          <t>Mireille Merriweather</t>
        </is>
      </c>
      <c r="D159" s="3" t="inlineStr">
        <is>
          <t>TX</t>
        </is>
      </c>
      <c r="E159" s="14" t="n">
        <v>835000</v>
      </c>
      <c r="F159" s="14" t="n">
        <v>11412.75</v>
      </c>
      <c r="G159" s="14" t="n">
        <v>1426.59</v>
      </c>
      <c r="H159" s="14" t="n">
        <v>1426.59</v>
      </c>
      <c r="I159" s="14">
        <f>SUM(K159:T159)</f>
        <v/>
      </c>
      <c r="J159" s="14">
        <f>F159-(G159+H159+I159)</f>
        <v/>
      </c>
      <c r="K159" s="14" t="n">
        <v>855.96</v>
      </c>
      <c r="L159" s="14" t="n">
        <v>855.96</v>
      </c>
      <c r="M159" s="14" t="n">
        <v>855.96</v>
      </c>
      <c r="N159" s="14" t="n">
        <v>855.96</v>
      </c>
      <c r="O159" s="14" t="n">
        <v>855.96</v>
      </c>
      <c r="P159" s="14" t="n">
        <v>855.96</v>
      </c>
      <c r="Q159" s="14" t="n">
        <v>855.96</v>
      </c>
      <c r="R159" s="14" t="n">
        <v>855.96</v>
      </c>
      <c r="S159" s="14" t="n">
        <v>855.96</v>
      </c>
      <c r="T159" s="14" t="n">
        <v>855.96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CANON-202510-001312</t>
        </is>
      </c>
      <c r="B160" s="15" t="inlineStr">
        <is>
          <t>2025-10-26</t>
        </is>
      </c>
      <c r="C160" s="15" t="inlineStr">
        <is>
          <t>Delphine Farkas</t>
        </is>
      </c>
      <c r="D160" s="15" t="inlineStr">
        <is>
          <t>MS</t>
        </is>
      </c>
      <c r="E160" s="16" t="n">
        <v>1870000</v>
      </c>
      <c r="F160" s="16" t="n">
        <v>15461.97</v>
      </c>
      <c r="G160" s="16" t="n">
        <v>1932.75</v>
      </c>
      <c r="H160" s="16" t="n">
        <v>1932.75</v>
      </c>
      <c r="I160" s="16">
        <f>SUM(K160:T160)</f>
        <v/>
      </c>
      <c r="J160" s="16">
        <f>F160-(G160+H160+I160)</f>
        <v/>
      </c>
      <c r="K160" s="16" t="n">
        <v>1159.65</v>
      </c>
      <c r="L160" s="16" t="n">
        <v>1159.65</v>
      </c>
      <c r="M160" s="16" t="n">
        <v>1159.65</v>
      </c>
      <c r="N160" s="16" t="n">
        <v>1159.65</v>
      </c>
      <c r="O160" s="16" t="n">
        <v>1159.65</v>
      </c>
      <c r="P160" s="16" t="n">
        <v>1159.65</v>
      </c>
      <c r="Q160" s="16" t="n">
        <v>1159.65</v>
      </c>
      <c r="R160" s="16" t="n">
        <v>1159.65</v>
      </c>
      <c r="S160" s="16" t="n">
        <v>1159.65</v>
      </c>
      <c r="T160" s="16" t="n">
        <v>1159.65</v>
      </c>
      <c r="U160" s="16" t="n">
        <v>350</v>
      </c>
      <c r="V160" s="16" t="n">
        <v>250</v>
      </c>
      <c r="W160" s="16">
        <f>U160+V160</f>
        <v/>
      </c>
    </row>
    <row r="161">
      <c r="A161" s="3" t="inlineStr">
        <is>
          <t>CANON-202510-001313</t>
        </is>
      </c>
      <c r="B161" s="3" t="inlineStr">
        <is>
          <t>2025-10-04</t>
        </is>
      </c>
      <c r="C161" s="3" t="inlineStr">
        <is>
          <t>Fenwick Blackwood</t>
        </is>
      </c>
      <c r="D161" s="3" t="inlineStr">
        <is>
          <t>NH</t>
        </is>
      </c>
      <c r="E161" s="14" t="n">
        <v>940000</v>
      </c>
      <c r="F161" s="14" t="n">
        <v>11618.96</v>
      </c>
      <c r="G161" s="14" t="n">
        <v>1452.37</v>
      </c>
      <c r="H161" s="14" t="n">
        <v>1452.37</v>
      </c>
      <c r="I161" s="14">
        <f>SUM(K161:T161)</f>
        <v/>
      </c>
      <c r="J161" s="14">
        <f>F161-(G161+H161+I161)</f>
        <v/>
      </c>
      <c r="K161" s="14" t="n">
        <v>871.42</v>
      </c>
      <c r="L161" s="14" t="n">
        <v>871.42</v>
      </c>
      <c r="M161" s="14" t="n">
        <v>871.42</v>
      </c>
      <c r="N161" s="14" t="n">
        <v>871.42</v>
      </c>
      <c r="O161" s="14" t="n">
        <v>871.42</v>
      </c>
      <c r="P161" s="14" t="n">
        <v>871.42</v>
      </c>
      <c r="Q161" s="14" t="n">
        <v>871.42</v>
      </c>
      <c r="R161" s="14" t="n">
        <v>871.42</v>
      </c>
      <c r="S161" s="14" t="n">
        <v>871.42</v>
      </c>
      <c r="T161" s="14" t="n">
        <v>871.42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CANON-202510-001315</t>
        </is>
      </c>
      <c r="B162" s="15" t="inlineStr">
        <is>
          <t>2025-10-20</t>
        </is>
      </c>
      <c r="C162" s="15" t="inlineStr">
        <is>
          <t>Saoirse Kingsford</t>
        </is>
      </c>
      <c r="D162" s="15" t="inlineStr">
        <is>
          <t>AK</t>
        </is>
      </c>
      <c r="E162" s="16" t="n">
        <v>710000</v>
      </c>
      <c r="F162" s="16" t="n">
        <v>9619.870000000001</v>
      </c>
      <c r="G162" s="16" t="n">
        <v>1202.48</v>
      </c>
      <c r="H162" s="16" t="n">
        <v>1202.48</v>
      </c>
      <c r="I162" s="16">
        <f>SUM(K162:T162)</f>
        <v/>
      </c>
      <c r="J162" s="16">
        <f>F162-(G162+H162+I162)</f>
        <v/>
      </c>
      <c r="K162" s="16" t="n">
        <v>721.49</v>
      </c>
      <c r="L162" s="16" t="n">
        <v>721.49</v>
      </c>
      <c r="M162" s="16" t="n">
        <v>721.49</v>
      </c>
      <c r="N162" s="16" t="n">
        <v>721.49</v>
      </c>
      <c r="O162" s="16" t="n">
        <v>721.49</v>
      </c>
      <c r="P162" s="16" t="n">
        <v>721.49</v>
      </c>
      <c r="Q162" s="16" t="n">
        <v>721.49</v>
      </c>
      <c r="R162" s="16" t="n">
        <v>721.49</v>
      </c>
      <c r="S162" s="16" t="n">
        <v>721.49</v>
      </c>
      <c r="T162" s="16" t="n">
        <v>721.49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CANON-202510-001316</t>
        </is>
      </c>
      <c r="B163" s="3" t="inlineStr">
        <is>
          <t>2025-10-31</t>
        </is>
      </c>
      <c r="C163" s="3" t="inlineStr">
        <is>
          <t>Marisol Fairweather</t>
        </is>
      </c>
      <c r="D163" s="3" t="inlineStr">
        <is>
          <t>CO</t>
        </is>
      </c>
      <c r="E163" s="14" t="n">
        <v>275000</v>
      </c>
      <c r="F163" s="14" t="n">
        <v>6360.86</v>
      </c>
      <c r="G163" s="14" t="n">
        <v>795.11</v>
      </c>
      <c r="H163" s="14" t="n">
        <v>795.11</v>
      </c>
      <c r="I163" s="14">
        <f>SUM(K163:T163)</f>
        <v/>
      </c>
      <c r="J163" s="14">
        <f>F163-(G163+H163+I163)</f>
        <v/>
      </c>
      <c r="K163" s="14" t="n">
        <v>477.06</v>
      </c>
      <c r="L163" s="14" t="n">
        <v>477.06</v>
      </c>
      <c r="M163" s="14" t="n">
        <v>477.06</v>
      </c>
      <c r="N163" s="14" t="n">
        <v>477.06</v>
      </c>
      <c r="O163" s="14" t="n">
        <v>477.06</v>
      </c>
      <c r="P163" s="14" t="n">
        <v>477.06</v>
      </c>
      <c r="Q163" s="14" t="n">
        <v>477.06</v>
      </c>
      <c r="R163" s="14" t="n">
        <v>477.06</v>
      </c>
      <c r="S163" s="14" t="n">
        <v>477.06</v>
      </c>
      <c r="T163" s="14" t="n">
        <v>477.06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CANON-202510-001317</t>
        </is>
      </c>
      <c r="B164" s="15" t="inlineStr">
        <is>
          <t>2025-10-04</t>
        </is>
      </c>
      <c r="C164" s="15" t="inlineStr">
        <is>
          <t>Ingrid Blackwood</t>
        </is>
      </c>
      <c r="D164" s="15" t="inlineStr">
        <is>
          <t>WV</t>
        </is>
      </c>
      <c r="E164" s="16" t="n">
        <v>1285000</v>
      </c>
      <c r="F164" s="16" t="n">
        <v>17187.4</v>
      </c>
      <c r="G164" s="16" t="n">
        <v>2148.43</v>
      </c>
      <c r="H164" s="16" t="n">
        <v>2148.43</v>
      </c>
      <c r="I164" s="16">
        <f>SUM(K164:T164)</f>
        <v/>
      </c>
      <c r="J164" s="16">
        <f>F164-(G164+H164+I164)</f>
        <v/>
      </c>
      <c r="K164" s="16" t="n">
        <v>1289.06</v>
      </c>
      <c r="L164" s="16" t="n">
        <v>1289.06</v>
      </c>
      <c r="M164" s="16" t="n">
        <v>1289.06</v>
      </c>
      <c r="N164" s="16" t="n">
        <v>1289.06</v>
      </c>
      <c r="O164" s="16" t="n">
        <v>1289.06</v>
      </c>
      <c r="P164" s="16" t="n">
        <v>1289.06</v>
      </c>
      <c r="Q164" s="16" t="n">
        <v>1289.06</v>
      </c>
      <c r="R164" s="16" t="n">
        <v>1289.06</v>
      </c>
      <c r="S164" s="16" t="n">
        <v>1289.06</v>
      </c>
      <c r="T164" s="16" t="n">
        <v>1289.06</v>
      </c>
      <c r="U164" s="16" t="n">
        <v>350</v>
      </c>
      <c r="V164" s="16" t="n">
        <v>250</v>
      </c>
      <c r="W164" s="16">
        <f>U164+V164</f>
        <v/>
      </c>
    </row>
    <row r="165">
      <c r="A165" s="3" t="inlineStr">
        <is>
          <t>CANON-202510-001318</t>
        </is>
      </c>
      <c r="B165" s="3" t="inlineStr">
        <is>
          <t>2025-10-17</t>
        </is>
      </c>
      <c r="C165" s="3" t="inlineStr">
        <is>
          <t>Wilhelmina Castellanos</t>
        </is>
      </c>
      <c r="D165" s="3" t="inlineStr">
        <is>
          <t>HI</t>
        </is>
      </c>
      <c r="E165" s="14" t="n">
        <v>435000</v>
      </c>
      <c r="F165" s="14" t="n">
        <v>7755.09</v>
      </c>
      <c r="G165" s="14" t="n">
        <v>969.39</v>
      </c>
      <c r="H165" s="14" t="n">
        <v>969.39</v>
      </c>
      <c r="I165" s="14">
        <f>SUM(K165:T165)</f>
        <v/>
      </c>
      <c r="J165" s="14">
        <f>F165-(G165+H165+I165)</f>
        <v/>
      </c>
      <c r="K165" s="14" t="n">
        <v>581.63</v>
      </c>
      <c r="L165" s="14" t="n">
        <v>581.63</v>
      </c>
      <c r="M165" s="14" t="n">
        <v>581.63</v>
      </c>
      <c r="N165" s="14" t="n">
        <v>581.63</v>
      </c>
      <c r="O165" s="14" t="n">
        <v>581.63</v>
      </c>
      <c r="P165" s="14" t="n">
        <v>581.63</v>
      </c>
      <c r="Q165" s="14" t="n">
        <v>581.63</v>
      </c>
      <c r="R165" s="14" t="n">
        <v>581.63</v>
      </c>
      <c r="S165" s="14" t="n">
        <v>581.63</v>
      </c>
      <c r="T165" s="14" t="n">
        <v>581.63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CANON-202510-001319</t>
        </is>
      </c>
      <c r="B166" s="15" t="inlineStr">
        <is>
          <t>2025-10-28</t>
        </is>
      </c>
      <c r="C166" s="15" t="inlineStr">
        <is>
          <t>Delphine Larsson</t>
        </is>
      </c>
      <c r="D166" s="15" t="inlineStr">
        <is>
          <t>ME</t>
        </is>
      </c>
      <c r="E166" s="16" t="n">
        <v>1275000</v>
      </c>
      <c r="F166" s="16" t="n">
        <v>9567.76</v>
      </c>
      <c r="G166" s="16" t="n">
        <v>1195.97</v>
      </c>
      <c r="H166" s="16" t="n">
        <v>1195.97</v>
      </c>
      <c r="I166" s="16">
        <f>SUM(K166:T166)</f>
        <v/>
      </c>
      <c r="J166" s="16">
        <f>F166-(G166+H166+I166)</f>
        <v/>
      </c>
      <c r="K166" s="16" t="n">
        <v>717.58</v>
      </c>
      <c r="L166" s="16" t="n">
        <v>717.58</v>
      </c>
      <c r="M166" s="16" t="n">
        <v>717.58</v>
      </c>
      <c r="N166" s="16" t="n">
        <v>717.58</v>
      </c>
      <c r="O166" s="16" t="n">
        <v>717.58</v>
      </c>
      <c r="P166" s="16" t="n">
        <v>717.58</v>
      </c>
      <c r="Q166" s="16" t="n">
        <v>717.58</v>
      </c>
      <c r="R166" s="16" t="n">
        <v>717.58</v>
      </c>
      <c r="S166" s="16" t="n">
        <v>717.58</v>
      </c>
      <c r="T166" s="16" t="n">
        <v>717.58</v>
      </c>
      <c r="U166" s="16" t="n">
        <v>350</v>
      </c>
      <c r="V166" s="16" t="n">
        <v>250</v>
      </c>
      <c r="W166" s="16">
        <f>U166+V166</f>
        <v/>
      </c>
    </row>
    <row r="167">
      <c r="A167" s="3" t="inlineStr">
        <is>
          <t>CANON-202510-001321</t>
        </is>
      </c>
      <c r="B167" s="3" t="inlineStr">
        <is>
          <t>2025-10-29</t>
        </is>
      </c>
      <c r="C167" s="3" t="inlineStr">
        <is>
          <t>Anouk Chattopadhyay</t>
        </is>
      </c>
      <c r="D167" s="3" t="inlineStr">
        <is>
          <t>IL</t>
        </is>
      </c>
      <c r="E167" s="14" t="n">
        <v>365000</v>
      </c>
      <c r="F167" s="14" t="n">
        <v>4356.78</v>
      </c>
      <c r="G167" s="14" t="n">
        <v>544.6</v>
      </c>
      <c r="H167" s="14" t="n">
        <v>544.6</v>
      </c>
      <c r="I167" s="14">
        <f>SUM(K167:T167)</f>
        <v/>
      </c>
      <c r="J167" s="14">
        <f>F167-(G167+H167+I167)</f>
        <v/>
      </c>
      <c r="K167" s="14" t="n">
        <v>326.76</v>
      </c>
      <c r="L167" s="14" t="n">
        <v>326.76</v>
      </c>
      <c r="M167" s="14" t="n">
        <v>326.76</v>
      </c>
      <c r="N167" s="14" t="n">
        <v>326.76</v>
      </c>
      <c r="O167" s="14" t="n">
        <v>326.76</v>
      </c>
      <c r="P167" s="14" t="n">
        <v>326.76</v>
      </c>
      <c r="Q167" s="14" t="n">
        <v>326.76</v>
      </c>
      <c r="R167" s="14" t="n">
        <v>326.76</v>
      </c>
      <c r="S167" s="14" t="n">
        <v>326.76</v>
      </c>
      <c r="T167" s="14" t="n">
        <v>326.76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CANON-202510-001323</t>
        </is>
      </c>
      <c r="B168" s="15" t="inlineStr">
        <is>
          <t>2025-10-27</t>
        </is>
      </c>
      <c r="C168" s="15" t="inlineStr">
        <is>
          <t>Aurelio Blackwood</t>
        </is>
      </c>
      <c r="D168" s="15" t="inlineStr">
        <is>
          <t>CA</t>
        </is>
      </c>
      <c r="E168" s="16" t="n">
        <v>490000</v>
      </c>
      <c r="F168" s="16" t="n">
        <v>13909.78</v>
      </c>
      <c r="G168" s="16" t="n">
        <v>1738.72</v>
      </c>
      <c r="H168" s="16" t="n">
        <v>1738.72</v>
      </c>
      <c r="I168" s="16">
        <f>SUM(K168:T168)</f>
        <v/>
      </c>
      <c r="J168" s="16">
        <f>F168-(G168+H168+I168)</f>
        <v/>
      </c>
      <c r="K168" s="16" t="n">
        <v>1043.23</v>
      </c>
      <c r="L168" s="16" t="n">
        <v>1043.23</v>
      </c>
      <c r="M168" s="16" t="n">
        <v>1043.23</v>
      </c>
      <c r="N168" s="16" t="n">
        <v>1043.23</v>
      </c>
      <c r="O168" s="16" t="n">
        <v>1043.23</v>
      </c>
      <c r="P168" s="16" t="n">
        <v>1043.23</v>
      </c>
      <c r="Q168" s="16" t="n">
        <v>1043.23</v>
      </c>
      <c r="R168" s="16" t="n">
        <v>1043.23</v>
      </c>
      <c r="S168" s="16" t="n">
        <v>1043.23</v>
      </c>
      <c r="T168" s="16" t="n">
        <v>1043.23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CANON-202510-001324</t>
        </is>
      </c>
      <c r="B169" s="3" t="inlineStr">
        <is>
          <t>2025-10-18</t>
        </is>
      </c>
      <c r="C169" s="3" t="inlineStr">
        <is>
          <t>Fitzgerald Fairweather</t>
        </is>
      </c>
      <c r="D169" s="3" t="inlineStr">
        <is>
          <t>CO</t>
        </is>
      </c>
      <c r="E169" s="14" t="n">
        <v>1350000</v>
      </c>
      <c r="F169" s="14" t="n">
        <v>10318.17</v>
      </c>
      <c r="G169" s="14" t="n">
        <v>1289.77</v>
      </c>
      <c r="H169" s="14" t="n">
        <v>1289.77</v>
      </c>
      <c r="I169" s="14">
        <f>SUM(K169:T169)</f>
        <v/>
      </c>
      <c r="J169" s="14">
        <f>F169-(G169+H169+I169)</f>
        <v/>
      </c>
      <c r="K169" s="14" t="n">
        <v>773.86</v>
      </c>
      <c r="L169" s="14" t="n">
        <v>773.86</v>
      </c>
      <c r="M169" s="14" t="n">
        <v>773.86</v>
      </c>
      <c r="N169" s="14" t="n">
        <v>773.86</v>
      </c>
      <c r="O169" s="14" t="n">
        <v>773.86</v>
      </c>
      <c r="P169" s="14" t="n">
        <v>773.86</v>
      </c>
      <c r="Q169" s="14" t="n">
        <v>773.86</v>
      </c>
      <c r="R169" s="14" t="n">
        <v>773.86</v>
      </c>
      <c r="S169" s="14" t="n">
        <v>773.86</v>
      </c>
      <c r="T169" s="14" t="n">
        <v>773.86</v>
      </c>
      <c r="U169" s="14" t="n">
        <v>350</v>
      </c>
      <c r="V169" s="14" t="n">
        <v>250</v>
      </c>
      <c r="W169" s="14">
        <f>U169+V169</f>
        <v/>
      </c>
    </row>
    <row r="170">
      <c r="A170" s="15" t="inlineStr">
        <is>
          <t>CANON-202510-001325</t>
        </is>
      </c>
      <c r="B170" s="15" t="inlineStr">
        <is>
          <t>2025-10-13</t>
        </is>
      </c>
      <c r="C170" s="15" t="inlineStr">
        <is>
          <t>Ingrid Okonkwo</t>
        </is>
      </c>
      <c r="D170" s="15" t="inlineStr">
        <is>
          <t>NJ</t>
        </is>
      </c>
      <c r="E170" s="16" t="n">
        <v>420000</v>
      </c>
      <c r="F170" s="16" t="n">
        <v>6149.87</v>
      </c>
      <c r="G170" s="16" t="n">
        <v>768.73</v>
      </c>
      <c r="H170" s="16" t="n">
        <v>768.73</v>
      </c>
      <c r="I170" s="16">
        <f>SUM(K170:T170)</f>
        <v/>
      </c>
      <c r="J170" s="16">
        <f>F170-(G170+H170+I170)</f>
        <v/>
      </c>
      <c r="K170" s="16" t="n">
        <v>461.24</v>
      </c>
      <c r="L170" s="16" t="n">
        <v>461.24</v>
      </c>
      <c r="M170" s="16" t="n">
        <v>461.24</v>
      </c>
      <c r="N170" s="16" t="n">
        <v>461.24</v>
      </c>
      <c r="O170" s="16" t="n">
        <v>461.24</v>
      </c>
      <c r="P170" s="16" t="n">
        <v>461.24</v>
      </c>
      <c r="Q170" s="16" t="n">
        <v>461.24</v>
      </c>
      <c r="R170" s="16" t="n">
        <v>461.24</v>
      </c>
      <c r="S170" s="16" t="n">
        <v>461.24</v>
      </c>
      <c r="T170" s="16" t="n">
        <v>461.24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CANON-202510-001326</t>
        </is>
      </c>
      <c r="B171" s="3" t="inlineStr">
        <is>
          <t>2025-10-10</t>
        </is>
      </c>
      <c r="C171" s="3" t="inlineStr">
        <is>
          <t>Priya Kingsford</t>
        </is>
      </c>
      <c r="D171" s="3" t="inlineStr">
        <is>
          <t>GA</t>
        </is>
      </c>
      <c r="E171" s="14" t="n">
        <v>310000</v>
      </c>
      <c r="F171" s="14" t="n">
        <v>4761.39</v>
      </c>
      <c r="G171" s="14" t="n">
        <v>595.17</v>
      </c>
      <c r="H171" s="14" t="n">
        <v>595.17</v>
      </c>
      <c r="I171" s="14">
        <f>SUM(K171:T171)</f>
        <v/>
      </c>
      <c r="J171" s="14">
        <f>F171-(G171+H171+I171)</f>
        <v/>
      </c>
      <c r="K171" s="14" t="n">
        <v>357.1</v>
      </c>
      <c r="L171" s="14" t="n">
        <v>357.1</v>
      </c>
      <c r="M171" s="14" t="n">
        <v>357.1</v>
      </c>
      <c r="N171" s="14" t="n">
        <v>357.1</v>
      </c>
      <c r="O171" s="14" t="n">
        <v>357.1</v>
      </c>
      <c r="P171" s="14" t="n">
        <v>357.1</v>
      </c>
      <c r="Q171" s="14" t="n">
        <v>357.1</v>
      </c>
      <c r="R171" s="14" t="n">
        <v>357.1</v>
      </c>
      <c r="S171" s="14" t="n">
        <v>357.1</v>
      </c>
      <c r="T171" s="14" t="n">
        <v>357.1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CANON-202510-001327</t>
        </is>
      </c>
      <c r="B172" s="15" t="inlineStr">
        <is>
          <t>2025-10-06</t>
        </is>
      </c>
      <c r="C172" s="15" t="inlineStr">
        <is>
          <t>Cassius Ashcombe</t>
        </is>
      </c>
      <c r="D172" s="15" t="inlineStr">
        <is>
          <t>NJ</t>
        </is>
      </c>
      <c r="E172" s="16" t="n">
        <v>270000</v>
      </c>
      <c r="F172" s="16" t="n">
        <v>3369.45</v>
      </c>
      <c r="G172" s="16" t="n">
        <v>421.18</v>
      </c>
      <c r="H172" s="16" t="n">
        <v>421.18</v>
      </c>
      <c r="I172" s="16">
        <f>SUM(K172:T172)</f>
        <v/>
      </c>
      <c r="J172" s="16">
        <f>F172-(G172+H172+I172)</f>
        <v/>
      </c>
      <c r="K172" s="16" t="n">
        <v>252.71</v>
      </c>
      <c r="L172" s="16" t="n">
        <v>252.71</v>
      </c>
      <c r="M172" s="16" t="n">
        <v>252.71</v>
      </c>
      <c r="N172" s="16" t="n">
        <v>252.71</v>
      </c>
      <c r="O172" s="16" t="n">
        <v>252.71</v>
      </c>
      <c r="P172" s="16" t="n">
        <v>252.71</v>
      </c>
      <c r="Q172" s="16" t="n">
        <v>252.71</v>
      </c>
      <c r="R172" s="16" t="n">
        <v>252.71</v>
      </c>
      <c r="S172" s="16" t="n">
        <v>252.71</v>
      </c>
      <c r="T172" s="16" t="n">
        <v>252.71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CANON-202510-001328</t>
        </is>
      </c>
      <c r="B173" s="3" t="inlineStr">
        <is>
          <t>2025-10-17</t>
        </is>
      </c>
      <c r="C173" s="3" t="inlineStr">
        <is>
          <t>Beatrix Chattopadhyay</t>
        </is>
      </c>
      <c r="D173" s="3" t="inlineStr">
        <is>
          <t>CA</t>
        </is>
      </c>
      <c r="E173" s="14" t="n">
        <v>450000</v>
      </c>
      <c r="F173" s="14" t="n">
        <v>8331.059999999999</v>
      </c>
      <c r="G173" s="14" t="n">
        <v>1041.38</v>
      </c>
      <c r="H173" s="14" t="n">
        <v>1041.38</v>
      </c>
      <c r="I173" s="14">
        <f>SUM(K173:T173)</f>
        <v/>
      </c>
      <c r="J173" s="14">
        <f>F173-(G173+H173+I173)</f>
        <v/>
      </c>
      <c r="K173" s="14" t="n">
        <v>624.83</v>
      </c>
      <c r="L173" s="14" t="n">
        <v>624.83</v>
      </c>
      <c r="M173" s="14" t="n">
        <v>624.83</v>
      </c>
      <c r="N173" s="14" t="n">
        <v>624.83</v>
      </c>
      <c r="O173" s="14" t="n">
        <v>624.83</v>
      </c>
      <c r="P173" s="14" t="n">
        <v>624.83</v>
      </c>
      <c r="Q173" s="14" t="n">
        <v>624.83</v>
      </c>
      <c r="R173" s="14" t="n">
        <v>624.83</v>
      </c>
      <c r="S173" s="14" t="n">
        <v>624.83</v>
      </c>
      <c r="T173" s="14" t="n">
        <v>624.83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CANON-202510-001330</t>
        </is>
      </c>
      <c r="B174" s="15" t="inlineStr">
        <is>
          <t>2025-10-29</t>
        </is>
      </c>
      <c r="C174" s="15" t="inlineStr">
        <is>
          <t>Desmond Nakashima</t>
        </is>
      </c>
      <c r="D174" s="15" t="inlineStr">
        <is>
          <t>MO</t>
        </is>
      </c>
      <c r="E174" s="16" t="n">
        <v>510000</v>
      </c>
      <c r="F174" s="16" t="n">
        <v>6425.13</v>
      </c>
      <c r="G174" s="16" t="n">
        <v>803.14</v>
      </c>
      <c r="H174" s="16" t="n">
        <v>803.14</v>
      </c>
      <c r="I174" s="16">
        <f>SUM(K174:T174)</f>
        <v/>
      </c>
      <c r="J174" s="16">
        <f>F174-(G174+H174+I174)</f>
        <v/>
      </c>
      <c r="K174" s="16" t="n">
        <v>481.88</v>
      </c>
      <c r="L174" s="16" t="n">
        <v>481.88</v>
      </c>
      <c r="M174" s="16" t="n">
        <v>481.88</v>
      </c>
      <c r="N174" s="16" t="n">
        <v>481.88</v>
      </c>
      <c r="O174" s="16" t="n">
        <v>481.88</v>
      </c>
      <c r="P174" s="16" t="n">
        <v>481.88</v>
      </c>
      <c r="Q174" s="16" t="n">
        <v>481.88</v>
      </c>
      <c r="R174" s="16" t="n">
        <v>481.88</v>
      </c>
      <c r="S174" s="16" t="n">
        <v>481.88</v>
      </c>
      <c r="T174" s="16" t="n">
        <v>481.88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CANON-202510-001331</t>
        </is>
      </c>
      <c r="B175" s="3" t="inlineStr">
        <is>
          <t>2025-10-10</t>
        </is>
      </c>
      <c r="C175" s="3" t="inlineStr">
        <is>
          <t>Ramona Bellandi</t>
        </is>
      </c>
      <c r="D175" s="3" t="inlineStr">
        <is>
          <t>AK</t>
        </is>
      </c>
      <c r="E175" s="14" t="n">
        <v>450000</v>
      </c>
      <c r="F175" s="14" t="n">
        <v>7035.11</v>
      </c>
      <c r="G175" s="14" t="n">
        <v>879.39</v>
      </c>
      <c r="H175" s="14" t="n">
        <v>879.39</v>
      </c>
      <c r="I175" s="14">
        <f>SUM(K175:T175)</f>
        <v/>
      </c>
      <c r="J175" s="14">
        <f>F175-(G175+H175+I175)</f>
        <v/>
      </c>
      <c r="K175" s="14" t="n">
        <v>527.63</v>
      </c>
      <c r="L175" s="14" t="n">
        <v>527.63</v>
      </c>
      <c r="M175" s="14" t="n">
        <v>527.63</v>
      </c>
      <c r="N175" s="14" t="n">
        <v>527.63</v>
      </c>
      <c r="O175" s="14" t="n">
        <v>527.63</v>
      </c>
      <c r="P175" s="14" t="n">
        <v>527.63</v>
      </c>
      <c r="Q175" s="14" t="n">
        <v>527.63</v>
      </c>
      <c r="R175" s="14" t="n">
        <v>527.63</v>
      </c>
      <c r="S175" s="14" t="n">
        <v>527.63</v>
      </c>
      <c r="T175" s="14" t="n">
        <v>527.63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CANON-202510-001332</t>
        </is>
      </c>
      <c r="B176" s="15" t="inlineStr">
        <is>
          <t>2025-10-25</t>
        </is>
      </c>
      <c r="C176" s="15" t="inlineStr">
        <is>
          <t>Lorenzo Harrington</t>
        </is>
      </c>
      <c r="D176" s="15" t="inlineStr">
        <is>
          <t>MI</t>
        </is>
      </c>
      <c r="E176" s="16" t="n">
        <v>615000</v>
      </c>
      <c r="F176" s="16" t="n">
        <v>11329.55</v>
      </c>
      <c r="G176" s="16" t="n">
        <v>1416.19</v>
      </c>
      <c r="H176" s="16" t="n">
        <v>1416.19</v>
      </c>
      <c r="I176" s="16">
        <f>SUM(K176:T176)</f>
        <v/>
      </c>
      <c r="J176" s="16">
        <f>F176-(G176+H176+I176)</f>
        <v/>
      </c>
      <c r="K176" s="16" t="n">
        <v>849.72</v>
      </c>
      <c r="L176" s="16" t="n">
        <v>849.72</v>
      </c>
      <c r="M176" s="16" t="n">
        <v>849.72</v>
      </c>
      <c r="N176" s="16" t="n">
        <v>849.72</v>
      </c>
      <c r="O176" s="16" t="n">
        <v>849.72</v>
      </c>
      <c r="P176" s="16" t="n">
        <v>849.72</v>
      </c>
      <c r="Q176" s="16" t="n">
        <v>849.72</v>
      </c>
      <c r="R176" s="16" t="n">
        <v>849.72</v>
      </c>
      <c r="S176" s="16" t="n">
        <v>849.72</v>
      </c>
      <c r="T176" s="16" t="n">
        <v>849.72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CANON-202510-001334</t>
        </is>
      </c>
      <c r="B177" s="3" t="inlineStr">
        <is>
          <t>2025-10-27</t>
        </is>
      </c>
      <c r="C177" s="3" t="inlineStr">
        <is>
          <t>Saoirse Okonkwo</t>
        </is>
      </c>
      <c r="D177" s="3" t="inlineStr">
        <is>
          <t>IN</t>
        </is>
      </c>
      <c r="E177" s="14" t="n">
        <v>480000</v>
      </c>
      <c r="F177" s="14" t="n">
        <v>12414.72</v>
      </c>
      <c r="G177" s="14" t="n">
        <v>1551.84</v>
      </c>
      <c r="H177" s="14" t="n">
        <v>1551.84</v>
      </c>
      <c r="I177" s="14">
        <f>SUM(K177:T177)</f>
        <v/>
      </c>
      <c r="J177" s="14">
        <f>F177-(G177+H177+I177)</f>
        <v/>
      </c>
      <c r="K177" s="14" t="n">
        <v>931.1</v>
      </c>
      <c r="L177" s="14" t="n">
        <v>931.1</v>
      </c>
      <c r="M177" s="14" t="n">
        <v>931.1</v>
      </c>
      <c r="N177" s="14" t="n">
        <v>931.1</v>
      </c>
      <c r="O177" s="14" t="n">
        <v>931.1</v>
      </c>
      <c r="P177" s="14" t="n">
        <v>931.1</v>
      </c>
      <c r="Q177" s="14" t="n">
        <v>931.1</v>
      </c>
      <c r="R177" s="14" t="n">
        <v>931.1</v>
      </c>
      <c r="S177" s="14" t="n">
        <v>931.1</v>
      </c>
      <c r="T177" s="14" t="n">
        <v>931.1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CANON-202510-001335</t>
        </is>
      </c>
      <c r="B178" s="15" t="inlineStr">
        <is>
          <t>2025-10-12</t>
        </is>
      </c>
      <c r="C178" s="15" t="inlineStr">
        <is>
          <t>Ingrid Whitlock</t>
        </is>
      </c>
      <c r="D178" s="15" t="inlineStr">
        <is>
          <t>TX</t>
        </is>
      </c>
      <c r="E178" s="16" t="n">
        <v>495000</v>
      </c>
      <c r="F178" s="16" t="n">
        <v>7806.51</v>
      </c>
      <c r="G178" s="16" t="n">
        <v>975.8099999999999</v>
      </c>
      <c r="H178" s="16" t="n">
        <v>975.8099999999999</v>
      </c>
      <c r="I178" s="16">
        <f>SUM(K178:T178)</f>
        <v/>
      </c>
      <c r="J178" s="16">
        <f>F178-(G178+H178+I178)</f>
        <v/>
      </c>
      <c r="K178" s="16" t="n">
        <v>585.49</v>
      </c>
      <c r="L178" s="16" t="n">
        <v>585.49</v>
      </c>
      <c r="M178" s="16" t="n">
        <v>585.49</v>
      </c>
      <c r="N178" s="16" t="n">
        <v>585.49</v>
      </c>
      <c r="O178" s="16" t="n">
        <v>585.49</v>
      </c>
      <c r="P178" s="16" t="n">
        <v>585.49</v>
      </c>
      <c r="Q178" s="16" t="n">
        <v>585.49</v>
      </c>
      <c r="R178" s="16" t="n">
        <v>585.49</v>
      </c>
      <c r="S178" s="16" t="n">
        <v>585.49</v>
      </c>
      <c r="T178" s="16" t="n">
        <v>585.49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CANON-202510-001336</t>
        </is>
      </c>
      <c r="B179" s="3" t="inlineStr">
        <is>
          <t>2025-10-06</t>
        </is>
      </c>
      <c r="C179" s="3" t="inlineStr">
        <is>
          <t>Sunniva Larsson</t>
        </is>
      </c>
      <c r="D179" s="3" t="inlineStr">
        <is>
          <t>MI</t>
        </is>
      </c>
      <c r="E179" s="14" t="n">
        <v>1645000</v>
      </c>
      <c r="F179" s="14" t="n">
        <v>17716.34</v>
      </c>
      <c r="G179" s="14" t="n">
        <v>2214.54</v>
      </c>
      <c r="H179" s="14" t="n">
        <v>2214.54</v>
      </c>
      <c r="I179" s="14">
        <f>SUM(K179:T179)</f>
        <v/>
      </c>
      <c r="J179" s="14">
        <f>F179-(G179+H179+I179)</f>
        <v/>
      </c>
      <c r="K179" s="14" t="n">
        <v>1328.73</v>
      </c>
      <c r="L179" s="14" t="n">
        <v>1328.73</v>
      </c>
      <c r="M179" s="14" t="n">
        <v>1328.73</v>
      </c>
      <c r="N179" s="14" t="n">
        <v>1328.73</v>
      </c>
      <c r="O179" s="14" t="n">
        <v>1328.73</v>
      </c>
      <c r="P179" s="14" t="n">
        <v>1328.73</v>
      </c>
      <c r="Q179" s="14" t="n">
        <v>1328.73</v>
      </c>
      <c r="R179" s="14" t="n">
        <v>1328.73</v>
      </c>
      <c r="S179" s="14" t="n">
        <v>1328.73</v>
      </c>
      <c r="T179" s="14" t="n">
        <v>1328.73</v>
      </c>
      <c r="U179" s="14" t="n">
        <v>350</v>
      </c>
      <c r="V179" s="14" t="n">
        <v>250</v>
      </c>
      <c r="W179" s="14">
        <f>U179+V179</f>
        <v/>
      </c>
    </row>
    <row r="180">
      <c r="A180" s="15" t="inlineStr">
        <is>
          <t>CANON-202510-001337</t>
        </is>
      </c>
      <c r="B180" s="15" t="inlineStr">
        <is>
          <t>2025-10-04</t>
        </is>
      </c>
      <c r="C180" s="15" t="inlineStr">
        <is>
          <t>Beatrix Fairweather</t>
        </is>
      </c>
      <c r="D180" s="15" t="inlineStr">
        <is>
          <t>NE</t>
        </is>
      </c>
      <c r="E180" s="16" t="n">
        <v>595000</v>
      </c>
      <c r="F180" s="16" t="n">
        <v>9193.190000000001</v>
      </c>
      <c r="G180" s="16" t="n">
        <v>1149.15</v>
      </c>
      <c r="H180" s="16" t="n">
        <v>1149.15</v>
      </c>
      <c r="I180" s="16">
        <f>SUM(K180:T180)</f>
        <v/>
      </c>
      <c r="J180" s="16">
        <f>F180-(G180+H180+I180)</f>
        <v/>
      </c>
      <c r="K180" s="16" t="n">
        <v>689.49</v>
      </c>
      <c r="L180" s="16" t="n">
        <v>689.49</v>
      </c>
      <c r="M180" s="16" t="n">
        <v>689.49</v>
      </c>
      <c r="N180" s="16" t="n">
        <v>689.49</v>
      </c>
      <c r="O180" s="16" t="n">
        <v>689.49</v>
      </c>
      <c r="P180" s="16" t="n">
        <v>689.49</v>
      </c>
      <c r="Q180" s="16" t="n">
        <v>689.49</v>
      </c>
      <c r="R180" s="16" t="n">
        <v>689.49</v>
      </c>
      <c r="S180" s="16" t="n">
        <v>689.49</v>
      </c>
      <c r="T180" s="16" t="n">
        <v>689.49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CANON-202510-001338</t>
        </is>
      </c>
      <c r="B181" s="3" t="inlineStr">
        <is>
          <t>2025-10-10</t>
        </is>
      </c>
      <c r="C181" s="3" t="inlineStr">
        <is>
          <t>Lorenzo Thistlewood</t>
        </is>
      </c>
      <c r="D181" s="3" t="inlineStr">
        <is>
          <t>KS</t>
        </is>
      </c>
      <c r="E181" s="14" t="n">
        <v>770000</v>
      </c>
      <c r="F181" s="14" t="n">
        <v>12974.15</v>
      </c>
      <c r="G181" s="14" t="n">
        <v>1621.77</v>
      </c>
      <c r="H181" s="14" t="n">
        <v>1621.77</v>
      </c>
      <c r="I181" s="14">
        <f>SUM(K181:T181)</f>
        <v/>
      </c>
      <c r="J181" s="14">
        <f>F181-(G181+H181+I181)</f>
        <v/>
      </c>
      <c r="K181" s="14" t="n">
        <v>973.0599999999999</v>
      </c>
      <c r="L181" s="14" t="n">
        <v>973.0599999999999</v>
      </c>
      <c r="M181" s="14" t="n">
        <v>973.0599999999999</v>
      </c>
      <c r="N181" s="14" t="n">
        <v>973.0599999999999</v>
      </c>
      <c r="O181" s="14" t="n">
        <v>973.0599999999999</v>
      </c>
      <c r="P181" s="14" t="n">
        <v>973.0599999999999</v>
      </c>
      <c r="Q181" s="14" t="n">
        <v>973.0599999999999</v>
      </c>
      <c r="R181" s="14" t="n">
        <v>973.0599999999999</v>
      </c>
      <c r="S181" s="14" t="n">
        <v>973.0599999999999</v>
      </c>
      <c r="T181" s="14" t="n">
        <v>973.0599999999999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CANON-202510-001339</t>
        </is>
      </c>
      <c r="B182" s="15" t="inlineStr">
        <is>
          <t>2025-10-09</t>
        </is>
      </c>
      <c r="C182" s="15" t="inlineStr">
        <is>
          <t>Beatrix Fairweather</t>
        </is>
      </c>
      <c r="D182" s="15" t="inlineStr">
        <is>
          <t>PA</t>
        </is>
      </c>
      <c r="E182" s="16" t="n">
        <v>290000</v>
      </c>
      <c r="F182" s="16" t="n">
        <v>3976.96</v>
      </c>
      <c r="G182" s="16" t="n">
        <v>497.12</v>
      </c>
      <c r="H182" s="16" t="n">
        <v>497.12</v>
      </c>
      <c r="I182" s="16">
        <f>SUM(K182:T182)</f>
        <v/>
      </c>
      <c r="J182" s="16">
        <f>F182-(G182+H182+I182)</f>
        <v/>
      </c>
      <c r="K182" s="16" t="n">
        <v>298.27</v>
      </c>
      <c r="L182" s="16" t="n">
        <v>298.27</v>
      </c>
      <c r="M182" s="16" t="n">
        <v>298.27</v>
      </c>
      <c r="N182" s="16" t="n">
        <v>298.27</v>
      </c>
      <c r="O182" s="16" t="n">
        <v>298.27</v>
      </c>
      <c r="P182" s="16" t="n">
        <v>298.27</v>
      </c>
      <c r="Q182" s="16" t="n">
        <v>298.27</v>
      </c>
      <c r="R182" s="16" t="n">
        <v>298.27</v>
      </c>
      <c r="S182" s="16" t="n">
        <v>298.27</v>
      </c>
      <c r="T182" s="16" t="n">
        <v>298.27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CANON-202510-001344</t>
        </is>
      </c>
      <c r="B183" s="3" t="inlineStr">
        <is>
          <t>2025-10-21</t>
        </is>
      </c>
      <c r="C183" s="3" t="inlineStr">
        <is>
          <t>Ramona Fairweather</t>
        </is>
      </c>
      <c r="D183" s="3" t="inlineStr">
        <is>
          <t>IL</t>
        </is>
      </c>
      <c r="E183" s="14" t="n">
        <v>790000</v>
      </c>
      <c r="F183" s="14" t="n">
        <v>18663.03</v>
      </c>
      <c r="G183" s="14" t="n">
        <v>2332.88</v>
      </c>
      <c r="H183" s="14" t="n">
        <v>2332.88</v>
      </c>
      <c r="I183" s="14">
        <f>SUM(K183:T183)</f>
        <v/>
      </c>
      <c r="J183" s="14">
        <f>F183-(G183+H183+I183)</f>
        <v/>
      </c>
      <c r="K183" s="14" t="n">
        <v>1399.73</v>
      </c>
      <c r="L183" s="14" t="n">
        <v>1399.73</v>
      </c>
      <c r="M183" s="14" t="n">
        <v>1399.73</v>
      </c>
      <c r="N183" s="14" t="n">
        <v>1399.73</v>
      </c>
      <c r="O183" s="14" t="n">
        <v>1399.73</v>
      </c>
      <c r="P183" s="14" t="n">
        <v>1399.73</v>
      </c>
      <c r="Q183" s="14" t="n">
        <v>1399.73</v>
      </c>
      <c r="R183" s="14" t="n">
        <v>1399.73</v>
      </c>
      <c r="S183" s="14" t="n">
        <v>1399.73</v>
      </c>
      <c r="T183" s="14" t="n">
        <v>1399.73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CANON-202510-001345</t>
        </is>
      </c>
      <c r="B184" s="15" t="inlineStr">
        <is>
          <t>2025-10-09</t>
        </is>
      </c>
      <c r="C184" s="15" t="inlineStr">
        <is>
          <t>Sunniva Blackwood</t>
        </is>
      </c>
      <c r="D184" s="15" t="inlineStr">
        <is>
          <t>ID</t>
        </is>
      </c>
      <c r="E184" s="16" t="n">
        <v>830000</v>
      </c>
      <c r="F184" s="16" t="n">
        <v>9766.059999999999</v>
      </c>
      <c r="G184" s="16" t="n">
        <v>1220.76</v>
      </c>
      <c r="H184" s="16" t="n">
        <v>1220.76</v>
      </c>
      <c r="I184" s="16">
        <f>SUM(K184:T184)</f>
        <v/>
      </c>
      <c r="J184" s="16">
        <f>F184-(G184+H184+I184)</f>
        <v/>
      </c>
      <c r="K184" s="16" t="n">
        <v>732.45</v>
      </c>
      <c r="L184" s="16" t="n">
        <v>732.45</v>
      </c>
      <c r="M184" s="16" t="n">
        <v>732.45</v>
      </c>
      <c r="N184" s="16" t="n">
        <v>732.45</v>
      </c>
      <c r="O184" s="16" t="n">
        <v>732.45</v>
      </c>
      <c r="P184" s="16" t="n">
        <v>732.45</v>
      </c>
      <c r="Q184" s="16" t="n">
        <v>732.45</v>
      </c>
      <c r="R184" s="16" t="n">
        <v>732.45</v>
      </c>
      <c r="S184" s="16" t="n">
        <v>732.45</v>
      </c>
      <c r="T184" s="16" t="n">
        <v>732.45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CANON-202510-001346</t>
        </is>
      </c>
      <c r="B185" s="3" t="inlineStr">
        <is>
          <t>2025-10-31</t>
        </is>
      </c>
      <c r="C185" s="3" t="inlineStr">
        <is>
          <t>Emiliano Pennington</t>
        </is>
      </c>
      <c r="D185" s="3" t="inlineStr">
        <is>
          <t>MI</t>
        </is>
      </c>
      <c r="E185" s="14" t="n">
        <v>1030000</v>
      </c>
      <c r="F185" s="14" t="n">
        <v>23353.48</v>
      </c>
      <c r="G185" s="14" t="n">
        <v>2919.18</v>
      </c>
      <c r="H185" s="14" t="n">
        <v>2919.18</v>
      </c>
      <c r="I185" s="14">
        <f>SUM(K185:T185)</f>
        <v/>
      </c>
      <c r="J185" s="14">
        <f>F185-(G185+H185+I185)</f>
        <v/>
      </c>
      <c r="K185" s="14" t="n">
        <v>1751.51</v>
      </c>
      <c r="L185" s="14" t="n">
        <v>1751.51</v>
      </c>
      <c r="M185" s="14" t="n">
        <v>1751.51</v>
      </c>
      <c r="N185" s="14" t="n">
        <v>1751.51</v>
      </c>
      <c r="O185" s="14" t="n">
        <v>1751.51</v>
      </c>
      <c r="P185" s="14" t="n">
        <v>1751.51</v>
      </c>
      <c r="Q185" s="14" t="n">
        <v>1751.51</v>
      </c>
      <c r="R185" s="14" t="n">
        <v>1751.51</v>
      </c>
      <c r="S185" s="14" t="n">
        <v>1751.51</v>
      </c>
      <c r="T185" s="14" t="n">
        <v>1751.51</v>
      </c>
      <c r="U185" s="14" t="n">
        <v>350</v>
      </c>
      <c r="V185" s="14" t="n">
        <v>250</v>
      </c>
      <c r="W185" s="14">
        <f>U185+V185</f>
        <v/>
      </c>
    </row>
    <row r="186">
      <c r="A186" s="15" t="inlineStr">
        <is>
          <t>CANON-202510-001348</t>
        </is>
      </c>
      <c r="B186" s="15" t="inlineStr">
        <is>
          <t>2025-10-02</t>
        </is>
      </c>
      <c r="C186" s="15" t="inlineStr">
        <is>
          <t>Ramona Bellandi</t>
        </is>
      </c>
      <c r="D186" s="15" t="inlineStr">
        <is>
          <t>TX</t>
        </is>
      </c>
      <c r="E186" s="16" t="n">
        <v>600000</v>
      </c>
      <c r="F186" s="16" t="n">
        <v>8200.780000000001</v>
      </c>
      <c r="G186" s="16" t="n">
        <v>1025.1</v>
      </c>
      <c r="H186" s="16" t="n">
        <v>1025.1</v>
      </c>
      <c r="I186" s="16">
        <f>SUM(K186:T186)</f>
        <v/>
      </c>
      <c r="J186" s="16">
        <f>F186-(G186+H186+I186)</f>
        <v/>
      </c>
      <c r="K186" s="16" t="n">
        <v>615.0599999999999</v>
      </c>
      <c r="L186" s="16" t="n">
        <v>615.0599999999999</v>
      </c>
      <c r="M186" s="16" t="n">
        <v>615.0599999999999</v>
      </c>
      <c r="N186" s="16" t="n">
        <v>615.0599999999999</v>
      </c>
      <c r="O186" s="16" t="n">
        <v>615.0599999999999</v>
      </c>
      <c r="P186" s="16" t="n">
        <v>615.0599999999999</v>
      </c>
      <c r="Q186" s="16" t="n">
        <v>615.0599999999999</v>
      </c>
      <c r="R186" s="16" t="n">
        <v>615.0599999999999</v>
      </c>
      <c r="S186" s="16" t="n">
        <v>615.0599999999999</v>
      </c>
      <c r="T186" s="16" t="n">
        <v>615.0599999999999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CANON-202510-001349</t>
        </is>
      </c>
      <c r="B187" s="3" t="inlineStr">
        <is>
          <t>2025-10-20</t>
        </is>
      </c>
      <c r="C187" s="3" t="inlineStr">
        <is>
          <t>Anouk Kingsford</t>
        </is>
      </c>
      <c r="D187" s="3" t="inlineStr">
        <is>
          <t>NY</t>
        </is>
      </c>
      <c r="E187" s="14" t="n">
        <v>1190000</v>
      </c>
      <c r="F187" s="14" t="n">
        <v>22281.26</v>
      </c>
      <c r="G187" s="14" t="n">
        <v>2785.16</v>
      </c>
      <c r="H187" s="14" t="n">
        <v>2785.16</v>
      </c>
      <c r="I187" s="14">
        <f>SUM(K187:T187)</f>
        <v/>
      </c>
      <c r="J187" s="14">
        <f>F187-(G187+H187+I187)</f>
        <v/>
      </c>
      <c r="K187" s="14" t="n">
        <v>1671.09</v>
      </c>
      <c r="L187" s="14" t="n">
        <v>1671.09</v>
      </c>
      <c r="M187" s="14" t="n">
        <v>1671.09</v>
      </c>
      <c r="N187" s="14" t="n">
        <v>1671.09</v>
      </c>
      <c r="O187" s="14" t="n">
        <v>1671.09</v>
      </c>
      <c r="P187" s="14" t="n">
        <v>1671.09</v>
      </c>
      <c r="Q187" s="14" t="n">
        <v>1671.09</v>
      </c>
      <c r="R187" s="14" t="n">
        <v>1671.09</v>
      </c>
      <c r="S187" s="14" t="n">
        <v>1671.09</v>
      </c>
      <c r="T187" s="14" t="n">
        <v>1671.09</v>
      </c>
      <c r="U187" s="14" t="n">
        <v>350</v>
      </c>
      <c r="V187" s="14" t="n">
        <v>250</v>
      </c>
      <c r="W187" s="14">
        <f>U187+V187</f>
        <v/>
      </c>
    </row>
    <row r="188">
      <c r="A188" s="15" t="inlineStr">
        <is>
          <t>CANON-202510-001351</t>
        </is>
      </c>
      <c r="B188" s="15" t="inlineStr">
        <is>
          <t>2025-10-26</t>
        </is>
      </c>
      <c r="C188" s="15" t="inlineStr">
        <is>
          <t>Marisol Montoya</t>
        </is>
      </c>
      <c r="D188" s="15" t="inlineStr">
        <is>
          <t>VT</t>
        </is>
      </c>
      <c r="E188" s="16" t="n">
        <v>275000</v>
      </c>
      <c r="F188" s="16" t="n">
        <v>2944.6</v>
      </c>
      <c r="G188" s="16" t="n">
        <v>368.07</v>
      </c>
      <c r="H188" s="16" t="n">
        <v>368.07</v>
      </c>
      <c r="I188" s="16">
        <f>SUM(K188:T188)</f>
        <v/>
      </c>
      <c r="J188" s="16">
        <f>F188-(G188+H188+I188)</f>
        <v/>
      </c>
      <c r="K188" s="16" t="n">
        <v>220.84</v>
      </c>
      <c r="L188" s="16" t="n">
        <v>220.84</v>
      </c>
      <c r="M188" s="16" t="n">
        <v>220.84</v>
      </c>
      <c r="N188" s="16" t="n">
        <v>220.84</v>
      </c>
      <c r="O188" s="16" t="n">
        <v>220.84</v>
      </c>
      <c r="P188" s="16" t="n">
        <v>220.84</v>
      </c>
      <c r="Q188" s="16" t="n">
        <v>220.84</v>
      </c>
      <c r="R188" s="16" t="n">
        <v>220.84</v>
      </c>
      <c r="S188" s="16" t="n">
        <v>220.84</v>
      </c>
      <c r="T188" s="16" t="n">
        <v>220.84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CANON-202510-001352</t>
        </is>
      </c>
      <c r="B189" s="3" t="inlineStr">
        <is>
          <t>2025-10-09</t>
        </is>
      </c>
      <c r="C189" s="3" t="inlineStr">
        <is>
          <t>Desmond Delacroix</t>
        </is>
      </c>
      <c r="D189" s="3" t="inlineStr">
        <is>
          <t>MT</t>
        </is>
      </c>
      <c r="E189" s="14" t="n">
        <v>820000</v>
      </c>
      <c r="F189" s="14" t="n">
        <v>5298.75</v>
      </c>
      <c r="G189" s="14" t="n">
        <v>662.34</v>
      </c>
      <c r="H189" s="14" t="n">
        <v>662.34</v>
      </c>
      <c r="I189" s="14">
        <f>SUM(K189:T189)</f>
        <v/>
      </c>
      <c r="J189" s="14">
        <f>F189-(G189+H189+I189)</f>
        <v/>
      </c>
      <c r="K189" s="14" t="n">
        <v>397.41</v>
      </c>
      <c r="L189" s="14" t="n">
        <v>397.41</v>
      </c>
      <c r="M189" s="14" t="n">
        <v>397.41</v>
      </c>
      <c r="N189" s="14" t="n">
        <v>397.41</v>
      </c>
      <c r="O189" s="14" t="n">
        <v>397.41</v>
      </c>
      <c r="P189" s="14" t="n">
        <v>397.41</v>
      </c>
      <c r="Q189" s="14" t="n">
        <v>397.41</v>
      </c>
      <c r="R189" s="14" t="n">
        <v>397.41</v>
      </c>
      <c r="S189" s="14" t="n">
        <v>397.41</v>
      </c>
      <c r="T189" s="14" t="n">
        <v>397.41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CANON-202510-001353</t>
        </is>
      </c>
      <c r="B190" s="15" t="inlineStr">
        <is>
          <t>2025-10-23</t>
        </is>
      </c>
      <c r="C190" s="15" t="inlineStr">
        <is>
          <t>Leopold Castellanos</t>
        </is>
      </c>
      <c r="D190" s="15" t="inlineStr">
        <is>
          <t>NC</t>
        </is>
      </c>
      <c r="E190" s="16" t="n">
        <v>365000</v>
      </c>
      <c r="F190" s="16" t="n">
        <v>8826.35</v>
      </c>
      <c r="G190" s="16" t="n">
        <v>1103.29</v>
      </c>
      <c r="H190" s="16" t="n">
        <v>1103.29</v>
      </c>
      <c r="I190" s="16">
        <f>SUM(K190:T190)</f>
        <v/>
      </c>
      <c r="J190" s="16">
        <f>F190-(G190+H190+I190)</f>
        <v/>
      </c>
      <c r="K190" s="16" t="n">
        <v>661.98</v>
      </c>
      <c r="L190" s="16" t="n">
        <v>661.98</v>
      </c>
      <c r="M190" s="16" t="n">
        <v>661.98</v>
      </c>
      <c r="N190" s="16" t="n">
        <v>661.98</v>
      </c>
      <c r="O190" s="16" t="n">
        <v>661.98</v>
      </c>
      <c r="P190" s="16" t="n">
        <v>661.98</v>
      </c>
      <c r="Q190" s="16" t="n">
        <v>661.98</v>
      </c>
      <c r="R190" s="16" t="n">
        <v>661.98</v>
      </c>
      <c r="S190" s="16" t="n">
        <v>661.98</v>
      </c>
      <c r="T190" s="16" t="n">
        <v>661.98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CANON-202510-001354</t>
        </is>
      </c>
      <c r="B191" s="3" t="inlineStr">
        <is>
          <t>2025-10-01</t>
        </is>
      </c>
      <c r="C191" s="3" t="inlineStr">
        <is>
          <t>Wilhelmina Whitlock</t>
        </is>
      </c>
      <c r="D191" s="3" t="inlineStr">
        <is>
          <t>OH</t>
        </is>
      </c>
      <c r="E191" s="14" t="n">
        <v>365000</v>
      </c>
      <c r="F191" s="14" t="n">
        <v>6957.63</v>
      </c>
      <c r="G191" s="14" t="n">
        <v>869.7</v>
      </c>
      <c r="H191" s="14" t="n">
        <v>869.7</v>
      </c>
      <c r="I191" s="14">
        <f>SUM(K191:T191)</f>
        <v/>
      </c>
      <c r="J191" s="14">
        <f>F191-(G191+H191+I191)</f>
        <v/>
      </c>
      <c r="K191" s="14" t="n">
        <v>521.8200000000001</v>
      </c>
      <c r="L191" s="14" t="n">
        <v>521.8200000000001</v>
      </c>
      <c r="M191" s="14" t="n">
        <v>521.8200000000001</v>
      </c>
      <c r="N191" s="14" t="n">
        <v>521.8200000000001</v>
      </c>
      <c r="O191" s="14" t="n">
        <v>521.8200000000001</v>
      </c>
      <c r="P191" s="14" t="n">
        <v>521.8200000000001</v>
      </c>
      <c r="Q191" s="14" t="n">
        <v>521.8200000000001</v>
      </c>
      <c r="R191" s="14" t="n">
        <v>521.8200000000001</v>
      </c>
      <c r="S191" s="14" t="n">
        <v>521.8200000000001</v>
      </c>
      <c r="T191" s="14" t="n">
        <v>521.8200000000001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CANON-202510-001355</t>
        </is>
      </c>
      <c r="B192" s="15" t="inlineStr">
        <is>
          <t>2025-10-30</t>
        </is>
      </c>
      <c r="C192" s="15" t="inlineStr">
        <is>
          <t>Mireille Whitlock</t>
        </is>
      </c>
      <c r="D192" s="15" t="inlineStr">
        <is>
          <t>IN</t>
        </is>
      </c>
      <c r="E192" s="16" t="n">
        <v>1345000</v>
      </c>
      <c r="F192" s="16" t="n">
        <v>16637.3</v>
      </c>
      <c r="G192" s="16" t="n">
        <v>2079.66</v>
      </c>
      <c r="H192" s="16" t="n">
        <v>2079.66</v>
      </c>
      <c r="I192" s="16">
        <f>SUM(K192:T192)</f>
        <v/>
      </c>
      <c r="J192" s="16">
        <f>F192-(G192+H192+I192)</f>
        <v/>
      </c>
      <c r="K192" s="16" t="n">
        <v>1247.8</v>
      </c>
      <c r="L192" s="16" t="n">
        <v>1247.8</v>
      </c>
      <c r="M192" s="16" t="n">
        <v>1247.8</v>
      </c>
      <c r="N192" s="16" t="n">
        <v>1247.8</v>
      </c>
      <c r="O192" s="16" t="n">
        <v>1247.8</v>
      </c>
      <c r="P192" s="16" t="n">
        <v>1247.8</v>
      </c>
      <c r="Q192" s="16" t="n">
        <v>1247.8</v>
      </c>
      <c r="R192" s="16" t="n">
        <v>1247.8</v>
      </c>
      <c r="S192" s="16" t="n">
        <v>1247.8</v>
      </c>
      <c r="T192" s="16" t="n">
        <v>1247.8</v>
      </c>
      <c r="U192" s="16" t="n">
        <v>350</v>
      </c>
      <c r="V192" s="16" t="n">
        <v>250</v>
      </c>
      <c r="W192" s="16">
        <f>U192+V192</f>
        <v/>
      </c>
    </row>
    <row r="193">
      <c r="A193" s="3" t="inlineStr">
        <is>
          <t>CANON-202510-001357</t>
        </is>
      </c>
      <c r="B193" s="3" t="inlineStr">
        <is>
          <t>2025-10-11</t>
        </is>
      </c>
      <c r="C193" s="3" t="inlineStr">
        <is>
          <t>Everett Ashcombe</t>
        </is>
      </c>
      <c r="D193" s="3" t="inlineStr">
        <is>
          <t>NY</t>
        </is>
      </c>
      <c r="E193" s="14" t="n">
        <v>925000</v>
      </c>
      <c r="F193" s="14" t="n">
        <v>14072.06</v>
      </c>
      <c r="G193" s="14" t="n">
        <v>1759.01</v>
      </c>
      <c r="H193" s="14" t="n">
        <v>1759.01</v>
      </c>
      <c r="I193" s="14">
        <f>SUM(K193:T193)</f>
        <v/>
      </c>
      <c r="J193" s="14">
        <f>F193-(G193+H193+I193)</f>
        <v/>
      </c>
      <c r="K193" s="14" t="n">
        <v>1055.4</v>
      </c>
      <c r="L193" s="14" t="n">
        <v>1055.4</v>
      </c>
      <c r="M193" s="14" t="n">
        <v>1055.4</v>
      </c>
      <c r="N193" s="14" t="n">
        <v>1055.4</v>
      </c>
      <c r="O193" s="14" t="n">
        <v>1055.4</v>
      </c>
      <c r="P193" s="14" t="n">
        <v>1055.4</v>
      </c>
      <c r="Q193" s="14" t="n">
        <v>1055.4</v>
      </c>
      <c r="R193" s="14" t="n">
        <v>1055.4</v>
      </c>
      <c r="S193" s="14" t="n">
        <v>1055.4</v>
      </c>
      <c r="T193" s="14" t="n">
        <v>1055.4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CANON-202510-001358</t>
        </is>
      </c>
      <c r="B194" s="15" t="inlineStr">
        <is>
          <t>2025-10-01</t>
        </is>
      </c>
      <c r="C194" s="15" t="inlineStr">
        <is>
          <t>Noor Vasquez</t>
        </is>
      </c>
      <c r="D194" s="15" t="inlineStr">
        <is>
          <t>MD</t>
        </is>
      </c>
      <c r="E194" s="16" t="n">
        <v>355000</v>
      </c>
      <c r="F194" s="16" t="n">
        <v>4624.94</v>
      </c>
      <c r="G194" s="16" t="n">
        <v>578.12</v>
      </c>
      <c r="H194" s="16" t="n">
        <v>578.12</v>
      </c>
      <c r="I194" s="16">
        <f>SUM(K194:T194)</f>
        <v/>
      </c>
      <c r="J194" s="16">
        <f>F194-(G194+H194+I194)</f>
        <v/>
      </c>
      <c r="K194" s="16" t="n">
        <v>346.87</v>
      </c>
      <c r="L194" s="16" t="n">
        <v>346.87</v>
      </c>
      <c r="M194" s="16" t="n">
        <v>346.87</v>
      </c>
      <c r="N194" s="16" t="n">
        <v>346.87</v>
      </c>
      <c r="O194" s="16" t="n">
        <v>346.87</v>
      </c>
      <c r="P194" s="16" t="n">
        <v>346.87</v>
      </c>
      <c r="Q194" s="16" t="n">
        <v>346.87</v>
      </c>
      <c r="R194" s="16" t="n">
        <v>346.87</v>
      </c>
      <c r="S194" s="16" t="n">
        <v>346.87</v>
      </c>
      <c r="T194" s="16" t="n">
        <v>346.87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CANON-202510-001361</t>
        </is>
      </c>
      <c r="B195" s="3" t="inlineStr">
        <is>
          <t>2025-10-21</t>
        </is>
      </c>
      <c r="C195" s="3" t="inlineStr">
        <is>
          <t>Fitzgerald Castellanos</t>
        </is>
      </c>
      <c r="D195" s="3" t="inlineStr">
        <is>
          <t>MT</t>
        </is>
      </c>
      <c r="E195" s="14" t="n">
        <v>835000</v>
      </c>
      <c r="F195" s="14" t="n">
        <v>11075.33</v>
      </c>
      <c r="G195" s="14" t="n">
        <v>1384.42</v>
      </c>
      <c r="H195" s="14" t="n">
        <v>1384.42</v>
      </c>
      <c r="I195" s="14">
        <f>SUM(K195:T195)</f>
        <v/>
      </c>
      <c r="J195" s="14">
        <f>F195-(G195+H195+I195)</f>
        <v/>
      </c>
      <c r="K195" s="14" t="n">
        <v>830.65</v>
      </c>
      <c r="L195" s="14" t="n">
        <v>830.65</v>
      </c>
      <c r="M195" s="14" t="n">
        <v>830.65</v>
      </c>
      <c r="N195" s="14" t="n">
        <v>830.65</v>
      </c>
      <c r="O195" s="14" t="n">
        <v>830.65</v>
      </c>
      <c r="P195" s="14" t="n">
        <v>830.65</v>
      </c>
      <c r="Q195" s="14" t="n">
        <v>830.65</v>
      </c>
      <c r="R195" s="14" t="n">
        <v>830.65</v>
      </c>
      <c r="S195" s="14" t="n">
        <v>830.65</v>
      </c>
      <c r="T195" s="14" t="n">
        <v>830.65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CANON-202510-001362</t>
        </is>
      </c>
      <c r="B196" s="15" t="inlineStr">
        <is>
          <t>2025-10-10</t>
        </is>
      </c>
      <c r="C196" s="15" t="inlineStr">
        <is>
          <t>Noor Chattopadhyay</t>
        </is>
      </c>
      <c r="D196" s="15" t="inlineStr">
        <is>
          <t>SD</t>
        </is>
      </c>
      <c r="E196" s="16" t="n">
        <v>355000</v>
      </c>
      <c r="F196" s="16" t="n">
        <v>3458.48</v>
      </c>
      <c r="G196" s="16" t="n">
        <v>432.31</v>
      </c>
      <c r="H196" s="16" t="n">
        <v>432.31</v>
      </c>
      <c r="I196" s="16">
        <f>SUM(K196:T196)</f>
        <v/>
      </c>
      <c r="J196" s="16">
        <f>F196-(G196+H196+I196)</f>
        <v/>
      </c>
      <c r="K196" s="16" t="n">
        <v>259.39</v>
      </c>
      <c r="L196" s="16" t="n">
        <v>259.39</v>
      </c>
      <c r="M196" s="16" t="n">
        <v>259.39</v>
      </c>
      <c r="N196" s="16" t="n">
        <v>259.39</v>
      </c>
      <c r="O196" s="16" t="n">
        <v>259.39</v>
      </c>
      <c r="P196" s="16" t="n">
        <v>259.39</v>
      </c>
      <c r="Q196" s="16" t="n">
        <v>259.39</v>
      </c>
      <c r="R196" s="16" t="n">
        <v>259.39</v>
      </c>
      <c r="S196" s="16" t="n">
        <v>259.39</v>
      </c>
      <c r="T196" s="16" t="n">
        <v>259.39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CANON-202510-001365</t>
        </is>
      </c>
      <c r="B197" s="3" t="inlineStr">
        <is>
          <t>2025-10-05</t>
        </is>
      </c>
      <c r="C197" s="3" t="inlineStr">
        <is>
          <t>Aurelio Pennington</t>
        </is>
      </c>
      <c r="D197" s="3" t="inlineStr">
        <is>
          <t>SD</t>
        </is>
      </c>
      <c r="E197" s="14" t="n">
        <v>1335000</v>
      </c>
      <c r="F197" s="14" t="n">
        <v>18424.94</v>
      </c>
      <c r="G197" s="14" t="n">
        <v>2303.12</v>
      </c>
      <c r="H197" s="14" t="n">
        <v>2303.12</v>
      </c>
      <c r="I197" s="14">
        <f>SUM(K197:T197)</f>
        <v/>
      </c>
      <c r="J197" s="14">
        <f>F197-(G197+H197+I197)</f>
        <v/>
      </c>
      <c r="K197" s="14" t="n">
        <v>1381.87</v>
      </c>
      <c r="L197" s="14" t="n">
        <v>1381.87</v>
      </c>
      <c r="M197" s="14" t="n">
        <v>1381.87</v>
      </c>
      <c r="N197" s="14" t="n">
        <v>1381.87</v>
      </c>
      <c r="O197" s="14" t="n">
        <v>1381.87</v>
      </c>
      <c r="P197" s="14" t="n">
        <v>1381.87</v>
      </c>
      <c r="Q197" s="14" t="n">
        <v>1381.87</v>
      </c>
      <c r="R197" s="14" t="n">
        <v>1381.87</v>
      </c>
      <c r="S197" s="14" t="n">
        <v>1381.87</v>
      </c>
      <c r="T197" s="14" t="n">
        <v>1381.87</v>
      </c>
      <c r="U197" s="14" t="n">
        <v>350</v>
      </c>
      <c r="V197" s="14" t="n">
        <v>250</v>
      </c>
      <c r="W197" s="14">
        <f>U197+V197</f>
        <v/>
      </c>
    </row>
    <row r="198">
      <c r="A198" s="15" t="inlineStr">
        <is>
          <t>CANON-202510-001366</t>
        </is>
      </c>
      <c r="B198" s="15" t="inlineStr">
        <is>
          <t>2025-10-25</t>
        </is>
      </c>
      <c r="C198" s="15" t="inlineStr">
        <is>
          <t>Aurelio Rourke</t>
        </is>
      </c>
      <c r="D198" s="15" t="inlineStr">
        <is>
          <t>IL</t>
        </is>
      </c>
      <c r="E198" s="16" t="n">
        <v>405000</v>
      </c>
      <c r="F198" s="16" t="n">
        <v>7553.49</v>
      </c>
      <c r="G198" s="16" t="n">
        <v>944.1900000000001</v>
      </c>
      <c r="H198" s="16" t="n">
        <v>944.1900000000001</v>
      </c>
      <c r="I198" s="16">
        <f>SUM(K198:T198)</f>
        <v/>
      </c>
      <c r="J198" s="16">
        <f>F198-(G198+H198+I198)</f>
        <v/>
      </c>
      <c r="K198" s="16" t="n">
        <v>566.51</v>
      </c>
      <c r="L198" s="16" t="n">
        <v>566.51</v>
      </c>
      <c r="M198" s="16" t="n">
        <v>566.51</v>
      </c>
      <c r="N198" s="16" t="n">
        <v>566.51</v>
      </c>
      <c r="O198" s="16" t="n">
        <v>566.51</v>
      </c>
      <c r="P198" s="16" t="n">
        <v>566.51</v>
      </c>
      <c r="Q198" s="16" t="n">
        <v>566.51</v>
      </c>
      <c r="R198" s="16" t="n">
        <v>566.51</v>
      </c>
      <c r="S198" s="16" t="n">
        <v>566.51</v>
      </c>
      <c r="T198" s="16" t="n">
        <v>566.51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CANON-202510-001370</t>
        </is>
      </c>
      <c r="B199" s="3" t="inlineStr">
        <is>
          <t>2025-10-25</t>
        </is>
      </c>
      <c r="C199" s="3" t="inlineStr">
        <is>
          <t>Marisol Okonkwo</t>
        </is>
      </c>
      <c r="D199" s="3" t="inlineStr">
        <is>
          <t>FL</t>
        </is>
      </c>
      <c r="E199" s="14" t="n">
        <v>605000</v>
      </c>
      <c r="F199" s="14" t="n">
        <v>12252.68</v>
      </c>
      <c r="G199" s="14" t="n">
        <v>1531.59</v>
      </c>
      <c r="H199" s="14" t="n">
        <v>1531.59</v>
      </c>
      <c r="I199" s="14">
        <f>SUM(K199:T199)</f>
        <v/>
      </c>
      <c r="J199" s="14">
        <f>F199-(G199+H199+I199)</f>
        <v/>
      </c>
      <c r="K199" s="14" t="n">
        <v>918.95</v>
      </c>
      <c r="L199" s="14" t="n">
        <v>918.95</v>
      </c>
      <c r="M199" s="14" t="n">
        <v>918.95</v>
      </c>
      <c r="N199" s="14" t="n">
        <v>918.95</v>
      </c>
      <c r="O199" s="14" t="n">
        <v>918.95</v>
      </c>
      <c r="P199" s="14" t="n">
        <v>918.95</v>
      </c>
      <c r="Q199" s="14" t="n">
        <v>918.95</v>
      </c>
      <c r="R199" s="14" t="n">
        <v>918.95</v>
      </c>
      <c r="S199" s="14" t="n">
        <v>918.95</v>
      </c>
      <c r="T199" s="14" t="n">
        <v>918.95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CANON-202510-001372</t>
        </is>
      </c>
      <c r="B200" s="15" t="inlineStr">
        <is>
          <t>2025-10-14</t>
        </is>
      </c>
      <c r="C200" s="15" t="inlineStr">
        <is>
          <t>Ramona Thistlewood</t>
        </is>
      </c>
      <c r="D200" s="15" t="inlineStr">
        <is>
          <t>RI</t>
        </is>
      </c>
      <c r="E200" s="16" t="n">
        <v>290000</v>
      </c>
      <c r="F200" s="16" t="n">
        <v>5448.44</v>
      </c>
      <c r="G200" s="16" t="n">
        <v>681.05</v>
      </c>
      <c r="H200" s="16" t="n">
        <v>681.05</v>
      </c>
      <c r="I200" s="16">
        <f>SUM(K200:T200)</f>
        <v/>
      </c>
      <c r="J200" s="16">
        <f>F200-(G200+H200+I200)</f>
        <v/>
      </c>
      <c r="K200" s="16" t="n">
        <v>408.63</v>
      </c>
      <c r="L200" s="16" t="n">
        <v>408.63</v>
      </c>
      <c r="M200" s="16" t="n">
        <v>408.63</v>
      </c>
      <c r="N200" s="16" t="n">
        <v>408.63</v>
      </c>
      <c r="O200" s="16" t="n">
        <v>408.63</v>
      </c>
      <c r="P200" s="16" t="n">
        <v>408.63</v>
      </c>
      <c r="Q200" s="16" t="n">
        <v>408.63</v>
      </c>
      <c r="R200" s="16" t="n">
        <v>408.63</v>
      </c>
      <c r="S200" s="16" t="n">
        <v>408.63</v>
      </c>
      <c r="T200" s="16" t="n">
        <v>408.63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CANON-202510-001374</t>
        </is>
      </c>
      <c r="B201" s="3" t="inlineStr">
        <is>
          <t>2025-10-06</t>
        </is>
      </c>
      <c r="C201" s="3" t="inlineStr">
        <is>
          <t>Mireille Okonkwo</t>
        </is>
      </c>
      <c r="D201" s="3" t="inlineStr">
        <is>
          <t>TX</t>
        </is>
      </c>
      <c r="E201" s="14" t="n">
        <v>1950000</v>
      </c>
      <c r="F201" s="14" t="n">
        <v>15581.48</v>
      </c>
      <c r="G201" s="14" t="n">
        <v>1947.68</v>
      </c>
      <c r="H201" s="14" t="n">
        <v>1947.68</v>
      </c>
      <c r="I201" s="14">
        <f>SUM(K201:T201)</f>
        <v/>
      </c>
      <c r="J201" s="14">
        <f>F201-(G201+H201+I201)</f>
        <v/>
      </c>
      <c r="K201" s="14" t="n">
        <v>1168.61</v>
      </c>
      <c r="L201" s="14" t="n">
        <v>1168.61</v>
      </c>
      <c r="M201" s="14" t="n">
        <v>1168.61</v>
      </c>
      <c r="N201" s="14" t="n">
        <v>1168.61</v>
      </c>
      <c r="O201" s="14" t="n">
        <v>1168.61</v>
      </c>
      <c r="P201" s="14" t="n">
        <v>1168.61</v>
      </c>
      <c r="Q201" s="14" t="n">
        <v>1168.61</v>
      </c>
      <c r="R201" s="14" t="n">
        <v>1168.61</v>
      </c>
      <c r="S201" s="14" t="n">
        <v>1168.61</v>
      </c>
      <c r="T201" s="14" t="n">
        <v>1168.61</v>
      </c>
      <c r="U201" s="14" t="n">
        <v>350</v>
      </c>
      <c r="V201" s="14" t="n">
        <v>250</v>
      </c>
      <c r="W201" s="14">
        <f>U201+V201</f>
        <v/>
      </c>
    </row>
    <row r="202">
      <c r="A202" s="15" t="inlineStr">
        <is>
          <t>CANON-202510-001375</t>
        </is>
      </c>
      <c r="B202" s="15" t="inlineStr">
        <is>
          <t>2025-10-23</t>
        </is>
      </c>
      <c r="C202" s="15" t="inlineStr">
        <is>
          <t>Noor Ashcombe</t>
        </is>
      </c>
      <c r="D202" s="15" t="inlineStr">
        <is>
          <t>CA</t>
        </is>
      </c>
      <c r="E202" s="16" t="n">
        <v>1385000</v>
      </c>
      <c r="F202" s="16" t="n">
        <v>18803.52</v>
      </c>
      <c r="G202" s="16" t="n">
        <v>2350.44</v>
      </c>
      <c r="H202" s="16" t="n">
        <v>2350.44</v>
      </c>
      <c r="I202" s="16">
        <f>SUM(K202:T202)</f>
        <v/>
      </c>
      <c r="J202" s="16">
        <f>F202-(G202+H202+I202)</f>
        <v/>
      </c>
      <c r="K202" s="16" t="n">
        <v>1410.26</v>
      </c>
      <c r="L202" s="16" t="n">
        <v>1410.26</v>
      </c>
      <c r="M202" s="16" t="n">
        <v>1410.26</v>
      </c>
      <c r="N202" s="16" t="n">
        <v>1410.26</v>
      </c>
      <c r="O202" s="16" t="n">
        <v>1410.26</v>
      </c>
      <c r="P202" s="16" t="n">
        <v>1410.26</v>
      </c>
      <c r="Q202" s="16" t="n">
        <v>1410.26</v>
      </c>
      <c r="R202" s="16" t="n">
        <v>1410.26</v>
      </c>
      <c r="S202" s="16" t="n">
        <v>1410.26</v>
      </c>
      <c r="T202" s="16" t="n">
        <v>1410.26</v>
      </c>
      <c r="U202" s="16" t="n">
        <v>350</v>
      </c>
      <c r="V202" s="16" t="n">
        <v>250</v>
      </c>
      <c r="W202" s="16">
        <f>U202+V202</f>
        <v/>
      </c>
    </row>
    <row r="203">
      <c r="A203" s="3" t="inlineStr">
        <is>
          <t>CANON-202510-001376</t>
        </is>
      </c>
      <c r="B203" s="3" t="inlineStr">
        <is>
          <t>2025-10-20</t>
        </is>
      </c>
      <c r="C203" s="3" t="inlineStr">
        <is>
          <t>Saoirse Fairweather</t>
        </is>
      </c>
      <c r="D203" s="3" t="inlineStr">
        <is>
          <t>CO</t>
        </is>
      </c>
      <c r="E203" s="14" t="n">
        <v>335000</v>
      </c>
      <c r="F203" s="14" t="n">
        <v>5053.49</v>
      </c>
      <c r="G203" s="14" t="n">
        <v>631.6900000000001</v>
      </c>
      <c r="H203" s="14" t="n">
        <v>631.6900000000001</v>
      </c>
      <c r="I203" s="14">
        <f>SUM(K203:T203)</f>
        <v/>
      </c>
      <c r="J203" s="14">
        <f>F203-(G203+H203+I203)</f>
        <v/>
      </c>
      <c r="K203" s="14" t="n">
        <v>379.01</v>
      </c>
      <c r="L203" s="14" t="n">
        <v>379.01</v>
      </c>
      <c r="M203" s="14" t="n">
        <v>379.01</v>
      </c>
      <c r="N203" s="14" t="n">
        <v>379.01</v>
      </c>
      <c r="O203" s="14" t="n">
        <v>379.01</v>
      </c>
      <c r="P203" s="14" t="n">
        <v>379.01</v>
      </c>
      <c r="Q203" s="14" t="n">
        <v>379.01</v>
      </c>
      <c r="R203" s="14" t="n">
        <v>379.01</v>
      </c>
      <c r="S203" s="14" t="n">
        <v>379.01</v>
      </c>
      <c r="T203" s="14" t="n">
        <v>379.01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CANON-202510-001377</t>
        </is>
      </c>
      <c r="B204" s="15" t="inlineStr">
        <is>
          <t>2025-10-12</t>
        </is>
      </c>
      <c r="C204" s="15" t="inlineStr">
        <is>
          <t>Fenwick Chattopadhyay</t>
        </is>
      </c>
      <c r="D204" s="15" t="inlineStr">
        <is>
          <t>NY</t>
        </is>
      </c>
      <c r="E204" s="16" t="n">
        <v>520000</v>
      </c>
      <c r="F204" s="16" t="n">
        <v>7910.78</v>
      </c>
      <c r="G204" s="16" t="n">
        <v>988.85</v>
      </c>
      <c r="H204" s="16" t="n">
        <v>988.85</v>
      </c>
      <c r="I204" s="16">
        <f>SUM(K204:T204)</f>
        <v/>
      </c>
      <c r="J204" s="16">
        <f>F204-(G204+H204+I204)</f>
        <v/>
      </c>
      <c r="K204" s="16" t="n">
        <v>593.3099999999999</v>
      </c>
      <c r="L204" s="16" t="n">
        <v>593.3099999999999</v>
      </c>
      <c r="M204" s="16" t="n">
        <v>593.3099999999999</v>
      </c>
      <c r="N204" s="16" t="n">
        <v>593.3099999999999</v>
      </c>
      <c r="O204" s="16" t="n">
        <v>593.3099999999999</v>
      </c>
      <c r="P204" s="16" t="n">
        <v>593.3099999999999</v>
      </c>
      <c r="Q204" s="16" t="n">
        <v>593.3099999999999</v>
      </c>
      <c r="R204" s="16" t="n">
        <v>593.3099999999999</v>
      </c>
      <c r="S204" s="16" t="n">
        <v>593.3099999999999</v>
      </c>
      <c r="T204" s="16" t="n">
        <v>593.3099999999999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CANON-202510-001378</t>
        </is>
      </c>
      <c r="B205" s="3" t="inlineStr">
        <is>
          <t>2025-10-25</t>
        </is>
      </c>
      <c r="C205" s="3" t="inlineStr">
        <is>
          <t>Cassius Larsson</t>
        </is>
      </c>
      <c r="D205" s="3" t="inlineStr">
        <is>
          <t>TX</t>
        </is>
      </c>
      <c r="E205" s="14" t="n">
        <v>530000</v>
      </c>
      <c r="F205" s="14" t="n">
        <v>7244.02</v>
      </c>
      <c r="G205" s="14" t="n">
        <v>905.5</v>
      </c>
      <c r="H205" s="14" t="n">
        <v>905.5</v>
      </c>
      <c r="I205" s="14">
        <f>SUM(K205:T205)</f>
        <v/>
      </c>
      <c r="J205" s="14">
        <f>F205-(G205+H205+I205)</f>
        <v/>
      </c>
      <c r="K205" s="14" t="n">
        <v>543.3</v>
      </c>
      <c r="L205" s="14" t="n">
        <v>543.3</v>
      </c>
      <c r="M205" s="14" t="n">
        <v>543.3</v>
      </c>
      <c r="N205" s="14" t="n">
        <v>543.3</v>
      </c>
      <c r="O205" s="14" t="n">
        <v>543.3</v>
      </c>
      <c r="P205" s="14" t="n">
        <v>543.3</v>
      </c>
      <c r="Q205" s="14" t="n">
        <v>543.3</v>
      </c>
      <c r="R205" s="14" t="n">
        <v>543.3</v>
      </c>
      <c r="S205" s="14" t="n">
        <v>543.3</v>
      </c>
      <c r="T205" s="14" t="n">
        <v>543.3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CANON-202510-001380</t>
        </is>
      </c>
      <c r="B206" s="15" t="inlineStr">
        <is>
          <t>2025-10-09</t>
        </is>
      </c>
      <c r="C206" s="15" t="inlineStr">
        <is>
          <t>Wilhelmina Nakashima</t>
        </is>
      </c>
      <c r="D206" s="15" t="inlineStr">
        <is>
          <t>FL</t>
        </is>
      </c>
      <c r="E206" s="16" t="n">
        <v>620000</v>
      </c>
      <c r="F206" s="16" t="n">
        <v>10463.72</v>
      </c>
      <c r="G206" s="16" t="n">
        <v>1307.96</v>
      </c>
      <c r="H206" s="16" t="n">
        <v>1307.96</v>
      </c>
      <c r="I206" s="16">
        <f>SUM(K206:T206)</f>
        <v/>
      </c>
      <c r="J206" s="16">
        <f>F206-(G206+H206+I206)</f>
        <v/>
      </c>
      <c r="K206" s="16" t="n">
        <v>784.78</v>
      </c>
      <c r="L206" s="16" t="n">
        <v>784.78</v>
      </c>
      <c r="M206" s="16" t="n">
        <v>784.78</v>
      </c>
      <c r="N206" s="16" t="n">
        <v>784.78</v>
      </c>
      <c r="O206" s="16" t="n">
        <v>784.78</v>
      </c>
      <c r="P206" s="16" t="n">
        <v>784.78</v>
      </c>
      <c r="Q206" s="16" t="n">
        <v>784.78</v>
      </c>
      <c r="R206" s="16" t="n">
        <v>784.78</v>
      </c>
      <c r="S206" s="16" t="n">
        <v>784.78</v>
      </c>
      <c r="T206" s="16" t="n">
        <v>784.78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CANON-202510-001382</t>
        </is>
      </c>
      <c r="B207" s="3" t="inlineStr">
        <is>
          <t>2025-10-05</t>
        </is>
      </c>
      <c r="C207" s="3" t="inlineStr">
        <is>
          <t>Anouk Bellandi</t>
        </is>
      </c>
      <c r="D207" s="3" t="inlineStr">
        <is>
          <t>NV</t>
        </is>
      </c>
      <c r="E207" s="14" t="n">
        <v>555000</v>
      </c>
      <c r="F207" s="14" t="n">
        <v>7717.65</v>
      </c>
      <c r="G207" s="14" t="n">
        <v>964.71</v>
      </c>
      <c r="H207" s="14" t="n">
        <v>964.71</v>
      </c>
      <c r="I207" s="14">
        <f>SUM(K207:T207)</f>
        <v/>
      </c>
      <c r="J207" s="14">
        <f>F207-(G207+H207+I207)</f>
        <v/>
      </c>
      <c r="K207" s="14" t="n">
        <v>578.8200000000001</v>
      </c>
      <c r="L207" s="14" t="n">
        <v>578.8200000000001</v>
      </c>
      <c r="M207" s="14" t="n">
        <v>578.8200000000001</v>
      </c>
      <c r="N207" s="14" t="n">
        <v>578.8200000000001</v>
      </c>
      <c r="O207" s="14" t="n">
        <v>578.8200000000001</v>
      </c>
      <c r="P207" s="14" t="n">
        <v>578.8200000000001</v>
      </c>
      <c r="Q207" s="14" t="n">
        <v>578.8200000000001</v>
      </c>
      <c r="R207" s="14" t="n">
        <v>578.8200000000001</v>
      </c>
      <c r="S207" s="14" t="n">
        <v>578.8200000000001</v>
      </c>
      <c r="T207" s="14" t="n">
        <v>578.8200000000001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CANON-202510-001383</t>
        </is>
      </c>
      <c r="B208" s="15" t="inlineStr">
        <is>
          <t>2025-10-13</t>
        </is>
      </c>
      <c r="C208" s="15" t="inlineStr">
        <is>
          <t>Noor Vandermeer</t>
        </is>
      </c>
      <c r="D208" s="15" t="inlineStr">
        <is>
          <t>FL</t>
        </is>
      </c>
      <c r="E208" s="16" t="n">
        <v>985000</v>
      </c>
      <c r="F208" s="16" t="n">
        <v>16623.82</v>
      </c>
      <c r="G208" s="16" t="n">
        <v>2077.98</v>
      </c>
      <c r="H208" s="16" t="n">
        <v>2077.98</v>
      </c>
      <c r="I208" s="16">
        <f>SUM(K208:T208)</f>
        <v/>
      </c>
      <c r="J208" s="16">
        <f>F208-(G208+H208+I208)</f>
        <v/>
      </c>
      <c r="K208" s="16" t="n">
        <v>1246.79</v>
      </c>
      <c r="L208" s="16" t="n">
        <v>1246.79</v>
      </c>
      <c r="M208" s="16" t="n">
        <v>1246.79</v>
      </c>
      <c r="N208" s="16" t="n">
        <v>1246.79</v>
      </c>
      <c r="O208" s="16" t="n">
        <v>1246.79</v>
      </c>
      <c r="P208" s="16" t="n">
        <v>1246.79</v>
      </c>
      <c r="Q208" s="16" t="n">
        <v>1246.79</v>
      </c>
      <c r="R208" s="16" t="n">
        <v>1246.79</v>
      </c>
      <c r="S208" s="16" t="n">
        <v>1246.79</v>
      </c>
      <c r="T208" s="16" t="n">
        <v>1246.79</v>
      </c>
      <c r="U208" s="16" t="n">
        <v>350</v>
      </c>
      <c r="V208" s="16" t="n">
        <v>0</v>
      </c>
      <c r="W208" s="16">
        <f>U208+V208</f>
        <v/>
      </c>
    </row>
    <row r="209">
      <c r="A209" s="3" t="inlineStr">
        <is>
          <t>CANON-202510-001384</t>
        </is>
      </c>
      <c r="B209" s="3" t="inlineStr">
        <is>
          <t>2025-10-06</t>
        </is>
      </c>
      <c r="C209" s="3" t="inlineStr">
        <is>
          <t>Ramona Blackwood</t>
        </is>
      </c>
      <c r="D209" s="3" t="inlineStr">
        <is>
          <t>CA</t>
        </is>
      </c>
      <c r="E209" s="14" t="n">
        <v>860000</v>
      </c>
      <c r="F209" s="14" t="n">
        <v>8066.93</v>
      </c>
      <c r="G209" s="14" t="n">
        <v>1008.37</v>
      </c>
      <c r="H209" s="14" t="n">
        <v>1008.37</v>
      </c>
      <c r="I209" s="14">
        <f>SUM(K209:T209)</f>
        <v/>
      </c>
      <c r="J209" s="14">
        <f>F209-(G209+H209+I209)</f>
        <v/>
      </c>
      <c r="K209" s="14" t="n">
        <v>605.02</v>
      </c>
      <c r="L209" s="14" t="n">
        <v>605.02</v>
      </c>
      <c r="M209" s="14" t="n">
        <v>605.02</v>
      </c>
      <c r="N209" s="14" t="n">
        <v>605.02</v>
      </c>
      <c r="O209" s="14" t="n">
        <v>605.02</v>
      </c>
      <c r="P209" s="14" t="n">
        <v>605.02</v>
      </c>
      <c r="Q209" s="14" t="n">
        <v>605.02</v>
      </c>
      <c r="R209" s="14" t="n">
        <v>605.02</v>
      </c>
      <c r="S209" s="14" t="n">
        <v>605.02</v>
      </c>
      <c r="T209" s="14" t="n">
        <v>605.02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CANON-202510-001385</t>
        </is>
      </c>
      <c r="B210" s="15" t="inlineStr">
        <is>
          <t>2025-10-23</t>
        </is>
      </c>
      <c r="C210" s="15" t="inlineStr">
        <is>
          <t>Saoirse Chattopadhyay</t>
        </is>
      </c>
      <c r="D210" s="15" t="inlineStr">
        <is>
          <t>SC</t>
        </is>
      </c>
      <c r="E210" s="16" t="n">
        <v>435000</v>
      </c>
      <c r="F210" s="16" t="n">
        <v>11342.31</v>
      </c>
      <c r="G210" s="16" t="n">
        <v>1417.79</v>
      </c>
      <c r="H210" s="16" t="n">
        <v>1417.79</v>
      </c>
      <c r="I210" s="16">
        <f>SUM(K210:T210)</f>
        <v/>
      </c>
      <c r="J210" s="16">
        <f>F210-(G210+H210+I210)</f>
        <v/>
      </c>
      <c r="K210" s="16" t="n">
        <v>850.67</v>
      </c>
      <c r="L210" s="16" t="n">
        <v>850.67</v>
      </c>
      <c r="M210" s="16" t="n">
        <v>850.67</v>
      </c>
      <c r="N210" s="16" t="n">
        <v>850.67</v>
      </c>
      <c r="O210" s="16" t="n">
        <v>850.67</v>
      </c>
      <c r="P210" s="16" t="n">
        <v>850.67</v>
      </c>
      <c r="Q210" s="16" t="n">
        <v>850.67</v>
      </c>
      <c r="R210" s="16" t="n">
        <v>850.67</v>
      </c>
      <c r="S210" s="16" t="n">
        <v>850.67</v>
      </c>
      <c r="T210" s="16" t="n">
        <v>850.67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CANON-202510-001386</t>
        </is>
      </c>
      <c r="B211" s="3" t="inlineStr">
        <is>
          <t>2025-10-19</t>
        </is>
      </c>
      <c r="C211" s="3" t="inlineStr">
        <is>
          <t>Mireille Farkas</t>
        </is>
      </c>
      <c r="D211" s="3" t="inlineStr">
        <is>
          <t>NE</t>
        </is>
      </c>
      <c r="E211" s="14" t="n">
        <v>645000</v>
      </c>
      <c r="F211" s="14" t="n">
        <v>9965.73</v>
      </c>
      <c r="G211" s="14" t="n">
        <v>1245.72</v>
      </c>
      <c r="H211" s="14" t="n">
        <v>1245.72</v>
      </c>
      <c r="I211" s="14">
        <f>SUM(K211:T211)</f>
        <v/>
      </c>
      <c r="J211" s="14">
        <f>F211-(G211+H211+I211)</f>
        <v/>
      </c>
      <c r="K211" s="14" t="n">
        <v>747.4299999999999</v>
      </c>
      <c r="L211" s="14" t="n">
        <v>747.4299999999999</v>
      </c>
      <c r="M211" s="14" t="n">
        <v>747.4299999999999</v>
      </c>
      <c r="N211" s="14" t="n">
        <v>747.4299999999999</v>
      </c>
      <c r="O211" s="14" t="n">
        <v>747.4299999999999</v>
      </c>
      <c r="P211" s="14" t="n">
        <v>747.4299999999999</v>
      </c>
      <c r="Q211" s="14" t="n">
        <v>747.4299999999999</v>
      </c>
      <c r="R211" s="14" t="n">
        <v>747.4299999999999</v>
      </c>
      <c r="S211" s="14" t="n">
        <v>747.4299999999999</v>
      </c>
      <c r="T211" s="14" t="n">
        <v>747.4299999999999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CANON-202510-001388</t>
        </is>
      </c>
      <c r="B212" s="15" t="inlineStr">
        <is>
          <t>2025-10-03</t>
        </is>
      </c>
      <c r="C212" s="15" t="inlineStr">
        <is>
          <t>Fenwick Harrington</t>
        </is>
      </c>
      <c r="D212" s="15" t="inlineStr">
        <is>
          <t>MS</t>
        </is>
      </c>
      <c r="E212" s="16" t="n">
        <v>780000</v>
      </c>
      <c r="F212" s="16" t="n">
        <v>13238.2</v>
      </c>
      <c r="G212" s="16" t="n">
        <v>1654.78</v>
      </c>
      <c r="H212" s="16" t="n">
        <v>1654.78</v>
      </c>
      <c r="I212" s="16">
        <f>SUM(K212:T212)</f>
        <v/>
      </c>
      <c r="J212" s="16">
        <f>F212-(G212+H212+I212)</f>
        <v/>
      </c>
      <c r="K212" s="16" t="n">
        <v>992.87</v>
      </c>
      <c r="L212" s="16" t="n">
        <v>992.87</v>
      </c>
      <c r="M212" s="16" t="n">
        <v>992.87</v>
      </c>
      <c r="N212" s="16" t="n">
        <v>992.87</v>
      </c>
      <c r="O212" s="16" t="n">
        <v>992.87</v>
      </c>
      <c r="P212" s="16" t="n">
        <v>992.87</v>
      </c>
      <c r="Q212" s="16" t="n">
        <v>992.87</v>
      </c>
      <c r="R212" s="16" t="n">
        <v>992.87</v>
      </c>
      <c r="S212" s="16" t="n">
        <v>992.87</v>
      </c>
      <c r="T212" s="16" t="n">
        <v>992.87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CANON-202510-001390</t>
        </is>
      </c>
      <c r="B213" s="3" t="inlineStr">
        <is>
          <t>2025-10-31</t>
        </is>
      </c>
      <c r="C213" s="3" t="inlineStr">
        <is>
          <t>Anouk Larsson</t>
        </is>
      </c>
      <c r="D213" s="3" t="inlineStr">
        <is>
          <t>VT</t>
        </is>
      </c>
      <c r="E213" s="14" t="n">
        <v>735000</v>
      </c>
      <c r="F213" s="14" t="n">
        <v>15576.27</v>
      </c>
      <c r="G213" s="14" t="n">
        <v>1947.03</v>
      </c>
      <c r="H213" s="14" t="n">
        <v>1947.03</v>
      </c>
      <c r="I213" s="14">
        <f>SUM(K213:T213)</f>
        <v/>
      </c>
      <c r="J213" s="14">
        <f>F213-(G213+H213+I213)</f>
        <v/>
      </c>
      <c r="K213" s="14" t="n">
        <v>1168.22</v>
      </c>
      <c r="L213" s="14" t="n">
        <v>1168.22</v>
      </c>
      <c r="M213" s="14" t="n">
        <v>1168.22</v>
      </c>
      <c r="N213" s="14" t="n">
        <v>1168.22</v>
      </c>
      <c r="O213" s="14" t="n">
        <v>1168.22</v>
      </c>
      <c r="P213" s="14" t="n">
        <v>1168.22</v>
      </c>
      <c r="Q213" s="14" t="n">
        <v>1168.22</v>
      </c>
      <c r="R213" s="14" t="n">
        <v>1168.22</v>
      </c>
      <c r="S213" s="14" t="n">
        <v>1168.22</v>
      </c>
      <c r="T213" s="14" t="n">
        <v>1168.22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CANON-202510-001391</t>
        </is>
      </c>
      <c r="B214" s="15" t="inlineStr">
        <is>
          <t>2025-10-06</t>
        </is>
      </c>
      <c r="C214" s="15" t="inlineStr">
        <is>
          <t>Anouk Vasquez</t>
        </is>
      </c>
      <c r="D214" s="15" t="inlineStr">
        <is>
          <t>NH</t>
        </is>
      </c>
      <c r="E214" s="16" t="n">
        <v>745000</v>
      </c>
      <c r="F214" s="16" t="n">
        <v>13458.78</v>
      </c>
      <c r="G214" s="16" t="n">
        <v>1682.35</v>
      </c>
      <c r="H214" s="16" t="n">
        <v>1682.35</v>
      </c>
      <c r="I214" s="16">
        <f>SUM(K214:T214)</f>
        <v/>
      </c>
      <c r="J214" s="16">
        <f>F214-(G214+H214+I214)</f>
        <v/>
      </c>
      <c r="K214" s="16" t="n">
        <v>1009.41</v>
      </c>
      <c r="L214" s="16" t="n">
        <v>1009.41</v>
      </c>
      <c r="M214" s="16" t="n">
        <v>1009.41</v>
      </c>
      <c r="N214" s="16" t="n">
        <v>1009.41</v>
      </c>
      <c r="O214" s="16" t="n">
        <v>1009.41</v>
      </c>
      <c r="P214" s="16" t="n">
        <v>1009.41</v>
      </c>
      <c r="Q214" s="16" t="n">
        <v>1009.41</v>
      </c>
      <c r="R214" s="16" t="n">
        <v>1009.41</v>
      </c>
      <c r="S214" s="16" t="n">
        <v>1009.41</v>
      </c>
      <c r="T214" s="16" t="n">
        <v>1009.41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CANON-202510-001392</t>
        </is>
      </c>
      <c r="B215" s="3" t="inlineStr">
        <is>
          <t>2025-10-14</t>
        </is>
      </c>
      <c r="C215" s="3" t="inlineStr">
        <is>
          <t>Aurelio Merriweather</t>
        </is>
      </c>
      <c r="D215" s="3" t="inlineStr">
        <is>
          <t>SD</t>
        </is>
      </c>
      <c r="E215" s="14" t="n">
        <v>1950000</v>
      </c>
      <c r="F215" s="14" t="n">
        <v>15039.52</v>
      </c>
      <c r="G215" s="14" t="n">
        <v>1879.94</v>
      </c>
      <c r="H215" s="14" t="n">
        <v>1879.94</v>
      </c>
      <c r="I215" s="14">
        <f>SUM(K215:T215)</f>
        <v/>
      </c>
      <c r="J215" s="14">
        <f>F215-(G215+H215+I215)</f>
        <v/>
      </c>
      <c r="K215" s="14" t="n">
        <v>1127.96</v>
      </c>
      <c r="L215" s="14" t="n">
        <v>1127.96</v>
      </c>
      <c r="M215" s="14" t="n">
        <v>1127.96</v>
      </c>
      <c r="N215" s="14" t="n">
        <v>1127.96</v>
      </c>
      <c r="O215" s="14" t="n">
        <v>1127.96</v>
      </c>
      <c r="P215" s="14" t="n">
        <v>1127.96</v>
      </c>
      <c r="Q215" s="14" t="n">
        <v>1127.96</v>
      </c>
      <c r="R215" s="14" t="n">
        <v>1127.96</v>
      </c>
      <c r="S215" s="14" t="n">
        <v>1127.96</v>
      </c>
      <c r="T215" s="14" t="n">
        <v>1127.96</v>
      </c>
      <c r="U215" s="14" t="n">
        <v>350</v>
      </c>
      <c r="V215" s="14" t="n">
        <v>250</v>
      </c>
      <c r="W215" s="14">
        <f>U215+V215</f>
        <v/>
      </c>
    </row>
    <row r="216">
      <c r="A216" s="15" t="inlineStr">
        <is>
          <t>CANON-202510-001393</t>
        </is>
      </c>
      <c r="B216" s="15" t="inlineStr">
        <is>
          <t>2025-10-22</t>
        </is>
      </c>
      <c r="C216" s="15" t="inlineStr">
        <is>
          <t>Ingrid Vandermeer</t>
        </is>
      </c>
      <c r="D216" s="15" t="inlineStr">
        <is>
          <t>MN</t>
        </is>
      </c>
      <c r="E216" s="16" t="n">
        <v>365000</v>
      </c>
      <c r="F216" s="16" t="n">
        <v>6607.25</v>
      </c>
      <c r="G216" s="16" t="n">
        <v>825.91</v>
      </c>
      <c r="H216" s="16" t="n">
        <v>825.91</v>
      </c>
      <c r="I216" s="16">
        <f>SUM(K216:T216)</f>
        <v/>
      </c>
      <c r="J216" s="16">
        <f>F216-(G216+H216+I216)</f>
        <v/>
      </c>
      <c r="K216" s="16" t="n">
        <v>495.54</v>
      </c>
      <c r="L216" s="16" t="n">
        <v>495.54</v>
      </c>
      <c r="M216" s="16" t="n">
        <v>495.54</v>
      </c>
      <c r="N216" s="16" t="n">
        <v>495.54</v>
      </c>
      <c r="O216" s="16" t="n">
        <v>495.54</v>
      </c>
      <c r="P216" s="16" t="n">
        <v>495.54</v>
      </c>
      <c r="Q216" s="16" t="n">
        <v>495.54</v>
      </c>
      <c r="R216" s="16" t="n">
        <v>495.54</v>
      </c>
      <c r="S216" s="16" t="n">
        <v>495.54</v>
      </c>
      <c r="T216" s="16" t="n">
        <v>495.54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CANON-202510-001394</t>
        </is>
      </c>
      <c r="B217" s="3" t="inlineStr">
        <is>
          <t>2025-10-16</t>
        </is>
      </c>
      <c r="C217" s="3" t="inlineStr">
        <is>
          <t>Saoirse Chattopadhyay</t>
        </is>
      </c>
      <c r="D217" s="3" t="inlineStr">
        <is>
          <t>NY</t>
        </is>
      </c>
      <c r="E217" s="14" t="n">
        <v>375000</v>
      </c>
      <c r="F217" s="14" t="n">
        <v>3686.23</v>
      </c>
      <c r="G217" s="14" t="n">
        <v>460.78</v>
      </c>
      <c r="H217" s="14" t="n">
        <v>460.78</v>
      </c>
      <c r="I217" s="14">
        <f>SUM(K217:T217)</f>
        <v/>
      </c>
      <c r="J217" s="14">
        <f>F217-(G217+H217+I217)</f>
        <v/>
      </c>
      <c r="K217" s="14" t="n">
        <v>276.47</v>
      </c>
      <c r="L217" s="14" t="n">
        <v>276.47</v>
      </c>
      <c r="M217" s="14" t="n">
        <v>276.47</v>
      </c>
      <c r="N217" s="14" t="n">
        <v>276.47</v>
      </c>
      <c r="O217" s="14" t="n">
        <v>276.47</v>
      </c>
      <c r="P217" s="14" t="n">
        <v>276.47</v>
      </c>
      <c r="Q217" s="14" t="n">
        <v>276.47</v>
      </c>
      <c r="R217" s="14" t="n">
        <v>276.47</v>
      </c>
      <c r="S217" s="14" t="n">
        <v>276.47</v>
      </c>
      <c r="T217" s="14" t="n">
        <v>276.47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CANON-202510-001395</t>
        </is>
      </c>
      <c r="B218" s="15" t="inlineStr">
        <is>
          <t>2025-10-02</t>
        </is>
      </c>
      <c r="C218" s="15" t="inlineStr">
        <is>
          <t>Fitzgerald Underwood</t>
        </is>
      </c>
      <c r="D218" s="15" t="inlineStr">
        <is>
          <t>SD</t>
        </is>
      </c>
      <c r="E218" s="16" t="n">
        <v>1320000</v>
      </c>
      <c r="F218" s="16" t="n">
        <v>14735.08</v>
      </c>
      <c r="G218" s="16" t="n">
        <v>1841.88</v>
      </c>
      <c r="H218" s="16" t="n">
        <v>1841.88</v>
      </c>
      <c r="I218" s="16">
        <f>SUM(K218:T218)</f>
        <v/>
      </c>
      <c r="J218" s="16">
        <f>F218-(G218+H218+I218)</f>
        <v/>
      </c>
      <c r="K218" s="16" t="n">
        <v>1105.13</v>
      </c>
      <c r="L218" s="16" t="n">
        <v>1105.13</v>
      </c>
      <c r="M218" s="16" t="n">
        <v>1105.13</v>
      </c>
      <c r="N218" s="16" t="n">
        <v>1105.13</v>
      </c>
      <c r="O218" s="16" t="n">
        <v>1105.13</v>
      </c>
      <c r="P218" s="16" t="n">
        <v>1105.13</v>
      </c>
      <c r="Q218" s="16" t="n">
        <v>1105.13</v>
      </c>
      <c r="R218" s="16" t="n">
        <v>1105.13</v>
      </c>
      <c r="S218" s="16" t="n">
        <v>1105.13</v>
      </c>
      <c r="T218" s="16" t="n">
        <v>1105.13</v>
      </c>
      <c r="U218" s="16" t="n">
        <v>350</v>
      </c>
      <c r="V218" s="16" t="n">
        <v>250</v>
      </c>
      <c r="W218" s="16">
        <f>U218+V218</f>
        <v/>
      </c>
    </row>
    <row r="219">
      <c r="A219" s="3" t="inlineStr">
        <is>
          <t>CANON-202510-001397</t>
        </is>
      </c>
      <c r="B219" s="3" t="inlineStr">
        <is>
          <t>2025-10-12</t>
        </is>
      </c>
      <c r="C219" s="3" t="inlineStr">
        <is>
          <t>Emiliano Montoya</t>
        </is>
      </c>
      <c r="D219" s="3" t="inlineStr">
        <is>
          <t>CO</t>
        </is>
      </c>
      <c r="E219" s="14" t="n">
        <v>610000</v>
      </c>
      <c r="F219" s="14" t="n">
        <v>5275.74</v>
      </c>
      <c r="G219" s="14" t="n">
        <v>659.47</v>
      </c>
      <c r="H219" s="14" t="n">
        <v>659.47</v>
      </c>
      <c r="I219" s="14">
        <f>SUM(K219:T219)</f>
        <v/>
      </c>
      <c r="J219" s="14">
        <f>F219-(G219+H219+I219)</f>
        <v/>
      </c>
      <c r="K219" s="14" t="n">
        <v>395.68</v>
      </c>
      <c r="L219" s="14" t="n">
        <v>395.68</v>
      </c>
      <c r="M219" s="14" t="n">
        <v>395.68</v>
      </c>
      <c r="N219" s="14" t="n">
        <v>395.68</v>
      </c>
      <c r="O219" s="14" t="n">
        <v>395.68</v>
      </c>
      <c r="P219" s="14" t="n">
        <v>395.68</v>
      </c>
      <c r="Q219" s="14" t="n">
        <v>395.68</v>
      </c>
      <c r="R219" s="14" t="n">
        <v>395.68</v>
      </c>
      <c r="S219" s="14" t="n">
        <v>395.68</v>
      </c>
      <c r="T219" s="14" t="n">
        <v>395.68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CANON-202510-001398</t>
        </is>
      </c>
      <c r="B220" s="15" t="inlineStr">
        <is>
          <t>2025-10-05</t>
        </is>
      </c>
      <c r="C220" s="15" t="inlineStr">
        <is>
          <t>Callum Whitlock</t>
        </is>
      </c>
      <c r="D220" s="15" t="inlineStr">
        <is>
          <t>MI</t>
        </is>
      </c>
      <c r="E220" s="16" t="n">
        <v>260000</v>
      </c>
      <c r="F220" s="16" t="n">
        <v>5526.61</v>
      </c>
      <c r="G220" s="16" t="n">
        <v>690.83</v>
      </c>
      <c r="H220" s="16" t="n">
        <v>690.83</v>
      </c>
      <c r="I220" s="16">
        <f>SUM(K220:T220)</f>
        <v/>
      </c>
      <c r="J220" s="16">
        <f>F220-(G220+H220+I220)</f>
        <v/>
      </c>
      <c r="K220" s="16" t="n">
        <v>414.5</v>
      </c>
      <c r="L220" s="16" t="n">
        <v>414.5</v>
      </c>
      <c r="M220" s="16" t="n">
        <v>414.5</v>
      </c>
      <c r="N220" s="16" t="n">
        <v>414.5</v>
      </c>
      <c r="O220" s="16" t="n">
        <v>414.5</v>
      </c>
      <c r="P220" s="16" t="n">
        <v>414.5</v>
      </c>
      <c r="Q220" s="16" t="n">
        <v>414.5</v>
      </c>
      <c r="R220" s="16" t="n">
        <v>414.5</v>
      </c>
      <c r="S220" s="16" t="n">
        <v>414.5</v>
      </c>
      <c r="T220" s="16" t="n">
        <v>414.5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CANON-202510-001399</t>
        </is>
      </c>
      <c r="B221" s="3" t="inlineStr">
        <is>
          <t>2025-10-30</t>
        </is>
      </c>
      <c r="C221" s="3" t="inlineStr">
        <is>
          <t>Delphine Underwood</t>
        </is>
      </c>
      <c r="D221" s="3" t="inlineStr">
        <is>
          <t>NJ</t>
        </is>
      </c>
      <c r="E221" s="14" t="n">
        <v>905000</v>
      </c>
      <c r="F221" s="14" t="n">
        <v>14305.61</v>
      </c>
      <c r="G221" s="14" t="n">
        <v>1788.2</v>
      </c>
      <c r="H221" s="14" t="n">
        <v>1788.2</v>
      </c>
      <c r="I221" s="14">
        <f>SUM(K221:T221)</f>
        <v/>
      </c>
      <c r="J221" s="14">
        <f>F221-(G221+H221+I221)</f>
        <v/>
      </c>
      <c r="K221" s="14" t="n">
        <v>1072.92</v>
      </c>
      <c r="L221" s="14" t="n">
        <v>1072.92</v>
      </c>
      <c r="M221" s="14" t="n">
        <v>1072.92</v>
      </c>
      <c r="N221" s="14" t="n">
        <v>1072.92</v>
      </c>
      <c r="O221" s="14" t="n">
        <v>1072.92</v>
      </c>
      <c r="P221" s="14" t="n">
        <v>1072.92</v>
      </c>
      <c r="Q221" s="14" t="n">
        <v>1072.92</v>
      </c>
      <c r="R221" s="14" t="n">
        <v>1072.92</v>
      </c>
      <c r="S221" s="14" t="n">
        <v>1072.92</v>
      </c>
      <c r="T221" s="14" t="n">
        <v>1072.92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CANON-202510-001402</t>
        </is>
      </c>
      <c r="B222" s="15" t="inlineStr">
        <is>
          <t>2025-10-15</t>
        </is>
      </c>
      <c r="C222" s="15" t="inlineStr">
        <is>
          <t>Sunniva Rourke</t>
        </is>
      </c>
      <c r="D222" s="15" t="inlineStr">
        <is>
          <t>OH</t>
        </is>
      </c>
      <c r="E222" s="16" t="n">
        <v>365000</v>
      </c>
      <c r="F222" s="16" t="n">
        <v>6957.63</v>
      </c>
      <c r="G222" s="16" t="n">
        <v>869.7</v>
      </c>
      <c r="H222" s="16" t="n">
        <v>869.7</v>
      </c>
      <c r="I222" s="16">
        <f>SUM(K222:T222)</f>
        <v/>
      </c>
      <c r="J222" s="16">
        <f>F222-(G222+H222+I222)</f>
        <v/>
      </c>
      <c r="K222" s="16" t="n">
        <v>521.8200000000001</v>
      </c>
      <c r="L222" s="16" t="n">
        <v>521.8200000000001</v>
      </c>
      <c r="M222" s="16" t="n">
        <v>521.8200000000001</v>
      </c>
      <c r="N222" s="16" t="n">
        <v>521.8200000000001</v>
      </c>
      <c r="O222" s="16" t="n">
        <v>521.8200000000001</v>
      </c>
      <c r="P222" s="16" t="n">
        <v>521.8200000000001</v>
      </c>
      <c r="Q222" s="16" t="n">
        <v>521.8200000000001</v>
      </c>
      <c r="R222" s="16" t="n">
        <v>521.8200000000001</v>
      </c>
      <c r="S222" s="16" t="n">
        <v>521.8200000000001</v>
      </c>
      <c r="T222" s="16" t="n">
        <v>521.8200000000001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CANON-202510-001403</t>
        </is>
      </c>
      <c r="B223" s="3" t="inlineStr">
        <is>
          <t>2025-10-01</t>
        </is>
      </c>
      <c r="C223" s="3" t="inlineStr">
        <is>
          <t>Saoirse Ashcombe</t>
        </is>
      </c>
      <c r="D223" s="3" t="inlineStr">
        <is>
          <t>CA</t>
        </is>
      </c>
      <c r="E223" s="14" t="n">
        <v>825000</v>
      </c>
      <c r="F223" s="14" t="n">
        <v>13237.13</v>
      </c>
      <c r="G223" s="14" t="n">
        <v>1654.64</v>
      </c>
      <c r="H223" s="14" t="n">
        <v>1654.64</v>
      </c>
      <c r="I223" s="14">
        <f>SUM(K223:T223)</f>
        <v/>
      </c>
      <c r="J223" s="14">
        <f>F223-(G223+H223+I223)</f>
        <v/>
      </c>
      <c r="K223" s="14" t="n">
        <v>992.78</v>
      </c>
      <c r="L223" s="14" t="n">
        <v>992.78</v>
      </c>
      <c r="M223" s="14" t="n">
        <v>992.78</v>
      </c>
      <c r="N223" s="14" t="n">
        <v>992.78</v>
      </c>
      <c r="O223" s="14" t="n">
        <v>992.78</v>
      </c>
      <c r="P223" s="14" t="n">
        <v>992.78</v>
      </c>
      <c r="Q223" s="14" t="n">
        <v>992.78</v>
      </c>
      <c r="R223" s="14" t="n">
        <v>992.78</v>
      </c>
      <c r="S223" s="14" t="n">
        <v>992.78</v>
      </c>
      <c r="T223" s="14" t="n">
        <v>992.78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CANON-202510-001404</t>
        </is>
      </c>
      <c r="B224" s="15" t="inlineStr">
        <is>
          <t>2025-10-01</t>
        </is>
      </c>
      <c r="C224" s="15" t="inlineStr">
        <is>
          <t>Ramona Blackwood</t>
        </is>
      </c>
      <c r="D224" s="15" t="inlineStr">
        <is>
          <t>NC</t>
        </is>
      </c>
      <c r="E224" s="16" t="n">
        <v>390000</v>
      </c>
      <c r="F224" s="16" t="n">
        <v>6150.59</v>
      </c>
      <c r="G224" s="16" t="n">
        <v>768.8200000000001</v>
      </c>
      <c r="H224" s="16" t="n">
        <v>768.8200000000001</v>
      </c>
      <c r="I224" s="16">
        <f>SUM(K224:T224)</f>
        <v/>
      </c>
      <c r="J224" s="16">
        <f>F224-(G224+H224+I224)</f>
        <v/>
      </c>
      <c r="K224" s="16" t="n">
        <v>461.29</v>
      </c>
      <c r="L224" s="16" t="n">
        <v>461.29</v>
      </c>
      <c r="M224" s="16" t="n">
        <v>461.29</v>
      </c>
      <c r="N224" s="16" t="n">
        <v>461.29</v>
      </c>
      <c r="O224" s="16" t="n">
        <v>461.29</v>
      </c>
      <c r="P224" s="16" t="n">
        <v>461.29</v>
      </c>
      <c r="Q224" s="16" t="n">
        <v>461.29</v>
      </c>
      <c r="R224" s="16" t="n">
        <v>461.29</v>
      </c>
      <c r="S224" s="16" t="n">
        <v>461.29</v>
      </c>
      <c r="T224" s="16" t="n">
        <v>461.29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CANON-202510-001405</t>
        </is>
      </c>
      <c r="B225" s="3" t="inlineStr">
        <is>
          <t>2025-10-23</t>
        </is>
      </c>
      <c r="C225" s="3" t="inlineStr">
        <is>
          <t>Desmond Ashcombe</t>
        </is>
      </c>
      <c r="D225" s="3" t="inlineStr">
        <is>
          <t>TX</t>
        </is>
      </c>
      <c r="E225" s="14" t="n">
        <v>650000</v>
      </c>
      <c r="F225" s="14" t="n">
        <v>5193.82</v>
      </c>
      <c r="G225" s="14" t="n">
        <v>649.23</v>
      </c>
      <c r="H225" s="14" t="n">
        <v>649.23</v>
      </c>
      <c r="I225" s="14">
        <f>SUM(K225:T225)</f>
        <v/>
      </c>
      <c r="J225" s="14">
        <f>F225-(G225+H225+I225)</f>
        <v/>
      </c>
      <c r="K225" s="14" t="n">
        <v>389.54</v>
      </c>
      <c r="L225" s="14" t="n">
        <v>389.54</v>
      </c>
      <c r="M225" s="14" t="n">
        <v>389.54</v>
      </c>
      <c r="N225" s="14" t="n">
        <v>389.54</v>
      </c>
      <c r="O225" s="14" t="n">
        <v>389.54</v>
      </c>
      <c r="P225" s="14" t="n">
        <v>389.54</v>
      </c>
      <c r="Q225" s="14" t="n">
        <v>389.54</v>
      </c>
      <c r="R225" s="14" t="n">
        <v>389.54</v>
      </c>
      <c r="S225" s="14" t="n">
        <v>389.54</v>
      </c>
      <c r="T225" s="14" t="n">
        <v>389.54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CANON-202510-001406</t>
        </is>
      </c>
      <c r="B226" s="15" t="inlineStr">
        <is>
          <t>2025-10-22</t>
        </is>
      </c>
      <c r="C226" s="15" t="inlineStr">
        <is>
          <t>Aurelio Harrington</t>
        </is>
      </c>
      <c r="D226" s="15" t="inlineStr">
        <is>
          <t>WY</t>
        </is>
      </c>
      <c r="E226" s="16" t="n">
        <v>1535000</v>
      </c>
      <c r="F226" s="16" t="n">
        <v>11412.18</v>
      </c>
      <c r="G226" s="16" t="n">
        <v>1426.52</v>
      </c>
      <c r="H226" s="16" t="n">
        <v>1426.52</v>
      </c>
      <c r="I226" s="16">
        <f>SUM(K226:T226)</f>
        <v/>
      </c>
      <c r="J226" s="16">
        <f>F226-(G226+H226+I226)</f>
        <v/>
      </c>
      <c r="K226" s="16" t="n">
        <v>855.91</v>
      </c>
      <c r="L226" s="16" t="n">
        <v>855.91</v>
      </c>
      <c r="M226" s="16" t="n">
        <v>855.91</v>
      </c>
      <c r="N226" s="16" t="n">
        <v>855.91</v>
      </c>
      <c r="O226" s="16" t="n">
        <v>855.91</v>
      </c>
      <c r="P226" s="16" t="n">
        <v>855.91</v>
      </c>
      <c r="Q226" s="16" t="n">
        <v>855.91</v>
      </c>
      <c r="R226" s="16" t="n">
        <v>855.91</v>
      </c>
      <c r="S226" s="16" t="n">
        <v>855.91</v>
      </c>
      <c r="T226" s="16" t="n">
        <v>855.91</v>
      </c>
      <c r="U226" s="16" t="n">
        <v>350</v>
      </c>
      <c r="V226" s="16" t="n">
        <v>250</v>
      </c>
      <c r="W226" s="16">
        <f>U226+V226</f>
        <v/>
      </c>
    </row>
    <row r="227">
      <c r="A227" s="3" t="inlineStr">
        <is>
          <t>CANON-202510-001407</t>
        </is>
      </c>
      <c r="B227" s="3" t="inlineStr">
        <is>
          <t>2025-10-06</t>
        </is>
      </c>
      <c r="C227" s="3" t="inlineStr">
        <is>
          <t>Mireille Vasquez</t>
        </is>
      </c>
      <c r="D227" s="3" t="inlineStr">
        <is>
          <t>CA</t>
        </is>
      </c>
      <c r="E227" s="14" t="n">
        <v>445000</v>
      </c>
      <c r="F227" s="14" t="n">
        <v>5272.63</v>
      </c>
      <c r="G227" s="14" t="n">
        <v>659.08</v>
      </c>
      <c r="H227" s="14" t="n">
        <v>659.08</v>
      </c>
      <c r="I227" s="14">
        <f>SUM(K227:T227)</f>
        <v/>
      </c>
      <c r="J227" s="14">
        <f>F227-(G227+H227+I227)</f>
        <v/>
      </c>
      <c r="K227" s="14" t="n">
        <v>395.45</v>
      </c>
      <c r="L227" s="14" t="n">
        <v>395.45</v>
      </c>
      <c r="M227" s="14" t="n">
        <v>395.45</v>
      </c>
      <c r="N227" s="14" t="n">
        <v>395.45</v>
      </c>
      <c r="O227" s="14" t="n">
        <v>395.45</v>
      </c>
      <c r="P227" s="14" t="n">
        <v>395.45</v>
      </c>
      <c r="Q227" s="14" t="n">
        <v>395.45</v>
      </c>
      <c r="R227" s="14" t="n">
        <v>395.45</v>
      </c>
      <c r="S227" s="14" t="n">
        <v>395.45</v>
      </c>
      <c r="T227" s="14" t="n">
        <v>395.45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CANON-202510-001408</t>
        </is>
      </c>
      <c r="B228" s="15" t="inlineStr">
        <is>
          <t>2025-10-23</t>
        </is>
      </c>
      <c r="C228" s="15" t="inlineStr">
        <is>
          <t>Priya Fairweather</t>
        </is>
      </c>
      <c r="D228" s="15" t="inlineStr">
        <is>
          <t>ID</t>
        </is>
      </c>
      <c r="E228" s="16" t="n">
        <v>320000</v>
      </c>
      <c r="F228" s="16" t="n">
        <v>4344.49</v>
      </c>
      <c r="G228" s="16" t="n">
        <v>543.0599999999999</v>
      </c>
      <c r="H228" s="16" t="n">
        <v>543.0599999999999</v>
      </c>
      <c r="I228" s="16">
        <f>SUM(K228:T228)</f>
        <v/>
      </c>
      <c r="J228" s="16">
        <f>F228-(G228+H228+I228)</f>
        <v/>
      </c>
      <c r="K228" s="16" t="n">
        <v>325.84</v>
      </c>
      <c r="L228" s="16" t="n">
        <v>325.84</v>
      </c>
      <c r="M228" s="16" t="n">
        <v>325.84</v>
      </c>
      <c r="N228" s="16" t="n">
        <v>325.84</v>
      </c>
      <c r="O228" s="16" t="n">
        <v>325.84</v>
      </c>
      <c r="P228" s="16" t="n">
        <v>325.84</v>
      </c>
      <c r="Q228" s="16" t="n">
        <v>325.84</v>
      </c>
      <c r="R228" s="16" t="n">
        <v>325.84</v>
      </c>
      <c r="S228" s="16" t="n">
        <v>325.84</v>
      </c>
      <c r="T228" s="16" t="n">
        <v>325.84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CANON-202510-001409</t>
        </is>
      </c>
      <c r="B229" s="3" t="inlineStr">
        <is>
          <t>2025-10-28</t>
        </is>
      </c>
      <c r="C229" s="3" t="inlineStr">
        <is>
          <t>Fenwick Merriweather</t>
        </is>
      </c>
      <c r="D229" s="3" t="inlineStr">
        <is>
          <t>MA</t>
        </is>
      </c>
      <c r="E229" s="14" t="n">
        <v>675000</v>
      </c>
      <c r="F229" s="14" t="n">
        <v>10028.13</v>
      </c>
      <c r="G229" s="14" t="n">
        <v>1253.52</v>
      </c>
      <c r="H229" s="14" t="n">
        <v>1253.52</v>
      </c>
      <c r="I229" s="14">
        <f>SUM(K229:T229)</f>
        <v/>
      </c>
      <c r="J229" s="14">
        <f>F229-(G229+H229+I229)</f>
        <v/>
      </c>
      <c r="K229" s="14" t="n">
        <v>752.11</v>
      </c>
      <c r="L229" s="14" t="n">
        <v>752.11</v>
      </c>
      <c r="M229" s="14" t="n">
        <v>752.11</v>
      </c>
      <c r="N229" s="14" t="n">
        <v>752.11</v>
      </c>
      <c r="O229" s="14" t="n">
        <v>752.11</v>
      </c>
      <c r="P229" s="14" t="n">
        <v>752.11</v>
      </c>
      <c r="Q229" s="14" t="n">
        <v>752.11</v>
      </c>
      <c r="R229" s="14" t="n">
        <v>752.11</v>
      </c>
      <c r="S229" s="14" t="n">
        <v>752.11</v>
      </c>
      <c r="T229" s="14" t="n">
        <v>752.11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CANON-202510-001412</t>
        </is>
      </c>
      <c r="B230" s="15" t="inlineStr">
        <is>
          <t>2025-10-23</t>
        </is>
      </c>
      <c r="C230" s="15" t="inlineStr">
        <is>
          <t>Anouk Whitlock</t>
        </is>
      </c>
      <c r="D230" s="15" t="inlineStr">
        <is>
          <t>MN</t>
        </is>
      </c>
      <c r="E230" s="16" t="n">
        <v>795000</v>
      </c>
      <c r="F230" s="16" t="n">
        <v>18228.77</v>
      </c>
      <c r="G230" s="16" t="n">
        <v>2278.6</v>
      </c>
      <c r="H230" s="16" t="n">
        <v>2278.6</v>
      </c>
      <c r="I230" s="16">
        <f>SUM(K230:T230)</f>
        <v/>
      </c>
      <c r="J230" s="16">
        <f>F230-(G230+H230+I230)</f>
        <v/>
      </c>
      <c r="K230" s="16" t="n">
        <v>1367.16</v>
      </c>
      <c r="L230" s="16" t="n">
        <v>1367.16</v>
      </c>
      <c r="M230" s="16" t="n">
        <v>1367.16</v>
      </c>
      <c r="N230" s="16" t="n">
        <v>1367.16</v>
      </c>
      <c r="O230" s="16" t="n">
        <v>1367.16</v>
      </c>
      <c r="P230" s="16" t="n">
        <v>1367.16</v>
      </c>
      <c r="Q230" s="16" t="n">
        <v>1367.16</v>
      </c>
      <c r="R230" s="16" t="n">
        <v>1367.16</v>
      </c>
      <c r="S230" s="16" t="n">
        <v>1367.16</v>
      </c>
      <c r="T230" s="16" t="n">
        <v>1367.16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CANON-202510-001413</t>
        </is>
      </c>
      <c r="B231" s="3" t="inlineStr">
        <is>
          <t>2025-10-29</t>
        </is>
      </c>
      <c r="C231" s="3" t="inlineStr">
        <is>
          <t>Sunniva Castellanos</t>
        </is>
      </c>
      <c r="D231" s="3" t="inlineStr">
        <is>
          <t>VT</t>
        </is>
      </c>
      <c r="E231" s="14" t="n">
        <v>1090000</v>
      </c>
      <c r="F231" s="14" t="n">
        <v>13373.4</v>
      </c>
      <c r="G231" s="14" t="n">
        <v>1671.67</v>
      </c>
      <c r="H231" s="14" t="n">
        <v>1671.67</v>
      </c>
      <c r="I231" s="14">
        <f>SUM(K231:T231)</f>
        <v/>
      </c>
      <c r="J231" s="14">
        <f>F231-(G231+H231+I231)</f>
        <v/>
      </c>
      <c r="K231" s="14" t="n">
        <v>1003</v>
      </c>
      <c r="L231" s="14" t="n">
        <v>1003</v>
      </c>
      <c r="M231" s="14" t="n">
        <v>1003</v>
      </c>
      <c r="N231" s="14" t="n">
        <v>1003</v>
      </c>
      <c r="O231" s="14" t="n">
        <v>1003</v>
      </c>
      <c r="P231" s="14" t="n">
        <v>1003</v>
      </c>
      <c r="Q231" s="14" t="n">
        <v>1003</v>
      </c>
      <c r="R231" s="14" t="n">
        <v>1003</v>
      </c>
      <c r="S231" s="14" t="n">
        <v>1003</v>
      </c>
      <c r="T231" s="14" t="n">
        <v>1003</v>
      </c>
      <c r="U231" s="14" t="n">
        <v>350</v>
      </c>
      <c r="V231" s="14" t="n">
        <v>250</v>
      </c>
      <c r="W231" s="14">
        <f>U231+V231</f>
        <v/>
      </c>
    </row>
    <row r="232">
      <c r="A232" s="15" t="inlineStr">
        <is>
          <t>CANON-202510-001415</t>
        </is>
      </c>
      <c r="B232" s="15" t="inlineStr">
        <is>
          <t>2025-10-12</t>
        </is>
      </c>
      <c r="C232" s="15" t="inlineStr">
        <is>
          <t>Sunniva Nakashima</t>
        </is>
      </c>
      <c r="D232" s="15" t="inlineStr">
        <is>
          <t>CT</t>
        </is>
      </c>
      <c r="E232" s="16" t="n">
        <v>460000</v>
      </c>
      <c r="F232" s="16" t="n">
        <v>7065.29</v>
      </c>
      <c r="G232" s="16" t="n">
        <v>883.16</v>
      </c>
      <c r="H232" s="16" t="n">
        <v>883.16</v>
      </c>
      <c r="I232" s="16">
        <f>SUM(K232:T232)</f>
        <v/>
      </c>
      <c r="J232" s="16">
        <f>F232-(G232+H232+I232)</f>
        <v/>
      </c>
      <c r="K232" s="16" t="n">
        <v>529.9</v>
      </c>
      <c r="L232" s="16" t="n">
        <v>529.9</v>
      </c>
      <c r="M232" s="16" t="n">
        <v>529.9</v>
      </c>
      <c r="N232" s="16" t="n">
        <v>529.9</v>
      </c>
      <c r="O232" s="16" t="n">
        <v>529.9</v>
      </c>
      <c r="P232" s="16" t="n">
        <v>529.9</v>
      </c>
      <c r="Q232" s="16" t="n">
        <v>529.9</v>
      </c>
      <c r="R232" s="16" t="n">
        <v>529.9</v>
      </c>
      <c r="S232" s="16" t="n">
        <v>529.9</v>
      </c>
      <c r="T232" s="16" t="n">
        <v>529.9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CANON-202510-001417</t>
        </is>
      </c>
      <c r="B233" s="3" t="inlineStr">
        <is>
          <t>2025-10-31</t>
        </is>
      </c>
      <c r="C233" s="3" t="inlineStr">
        <is>
          <t>Horace Fairweather</t>
        </is>
      </c>
      <c r="D233" s="3" t="inlineStr">
        <is>
          <t>FL</t>
        </is>
      </c>
      <c r="E233" s="14" t="n">
        <v>1055000</v>
      </c>
      <c r="F233" s="14" t="n">
        <v>15065.94</v>
      </c>
      <c r="G233" s="14" t="n">
        <v>1883.24</v>
      </c>
      <c r="H233" s="14" t="n">
        <v>1883.24</v>
      </c>
      <c r="I233" s="14">
        <f>SUM(K233:T233)</f>
        <v/>
      </c>
      <c r="J233" s="14">
        <f>F233-(G233+H233+I233)</f>
        <v/>
      </c>
      <c r="K233" s="14" t="n">
        <v>1129.95</v>
      </c>
      <c r="L233" s="14" t="n">
        <v>1129.95</v>
      </c>
      <c r="M233" s="14" t="n">
        <v>1129.95</v>
      </c>
      <c r="N233" s="14" t="n">
        <v>1129.95</v>
      </c>
      <c r="O233" s="14" t="n">
        <v>1129.95</v>
      </c>
      <c r="P233" s="14" t="n">
        <v>1129.95</v>
      </c>
      <c r="Q233" s="14" t="n">
        <v>1129.95</v>
      </c>
      <c r="R233" s="14" t="n">
        <v>1129.95</v>
      </c>
      <c r="S233" s="14" t="n">
        <v>1129.95</v>
      </c>
      <c r="T233" s="14" t="n">
        <v>1129.95</v>
      </c>
      <c r="U233" s="14" t="n">
        <v>350</v>
      </c>
      <c r="V233" s="14" t="n">
        <v>250</v>
      </c>
      <c r="W233" s="14">
        <f>U233+V233</f>
        <v/>
      </c>
    </row>
    <row r="234">
      <c r="A234" s="15" t="inlineStr">
        <is>
          <t>CANON-202510-001418</t>
        </is>
      </c>
      <c r="B234" s="15" t="inlineStr">
        <is>
          <t>2025-10-29</t>
        </is>
      </c>
      <c r="C234" s="15" t="inlineStr">
        <is>
          <t>Wilhelmina Delacroix</t>
        </is>
      </c>
      <c r="D234" s="15" t="inlineStr">
        <is>
          <t>RI</t>
        </is>
      </c>
      <c r="E234" s="16" t="n">
        <v>760000</v>
      </c>
      <c r="F234" s="16" t="n">
        <v>12374.85</v>
      </c>
      <c r="G234" s="16" t="n">
        <v>1546.86</v>
      </c>
      <c r="H234" s="16" t="n">
        <v>1546.86</v>
      </c>
      <c r="I234" s="16">
        <f>SUM(K234:T234)</f>
        <v/>
      </c>
      <c r="J234" s="16">
        <f>F234-(G234+H234+I234)</f>
        <v/>
      </c>
      <c r="K234" s="16" t="n">
        <v>928.11</v>
      </c>
      <c r="L234" s="16" t="n">
        <v>928.11</v>
      </c>
      <c r="M234" s="16" t="n">
        <v>928.11</v>
      </c>
      <c r="N234" s="16" t="n">
        <v>928.11</v>
      </c>
      <c r="O234" s="16" t="n">
        <v>928.11</v>
      </c>
      <c r="P234" s="16" t="n">
        <v>928.11</v>
      </c>
      <c r="Q234" s="16" t="n">
        <v>928.11</v>
      </c>
      <c r="R234" s="16" t="n">
        <v>928.11</v>
      </c>
      <c r="S234" s="16" t="n">
        <v>928.11</v>
      </c>
      <c r="T234" s="16" t="n">
        <v>928.11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CANON-202510-001419</t>
        </is>
      </c>
      <c r="B235" s="3" t="inlineStr">
        <is>
          <t>2025-10-18</t>
        </is>
      </c>
      <c r="C235" s="3" t="inlineStr">
        <is>
          <t>Fenwick Thistlewood</t>
        </is>
      </c>
      <c r="D235" s="3" t="inlineStr">
        <is>
          <t>KS</t>
        </is>
      </c>
      <c r="E235" s="14" t="n">
        <v>1170000</v>
      </c>
      <c r="F235" s="14" t="n">
        <v>7055.52</v>
      </c>
      <c r="G235" s="14" t="n">
        <v>881.9400000000001</v>
      </c>
      <c r="H235" s="14" t="n">
        <v>881.9400000000001</v>
      </c>
      <c r="I235" s="14">
        <f>SUM(K235:T235)</f>
        <v/>
      </c>
      <c r="J235" s="14">
        <f>F235-(G235+H235+I235)</f>
        <v/>
      </c>
      <c r="K235" s="14" t="n">
        <v>529.16</v>
      </c>
      <c r="L235" s="14" t="n">
        <v>529.16</v>
      </c>
      <c r="M235" s="14" t="n">
        <v>529.16</v>
      </c>
      <c r="N235" s="14" t="n">
        <v>529.16</v>
      </c>
      <c r="O235" s="14" t="n">
        <v>529.16</v>
      </c>
      <c r="P235" s="14" t="n">
        <v>529.16</v>
      </c>
      <c r="Q235" s="14" t="n">
        <v>529.16</v>
      </c>
      <c r="R235" s="14" t="n">
        <v>529.16</v>
      </c>
      <c r="S235" s="14" t="n">
        <v>529.16</v>
      </c>
      <c r="T235" s="14" t="n">
        <v>529.16</v>
      </c>
      <c r="U235" s="14" t="n">
        <v>350</v>
      </c>
      <c r="V235" s="14" t="n">
        <v>250</v>
      </c>
      <c r="W235" s="14">
        <f>U235+V235</f>
        <v/>
      </c>
    </row>
    <row r="236">
      <c r="A236" s="15" t="inlineStr">
        <is>
          <t>CANON-202510-001420</t>
        </is>
      </c>
      <c r="B236" s="15" t="inlineStr">
        <is>
          <t>2025-10-03</t>
        </is>
      </c>
      <c r="C236" s="15" t="inlineStr">
        <is>
          <t>Ramona Kingsford</t>
        </is>
      </c>
      <c r="D236" s="15" t="inlineStr">
        <is>
          <t>MD</t>
        </is>
      </c>
      <c r="E236" s="16" t="n">
        <v>490000</v>
      </c>
      <c r="F236" s="16" t="n">
        <v>6383.71</v>
      </c>
      <c r="G236" s="16" t="n">
        <v>797.96</v>
      </c>
      <c r="H236" s="16" t="n">
        <v>797.96</v>
      </c>
      <c r="I236" s="16">
        <f>SUM(K236:T236)</f>
        <v/>
      </c>
      <c r="J236" s="16">
        <f>F236-(G236+H236+I236)</f>
        <v/>
      </c>
      <c r="K236" s="16" t="n">
        <v>478.78</v>
      </c>
      <c r="L236" s="16" t="n">
        <v>478.78</v>
      </c>
      <c r="M236" s="16" t="n">
        <v>478.78</v>
      </c>
      <c r="N236" s="16" t="n">
        <v>478.78</v>
      </c>
      <c r="O236" s="16" t="n">
        <v>478.78</v>
      </c>
      <c r="P236" s="16" t="n">
        <v>478.78</v>
      </c>
      <c r="Q236" s="16" t="n">
        <v>478.78</v>
      </c>
      <c r="R236" s="16" t="n">
        <v>478.78</v>
      </c>
      <c r="S236" s="16" t="n">
        <v>478.78</v>
      </c>
      <c r="T236" s="16" t="n">
        <v>478.78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CANON-202510-001421</t>
        </is>
      </c>
      <c r="B237" s="3" t="inlineStr">
        <is>
          <t>2025-10-06</t>
        </is>
      </c>
      <c r="C237" s="3" t="inlineStr">
        <is>
          <t>Thaddeus Chattopadhyay</t>
        </is>
      </c>
      <c r="D237" s="3" t="inlineStr">
        <is>
          <t>MN</t>
        </is>
      </c>
      <c r="E237" s="14" t="n">
        <v>415000</v>
      </c>
      <c r="F237" s="14" t="n">
        <v>4807.91</v>
      </c>
      <c r="G237" s="14" t="n">
        <v>600.99</v>
      </c>
      <c r="H237" s="14" t="n">
        <v>600.99</v>
      </c>
      <c r="I237" s="14">
        <f>SUM(K237:T237)</f>
        <v/>
      </c>
      <c r="J237" s="14">
        <f>F237-(G237+H237+I237)</f>
        <v/>
      </c>
      <c r="K237" s="14" t="n">
        <v>360.59</v>
      </c>
      <c r="L237" s="14" t="n">
        <v>360.59</v>
      </c>
      <c r="M237" s="14" t="n">
        <v>360.59</v>
      </c>
      <c r="N237" s="14" t="n">
        <v>360.59</v>
      </c>
      <c r="O237" s="14" t="n">
        <v>360.59</v>
      </c>
      <c r="P237" s="14" t="n">
        <v>360.59</v>
      </c>
      <c r="Q237" s="14" t="n">
        <v>360.59</v>
      </c>
      <c r="R237" s="14" t="n">
        <v>360.59</v>
      </c>
      <c r="S237" s="14" t="n">
        <v>360.59</v>
      </c>
      <c r="T237" s="14" t="n">
        <v>360.59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CANON-202510-001422</t>
        </is>
      </c>
      <c r="B238" s="15" t="inlineStr">
        <is>
          <t>2025-10-21</t>
        </is>
      </c>
      <c r="C238" s="15" t="inlineStr">
        <is>
          <t>Noor Underwood</t>
        </is>
      </c>
      <c r="D238" s="15" t="inlineStr">
        <is>
          <t>NV</t>
        </is>
      </c>
      <c r="E238" s="16" t="n">
        <v>340000</v>
      </c>
      <c r="F238" s="16" t="n">
        <v>8364.799999999999</v>
      </c>
      <c r="G238" s="16" t="n">
        <v>1045.6</v>
      </c>
      <c r="H238" s="16" t="n">
        <v>1045.6</v>
      </c>
      <c r="I238" s="16">
        <f>SUM(K238:T238)</f>
        <v/>
      </c>
      <c r="J238" s="16">
        <f>F238-(G238+H238+I238)</f>
        <v/>
      </c>
      <c r="K238" s="16" t="n">
        <v>627.36</v>
      </c>
      <c r="L238" s="16" t="n">
        <v>627.36</v>
      </c>
      <c r="M238" s="16" t="n">
        <v>627.36</v>
      </c>
      <c r="N238" s="16" t="n">
        <v>627.36</v>
      </c>
      <c r="O238" s="16" t="n">
        <v>627.36</v>
      </c>
      <c r="P238" s="16" t="n">
        <v>627.36</v>
      </c>
      <c r="Q238" s="16" t="n">
        <v>627.36</v>
      </c>
      <c r="R238" s="16" t="n">
        <v>627.36</v>
      </c>
      <c r="S238" s="16" t="n">
        <v>627.36</v>
      </c>
      <c r="T238" s="16" t="n">
        <v>627.36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CANON-202510-001423</t>
        </is>
      </c>
      <c r="B239" s="3" t="inlineStr">
        <is>
          <t>2025-10-17</t>
        </is>
      </c>
      <c r="C239" s="3" t="inlineStr">
        <is>
          <t>Thaddeus Nakashima</t>
        </is>
      </c>
      <c r="D239" s="3" t="inlineStr">
        <is>
          <t>UT</t>
        </is>
      </c>
      <c r="E239" s="14" t="n">
        <v>320000</v>
      </c>
      <c r="F239" s="14" t="n">
        <v>5924.31</v>
      </c>
      <c r="G239" s="14" t="n">
        <v>740.54</v>
      </c>
      <c r="H239" s="14" t="n">
        <v>740.54</v>
      </c>
      <c r="I239" s="14">
        <f>SUM(K239:T239)</f>
        <v/>
      </c>
      <c r="J239" s="14">
        <f>F239-(G239+H239+I239)</f>
        <v/>
      </c>
      <c r="K239" s="14" t="n">
        <v>444.32</v>
      </c>
      <c r="L239" s="14" t="n">
        <v>444.32</v>
      </c>
      <c r="M239" s="14" t="n">
        <v>444.32</v>
      </c>
      <c r="N239" s="14" t="n">
        <v>444.32</v>
      </c>
      <c r="O239" s="14" t="n">
        <v>444.32</v>
      </c>
      <c r="P239" s="14" t="n">
        <v>444.32</v>
      </c>
      <c r="Q239" s="14" t="n">
        <v>444.32</v>
      </c>
      <c r="R239" s="14" t="n">
        <v>444.32</v>
      </c>
      <c r="S239" s="14" t="n">
        <v>444.32</v>
      </c>
      <c r="T239" s="14" t="n">
        <v>444.32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CANON-202510-001424</t>
        </is>
      </c>
      <c r="B240" s="15" t="inlineStr">
        <is>
          <t>2025-10-20</t>
        </is>
      </c>
      <c r="C240" s="15" t="inlineStr">
        <is>
          <t>Everett Whitlock</t>
        </is>
      </c>
      <c r="D240" s="15" t="inlineStr">
        <is>
          <t>KY</t>
        </is>
      </c>
      <c r="E240" s="16" t="n">
        <v>600000</v>
      </c>
      <c r="F240" s="16" t="n">
        <v>9555.690000000001</v>
      </c>
      <c r="G240" s="16" t="n">
        <v>1194.46</v>
      </c>
      <c r="H240" s="16" t="n">
        <v>1194.46</v>
      </c>
      <c r="I240" s="16">
        <f>SUM(K240:T240)</f>
        <v/>
      </c>
      <c r="J240" s="16">
        <f>F240-(G240+H240+I240)</f>
        <v/>
      </c>
      <c r="K240" s="16" t="n">
        <v>716.6799999999999</v>
      </c>
      <c r="L240" s="16" t="n">
        <v>716.6799999999999</v>
      </c>
      <c r="M240" s="16" t="n">
        <v>716.6799999999999</v>
      </c>
      <c r="N240" s="16" t="n">
        <v>716.6799999999999</v>
      </c>
      <c r="O240" s="16" t="n">
        <v>716.6799999999999</v>
      </c>
      <c r="P240" s="16" t="n">
        <v>716.6799999999999</v>
      </c>
      <c r="Q240" s="16" t="n">
        <v>716.6799999999999</v>
      </c>
      <c r="R240" s="16" t="n">
        <v>716.6799999999999</v>
      </c>
      <c r="S240" s="16" t="n">
        <v>716.6799999999999</v>
      </c>
      <c r="T240" s="16" t="n">
        <v>716.6799999999999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CANON-202510-001425</t>
        </is>
      </c>
      <c r="B241" s="3" t="inlineStr">
        <is>
          <t>2025-10-04</t>
        </is>
      </c>
      <c r="C241" s="3" t="inlineStr">
        <is>
          <t>Anouk Thistlewood</t>
        </is>
      </c>
      <c r="D241" s="3" t="inlineStr">
        <is>
          <t>HI</t>
        </is>
      </c>
      <c r="E241" s="14" t="n">
        <v>385000</v>
      </c>
      <c r="F241" s="14" t="n">
        <v>6863.7</v>
      </c>
      <c r="G241" s="14" t="n">
        <v>857.96</v>
      </c>
      <c r="H241" s="14" t="n">
        <v>857.96</v>
      </c>
      <c r="I241" s="14">
        <f>SUM(K241:T241)</f>
        <v/>
      </c>
      <c r="J241" s="14">
        <f>F241-(G241+H241+I241)</f>
        <v/>
      </c>
      <c r="K241" s="14" t="n">
        <v>514.78</v>
      </c>
      <c r="L241" s="14" t="n">
        <v>514.78</v>
      </c>
      <c r="M241" s="14" t="n">
        <v>514.78</v>
      </c>
      <c r="N241" s="14" t="n">
        <v>514.78</v>
      </c>
      <c r="O241" s="14" t="n">
        <v>514.78</v>
      </c>
      <c r="P241" s="14" t="n">
        <v>514.78</v>
      </c>
      <c r="Q241" s="14" t="n">
        <v>514.78</v>
      </c>
      <c r="R241" s="14" t="n">
        <v>514.78</v>
      </c>
      <c r="S241" s="14" t="n">
        <v>514.78</v>
      </c>
      <c r="T241" s="14" t="n">
        <v>514.78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CANON-202510-001426</t>
        </is>
      </c>
      <c r="B242" s="15" t="inlineStr">
        <is>
          <t>2025-10-03</t>
        </is>
      </c>
      <c r="C242" s="15" t="inlineStr">
        <is>
          <t>Horace Chattopadhyay</t>
        </is>
      </c>
      <c r="D242" s="15" t="inlineStr">
        <is>
          <t>FL</t>
        </is>
      </c>
      <c r="E242" s="16" t="n">
        <v>440000</v>
      </c>
      <c r="F242" s="16" t="n">
        <v>5483.72</v>
      </c>
      <c r="G242" s="16" t="n">
        <v>685.47</v>
      </c>
      <c r="H242" s="16" t="n">
        <v>685.47</v>
      </c>
      <c r="I242" s="16">
        <f>SUM(K242:T242)</f>
        <v/>
      </c>
      <c r="J242" s="16">
        <f>F242-(G242+H242+I242)</f>
        <v/>
      </c>
      <c r="K242" s="16" t="n">
        <v>411.28</v>
      </c>
      <c r="L242" s="16" t="n">
        <v>411.28</v>
      </c>
      <c r="M242" s="16" t="n">
        <v>411.28</v>
      </c>
      <c r="N242" s="16" t="n">
        <v>411.28</v>
      </c>
      <c r="O242" s="16" t="n">
        <v>411.28</v>
      </c>
      <c r="P242" s="16" t="n">
        <v>411.28</v>
      </c>
      <c r="Q242" s="16" t="n">
        <v>411.28</v>
      </c>
      <c r="R242" s="16" t="n">
        <v>411.28</v>
      </c>
      <c r="S242" s="16" t="n">
        <v>411.28</v>
      </c>
      <c r="T242" s="16" t="n">
        <v>411.28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CANON-202510-001427</t>
        </is>
      </c>
      <c r="B243" s="3" t="inlineStr">
        <is>
          <t>2025-10-03</t>
        </is>
      </c>
      <c r="C243" s="3" t="inlineStr">
        <is>
          <t>Mireille Kingsford</t>
        </is>
      </c>
      <c r="D243" s="3" t="inlineStr">
        <is>
          <t>OH</t>
        </is>
      </c>
      <c r="E243" s="14" t="n">
        <v>380000</v>
      </c>
      <c r="F243" s="14" t="n">
        <v>4635.88</v>
      </c>
      <c r="G243" s="14" t="n">
        <v>579.49</v>
      </c>
      <c r="H243" s="14" t="n">
        <v>579.49</v>
      </c>
      <c r="I243" s="14">
        <f>SUM(K243:T243)</f>
        <v/>
      </c>
      <c r="J243" s="14">
        <f>F243-(G243+H243+I243)</f>
        <v/>
      </c>
      <c r="K243" s="14" t="n">
        <v>347.69</v>
      </c>
      <c r="L243" s="14" t="n">
        <v>347.69</v>
      </c>
      <c r="M243" s="14" t="n">
        <v>347.69</v>
      </c>
      <c r="N243" s="14" t="n">
        <v>347.69</v>
      </c>
      <c r="O243" s="14" t="n">
        <v>347.69</v>
      </c>
      <c r="P243" s="14" t="n">
        <v>347.69</v>
      </c>
      <c r="Q243" s="14" t="n">
        <v>347.69</v>
      </c>
      <c r="R243" s="14" t="n">
        <v>347.69</v>
      </c>
      <c r="S243" s="14" t="n">
        <v>347.69</v>
      </c>
      <c r="T243" s="14" t="n">
        <v>347.69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CANON-202510-001428</t>
        </is>
      </c>
      <c r="B244" s="15" t="inlineStr">
        <is>
          <t>2025-10-25</t>
        </is>
      </c>
      <c r="C244" s="15" t="inlineStr">
        <is>
          <t>Fenwick Nakashima</t>
        </is>
      </c>
      <c r="D244" s="15" t="inlineStr">
        <is>
          <t>KY</t>
        </is>
      </c>
      <c r="E244" s="16" t="n">
        <v>370000</v>
      </c>
      <c r="F244" s="16" t="n">
        <v>6799.24</v>
      </c>
      <c r="G244" s="16" t="n">
        <v>849.9</v>
      </c>
      <c r="H244" s="16" t="n">
        <v>849.9</v>
      </c>
      <c r="I244" s="16">
        <f>SUM(K244:T244)</f>
        <v/>
      </c>
      <c r="J244" s="16">
        <f>F244-(G244+H244+I244)</f>
        <v/>
      </c>
      <c r="K244" s="16" t="n">
        <v>509.94</v>
      </c>
      <c r="L244" s="16" t="n">
        <v>509.94</v>
      </c>
      <c r="M244" s="16" t="n">
        <v>509.94</v>
      </c>
      <c r="N244" s="16" t="n">
        <v>509.94</v>
      </c>
      <c r="O244" s="16" t="n">
        <v>509.94</v>
      </c>
      <c r="P244" s="16" t="n">
        <v>509.94</v>
      </c>
      <c r="Q244" s="16" t="n">
        <v>509.94</v>
      </c>
      <c r="R244" s="16" t="n">
        <v>509.94</v>
      </c>
      <c r="S244" s="16" t="n">
        <v>509.94</v>
      </c>
      <c r="T244" s="16" t="n">
        <v>509.94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CANON-202510-001430</t>
        </is>
      </c>
      <c r="B245" s="3" t="inlineStr">
        <is>
          <t>2025-10-23</t>
        </is>
      </c>
      <c r="C245" s="3" t="inlineStr">
        <is>
          <t>Thaddeus Whitlock</t>
        </is>
      </c>
      <c r="D245" s="3" t="inlineStr">
        <is>
          <t>CA</t>
        </is>
      </c>
      <c r="E245" s="14" t="n">
        <v>1125000</v>
      </c>
      <c r="F245" s="14" t="n">
        <v>22216.16</v>
      </c>
      <c r="G245" s="14" t="n">
        <v>2777.02</v>
      </c>
      <c r="H245" s="14" t="n">
        <v>2777.02</v>
      </c>
      <c r="I245" s="14">
        <f>SUM(K245:T245)</f>
        <v/>
      </c>
      <c r="J245" s="14">
        <f>F245-(G245+H245+I245)</f>
        <v/>
      </c>
      <c r="K245" s="14" t="n">
        <v>1666.21</v>
      </c>
      <c r="L245" s="14" t="n">
        <v>1666.21</v>
      </c>
      <c r="M245" s="14" t="n">
        <v>1666.21</v>
      </c>
      <c r="N245" s="14" t="n">
        <v>1666.21</v>
      </c>
      <c r="O245" s="14" t="n">
        <v>1666.21</v>
      </c>
      <c r="P245" s="14" t="n">
        <v>1666.21</v>
      </c>
      <c r="Q245" s="14" t="n">
        <v>1666.21</v>
      </c>
      <c r="R245" s="14" t="n">
        <v>1666.21</v>
      </c>
      <c r="S245" s="14" t="n">
        <v>1666.21</v>
      </c>
      <c r="T245" s="14" t="n">
        <v>1666.21</v>
      </c>
      <c r="U245" s="14" t="n">
        <v>350</v>
      </c>
      <c r="V245" s="14" t="n">
        <v>250</v>
      </c>
      <c r="W245" s="14">
        <f>U245+V245</f>
        <v/>
      </c>
    </row>
    <row r="246">
      <c r="A246" s="15" t="inlineStr">
        <is>
          <t>CANON-202510-001432</t>
        </is>
      </c>
      <c r="B246" s="15" t="inlineStr">
        <is>
          <t>2025-10-12</t>
        </is>
      </c>
      <c r="C246" s="15" t="inlineStr">
        <is>
          <t>Ingrid Montoya</t>
        </is>
      </c>
      <c r="D246" s="15" t="inlineStr">
        <is>
          <t>CA</t>
        </is>
      </c>
      <c r="E246" s="16" t="n">
        <v>425000</v>
      </c>
      <c r="F246" s="16" t="n">
        <v>7868.22</v>
      </c>
      <c r="G246" s="16" t="n">
        <v>983.53</v>
      </c>
      <c r="H246" s="16" t="n">
        <v>983.53</v>
      </c>
      <c r="I246" s="16">
        <f>SUM(K246:T246)</f>
        <v/>
      </c>
      <c r="J246" s="16">
        <f>F246-(G246+H246+I246)</f>
        <v/>
      </c>
      <c r="K246" s="16" t="n">
        <v>590.12</v>
      </c>
      <c r="L246" s="16" t="n">
        <v>590.12</v>
      </c>
      <c r="M246" s="16" t="n">
        <v>590.12</v>
      </c>
      <c r="N246" s="16" t="n">
        <v>590.12</v>
      </c>
      <c r="O246" s="16" t="n">
        <v>590.12</v>
      </c>
      <c r="P246" s="16" t="n">
        <v>590.12</v>
      </c>
      <c r="Q246" s="16" t="n">
        <v>590.12</v>
      </c>
      <c r="R246" s="16" t="n">
        <v>590.12</v>
      </c>
      <c r="S246" s="16" t="n">
        <v>590.12</v>
      </c>
      <c r="T246" s="16" t="n">
        <v>590.12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CANON-202510-001433</t>
        </is>
      </c>
      <c r="B247" s="3" t="inlineStr">
        <is>
          <t>2025-10-29</t>
        </is>
      </c>
      <c r="C247" s="3" t="inlineStr">
        <is>
          <t>Horace Whitlock</t>
        </is>
      </c>
      <c r="D247" s="3" t="inlineStr">
        <is>
          <t>AZ</t>
        </is>
      </c>
      <c r="E247" s="14" t="n">
        <v>995000</v>
      </c>
      <c r="F247" s="14" t="n">
        <v>17456.64</v>
      </c>
      <c r="G247" s="14" t="n">
        <v>2182.08</v>
      </c>
      <c r="H247" s="14" t="n">
        <v>2182.08</v>
      </c>
      <c r="I247" s="14">
        <f>SUM(K247:T247)</f>
        <v/>
      </c>
      <c r="J247" s="14">
        <f>F247-(G247+H247+I247)</f>
        <v/>
      </c>
      <c r="K247" s="14" t="n">
        <v>1309.25</v>
      </c>
      <c r="L247" s="14" t="n">
        <v>1309.25</v>
      </c>
      <c r="M247" s="14" t="n">
        <v>1309.25</v>
      </c>
      <c r="N247" s="14" t="n">
        <v>1309.25</v>
      </c>
      <c r="O247" s="14" t="n">
        <v>1309.25</v>
      </c>
      <c r="P247" s="14" t="n">
        <v>1309.25</v>
      </c>
      <c r="Q247" s="14" t="n">
        <v>1309.25</v>
      </c>
      <c r="R247" s="14" t="n">
        <v>1309.25</v>
      </c>
      <c r="S247" s="14" t="n">
        <v>1309.25</v>
      </c>
      <c r="T247" s="14" t="n">
        <v>1309.25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CANON-202510-001434</t>
        </is>
      </c>
      <c r="B248" s="15" t="inlineStr">
        <is>
          <t>2025-10-18</t>
        </is>
      </c>
      <c r="C248" s="15" t="inlineStr">
        <is>
          <t>Desmond Underwood</t>
        </is>
      </c>
      <c r="D248" s="15" t="inlineStr">
        <is>
          <t>NY</t>
        </is>
      </c>
      <c r="E248" s="16" t="n">
        <v>435000</v>
      </c>
      <c r="F248" s="16" t="n">
        <v>7635.78</v>
      </c>
      <c r="G248" s="16" t="n">
        <v>954.47</v>
      </c>
      <c r="H248" s="16" t="n">
        <v>954.47</v>
      </c>
      <c r="I248" s="16">
        <f>SUM(K248:T248)</f>
        <v/>
      </c>
      <c r="J248" s="16">
        <f>F248-(G248+H248+I248)</f>
        <v/>
      </c>
      <c r="K248" s="16" t="n">
        <v>572.6799999999999</v>
      </c>
      <c r="L248" s="16" t="n">
        <v>572.6799999999999</v>
      </c>
      <c r="M248" s="16" t="n">
        <v>572.6799999999999</v>
      </c>
      <c r="N248" s="16" t="n">
        <v>572.6799999999999</v>
      </c>
      <c r="O248" s="16" t="n">
        <v>572.6799999999999</v>
      </c>
      <c r="P248" s="16" t="n">
        <v>572.6799999999999</v>
      </c>
      <c r="Q248" s="16" t="n">
        <v>572.6799999999999</v>
      </c>
      <c r="R248" s="16" t="n">
        <v>572.6799999999999</v>
      </c>
      <c r="S248" s="16" t="n">
        <v>572.6799999999999</v>
      </c>
      <c r="T248" s="16" t="n">
        <v>572.6799999999999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CANON-202510-001435</t>
        </is>
      </c>
      <c r="B249" s="3" t="inlineStr">
        <is>
          <t>2025-10-22</t>
        </is>
      </c>
      <c r="C249" s="3" t="inlineStr">
        <is>
          <t>Aurelio Bellandi</t>
        </is>
      </c>
      <c r="D249" s="3" t="inlineStr">
        <is>
          <t>MT</t>
        </is>
      </c>
      <c r="E249" s="14" t="n">
        <v>320000</v>
      </c>
      <c r="F249" s="14" t="n">
        <v>4081.19</v>
      </c>
      <c r="G249" s="14" t="n">
        <v>510.15</v>
      </c>
      <c r="H249" s="14" t="n">
        <v>510.15</v>
      </c>
      <c r="I249" s="14">
        <f>SUM(K249:T249)</f>
        <v/>
      </c>
      <c r="J249" s="14">
        <f>F249-(G249+H249+I249)</f>
        <v/>
      </c>
      <c r="K249" s="14" t="n">
        <v>306.09</v>
      </c>
      <c r="L249" s="14" t="n">
        <v>306.09</v>
      </c>
      <c r="M249" s="14" t="n">
        <v>306.09</v>
      </c>
      <c r="N249" s="14" t="n">
        <v>306.09</v>
      </c>
      <c r="O249" s="14" t="n">
        <v>306.09</v>
      </c>
      <c r="P249" s="14" t="n">
        <v>306.09</v>
      </c>
      <c r="Q249" s="14" t="n">
        <v>306.09</v>
      </c>
      <c r="R249" s="14" t="n">
        <v>306.09</v>
      </c>
      <c r="S249" s="14" t="n">
        <v>306.09</v>
      </c>
      <c r="T249" s="14" t="n">
        <v>306.09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CANON-202510-001436</t>
        </is>
      </c>
      <c r="B250" s="15" t="inlineStr">
        <is>
          <t>2025-10-02</t>
        </is>
      </c>
      <c r="C250" s="15" t="inlineStr">
        <is>
          <t>Ingrid Fairweather</t>
        </is>
      </c>
      <c r="D250" s="15" t="inlineStr">
        <is>
          <t>NM</t>
        </is>
      </c>
      <c r="E250" s="16" t="n">
        <v>850000</v>
      </c>
      <c r="F250" s="16" t="n">
        <v>8554.41</v>
      </c>
      <c r="G250" s="16" t="n">
        <v>1069.3</v>
      </c>
      <c r="H250" s="16" t="n">
        <v>1069.3</v>
      </c>
      <c r="I250" s="16">
        <f>SUM(K250:T250)</f>
        <v/>
      </c>
      <c r="J250" s="16">
        <f>F250-(G250+H250+I250)</f>
        <v/>
      </c>
      <c r="K250" s="16" t="n">
        <v>641.58</v>
      </c>
      <c r="L250" s="16" t="n">
        <v>641.58</v>
      </c>
      <c r="M250" s="16" t="n">
        <v>641.58</v>
      </c>
      <c r="N250" s="16" t="n">
        <v>641.58</v>
      </c>
      <c r="O250" s="16" t="n">
        <v>641.58</v>
      </c>
      <c r="P250" s="16" t="n">
        <v>641.58</v>
      </c>
      <c r="Q250" s="16" t="n">
        <v>641.58</v>
      </c>
      <c r="R250" s="16" t="n">
        <v>641.58</v>
      </c>
      <c r="S250" s="16" t="n">
        <v>641.58</v>
      </c>
      <c r="T250" s="16" t="n">
        <v>641.58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CANON-202510-001437</t>
        </is>
      </c>
      <c r="B251" s="3" t="inlineStr">
        <is>
          <t>2025-10-24</t>
        </is>
      </c>
      <c r="C251" s="3" t="inlineStr">
        <is>
          <t>Ingrid Rourke</t>
        </is>
      </c>
      <c r="D251" s="3" t="inlineStr">
        <is>
          <t>OR</t>
        </is>
      </c>
      <c r="E251" s="14" t="n">
        <v>570000</v>
      </c>
      <c r="F251" s="14" t="n">
        <v>7655.25</v>
      </c>
      <c r="G251" s="14" t="n">
        <v>956.91</v>
      </c>
      <c r="H251" s="14" t="n">
        <v>956.91</v>
      </c>
      <c r="I251" s="14">
        <f>SUM(K251:T251)</f>
        <v/>
      </c>
      <c r="J251" s="14">
        <f>F251-(G251+H251+I251)</f>
        <v/>
      </c>
      <c r="K251" s="14" t="n">
        <v>574.14</v>
      </c>
      <c r="L251" s="14" t="n">
        <v>574.14</v>
      </c>
      <c r="M251" s="14" t="n">
        <v>574.14</v>
      </c>
      <c r="N251" s="14" t="n">
        <v>574.14</v>
      </c>
      <c r="O251" s="14" t="n">
        <v>574.14</v>
      </c>
      <c r="P251" s="14" t="n">
        <v>574.14</v>
      </c>
      <c r="Q251" s="14" t="n">
        <v>574.14</v>
      </c>
      <c r="R251" s="14" t="n">
        <v>574.14</v>
      </c>
      <c r="S251" s="14" t="n">
        <v>574.14</v>
      </c>
      <c r="T251" s="14" t="n">
        <v>574.14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CANON-202510-001438</t>
        </is>
      </c>
      <c r="B252" s="15" t="inlineStr">
        <is>
          <t>2025-10-01</t>
        </is>
      </c>
      <c r="C252" s="15" t="inlineStr">
        <is>
          <t>Beatrix Vandermeer</t>
        </is>
      </c>
      <c r="D252" s="15" t="inlineStr">
        <is>
          <t>NJ</t>
        </is>
      </c>
      <c r="E252" s="16" t="n">
        <v>740000</v>
      </c>
      <c r="F252" s="16" t="n">
        <v>11697.41</v>
      </c>
      <c r="G252" s="16" t="n">
        <v>1462.18</v>
      </c>
      <c r="H252" s="16" t="n">
        <v>1462.18</v>
      </c>
      <c r="I252" s="16">
        <f>SUM(K252:T252)</f>
        <v/>
      </c>
      <c r="J252" s="16">
        <f>F252-(G252+H252+I252)</f>
        <v/>
      </c>
      <c r="K252" s="16" t="n">
        <v>877.3099999999999</v>
      </c>
      <c r="L252" s="16" t="n">
        <v>877.3099999999999</v>
      </c>
      <c r="M252" s="16" t="n">
        <v>877.3099999999999</v>
      </c>
      <c r="N252" s="16" t="n">
        <v>877.3099999999999</v>
      </c>
      <c r="O252" s="16" t="n">
        <v>877.3099999999999</v>
      </c>
      <c r="P252" s="16" t="n">
        <v>877.3099999999999</v>
      </c>
      <c r="Q252" s="16" t="n">
        <v>877.3099999999999</v>
      </c>
      <c r="R252" s="16" t="n">
        <v>877.3099999999999</v>
      </c>
      <c r="S252" s="16" t="n">
        <v>877.3099999999999</v>
      </c>
      <c r="T252" s="16" t="n">
        <v>877.3099999999999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CANON-202510-001439</t>
        </is>
      </c>
      <c r="B253" s="3" t="inlineStr">
        <is>
          <t>2025-10-21</t>
        </is>
      </c>
      <c r="C253" s="3" t="inlineStr">
        <is>
          <t>Fitzgerald Kingsford</t>
        </is>
      </c>
      <c r="D253" s="3" t="inlineStr">
        <is>
          <t>WA</t>
        </is>
      </c>
      <c r="E253" s="14" t="n">
        <v>280000</v>
      </c>
      <c r="F253" s="14" t="n">
        <v>2359.2</v>
      </c>
      <c r="G253" s="14" t="n">
        <v>294.9</v>
      </c>
      <c r="H253" s="14" t="n">
        <v>294.9</v>
      </c>
      <c r="I253" s="14">
        <f>SUM(K253:T253)</f>
        <v/>
      </c>
      <c r="J253" s="14">
        <f>F253-(G253+H253+I253)</f>
        <v/>
      </c>
      <c r="K253" s="14" t="n">
        <v>176.94</v>
      </c>
      <c r="L253" s="14" t="n">
        <v>176.94</v>
      </c>
      <c r="M253" s="14" t="n">
        <v>176.94</v>
      </c>
      <c r="N253" s="14" t="n">
        <v>176.94</v>
      </c>
      <c r="O253" s="14" t="n">
        <v>176.94</v>
      </c>
      <c r="P253" s="14" t="n">
        <v>176.94</v>
      </c>
      <c r="Q253" s="14" t="n">
        <v>176.94</v>
      </c>
      <c r="R253" s="14" t="n">
        <v>176.94</v>
      </c>
      <c r="S253" s="14" t="n">
        <v>176.94</v>
      </c>
      <c r="T253" s="14" t="n">
        <v>176.94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CANON-202510-001440</t>
        </is>
      </c>
      <c r="B254" s="15" t="inlineStr">
        <is>
          <t>2025-10-30</t>
        </is>
      </c>
      <c r="C254" s="15" t="inlineStr">
        <is>
          <t>Callum Vandermeer</t>
        </is>
      </c>
      <c r="D254" s="15" t="inlineStr">
        <is>
          <t>CA</t>
        </is>
      </c>
      <c r="E254" s="16" t="n">
        <v>195000</v>
      </c>
      <c r="F254" s="16" t="n">
        <v>4428.42</v>
      </c>
      <c r="G254" s="16" t="n">
        <v>553.55</v>
      </c>
      <c r="H254" s="16" t="n">
        <v>553.55</v>
      </c>
      <c r="I254" s="16">
        <f>SUM(K254:T254)</f>
        <v/>
      </c>
      <c r="J254" s="16">
        <f>F254-(G254+H254+I254)</f>
        <v/>
      </c>
      <c r="K254" s="16" t="n">
        <v>332.13</v>
      </c>
      <c r="L254" s="16" t="n">
        <v>332.13</v>
      </c>
      <c r="M254" s="16" t="n">
        <v>332.13</v>
      </c>
      <c r="N254" s="16" t="n">
        <v>332.13</v>
      </c>
      <c r="O254" s="16" t="n">
        <v>332.13</v>
      </c>
      <c r="P254" s="16" t="n">
        <v>332.13</v>
      </c>
      <c r="Q254" s="16" t="n">
        <v>332.13</v>
      </c>
      <c r="R254" s="16" t="n">
        <v>332.13</v>
      </c>
      <c r="S254" s="16" t="n">
        <v>332.13</v>
      </c>
      <c r="T254" s="16" t="n">
        <v>332.13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CANON-202510-001441</t>
        </is>
      </c>
      <c r="B255" s="3" t="inlineStr">
        <is>
          <t>2025-10-12</t>
        </is>
      </c>
      <c r="C255" s="3" t="inlineStr">
        <is>
          <t>Saoirse Thistlewood</t>
        </is>
      </c>
      <c r="D255" s="3" t="inlineStr">
        <is>
          <t>IL</t>
        </is>
      </c>
      <c r="E255" s="14" t="n">
        <v>390000</v>
      </c>
      <c r="F255" s="14" t="n">
        <v>7273.74</v>
      </c>
      <c r="G255" s="14" t="n">
        <v>909.22</v>
      </c>
      <c r="H255" s="14" t="n">
        <v>909.22</v>
      </c>
      <c r="I255" s="14">
        <f>SUM(K255:T255)</f>
        <v/>
      </c>
      <c r="J255" s="14">
        <f>F255-(G255+H255+I255)</f>
        <v/>
      </c>
      <c r="K255" s="14" t="n">
        <v>545.53</v>
      </c>
      <c r="L255" s="14" t="n">
        <v>545.53</v>
      </c>
      <c r="M255" s="14" t="n">
        <v>545.53</v>
      </c>
      <c r="N255" s="14" t="n">
        <v>545.53</v>
      </c>
      <c r="O255" s="14" t="n">
        <v>545.53</v>
      </c>
      <c r="P255" s="14" t="n">
        <v>545.53</v>
      </c>
      <c r="Q255" s="14" t="n">
        <v>545.53</v>
      </c>
      <c r="R255" s="14" t="n">
        <v>545.53</v>
      </c>
      <c r="S255" s="14" t="n">
        <v>545.53</v>
      </c>
      <c r="T255" s="14" t="n">
        <v>545.53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CANON-202510-001442</t>
        </is>
      </c>
      <c r="B256" s="15" t="inlineStr">
        <is>
          <t>2025-10-05</t>
        </is>
      </c>
      <c r="C256" s="15" t="inlineStr">
        <is>
          <t>Aurelio Larsson</t>
        </is>
      </c>
      <c r="D256" s="15" t="inlineStr">
        <is>
          <t>AZ</t>
        </is>
      </c>
      <c r="E256" s="16" t="n">
        <v>895000</v>
      </c>
      <c r="F256" s="16" t="n">
        <v>10743.62</v>
      </c>
      <c r="G256" s="16" t="n">
        <v>1342.95</v>
      </c>
      <c r="H256" s="16" t="n">
        <v>1342.95</v>
      </c>
      <c r="I256" s="16">
        <f>SUM(K256:T256)</f>
        <v/>
      </c>
      <c r="J256" s="16">
        <f>F256-(G256+H256+I256)</f>
        <v/>
      </c>
      <c r="K256" s="16" t="n">
        <v>805.77</v>
      </c>
      <c r="L256" s="16" t="n">
        <v>805.77</v>
      </c>
      <c r="M256" s="16" t="n">
        <v>805.77</v>
      </c>
      <c r="N256" s="16" t="n">
        <v>805.77</v>
      </c>
      <c r="O256" s="16" t="n">
        <v>805.77</v>
      </c>
      <c r="P256" s="16" t="n">
        <v>805.77</v>
      </c>
      <c r="Q256" s="16" t="n">
        <v>805.77</v>
      </c>
      <c r="R256" s="16" t="n">
        <v>805.77</v>
      </c>
      <c r="S256" s="16" t="n">
        <v>805.77</v>
      </c>
      <c r="T256" s="16" t="n">
        <v>805.77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CANON-202510-001444</t>
        </is>
      </c>
      <c r="B257" s="3" t="inlineStr">
        <is>
          <t>2025-10-18</t>
        </is>
      </c>
      <c r="C257" s="3" t="inlineStr">
        <is>
          <t>Ingrid Pennington</t>
        </is>
      </c>
      <c r="D257" s="3" t="inlineStr">
        <is>
          <t>OH</t>
        </is>
      </c>
      <c r="E257" s="14" t="n">
        <v>240000</v>
      </c>
      <c r="F257" s="14" t="n">
        <v>5611.85</v>
      </c>
      <c r="G257" s="14" t="n">
        <v>701.48</v>
      </c>
      <c r="H257" s="14" t="n">
        <v>701.48</v>
      </c>
      <c r="I257" s="14">
        <f>SUM(K257:T257)</f>
        <v/>
      </c>
      <c r="J257" s="14">
        <f>F257-(G257+H257+I257)</f>
        <v/>
      </c>
      <c r="K257" s="14" t="n">
        <v>420.89</v>
      </c>
      <c r="L257" s="14" t="n">
        <v>420.89</v>
      </c>
      <c r="M257" s="14" t="n">
        <v>420.89</v>
      </c>
      <c r="N257" s="14" t="n">
        <v>420.89</v>
      </c>
      <c r="O257" s="14" t="n">
        <v>420.89</v>
      </c>
      <c r="P257" s="14" t="n">
        <v>420.89</v>
      </c>
      <c r="Q257" s="14" t="n">
        <v>420.89</v>
      </c>
      <c r="R257" s="14" t="n">
        <v>420.89</v>
      </c>
      <c r="S257" s="14" t="n">
        <v>420.89</v>
      </c>
      <c r="T257" s="14" t="n">
        <v>420.89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CANON-202510-001446</t>
        </is>
      </c>
      <c r="B258" s="15" t="inlineStr">
        <is>
          <t>2025-10-19</t>
        </is>
      </c>
      <c r="C258" s="15" t="inlineStr">
        <is>
          <t>Callum Fairweather</t>
        </is>
      </c>
      <c r="D258" s="15" t="inlineStr">
        <is>
          <t>AK</t>
        </is>
      </c>
      <c r="E258" s="16" t="n">
        <v>565000</v>
      </c>
      <c r="F258" s="16" t="n">
        <v>11188.44</v>
      </c>
      <c r="G258" s="16" t="n">
        <v>1398.56</v>
      </c>
      <c r="H258" s="16" t="n">
        <v>1398.56</v>
      </c>
      <c r="I258" s="16">
        <f>SUM(K258:T258)</f>
        <v/>
      </c>
      <c r="J258" s="16">
        <f>F258-(G258+H258+I258)</f>
        <v/>
      </c>
      <c r="K258" s="16" t="n">
        <v>839.13</v>
      </c>
      <c r="L258" s="16" t="n">
        <v>839.13</v>
      </c>
      <c r="M258" s="16" t="n">
        <v>839.13</v>
      </c>
      <c r="N258" s="16" t="n">
        <v>839.13</v>
      </c>
      <c r="O258" s="16" t="n">
        <v>839.13</v>
      </c>
      <c r="P258" s="16" t="n">
        <v>839.13</v>
      </c>
      <c r="Q258" s="16" t="n">
        <v>839.13</v>
      </c>
      <c r="R258" s="16" t="n">
        <v>839.13</v>
      </c>
      <c r="S258" s="16" t="n">
        <v>839.13</v>
      </c>
      <c r="T258" s="16" t="n">
        <v>839.13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CANON-202510-001447</t>
        </is>
      </c>
      <c r="B259" s="3" t="inlineStr">
        <is>
          <t>2025-10-29</t>
        </is>
      </c>
      <c r="C259" s="3" t="inlineStr">
        <is>
          <t>Everett Thistlewood</t>
        </is>
      </c>
      <c r="D259" s="3" t="inlineStr">
        <is>
          <t>NJ</t>
        </is>
      </c>
      <c r="E259" s="14" t="n">
        <v>530000</v>
      </c>
      <c r="F259" s="14" t="n">
        <v>8377.870000000001</v>
      </c>
      <c r="G259" s="14" t="n">
        <v>1047.23</v>
      </c>
      <c r="H259" s="14" t="n">
        <v>1047.23</v>
      </c>
      <c r="I259" s="14">
        <f>SUM(K259:T259)</f>
        <v/>
      </c>
      <c r="J259" s="14">
        <f>F259-(G259+H259+I259)</f>
        <v/>
      </c>
      <c r="K259" s="14" t="n">
        <v>628.34</v>
      </c>
      <c r="L259" s="14" t="n">
        <v>628.34</v>
      </c>
      <c r="M259" s="14" t="n">
        <v>628.34</v>
      </c>
      <c r="N259" s="14" t="n">
        <v>628.34</v>
      </c>
      <c r="O259" s="14" t="n">
        <v>628.34</v>
      </c>
      <c r="P259" s="14" t="n">
        <v>628.34</v>
      </c>
      <c r="Q259" s="14" t="n">
        <v>628.34</v>
      </c>
      <c r="R259" s="14" t="n">
        <v>628.34</v>
      </c>
      <c r="S259" s="14" t="n">
        <v>628.34</v>
      </c>
      <c r="T259" s="14" t="n">
        <v>628.34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CANON-202510-001448</t>
        </is>
      </c>
      <c r="B260" s="15" t="inlineStr">
        <is>
          <t>2025-10-28</t>
        </is>
      </c>
      <c r="C260" s="15" t="inlineStr">
        <is>
          <t>Mireille Merriweather</t>
        </is>
      </c>
      <c r="D260" s="15" t="inlineStr">
        <is>
          <t>IL</t>
        </is>
      </c>
      <c r="E260" s="16" t="n">
        <v>1440000</v>
      </c>
      <c r="F260" s="16" t="n">
        <v>19695.04</v>
      </c>
      <c r="G260" s="16" t="n">
        <v>2461.88</v>
      </c>
      <c r="H260" s="16" t="n">
        <v>2461.88</v>
      </c>
      <c r="I260" s="16">
        <f>SUM(K260:T260)</f>
        <v/>
      </c>
      <c r="J260" s="16">
        <f>F260-(G260+H260+I260)</f>
        <v/>
      </c>
      <c r="K260" s="16" t="n">
        <v>1477.13</v>
      </c>
      <c r="L260" s="16" t="n">
        <v>1477.13</v>
      </c>
      <c r="M260" s="16" t="n">
        <v>1477.13</v>
      </c>
      <c r="N260" s="16" t="n">
        <v>1477.13</v>
      </c>
      <c r="O260" s="16" t="n">
        <v>1477.13</v>
      </c>
      <c r="P260" s="16" t="n">
        <v>1477.13</v>
      </c>
      <c r="Q260" s="16" t="n">
        <v>1477.13</v>
      </c>
      <c r="R260" s="16" t="n">
        <v>1477.13</v>
      </c>
      <c r="S260" s="16" t="n">
        <v>1477.13</v>
      </c>
      <c r="T260" s="16" t="n">
        <v>1477.13</v>
      </c>
      <c r="U260" s="16" t="n">
        <v>350</v>
      </c>
      <c r="V260" s="16" t="n">
        <v>250</v>
      </c>
      <c r="W260" s="16">
        <f>U260+V260</f>
        <v/>
      </c>
    </row>
    <row r="261">
      <c r="A261" s="3" t="inlineStr">
        <is>
          <t>CANON-202510-001449</t>
        </is>
      </c>
      <c r="B261" s="3" t="inlineStr">
        <is>
          <t>2025-10-27</t>
        </is>
      </c>
      <c r="C261" s="3" t="inlineStr">
        <is>
          <t>Ingrid Farkas</t>
        </is>
      </c>
      <c r="D261" s="3" t="inlineStr">
        <is>
          <t>KS</t>
        </is>
      </c>
      <c r="E261" s="14" t="n">
        <v>550000</v>
      </c>
      <c r="F261" s="14" t="n">
        <v>6340.74</v>
      </c>
      <c r="G261" s="14" t="n">
        <v>792.59</v>
      </c>
      <c r="H261" s="14" t="n">
        <v>792.59</v>
      </c>
      <c r="I261" s="14">
        <f>SUM(K261:T261)</f>
        <v/>
      </c>
      <c r="J261" s="14">
        <f>F261-(G261+H261+I261)</f>
        <v/>
      </c>
      <c r="K261" s="14" t="n">
        <v>475.56</v>
      </c>
      <c r="L261" s="14" t="n">
        <v>475.56</v>
      </c>
      <c r="M261" s="14" t="n">
        <v>475.56</v>
      </c>
      <c r="N261" s="14" t="n">
        <v>475.56</v>
      </c>
      <c r="O261" s="14" t="n">
        <v>475.56</v>
      </c>
      <c r="P261" s="14" t="n">
        <v>475.56</v>
      </c>
      <c r="Q261" s="14" t="n">
        <v>475.56</v>
      </c>
      <c r="R261" s="14" t="n">
        <v>475.56</v>
      </c>
      <c r="S261" s="14" t="n">
        <v>475.56</v>
      </c>
      <c r="T261" s="14" t="n">
        <v>475.56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CANON-202510-001450</t>
        </is>
      </c>
      <c r="B262" s="15" t="inlineStr">
        <is>
          <t>2025-10-20</t>
        </is>
      </c>
      <c r="C262" s="15" t="inlineStr">
        <is>
          <t>Emiliano Nakashima</t>
        </is>
      </c>
      <c r="D262" s="15" t="inlineStr">
        <is>
          <t>MA</t>
        </is>
      </c>
      <c r="E262" s="16" t="n">
        <v>295000</v>
      </c>
      <c r="F262" s="16" t="n">
        <v>5056.92</v>
      </c>
      <c r="G262" s="16" t="n">
        <v>632.12</v>
      </c>
      <c r="H262" s="16" t="n">
        <v>632.12</v>
      </c>
      <c r="I262" s="16">
        <f>SUM(K262:T262)</f>
        <v/>
      </c>
      <c r="J262" s="16">
        <f>F262-(G262+H262+I262)</f>
        <v/>
      </c>
      <c r="K262" s="16" t="n">
        <v>379.27</v>
      </c>
      <c r="L262" s="16" t="n">
        <v>379.27</v>
      </c>
      <c r="M262" s="16" t="n">
        <v>379.27</v>
      </c>
      <c r="N262" s="16" t="n">
        <v>379.27</v>
      </c>
      <c r="O262" s="16" t="n">
        <v>379.27</v>
      </c>
      <c r="P262" s="16" t="n">
        <v>379.27</v>
      </c>
      <c r="Q262" s="16" t="n">
        <v>379.27</v>
      </c>
      <c r="R262" s="16" t="n">
        <v>379.27</v>
      </c>
      <c r="S262" s="16" t="n">
        <v>379.27</v>
      </c>
      <c r="T262" s="16" t="n">
        <v>379.27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CANON-202510-001451</t>
        </is>
      </c>
      <c r="B263" s="3" t="inlineStr">
        <is>
          <t>2025-10-01</t>
        </is>
      </c>
      <c r="C263" s="3" t="inlineStr">
        <is>
          <t>Mireille Underwood</t>
        </is>
      </c>
      <c r="D263" s="3" t="inlineStr">
        <is>
          <t>LA</t>
        </is>
      </c>
      <c r="E263" s="14" t="n">
        <v>1165000</v>
      </c>
      <c r="F263" s="14" t="n">
        <v>20620.26</v>
      </c>
      <c r="G263" s="14" t="n">
        <v>2577.53</v>
      </c>
      <c r="H263" s="14" t="n">
        <v>2577.53</v>
      </c>
      <c r="I263" s="14">
        <f>SUM(K263:T263)</f>
        <v/>
      </c>
      <c r="J263" s="14">
        <f>F263-(G263+H263+I263)</f>
        <v/>
      </c>
      <c r="K263" s="14" t="n">
        <v>1546.52</v>
      </c>
      <c r="L263" s="14" t="n">
        <v>1546.52</v>
      </c>
      <c r="M263" s="14" t="n">
        <v>1546.52</v>
      </c>
      <c r="N263" s="14" t="n">
        <v>1546.52</v>
      </c>
      <c r="O263" s="14" t="n">
        <v>1546.52</v>
      </c>
      <c r="P263" s="14" t="n">
        <v>1546.52</v>
      </c>
      <c r="Q263" s="14" t="n">
        <v>1546.52</v>
      </c>
      <c r="R263" s="14" t="n">
        <v>1546.52</v>
      </c>
      <c r="S263" s="14" t="n">
        <v>1546.52</v>
      </c>
      <c r="T263" s="14" t="n">
        <v>1546.52</v>
      </c>
      <c r="U263" s="14" t="n">
        <v>350</v>
      </c>
      <c r="V263" s="14" t="n">
        <v>250</v>
      </c>
      <c r="W263" s="14">
        <f>U263+V263</f>
        <v/>
      </c>
    </row>
    <row r="264">
      <c r="A264" s="15" t="inlineStr">
        <is>
          <t>CANON-202510-001453</t>
        </is>
      </c>
      <c r="B264" s="15" t="inlineStr">
        <is>
          <t>2025-10-29</t>
        </is>
      </c>
      <c r="C264" s="15" t="inlineStr">
        <is>
          <t>Beatrix Delacroix</t>
        </is>
      </c>
      <c r="D264" s="15" t="inlineStr">
        <is>
          <t>TX</t>
        </is>
      </c>
      <c r="E264" s="16" t="n">
        <v>615000</v>
      </c>
      <c r="F264" s="16" t="n">
        <v>12285.4</v>
      </c>
      <c r="G264" s="16" t="n">
        <v>1535.67</v>
      </c>
      <c r="H264" s="16" t="n">
        <v>1535.67</v>
      </c>
      <c r="I264" s="16">
        <f>SUM(K264:T264)</f>
        <v/>
      </c>
      <c r="J264" s="16">
        <f>F264-(G264+H264+I264)</f>
        <v/>
      </c>
      <c r="K264" s="16" t="n">
        <v>921.4</v>
      </c>
      <c r="L264" s="16" t="n">
        <v>921.4</v>
      </c>
      <c r="M264" s="16" t="n">
        <v>921.4</v>
      </c>
      <c r="N264" s="16" t="n">
        <v>921.4</v>
      </c>
      <c r="O264" s="16" t="n">
        <v>921.4</v>
      </c>
      <c r="P264" s="16" t="n">
        <v>921.4</v>
      </c>
      <c r="Q264" s="16" t="n">
        <v>921.4</v>
      </c>
      <c r="R264" s="16" t="n">
        <v>921.4</v>
      </c>
      <c r="S264" s="16" t="n">
        <v>921.4</v>
      </c>
      <c r="T264" s="16" t="n">
        <v>921.4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CANON-202510-001454</t>
        </is>
      </c>
      <c r="B265" s="3" t="inlineStr">
        <is>
          <t>2025-10-27</t>
        </is>
      </c>
      <c r="C265" s="3" t="inlineStr">
        <is>
          <t>Thaddeus Ashcombe</t>
        </is>
      </c>
      <c r="D265" s="3" t="inlineStr">
        <is>
          <t>FL</t>
        </is>
      </c>
      <c r="E265" s="14" t="n">
        <v>1285000</v>
      </c>
      <c r="F265" s="14" t="n">
        <v>26691.57</v>
      </c>
      <c r="G265" s="14" t="n">
        <v>3336.45</v>
      </c>
      <c r="H265" s="14" t="n">
        <v>3336.45</v>
      </c>
      <c r="I265" s="14">
        <f>SUM(K265:T265)</f>
        <v/>
      </c>
      <c r="J265" s="14">
        <f>F265-(G265+H265+I265)</f>
        <v/>
      </c>
      <c r="K265" s="14" t="n">
        <v>2001.87</v>
      </c>
      <c r="L265" s="14" t="n">
        <v>2001.87</v>
      </c>
      <c r="M265" s="14" t="n">
        <v>2001.87</v>
      </c>
      <c r="N265" s="14" t="n">
        <v>2001.87</v>
      </c>
      <c r="O265" s="14" t="n">
        <v>2001.87</v>
      </c>
      <c r="P265" s="14" t="n">
        <v>2001.87</v>
      </c>
      <c r="Q265" s="14" t="n">
        <v>2001.87</v>
      </c>
      <c r="R265" s="14" t="n">
        <v>2001.87</v>
      </c>
      <c r="S265" s="14" t="n">
        <v>2001.87</v>
      </c>
      <c r="T265" s="14" t="n">
        <v>2001.87</v>
      </c>
      <c r="U265" s="14" t="n">
        <v>350</v>
      </c>
      <c r="V265" s="14" t="n">
        <v>250</v>
      </c>
      <c r="W265" s="14">
        <f>U265+V265</f>
        <v/>
      </c>
    </row>
    <row r="266">
      <c r="A266" s="15" t="inlineStr">
        <is>
          <t>CANON-202510-001456</t>
        </is>
      </c>
      <c r="B266" s="15" t="inlineStr">
        <is>
          <t>2025-10-20</t>
        </is>
      </c>
      <c r="C266" s="15" t="inlineStr">
        <is>
          <t>Mireille Fairweather</t>
        </is>
      </c>
      <c r="D266" s="15" t="inlineStr">
        <is>
          <t>MD</t>
        </is>
      </c>
      <c r="E266" s="16" t="n">
        <v>550000</v>
      </c>
      <c r="F266" s="16" t="n">
        <v>7452.01</v>
      </c>
      <c r="G266" s="16" t="n">
        <v>931.5</v>
      </c>
      <c r="H266" s="16" t="n">
        <v>931.5</v>
      </c>
      <c r="I266" s="16">
        <f>SUM(K266:T266)</f>
        <v/>
      </c>
      <c r="J266" s="16">
        <f>F266-(G266+H266+I266)</f>
        <v/>
      </c>
      <c r="K266" s="16" t="n">
        <v>558.9</v>
      </c>
      <c r="L266" s="16" t="n">
        <v>558.9</v>
      </c>
      <c r="M266" s="16" t="n">
        <v>558.9</v>
      </c>
      <c r="N266" s="16" t="n">
        <v>558.9</v>
      </c>
      <c r="O266" s="16" t="n">
        <v>558.9</v>
      </c>
      <c r="P266" s="16" t="n">
        <v>558.9</v>
      </c>
      <c r="Q266" s="16" t="n">
        <v>558.9</v>
      </c>
      <c r="R266" s="16" t="n">
        <v>558.9</v>
      </c>
      <c r="S266" s="16" t="n">
        <v>558.9</v>
      </c>
      <c r="T266" s="16" t="n">
        <v>558.9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CANON-202510-001457</t>
        </is>
      </c>
      <c r="B267" s="3" t="inlineStr">
        <is>
          <t>2025-10-15</t>
        </is>
      </c>
      <c r="C267" s="3" t="inlineStr">
        <is>
          <t>Delphine Harrington</t>
        </is>
      </c>
      <c r="D267" s="3" t="inlineStr">
        <is>
          <t>WI</t>
        </is>
      </c>
      <c r="E267" s="14" t="n">
        <v>1020000</v>
      </c>
      <c r="F267" s="14" t="n">
        <v>8504.68</v>
      </c>
      <c r="G267" s="14" t="n">
        <v>1063.09</v>
      </c>
      <c r="H267" s="14" t="n">
        <v>1063.09</v>
      </c>
      <c r="I267" s="14">
        <f>SUM(K267:T267)</f>
        <v/>
      </c>
      <c r="J267" s="14">
        <f>F267-(G267+H267+I267)</f>
        <v/>
      </c>
      <c r="K267" s="14" t="n">
        <v>637.85</v>
      </c>
      <c r="L267" s="14" t="n">
        <v>637.85</v>
      </c>
      <c r="M267" s="14" t="n">
        <v>637.85</v>
      </c>
      <c r="N267" s="14" t="n">
        <v>637.85</v>
      </c>
      <c r="O267" s="14" t="n">
        <v>637.85</v>
      </c>
      <c r="P267" s="14" t="n">
        <v>637.85</v>
      </c>
      <c r="Q267" s="14" t="n">
        <v>637.85</v>
      </c>
      <c r="R267" s="14" t="n">
        <v>637.85</v>
      </c>
      <c r="S267" s="14" t="n">
        <v>637.85</v>
      </c>
      <c r="T267" s="14" t="n">
        <v>637.85</v>
      </c>
      <c r="U267" s="14" t="n">
        <v>350</v>
      </c>
      <c r="V267" s="14" t="n">
        <v>250</v>
      </c>
      <c r="W267" s="14">
        <f>U267+V267</f>
        <v/>
      </c>
    </row>
    <row r="268">
      <c r="A268" s="15" t="inlineStr">
        <is>
          <t>CANON-202510-001458</t>
        </is>
      </c>
      <c r="B268" s="15" t="inlineStr">
        <is>
          <t>2025-10-12</t>
        </is>
      </c>
      <c r="C268" s="15" t="inlineStr">
        <is>
          <t>Sunniva Nakashima</t>
        </is>
      </c>
      <c r="D268" s="15" t="inlineStr">
        <is>
          <t>RI</t>
        </is>
      </c>
      <c r="E268" s="16" t="n">
        <v>275000</v>
      </c>
      <c r="F268" s="16" t="n">
        <v>7922.16</v>
      </c>
      <c r="G268" s="16" t="n">
        <v>990.27</v>
      </c>
      <c r="H268" s="16" t="n">
        <v>990.27</v>
      </c>
      <c r="I268" s="16">
        <f>SUM(K268:T268)</f>
        <v/>
      </c>
      <c r="J268" s="16">
        <f>F268-(G268+H268+I268)</f>
        <v/>
      </c>
      <c r="K268" s="16" t="n">
        <v>594.16</v>
      </c>
      <c r="L268" s="16" t="n">
        <v>594.16</v>
      </c>
      <c r="M268" s="16" t="n">
        <v>594.16</v>
      </c>
      <c r="N268" s="16" t="n">
        <v>594.16</v>
      </c>
      <c r="O268" s="16" t="n">
        <v>594.16</v>
      </c>
      <c r="P268" s="16" t="n">
        <v>594.16</v>
      </c>
      <c r="Q268" s="16" t="n">
        <v>594.16</v>
      </c>
      <c r="R268" s="16" t="n">
        <v>594.16</v>
      </c>
      <c r="S268" s="16" t="n">
        <v>594.16</v>
      </c>
      <c r="T268" s="16" t="n">
        <v>594.16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CANON-202510-001459</t>
        </is>
      </c>
      <c r="B269" s="3" t="inlineStr">
        <is>
          <t>2025-10-31</t>
        </is>
      </c>
      <c r="C269" s="3" t="inlineStr">
        <is>
          <t>Cassius Farkas</t>
        </is>
      </c>
      <c r="D269" s="3" t="inlineStr">
        <is>
          <t>TN</t>
        </is>
      </c>
      <c r="E269" s="14" t="n">
        <v>275000</v>
      </c>
      <c r="F269" s="14" t="n">
        <v>3695.84</v>
      </c>
      <c r="G269" s="14" t="n">
        <v>461.98</v>
      </c>
      <c r="H269" s="14" t="n">
        <v>461.98</v>
      </c>
      <c r="I269" s="14">
        <f>SUM(K269:T269)</f>
        <v/>
      </c>
      <c r="J269" s="14">
        <f>F269-(G269+H269+I269)</f>
        <v/>
      </c>
      <c r="K269" s="14" t="n">
        <v>277.19</v>
      </c>
      <c r="L269" s="14" t="n">
        <v>277.19</v>
      </c>
      <c r="M269" s="14" t="n">
        <v>277.19</v>
      </c>
      <c r="N269" s="14" t="n">
        <v>277.19</v>
      </c>
      <c r="O269" s="14" t="n">
        <v>277.19</v>
      </c>
      <c r="P269" s="14" t="n">
        <v>277.19</v>
      </c>
      <c r="Q269" s="14" t="n">
        <v>277.19</v>
      </c>
      <c r="R269" s="14" t="n">
        <v>277.19</v>
      </c>
      <c r="S269" s="14" t="n">
        <v>277.19</v>
      </c>
      <c r="T269" s="14" t="n">
        <v>277.19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CANON-202510-001460</t>
        </is>
      </c>
      <c r="B270" s="15" t="inlineStr">
        <is>
          <t>2025-10-04</t>
        </is>
      </c>
      <c r="C270" s="15" t="inlineStr">
        <is>
          <t>Aurelio Fairweather</t>
        </is>
      </c>
      <c r="D270" s="15" t="inlineStr">
        <is>
          <t>TN</t>
        </is>
      </c>
      <c r="E270" s="16" t="n">
        <v>695000</v>
      </c>
      <c r="F270" s="16" t="n">
        <v>11831.16</v>
      </c>
      <c r="G270" s="16" t="n">
        <v>1478.89</v>
      </c>
      <c r="H270" s="16" t="n">
        <v>1478.89</v>
      </c>
      <c r="I270" s="16">
        <f>SUM(K270:T270)</f>
        <v/>
      </c>
      <c r="J270" s="16">
        <f>F270-(G270+H270+I270)</f>
        <v/>
      </c>
      <c r="K270" s="16" t="n">
        <v>887.34</v>
      </c>
      <c r="L270" s="16" t="n">
        <v>887.34</v>
      </c>
      <c r="M270" s="16" t="n">
        <v>887.34</v>
      </c>
      <c r="N270" s="16" t="n">
        <v>887.34</v>
      </c>
      <c r="O270" s="16" t="n">
        <v>887.34</v>
      </c>
      <c r="P270" s="16" t="n">
        <v>887.34</v>
      </c>
      <c r="Q270" s="16" t="n">
        <v>887.34</v>
      </c>
      <c r="R270" s="16" t="n">
        <v>887.34</v>
      </c>
      <c r="S270" s="16" t="n">
        <v>887.34</v>
      </c>
      <c r="T270" s="16" t="n">
        <v>887.34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CANON-202510-001461</t>
        </is>
      </c>
      <c r="B271" s="3" t="inlineStr">
        <is>
          <t>2025-10-29</t>
        </is>
      </c>
      <c r="C271" s="3" t="inlineStr">
        <is>
          <t>Fitzgerald Bellandi</t>
        </is>
      </c>
      <c r="D271" s="3" t="inlineStr">
        <is>
          <t>TX</t>
        </is>
      </c>
      <c r="E271" s="14" t="n">
        <v>325000</v>
      </c>
      <c r="F271" s="14" t="n">
        <v>5125.49</v>
      </c>
      <c r="G271" s="14" t="n">
        <v>640.6900000000001</v>
      </c>
      <c r="H271" s="14" t="n">
        <v>640.6900000000001</v>
      </c>
      <c r="I271" s="14">
        <f>SUM(K271:T271)</f>
        <v/>
      </c>
      <c r="J271" s="14">
        <f>F271-(G271+H271+I271)</f>
        <v/>
      </c>
      <c r="K271" s="14" t="n">
        <v>384.41</v>
      </c>
      <c r="L271" s="14" t="n">
        <v>384.41</v>
      </c>
      <c r="M271" s="14" t="n">
        <v>384.41</v>
      </c>
      <c r="N271" s="14" t="n">
        <v>384.41</v>
      </c>
      <c r="O271" s="14" t="n">
        <v>384.41</v>
      </c>
      <c r="P271" s="14" t="n">
        <v>384.41</v>
      </c>
      <c r="Q271" s="14" t="n">
        <v>384.41</v>
      </c>
      <c r="R271" s="14" t="n">
        <v>384.41</v>
      </c>
      <c r="S271" s="14" t="n">
        <v>384.41</v>
      </c>
      <c r="T271" s="14" t="n">
        <v>384.41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CANON-202510-001463</t>
        </is>
      </c>
      <c r="B272" s="15" t="inlineStr">
        <is>
          <t>2025-10-17</t>
        </is>
      </c>
      <c r="C272" s="15" t="inlineStr">
        <is>
          <t>Noor Montoya</t>
        </is>
      </c>
      <c r="D272" s="15" t="inlineStr">
        <is>
          <t>OH</t>
        </is>
      </c>
      <c r="E272" s="16" t="n">
        <v>315000</v>
      </c>
      <c r="F272" s="16" t="n">
        <v>9206.950000000001</v>
      </c>
      <c r="G272" s="16" t="n">
        <v>1150.87</v>
      </c>
      <c r="H272" s="16" t="n">
        <v>1150.87</v>
      </c>
      <c r="I272" s="16">
        <f>SUM(K272:T272)</f>
        <v/>
      </c>
      <c r="J272" s="16">
        <f>F272-(G272+H272+I272)</f>
        <v/>
      </c>
      <c r="K272" s="16" t="n">
        <v>690.52</v>
      </c>
      <c r="L272" s="16" t="n">
        <v>690.52</v>
      </c>
      <c r="M272" s="16" t="n">
        <v>690.52</v>
      </c>
      <c r="N272" s="16" t="n">
        <v>690.52</v>
      </c>
      <c r="O272" s="16" t="n">
        <v>690.52</v>
      </c>
      <c r="P272" s="16" t="n">
        <v>690.52</v>
      </c>
      <c r="Q272" s="16" t="n">
        <v>690.52</v>
      </c>
      <c r="R272" s="16" t="n">
        <v>690.52</v>
      </c>
      <c r="S272" s="16" t="n">
        <v>690.52</v>
      </c>
      <c r="T272" s="16" t="n">
        <v>690.52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CANON-202510-001464</t>
        </is>
      </c>
      <c r="B273" s="3" t="inlineStr">
        <is>
          <t>2025-10-29</t>
        </is>
      </c>
      <c r="C273" s="3" t="inlineStr">
        <is>
          <t>Marisol Kingsford</t>
        </is>
      </c>
      <c r="D273" s="3" t="inlineStr">
        <is>
          <t>OK</t>
        </is>
      </c>
      <c r="E273" s="14" t="n">
        <v>690000</v>
      </c>
      <c r="F273" s="14" t="n">
        <v>10332.98</v>
      </c>
      <c r="G273" s="14" t="n">
        <v>1291.62</v>
      </c>
      <c r="H273" s="14" t="n">
        <v>1291.62</v>
      </c>
      <c r="I273" s="14">
        <f>SUM(K273:T273)</f>
        <v/>
      </c>
      <c r="J273" s="14">
        <f>F273-(G273+H273+I273)</f>
        <v/>
      </c>
      <c r="K273" s="14" t="n">
        <v>774.97</v>
      </c>
      <c r="L273" s="14" t="n">
        <v>774.97</v>
      </c>
      <c r="M273" s="14" t="n">
        <v>774.97</v>
      </c>
      <c r="N273" s="14" t="n">
        <v>774.97</v>
      </c>
      <c r="O273" s="14" t="n">
        <v>774.97</v>
      </c>
      <c r="P273" s="14" t="n">
        <v>774.97</v>
      </c>
      <c r="Q273" s="14" t="n">
        <v>774.97</v>
      </c>
      <c r="R273" s="14" t="n">
        <v>774.97</v>
      </c>
      <c r="S273" s="14" t="n">
        <v>774.97</v>
      </c>
      <c r="T273" s="14" t="n">
        <v>774.97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CANON-202510-001465</t>
        </is>
      </c>
      <c r="B274" s="15" t="inlineStr">
        <is>
          <t>2025-10-30</t>
        </is>
      </c>
      <c r="C274" s="15" t="inlineStr">
        <is>
          <t>Lorenzo Okonkwo</t>
        </is>
      </c>
      <c r="D274" s="15" t="inlineStr">
        <is>
          <t>IN</t>
        </is>
      </c>
      <c r="E274" s="16" t="n">
        <v>275000</v>
      </c>
      <c r="F274" s="16" t="n">
        <v>4638.66</v>
      </c>
      <c r="G274" s="16" t="n">
        <v>579.83</v>
      </c>
      <c r="H274" s="16" t="n">
        <v>579.83</v>
      </c>
      <c r="I274" s="16">
        <f>SUM(K274:T274)</f>
        <v/>
      </c>
      <c r="J274" s="16">
        <f>F274-(G274+H274+I274)</f>
        <v/>
      </c>
      <c r="K274" s="16" t="n">
        <v>347.9</v>
      </c>
      <c r="L274" s="16" t="n">
        <v>347.9</v>
      </c>
      <c r="M274" s="16" t="n">
        <v>347.9</v>
      </c>
      <c r="N274" s="16" t="n">
        <v>347.9</v>
      </c>
      <c r="O274" s="16" t="n">
        <v>347.9</v>
      </c>
      <c r="P274" s="16" t="n">
        <v>347.9</v>
      </c>
      <c r="Q274" s="16" t="n">
        <v>347.9</v>
      </c>
      <c r="R274" s="16" t="n">
        <v>347.9</v>
      </c>
      <c r="S274" s="16" t="n">
        <v>347.9</v>
      </c>
      <c r="T274" s="16" t="n">
        <v>347.9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CANON-202510-001466</t>
        </is>
      </c>
      <c r="B275" s="3" t="inlineStr">
        <is>
          <t>2025-10-17</t>
        </is>
      </c>
      <c r="C275" s="3" t="inlineStr">
        <is>
          <t>Anouk Nakashima</t>
        </is>
      </c>
      <c r="D275" s="3" t="inlineStr">
        <is>
          <t>AR</t>
        </is>
      </c>
      <c r="E275" s="14" t="n">
        <v>410000</v>
      </c>
      <c r="F275" s="14" t="n">
        <v>7759.2</v>
      </c>
      <c r="G275" s="14" t="n">
        <v>969.9</v>
      </c>
      <c r="H275" s="14" t="n">
        <v>969.9</v>
      </c>
      <c r="I275" s="14">
        <f>SUM(K275:T275)</f>
        <v/>
      </c>
      <c r="J275" s="14">
        <f>F275-(G275+H275+I275)</f>
        <v/>
      </c>
      <c r="K275" s="14" t="n">
        <v>581.9400000000001</v>
      </c>
      <c r="L275" s="14" t="n">
        <v>581.9400000000001</v>
      </c>
      <c r="M275" s="14" t="n">
        <v>581.9400000000001</v>
      </c>
      <c r="N275" s="14" t="n">
        <v>581.9400000000001</v>
      </c>
      <c r="O275" s="14" t="n">
        <v>581.9400000000001</v>
      </c>
      <c r="P275" s="14" t="n">
        <v>581.9400000000001</v>
      </c>
      <c r="Q275" s="14" t="n">
        <v>581.9400000000001</v>
      </c>
      <c r="R275" s="14" t="n">
        <v>581.9400000000001</v>
      </c>
      <c r="S275" s="14" t="n">
        <v>581.9400000000001</v>
      </c>
      <c r="T275" s="14" t="n">
        <v>581.9400000000001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CANON-202510-001469</t>
        </is>
      </c>
      <c r="B276" s="15" t="inlineStr">
        <is>
          <t>2025-10-22</t>
        </is>
      </c>
      <c r="C276" s="15" t="inlineStr">
        <is>
          <t>Sunniva Vasquez</t>
        </is>
      </c>
      <c r="D276" s="15" t="inlineStr">
        <is>
          <t>IL</t>
        </is>
      </c>
      <c r="E276" s="16" t="n">
        <v>715000</v>
      </c>
      <c r="F276" s="16" t="n">
        <v>11557.16</v>
      </c>
      <c r="G276" s="16" t="n">
        <v>1444.64</v>
      </c>
      <c r="H276" s="16" t="n">
        <v>1444.64</v>
      </c>
      <c r="I276" s="16">
        <f>SUM(K276:T276)</f>
        <v/>
      </c>
      <c r="J276" s="16">
        <f>F276-(G276+H276+I276)</f>
        <v/>
      </c>
      <c r="K276" s="16" t="n">
        <v>866.79</v>
      </c>
      <c r="L276" s="16" t="n">
        <v>866.79</v>
      </c>
      <c r="M276" s="16" t="n">
        <v>866.79</v>
      </c>
      <c r="N276" s="16" t="n">
        <v>866.79</v>
      </c>
      <c r="O276" s="16" t="n">
        <v>866.79</v>
      </c>
      <c r="P276" s="16" t="n">
        <v>866.79</v>
      </c>
      <c r="Q276" s="16" t="n">
        <v>866.79</v>
      </c>
      <c r="R276" s="16" t="n">
        <v>866.79</v>
      </c>
      <c r="S276" s="16" t="n">
        <v>866.79</v>
      </c>
      <c r="T276" s="16" t="n">
        <v>866.79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CANON-202510-001470</t>
        </is>
      </c>
      <c r="B277" s="3" t="inlineStr">
        <is>
          <t>2025-10-23</t>
        </is>
      </c>
      <c r="C277" s="3" t="inlineStr">
        <is>
          <t>Sunniva Nakashima</t>
        </is>
      </c>
      <c r="D277" s="3" t="inlineStr">
        <is>
          <t>VA</t>
        </is>
      </c>
      <c r="E277" s="14" t="n">
        <v>650000</v>
      </c>
      <c r="F277" s="14" t="n">
        <v>12307.11</v>
      </c>
      <c r="G277" s="14" t="n">
        <v>1538.39</v>
      </c>
      <c r="H277" s="14" t="n">
        <v>1538.39</v>
      </c>
      <c r="I277" s="14">
        <f>SUM(K277:T277)</f>
        <v/>
      </c>
      <c r="J277" s="14">
        <f>F277-(G277+H277+I277)</f>
        <v/>
      </c>
      <c r="K277" s="14" t="n">
        <v>923.03</v>
      </c>
      <c r="L277" s="14" t="n">
        <v>923.03</v>
      </c>
      <c r="M277" s="14" t="n">
        <v>923.03</v>
      </c>
      <c r="N277" s="14" t="n">
        <v>923.03</v>
      </c>
      <c r="O277" s="14" t="n">
        <v>923.03</v>
      </c>
      <c r="P277" s="14" t="n">
        <v>923.03</v>
      </c>
      <c r="Q277" s="14" t="n">
        <v>923.03</v>
      </c>
      <c r="R277" s="14" t="n">
        <v>923.03</v>
      </c>
      <c r="S277" s="14" t="n">
        <v>923.03</v>
      </c>
      <c r="T277" s="14" t="n">
        <v>923.03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CANON-202510-001471</t>
        </is>
      </c>
      <c r="B278" s="15" t="inlineStr">
        <is>
          <t>2025-10-03</t>
        </is>
      </c>
      <c r="C278" s="15" t="inlineStr">
        <is>
          <t>Fenwick Kingsford</t>
        </is>
      </c>
      <c r="D278" s="15" t="inlineStr">
        <is>
          <t>WI</t>
        </is>
      </c>
      <c r="E278" s="16" t="n">
        <v>465000</v>
      </c>
      <c r="F278" s="16" t="n">
        <v>7652.24</v>
      </c>
      <c r="G278" s="16" t="n">
        <v>956.53</v>
      </c>
      <c r="H278" s="16" t="n">
        <v>956.53</v>
      </c>
      <c r="I278" s="16">
        <f>SUM(K278:T278)</f>
        <v/>
      </c>
      <c r="J278" s="16">
        <f>F278-(G278+H278+I278)</f>
        <v/>
      </c>
      <c r="K278" s="16" t="n">
        <v>573.92</v>
      </c>
      <c r="L278" s="16" t="n">
        <v>573.92</v>
      </c>
      <c r="M278" s="16" t="n">
        <v>573.92</v>
      </c>
      <c r="N278" s="16" t="n">
        <v>573.92</v>
      </c>
      <c r="O278" s="16" t="n">
        <v>573.92</v>
      </c>
      <c r="P278" s="16" t="n">
        <v>573.92</v>
      </c>
      <c r="Q278" s="16" t="n">
        <v>573.92</v>
      </c>
      <c r="R278" s="16" t="n">
        <v>573.92</v>
      </c>
      <c r="S278" s="16" t="n">
        <v>573.92</v>
      </c>
      <c r="T278" s="16" t="n">
        <v>573.92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CANON-202510-001472</t>
        </is>
      </c>
      <c r="B279" s="3" t="inlineStr">
        <is>
          <t>2025-10-11</t>
        </is>
      </c>
      <c r="C279" s="3" t="inlineStr">
        <is>
          <t>Beatrix Farkas</t>
        </is>
      </c>
      <c r="D279" s="3" t="inlineStr">
        <is>
          <t>NM</t>
        </is>
      </c>
      <c r="E279" s="14" t="n">
        <v>490000</v>
      </c>
      <c r="F279" s="14" t="n">
        <v>8601.219999999999</v>
      </c>
      <c r="G279" s="14" t="n">
        <v>1075.15</v>
      </c>
      <c r="H279" s="14" t="n">
        <v>1075.15</v>
      </c>
      <c r="I279" s="14">
        <f>SUM(K279:T279)</f>
        <v/>
      </c>
      <c r="J279" s="14">
        <f>F279-(G279+H279+I279)</f>
        <v/>
      </c>
      <c r="K279" s="14" t="n">
        <v>645.09</v>
      </c>
      <c r="L279" s="14" t="n">
        <v>645.09</v>
      </c>
      <c r="M279" s="14" t="n">
        <v>645.09</v>
      </c>
      <c r="N279" s="14" t="n">
        <v>645.09</v>
      </c>
      <c r="O279" s="14" t="n">
        <v>645.09</v>
      </c>
      <c r="P279" s="14" t="n">
        <v>645.09</v>
      </c>
      <c r="Q279" s="14" t="n">
        <v>645.09</v>
      </c>
      <c r="R279" s="14" t="n">
        <v>645.09</v>
      </c>
      <c r="S279" s="14" t="n">
        <v>645.09</v>
      </c>
      <c r="T279" s="14" t="n">
        <v>645.09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CANON-202510-001473</t>
        </is>
      </c>
      <c r="B280" s="15" t="inlineStr">
        <is>
          <t>2025-10-19</t>
        </is>
      </c>
      <c r="C280" s="15" t="inlineStr">
        <is>
          <t>Marisol Fairweather</t>
        </is>
      </c>
      <c r="D280" s="15" t="inlineStr">
        <is>
          <t>NY</t>
        </is>
      </c>
      <c r="E280" s="16" t="n">
        <v>1255000</v>
      </c>
      <c r="F280" s="16" t="n">
        <v>23498.3</v>
      </c>
      <c r="G280" s="16" t="n">
        <v>2937.29</v>
      </c>
      <c r="H280" s="16" t="n">
        <v>2937.29</v>
      </c>
      <c r="I280" s="16">
        <f>SUM(K280:T280)</f>
        <v/>
      </c>
      <c r="J280" s="16">
        <f>F280-(G280+H280+I280)</f>
        <v/>
      </c>
      <c r="K280" s="16" t="n">
        <v>1762.37</v>
      </c>
      <c r="L280" s="16" t="n">
        <v>1762.37</v>
      </c>
      <c r="M280" s="16" t="n">
        <v>1762.37</v>
      </c>
      <c r="N280" s="16" t="n">
        <v>1762.37</v>
      </c>
      <c r="O280" s="16" t="n">
        <v>1762.37</v>
      </c>
      <c r="P280" s="16" t="n">
        <v>1762.37</v>
      </c>
      <c r="Q280" s="16" t="n">
        <v>1762.37</v>
      </c>
      <c r="R280" s="16" t="n">
        <v>1762.37</v>
      </c>
      <c r="S280" s="16" t="n">
        <v>1762.37</v>
      </c>
      <c r="T280" s="16" t="n">
        <v>1762.37</v>
      </c>
      <c r="U280" s="16" t="n">
        <v>350</v>
      </c>
      <c r="V280" s="16" t="n">
        <v>250</v>
      </c>
      <c r="W280" s="16">
        <f>U280+V280</f>
        <v/>
      </c>
    </row>
    <row r="281">
      <c r="A281" s="3" t="inlineStr">
        <is>
          <t>CANON-202510-001474</t>
        </is>
      </c>
      <c r="B281" s="3" t="inlineStr">
        <is>
          <t>2025-10-03</t>
        </is>
      </c>
      <c r="C281" s="3" t="inlineStr">
        <is>
          <t>Fenwick Castellanos</t>
        </is>
      </c>
      <c r="D281" s="3" t="inlineStr">
        <is>
          <t>OH</t>
        </is>
      </c>
      <c r="E281" s="14" t="n">
        <v>530000</v>
      </c>
      <c r="F281" s="14" t="n">
        <v>5792.31</v>
      </c>
      <c r="G281" s="14" t="n">
        <v>724.04</v>
      </c>
      <c r="H281" s="14" t="n">
        <v>724.04</v>
      </c>
      <c r="I281" s="14">
        <f>SUM(K281:T281)</f>
        <v/>
      </c>
      <c r="J281" s="14">
        <f>F281-(G281+H281+I281)</f>
        <v/>
      </c>
      <c r="K281" s="14" t="n">
        <v>434.42</v>
      </c>
      <c r="L281" s="14" t="n">
        <v>434.42</v>
      </c>
      <c r="M281" s="14" t="n">
        <v>434.42</v>
      </c>
      <c r="N281" s="14" t="n">
        <v>434.42</v>
      </c>
      <c r="O281" s="14" t="n">
        <v>434.42</v>
      </c>
      <c r="P281" s="14" t="n">
        <v>434.42</v>
      </c>
      <c r="Q281" s="14" t="n">
        <v>434.42</v>
      </c>
      <c r="R281" s="14" t="n">
        <v>434.42</v>
      </c>
      <c r="S281" s="14" t="n">
        <v>434.42</v>
      </c>
      <c r="T281" s="14" t="n">
        <v>434.42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CANON-202510-001475</t>
        </is>
      </c>
      <c r="B282" s="15" t="inlineStr">
        <is>
          <t>2025-10-21</t>
        </is>
      </c>
      <c r="C282" s="15" t="inlineStr">
        <is>
          <t>Ingrid Farkas</t>
        </is>
      </c>
      <c r="D282" s="15" t="inlineStr">
        <is>
          <t>RI</t>
        </is>
      </c>
      <c r="E282" s="16" t="n">
        <v>250000</v>
      </c>
      <c r="F282" s="16" t="n">
        <v>7201.96</v>
      </c>
      <c r="G282" s="16" t="n">
        <v>900.25</v>
      </c>
      <c r="H282" s="16" t="n">
        <v>900.25</v>
      </c>
      <c r="I282" s="16">
        <f>SUM(K282:T282)</f>
        <v/>
      </c>
      <c r="J282" s="16">
        <f>F282-(G282+H282+I282)</f>
        <v/>
      </c>
      <c r="K282" s="16" t="n">
        <v>540.15</v>
      </c>
      <c r="L282" s="16" t="n">
        <v>540.15</v>
      </c>
      <c r="M282" s="16" t="n">
        <v>540.15</v>
      </c>
      <c r="N282" s="16" t="n">
        <v>540.15</v>
      </c>
      <c r="O282" s="16" t="n">
        <v>540.15</v>
      </c>
      <c r="P282" s="16" t="n">
        <v>540.15</v>
      </c>
      <c r="Q282" s="16" t="n">
        <v>540.15</v>
      </c>
      <c r="R282" s="16" t="n">
        <v>540.15</v>
      </c>
      <c r="S282" s="16" t="n">
        <v>540.15</v>
      </c>
      <c r="T282" s="16" t="n">
        <v>540.15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CANON-202510-001476</t>
        </is>
      </c>
      <c r="B283" s="3" t="inlineStr">
        <is>
          <t>2025-10-11</t>
        </is>
      </c>
      <c r="C283" s="3" t="inlineStr">
        <is>
          <t>Aurelio Nakashima</t>
        </is>
      </c>
      <c r="D283" s="3" t="inlineStr">
        <is>
          <t>SC</t>
        </is>
      </c>
      <c r="E283" s="14" t="n">
        <v>505000</v>
      </c>
      <c r="F283" s="14" t="n">
        <v>7442.5</v>
      </c>
      <c r="G283" s="14" t="n">
        <v>930.3099999999999</v>
      </c>
      <c r="H283" s="14" t="n">
        <v>930.3099999999999</v>
      </c>
      <c r="I283" s="14">
        <f>SUM(K283:T283)</f>
        <v/>
      </c>
      <c r="J283" s="14">
        <f>F283-(G283+H283+I283)</f>
        <v/>
      </c>
      <c r="K283" s="14" t="n">
        <v>558.1900000000001</v>
      </c>
      <c r="L283" s="14" t="n">
        <v>558.1900000000001</v>
      </c>
      <c r="M283" s="14" t="n">
        <v>558.1900000000001</v>
      </c>
      <c r="N283" s="14" t="n">
        <v>558.1900000000001</v>
      </c>
      <c r="O283" s="14" t="n">
        <v>558.1900000000001</v>
      </c>
      <c r="P283" s="14" t="n">
        <v>558.1900000000001</v>
      </c>
      <c r="Q283" s="14" t="n">
        <v>558.1900000000001</v>
      </c>
      <c r="R283" s="14" t="n">
        <v>558.1900000000001</v>
      </c>
      <c r="S283" s="14" t="n">
        <v>558.1900000000001</v>
      </c>
      <c r="T283" s="14" t="n">
        <v>558.1900000000001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CANON-202510-001477</t>
        </is>
      </c>
      <c r="B284" s="15" t="inlineStr">
        <is>
          <t>2025-10-26</t>
        </is>
      </c>
      <c r="C284" s="15" t="inlineStr">
        <is>
          <t>Mireille Thistlewood</t>
        </is>
      </c>
      <c r="D284" s="15" t="inlineStr">
        <is>
          <t>IL</t>
        </is>
      </c>
      <c r="E284" s="16" t="n">
        <v>480000</v>
      </c>
      <c r="F284" s="16" t="n">
        <v>8952.290000000001</v>
      </c>
      <c r="G284" s="16" t="n">
        <v>1119.04</v>
      </c>
      <c r="H284" s="16" t="n">
        <v>1119.04</v>
      </c>
      <c r="I284" s="16">
        <f>SUM(K284:T284)</f>
        <v/>
      </c>
      <c r="J284" s="16">
        <f>F284-(G284+H284+I284)</f>
        <v/>
      </c>
      <c r="K284" s="16" t="n">
        <v>671.42</v>
      </c>
      <c r="L284" s="16" t="n">
        <v>671.42</v>
      </c>
      <c r="M284" s="16" t="n">
        <v>671.42</v>
      </c>
      <c r="N284" s="16" t="n">
        <v>671.42</v>
      </c>
      <c r="O284" s="16" t="n">
        <v>671.42</v>
      </c>
      <c r="P284" s="16" t="n">
        <v>671.42</v>
      </c>
      <c r="Q284" s="16" t="n">
        <v>671.42</v>
      </c>
      <c r="R284" s="16" t="n">
        <v>671.42</v>
      </c>
      <c r="S284" s="16" t="n">
        <v>671.42</v>
      </c>
      <c r="T284" s="16" t="n">
        <v>671.42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CANON-202510-001478</t>
        </is>
      </c>
      <c r="B285" s="3" t="inlineStr">
        <is>
          <t>2025-10-19</t>
        </is>
      </c>
      <c r="C285" s="3" t="inlineStr">
        <is>
          <t>Ottilie Montoya</t>
        </is>
      </c>
      <c r="D285" s="3" t="inlineStr">
        <is>
          <t>FL</t>
        </is>
      </c>
      <c r="E285" s="14" t="n">
        <v>450000</v>
      </c>
      <c r="F285" s="14" t="n">
        <v>5608.35</v>
      </c>
      <c r="G285" s="14" t="n">
        <v>701.04</v>
      </c>
      <c r="H285" s="14" t="n">
        <v>701.04</v>
      </c>
      <c r="I285" s="14">
        <f>SUM(K285:T285)</f>
        <v/>
      </c>
      <c r="J285" s="14">
        <f>F285-(G285+H285+I285)</f>
        <v/>
      </c>
      <c r="K285" s="14" t="n">
        <v>420.63</v>
      </c>
      <c r="L285" s="14" t="n">
        <v>420.63</v>
      </c>
      <c r="M285" s="14" t="n">
        <v>420.63</v>
      </c>
      <c r="N285" s="14" t="n">
        <v>420.63</v>
      </c>
      <c r="O285" s="14" t="n">
        <v>420.63</v>
      </c>
      <c r="P285" s="14" t="n">
        <v>420.63</v>
      </c>
      <c r="Q285" s="14" t="n">
        <v>420.63</v>
      </c>
      <c r="R285" s="14" t="n">
        <v>420.63</v>
      </c>
      <c r="S285" s="14" t="n">
        <v>420.63</v>
      </c>
      <c r="T285" s="14" t="n">
        <v>420.63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CANON-202510-001479</t>
        </is>
      </c>
      <c r="B286" s="15" t="inlineStr">
        <is>
          <t>2025-10-10</t>
        </is>
      </c>
      <c r="C286" s="15" t="inlineStr">
        <is>
          <t>Noor Chattopadhyay</t>
        </is>
      </c>
      <c r="D286" s="15" t="inlineStr">
        <is>
          <t>RI</t>
        </is>
      </c>
      <c r="E286" s="16" t="n">
        <v>1340000</v>
      </c>
      <c r="F286" s="16" t="n">
        <v>12755.62</v>
      </c>
      <c r="G286" s="16" t="n">
        <v>1594.45</v>
      </c>
      <c r="H286" s="16" t="n">
        <v>1594.45</v>
      </c>
      <c r="I286" s="16">
        <f>SUM(K286:T286)</f>
        <v/>
      </c>
      <c r="J286" s="16">
        <f>F286-(G286+H286+I286)</f>
        <v/>
      </c>
      <c r="K286" s="16" t="n">
        <v>956.67</v>
      </c>
      <c r="L286" s="16" t="n">
        <v>956.67</v>
      </c>
      <c r="M286" s="16" t="n">
        <v>956.67</v>
      </c>
      <c r="N286" s="16" t="n">
        <v>956.67</v>
      </c>
      <c r="O286" s="16" t="n">
        <v>956.67</v>
      </c>
      <c r="P286" s="16" t="n">
        <v>956.67</v>
      </c>
      <c r="Q286" s="16" t="n">
        <v>956.67</v>
      </c>
      <c r="R286" s="16" t="n">
        <v>956.67</v>
      </c>
      <c r="S286" s="16" t="n">
        <v>956.67</v>
      </c>
      <c r="T286" s="16" t="n">
        <v>956.67</v>
      </c>
      <c r="U286" s="16" t="n">
        <v>350</v>
      </c>
      <c r="V286" s="16" t="n">
        <v>250</v>
      </c>
      <c r="W286" s="16">
        <f>U286+V286</f>
        <v/>
      </c>
    </row>
    <row r="287">
      <c r="A287" s="3" t="inlineStr">
        <is>
          <t>CANON-202510-001480</t>
        </is>
      </c>
      <c r="B287" s="3" t="inlineStr">
        <is>
          <t>2025-10-09</t>
        </is>
      </c>
      <c r="C287" s="3" t="inlineStr">
        <is>
          <t>Mireille Vasquez</t>
        </is>
      </c>
      <c r="D287" s="3" t="inlineStr">
        <is>
          <t>AZ</t>
        </is>
      </c>
      <c r="E287" s="14" t="n">
        <v>415000</v>
      </c>
      <c r="F287" s="14" t="n">
        <v>5748.09</v>
      </c>
      <c r="G287" s="14" t="n">
        <v>718.51</v>
      </c>
      <c r="H287" s="14" t="n">
        <v>718.51</v>
      </c>
      <c r="I287" s="14">
        <f>SUM(K287:T287)</f>
        <v/>
      </c>
      <c r="J287" s="14">
        <f>F287-(G287+H287+I287)</f>
        <v/>
      </c>
      <c r="K287" s="14" t="n">
        <v>431.11</v>
      </c>
      <c r="L287" s="14" t="n">
        <v>431.11</v>
      </c>
      <c r="M287" s="14" t="n">
        <v>431.11</v>
      </c>
      <c r="N287" s="14" t="n">
        <v>431.11</v>
      </c>
      <c r="O287" s="14" t="n">
        <v>431.11</v>
      </c>
      <c r="P287" s="14" t="n">
        <v>431.11</v>
      </c>
      <c r="Q287" s="14" t="n">
        <v>431.11</v>
      </c>
      <c r="R287" s="14" t="n">
        <v>431.11</v>
      </c>
      <c r="S287" s="14" t="n">
        <v>431.11</v>
      </c>
      <c r="T287" s="14" t="n">
        <v>431.11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CANON-202510-001481</t>
        </is>
      </c>
      <c r="B288" s="15" t="inlineStr">
        <is>
          <t>2025-10-23</t>
        </is>
      </c>
      <c r="C288" s="15" t="inlineStr">
        <is>
          <t>Sunniva Chattopadhyay</t>
        </is>
      </c>
      <c r="D288" s="15" t="inlineStr">
        <is>
          <t>MD</t>
        </is>
      </c>
      <c r="E288" s="16" t="n">
        <v>385000</v>
      </c>
      <c r="F288" s="16" t="n">
        <v>5015.78</v>
      </c>
      <c r="G288" s="16" t="n">
        <v>626.97</v>
      </c>
      <c r="H288" s="16" t="n">
        <v>626.97</v>
      </c>
      <c r="I288" s="16">
        <f>SUM(K288:T288)</f>
        <v/>
      </c>
      <c r="J288" s="16">
        <f>F288-(G288+H288+I288)</f>
        <v/>
      </c>
      <c r="K288" s="16" t="n">
        <v>376.18</v>
      </c>
      <c r="L288" s="16" t="n">
        <v>376.18</v>
      </c>
      <c r="M288" s="16" t="n">
        <v>376.18</v>
      </c>
      <c r="N288" s="16" t="n">
        <v>376.18</v>
      </c>
      <c r="O288" s="16" t="n">
        <v>376.18</v>
      </c>
      <c r="P288" s="16" t="n">
        <v>376.18</v>
      </c>
      <c r="Q288" s="16" t="n">
        <v>376.18</v>
      </c>
      <c r="R288" s="16" t="n">
        <v>376.18</v>
      </c>
      <c r="S288" s="16" t="n">
        <v>376.18</v>
      </c>
      <c r="T288" s="16" t="n">
        <v>376.18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CANON-202510-001482</t>
        </is>
      </c>
      <c r="B289" s="3" t="inlineStr">
        <is>
          <t>2025-10-17</t>
        </is>
      </c>
      <c r="C289" s="3" t="inlineStr">
        <is>
          <t>Priya Blackwood</t>
        </is>
      </c>
      <c r="D289" s="3" t="inlineStr">
        <is>
          <t>CO</t>
        </is>
      </c>
      <c r="E289" s="14" t="n">
        <v>860000</v>
      </c>
      <c r="F289" s="14" t="n">
        <v>11243.39</v>
      </c>
      <c r="G289" s="14" t="n">
        <v>1405.42</v>
      </c>
      <c r="H289" s="14" t="n">
        <v>1405.42</v>
      </c>
      <c r="I289" s="14">
        <f>SUM(K289:T289)</f>
        <v/>
      </c>
      <c r="J289" s="14">
        <f>F289-(G289+H289+I289)</f>
        <v/>
      </c>
      <c r="K289" s="14" t="n">
        <v>843.25</v>
      </c>
      <c r="L289" s="14" t="n">
        <v>843.25</v>
      </c>
      <c r="M289" s="14" t="n">
        <v>843.25</v>
      </c>
      <c r="N289" s="14" t="n">
        <v>843.25</v>
      </c>
      <c r="O289" s="14" t="n">
        <v>843.25</v>
      </c>
      <c r="P289" s="14" t="n">
        <v>843.25</v>
      </c>
      <c r="Q289" s="14" t="n">
        <v>843.25</v>
      </c>
      <c r="R289" s="14" t="n">
        <v>843.25</v>
      </c>
      <c r="S289" s="14" t="n">
        <v>843.25</v>
      </c>
      <c r="T289" s="14" t="n">
        <v>843.25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CANON-202510-001483</t>
        </is>
      </c>
      <c r="B290" s="15" t="inlineStr">
        <is>
          <t>2025-10-15</t>
        </is>
      </c>
      <c r="C290" s="15" t="inlineStr">
        <is>
          <t>Cassius Kingsford</t>
        </is>
      </c>
      <c r="D290" s="15" t="inlineStr">
        <is>
          <t>WY</t>
        </is>
      </c>
      <c r="E290" s="16" t="n">
        <v>270000</v>
      </c>
      <c r="F290" s="16" t="n">
        <v>3961.88</v>
      </c>
      <c r="G290" s="16" t="n">
        <v>495.24</v>
      </c>
      <c r="H290" s="16" t="n">
        <v>495.24</v>
      </c>
      <c r="I290" s="16">
        <f>SUM(K290:T290)</f>
        <v/>
      </c>
      <c r="J290" s="16">
        <f>F290-(G290+H290+I290)</f>
        <v/>
      </c>
      <c r="K290" s="16" t="n">
        <v>297.14</v>
      </c>
      <c r="L290" s="16" t="n">
        <v>297.14</v>
      </c>
      <c r="M290" s="16" t="n">
        <v>297.14</v>
      </c>
      <c r="N290" s="16" t="n">
        <v>297.14</v>
      </c>
      <c r="O290" s="16" t="n">
        <v>297.14</v>
      </c>
      <c r="P290" s="16" t="n">
        <v>297.14</v>
      </c>
      <c r="Q290" s="16" t="n">
        <v>297.14</v>
      </c>
      <c r="R290" s="16" t="n">
        <v>297.14</v>
      </c>
      <c r="S290" s="16" t="n">
        <v>297.14</v>
      </c>
      <c r="T290" s="16" t="n">
        <v>297.14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CANON-202510-001484</t>
        </is>
      </c>
      <c r="B291" s="3" t="inlineStr">
        <is>
          <t>2025-10-09</t>
        </is>
      </c>
      <c r="C291" s="3" t="inlineStr">
        <is>
          <t>Ingrid Vandermeer</t>
        </is>
      </c>
      <c r="D291" s="3" t="inlineStr">
        <is>
          <t>NY</t>
        </is>
      </c>
      <c r="E291" s="14" t="n">
        <v>1480000</v>
      </c>
      <c r="F291" s="14" t="n">
        <v>13162.79</v>
      </c>
      <c r="G291" s="14" t="n">
        <v>1645.35</v>
      </c>
      <c r="H291" s="14" t="n">
        <v>1645.35</v>
      </c>
      <c r="I291" s="14">
        <f>SUM(K291:T291)</f>
        <v/>
      </c>
      <c r="J291" s="14">
        <f>F291-(G291+H291+I291)</f>
        <v/>
      </c>
      <c r="K291" s="14" t="n">
        <v>987.21</v>
      </c>
      <c r="L291" s="14" t="n">
        <v>987.21</v>
      </c>
      <c r="M291" s="14" t="n">
        <v>987.21</v>
      </c>
      <c r="N291" s="14" t="n">
        <v>987.21</v>
      </c>
      <c r="O291" s="14" t="n">
        <v>987.21</v>
      </c>
      <c r="P291" s="14" t="n">
        <v>987.21</v>
      </c>
      <c r="Q291" s="14" t="n">
        <v>987.21</v>
      </c>
      <c r="R291" s="14" t="n">
        <v>987.21</v>
      </c>
      <c r="S291" s="14" t="n">
        <v>987.21</v>
      </c>
      <c r="T291" s="14" t="n">
        <v>987.21</v>
      </c>
      <c r="U291" s="14" t="n">
        <v>350</v>
      </c>
      <c r="V291" s="14" t="n">
        <v>250</v>
      </c>
      <c r="W291" s="14">
        <f>U291+V291</f>
        <v/>
      </c>
    </row>
    <row r="292">
      <c r="A292" s="15" t="inlineStr">
        <is>
          <t>CANON-202510-001485</t>
        </is>
      </c>
      <c r="B292" s="15" t="inlineStr">
        <is>
          <t>2025-10-24</t>
        </is>
      </c>
      <c r="C292" s="15" t="inlineStr">
        <is>
          <t>Wilhelmina Blackwood</t>
        </is>
      </c>
      <c r="D292" s="15" t="inlineStr">
        <is>
          <t>IL</t>
        </is>
      </c>
      <c r="E292" s="16" t="n">
        <v>625000</v>
      </c>
      <c r="F292" s="16" t="n">
        <v>10102.41</v>
      </c>
      <c r="G292" s="16" t="n">
        <v>1262.8</v>
      </c>
      <c r="H292" s="16" t="n">
        <v>1262.8</v>
      </c>
      <c r="I292" s="16">
        <f>SUM(K292:T292)</f>
        <v/>
      </c>
      <c r="J292" s="16">
        <f>F292-(G292+H292+I292)</f>
        <v/>
      </c>
      <c r="K292" s="16" t="n">
        <v>757.6799999999999</v>
      </c>
      <c r="L292" s="16" t="n">
        <v>757.6799999999999</v>
      </c>
      <c r="M292" s="16" t="n">
        <v>757.6799999999999</v>
      </c>
      <c r="N292" s="16" t="n">
        <v>757.6799999999999</v>
      </c>
      <c r="O292" s="16" t="n">
        <v>757.6799999999999</v>
      </c>
      <c r="P292" s="16" t="n">
        <v>757.6799999999999</v>
      </c>
      <c r="Q292" s="16" t="n">
        <v>757.6799999999999</v>
      </c>
      <c r="R292" s="16" t="n">
        <v>757.6799999999999</v>
      </c>
      <c r="S292" s="16" t="n">
        <v>757.6799999999999</v>
      </c>
      <c r="T292" s="16" t="n">
        <v>757.6799999999999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CANON-202510-001486</t>
        </is>
      </c>
      <c r="B293" s="3" t="inlineStr">
        <is>
          <t>2025-10-24</t>
        </is>
      </c>
      <c r="C293" s="3" t="inlineStr">
        <is>
          <t>Leopold Kingsford</t>
        </is>
      </c>
      <c r="D293" s="3" t="inlineStr">
        <is>
          <t>CA</t>
        </is>
      </c>
      <c r="E293" s="14" t="n">
        <v>135000</v>
      </c>
      <c r="F293" s="14" t="n">
        <v>3065.83</v>
      </c>
      <c r="G293" s="14" t="n">
        <v>383.23</v>
      </c>
      <c r="H293" s="14" t="n">
        <v>383.23</v>
      </c>
      <c r="I293" s="14">
        <f>SUM(K293:T293)</f>
        <v/>
      </c>
      <c r="J293" s="14">
        <f>F293-(G293+H293+I293)</f>
        <v/>
      </c>
      <c r="K293" s="14" t="n">
        <v>229.94</v>
      </c>
      <c r="L293" s="14" t="n">
        <v>229.94</v>
      </c>
      <c r="M293" s="14" t="n">
        <v>229.94</v>
      </c>
      <c r="N293" s="14" t="n">
        <v>229.94</v>
      </c>
      <c r="O293" s="14" t="n">
        <v>229.94</v>
      </c>
      <c r="P293" s="14" t="n">
        <v>229.94</v>
      </c>
      <c r="Q293" s="14" t="n">
        <v>229.94</v>
      </c>
      <c r="R293" s="14" t="n">
        <v>229.94</v>
      </c>
      <c r="S293" s="14" t="n">
        <v>229.94</v>
      </c>
      <c r="T293" s="14" t="n">
        <v>229.94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CANON-202510-001487</t>
        </is>
      </c>
      <c r="B294" s="15" t="inlineStr">
        <is>
          <t>2025-10-25</t>
        </is>
      </c>
      <c r="C294" s="15" t="inlineStr">
        <is>
          <t>Priya Merriweather</t>
        </is>
      </c>
      <c r="D294" s="15" t="inlineStr">
        <is>
          <t>HI</t>
        </is>
      </c>
      <c r="E294" s="16" t="n">
        <v>380000</v>
      </c>
      <c r="F294" s="16" t="n">
        <v>6774.56</v>
      </c>
      <c r="G294" s="16" t="n">
        <v>846.8200000000001</v>
      </c>
      <c r="H294" s="16" t="n">
        <v>846.8200000000001</v>
      </c>
      <c r="I294" s="16">
        <f>SUM(K294:T294)</f>
        <v/>
      </c>
      <c r="J294" s="16">
        <f>F294-(G294+H294+I294)</f>
        <v/>
      </c>
      <c r="K294" s="16" t="n">
        <v>508.09</v>
      </c>
      <c r="L294" s="16" t="n">
        <v>508.09</v>
      </c>
      <c r="M294" s="16" t="n">
        <v>508.09</v>
      </c>
      <c r="N294" s="16" t="n">
        <v>508.09</v>
      </c>
      <c r="O294" s="16" t="n">
        <v>508.09</v>
      </c>
      <c r="P294" s="16" t="n">
        <v>508.09</v>
      </c>
      <c r="Q294" s="16" t="n">
        <v>508.09</v>
      </c>
      <c r="R294" s="16" t="n">
        <v>508.09</v>
      </c>
      <c r="S294" s="16" t="n">
        <v>508.09</v>
      </c>
      <c r="T294" s="16" t="n">
        <v>508.09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CANON-202510-001488</t>
        </is>
      </c>
      <c r="B295" s="3" t="inlineStr">
        <is>
          <t>2025-10-19</t>
        </is>
      </c>
      <c r="C295" s="3" t="inlineStr">
        <is>
          <t>Beatrix Okonkwo</t>
        </is>
      </c>
      <c r="D295" s="3" t="inlineStr">
        <is>
          <t>TX</t>
        </is>
      </c>
      <c r="E295" s="14" t="n">
        <v>740000</v>
      </c>
      <c r="F295" s="14" t="n">
        <v>14782.43</v>
      </c>
      <c r="G295" s="14" t="n">
        <v>1847.8</v>
      </c>
      <c r="H295" s="14" t="n">
        <v>1847.8</v>
      </c>
      <c r="I295" s="14">
        <f>SUM(K295:T295)</f>
        <v/>
      </c>
      <c r="J295" s="14">
        <f>F295-(G295+H295+I295)</f>
        <v/>
      </c>
      <c r="K295" s="14" t="n">
        <v>1108.68</v>
      </c>
      <c r="L295" s="14" t="n">
        <v>1108.68</v>
      </c>
      <c r="M295" s="14" t="n">
        <v>1108.68</v>
      </c>
      <c r="N295" s="14" t="n">
        <v>1108.68</v>
      </c>
      <c r="O295" s="14" t="n">
        <v>1108.68</v>
      </c>
      <c r="P295" s="14" t="n">
        <v>1108.68</v>
      </c>
      <c r="Q295" s="14" t="n">
        <v>1108.68</v>
      </c>
      <c r="R295" s="14" t="n">
        <v>1108.68</v>
      </c>
      <c r="S295" s="14" t="n">
        <v>1108.68</v>
      </c>
      <c r="T295" s="14" t="n">
        <v>1108.68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CANON-202510-001489</t>
        </is>
      </c>
      <c r="B296" s="15" t="inlineStr">
        <is>
          <t>2025-10-05</t>
        </is>
      </c>
      <c r="C296" s="15" t="inlineStr">
        <is>
          <t>Callum Vandermeer</t>
        </is>
      </c>
      <c r="D296" s="15" t="inlineStr">
        <is>
          <t>NY</t>
        </is>
      </c>
      <c r="E296" s="16" t="n">
        <v>335000</v>
      </c>
      <c r="F296" s="16" t="n">
        <v>3763.47</v>
      </c>
      <c r="G296" s="16" t="n">
        <v>470.43</v>
      </c>
      <c r="H296" s="16" t="n">
        <v>470.43</v>
      </c>
      <c r="I296" s="16">
        <f>SUM(K296:T296)</f>
        <v/>
      </c>
      <c r="J296" s="16">
        <f>F296-(G296+H296+I296)</f>
        <v/>
      </c>
      <c r="K296" s="16" t="n">
        <v>282.26</v>
      </c>
      <c r="L296" s="16" t="n">
        <v>282.26</v>
      </c>
      <c r="M296" s="16" t="n">
        <v>282.26</v>
      </c>
      <c r="N296" s="16" t="n">
        <v>282.26</v>
      </c>
      <c r="O296" s="16" t="n">
        <v>282.26</v>
      </c>
      <c r="P296" s="16" t="n">
        <v>282.26</v>
      </c>
      <c r="Q296" s="16" t="n">
        <v>282.26</v>
      </c>
      <c r="R296" s="16" t="n">
        <v>282.26</v>
      </c>
      <c r="S296" s="16" t="n">
        <v>282.26</v>
      </c>
      <c r="T296" s="16" t="n">
        <v>282.26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CANON-202510-001490</t>
        </is>
      </c>
      <c r="B297" s="3" t="inlineStr">
        <is>
          <t>2025-10-04</t>
        </is>
      </c>
      <c r="C297" s="3" t="inlineStr">
        <is>
          <t>Mireille Harrington</t>
        </is>
      </c>
      <c r="D297" s="3" t="inlineStr">
        <is>
          <t>MN</t>
        </is>
      </c>
      <c r="E297" s="14" t="n">
        <v>250000</v>
      </c>
      <c r="F297" s="14" t="n">
        <v>4525.51</v>
      </c>
      <c r="G297" s="14" t="n">
        <v>565.6900000000001</v>
      </c>
      <c r="H297" s="14" t="n">
        <v>565.6900000000001</v>
      </c>
      <c r="I297" s="14">
        <f>SUM(K297:T297)</f>
        <v/>
      </c>
      <c r="J297" s="14">
        <f>F297-(G297+H297+I297)</f>
        <v/>
      </c>
      <c r="K297" s="14" t="n">
        <v>339.41</v>
      </c>
      <c r="L297" s="14" t="n">
        <v>339.41</v>
      </c>
      <c r="M297" s="14" t="n">
        <v>339.41</v>
      </c>
      <c r="N297" s="14" t="n">
        <v>339.41</v>
      </c>
      <c r="O297" s="14" t="n">
        <v>339.41</v>
      </c>
      <c r="P297" s="14" t="n">
        <v>339.41</v>
      </c>
      <c r="Q297" s="14" t="n">
        <v>339.41</v>
      </c>
      <c r="R297" s="14" t="n">
        <v>339.41</v>
      </c>
      <c r="S297" s="14" t="n">
        <v>339.41</v>
      </c>
      <c r="T297" s="14" t="n">
        <v>339.41</v>
      </c>
      <c r="U297" s="14" t="n">
        <v>350</v>
      </c>
      <c r="V297" s="14" t="n">
        <v>0</v>
      </c>
      <c r="W297" s="14">
        <f>U297+V297</f>
        <v/>
      </c>
    </row>
    <row r="298">
      <c r="A298" s="15" t="inlineStr">
        <is>
          <t>CANON-202510-001491</t>
        </is>
      </c>
      <c r="B298" s="15" t="inlineStr">
        <is>
          <t>2025-10-11</t>
        </is>
      </c>
      <c r="C298" s="15" t="inlineStr">
        <is>
          <t>Aurelio Okonkwo</t>
        </is>
      </c>
      <c r="D298" s="15" t="inlineStr">
        <is>
          <t>VT</t>
        </is>
      </c>
      <c r="E298" s="16" t="n">
        <v>650000</v>
      </c>
      <c r="F298" s="16" t="n">
        <v>9424.950000000001</v>
      </c>
      <c r="G298" s="16" t="n">
        <v>1178.12</v>
      </c>
      <c r="H298" s="16" t="n">
        <v>1178.12</v>
      </c>
      <c r="I298" s="16">
        <f>SUM(K298:T298)</f>
        <v/>
      </c>
      <c r="J298" s="16">
        <f>F298-(G298+H298+I298)</f>
        <v/>
      </c>
      <c r="K298" s="16" t="n">
        <v>706.87</v>
      </c>
      <c r="L298" s="16" t="n">
        <v>706.87</v>
      </c>
      <c r="M298" s="16" t="n">
        <v>706.87</v>
      </c>
      <c r="N298" s="16" t="n">
        <v>706.87</v>
      </c>
      <c r="O298" s="16" t="n">
        <v>706.87</v>
      </c>
      <c r="P298" s="16" t="n">
        <v>706.87</v>
      </c>
      <c r="Q298" s="16" t="n">
        <v>706.87</v>
      </c>
      <c r="R298" s="16" t="n">
        <v>706.87</v>
      </c>
      <c r="S298" s="16" t="n">
        <v>706.87</v>
      </c>
      <c r="T298" s="16" t="n">
        <v>706.87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CANON-202510-001492</t>
        </is>
      </c>
      <c r="B299" s="3" t="inlineStr">
        <is>
          <t>2025-10-10</t>
        </is>
      </c>
      <c r="C299" s="3" t="inlineStr">
        <is>
          <t>Priya Harrington</t>
        </is>
      </c>
      <c r="D299" s="3" t="inlineStr">
        <is>
          <t>SD</t>
        </is>
      </c>
      <c r="E299" s="14" t="n">
        <v>555000</v>
      </c>
      <c r="F299" s="14" t="n">
        <v>7321.87</v>
      </c>
      <c r="G299" s="14" t="n">
        <v>915.23</v>
      </c>
      <c r="H299" s="14" t="n">
        <v>915.23</v>
      </c>
      <c r="I299" s="14">
        <f>SUM(K299:T299)</f>
        <v/>
      </c>
      <c r="J299" s="14">
        <f>F299-(G299+H299+I299)</f>
        <v/>
      </c>
      <c r="K299" s="14" t="n">
        <v>549.14</v>
      </c>
      <c r="L299" s="14" t="n">
        <v>549.14</v>
      </c>
      <c r="M299" s="14" t="n">
        <v>549.14</v>
      </c>
      <c r="N299" s="14" t="n">
        <v>549.14</v>
      </c>
      <c r="O299" s="14" t="n">
        <v>549.14</v>
      </c>
      <c r="P299" s="14" t="n">
        <v>549.14</v>
      </c>
      <c r="Q299" s="14" t="n">
        <v>549.14</v>
      </c>
      <c r="R299" s="14" t="n">
        <v>549.14</v>
      </c>
      <c r="S299" s="14" t="n">
        <v>549.14</v>
      </c>
      <c r="T299" s="14" t="n">
        <v>549.14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CANON-202510-001493</t>
        </is>
      </c>
      <c r="B300" s="15" t="inlineStr">
        <is>
          <t>2025-10-02</t>
        </is>
      </c>
      <c r="C300" s="15" t="inlineStr">
        <is>
          <t>Beatrix Rourke</t>
        </is>
      </c>
      <c r="D300" s="15" t="inlineStr">
        <is>
          <t>MN</t>
        </is>
      </c>
      <c r="E300" s="16" t="n">
        <v>790000</v>
      </c>
      <c r="F300" s="16" t="n">
        <v>12393.88</v>
      </c>
      <c r="G300" s="16" t="n">
        <v>1549.23</v>
      </c>
      <c r="H300" s="16" t="n">
        <v>1549.23</v>
      </c>
      <c r="I300" s="16">
        <f>SUM(K300:T300)</f>
        <v/>
      </c>
      <c r="J300" s="16">
        <f>F300-(G300+H300+I300)</f>
        <v/>
      </c>
      <c r="K300" s="16" t="n">
        <v>929.54</v>
      </c>
      <c r="L300" s="16" t="n">
        <v>929.54</v>
      </c>
      <c r="M300" s="16" t="n">
        <v>929.54</v>
      </c>
      <c r="N300" s="16" t="n">
        <v>929.54</v>
      </c>
      <c r="O300" s="16" t="n">
        <v>929.54</v>
      </c>
      <c r="P300" s="16" t="n">
        <v>929.54</v>
      </c>
      <c r="Q300" s="16" t="n">
        <v>929.54</v>
      </c>
      <c r="R300" s="16" t="n">
        <v>929.54</v>
      </c>
      <c r="S300" s="16" t="n">
        <v>929.54</v>
      </c>
      <c r="T300" s="16" t="n">
        <v>929.54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CANON-202510-001494</t>
        </is>
      </c>
      <c r="B301" s="3" t="inlineStr">
        <is>
          <t>2025-10-13</t>
        </is>
      </c>
      <c r="C301" s="3" t="inlineStr">
        <is>
          <t>Desmond Underwood</t>
        </is>
      </c>
      <c r="D301" s="3" t="inlineStr">
        <is>
          <t>AK</t>
        </is>
      </c>
      <c r="E301" s="14" t="n">
        <v>635000</v>
      </c>
      <c r="F301" s="14" t="n">
        <v>8603.690000000001</v>
      </c>
      <c r="G301" s="14" t="n">
        <v>1075.46</v>
      </c>
      <c r="H301" s="14" t="n">
        <v>1075.46</v>
      </c>
      <c r="I301" s="14">
        <f>SUM(K301:T301)</f>
        <v/>
      </c>
      <c r="J301" s="14">
        <f>F301-(G301+H301+I301)</f>
        <v/>
      </c>
      <c r="K301" s="14" t="n">
        <v>645.28</v>
      </c>
      <c r="L301" s="14" t="n">
        <v>645.28</v>
      </c>
      <c r="M301" s="14" t="n">
        <v>645.28</v>
      </c>
      <c r="N301" s="14" t="n">
        <v>645.28</v>
      </c>
      <c r="O301" s="14" t="n">
        <v>645.28</v>
      </c>
      <c r="P301" s="14" t="n">
        <v>645.28</v>
      </c>
      <c r="Q301" s="14" t="n">
        <v>645.28</v>
      </c>
      <c r="R301" s="14" t="n">
        <v>645.28</v>
      </c>
      <c r="S301" s="14" t="n">
        <v>645.28</v>
      </c>
      <c r="T301" s="14" t="n">
        <v>645.28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CANON-202510-001496</t>
        </is>
      </c>
      <c r="B302" s="15" t="inlineStr">
        <is>
          <t>2025-10-01</t>
        </is>
      </c>
      <c r="C302" s="15" t="inlineStr">
        <is>
          <t>Anouk Vasquez</t>
        </is>
      </c>
      <c r="D302" s="15" t="inlineStr">
        <is>
          <t>UT</t>
        </is>
      </c>
      <c r="E302" s="16" t="n">
        <v>365000</v>
      </c>
      <c r="F302" s="16" t="n">
        <v>6757.42</v>
      </c>
      <c r="G302" s="16" t="n">
        <v>844.6799999999999</v>
      </c>
      <c r="H302" s="16" t="n">
        <v>844.6799999999999</v>
      </c>
      <c r="I302" s="16">
        <f>SUM(K302:T302)</f>
        <v/>
      </c>
      <c r="J302" s="16">
        <f>F302-(G302+H302+I302)</f>
        <v/>
      </c>
      <c r="K302" s="16" t="n">
        <v>506.81</v>
      </c>
      <c r="L302" s="16" t="n">
        <v>506.81</v>
      </c>
      <c r="M302" s="16" t="n">
        <v>506.81</v>
      </c>
      <c r="N302" s="16" t="n">
        <v>506.81</v>
      </c>
      <c r="O302" s="16" t="n">
        <v>506.81</v>
      </c>
      <c r="P302" s="16" t="n">
        <v>506.81</v>
      </c>
      <c r="Q302" s="16" t="n">
        <v>506.81</v>
      </c>
      <c r="R302" s="16" t="n">
        <v>506.81</v>
      </c>
      <c r="S302" s="16" t="n">
        <v>506.81</v>
      </c>
      <c r="T302" s="16" t="n">
        <v>506.81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CANON-202510-001499</t>
        </is>
      </c>
      <c r="B303" s="3" t="inlineStr">
        <is>
          <t>2025-10-13</t>
        </is>
      </c>
      <c r="C303" s="3" t="inlineStr">
        <is>
          <t>Beatrix Chattopadhyay</t>
        </is>
      </c>
      <c r="D303" s="3" t="inlineStr">
        <is>
          <t>LA</t>
        </is>
      </c>
      <c r="E303" s="14" t="n">
        <v>1950000</v>
      </c>
      <c r="F303" s="14" t="n">
        <v>34514.58</v>
      </c>
      <c r="G303" s="14" t="n">
        <v>4314.32</v>
      </c>
      <c r="H303" s="14" t="n">
        <v>4314.32</v>
      </c>
      <c r="I303" s="14">
        <f>SUM(K303:T303)</f>
        <v/>
      </c>
      <c r="J303" s="14">
        <f>F303-(G303+H303+I303)</f>
        <v/>
      </c>
      <c r="K303" s="14" t="n">
        <v>2588.59</v>
      </c>
      <c r="L303" s="14" t="n">
        <v>2588.59</v>
      </c>
      <c r="M303" s="14" t="n">
        <v>2588.59</v>
      </c>
      <c r="N303" s="14" t="n">
        <v>2588.59</v>
      </c>
      <c r="O303" s="14" t="n">
        <v>2588.59</v>
      </c>
      <c r="P303" s="14" t="n">
        <v>2588.59</v>
      </c>
      <c r="Q303" s="14" t="n">
        <v>2588.59</v>
      </c>
      <c r="R303" s="14" t="n">
        <v>2588.59</v>
      </c>
      <c r="S303" s="14" t="n">
        <v>2588.59</v>
      </c>
      <c r="T303" s="14" t="n">
        <v>2588.59</v>
      </c>
      <c r="U303" s="14" t="n">
        <v>350</v>
      </c>
      <c r="V303" s="14" t="n">
        <v>250</v>
      </c>
      <c r="W303" s="14">
        <f>U303+V303</f>
        <v/>
      </c>
    </row>
    <row r="304">
      <c r="A304" s="15" t="inlineStr">
        <is>
          <t>CANON-202510-001500</t>
        </is>
      </c>
      <c r="B304" s="15" t="inlineStr">
        <is>
          <t>2025-10-26</t>
        </is>
      </c>
      <c r="C304" s="15" t="inlineStr">
        <is>
          <t>Emiliano Delacroix</t>
        </is>
      </c>
      <c r="D304" s="15" t="inlineStr">
        <is>
          <t>WY</t>
        </is>
      </c>
      <c r="E304" s="16" t="n">
        <v>620000</v>
      </c>
      <c r="F304" s="16" t="n">
        <v>7884.64</v>
      </c>
      <c r="G304" s="16" t="n">
        <v>985.58</v>
      </c>
      <c r="H304" s="16" t="n">
        <v>985.58</v>
      </c>
      <c r="I304" s="16">
        <f>SUM(K304:T304)</f>
        <v/>
      </c>
      <c r="J304" s="16">
        <f>F304-(G304+H304+I304)</f>
        <v/>
      </c>
      <c r="K304" s="16" t="n">
        <v>591.35</v>
      </c>
      <c r="L304" s="16" t="n">
        <v>591.35</v>
      </c>
      <c r="M304" s="16" t="n">
        <v>591.35</v>
      </c>
      <c r="N304" s="16" t="n">
        <v>591.35</v>
      </c>
      <c r="O304" s="16" t="n">
        <v>591.35</v>
      </c>
      <c r="P304" s="16" t="n">
        <v>591.35</v>
      </c>
      <c r="Q304" s="16" t="n">
        <v>591.35</v>
      </c>
      <c r="R304" s="16" t="n">
        <v>591.35</v>
      </c>
      <c r="S304" s="16" t="n">
        <v>591.35</v>
      </c>
      <c r="T304" s="16" t="n">
        <v>591.35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CANON-202510-001501</t>
        </is>
      </c>
      <c r="B305" s="3" t="inlineStr">
        <is>
          <t>2025-10-15</t>
        </is>
      </c>
      <c r="C305" s="3" t="inlineStr">
        <is>
          <t>Saoirse Delacroix</t>
        </is>
      </c>
      <c r="D305" s="3" t="inlineStr">
        <is>
          <t>HI</t>
        </is>
      </c>
      <c r="E305" s="14" t="n">
        <v>820000</v>
      </c>
      <c r="F305" s="14" t="n">
        <v>12669.61</v>
      </c>
      <c r="G305" s="14" t="n">
        <v>1583.7</v>
      </c>
      <c r="H305" s="14" t="n">
        <v>1583.7</v>
      </c>
      <c r="I305" s="14">
        <f>SUM(K305:T305)</f>
        <v/>
      </c>
      <c r="J305" s="14">
        <f>F305-(G305+H305+I305)</f>
        <v/>
      </c>
      <c r="K305" s="14" t="n">
        <v>950.22</v>
      </c>
      <c r="L305" s="14" t="n">
        <v>950.22</v>
      </c>
      <c r="M305" s="14" t="n">
        <v>950.22</v>
      </c>
      <c r="N305" s="14" t="n">
        <v>950.22</v>
      </c>
      <c r="O305" s="14" t="n">
        <v>950.22</v>
      </c>
      <c r="P305" s="14" t="n">
        <v>950.22</v>
      </c>
      <c r="Q305" s="14" t="n">
        <v>950.22</v>
      </c>
      <c r="R305" s="14" t="n">
        <v>950.22</v>
      </c>
      <c r="S305" s="14" t="n">
        <v>950.22</v>
      </c>
      <c r="T305" s="14" t="n">
        <v>950.22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CANON-202510-001502</t>
        </is>
      </c>
      <c r="B306" s="15" t="inlineStr">
        <is>
          <t>2025-10-19</t>
        </is>
      </c>
      <c r="C306" s="15" t="inlineStr">
        <is>
          <t>Thaddeus Fairweather</t>
        </is>
      </c>
      <c r="D306" s="15" t="inlineStr">
        <is>
          <t>AZ</t>
        </is>
      </c>
      <c r="E306" s="16" t="n">
        <v>1950000</v>
      </c>
      <c r="F306" s="16" t="n">
        <v>28809.7</v>
      </c>
      <c r="G306" s="16" t="n">
        <v>3601.21</v>
      </c>
      <c r="H306" s="16" t="n">
        <v>3601.21</v>
      </c>
      <c r="I306" s="16">
        <f>SUM(K306:T306)</f>
        <v/>
      </c>
      <c r="J306" s="16">
        <f>F306-(G306+H306+I306)</f>
        <v/>
      </c>
      <c r="K306" s="16" t="n">
        <v>2160.73</v>
      </c>
      <c r="L306" s="16" t="n">
        <v>2160.73</v>
      </c>
      <c r="M306" s="16" t="n">
        <v>2160.73</v>
      </c>
      <c r="N306" s="16" t="n">
        <v>2160.73</v>
      </c>
      <c r="O306" s="16" t="n">
        <v>2160.73</v>
      </c>
      <c r="P306" s="16" t="n">
        <v>2160.73</v>
      </c>
      <c r="Q306" s="16" t="n">
        <v>2160.73</v>
      </c>
      <c r="R306" s="16" t="n">
        <v>2160.73</v>
      </c>
      <c r="S306" s="16" t="n">
        <v>2160.73</v>
      </c>
      <c r="T306" s="16" t="n">
        <v>2160.73</v>
      </c>
      <c r="U306" s="16" t="n">
        <v>350</v>
      </c>
      <c r="V306" s="16" t="n">
        <v>250</v>
      </c>
      <c r="W306" s="16">
        <f>U306+V306</f>
        <v/>
      </c>
    </row>
    <row r="307">
      <c r="A307" s="3" t="inlineStr">
        <is>
          <t>CANON-202510-001503</t>
        </is>
      </c>
      <c r="B307" s="3" t="inlineStr">
        <is>
          <t>2025-10-10</t>
        </is>
      </c>
      <c r="C307" s="3" t="inlineStr">
        <is>
          <t>Callum Whitlock</t>
        </is>
      </c>
      <c r="D307" s="3" t="inlineStr">
        <is>
          <t>NJ</t>
        </is>
      </c>
      <c r="E307" s="14" t="n">
        <v>1425000</v>
      </c>
      <c r="F307" s="14" t="n">
        <v>18968.76</v>
      </c>
      <c r="G307" s="14" t="n">
        <v>2371.09</v>
      </c>
      <c r="H307" s="14" t="n">
        <v>2371.09</v>
      </c>
      <c r="I307" s="14">
        <f>SUM(K307:T307)</f>
        <v/>
      </c>
      <c r="J307" s="14">
        <f>F307-(G307+H307+I307)</f>
        <v/>
      </c>
      <c r="K307" s="14" t="n">
        <v>1422.66</v>
      </c>
      <c r="L307" s="14" t="n">
        <v>1422.66</v>
      </c>
      <c r="M307" s="14" t="n">
        <v>1422.66</v>
      </c>
      <c r="N307" s="14" t="n">
        <v>1422.66</v>
      </c>
      <c r="O307" s="14" t="n">
        <v>1422.66</v>
      </c>
      <c r="P307" s="14" t="n">
        <v>1422.66</v>
      </c>
      <c r="Q307" s="14" t="n">
        <v>1422.66</v>
      </c>
      <c r="R307" s="14" t="n">
        <v>1422.66</v>
      </c>
      <c r="S307" s="14" t="n">
        <v>1422.66</v>
      </c>
      <c r="T307" s="14" t="n">
        <v>1422.66</v>
      </c>
      <c r="U307" s="14" t="n">
        <v>350</v>
      </c>
      <c r="V307" s="14" t="n">
        <v>250</v>
      </c>
      <c r="W307" s="14">
        <f>U307+V307</f>
        <v/>
      </c>
    </row>
    <row r="308">
      <c r="A308" s="15" t="inlineStr">
        <is>
          <t>CANON-202510-001504</t>
        </is>
      </c>
      <c r="B308" s="15" t="inlineStr">
        <is>
          <t>2025-10-18</t>
        </is>
      </c>
      <c r="C308" s="15" t="inlineStr">
        <is>
          <t>Lorenzo Blackwood</t>
        </is>
      </c>
      <c r="D308" s="15" t="inlineStr">
        <is>
          <t>KY</t>
        </is>
      </c>
      <c r="E308" s="16" t="n">
        <v>625000</v>
      </c>
      <c r="F308" s="16" t="n">
        <v>9953.85</v>
      </c>
      <c r="G308" s="16" t="n">
        <v>1244.23</v>
      </c>
      <c r="H308" s="16" t="n">
        <v>1244.23</v>
      </c>
      <c r="I308" s="16">
        <f>SUM(K308:T308)</f>
        <v/>
      </c>
      <c r="J308" s="16">
        <f>F308-(G308+H308+I308)</f>
        <v/>
      </c>
      <c r="K308" s="16" t="n">
        <v>746.54</v>
      </c>
      <c r="L308" s="16" t="n">
        <v>746.54</v>
      </c>
      <c r="M308" s="16" t="n">
        <v>746.54</v>
      </c>
      <c r="N308" s="16" t="n">
        <v>746.54</v>
      </c>
      <c r="O308" s="16" t="n">
        <v>746.54</v>
      </c>
      <c r="P308" s="16" t="n">
        <v>746.54</v>
      </c>
      <c r="Q308" s="16" t="n">
        <v>746.54</v>
      </c>
      <c r="R308" s="16" t="n">
        <v>746.54</v>
      </c>
      <c r="S308" s="16" t="n">
        <v>746.54</v>
      </c>
      <c r="T308" s="16" t="n">
        <v>746.54</v>
      </c>
      <c r="U308" s="16" t="n">
        <v>350</v>
      </c>
      <c r="V308" s="16" t="n">
        <v>0</v>
      </c>
      <c r="W308" s="16">
        <f>U308+V308</f>
        <v/>
      </c>
    </row>
    <row r="309">
      <c r="A309" s="3" t="inlineStr">
        <is>
          <t>CANON-202510-001505</t>
        </is>
      </c>
      <c r="B309" s="3" t="inlineStr">
        <is>
          <t>2025-10-04</t>
        </is>
      </c>
      <c r="C309" s="3" t="inlineStr">
        <is>
          <t>Ingrid Montoya</t>
        </is>
      </c>
      <c r="D309" s="3" t="inlineStr">
        <is>
          <t>AK</t>
        </is>
      </c>
      <c r="E309" s="14" t="n">
        <v>970000</v>
      </c>
      <c r="F309" s="14" t="n">
        <v>19208.47</v>
      </c>
      <c r="G309" s="14" t="n">
        <v>2401.06</v>
      </c>
      <c r="H309" s="14" t="n">
        <v>2401.06</v>
      </c>
      <c r="I309" s="14">
        <f>SUM(K309:T309)</f>
        <v/>
      </c>
      <c r="J309" s="14">
        <f>F309-(G309+H309+I309)</f>
        <v/>
      </c>
      <c r="K309" s="14" t="n">
        <v>1440.64</v>
      </c>
      <c r="L309" s="14" t="n">
        <v>1440.64</v>
      </c>
      <c r="M309" s="14" t="n">
        <v>1440.64</v>
      </c>
      <c r="N309" s="14" t="n">
        <v>1440.64</v>
      </c>
      <c r="O309" s="14" t="n">
        <v>1440.64</v>
      </c>
      <c r="P309" s="14" t="n">
        <v>1440.64</v>
      </c>
      <c r="Q309" s="14" t="n">
        <v>1440.64</v>
      </c>
      <c r="R309" s="14" t="n">
        <v>1440.64</v>
      </c>
      <c r="S309" s="14" t="n">
        <v>1440.64</v>
      </c>
      <c r="T309" s="14" t="n">
        <v>1440.64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CANON-202510-001506</t>
        </is>
      </c>
      <c r="B310" s="15" t="inlineStr">
        <is>
          <t>2025-10-14</t>
        </is>
      </c>
      <c r="C310" s="15" t="inlineStr">
        <is>
          <t>Marisol Fairweather</t>
        </is>
      </c>
      <c r="D310" s="15" t="inlineStr">
        <is>
          <t>KY</t>
        </is>
      </c>
      <c r="E310" s="16" t="n">
        <v>465000</v>
      </c>
      <c r="F310" s="16" t="n">
        <v>8544.99</v>
      </c>
      <c r="G310" s="16" t="n">
        <v>1068.12</v>
      </c>
      <c r="H310" s="16" t="n">
        <v>1068.12</v>
      </c>
      <c r="I310" s="16">
        <f>SUM(K310:T310)</f>
        <v/>
      </c>
      <c r="J310" s="16">
        <f>F310-(G310+H310+I310)</f>
        <v/>
      </c>
      <c r="K310" s="16" t="n">
        <v>640.87</v>
      </c>
      <c r="L310" s="16" t="n">
        <v>640.87</v>
      </c>
      <c r="M310" s="16" t="n">
        <v>640.87</v>
      </c>
      <c r="N310" s="16" t="n">
        <v>640.87</v>
      </c>
      <c r="O310" s="16" t="n">
        <v>640.87</v>
      </c>
      <c r="P310" s="16" t="n">
        <v>640.87</v>
      </c>
      <c r="Q310" s="16" t="n">
        <v>640.87</v>
      </c>
      <c r="R310" s="16" t="n">
        <v>640.87</v>
      </c>
      <c r="S310" s="16" t="n">
        <v>640.87</v>
      </c>
      <c r="T310" s="16" t="n">
        <v>640.87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CANON-202510-001507</t>
        </is>
      </c>
      <c r="B311" s="3" t="inlineStr">
        <is>
          <t>2025-10-12</t>
        </is>
      </c>
      <c r="C311" s="3" t="inlineStr">
        <is>
          <t>Sunniva Vandermeer</t>
        </is>
      </c>
      <c r="D311" s="3" t="inlineStr">
        <is>
          <t>FL</t>
        </is>
      </c>
      <c r="E311" s="14" t="n">
        <v>1215000</v>
      </c>
      <c r="F311" s="14" t="n">
        <v>25237.55</v>
      </c>
      <c r="G311" s="14" t="n">
        <v>3154.69</v>
      </c>
      <c r="H311" s="14" t="n">
        <v>3154.69</v>
      </c>
      <c r="I311" s="14">
        <f>SUM(K311:T311)</f>
        <v/>
      </c>
      <c r="J311" s="14">
        <f>F311-(G311+H311+I311)</f>
        <v/>
      </c>
      <c r="K311" s="14" t="n">
        <v>1892.82</v>
      </c>
      <c r="L311" s="14" t="n">
        <v>1892.82</v>
      </c>
      <c r="M311" s="14" t="n">
        <v>1892.82</v>
      </c>
      <c r="N311" s="14" t="n">
        <v>1892.82</v>
      </c>
      <c r="O311" s="14" t="n">
        <v>1892.82</v>
      </c>
      <c r="P311" s="14" t="n">
        <v>1892.82</v>
      </c>
      <c r="Q311" s="14" t="n">
        <v>1892.82</v>
      </c>
      <c r="R311" s="14" t="n">
        <v>1892.82</v>
      </c>
      <c r="S311" s="14" t="n">
        <v>1892.82</v>
      </c>
      <c r="T311" s="14" t="n">
        <v>1892.82</v>
      </c>
      <c r="U311" s="14" t="n">
        <v>350</v>
      </c>
      <c r="V311" s="14" t="n">
        <v>250</v>
      </c>
      <c r="W311" s="14">
        <f>U311+V311</f>
        <v/>
      </c>
    </row>
    <row r="312">
      <c r="A312" s="15" t="inlineStr">
        <is>
          <t>CANON-202510-001508</t>
        </is>
      </c>
      <c r="B312" s="15" t="inlineStr">
        <is>
          <t>2025-10-02</t>
        </is>
      </c>
      <c r="C312" s="15" t="inlineStr">
        <is>
          <t>Emiliano Nakashima</t>
        </is>
      </c>
      <c r="D312" s="15" t="inlineStr">
        <is>
          <t>NY</t>
        </is>
      </c>
      <c r="E312" s="16" t="n">
        <v>415000</v>
      </c>
      <c r="F312" s="16" t="n">
        <v>11169.89</v>
      </c>
      <c r="G312" s="16" t="n">
        <v>1396.24</v>
      </c>
      <c r="H312" s="16" t="n">
        <v>1396.24</v>
      </c>
      <c r="I312" s="16">
        <f>SUM(K312:T312)</f>
        <v/>
      </c>
      <c r="J312" s="16">
        <f>F312-(G312+H312+I312)</f>
        <v/>
      </c>
      <c r="K312" s="16" t="n">
        <v>837.74</v>
      </c>
      <c r="L312" s="16" t="n">
        <v>837.74</v>
      </c>
      <c r="M312" s="16" t="n">
        <v>837.74</v>
      </c>
      <c r="N312" s="16" t="n">
        <v>837.74</v>
      </c>
      <c r="O312" s="16" t="n">
        <v>837.74</v>
      </c>
      <c r="P312" s="16" t="n">
        <v>837.74</v>
      </c>
      <c r="Q312" s="16" t="n">
        <v>837.74</v>
      </c>
      <c r="R312" s="16" t="n">
        <v>837.74</v>
      </c>
      <c r="S312" s="16" t="n">
        <v>837.74</v>
      </c>
      <c r="T312" s="16" t="n">
        <v>837.74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CANON-202510-001509</t>
        </is>
      </c>
      <c r="B313" s="3" t="inlineStr">
        <is>
          <t>2025-10-25</t>
        </is>
      </c>
      <c r="C313" s="3" t="inlineStr">
        <is>
          <t>Callum Ashcombe</t>
        </is>
      </c>
      <c r="D313" s="3" t="inlineStr">
        <is>
          <t>IL</t>
        </is>
      </c>
      <c r="E313" s="14" t="n">
        <v>1810000</v>
      </c>
      <c r="F313" s="14" t="n">
        <v>15303.45</v>
      </c>
      <c r="G313" s="14" t="n">
        <v>1912.93</v>
      </c>
      <c r="H313" s="14" t="n">
        <v>1912.93</v>
      </c>
      <c r="I313" s="14">
        <f>SUM(K313:T313)</f>
        <v/>
      </c>
      <c r="J313" s="14">
        <f>F313-(G313+H313+I313)</f>
        <v/>
      </c>
      <c r="K313" s="14" t="n">
        <v>1147.76</v>
      </c>
      <c r="L313" s="14" t="n">
        <v>1147.76</v>
      </c>
      <c r="M313" s="14" t="n">
        <v>1147.76</v>
      </c>
      <c r="N313" s="14" t="n">
        <v>1147.76</v>
      </c>
      <c r="O313" s="14" t="n">
        <v>1147.76</v>
      </c>
      <c r="P313" s="14" t="n">
        <v>1147.76</v>
      </c>
      <c r="Q313" s="14" t="n">
        <v>1147.76</v>
      </c>
      <c r="R313" s="14" t="n">
        <v>1147.76</v>
      </c>
      <c r="S313" s="14" t="n">
        <v>1147.76</v>
      </c>
      <c r="T313" s="14" t="n">
        <v>1147.76</v>
      </c>
      <c r="U313" s="14" t="n">
        <v>350</v>
      </c>
      <c r="V313" s="14" t="n">
        <v>250</v>
      </c>
      <c r="W313" s="14">
        <f>U313+V313</f>
        <v/>
      </c>
    </row>
    <row r="314">
      <c r="A314" s="15" t="inlineStr">
        <is>
          <t>CANON-202510-001512</t>
        </is>
      </c>
      <c r="B314" s="15" t="inlineStr">
        <is>
          <t>2025-10-12</t>
        </is>
      </c>
      <c r="C314" s="15" t="inlineStr">
        <is>
          <t>Ramona Kingsford</t>
        </is>
      </c>
      <c r="D314" s="15" t="inlineStr">
        <is>
          <t>AK</t>
        </is>
      </c>
      <c r="E314" s="16" t="n">
        <v>890000</v>
      </c>
      <c r="F314" s="16" t="n">
        <v>7977.3</v>
      </c>
      <c r="G314" s="16" t="n">
        <v>997.16</v>
      </c>
      <c r="H314" s="16" t="n">
        <v>997.16</v>
      </c>
      <c r="I314" s="16">
        <f>SUM(K314:T314)</f>
        <v/>
      </c>
      <c r="J314" s="16">
        <f>F314-(G314+H314+I314)</f>
        <v/>
      </c>
      <c r="K314" s="16" t="n">
        <v>598.3</v>
      </c>
      <c r="L314" s="16" t="n">
        <v>598.3</v>
      </c>
      <c r="M314" s="16" t="n">
        <v>598.3</v>
      </c>
      <c r="N314" s="16" t="n">
        <v>598.3</v>
      </c>
      <c r="O314" s="16" t="n">
        <v>598.3</v>
      </c>
      <c r="P314" s="16" t="n">
        <v>598.3</v>
      </c>
      <c r="Q314" s="16" t="n">
        <v>598.3</v>
      </c>
      <c r="R314" s="16" t="n">
        <v>598.3</v>
      </c>
      <c r="S314" s="16" t="n">
        <v>598.3</v>
      </c>
      <c r="T314" s="16" t="n">
        <v>598.3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CANON-202510-001515</t>
        </is>
      </c>
      <c r="B315" s="3" t="inlineStr">
        <is>
          <t>2025-10-08</t>
        </is>
      </c>
      <c r="C315" s="3" t="inlineStr">
        <is>
          <t>Beatrix Vasquez</t>
        </is>
      </c>
      <c r="D315" s="3" t="inlineStr">
        <is>
          <t>MI</t>
        </is>
      </c>
      <c r="E315" s="14" t="n">
        <v>875000</v>
      </c>
      <c r="F315" s="14" t="n">
        <v>16119.28</v>
      </c>
      <c r="G315" s="14" t="n">
        <v>2014.91</v>
      </c>
      <c r="H315" s="14" t="n">
        <v>2014.91</v>
      </c>
      <c r="I315" s="14">
        <f>SUM(K315:T315)</f>
        <v/>
      </c>
      <c r="J315" s="14">
        <f>F315-(G315+H315+I315)</f>
        <v/>
      </c>
      <c r="K315" s="14" t="n">
        <v>1208.95</v>
      </c>
      <c r="L315" s="14" t="n">
        <v>1208.95</v>
      </c>
      <c r="M315" s="14" t="n">
        <v>1208.95</v>
      </c>
      <c r="N315" s="14" t="n">
        <v>1208.95</v>
      </c>
      <c r="O315" s="14" t="n">
        <v>1208.95</v>
      </c>
      <c r="P315" s="14" t="n">
        <v>1208.95</v>
      </c>
      <c r="Q315" s="14" t="n">
        <v>1208.95</v>
      </c>
      <c r="R315" s="14" t="n">
        <v>1208.95</v>
      </c>
      <c r="S315" s="14" t="n">
        <v>1208.95</v>
      </c>
      <c r="T315" s="14" t="n">
        <v>1208.95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CANON-202510-001517</t>
        </is>
      </c>
      <c r="B316" s="15" t="inlineStr">
        <is>
          <t>2025-10-23</t>
        </is>
      </c>
      <c r="C316" s="15" t="inlineStr">
        <is>
          <t>Wilhelmina Larsson</t>
        </is>
      </c>
      <c r="D316" s="15" t="inlineStr">
        <is>
          <t>PA</t>
        </is>
      </c>
      <c r="E316" s="16" t="n">
        <v>955000</v>
      </c>
      <c r="F316" s="16" t="n">
        <v>11350.35</v>
      </c>
      <c r="G316" s="16" t="n">
        <v>1418.79</v>
      </c>
      <c r="H316" s="16" t="n">
        <v>1418.79</v>
      </c>
      <c r="I316" s="16">
        <f>SUM(K316:T316)</f>
        <v/>
      </c>
      <c r="J316" s="16">
        <f>F316-(G316+H316+I316)</f>
        <v/>
      </c>
      <c r="K316" s="16" t="n">
        <v>851.28</v>
      </c>
      <c r="L316" s="16" t="n">
        <v>851.28</v>
      </c>
      <c r="M316" s="16" t="n">
        <v>851.28</v>
      </c>
      <c r="N316" s="16" t="n">
        <v>851.28</v>
      </c>
      <c r="O316" s="16" t="n">
        <v>851.28</v>
      </c>
      <c r="P316" s="16" t="n">
        <v>851.28</v>
      </c>
      <c r="Q316" s="16" t="n">
        <v>851.28</v>
      </c>
      <c r="R316" s="16" t="n">
        <v>851.28</v>
      </c>
      <c r="S316" s="16" t="n">
        <v>851.28</v>
      </c>
      <c r="T316" s="16" t="n">
        <v>851.28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CANON-202510-001519</t>
        </is>
      </c>
      <c r="B317" s="3" t="inlineStr">
        <is>
          <t>2025-10-26</t>
        </is>
      </c>
      <c r="C317" s="3" t="inlineStr">
        <is>
          <t>Noor Okonkwo</t>
        </is>
      </c>
      <c r="D317" s="3" t="inlineStr">
        <is>
          <t>VT</t>
        </is>
      </c>
      <c r="E317" s="14" t="n">
        <v>645000</v>
      </c>
      <c r="F317" s="14" t="n">
        <v>13668.97</v>
      </c>
      <c r="G317" s="14" t="n">
        <v>1708.62</v>
      </c>
      <c r="H317" s="14" t="n">
        <v>1708.62</v>
      </c>
      <c r="I317" s="14">
        <f>SUM(K317:T317)</f>
        <v/>
      </c>
      <c r="J317" s="14">
        <f>F317-(G317+H317+I317)</f>
        <v/>
      </c>
      <c r="K317" s="14" t="n">
        <v>1025.17</v>
      </c>
      <c r="L317" s="14" t="n">
        <v>1025.17</v>
      </c>
      <c r="M317" s="14" t="n">
        <v>1025.17</v>
      </c>
      <c r="N317" s="14" t="n">
        <v>1025.17</v>
      </c>
      <c r="O317" s="14" t="n">
        <v>1025.17</v>
      </c>
      <c r="P317" s="14" t="n">
        <v>1025.17</v>
      </c>
      <c r="Q317" s="14" t="n">
        <v>1025.17</v>
      </c>
      <c r="R317" s="14" t="n">
        <v>1025.17</v>
      </c>
      <c r="S317" s="14" t="n">
        <v>1025.17</v>
      </c>
      <c r="T317" s="14" t="n">
        <v>1025.17</v>
      </c>
      <c r="U317" s="14" t="n">
        <v>350</v>
      </c>
      <c r="V317" s="14" t="n">
        <v>0</v>
      </c>
      <c r="W317" s="14">
        <f>U317+V317</f>
        <v/>
      </c>
    </row>
    <row r="318">
      <c r="A318" s="15" t="inlineStr">
        <is>
          <t>CANON-202510-001522</t>
        </is>
      </c>
      <c r="B318" s="15" t="inlineStr">
        <is>
          <t>2025-10-25</t>
        </is>
      </c>
      <c r="C318" s="15" t="inlineStr">
        <is>
          <t>Sunniva Harrington</t>
        </is>
      </c>
      <c r="D318" s="15" t="inlineStr">
        <is>
          <t>NE</t>
        </is>
      </c>
      <c r="E318" s="16" t="n">
        <v>545000</v>
      </c>
      <c r="F318" s="16" t="n">
        <v>8420.66</v>
      </c>
      <c r="G318" s="16" t="n">
        <v>1052.58</v>
      </c>
      <c r="H318" s="16" t="n">
        <v>1052.58</v>
      </c>
      <c r="I318" s="16">
        <f>SUM(K318:T318)</f>
        <v/>
      </c>
      <c r="J318" s="16">
        <f>F318-(G318+H318+I318)</f>
        <v/>
      </c>
      <c r="K318" s="16" t="n">
        <v>631.55</v>
      </c>
      <c r="L318" s="16" t="n">
        <v>631.55</v>
      </c>
      <c r="M318" s="16" t="n">
        <v>631.55</v>
      </c>
      <c r="N318" s="16" t="n">
        <v>631.55</v>
      </c>
      <c r="O318" s="16" t="n">
        <v>631.55</v>
      </c>
      <c r="P318" s="16" t="n">
        <v>631.55</v>
      </c>
      <c r="Q318" s="16" t="n">
        <v>631.55</v>
      </c>
      <c r="R318" s="16" t="n">
        <v>631.55</v>
      </c>
      <c r="S318" s="16" t="n">
        <v>631.55</v>
      </c>
      <c r="T318" s="16" t="n">
        <v>631.55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CANON-202510-001523</t>
        </is>
      </c>
      <c r="B319" s="3" t="inlineStr">
        <is>
          <t>2025-10-12</t>
        </is>
      </c>
      <c r="C319" s="3" t="inlineStr">
        <is>
          <t>Marisol Thistlewood</t>
        </is>
      </c>
      <c r="D319" s="3" t="inlineStr">
        <is>
          <t>ID</t>
        </is>
      </c>
      <c r="E319" s="14" t="n">
        <v>520000</v>
      </c>
      <c r="F319" s="14" t="n">
        <v>6118.49</v>
      </c>
      <c r="G319" s="14" t="n">
        <v>764.8099999999999</v>
      </c>
      <c r="H319" s="14" t="n">
        <v>764.8099999999999</v>
      </c>
      <c r="I319" s="14">
        <f>SUM(K319:T319)</f>
        <v/>
      </c>
      <c r="J319" s="14">
        <f>F319-(G319+H319+I319)</f>
        <v/>
      </c>
      <c r="K319" s="14" t="n">
        <v>458.89</v>
      </c>
      <c r="L319" s="14" t="n">
        <v>458.89</v>
      </c>
      <c r="M319" s="14" t="n">
        <v>458.89</v>
      </c>
      <c r="N319" s="14" t="n">
        <v>458.89</v>
      </c>
      <c r="O319" s="14" t="n">
        <v>458.89</v>
      </c>
      <c r="P319" s="14" t="n">
        <v>458.89</v>
      </c>
      <c r="Q319" s="14" t="n">
        <v>458.89</v>
      </c>
      <c r="R319" s="14" t="n">
        <v>458.89</v>
      </c>
      <c r="S319" s="14" t="n">
        <v>458.89</v>
      </c>
      <c r="T319" s="14" t="n">
        <v>458.89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CANON-202510-001525</t>
        </is>
      </c>
      <c r="B320" s="15" t="inlineStr">
        <is>
          <t>2025-10-01</t>
        </is>
      </c>
      <c r="C320" s="15" t="inlineStr">
        <is>
          <t>Mireille Kingsford</t>
        </is>
      </c>
      <c r="D320" s="15" t="inlineStr">
        <is>
          <t>WV</t>
        </is>
      </c>
      <c r="E320" s="16" t="n">
        <v>1300000</v>
      </c>
      <c r="F320" s="16" t="n">
        <v>17388.03</v>
      </c>
      <c r="G320" s="16" t="n">
        <v>2173.5</v>
      </c>
      <c r="H320" s="16" t="n">
        <v>2173.5</v>
      </c>
      <c r="I320" s="16">
        <f>SUM(K320:T320)</f>
        <v/>
      </c>
      <c r="J320" s="16">
        <f>F320-(G320+H320+I320)</f>
        <v/>
      </c>
      <c r="K320" s="16" t="n">
        <v>1304.1</v>
      </c>
      <c r="L320" s="16" t="n">
        <v>1304.1</v>
      </c>
      <c r="M320" s="16" t="n">
        <v>1304.1</v>
      </c>
      <c r="N320" s="16" t="n">
        <v>1304.1</v>
      </c>
      <c r="O320" s="16" t="n">
        <v>1304.1</v>
      </c>
      <c r="P320" s="16" t="n">
        <v>1304.1</v>
      </c>
      <c r="Q320" s="16" t="n">
        <v>1304.1</v>
      </c>
      <c r="R320" s="16" t="n">
        <v>1304.1</v>
      </c>
      <c r="S320" s="16" t="n">
        <v>1304.1</v>
      </c>
      <c r="T320" s="16" t="n">
        <v>1304.1</v>
      </c>
      <c r="U320" s="16" t="n">
        <v>350</v>
      </c>
      <c r="V320" s="16" t="n">
        <v>250</v>
      </c>
      <c r="W320" s="16">
        <f>U320+V320</f>
        <v/>
      </c>
    </row>
    <row r="321">
      <c r="A321" s="3" t="inlineStr">
        <is>
          <t>CANON-202510-001527</t>
        </is>
      </c>
      <c r="B321" s="3" t="inlineStr">
        <is>
          <t>2025-10-12</t>
        </is>
      </c>
      <c r="C321" s="3" t="inlineStr">
        <is>
          <t>Mireille Whitlock</t>
        </is>
      </c>
      <c r="D321" s="3" t="inlineStr">
        <is>
          <t>WA</t>
        </is>
      </c>
      <c r="E321" s="14" t="n">
        <v>700000</v>
      </c>
      <c r="F321" s="14" t="n">
        <v>9584.209999999999</v>
      </c>
      <c r="G321" s="14" t="n">
        <v>1198.03</v>
      </c>
      <c r="H321" s="14" t="n">
        <v>1198.03</v>
      </c>
      <c r="I321" s="14">
        <f>SUM(K321:T321)</f>
        <v/>
      </c>
      <c r="J321" s="14">
        <f>F321-(G321+H321+I321)</f>
        <v/>
      </c>
      <c r="K321" s="14" t="n">
        <v>718.8200000000001</v>
      </c>
      <c r="L321" s="14" t="n">
        <v>718.8200000000001</v>
      </c>
      <c r="M321" s="14" t="n">
        <v>718.8200000000001</v>
      </c>
      <c r="N321" s="14" t="n">
        <v>718.8200000000001</v>
      </c>
      <c r="O321" s="14" t="n">
        <v>718.8200000000001</v>
      </c>
      <c r="P321" s="14" t="n">
        <v>718.8200000000001</v>
      </c>
      <c r="Q321" s="14" t="n">
        <v>718.8200000000001</v>
      </c>
      <c r="R321" s="14" t="n">
        <v>718.8200000000001</v>
      </c>
      <c r="S321" s="14" t="n">
        <v>718.8200000000001</v>
      </c>
      <c r="T321" s="14" t="n">
        <v>718.8200000000001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CANON-202510-001528</t>
        </is>
      </c>
      <c r="B322" s="15" t="inlineStr">
        <is>
          <t>2025-10-03</t>
        </is>
      </c>
      <c r="C322" s="15" t="inlineStr">
        <is>
          <t>Aurelio Larsson</t>
        </is>
      </c>
      <c r="D322" s="15" t="inlineStr">
        <is>
          <t>ID</t>
        </is>
      </c>
      <c r="E322" s="16" t="n">
        <v>940000</v>
      </c>
      <c r="F322" s="16" t="n">
        <v>16165.14</v>
      </c>
      <c r="G322" s="16" t="n">
        <v>2020.64</v>
      </c>
      <c r="H322" s="16" t="n">
        <v>2020.64</v>
      </c>
      <c r="I322" s="16">
        <f>SUM(K322:T322)</f>
        <v/>
      </c>
      <c r="J322" s="16">
        <f>F322-(G322+H322+I322)</f>
        <v/>
      </c>
      <c r="K322" s="16" t="n">
        <v>1212.39</v>
      </c>
      <c r="L322" s="16" t="n">
        <v>1212.39</v>
      </c>
      <c r="M322" s="16" t="n">
        <v>1212.39</v>
      </c>
      <c r="N322" s="16" t="n">
        <v>1212.39</v>
      </c>
      <c r="O322" s="16" t="n">
        <v>1212.39</v>
      </c>
      <c r="P322" s="16" t="n">
        <v>1212.39</v>
      </c>
      <c r="Q322" s="16" t="n">
        <v>1212.39</v>
      </c>
      <c r="R322" s="16" t="n">
        <v>1212.39</v>
      </c>
      <c r="S322" s="16" t="n">
        <v>1212.39</v>
      </c>
      <c r="T322" s="16" t="n">
        <v>1212.39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CANON-202510-001529</t>
        </is>
      </c>
      <c r="B323" s="3" t="inlineStr">
        <is>
          <t>2025-10-30</t>
        </is>
      </c>
      <c r="C323" s="3" t="inlineStr">
        <is>
          <t>Aurelio Bellandi</t>
        </is>
      </c>
      <c r="D323" s="3" t="inlineStr">
        <is>
          <t>NJ</t>
        </is>
      </c>
      <c r="E323" s="14" t="n">
        <v>1415000</v>
      </c>
      <c r="F323" s="14" t="n">
        <v>8005.15</v>
      </c>
      <c r="G323" s="14" t="n">
        <v>1000.64</v>
      </c>
      <c r="H323" s="14" t="n">
        <v>1000.64</v>
      </c>
      <c r="I323" s="14">
        <f>SUM(K323:T323)</f>
        <v/>
      </c>
      <c r="J323" s="14">
        <f>F323-(G323+H323+I323)</f>
        <v/>
      </c>
      <c r="K323" s="14" t="n">
        <v>600.39</v>
      </c>
      <c r="L323" s="14" t="n">
        <v>600.39</v>
      </c>
      <c r="M323" s="14" t="n">
        <v>600.39</v>
      </c>
      <c r="N323" s="14" t="n">
        <v>600.39</v>
      </c>
      <c r="O323" s="14" t="n">
        <v>600.39</v>
      </c>
      <c r="P323" s="14" t="n">
        <v>600.39</v>
      </c>
      <c r="Q323" s="14" t="n">
        <v>600.39</v>
      </c>
      <c r="R323" s="14" t="n">
        <v>600.39</v>
      </c>
      <c r="S323" s="14" t="n">
        <v>600.39</v>
      </c>
      <c r="T323" s="14" t="n">
        <v>600.39</v>
      </c>
      <c r="U323" s="14" t="n">
        <v>350</v>
      </c>
      <c r="V323" s="14" t="n">
        <v>250</v>
      </c>
      <c r="W323" s="14">
        <f>U323+V323</f>
        <v/>
      </c>
    </row>
    <row r="324">
      <c r="A324" s="15" t="inlineStr">
        <is>
          <t>CANON-202510-001530</t>
        </is>
      </c>
      <c r="B324" s="15" t="inlineStr">
        <is>
          <t>2025-10-28</t>
        </is>
      </c>
      <c r="C324" s="15" t="inlineStr">
        <is>
          <t>Mireille Nakashima</t>
        </is>
      </c>
      <c r="D324" s="15" t="inlineStr">
        <is>
          <t>PA</t>
        </is>
      </c>
      <c r="E324" s="16" t="n">
        <v>1380000</v>
      </c>
      <c r="F324" s="16" t="n">
        <v>20186.54</v>
      </c>
      <c r="G324" s="16" t="n">
        <v>2523.32</v>
      </c>
      <c r="H324" s="16" t="n">
        <v>2523.32</v>
      </c>
      <c r="I324" s="16">
        <f>SUM(K324:T324)</f>
        <v/>
      </c>
      <c r="J324" s="16">
        <f>F324-(G324+H324+I324)</f>
        <v/>
      </c>
      <c r="K324" s="16" t="n">
        <v>1513.99</v>
      </c>
      <c r="L324" s="16" t="n">
        <v>1513.99</v>
      </c>
      <c r="M324" s="16" t="n">
        <v>1513.99</v>
      </c>
      <c r="N324" s="16" t="n">
        <v>1513.99</v>
      </c>
      <c r="O324" s="16" t="n">
        <v>1513.99</v>
      </c>
      <c r="P324" s="16" t="n">
        <v>1513.99</v>
      </c>
      <c r="Q324" s="16" t="n">
        <v>1513.99</v>
      </c>
      <c r="R324" s="16" t="n">
        <v>1513.99</v>
      </c>
      <c r="S324" s="16" t="n">
        <v>1513.99</v>
      </c>
      <c r="T324" s="16" t="n">
        <v>1513.99</v>
      </c>
      <c r="U324" s="16" t="n">
        <v>350</v>
      </c>
      <c r="V324" s="16" t="n">
        <v>250</v>
      </c>
      <c r="W324" s="16">
        <f>U324+V324</f>
        <v/>
      </c>
    </row>
    <row r="325">
      <c r="A325" s="3" t="inlineStr">
        <is>
          <t>CANON-202510-001531</t>
        </is>
      </c>
      <c r="B325" s="3" t="inlineStr">
        <is>
          <t>2025-10-11</t>
        </is>
      </c>
      <c r="C325" s="3" t="inlineStr">
        <is>
          <t>Lorenzo Thistlewood</t>
        </is>
      </c>
      <c r="D325" s="3" t="inlineStr">
        <is>
          <t>MN</t>
        </is>
      </c>
      <c r="E325" s="14" t="n">
        <v>710000</v>
      </c>
      <c r="F325" s="14" t="n">
        <v>16279.78</v>
      </c>
      <c r="G325" s="14" t="n">
        <v>2034.97</v>
      </c>
      <c r="H325" s="14" t="n">
        <v>2034.97</v>
      </c>
      <c r="I325" s="14">
        <f>SUM(K325:T325)</f>
        <v/>
      </c>
      <c r="J325" s="14">
        <f>F325-(G325+H325+I325)</f>
        <v/>
      </c>
      <c r="K325" s="14" t="n">
        <v>1220.98</v>
      </c>
      <c r="L325" s="14" t="n">
        <v>1220.98</v>
      </c>
      <c r="M325" s="14" t="n">
        <v>1220.98</v>
      </c>
      <c r="N325" s="14" t="n">
        <v>1220.98</v>
      </c>
      <c r="O325" s="14" t="n">
        <v>1220.98</v>
      </c>
      <c r="P325" s="14" t="n">
        <v>1220.98</v>
      </c>
      <c r="Q325" s="14" t="n">
        <v>1220.98</v>
      </c>
      <c r="R325" s="14" t="n">
        <v>1220.98</v>
      </c>
      <c r="S325" s="14" t="n">
        <v>1220.98</v>
      </c>
      <c r="T325" s="14" t="n">
        <v>1220.98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CANON-202510-001533</t>
        </is>
      </c>
      <c r="B326" s="15" t="inlineStr">
        <is>
          <t>2025-10-25</t>
        </is>
      </c>
      <c r="C326" s="15" t="inlineStr">
        <is>
          <t>Delphine Vasquez</t>
        </is>
      </c>
      <c r="D326" s="15" t="inlineStr">
        <is>
          <t>GA</t>
        </is>
      </c>
      <c r="E326" s="16" t="n">
        <v>380000</v>
      </c>
      <c r="F326" s="16" t="n">
        <v>6848.21</v>
      </c>
      <c r="G326" s="16" t="n">
        <v>856.03</v>
      </c>
      <c r="H326" s="16" t="n">
        <v>856.03</v>
      </c>
      <c r="I326" s="16">
        <f>SUM(K326:T326)</f>
        <v/>
      </c>
      <c r="J326" s="16">
        <f>F326-(G326+H326+I326)</f>
        <v/>
      </c>
      <c r="K326" s="16" t="n">
        <v>513.62</v>
      </c>
      <c r="L326" s="16" t="n">
        <v>513.62</v>
      </c>
      <c r="M326" s="16" t="n">
        <v>513.62</v>
      </c>
      <c r="N326" s="16" t="n">
        <v>513.62</v>
      </c>
      <c r="O326" s="16" t="n">
        <v>513.62</v>
      </c>
      <c r="P326" s="16" t="n">
        <v>513.62</v>
      </c>
      <c r="Q326" s="16" t="n">
        <v>513.62</v>
      </c>
      <c r="R326" s="16" t="n">
        <v>513.62</v>
      </c>
      <c r="S326" s="16" t="n">
        <v>513.62</v>
      </c>
      <c r="T326" s="16" t="n">
        <v>513.62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CANON-202510-001534</t>
        </is>
      </c>
      <c r="B327" s="3" t="inlineStr">
        <is>
          <t>2025-10-23</t>
        </is>
      </c>
      <c r="C327" s="3" t="inlineStr">
        <is>
          <t>Lorenzo Larsson</t>
        </is>
      </c>
      <c r="D327" s="3" t="inlineStr">
        <is>
          <t>MA</t>
        </is>
      </c>
      <c r="E327" s="14" t="n">
        <v>395000</v>
      </c>
      <c r="F327" s="14" t="n">
        <v>6771.13</v>
      </c>
      <c r="G327" s="14" t="n">
        <v>846.39</v>
      </c>
      <c r="H327" s="14" t="n">
        <v>846.39</v>
      </c>
      <c r="I327" s="14">
        <f>SUM(K327:T327)</f>
        <v/>
      </c>
      <c r="J327" s="14">
        <f>F327-(G327+H327+I327)</f>
        <v/>
      </c>
      <c r="K327" s="14" t="n">
        <v>507.83</v>
      </c>
      <c r="L327" s="14" t="n">
        <v>507.83</v>
      </c>
      <c r="M327" s="14" t="n">
        <v>507.83</v>
      </c>
      <c r="N327" s="14" t="n">
        <v>507.83</v>
      </c>
      <c r="O327" s="14" t="n">
        <v>507.83</v>
      </c>
      <c r="P327" s="14" t="n">
        <v>507.83</v>
      </c>
      <c r="Q327" s="14" t="n">
        <v>507.83</v>
      </c>
      <c r="R327" s="14" t="n">
        <v>507.83</v>
      </c>
      <c r="S327" s="14" t="n">
        <v>507.83</v>
      </c>
      <c r="T327" s="14" t="n">
        <v>507.83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CANON-202510-001535</t>
        </is>
      </c>
      <c r="B328" s="15" t="inlineStr">
        <is>
          <t>2025-10-03</t>
        </is>
      </c>
      <c r="C328" s="15" t="inlineStr">
        <is>
          <t>Priya Ashcombe</t>
        </is>
      </c>
      <c r="D328" s="15" t="inlineStr">
        <is>
          <t>MN</t>
        </is>
      </c>
      <c r="E328" s="16" t="n">
        <v>1705000</v>
      </c>
      <c r="F328" s="16" t="n">
        <v>22633.6</v>
      </c>
      <c r="G328" s="16" t="n">
        <v>2829.2</v>
      </c>
      <c r="H328" s="16" t="n">
        <v>2829.2</v>
      </c>
      <c r="I328" s="16">
        <f>SUM(K328:T328)</f>
        <v/>
      </c>
      <c r="J328" s="16">
        <f>F328-(G328+H328+I328)</f>
        <v/>
      </c>
      <c r="K328" s="16" t="n">
        <v>1697.52</v>
      </c>
      <c r="L328" s="16" t="n">
        <v>1697.52</v>
      </c>
      <c r="M328" s="16" t="n">
        <v>1697.52</v>
      </c>
      <c r="N328" s="16" t="n">
        <v>1697.52</v>
      </c>
      <c r="O328" s="16" t="n">
        <v>1697.52</v>
      </c>
      <c r="P328" s="16" t="n">
        <v>1697.52</v>
      </c>
      <c r="Q328" s="16" t="n">
        <v>1697.52</v>
      </c>
      <c r="R328" s="16" t="n">
        <v>1697.52</v>
      </c>
      <c r="S328" s="16" t="n">
        <v>1697.52</v>
      </c>
      <c r="T328" s="16" t="n">
        <v>1697.52</v>
      </c>
      <c r="U328" s="16" t="n">
        <v>350</v>
      </c>
      <c r="V328" s="16" t="n">
        <v>250</v>
      </c>
      <c r="W328" s="16">
        <f>U328+V328</f>
        <v/>
      </c>
    </row>
    <row r="329">
      <c r="A329" s="3" t="inlineStr">
        <is>
          <t>CANON-202510-001536</t>
        </is>
      </c>
      <c r="B329" s="3" t="inlineStr">
        <is>
          <t>2025-10-08</t>
        </is>
      </c>
      <c r="C329" s="3" t="inlineStr">
        <is>
          <t>Desmond Ashcombe</t>
        </is>
      </c>
      <c r="D329" s="3" t="inlineStr">
        <is>
          <t>WA</t>
        </is>
      </c>
      <c r="E329" s="14" t="n">
        <v>640000</v>
      </c>
      <c r="F329" s="14" t="n">
        <v>7302.26</v>
      </c>
      <c r="G329" s="14" t="n">
        <v>912.78</v>
      </c>
      <c r="H329" s="14" t="n">
        <v>912.78</v>
      </c>
      <c r="I329" s="14">
        <f>SUM(K329:T329)</f>
        <v/>
      </c>
      <c r="J329" s="14">
        <f>F329-(G329+H329+I329)</f>
        <v/>
      </c>
      <c r="K329" s="14" t="n">
        <v>547.67</v>
      </c>
      <c r="L329" s="14" t="n">
        <v>547.67</v>
      </c>
      <c r="M329" s="14" t="n">
        <v>547.67</v>
      </c>
      <c r="N329" s="14" t="n">
        <v>547.67</v>
      </c>
      <c r="O329" s="14" t="n">
        <v>547.67</v>
      </c>
      <c r="P329" s="14" t="n">
        <v>547.67</v>
      </c>
      <c r="Q329" s="14" t="n">
        <v>547.67</v>
      </c>
      <c r="R329" s="14" t="n">
        <v>547.67</v>
      </c>
      <c r="S329" s="14" t="n">
        <v>547.67</v>
      </c>
      <c r="T329" s="14" t="n">
        <v>547.67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CANON-202510-001537</t>
        </is>
      </c>
      <c r="B330" s="15" t="inlineStr">
        <is>
          <t>2025-10-31</t>
        </is>
      </c>
      <c r="C330" s="15" t="inlineStr">
        <is>
          <t>Thaddeus Pennington</t>
        </is>
      </c>
      <c r="D330" s="15" t="inlineStr">
        <is>
          <t>AL</t>
        </is>
      </c>
      <c r="E330" s="16" t="n">
        <v>805000</v>
      </c>
      <c r="F330" s="16" t="n">
        <v>7103.56</v>
      </c>
      <c r="G330" s="16" t="n">
        <v>887.95</v>
      </c>
      <c r="H330" s="16" t="n">
        <v>887.95</v>
      </c>
      <c r="I330" s="16">
        <f>SUM(K330:T330)</f>
        <v/>
      </c>
      <c r="J330" s="16">
        <f>F330-(G330+H330+I330)</f>
        <v/>
      </c>
      <c r="K330" s="16" t="n">
        <v>532.77</v>
      </c>
      <c r="L330" s="16" t="n">
        <v>532.77</v>
      </c>
      <c r="M330" s="16" t="n">
        <v>532.77</v>
      </c>
      <c r="N330" s="16" t="n">
        <v>532.77</v>
      </c>
      <c r="O330" s="16" t="n">
        <v>532.77</v>
      </c>
      <c r="P330" s="16" t="n">
        <v>532.77</v>
      </c>
      <c r="Q330" s="16" t="n">
        <v>532.77</v>
      </c>
      <c r="R330" s="16" t="n">
        <v>532.77</v>
      </c>
      <c r="S330" s="16" t="n">
        <v>532.77</v>
      </c>
      <c r="T330" s="16" t="n">
        <v>532.77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CANON-202510-001538</t>
        </is>
      </c>
      <c r="B331" s="3" t="inlineStr">
        <is>
          <t>2025-10-21</t>
        </is>
      </c>
      <c r="C331" s="3" t="inlineStr">
        <is>
          <t>Saoirse Pennington</t>
        </is>
      </c>
      <c r="D331" s="3" t="inlineStr">
        <is>
          <t>NY</t>
        </is>
      </c>
      <c r="E331" s="14" t="n">
        <v>280000</v>
      </c>
      <c r="F331" s="14" t="n">
        <v>4914.98</v>
      </c>
      <c r="G331" s="14" t="n">
        <v>614.37</v>
      </c>
      <c r="H331" s="14" t="n">
        <v>614.37</v>
      </c>
      <c r="I331" s="14">
        <f>SUM(K331:T331)</f>
        <v/>
      </c>
      <c r="J331" s="14">
        <f>F331-(G331+H331+I331)</f>
        <v/>
      </c>
      <c r="K331" s="14" t="n">
        <v>368.62</v>
      </c>
      <c r="L331" s="14" t="n">
        <v>368.62</v>
      </c>
      <c r="M331" s="14" t="n">
        <v>368.62</v>
      </c>
      <c r="N331" s="14" t="n">
        <v>368.62</v>
      </c>
      <c r="O331" s="14" t="n">
        <v>368.62</v>
      </c>
      <c r="P331" s="14" t="n">
        <v>368.62</v>
      </c>
      <c r="Q331" s="14" t="n">
        <v>368.62</v>
      </c>
      <c r="R331" s="14" t="n">
        <v>368.62</v>
      </c>
      <c r="S331" s="14" t="n">
        <v>368.62</v>
      </c>
      <c r="T331" s="14" t="n">
        <v>368.62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CANON-202510-001539</t>
        </is>
      </c>
      <c r="B332" s="15" t="inlineStr">
        <is>
          <t>2025-10-11</t>
        </is>
      </c>
      <c r="C332" s="15" t="inlineStr">
        <is>
          <t>Callum Vasquez</t>
        </is>
      </c>
      <c r="D332" s="15" t="inlineStr">
        <is>
          <t>OK</t>
        </is>
      </c>
      <c r="E332" s="16" t="n">
        <v>1715000</v>
      </c>
      <c r="F332" s="16" t="n">
        <v>31609.48</v>
      </c>
      <c r="G332" s="16" t="n">
        <v>3951.18</v>
      </c>
      <c r="H332" s="16" t="n">
        <v>3951.18</v>
      </c>
      <c r="I332" s="16">
        <f>SUM(K332:T332)</f>
        <v/>
      </c>
      <c r="J332" s="16">
        <f>F332-(G332+H332+I332)</f>
        <v/>
      </c>
      <c r="K332" s="16" t="n">
        <v>2370.71</v>
      </c>
      <c r="L332" s="16" t="n">
        <v>2370.71</v>
      </c>
      <c r="M332" s="16" t="n">
        <v>2370.71</v>
      </c>
      <c r="N332" s="16" t="n">
        <v>2370.71</v>
      </c>
      <c r="O332" s="16" t="n">
        <v>2370.71</v>
      </c>
      <c r="P332" s="16" t="n">
        <v>2370.71</v>
      </c>
      <c r="Q332" s="16" t="n">
        <v>2370.71</v>
      </c>
      <c r="R332" s="16" t="n">
        <v>2370.71</v>
      </c>
      <c r="S332" s="16" t="n">
        <v>2370.71</v>
      </c>
      <c r="T332" s="16" t="n">
        <v>2370.71</v>
      </c>
      <c r="U332" s="16" t="n">
        <v>350</v>
      </c>
      <c r="V332" s="16" t="n">
        <v>250</v>
      </c>
      <c r="W332" s="16">
        <f>U332+V332</f>
        <v/>
      </c>
    </row>
    <row r="333">
      <c r="A333" s="3" t="inlineStr">
        <is>
          <t>CANON-202510-001540</t>
        </is>
      </c>
      <c r="B333" s="3" t="inlineStr">
        <is>
          <t>2025-10-11</t>
        </is>
      </c>
      <c r="C333" s="3" t="inlineStr">
        <is>
          <t>Beatrix Nakashima</t>
        </is>
      </c>
      <c r="D333" s="3" t="inlineStr">
        <is>
          <t>OR</t>
        </is>
      </c>
      <c r="E333" s="14" t="n">
        <v>440000</v>
      </c>
      <c r="F333" s="14" t="n">
        <v>6818.44</v>
      </c>
      <c r="G333" s="14" t="n">
        <v>852.3</v>
      </c>
      <c r="H333" s="14" t="n">
        <v>852.3</v>
      </c>
      <c r="I333" s="14">
        <f>SUM(K333:T333)</f>
        <v/>
      </c>
      <c r="J333" s="14">
        <f>F333-(G333+H333+I333)</f>
        <v/>
      </c>
      <c r="K333" s="14" t="n">
        <v>511.38</v>
      </c>
      <c r="L333" s="14" t="n">
        <v>511.38</v>
      </c>
      <c r="M333" s="14" t="n">
        <v>511.38</v>
      </c>
      <c r="N333" s="14" t="n">
        <v>511.38</v>
      </c>
      <c r="O333" s="14" t="n">
        <v>511.38</v>
      </c>
      <c r="P333" s="14" t="n">
        <v>511.38</v>
      </c>
      <c r="Q333" s="14" t="n">
        <v>511.38</v>
      </c>
      <c r="R333" s="14" t="n">
        <v>511.38</v>
      </c>
      <c r="S333" s="14" t="n">
        <v>511.38</v>
      </c>
      <c r="T333" s="14" t="n">
        <v>511.38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CANON-202510-001541</t>
        </is>
      </c>
      <c r="B334" s="15" t="inlineStr">
        <is>
          <t>2025-10-23</t>
        </is>
      </c>
      <c r="C334" s="15" t="inlineStr">
        <is>
          <t>Fitzgerald Ashcombe</t>
        </is>
      </c>
      <c r="D334" s="15" t="inlineStr">
        <is>
          <t>PA</t>
        </is>
      </c>
      <c r="E334" s="16" t="n">
        <v>975000</v>
      </c>
      <c r="F334" s="16" t="n">
        <v>16936.4</v>
      </c>
      <c r="G334" s="16" t="n">
        <v>2117.05</v>
      </c>
      <c r="H334" s="16" t="n">
        <v>2117.05</v>
      </c>
      <c r="I334" s="16">
        <f>SUM(K334:T334)</f>
        <v/>
      </c>
      <c r="J334" s="16">
        <f>F334-(G334+H334+I334)</f>
        <v/>
      </c>
      <c r="K334" s="16" t="n">
        <v>1270.23</v>
      </c>
      <c r="L334" s="16" t="n">
        <v>1270.23</v>
      </c>
      <c r="M334" s="16" t="n">
        <v>1270.23</v>
      </c>
      <c r="N334" s="16" t="n">
        <v>1270.23</v>
      </c>
      <c r="O334" s="16" t="n">
        <v>1270.23</v>
      </c>
      <c r="P334" s="16" t="n">
        <v>1270.23</v>
      </c>
      <c r="Q334" s="16" t="n">
        <v>1270.23</v>
      </c>
      <c r="R334" s="16" t="n">
        <v>1270.23</v>
      </c>
      <c r="S334" s="16" t="n">
        <v>1270.23</v>
      </c>
      <c r="T334" s="16" t="n">
        <v>1270.23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CANON-202510-001542</t>
        </is>
      </c>
      <c r="B335" s="3" t="inlineStr">
        <is>
          <t>2025-10-07</t>
        </is>
      </c>
      <c r="C335" s="3" t="inlineStr">
        <is>
          <t>Horace Pennington</t>
        </is>
      </c>
      <c r="D335" s="3" t="inlineStr">
        <is>
          <t>KS</t>
        </is>
      </c>
      <c r="E335" s="14" t="n">
        <v>475000</v>
      </c>
      <c r="F335" s="14" t="n">
        <v>6318.58</v>
      </c>
      <c r="G335" s="14" t="n">
        <v>789.8200000000001</v>
      </c>
      <c r="H335" s="14" t="n">
        <v>789.8200000000001</v>
      </c>
      <c r="I335" s="14">
        <f>SUM(K335:T335)</f>
        <v/>
      </c>
      <c r="J335" s="14">
        <f>F335-(G335+H335+I335)</f>
        <v/>
      </c>
      <c r="K335" s="14" t="n">
        <v>473.89</v>
      </c>
      <c r="L335" s="14" t="n">
        <v>473.89</v>
      </c>
      <c r="M335" s="14" t="n">
        <v>473.89</v>
      </c>
      <c r="N335" s="14" t="n">
        <v>473.89</v>
      </c>
      <c r="O335" s="14" t="n">
        <v>473.89</v>
      </c>
      <c r="P335" s="14" t="n">
        <v>473.89</v>
      </c>
      <c r="Q335" s="14" t="n">
        <v>473.89</v>
      </c>
      <c r="R335" s="14" t="n">
        <v>473.89</v>
      </c>
      <c r="S335" s="14" t="n">
        <v>473.89</v>
      </c>
      <c r="T335" s="14" t="n">
        <v>473.89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CANON-202510-001544</t>
        </is>
      </c>
      <c r="B336" s="15" t="inlineStr">
        <is>
          <t>2025-10-03</t>
        </is>
      </c>
      <c r="C336" s="15" t="inlineStr">
        <is>
          <t>Horace Bellandi</t>
        </is>
      </c>
      <c r="D336" s="15" t="inlineStr">
        <is>
          <t>PA</t>
        </is>
      </c>
      <c r="E336" s="16" t="n">
        <v>415000</v>
      </c>
      <c r="F336" s="16" t="n">
        <v>5691.18</v>
      </c>
      <c r="G336" s="16" t="n">
        <v>711.4</v>
      </c>
      <c r="H336" s="16" t="n">
        <v>711.4</v>
      </c>
      <c r="I336" s="16">
        <f>SUM(K336:T336)</f>
        <v/>
      </c>
      <c r="J336" s="16">
        <f>F336-(G336+H336+I336)</f>
        <v/>
      </c>
      <c r="K336" s="16" t="n">
        <v>426.84</v>
      </c>
      <c r="L336" s="16" t="n">
        <v>426.84</v>
      </c>
      <c r="M336" s="16" t="n">
        <v>426.84</v>
      </c>
      <c r="N336" s="16" t="n">
        <v>426.84</v>
      </c>
      <c r="O336" s="16" t="n">
        <v>426.84</v>
      </c>
      <c r="P336" s="16" t="n">
        <v>426.84</v>
      </c>
      <c r="Q336" s="16" t="n">
        <v>426.84</v>
      </c>
      <c r="R336" s="16" t="n">
        <v>426.84</v>
      </c>
      <c r="S336" s="16" t="n">
        <v>426.84</v>
      </c>
      <c r="T336" s="16" t="n">
        <v>426.84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CANON-202510-001545</t>
        </is>
      </c>
      <c r="B337" s="3" t="inlineStr">
        <is>
          <t>2025-10-03</t>
        </is>
      </c>
      <c r="C337" s="3" t="inlineStr">
        <is>
          <t>Ingrid Pennington</t>
        </is>
      </c>
      <c r="D337" s="3" t="inlineStr">
        <is>
          <t>CA</t>
        </is>
      </c>
      <c r="E337" s="14" t="n">
        <v>485000</v>
      </c>
      <c r="F337" s="14" t="n">
        <v>8979.030000000001</v>
      </c>
      <c r="G337" s="14" t="n">
        <v>1122.38</v>
      </c>
      <c r="H337" s="14" t="n">
        <v>1122.38</v>
      </c>
      <c r="I337" s="14">
        <f>SUM(K337:T337)</f>
        <v/>
      </c>
      <c r="J337" s="14">
        <f>F337-(G337+H337+I337)</f>
        <v/>
      </c>
      <c r="K337" s="14" t="n">
        <v>673.4299999999999</v>
      </c>
      <c r="L337" s="14" t="n">
        <v>673.4299999999999</v>
      </c>
      <c r="M337" s="14" t="n">
        <v>673.4299999999999</v>
      </c>
      <c r="N337" s="14" t="n">
        <v>673.4299999999999</v>
      </c>
      <c r="O337" s="14" t="n">
        <v>673.4299999999999</v>
      </c>
      <c r="P337" s="14" t="n">
        <v>673.4299999999999</v>
      </c>
      <c r="Q337" s="14" t="n">
        <v>673.4299999999999</v>
      </c>
      <c r="R337" s="14" t="n">
        <v>673.4299999999999</v>
      </c>
      <c r="S337" s="14" t="n">
        <v>673.4299999999999</v>
      </c>
      <c r="T337" s="14" t="n">
        <v>673.4299999999999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CANON-202510-001546</t>
        </is>
      </c>
      <c r="B338" s="15" t="inlineStr">
        <is>
          <t>2025-10-14</t>
        </is>
      </c>
      <c r="C338" s="15" t="inlineStr">
        <is>
          <t>Emiliano Ashcombe</t>
        </is>
      </c>
      <c r="D338" s="15" t="inlineStr">
        <is>
          <t>SC</t>
        </is>
      </c>
      <c r="E338" s="16" t="n">
        <v>770000</v>
      </c>
      <c r="F338" s="16" t="n">
        <v>11347.98</v>
      </c>
      <c r="G338" s="16" t="n">
        <v>1418.5</v>
      </c>
      <c r="H338" s="16" t="n">
        <v>1418.5</v>
      </c>
      <c r="I338" s="16">
        <f>SUM(K338:T338)</f>
        <v/>
      </c>
      <c r="J338" s="16">
        <f>F338-(G338+H338+I338)</f>
        <v/>
      </c>
      <c r="K338" s="16" t="n">
        <v>851.1</v>
      </c>
      <c r="L338" s="16" t="n">
        <v>851.1</v>
      </c>
      <c r="M338" s="16" t="n">
        <v>851.1</v>
      </c>
      <c r="N338" s="16" t="n">
        <v>851.1</v>
      </c>
      <c r="O338" s="16" t="n">
        <v>851.1</v>
      </c>
      <c r="P338" s="16" t="n">
        <v>851.1</v>
      </c>
      <c r="Q338" s="16" t="n">
        <v>851.1</v>
      </c>
      <c r="R338" s="16" t="n">
        <v>851.1</v>
      </c>
      <c r="S338" s="16" t="n">
        <v>851.1</v>
      </c>
      <c r="T338" s="16" t="n">
        <v>851.1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CANON-202510-001547</t>
        </is>
      </c>
      <c r="B339" s="3" t="inlineStr">
        <is>
          <t>2025-10-11</t>
        </is>
      </c>
      <c r="C339" s="3" t="inlineStr">
        <is>
          <t>Callum Larsson</t>
        </is>
      </c>
      <c r="D339" s="3" t="inlineStr">
        <is>
          <t>MD</t>
        </is>
      </c>
      <c r="E339" s="14" t="n">
        <v>645000</v>
      </c>
      <c r="F339" s="14" t="n">
        <v>7282.65</v>
      </c>
      <c r="G339" s="14" t="n">
        <v>910.33</v>
      </c>
      <c r="H339" s="14" t="n">
        <v>910.33</v>
      </c>
      <c r="I339" s="14">
        <f>SUM(K339:T339)</f>
        <v/>
      </c>
      <c r="J339" s="14">
        <f>F339-(G339+H339+I339)</f>
        <v/>
      </c>
      <c r="K339" s="14" t="n">
        <v>546.2</v>
      </c>
      <c r="L339" s="14" t="n">
        <v>546.2</v>
      </c>
      <c r="M339" s="14" t="n">
        <v>546.2</v>
      </c>
      <c r="N339" s="14" t="n">
        <v>546.2</v>
      </c>
      <c r="O339" s="14" t="n">
        <v>546.2</v>
      </c>
      <c r="P339" s="14" t="n">
        <v>546.2</v>
      </c>
      <c r="Q339" s="14" t="n">
        <v>546.2</v>
      </c>
      <c r="R339" s="14" t="n">
        <v>546.2</v>
      </c>
      <c r="S339" s="14" t="n">
        <v>546.2</v>
      </c>
      <c r="T339" s="14" t="n">
        <v>546.2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CANON-202510-001548</t>
        </is>
      </c>
      <c r="B340" s="15" t="inlineStr">
        <is>
          <t>2025-10-19</t>
        </is>
      </c>
      <c r="C340" s="15" t="inlineStr">
        <is>
          <t>Aurelio Harrington</t>
        </is>
      </c>
      <c r="D340" s="15" t="inlineStr">
        <is>
          <t>OR</t>
        </is>
      </c>
      <c r="E340" s="16" t="n">
        <v>710000</v>
      </c>
      <c r="F340" s="16" t="n">
        <v>9535.49</v>
      </c>
      <c r="G340" s="16" t="n">
        <v>1191.94</v>
      </c>
      <c r="H340" s="16" t="n">
        <v>1191.94</v>
      </c>
      <c r="I340" s="16">
        <f>SUM(K340:T340)</f>
        <v/>
      </c>
      <c r="J340" s="16">
        <f>F340-(G340+H340+I340)</f>
        <v/>
      </c>
      <c r="K340" s="16" t="n">
        <v>715.16</v>
      </c>
      <c r="L340" s="16" t="n">
        <v>715.16</v>
      </c>
      <c r="M340" s="16" t="n">
        <v>715.16</v>
      </c>
      <c r="N340" s="16" t="n">
        <v>715.16</v>
      </c>
      <c r="O340" s="16" t="n">
        <v>715.16</v>
      </c>
      <c r="P340" s="16" t="n">
        <v>715.16</v>
      </c>
      <c r="Q340" s="16" t="n">
        <v>715.16</v>
      </c>
      <c r="R340" s="16" t="n">
        <v>715.16</v>
      </c>
      <c r="S340" s="16" t="n">
        <v>715.16</v>
      </c>
      <c r="T340" s="16" t="n">
        <v>715.16</v>
      </c>
      <c r="U340" s="16" t="n">
        <v>350</v>
      </c>
      <c r="V340" s="16" t="n">
        <v>0</v>
      </c>
      <c r="W340" s="16">
        <f>U340+V340</f>
        <v/>
      </c>
    </row>
    <row r="341">
      <c r="A341" s="3" t="inlineStr">
        <is>
          <t>CANON-202510-001549</t>
        </is>
      </c>
      <c r="B341" s="3" t="inlineStr">
        <is>
          <t>2025-10-27</t>
        </is>
      </c>
      <c r="C341" s="3" t="inlineStr">
        <is>
          <t>Wilhelmina Okonkwo</t>
        </is>
      </c>
      <c r="D341" s="3" t="inlineStr">
        <is>
          <t>ID</t>
        </is>
      </c>
      <c r="E341" s="14" t="n">
        <v>1000000</v>
      </c>
      <c r="F341" s="14" t="n">
        <v>6878.78</v>
      </c>
      <c r="G341" s="14" t="n">
        <v>859.85</v>
      </c>
      <c r="H341" s="14" t="n">
        <v>859.85</v>
      </c>
      <c r="I341" s="14">
        <f>SUM(K341:T341)</f>
        <v/>
      </c>
      <c r="J341" s="14">
        <f>F341-(G341+H341+I341)</f>
        <v/>
      </c>
      <c r="K341" s="14" t="n">
        <v>515.91</v>
      </c>
      <c r="L341" s="14" t="n">
        <v>515.91</v>
      </c>
      <c r="M341" s="14" t="n">
        <v>515.91</v>
      </c>
      <c r="N341" s="14" t="n">
        <v>515.91</v>
      </c>
      <c r="O341" s="14" t="n">
        <v>515.91</v>
      </c>
      <c r="P341" s="14" t="n">
        <v>515.91</v>
      </c>
      <c r="Q341" s="14" t="n">
        <v>515.91</v>
      </c>
      <c r="R341" s="14" t="n">
        <v>515.91</v>
      </c>
      <c r="S341" s="14" t="n">
        <v>515.91</v>
      </c>
      <c r="T341" s="14" t="n">
        <v>515.91</v>
      </c>
      <c r="U341" s="14" t="n">
        <v>350</v>
      </c>
      <c r="V341" s="14" t="n">
        <v>250</v>
      </c>
      <c r="W341" s="14">
        <f>U341+V341</f>
        <v/>
      </c>
    </row>
    <row r="342">
      <c r="A342" s="15" t="inlineStr">
        <is>
          <t>CANON-202510-001550</t>
        </is>
      </c>
      <c r="B342" s="15" t="inlineStr">
        <is>
          <t>2025-10-22</t>
        </is>
      </c>
      <c r="C342" s="15" t="inlineStr">
        <is>
          <t>Cassius Delacroix</t>
        </is>
      </c>
      <c r="D342" s="15" t="inlineStr">
        <is>
          <t>TX</t>
        </is>
      </c>
      <c r="E342" s="16" t="n">
        <v>640000</v>
      </c>
      <c r="F342" s="16" t="n">
        <v>8747.5</v>
      </c>
      <c r="G342" s="16" t="n">
        <v>1093.44</v>
      </c>
      <c r="H342" s="16" t="n">
        <v>1093.44</v>
      </c>
      <c r="I342" s="16">
        <f>SUM(K342:T342)</f>
        <v/>
      </c>
      <c r="J342" s="16">
        <f>F342-(G342+H342+I342)</f>
        <v/>
      </c>
      <c r="K342" s="16" t="n">
        <v>656.0599999999999</v>
      </c>
      <c r="L342" s="16" t="n">
        <v>656.0599999999999</v>
      </c>
      <c r="M342" s="16" t="n">
        <v>656.0599999999999</v>
      </c>
      <c r="N342" s="16" t="n">
        <v>656.0599999999999</v>
      </c>
      <c r="O342" s="16" t="n">
        <v>656.0599999999999</v>
      </c>
      <c r="P342" s="16" t="n">
        <v>656.0599999999999</v>
      </c>
      <c r="Q342" s="16" t="n">
        <v>656.0599999999999</v>
      </c>
      <c r="R342" s="16" t="n">
        <v>656.0599999999999</v>
      </c>
      <c r="S342" s="16" t="n">
        <v>656.0599999999999</v>
      </c>
      <c r="T342" s="16" t="n">
        <v>656.0599999999999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CANON-202510-001551</t>
        </is>
      </c>
      <c r="B343" s="3" t="inlineStr">
        <is>
          <t>2025-10-18</t>
        </is>
      </c>
      <c r="C343" s="3" t="inlineStr">
        <is>
          <t>Mireille Larsson</t>
        </is>
      </c>
      <c r="D343" s="3" t="inlineStr">
        <is>
          <t>NY</t>
        </is>
      </c>
      <c r="E343" s="14" t="n">
        <v>545000</v>
      </c>
      <c r="F343" s="14" t="n">
        <v>8291.110000000001</v>
      </c>
      <c r="G343" s="14" t="n">
        <v>1036.39</v>
      </c>
      <c r="H343" s="14" t="n">
        <v>1036.39</v>
      </c>
      <c r="I343" s="14">
        <f>SUM(K343:T343)</f>
        <v/>
      </c>
      <c r="J343" s="14">
        <f>F343-(G343+H343+I343)</f>
        <v/>
      </c>
      <c r="K343" s="14" t="n">
        <v>621.83</v>
      </c>
      <c r="L343" s="14" t="n">
        <v>621.83</v>
      </c>
      <c r="M343" s="14" t="n">
        <v>621.83</v>
      </c>
      <c r="N343" s="14" t="n">
        <v>621.83</v>
      </c>
      <c r="O343" s="14" t="n">
        <v>621.83</v>
      </c>
      <c r="P343" s="14" t="n">
        <v>621.83</v>
      </c>
      <c r="Q343" s="14" t="n">
        <v>621.83</v>
      </c>
      <c r="R343" s="14" t="n">
        <v>621.83</v>
      </c>
      <c r="S343" s="14" t="n">
        <v>621.83</v>
      </c>
      <c r="T343" s="14" t="n">
        <v>621.83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CANON-202510-001552</t>
        </is>
      </c>
      <c r="B344" s="15" t="inlineStr">
        <is>
          <t>2025-10-01</t>
        </is>
      </c>
      <c r="C344" s="15" t="inlineStr">
        <is>
          <t>Fitzgerald Ashcombe</t>
        </is>
      </c>
      <c r="D344" s="15" t="inlineStr">
        <is>
          <t>CA</t>
        </is>
      </c>
      <c r="E344" s="16" t="n">
        <v>810000</v>
      </c>
      <c r="F344" s="16" t="n">
        <v>12996.45</v>
      </c>
      <c r="G344" s="16" t="n">
        <v>1624.56</v>
      </c>
      <c r="H344" s="16" t="n">
        <v>1624.56</v>
      </c>
      <c r="I344" s="16">
        <f>SUM(K344:T344)</f>
        <v/>
      </c>
      <c r="J344" s="16">
        <f>F344-(G344+H344+I344)</f>
        <v/>
      </c>
      <c r="K344" s="16" t="n">
        <v>974.73</v>
      </c>
      <c r="L344" s="16" t="n">
        <v>974.73</v>
      </c>
      <c r="M344" s="16" t="n">
        <v>974.73</v>
      </c>
      <c r="N344" s="16" t="n">
        <v>974.73</v>
      </c>
      <c r="O344" s="16" t="n">
        <v>974.73</v>
      </c>
      <c r="P344" s="16" t="n">
        <v>974.73</v>
      </c>
      <c r="Q344" s="16" t="n">
        <v>974.73</v>
      </c>
      <c r="R344" s="16" t="n">
        <v>974.73</v>
      </c>
      <c r="S344" s="16" t="n">
        <v>974.73</v>
      </c>
      <c r="T344" s="16" t="n">
        <v>974.73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CANON-202510-001553</t>
        </is>
      </c>
      <c r="B345" s="3" t="inlineStr">
        <is>
          <t>2025-10-03</t>
        </is>
      </c>
      <c r="C345" s="3" t="inlineStr">
        <is>
          <t>Noor Fairweather</t>
        </is>
      </c>
      <c r="D345" s="3" t="inlineStr">
        <is>
          <t>NE</t>
        </is>
      </c>
      <c r="E345" s="14" t="n">
        <v>695000</v>
      </c>
      <c r="F345" s="14" t="n">
        <v>15694.39</v>
      </c>
      <c r="G345" s="14" t="n">
        <v>1961.8</v>
      </c>
      <c r="H345" s="14" t="n">
        <v>1961.8</v>
      </c>
      <c r="I345" s="14">
        <f>SUM(K345:T345)</f>
        <v/>
      </c>
      <c r="J345" s="14">
        <f>F345-(G345+H345+I345)</f>
        <v/>
      </c>
      <c r="K345" s="14" t="n">
        <v>1177.08</v>
      </c>
      <c r="L345" s="14" t="n">
        <v>1177.08</v>
      </c>
      <c r="M345" s="14" t="n">
        <v>1177.08</v>
      </c>
      <c r="N345" s="14" t="n">
        <v>1177.08</v>
      </c>
      <c r="O345" s="14" t="n">
        <v>1177.08</v>
      </c>
      <c r="P345" s="14" t="n">
        <v>1177.08</v>
      </c>
      <c r="Q345" s="14" t="n">
        <v>1177.08</v>
      </c>
      <c r="R345" s="14" t="n">
        <v>1177.08</v>
      </c>
      <c r="S345" s="14" t="n">
        <v>1177.08</v>
      </c>
      <c r="T345" s="14" t="n">
        <v>1177.08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CANON-202510-001555</t>
        </is>
      </c>
      <c r="B346" s="15" t="inlineStr">
        <is>
          <t>2025-10-10</t>
        </is>
      </c>
      <c r="C346" s="15" t="inlineStr">
        <is>
          <t>Lorenzo Merriweather</t>
        </is>
      </c>
      <c r="D346" s="15" t="inlineStr">
        <is>
          <t>OH</t>
        </is>
      </c>
      <c r="E346" s="16" t="n">
        <v>540000</v>
      </c>
      <c r="F346" s="16" t="n">
        <v>8921.02</v>
      </c>
      <c r="G346" s="16" t="n">
        <v>1115.13</v>
      </c>
      <c r="H346" s="16" t="n">
        <v>1115.13</v>
      </c>
      <c r="I346" s="16">
        <f>SUM(K346:T346)</f>
        <v/>
      </c>
      <c r="J346" s="16">
        <f>F346-(G346+H346+I346)</f>
        <v/>
      </c>
      <c r="K346" s="16" t="n">
        <v>669.08</v>
      </c>
      <c r="L346" s="16" t="n">
        <v>669.08</v>
      </c>
      <c r="M346" s="16" t="n">
        <v>669.08</v>
      </c>
      <c r="N346" s="16" t="n">
        <v>669.08</v>
      </c>
      <c r="O346" s="16" t="n">
        <v>669.08</v>
      </c>
      <c r="P346" s="16" t="n">
        <v>669.08</v>
      </c>
      <c r="Q346" s="16" t="n">
        <v>669.08</v>
      </c>
      <c r="R346" s="16" t="n">
        <v>669.08</v>
      </c>
      <c r="S346" s="16" t="n">
        <v>669.08</v>
      </c>
      <c r="T346" s="16" t="n">
        <v>669.08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CANON-202510-001556</t>
        </is>
      </c>
      <c r="B347" s="3" t="inlineStr">
        <is>
          <t>2025-10-25</t>
        </is>
      </c>
      <c r="C347" s="3" t="inlineStr">
        <is>
          <t>Sunniva Montoya</t>
        </is>
      </c>
      <c r="D347" s="3" t="inlineStr">
        <is>
          <t>NY</t>
        </is>
      </c>
      <c r="E347" s="14" t="n">
        <v>350000</v>
      </c>
      <c r="F347" s="14" t="n">
        <v>6143.73</v>
      </c>
      <c r="G347" s="14" t="n">
        <v>767.97</v>
      </c>
      <c r="H347" s="14" t="n">
        <v>767.97</v>
      </c>
      <c r="I347" s="14">
        <f>SUM(K347:T347)</f>
        <v/>
      </c>
      <c r="J347" s="14">
        <f>F347-(G347+H347+I347)</f>
        <v/>
      </c>
      <c r="K347" s="14" t="n">
        <v>460.78</v>
      </c>
      <c r="L347" s="14" t="n">
        <v>460.78</v>
      </c>
      <c r="M347" s="14" t="n">
        <v>460.78</v>
      </c>
      <c r="N347" s="14" t="n">
        <v>460.78</v>
      </c>
      <c r="O347" s="14" t="n">
        <v>460.78</v>
      </c>
      <c r="P347" s="14" t="n">
        <v>460.78</v>
      </c>
      <c r="Q347" s="14" t="n">
        <v>460.78</v>
      </c>
      <c r="R347" s="14" t="n">
        <v>460.78</v>
      </c>
      <c r="S347" s="14" t="n">
        <v>460.78</v>
      </c>
      <c r="T347" s="14" t="n">
        <v>460.78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CANON-202510-001557</t>
        </is>
      </c>
      <c r="B348" s="15" t="inlineStr">
        <is>
          <t>2025-10-29</t>
        </is>
      </c>
      <c r="C348" s="15" t="inlineStr">
        <is>
          <t>Thaddeus Pennington</t>
        </is>
      </c>
      <c r="D348" s="15" t="inlineStr">
        <is>
          <t>FL</t>
        </is>
      </c>
      <c r="E348" s="16" t="n">
        <v>580000</v>
      </c>
      <c r="F348" s="16" t="n">
        <v>11746.37</v>
      </c>
      <c r="G348" s="16" t="n">
        <v>1468.3</v>
      </c>
      <c r="H348" s="16" t="n">
        <v>1468.3</v>
      </c>
      <c r="I348" s="16">
        <f>SUM(K348:T348)</f>
        <v/>
      </c>
      <c r="J348" s="16">
        <f>F348-(G348+H348+I348)</f>
        <v/>
      </c>
      <c r="K348" s="16" t="n">
        <v>880.98</v>
      </c>
      <c r="L348" s="16" t="n">
        <v>880.98</v>
      </c>
      <c r="M348" s="16" t="n">
        <v>880.98</v>
      </c>
      <c r="N348" s="16" t="n">
        <v>880.98</v>
      </c>
      <c r="O348" s="16" t="n">
        <v>880.98</v>
      </c>
      <c r="P348" s="16" t="n">
        <v>880.98</v>
      </c>
      <c r="Q348" s="16" t="n">
        <v>880.98</v>
      </c>
      <c r="R348" s="16" t="n">
        <v>880.98</v>
      </c>
      <c r="S348" s="16" t="n">
        <v>880.98</v>
      </c>
      <c r="T348" s="16" t="n">
        <v>880.98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CANON-202510-001558</t>
        </is>
      </c>
      <c r="B349" s="3" t="inlineStr">
        <is>
          <t>2025-10-28</t>
        </is>
      </c>
      <c r="C349" s="3" t="inlineStr">
        <is>
          <t>Callum Fairweather</t>
        </is>
      </c>
      <c r="D349" s="3" t="inlineStr">
        <is>
          <t>CA</t>
        </is>
      </c>
      <c r="E349" s="14" t="n">
        <v>295000</v>
      </c>
      <c r="F349" s="14" t="n">
        <v>5461.47</v>
      </c>
      <c r="G349" s="14" t="n">
        <v>682.6799999999999</v>
      </c>
      <c r="H349" s="14" t="n">
        <v>682.6799999999999</v>
      </c>
      <c r="I349" s="14">
        <f>SUM(K349:T349)</f>
        <v/>
      </c>
      <c r="J349" s="14">
        <f>F349-(G349+H349+I349)</f>
        <v/>
      </c>
      <c r="K349" s="14" t="n">
        <v>409.61</v>
      </c>
      <c r="L349" s="14" t="n">
        <v>409.61</v>
      </c>
      <c r="M349" s="14" t="n">
        <v>409.61</v>
      </c>
      <c r="N349" s="14" t="n">
        <v>409.61</v>
      </c>
      <c r="O349" s="14" t="n">
        <v>409.61</v>
      </c>
      <c r="P349" s="14" t="n">
        <v>409.61</v>
      </c>
      <c r="Q349" s="14" t="n">
        <v>409.61</v>
      </c>
      <c r="R349" s="14" t="n">
        <v>409.61</v>
      </c>
      <c r="S349" s="14" t="n">
        <v>409.61</v>
      </c>
      <c r="T349" s="14" t="n">
        <v>409.61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CANON-202510-001559</t>
        </is>
      </c>
      <c r="B350" s="15" t="inlineStr">
        <is>
          <t>2025-10-13</t>
        </is>
      </c>
      <c r="C350" s="15" t="inlineStr">
        <is>
          <t>Saoirse Merriweather</t>
        </is>
      </c>
      <c r="D350" s="15" t="inlineStr">
        <is>
          <t>NY</t>
        </is>
      </c>
      <c r="E350" s="16" t="n">
        <v>275000</v>
      </c>
      <c r="F350" s="16" t="n">
        <v>4827.21</v>
      </c>
      <c r="G350" s="16" t="n">
        <v>603.4</v>
      </c>
      <c r="H350" s="16" t="n">
        <v>603.4</v>
      </c>
      <c r="I350" s="16">
        <f>SUM(K350:T350)</f>
        <v/>
      </c>
      <c r="J350" s="16">
        <f>F350-(G350+H350+I350)</f>
        <v/>
      </c>
      <c r="K350" s="16" t="n">
        <v>362.04</v>
      </c>
      <c r="L350" s="16" t="n">
        <v>362.04</v>
      </c>
      <c r="M350" s="16" t="n">
        <v>362.04</v>
      </c>
      <c r="N350" s="16" t="n">
        <v>362.04</v>
      </c>
      <c r="O350" s="16" t="n">
        <v>362.04</v>
      </c>
      <c r="P350" s="16" t="n">
        <v>362.04</v>
      </c>
      <c r="Q350" s="16" t="n">
        <v>362.04</v>
      </c>
      <c r="R350" s="16" t="n">
        <v>362.04</v>
      </c>
      <c r="S350" s="16" t="n">
        <v>362.04</v>
      </c>
      <c r="T350" s="16" t="n">
        <v>362.04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CANON-202510-001560</t>
        </is>
      </c>
      <c r="B351" s="3" t="inlineStr">
        <is>
          <t>2025-10-07</t>
        </is>
      </c>
      <c r="C351" s="3" t="inlineStr">
        <is>
          <t>Leopold Underwood</t>
        </is>
      </c>
      <c r="D351" s="3" t="inlineStr">
        <is>
          <t>IL</t>
        </is>
      </c>
      <c r="E351" s="14" t="n">
        <v>500000</v>
      </c>
      <c r="F351" s="14" t="n">
        <v>8081.93</v>
      </c>
      <c r="G351" s="14" t="n">
        <v>1010.24</v>
      </c>
      <c r="H351" s="14" t="n">
        <v>1010.24</v>
      </c>
      <c r="I351" s="14">
        <f>SUM(K351:T351)</f>
        <v/>
      </c>
      <c r="J351" s="14">
        <f>F351-(G351+H351+I351)</f>
        <v/>
      </c>
      <c r="K351" s="14" t="n">
        <v>606.14</v>
      </c>
      <c r="L351" s="14" t="n">
        <v>606.14</v>
      </c>
      <c r="M351" s="14" t="n">
        <v>606.14</v>
      </c>
      <c r="N351" s="14" t="n">
        <v>606.14</v>
      </c>
      <c r="O351" s="14" t="n">
        <v>606.14</v>
      </c>
      <c r="P351" s="14" t="n">
        <v>606.14</v>
      </c>
      <c r="Q351" s="14" t="n">
        <v>606.14</v>
      </c>
      <c r="R351" s="14" t="n">
        <v>606.14</v>
      </c>
      <c r="S351" s="14" t="n">
        <v>606.14</v>
      </c>
      <c r="T351" s="14" t="n">
        <v>606.14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CANON-202510-001561</t>
        </is>
      </c>
      <c r="B352" s="15" t="inlineStr">
        <is>
          <t>2025-10-02</t>
        </is>
      </c>
      <c r="C352" s="15" t="inlineStr">
        <is>
          <t>Callum Nakashima</t>
        </is>
      </c>
      <c r="D352" s="15" t="inlineStr">
        <is>
          <t>ND</t>
        </is>
      </c>
      <c r="E352" s="16" t="n">
        <v>475000</v>
      </c>
      <c r="F352" s="16" t="n">
        <v>10187.9</v>
      </c>
      <c r="G352" s="16" t="n">
        <v>1273.49</v>
      </c>
      <c r="H352" s="16" t="n">
        <v>1273.49</v>
      </c>
      <c r="I352" s="16">
        <f>SUM(K352:T352)</f>
        <v/>
      </c>
      <c r="J352" s="16">
        <f>F352-(G352+H352+I352)</f>
        <v/>
      </c>
      <c r="K352" s="16" t="n">
        <v>764.09</v>
      </c>
      <c r="L352" s="16" t="n">
        <v>764.09</v>
      </c>
      <c r="M352" s="16" t="n">
        <v>764.09</v>
      </c>
      <c r="N352" s="16" t="n">
        <v>764.09</v>
      </c>
      <c r="O352" s="16" t="n">
        <v>764.09</v>
      </c>
      <c r="P352" s="16" t="n">
        <v>764.09</v>
      </c>
      <c r="Q352" s="16" t="n">
        <v>764.09</v>
      </c>
      <c r="R352" s="16" t="n">
        <v>764.09</v>
      </c>
      <c r="S352" s="16" t="n">
        <v>764.09</v>
      </c>
      <c r="T352" s="16" t="n">
        <v>764.09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CANON-202510-001562</t>
        </is>
      </c>
      <c r="B353" s="3" t="inlineStr">
        <is>
          <t>2025-10-23</t>
        </is>
      </c>
      <c r="C353" s="3" t="inlineStr">
        <is>
          <t>Ingrid Blackwood</t>
        </is>
      </c>
      <c r="D353" s="3" t="inlineStr">
        <is>
          <t>FL</t>
        </is>
      </c>
      <c r="E353" s="14" t="n">
        <v>440000</v>
      </c>
      <c r="F353" s="14" t="n">
        <v>10053.48</v>
      </c>
      <c r="G353" s="14" t="n">
        <v>1256.68</v>
      </c>
      <c r="H353" s="14" t="n">
        <v>1256.68</v>
      </c>
      <c r="I353" s="14">
        <f>SUM(K353:T353)</f>
        <v/>
      </c>
      <c r="J353" s="14">
        <f>F353-(G353+H353+I353)</f>
        <v/>
      </c>
      <c r="K353" s="14" t="n">
        <v>754.01</v>
      </c>
      <c r="L353" s="14" t="n">
        <v>754.01</v>
      </c>
      <c r="M353" s="14" t="n">
        <v>754.01</v>
      </c>
      <c r="N353" s="14" t="n">
        <v>754.01</v>
      </c>
      <c r="O353" s="14" t="n">
        <v>754.01</v>
      </c>
      <c r="P353" s="14" t="n">
        <v>754.01</v>
      </c>
      <c r="Q353" s="14" t="n">
        <v>754.01</v>
      </c>
      <c r="R353" s="14" t="n">
        <v>754.01</v>
      </c>
      <c r="S353" s="14" t="n">
        <v>754.01</v>
      </c>
      <c r="T353" s="14" t="n">
        <v>754.01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CANON-202510-001563</t>
        </is>
      </c>
      <c r="B354" s="15" t="inlineStr">
        <is>
          <t>2025-10-27</t>
        </is>
      </c>
      <c r="C354" s="15" t="inlineStr">
        <is>
          <t>Beatrix Underwood</t>
        </is>
      </c>
      <c r="D354" s="15" t="inlineStr">
        <is>
          <t>NC</t>
        </is>
      </c>
      <c r="E354" s="16" t="n">
        <v>905000</v>
      </c>
      <c r="F354" s="16" t="n">
        <v>12369.51</v>
      </c>
      <c r="G354" s="16" t="n">
        <v>1546.19</v>
      </c>
      <c r="H354" s="16" t="n">
        <v>1546.19</v>
      </c>
      <c r="I354" s="16">
        <f>SUM(K354:T354)</f>
        <v/>
      </c>
      <c r="J354" s="16">
        <f>F354-(G354+H354+I354)</f>
        <v/>
      </c>
      <c r="K354" s="16" t="n">
        <v>927.71</v>
      </c>
      <c r="L354" s="16" t="n">
        <v>927.71</v>
      </c>
      <c r="M354" s="16" t="n">
        <v>927.71</v>
      </c>
      <c r="N354" s="16" t="n">
        <v>927.71</v>
      </c>
      <c r="O354" s="16" t="n">
        <v>927.71</v>
      </c>
      <c r="P354" s="16" t="n">
        <v>927.71</v>
      </c>
      <c r="Q354" s="16" t="n">
        <v>927.71</v>
      </c>
      <c r="R354" s="16" t="n">
        <v>927.71</v>
      </c>
      <c r="S354" s="16" t="n">
        <v>927.71</v>
      </c>
      <c r="T354" s="16" t="n">
        <v>927.71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CANON-202510-001564</t>
        </is>
      </c>
      <c r="B355" s="3" t="inlineStr">
        <is>
          <t>2025-10-09</t>
        </is>
      </c>
      <c r="C355" s="3" t="inlineStr">
        <is>
          <t>Thaddeus Montoya</t>
        </is>
      </c>
      <c r="D355" s="3" t="inlineStr">
        <is>
          <t>IL</t>
        </is>
      </c>
      <c r="E355" s="14" t="n">
        <v>350000</v>
      </c>
      <c r="F355" s="14" t="n">
        <v>6527.71</v>
      </c>
      <c r="G355" s="14" t="n">
        <v>815.96</v>
      </c>
      <c r="H355" s="14" t="n">
        <v>815.96</v>
      </c>
      <c r="I355" s="14">
        <f>SUM(K355:T355)</f>
        <v/>
      </c>
      <c r="J355" s="14">
        <f>F355-(G355+H355+I355)</f>
        <v/>
      </c>
      <c r="K355" s="14" t="n">
        <v>489.58</v>
      </c>
      <c r="L355" s="14" t="n">
        <v>489.58</v>
      </c>
      <c r="M355" s="14" t="n">
        <v>489.58</v>
      </c>
      <c r="N355" s="14" t="n">
        <v>489.58</v>
      </c>
      <c r="O355" s="14" t="n">
        <v>489.58</v>
      </c>
      <c r="P355" s="14" t="n">
        <v>489.58</v>
      </c>
      <c r="Q355" s="14" t="n">
        <v>489.58</v>
      </c>
      <c r="R355" s="14" t="n">
        <v>489.58</v>
      </c>
      <c r="S355" s="14" t="n">
        <v>489.58</v>
      </c>
      <c r="T355" s="14" t="n">
        <v>489.58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CANON-202510-001565</t>
        </is>
      </c>
      <c r="B356" s="15" t="inlineStr">
        <is>
          <t>2025-10-30</t>
        </is>
      </c>
      <c r="C356" s="15" t="inlineStr">
        <is>
          <t>Priya Pennington</t>
        </is>
      </c>
      <c r="D356" s="15" t="inlineStr">
        <is>
          <t>FL</t>
        </is>
      </c>
      <c r="E356" s="16" t="n">
        <v>1370000</v>
      </c>
      <c r="F356" s="16" t="n">
        <v>28457.17</v>
      </c>
      <c r="G356" s="16" t="n">
        <v>3557.15</v>
      </c>
      <c r="H356" s="16" t="n">
        <v>3557.15</v>
      </c>
      <c r="I356" s="16">
        <f>SUM(K356:T356)</f>
        <v/>
      </c>
      <c r="J356" s="16">
        <f>F356-(G356+H356+I356)</f>
        <v/>
      </c>
      <c r="K356" s="16" t="n">
        <v>2134.29</v>
      </c>
      <c r="L356" s="16" t="n">
        <v>2134.29</v>
      </c>
      <c r="M356" s="16" t="n">
        <v>2134.29</v>
      </c>
      <c r="N356" s="16" t="n">
        <v>2134.29</v>
      </c>
      <c r="O356" s="16" t="n">
        <v>2134.29</v>
      </c>
      <c r="P356" s="16" t="n">
        <v>2134.29</v>
      </c>
      <c r="Q356" s="16" t="n">
        <v>2134.29</v>
      </c>
      <c r="R356" s="16" t="n">
        <v>2134.29</v>
      </c>
      <c r="S356" s="16" t="n">
        <v>2134.29</v>
      </c>
      <c r="T356" s="16" t="n">
        <v>2134.29</v>
      </c>
      <c r="U356" s="16" t="n">
        <v>350</v>
      </c>
      <c r="V356" s="16" t="n">
        <v>250</v>
      </c>
      <c r="W356" s="16">
        <f>U356+V356</f>
        <v/>
      </c>
    </row>
    <row r="357">
      <c r="A357" s="3" t="inlineStr">
        <is>
          <t>CANON-202510-001566</t>
        </is>
      </c>
      <c r="B357" s="3" t="inlineStr">
        <is>
          <t>2025-10-29</t>
        </is>
      </c>
      <c r="C357" s="3" t="inlineStr">
        <is>
          <t>Everett Delacroix</t>
        </is>
      </c>
      <c r="D357" s="3" t="inlineStr">
        <is>
          <t>IL</t>
        </is>
      </c>
      <c r="E357" s="14" t="n">
        <v>1420000</v>
      </c>
      <c r="F357" s="14" t="n">
        <v>19421.49</v>
      </c>
      <c r="G357" s="14" t="n">
        <v>2427.69</v>
      </c>
      <c r="H357" s="14" t="n">
        <v>2427.69</v>
      </c>
      <c r="I357" s="14">
        <f>SUM(K357:T357)</f>
        <v/>
      </c>
      <c r="J357" s="14">
        <f>F357-(G357+H357+I357)</f>
        <v/>
      </c>
      <c r="K357" s="14" t="n">
        <v>1456.61</v>
      </c>
      <c r="L357" s="14" t="n">
        <v>1456.61</v>
      </c>
      <c r="M357" s="14" t="n">
        <v>1456.61</v>
      </c>
      <c r="N357" s="14" t="n">
        <v>1456.61</v>
      </c>
      <c r="O357" s="14" t="n">
        <v>1456.61</v>
      </c>
      <c r="P357" s="14" t="n">
        <v>1456.61</v>
      </c>
      <c r="Q357" s="14" t="n">
        <v>1456.61</v>
      </c>
      <c r="R357" s="14" t="n">
        <v>1456.61</v>
      </c>
      <c r="S357" s="14" t="n">
        <v>1456.61</v>
      </c>
      <c r="T357" s="14" t="n">
        <v>1456.61</v>
      </c>
      <c r="U357" s="14" t="n">
        <v>350</v>
      </c>
      <c r="V357" s="14" t="n">
        <v>250</v>
      </c>
      <c r="W357" s="14">
        <f>U357+V357</f>
        <v/>
      </c>
    </row>
    <row r="358">
      <c r="A358" s="15" t="inlineStr">
        <is>
          <t>CANON-202510-001567</t>
        </is>
      </c>
      <c r="B358" s="15" t="inlineStr">
        <is>
          <t>2025-10-14</t>
        </is>
      </c>
      <c r="C358" s="15" t="inlineStr">
        <is>
          <t>Mireille Vasquez</t>
        </is>
      </c>
      <c r="D358" s="15" t="inlineStr">
        <is>
          <t>IL</t>
        </is>
      </c>
      <c r="E358" s="16" t="n">
        <v>475000</v>
      </c>
      <c r="F358" s="16" t="n">
        <v>8859.040000000001</v>
      </c>
      <c r="G358" s="16" t="n">
        <v>1107.38</v>
      </c>
      <c r="H358" s="16" t="n">
        <v>1107.38</v>
      </c>
      <c r="I358" s="16">
        <f>SUM(K358:T358)</f>
        <v/>
      </c>
      <c r="J358" s="16">
        <f>F358-(G358+H358+I358)</f>
        <v/>
      </c>
      <c r="K358" s="16" t="n">
        <v>664.4299999999999</v>
      </c>
      <c r="L358" s="16" t="n">
        <v>664.4299999999999</v>
      </c>
      <c r="M358" s="16" t="n">
        <v>664.4299999999999</v>
      </c>
      <c r="N358" s="16" t="n">
        <v>664.4299999999999</v>
      </c>
      <c r="O358" s="16" t="n">
        <v>664.4299999999999</v>
      </c>
      <c r="P358" s="16" t="n">
        <v>664.4299999999999</v>
      </c>
      <c r="Q358" s="16" t="n">
        <v>664.4299999999999</v>
      </c>
      <c r="R358" s="16" t="n">
        <v>664.4299999999999</v>
      </c>
      <c r="S358" s="16" t="n">
        <v>664.4299999999999</v>
      </c>
      <c r="T358" s="16" t="n">
        <v>664.4299999999999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CANON-202510-001569</t>
        </is>
      </c>
      <c r="B359" s="3" t="inlineStr">
        <is>
          <t>2025-10-14</t>
        </is>
      </c>
      <c r="C359" s="3" t="inlineStr">
        <is>
          <t>Marisol Farkas</t>
        </is>
      </c>
      <c r="D359" s="3" t="inlineStr">
        <is>
          <t>OR</t>
        </is>
      </c>
      <c r="E359" s="14" t="n">
        <v>725000</v>
      </c>
      <c r="F359" s="14" t="n">
        <v>9736.950000000001</v>
      </c>
      <c r="G359" s="14" t="n">
        <v>1217.12</v>
      </c>
      <c r="H359" s="14" t="n">
        <v>1217.12</v>
      </c>
      <c r="I359" s="14">
        <f>SUM(K359:T359)</f>
        <v/>
      </c>
      <c r="J359" s="14">
        <f>F359-(G359+H359+I359)</f>
        <v/>
      </c>
      <c r="K359" s="14" t="n">
        <v>730.27</v>
      </c>
      <c r="L359" s="14" t="n">
        <v>730.27</v>
      </c>
      <c r="M359" s="14" t="n">
        <v>730.27</v>
      </c>
      <c r="N359" s="14" t="n">
        <v>730.27</v>
      </c>
      <c r="O359" s="14" t="n">
        <v>730.27</v>
      </c>
      <c r="P359" s="14" t="n">
        <v>730.27</v>
      </c>
      <c r="Q359" s="14" t="n">
        <v>730.27</v>
      </c>
      <c r="R359" s="14" t="n">
        <v>730.27</v>
      </c>
      <c r="S359" s="14" t="n">
        <v>730.27</v>
      </c>
      <c r="T359" s="14" t="n">
        <v>730.27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CANON-202510-001570</t>
        </is>
      </c>
      <c r="B360" s="15" t="inlineStr">
        <is>
          <t>2025-10-22</t>
        </is>
      </c>
      <c r="C360" s="15" t="inlineStr">
        <is>
          <t>Mireille Larsson</t>
        </is>
      </c>
      <c r="D360" s="15" t="inlineStr">
        <is>
          <t>FL</t>
        </is>
      </c>
      <c r="E360" s="16" t="n">
        <v>505000</v>
      </c>
      <c r="F360" s="16" t="n">
        <v>8522.870000000001</v>
      </c>
      <c r="G360" s="16" t="n">
        <v>1065.36</v>
      </c>
      <c r="H360" s="16" t="n">
        <v>1065.36</v>
      </c>
      <c r="I360" s="16">
        <f>SUM(K360:T360)</f>
        <v/>
      </c>
      <c r="J360" s="16">
        <f>F360-(G360+H360+I360)</f>
        <v/>
      </c>
      <c r="K360" s="16" t="n">
        <v>639.22</v>
      </c>
      <c r="L360" s="16" t="n">
        <v>639.22</v>
      </c>
      <c r="M360" s="16" t="n">
        <v>639.22</v>
      </c>
      <c r="N360" s="16" t="n">
        <v>639.22</v>
      </c>
      <c r="O360" s="16" t="n">
        <v>639.22</v>
      </c>
      <c r="P360" s="16" t="n">
        <v>639.22</v>
      </c>
      <c r="Q360" s="16" t="n">
        <v>639.22</v>
      </c>
      <c r="R360" s="16" t="n">
        <v>639.22</v>
      </c>
      <c r="S360" s="16" t="n">
        <v>639.22</v>
      </c>
      <c r="T360" s="16" t="n">
        <v>639.22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CANON-202510-001571</t>
        </is>
      </c>
      <c r="B361" s="3" t="inlineStr">
        <is>
          <t>2025-10-23</t>
        </is>
      </c>
      <c r="C361" s="3" t="inlineStr">
        <is>
          <t>Marisol Underwood</t>
        </is>
      </c>
      <c r="D361" s="3" t="inlineStr">
        <is>
          <t>MT</t>
        </is>
      </c>
      <c r="E361" s="14" t="n">
        <v>250000</v>
      </c>
      <c r="F361" s="14" t="n">
        <v>3188.43</v>
      </c>
      <c r="G361" s="14" t="n">
        <v>398.55</v>
      </c>
      <c r="H361" s="14" t="n">
        <v>398.55</v>
      </c>
      <c r="I361" s="14">
        <f>SUM(K361:T361)</f>
        <v/>
      </c>
      <c r="J361" s="14">
        <f>F361-(G361+H361+I361)</f>
        <v/>
      </c>
      <c r="K361" s="14" t="n">
        <v>239.13</v>
      </c>
      <c r="L361" s="14" t="n">
        <v>239.13</v>
      </c>
      <c r="M361" s="14" t="n">
        <v>239.13</v>
      </c>
      <c r="N361" s="14" t="n">
        <v>239.13</v>
      </c>
      <c r="O361" s="14" t="n">
        <v>239.13</v>
      </c>
      <c r="P361" s="14" t="n">
        <v>239.13</v>
      </c>
      <c r="Q361" s="14" t="n">
        <v>239.13</v>
      </c>
      <c r="R361" s="14" t="n">
        <v>239.13</v>
      </c>
      <c r="S361" s="14" t="n">
        <v>239.13</v>
      </c>
      <c r="T361" s="14" t="n">
        <v>239.13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CANON-202510-001573</t>
        </is>
      </c>
      <c r="B362" s="15" t="inlineStr">
        <is>
          <t>2025-10-06</t>
        </is>
      </c>
      <c r="C362" s="15" t="inlineStr">
        <is>
          <t>Fitzgerald Harrington</t>
        </is>
      </c>
      <c r="D362" s="15" t="inlineStr">
        <is>
          <t>NV</t>
        </is>
      </c>
      <c r="E362" s="16" t="n">
        <v>530000</v>
      </c>
      <c r="F362" s="16" t="n">
        <v>10771.55</v>
      </c>
      <c r="G362" s="16" t="n">
        <v>1346.44</v>
      </c>
      <c r="H362" s="16" t="n">
        <v>1346.44</v>
      </c>
      <c r="I362" s="16">
        <f>SUM(K362:T362)</f>
        <v/>
      </c>
      <c r="J362" s="16">
        <f>F362-(G362+H362+I362)</f>
        <v/>
      </c>
      <c r="K362" s="16" t="n">
        <v>807.87</v>
      </c>
      <c r="L362" s="16" t="n">
        <v>807.87</v>
      </c>
      <c r="M362" s="16" t="n">
        <v>807.87</v>
      </c>
      <c r="N362" s="16" t="n">
        <v>807.87</v>
      </c>
      <c r="O362" s="16" t="n">
        <v>807.87</v>
      </c>
      <c r="P362" s="16" t="n">
        <v>807.87</v>
      </c>
      <c r="Q362" s="16" t="n">
        <v>807.87</v>
      </c>
      <c r="R362" s="16" t="n">
        <v>807.87</v>
      </c>
      <c r="S362" s="16" t="n">
        <v>807.87</v>
      </c>
      <c r="T362" s="16" t="n">
        <v>807.87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CANON-202510-001575</t>
        </is>
      </c>
      <c r="B363" s="3" t="inlineStr">
        <is>
          <t>2025-10-22</t>
        </is>
      </c>
      <c r="C363" s="3" t="inlineStr">
        <is>
          <t>Priya Blackwood</t>
        </is>
      </c>
      <c r="D363" s="3" t="inlineStr">
        <is>
          <t>VA</t>
        </is>
      </c>
      <c r="E363" s="14" t="n">
        <v>390000</v>
      </c>
      <c r="F363" s="14" t="n">
        <v>8938.85</v>
      </c>
      <c r="G363" s="14" t="n">
        <v>1117.36</v>
      </c>
      <c r="H363" s="14" t="n">
        <v>1117.36</v>
      </c>
      <c r="I363" s="14">
        <f>SUM(K363:T363)</f>
        <v/>
      </c>
      <c r="J363" s="14">
        <f>F363-(G363+H363+I363)</f>
        <v/>
      </c>
      <c r="K363" s="14" t="n">
        <v>670.41</v>
      </c>
      <c r="L363" s="14" t="n">
        <v>670.41</v>
      </c>
      <c r="M363" s="14" t="n">
        <v>670.41</v>
      </c>
      <c r="N363" s="14" t="n">
        <v>670.41</v>
      </c>
      <c r="O363" s="14" t="n">
        <v>670.41</v>
      </c>
      <c r="P363" s="14" t="n">
        <v>670.41</v>
      </c>
      <c r="Q363" s="14" t="n">
        <v>670.41</v>
      </c>
      <c r="R363" s="14" t="n">
        <v>670.41</v>
      </c>
      <c r="S363" s="14" t="n">
        <v>670.41</v>
      </c>
      <c r="T363" s="14" t="n">
        <v>670.41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CANON-202510-001576</t>
        </is>
      </c>
      <c r="B364" s="15" t="inlineStr">
        <is>
          <t>2025-10-23</t>
        </is>
      </c>
      <c r="C364" s="15" t="inlineStr">
        <is>
          <t>Horace Kingsford</t>
        </is>
      </c>
      <c r="D364" s="15" t="inlineStr">
        <is>
          <t>NY</t>
        </is>
      </c>
      <c r="E364" s="16" t="n">
        <v>175000</v>
      </c>
      <c r="F364" s="16" t="n">
        <v>3768.15</v>
      </c>
      <c r="G364" s="16" t="n">
        <v>471.02</v>
      </c>
      <c r="H364" s="16" t="n">
        <v>471.02</v>
      </c>
      <c r="I364" s="16">
        <f>SUM(K364:T364)</f>
        <v/>
      </c>
      <c r="J364" s="16">
        <f>F364-(G364+H364+I364)</f>
        <v/>
      </c>
      <c r="K364" s="16" t="n">
        <v>282.61</v>
      </c>
      <c r="L364" s="16" t="n">
        <v>282.61</v>
      </c>
      <c r="M364" s="16" t="n">
        <v>282.61</v>
      </c>
      <c r="N364" s="16" t="n">
        <v>282.61</v>
      </c>
      <c r="O364" s="16" t="n">
        <v>282.61</v>
      </c>
      <c r="P364" s="16" t="n">
        <v>282.61</v>
      </c>
      <c r="Q364" s="16" t="n">
        <v>282.61</v>
      </c>
      <c r="R364" s="16" t="n">
        <v>282.61</v>
      </c>
      <c r="S364" s="16" t="n">
        <v>282.61</v>
      </c>
      <c r="T364" s="16" t="n">
        <v>282.61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CANON-202510-001577</t>
        </is>
      </c>
      <c r="B365" s="3" t="inlineStr">
        <is>
          <t>2025-10-09</t>
        </is>
      </c>
      <c r="C365" s="3" t="inlineStr">
        <is>
          <t>Ramona Chattopadhyay</t>
        </is>
      </c>
      <c r="D365" s="3" t="inlineStr">
        <is>
          <t>AK</t>
        </is>
      </c>
      <c r="E365" s="14" t="n">
        <v>665000</v>
      </c>
      <c r="F365" s="14" t="n">
        <v>9010.16</v>
      </c>
      <c r="G365" s="14" t="n">
        <v>1126.27</v>
      </c>
      <c r="H365" s="14" t="n">
        <v>1126.27</v>
      </c>
      <c r="I365" s="14">
        <f>SUM(K365:T365)</f>
        <v/>
      </c>
      <c r="J365" s="14">
        <f>F365-(G365+H365+I365)</f>
        <v/>
      </c>
      <c r="K365" s="14" t="n">
        <v>675.76</v>
      </c>
      <c r="L365" s="14" t="n">
        <v>675.76</v>
      </c>
      <c r="M365" s="14" t="n">
        <v>675.76</v>
      </c>
      <c r="N365" s="14" t="n">
        <v>675.76</v>
      </c>
      <c r="O365" s="14" t="n">
        <v>675.76</v>
      </c>
      <c r="P365" s="14" t="n">
        <v>675.76</v>
      </c>
      <c r="Q365" s="14" t="n">
        <v>675.76</v>
      </c>
      <c r="R365" s="14" t="n">
        <v>675.76</v>
      </c>
      <c r="S365" s="14" t="n">
        <v>675.76</v>
      </c>
      <c r="T365" s="14" t="n">
        <v>675.76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CANON-202510-001578</t>
        </is>
      </c>
      <c r="B366" s="15" t="inlineStr">
        <is>
          <t>2025-10-01</t>
        </is>
      </c>
      <c r="C366" s="15" t="inlineStr">
        <is>
          <t>Beatrix Castellanos</t>
        </is>
      </c>
      <c r="D366" s="15" t="inlineStr">
        <is>
          <t>CA</t>
        </is>
      </c>
      <c r="E366" s="16" t="n">
        <v>1430000</v>
      </c>
      <c r="F366" s="16" t="n">
        <v>28239.21</v>
      </c>
      <c r="G366" s="16" t="n">
        <v>3529.9</v>
      </c>
      <c r="H366" s="16" t="n">
        <v>3529.9</v>
      </c>
      <c r="I366" s="16">
        <f>SUM(K366:T366)</f>
        <v/>
      </c>
      <c r="J366" s="16">
        <f>F366-(G366+H366+I366)</f>
        <v/>
      </c>
      <c r="K366" s="16" t="n">
        <v>2117.94</v>
      </c>
      <c r="L366" s="16" t="n">
        <v>2117.94</v>
      </c>
      <c r="M366" s="16" t="n">
        <v>2117.94</v>
      </c>
      <c r="N366" s="16" t="n">
        <v>2117.94</v>
      </c>
      <c r="O366" s="16" t="n">
        <v>2117.94</v>
      </c>
      <c r="P366" s="16" t="n">
        <v>2117.94</v>
      </c>
      <c r="Q366" s="16" t="n">
        <v>2117.94</v>
      </c>
      <c r="R366" s="16" t="n">
        <v>2117.94</v>
      </c>
      <c r="S366" s="16" t="n">
        <v>2117.94</v>
      </c>
      <c r="T366" s="16" t="n">
        <v>2117.94</v>
      </c>
      <c r="U366" s="16" t="n">
        <v>350</v>
      </c>
      <c r="V366" s="16" t="n">
        <v>250</v>
      </c>
      <c r="W366" s="16">
        <f>U366+V366</f>
        <v/>
      </c>
    </row>
    <row r="367">
      <c r="A367" s="3" t="inlineStr">
        <is>
          <t>CANON-202510-001580</t>
        </is>
      </c>
      <c r="B367" s="3" t="inlineStr">
        <is>
          <t>2025-10-07</t>
        </is>
      </c>
      <c r="C367" s="3" t="inlineStr">
        <is>
          <t>Saoirse Farkas</t>
        </is>
      </c>
      <c r="D367" s="3" t="inlineStr">
        <is>
          <t>NJ</t>
        </is>
      </c>
      <c r="E367" s="14" t="n">
        <v>285000</v>
      </c>
      <c r="F367" s="14" t="n">
        <v>3556.65</v>
      </c>
      <c r="G367" s="14" t="n">
        <v>444.58</v>
      </c>
      <c r="H367" s="14" t="n">
        <v>444.58</v>
      </c>
      <c r="I367" s="14">
        <f>SUM(K367:T367)</f>
        <v/>
      </c>
      <c r="J367" s="14">
        <f>F367-(G367+H367+I367)</f>
        <v/>
      </c>
      <c r="K367" s="14" t="n">
        <v>266.75</v>
      </c>
      <c r="L367" s="14" t="n">
        <v>266.75</v>
      </c>
      <c r="M367" s="14" t="n">
        <v>266.75</v>
      </c>
      <c r="N367" s="14" t="n">
        <v>266.75</v>
      </c>
      <c r="O367" s="14" t="n">
        <v>266.75</v>
      </c>
      <c r="P367" s="14" t="n">
        <v>266.75</v>
      </c>
      <c r="Q367" s="14" t="n">
        <v>266.75</v>
      </c>
      <c r="R367" s="14" t="n">
        <v>266.75</v>
      </c>
      <c r="S367" s="14" t="n">
        <v>266.75</v>
      </c>
      <c r="T367" s="14" t="n">
        <v>266.75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CANON-202510-001582</t>
        </is>
      </c>
      <c r="B368" s="15" t="inlineStr">
        <is>
          <t>2025-10-07</t>
        </is>
      </c>
      <c r="C368" s="15" t="inlineStr">
        <is>
          <t>Fenwick Delacroix</t>
        </is>
      </c>
      <c r="D368" s="15" t="inlineStr">
        <is>
          <t>NC</t>
        </is>
      </c>
      <c r="E368" s="16" t="n">
        <v>595000</v>
      </c>
      <c r="F368" s="16" t="n">
        <v>8132.44</v>
      </c>
      <c r="G368" s="16" t="n">
        <v>1016.55</v>
      </c>
      <c r="H368" s="16" t="n">
        <v>1016.55</v>
      </c>
      <c r="I368" s="16">
        <f>SUM(K368:T368)</f>
        <v/>
      </c>
      <c r="J368" s="16">
        <f>F368-(G368+H368+I368)</f>
        <v/>
      </c>
      <c r="K368" s="16" t="n">
        <v>609.9299999999999</v>
      </c>
      <c r="L368" s="16" t="n">
        <v>609.9299999999999</v>
      </c>
      <c r="M368" s="16" t="n">
        <v>609.9299999999999</v>
      </c>
      <c r="N368" s="16" t="n">
        <v>609.9299999999999</v>
      </c>
      <c r="O368" s="16" t="n">
        <v>609.9299999999999</v>
      </c>
      <c r="P368" s="16" t="n">
        <v>609.9299999999999</v>
      </c>
      <c r="Q368" s="16" t="n">
        <v>609.9299999999999</v>
      </c>
      <c r="R368" s="16" t="n">
        <v>609.9299999999999</v>
      </c>
      <c r="S368" s="16" t="n">
        <v>609.9299999999999</v>
      </c>
      <c r="T368" s="16" t="n">
        <v>609.9299999999999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CANON-202510-001583</t>
        </is>
      </c>
      <c r="B369" s="3" t="inlineStr">
        <is>
          <t>2025-10-25</t>
        </is>
      </c>
      <c r="C369" s="3" t="inlineStr">
        <is>
          <t>Anouk Blackwood</t>
        </is>
      </c>
      <c r="D369" s="3" t="inlineStr">
        <is>
          <t>CO</t>
        </is>
      </c>
      <c r="E369" s="14" t="n">
        <v>440000</v>
      </c>
      <c r="F369" s="14" t="n">
        <v>4247.95</v>
      </c>
      <c r="G369" s="14" t="n">
        <v>530.99</v>
      </c>
      <c r="H369" s="14" t="n">
        <v>530.99</v>
      </c>
      <c r="I369" s="14">
        <f>SUM(K369:T369)</f>
        <v/>
      </c>
      <c r="J369" s="14">
        <f>F369-(G369+H369+I369)</f>
        <v/>
      </c>
      <c r="K369" s="14" t="n">
        <v>318.6</v>
      </c>
      <c r="L369" s="14" t="n">
        <v>318.6</v>
      </c>
      <c r="M369" s="14" t="n">
        <v>318.6</v>
      </c>
      <c r="N369" s="14" t="n">
        <v>318.6</v>
      </c>
      <c r="O369" s="14" t="n">
        <v>318.6</v>
      </c>
      <c r="P369" s="14" t="n">
        <v>318.6</v>
      </c>
      <c r="Q369" s="14" t="n">
        <v>318.6</v>
      </c>
      <c r="R369" s="14" t="n">
        <v>318.6</v>
      </c>
      <c r="S369" s="14" t="n">
        <v>318.6</v>
      </c>
      <c r="T369" s="14" t="n">
        <v>318.6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CANON-202510-001584</t>
        </is>
      </c>
      <c r="B370" s="15" t="inlineStr">
        <is>
          <t>2025-10-26</t>
        </is>
      </c>
      <c r="C370" s="15" t="inlineStr">
        <is>
          <t>Thaddeus Okonkwo</t>
        </is>
      </c>
      <c r="D370" s="15" t="inlineStr">
        <is>
          <t>NH</t>
        </is>
      </c>
      <c r="E370" s="16" t="n">
        <v>830000</v>
      </c>
      <c r="F370" s="16" t="n">
        <v>10259.3</v>
      </c>
      <c r="G370" s="16" t="n">
        <v>1282.41</v>
      </c>
      <c r="H370" s="16" t="n">
        <v>1282.41</v>
      </c>
      <c r="I370" s="16">
        <f>SUM(K370:T370)</f>
        <v/>
      </c>
      <c r="J370" s="16">
        <f>F370-(G370+H370+I370)</f>
        <v/>
      </c>
      <c r="K370" s="16" t="n">
        <v>769.45</v>
      </c>
      <c r="L370" s="16" t="n">
        <v>769.45</v>
      </c>
      <c r="M370" s="16" t="n">
        <v>769.45</v>
      </c>
      <c r="N370" s="16" t="n">
        <v>769.45</v>
      </c>
      <c r="O370" s="16" t="n">
        <v>769.45</v>
      </c>
      <c r="P370" s="16" t="n">
        <v>769.45</v>
      </c>
      <c r="Q370" s="16" t="n">
        <v>769.45</v>
      </c>
      <c r="R370" s="16" t="n">
        <v>769.45</v>
      </c>
      <c r="S370" s="16" t="n">
        <v>769.45</v>
      </c>
      <c r="T370" s="16" t="n">
        <v>769.45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CANON-202510-001585</t>
        </is>
      </c>
      <c r="B371" s="3" t="inlineStr">
        <is>
          <t>2025-10-02</t>
        </is>
      </c>
      <c r="C371" s="3" t="inlineStr">
        <is>
          <t>Wilhelmina Ashcombe</t>
        </is>
      </c>
      <c r="D371" s="3" t="inlineStr">
        <is>
          <t>TX</t>
        </is>
      </c>
      <c r="E371" s="14" t="n">
        <v>1085000</v>
      </c>
      <c r="F371" s="14" t="n">
        <v>8669.690000000001</v>
      </c>
      <c r="G371" s="14" t="n">
        <v>1083.71</v>
      </c>
      <c r="H371" s="14" t="n">
        <v>1083.71</v>
      </c>
      <c r="I371" s="14">
        <f>SUM(K371:T371)</f>
        <v/>
      </c>
      <c r="J371" s="14">
        <f>F371-(G371+H371+I371)</f>
        <v/>
      </c>
      <c r="K371" s="14" t="n">
        <v>650.23</v>
      </c>
      <c r="L371" s="14" t="n">
        <v>650.23</v>
      </c>
      <c r="M371" s="14" t="n">
        <v>650.23</v>
      </c>
      <c r="N371" s="14" t="n">
        <v>650.23</v>
      </c>
      <c r="O371" s="14" t="n">
        <v>650.23</v>
      </c>
      <c r="P371" s="14" t="n">
        <v>650.23</v>
      </c>
      <c r="Q371" s="14" t="n">
        <v>650.23</v>
      </c>
      <c r="R371" s="14" t="n">
        <v>650.23</v>
      </c>
      <c r="S371" s="14" t="n">
        <v>650.23</v>
      </c>
      <c r="T371" s="14" t="n">
        <v>650.23</v>
      </c>
      <c r="U371" s="14" t="n">
        <v>350</v>
      </c>
      <c r="V371" s="14" t="n">
        <v>250</v>
      </c>
      <c r="W371" s="14">
        <f>U371+V371</f>
        <v/>
      </c>
    </row>
    <row r="372">
      <c r="A372" s="15" t="inlineStr">
        <is>
          <t>CANON-202510-001587</t>
        </is>
      </c>
      <c r="B372" s="15" t="inlineStr">
        <is>
          <t>2025-10-24</t>
        </is>
      </c>
      <c r="C372" s="15" t="inlineStr">
        <is>
          <t>Cassius Thistlewood</t>
        </is>
      </c>
      <c r="D372" s="15" t="inlineStr">
        <is>
          <t>ME</t>
        </is>
      </c>
      <c r="E372" s="16" t="n">
        <v>410000</v>
      </c>
      <c r="F372" s="16" t="n">
        <v>3886.34</v>
      </c>
      <c r="G372" s="16" t="n">
        <v>485.79</v>
      </c>
      <c r="H372" s="16" t="n">
        <v>485.79</v>
      </c>
      <c r="I372" s="16">
        <f>SUM(K372:T372)</f>
        <v/>
      </c>
      <c r="J372" s="16">
        <f>F372-(G372+H372+I372)</f>
        <v/>
      </c>
      <c r="K372" s="16" t="n">
        <v>291.48</v>
      </c>
      <c r="L372" s="16" t="n">
        <v>291.48</v>
      </c>
      <c r="M372" s="16" t="n">
        <v>291.48</v>
      </c>
      <c r="N372" s="16" t="n">
        <v>291.48</v>
      </c>
      <c r="O372" s="16" t="n">
        <v>291.48</v>
      </c>
      <c r="P372" s="16" t="n">
        <v>291.48</v>
      </c>
      <c r="Q372" s="16" t="n">
        <v>291.48</v>
      </c>
      <c r="R372" s="16" t="n">
        <v>291.48</v>
      </c>
      <c r="S372" s="16" t="n">
        <v>291.48</v>
      </c>
      <c r="T372" s="16" t="n">
        <v>291.48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CANON-202510-001588</t>
        </is>
      </c>
      <c r="B373" s="3" t="inlineStr">
        <is>
          <t>2025-10-04</t>
        </is>
      </c>
      <c r="C373" s="3" t="inlineStr">
        <is>
          <t>Fitzgerald Ashcombe</t>
        </is>
      </c>
      <c r="D373" s="3" t="inlineStr">
        <is>
          <t>WA</t>
        </is>
      </c>
      <c r="E373" s="14" t="n">
        <v>790000</v>
      </c>
      <c r="F373" s="14" t="n">
        <v>10816.47</v>
      </c>
      <c r="G373" s="14" t="n">
        <v>1352.06</v>
      </c>
      <c r="H373" s="14" t="n">
        <v>1352.06</v>
      </c>
      <c r="I373" s="14">
        <f>SUM(K373:T373)</f>
        <v/>
      </c>
      <c r="J373" s="14">
        <f>F373-(G373+H373+I373)</f>
        <v/>
      </c>
      <c r="K373" s="14" t="n">
        <v>811.24</v>
      </c>
      <c r="L373" s="14" t="n">
        <v>811.24</v>
      </c>
      <c r="M373" s="14" t="n">
        <v>811.24</v>
      </c>
      <c r="N373" s="14" t="n">
        <v>811.24</v>
      </c>
      <c r="O373" s="14" t="n">
        <v>811.24</v>
      </c>
      <c r="P373" s="14" t="n">
        <v>811.24</v>
      </c>
      <c r="Q373" s="14" t="n">
        <v>811.24</v>
      </c>
      <c r="R373" s="14" t="n">
        <v>811.24</v>
      </c>
      <c r="S373" s="14" t="n">
        <v>811.24</v>
      </c>
      <c r="T373" s="14" t="n">
        <v>811.24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CANON-202510-001590</t>
        </is>
      </c>
      <c r="B374" s="15" t="inlineStr">
        <is>
          <t>2025-10-13</t>
        </is>
      </c>
      <c r="C374" s="15" t="inlineStr">
        <is>
          <t>Mireille Ashcombe</t>
        </is>
      </c>
      <c r="D374" s="15" t="inlineStr">
        <is>
          <t>MO</t>
        </is>
      </c>
      <c r="E374" s="16" t="n">
        <v>640000</v>
      </c>
      <c r="F374" s="16" t="n">
        <v>9675.49</v>
      </c>
      <c r="G374" s="16" t="n">
        <v>1209.44</v>
      </c>
      <c r="H374" s="16" t="n">
        <v>1209.44</v>
      </c>
      <c r="I374" s="16">
        <f>SUM(K374:T374)</f>
        <v/>
      </c>
      <c r="J374" s="16">
        <f>F374-(G374+H374+I374)</f>
        <v/>
      </c>
      <c r="K374" s="16" t="n">
        <v>725.66</v>
      </c>
      <c r="L374" s="16" t="n">
        <v>725.66</v>
      </c>
      <c r="M374" s="16" t="n">
        <v>725.66</v>
      </c>
      <c r="N374" s="16" t="n">
        <v>725.66</v>
      </c>
      <c r="O374" s="16" t="n">
        <v>725.66</v>
      </c>
      <c r="P374" s="16" t="n">
        <v>725.66</v>
      </c>
      <c r="Q374" s="16" t="n">
        <v>725.66</v>
      </c>
      <c r="R374" s="16" t="n">
        <v>725.66</v>
      </c>
      <c r="S374" s="16" t="n">
        <v>725.66</v>
      </c>
      <c r="T374" s="16" t="n">
        <v>725.66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CANON-202510-001592</t>
        </is>
      </c>
      <c r="B375" s="3" t="inlineStr">
        <is>
          <t>2025-10-16</t>
        </is>
      </c>
      <c r="C375" s="3" t="inlineStr">
        <is>
          <t>Aurelio Pennington</t>
        </is>
      </c>
      <c r="D375" s="3" t="inlineStr">
        <is>
          <t>RI</t>
        </is>
      </c>
      <c r="E375" s="14" t="n">
        <v>575000</v>
      </c>
      <c r="F375" s="14" t="n">
        <v>13683.74</v>
      </c>
      <c r="G375" s="14" t="n">
        <v>1710.47</v>
      </c>
      <c r="H375" s="14" t="n">
        <v>1710.47</v>
      </c>
      <c r="I375" s="14">
        <f>SUM(K375:T375)</f>
        <v/>
      </c>
      <c r="J375" s="14">
        <f>F375-(G375+H375+I375)</f>
        <v/>
      </c>
      <c r="K375" s="14" t="n">
        <v>1026.28</v>
      </c>
      <c r="L375" s="14" t="n">
        <v>1026.28</v>
      </c>
      <c r="M375" s="14" t="n">
        <v>1026.28</v>
      </c>
      <c r="N375" s="14" t="n">
        <v>1026.28</v>
      </c>
      <c r="O375" s="14" t="n">
        <v>1026.28</v>
      </c>
      <c r="P375" s="14" t="n">
        <v>1026.28</v>
      </c>
      <c r="Q375" s="14" t="n">
        <v>1026.28</v>
      </c>
      <c r="R375" s="14" t="n">
        <v>1026.28</v>
      </c>
      <c r="S375" s="14" t="n">
        <v>1026.28</v>
      </c>
      <c r="T375" s="14" t="n">
        <v>1026.28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CANON-202510-001593</t>
        </is>
      </c>
      <c r="B376" s="15" t="inlineStr">
        <is>
          <t>2025-10-09</t>
        </is>
      </c>
      <c r="C376" s="15" t="inlineStr">
        <is>
          <t>Marisol Blackwood</t>
        </is>
      </c>
      <c r="D376" s="15" t="inlineStr">
        <is>
          <t>OH</t>
        </is>
      </c>
      <c r="E376" s="16" t="n">
        <v>1270000</v>
      </c>
      <c r="F376" s="16" t="n">
        <v>17753.09</v>
      </c>
      <c r="G376" s="16" t="n">
        <v>2219.14</v>
      </c>
      <c r="H376" s="16" t="n">
        <v>2219.14</v>
      </c>
      <c r="I376" s="16">
        <f>SUM(K376:T376)</f>
        <v/>
      </c>
      <c r="J376" s="16">
        <f>F376-(G376+H376+I376)</f>
        <v/>
      </c>
      <c r="K376" s="16" t="n">
        <v>1331.48</v>
      </c>
      <c r="L376" s="16" t="n">
        <v>1331.48</v>
      </c>
      <c r="M376" s="16" t="n">
        <v>1331.48</v>
      </c>
      <c r="N376" s="16" t="n">
        <v>1331.48</v>
      </c>
      <c r="O376" s="16" t="n">
        <v>1331.48</v>
      </c>
      <c r="P376" s="16" t="n">
        <v>1331.48</v>
      </c>
      <c r="Q376" s="16" t="n">
        <v>1331.48</v>
      </c>
      <c r="R376" s="16" t="n">
        <v>1331.48</v>
      </c>
      <c r="S376" s="16" t="n">
        <v>1331.48</v>
      </c>
      <c r="T376" s="16" t="n">
        <v>1331.48</v>
      </c>
      <c r="U376" s="16" t="n">
        <v>350</v>
      </c>
      <c r="V376" s="16" t="n">
        <v>250</v>
      </c>
      <c r="W376" s="16">
        <f>U376+V376</f>
        <v/>
      </c>
    </row>
    <row r="377">
      <c r="A377" s="3" t="inlineStr">
        <is>
          <t>CANON-202510-001596</t>
        </is>
      </c>
      <c r="B377" s="3" t="inlineStr">
        <is>
          <t>2025-10-16</t>
        </is>
      </c>
      <c r="C377" s="3" t="inlineStr">
        <is>
          <t>Ramona Rourke</t>
        </is>
      </c>
      <c r="D377" s="3" t="inlineStr">
        <is>
          <t>SC</t>
        </is>
      </c>
      <c r="E377" s="14" t="n">
        <v>430000</v>
      </c>
      <c r="F377" s="14" t="n">
        <v>7312.13</v>
      </c>
      <c r="G377" s="14" t="n">
        <v>914.02</v>
      </c>
      <c r="H377" s="14" t="n">
        <v>914.02</v>
      </c>
      <c r="I377" s="14">
        <f>SUM(K377:T377)</f>
        <v/>
      </c>
      <c r="J377" s="14">
        <f>F377-(G377+H377+I377)</f>
        <v/>
      </c>
      <c r="K377" s="14" t="n">
        <v>548.41</v>
      </c>
      <c r="L377" s="14" t="n">
        <v>548.41</v>
      </c>
      <c r="M377" s="14" t="n">
        <v>548.41</v>
      </c>
      <c r="N377" s="14" t="n">
        <v>548.41</v>
      </c>
      <c r="O377" s="14" t="n">
        <v>548.41</v>
      </c>
      <c r="P377" s="14" t="n">
        <v>548.41</v>
      </c>
      <c r="Q377" s="14" t="n">
        <v>548.41</v>
      </c>
      <c r="R377" s="14" t="n">
        <v>548.41</v>
      </c>
      <c r="S377" s="14" t="n">
        <v>548.41</v>
      </c>
      <c r="T377" s="14" t="n">
        <v>548.41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CANON-202510-001597</t>
        </is>
      </c>
      <c r="B378" s="15" t="inlineStr">
        <is>
          <t>2025-10-31</t>
        </is>
      </c>
      <c r="C378" s="15" t="inlineStr">
        <is>
          <t>Emiliano Harrington</t>
        </is>
      </c>
      <c r="D378" s="15" t="inlineStr">
        <is>
          <t>MD</t>
        </is>
      </c>
      <c r="E378" s="16" t="n">
        <v>1290000</v>
      </c>
      <c r="F378" s="16" t="n">
        <v>8515.09</v>
      </c>
      <c r="G378" s="16" t="n">
        <v>1064.39</v>
      </c>
      <c r="H378" s="16" t="n">
        <v>1064.39</v>
      </c>
      <c r="I378" s="16">
        <f>SUM(K378:T378)</f>
        <v/>
      </c>
      <c r="J378" s="16">
        <f>F378-(G378+H378+I378)</f>
        <v/>
      </c>
      <c r="K378" s="16" t="n">
        <v>638.63</v>
      </c>
      <c r="L378" s="16" t="n">
        <v>638.63</v>
      </c>
      <c r="M378" s="16" t="n">
        <v>638.63</v>
      </c>
      <c r="N378" s="16" t="n">
        <v>638.63</v>
      </c>
      <c r="O378" s="16" t="n">
        <v>638.63</v>
      </c>
      <c r="P378" s="16" t="n">
        <v>638.63</v>
      </c>
      <c r="Q378" s="16" t="n">
        <v>638.63</v>
      </c>
      <c r="R378" s="16" t="n">
        <v>638.63</v>
      </c>
      <c r="S378" s="16" t="n">
        <v>638.63</v>
      </c>
      <c r="T378" s="16" t="n">
        <v>638.63</v>
      </c>
      <c r="U378" s="16" t="n">
        <v>350</v>
      </c>
      <c r="V378" s="16" t="n">
        <v>250</v>
      </c>
      <c r="W378" s="16">
        <f>U378+V378</f>
        <v/>
      </c>
    </row>
    <row r="379">
      <c r="A379" s="3" t="inlineStr">
        <is>
          <t>CANON-202510-001600</t>
        </is>
      </c>
      <c r="B379" s="3" t="inlineStr">
        <is>
          <t>2025-10-18</t>
        </is>
      </c>
      <c r="C379" s="3" t="inlineStr">
        <is>
          <t>Horace Castellanos</t>
        </is>
      </c>
      <c r="D379" s="3" t="inlineStr">
        <is>
          <t>PA</t>
        </is>
      </c>
      <c r="E379" s="14" t="n">
        <v>580000</v>
      </c>
      <c r="F379" s="14" t="n">
        <v>6893.41</v>
      </c>
      <c r="G379" s="14" t="n">
        <v>861.6799999999999</v>
      </c>
      <c r="H379" s="14" t="n">
        <v>861.6799999999999</v>
      </c>
      <c r="I379" s="14">
        <f>SUM(K379:T379)</f>
        <v/>
      </c>
      <c r="J379" s="14">
        <f>F379-(G379+H379+I379)</f>
        <v/>
      </c>
      <c r="K379" s="14" t="n">
        <v>517.01</v>
      </c>
      <c r="L379" s="14" t="n">
        <v>517.01</v>
      </c>
      <c r="M379" s="14" t="n">
        <v>517.01</v>
      </c>
      <c r="N379" s="14" t="n">
        <v>517.01</v>
      </c>
      <c r="O379" s="14" t="n">
        <v>517.01</v>
      </c>
      <c r="P379" s="14" t="n">
        <v>517.01</v>
      </c>
      <c r="Q379" s="14" t="n">
        <v>517.01</v>
      </c>
      <c r="R379" s="14" t="n">
        <v>517.01</v>
      </c>
      <c r="S379" s="14" t="n">
        <v>517.01</v>
      </c>
      <c r="T379" s="14" t="n">
        <v>517.01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CANON-202510-001601</t>
        </is>
      </c>
      <c r="B380" s="15" t="inlineStr">
        <is>
          <t>2025-10-18</t>
        </is>
      </c>
      <c r="C380" s="15" t="inlineStr">
        <is>
          <t>Thaddeus Bellandi</t>
        </is>
      </c>
      <c r="D380" s="15" t="inlineStr">
        <is>
          <t>IL</t>
        </is>
      </c>
      <c r="E380" s="16" t="n">
        <v>895000</v>
      </c>
      <c r="F380" s="16" t="n">
        <v>21143.57</v>
      </c>
      <c r="G380" s="16" t="n">
        <v>2642.95</v>
      </c>
      <c r="H380" s="16" t="n">
        <v>2642.95</v>
      </c>
      <c r="I380" s="16">
        <f>SUM(K380:T380)</f>
        <v/>
      </c>
      <c r="J380" s="16">
        <f>F380-(G380+H380+I380)</f>
        <v/>
      </c>
      <c r="K380" s="16" t="n">
        <v>1585.77</v>
      </c>
      <c r="L380" s="16" t="n">
        <v>1585.77</v>
      </c>
      <c r="M380" s="16" t="n">
        <v>1585.77</v>
      </c>
      <c r="N380" s="16" t="n">
        <v>1585.77</v>
      </c>
      <c r="O380" s="16" t="n">
        <v>1585.77</v>
      </c>
      <c r="P380" s="16" t="n">
        <v>1585.77</v>
      </c>
      <c r="Q380" s="16" t="n">
        <v>1585.77</v>
      </c>
      <c r="R380" s="16" t="n">
        <v>1585.77</v>
      </c>
      <c r="S380" s="16" t="n">
        <v>1585.77</v>
      </c>
      <c r="T380" s="16" t="n">
        <v>1585.77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CANON-202510-001602</t>
        </is>
      </c>
      <c r="B381" s="3" t="inlineStr">
        <is>
          <t>2025-10-23</t>
        </is>
      </c>
      <c r="C381" s="3" t="inlineStr">
        <is>
          <t>Delphine Pennington</t>
        </is>
      </c>
      <c r="D381" s="3" t="inlineStr">
        <is>
          <t>CO</t>
        </is>
      </c>
      <c r="E381" s="14" t="n">
        <v>820000</v>
      </c>
      <c r="F381" s="14" t="n">
        <v>10720.44</v>
      </c>
      <c r="G381" s="14" t="n">
        <v>1340.06</v>
      </c>
      <c r="H381" s="14" t="n">
        <v>1340.06</v>
      </c>
      <c r="I381" s="14">
        <f>SUM(K381:T381)</f>
        <v/>
      </c>
      <c r="J381" s="14">
        <f>F381-(G381+H381+I381)</f>
        <v/>
      </c>
      <c r="K381" s="14" t="n">
        <v>804.03</v>
      </c>
      <c r="L381" s="14" t="n">
        <v>804.03</v>
      </c>
      <c r="M381" s="14" t="n">
        <v>804.03</v>
      </c>
      <c r="N381" s="14" t="n">
        <v>804.03</v>
      </c>
      <c r="O381" s="14" t="n">
        <v>804.03</v>
      </c>
      <c r="P381" s="14" t="n">
        <v>804.03</v>
      </c>
      <c r="Q381" s="14" t="n">
        <v>804.03</v>
      </c>
      <c r="R381" s="14" t="n">
        <v>804.03</v>
      </c>
      <c r="S381" s="14" t="n">
        <v>804.03</v>
      </c>
      <c r="T381" s="14" t="n">
        <v>804.03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CANON-202510-001604</t>
        </is>
      </c>
      <c r="B382" s="15" t="inlineStr">
        <is>
          <t>2025-10-02</t>
        </is>
      </c>
      <c r="C382" s="15" t="inlineStr">
        <is>
          <t>Lorenzo Whitlock</t>
        </is>
      </c>
      <c r="D382" s="15" t="inlineStr">
        <is>
          <t>AK</t>
        </is>
      </c>
      <c r="E382" s="16" t="n">
        <v>215000</v>
      </c>
      <c r="F382" s="16" t="n">
        <v>4123.1</v>
      </c>
      <c r="G382" s="16" t="n">
        <v>515.39</v>
      </c>
      <c r="H382" s="16" t="n">
        <v>515.39</v>
      </c>
      <c r="I382" s="16">
        <f>SUM(K382:T382)</f>
        <v/>
      </c>
      <c r="J382" s="16">
        <f>F382-(G382+H382+I382)</f>
        <v/>
      </c>
      <c r="K382" s="16" t="n">
        <v>309.23</v>
      </c>
      <c r="L382" s="16" t="n">
        <v>309.23</v>
      </c>
      <c r="M382" s="16" t="n">
        <v>309.23</v>
      </c>
      <c r="N382" s="16" t="n">
        <v>309.23</v>
      </c>
      <c r="O382" s="16" t="n">
        <v>309.23</v>
      </c>
      <c r="P382" s="16" t="n">
        <v>309.23</v>
      </c>
      <c r="Q382" s="16" t="n">
        <v>309.23</v>
      </c>
      <c r="R382" s="16" t="n">
        <v>309.23</v>
      </c>
      <c r="S382" s="16" t="n">
        <v>309.23</v>
      </c>
      <c r="T382" s="16" t="n">
        <v>309.23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CANON-202510-001605</t>
        </is>
      </c>
      <c r="B383" s="3" t="inlineStr">
        <is>
          <t>2025-10-09</t>
        </is>
      </c>
      <c r="C383" s="3" t="inlineStr">
        <is>
          <t>Fitzgerald Farkas</t>
        </is>
      </c>
      <c r="D383" s="3" t="inlineStr">
        <is>
          <t>AK</t>
        </is>
      </c>
      <c r="E383" s="14" t="n">
        <v>810000</v>
      </c>
      <c r="F383" s="14" t="n">
        <v>7260.25</v>
      </c>
      <c r="G383" s="14" t="n">
        <v>907.53</v>
      </c>
      <c r="H383" s="14" t="n">
        <v>907.53</v>
      </c>
      <c r="I383" s="14">
        <f>SUM(K383:T383)</f>
        <v/>
      </c>
      <c r="J383" s="14">
        <f>F383-(G383+H383+I383)</f>
        <v/>
      </c>
      <c r="K383" s="14" t="n">
        <v>544.52</v>
      </c>
      <c r="L383" s="14" t="n">
        <v>544.52</v>
      </c>
      <c r="M383" s="14" t="n">
        <v>544.52</v>
      </c>
      <c r="N383" s="14" t="n">
        <v>544.52</v>
      </c>
      <c r="O383" s="14" t="n">
        <v>544.52</v>
      </c>
      <c r="P383" s="14" t="n">
        <v>544.52</v>
      </c>
      <c r="Q383" s="14" t="n">
        <v>544.52</v>
      </c>
      <c r="R383" s="14" t="n">
        <v>544.52</v>
      </c>
      <c r="S383" s="14" t="n">
        <v>544.52</v>
      </c>
      <c r="T383" s="14" t="n">
        <v>544.52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CANON-202510-001606</t>
        </is>
      </c>
      <c r="B384" s="15" t="inlineStr">
        <is>
          <t>2025-10-12</t>
        </is>
      </c>
      <c r="C384" s="15" t="inlineStr">
        <is>
          <t>Delphine Farkas</t>
        </is>
      </c>
      <c r="D384" s="15" t="inlineStr">
        <is>
          <t>GA</t>
        </is>
      </c>
      <c r="E384" s="16" t="n">
        <v>460000</v>
      </c>
      <c r="F384" s="16" t="n">
        <v>10833.44</v>
      </c>
      <c r="G384" s="16" t="n">
        <v>1354.18</v>
      </c>
      <c r="H384" s="16" t="n">
        <v>1354.18</v>
      </c>
      <c r="I384" s="16">
        <f>SUM(K384:T384)</f>
        <v/>
      </c>
      <c r="J384" s="16">
        <f>F384-(G384+H384+I384)</f>
        <v/>
      </c>
      <c r="K384" s="16" t="n">
        <v>812.51</v>
      </c>
      <c r="L384" s="16" t="n">
        <v>812.51</v>
      </c>
      <c r="M384" s="16" t="n">
        <v>812.51</v>
      </c>
      <c r="N384" s="16" t="n">
        <v>812.51</v>
      </c>
      <c r="O384" s="16" t="n">
        <v>812.51</v>
      </c>
      <c r="P384" s="16" t="n">
        <v>812.51</v>
      </c>
      <c r="Q384" s="16" t="n">
        <v>812.51</v>
      </c>
      <c r="R384" s="16" t="n">
        <v>812.51</v>
      </c>
      <c r="S384" s="16" t="n">
        <v>812.51</v>
      </c>
      <c r="T384" s="16" t="n">
        <v>812.51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CANON-202510-001607</t>
        </is>
      </c>
      <c r="B385" s="3" t="inlineStr">
        <is>
          <t>2025-10-27</t>
        </is>
      </c>
      <c r="C385" s="3" t="inlineStr">
        <is>
          <t>Leopold Ashcombe</t>
        </is>
      </c>
      <c r="D385" s="3" t="inlineStr">
        <is>
          <t>CA</t>
        </is>
      </c>
      <c r="E385" s="14" t="n">
        <v>220000</v>
      </c>
      <c r="F385" s="14" t="n">
        <v>4996.17</v>
      </c>
      <c r="G385" s="14" t="n">
        <v>624.52</v>
      </c>
      <c r="H385" s="14" t="n">
        <v>624.52</v>
      </c>
      <c r="I385" s="14">
        <f>SUM(K385:T385)</f>
        <v/>
      </c>
      <c r="J385" s="14">
        <f>F385-(G385+H385+I385)</f>
        <v/>
      </c>
      <c r="K385" s="14" t="n">
        <v>374.71</v>
      </c>
      <c r="L385" s="14" t="n">
        <v>374.71</v>
      </c>
      <c r="M385" s="14" t="n">
        <v>374.71</v>
      </c>
      <c r="N385" s="14" t="n">
        <v>374.71</v>
      </c>
      <c r="O385" s="14" t="n">
        <v>374.71</v>
      </c>
      <c r="P385" s="14" t="n">
        <v>374.71</v>
      </c>
      <c r="Q385" s="14" t="n">
        <v>374.71</v>
      </c>
      <c r="R385" s="14" t="n">
        <v>374.71</v>
      </c>
      <c r="S385" s="14" t="n">
        <v>374.71</v>
      </c>
      <c r="T385" s="14" t="n">
        <v>374.71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CANON-202510-001608</t>
        </is>
      </c>
      <c r="B386" s="15" t="inlineStr">
        <is>
          <t>2025-10-11</t>
        </is>
      </c>
      <c r="C386" s="15" t="inlineStr">
        <is>
          <t>Sunniva Chattopadhyay</t>
        </is>
      </c>
      <c r="D386" s="15" t="inlineStr">
        <is>
          <t>TX</t>
        </is>
      </c>
      <c r="E386" s="16" t="n">
        <v>255000</v>
      </c>
      <c r="F386" s="16" t="n">
        <v>4718.61</v>
      </c>
      <c r="G386" s="16" t="n">
        <v>589.83</v>
      </c>
      <c r="H386" s="16" t="n">
        <v>589.83</v>
      </c>
      <c r="I386" s="16">
        <f>SUM(K386:T386)</f>
        <v/>
      </c>
      <c r="J386" s="16">
        <f>F386-(G386+H386+I386)</f>
        <v/>
      </c>
      <c r="K386" s="16" t="n">
        <v>353.9</v>
      </c>
      <c r="L386" s="16" t="n">
        <v>353.9</v>
      </c>
      <c r="M386" s="16" t="n">
        <v>353.9</v>
      </c>
      <c r="N386" s="16" t="n">
        <v>353.9</v>
      </c>
      <c r="O386" s="16" t="n">
        <v>353.9</v>
      </c>
      <c r="P386" s="16" t="n">
        <v>353.9</v>
      </c>
      <c r="Q386" s="16" t="n">
        <v>353.9</v>
      </c>
      <c r="R386" s="16" t="n">
        <v>353.9</v>
      </c>
      <c r="S386" s="16" t="n">
        <v>353.9</v>
      </c>
      <c r="T386" s="16" t="n">
        <v>353.9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CANON-202510-001610</t>
        </is>
      </c>
      <c r="B387" s="3" t="inlineStr">
        <is>
          <t>2025-10-21</t>
        </is>
      </c>
      <c r="C387" s="3" t="inlineStr">
        <is>
          <t>Ingrid Larsson</t>
        </is>
      </c>
      <c r="D387" s="3" t="inlineStr">
        <is>
          <t>AR</t>
        </is>
      </c>
      <c r="E387" s="14" t="n">
        <v>690000</v>
      </c>
      <c r="F387" s="14" t="n">
        <v>11317.07</v>
      </c>
      <c r="G387" s="14" t="n">
        <v>1414.63</v>
      </c>
      <c r="H387" s="14" t="n">
        <v>1414.63</v>
      </c>
      <c r="I387" s="14">
        <f>SUM(K387:T387)</f>
        <v/>
      </c>
      <c r="J387" s="14">
        <f>F387-(G387+H387+I387)</f>
        <v/>
      </c>
      <c r="K387" s="14" t="n">
        <v>848.78</v>
      </c>
      <c r="L387" s="14" t="n">
        <v>848.78</v>
      </c>
      <c r="M387" s="14" t="n">
        <v>848.78</v>
      </c>
      <c r="N387" s="14" t="n">
        <v>848.78</v>
      </c>
      <c r="O387" s="14" t="n">
        <v>848.78</v>
      </c>
      <c r="P387" s="14" t="n">
        <v>848.78</v>
      </c>
      <c r="Q387" s="14" t="n">
        <v>848.78</v>
      </c>
      <c r="R387" s="14" t="n">
        <v>848.78</v>
      </c>
      <c r="S387" s="14" t="n">
        <v>848.78</v>
      </c>
      <c r="T387" s="14" t="n">
        <v>848.78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CANON-202510-001612</t>
        </is>
      </c>
      <c r="B388" s="15" t="inlineStr">
        <is>
          <t>2025-10-16</t>
        </is>
      </c>
      <c r="C388" s="15" t="inlineStr">
        <is>
          <t>Aurelio Vasquez</t>
        </is>
      </c>
      <c r="D388" s="15" t="inlineStr">
        <is>
          <t>MO</t>
        </is>
      </c>
      <c r="E388" s="16" t="n">
        <v>1245000</v>
      </c>
      <c r="F388" s="16" t="n">
        <v>19304.47</v>
      </c>
      <c r="G388" s="16" t="n">
        <v>2413.06</v>
      </c>
      <c r="H388" s="16" t="n">
        <v>2413.06</v>
      </c>
      <c r="I388" s="16">
        <f>SUM(K388:T388)</f>
        <v/>
      </c>
      <c r="J388" s="16">
        <f>F388-(G388+H388+I388)</f>
        <v/>
      </c>
      <c r="K388" s="16" t="n">
        <v>1447.84</v>
      </c>
      <c r="L388" s="16" t="n">
        <v>1447.84</v>
      </c>
      <c r="M388" s="16" t="n">
        <v>1447.84</v>
      </c>
      <c r="N388" s="16" t="n">
        <v>1447.84</v>
      </c>
      <c r="O388" s="16" t="n">
        <v>1447.84</v>
      </c>
      <c r="P388" s="16" t="n">
        <v>1447.84</v>
      </c>
      <c r="Q388" s="16" t="n">
        <v>1447.84</v>
      </c>
      <c r="R388" s="16" t="n">
        <v>1447.84</v>
      </c>
      <c r="S388" s="16" t="n">
        <v>1447.84</v>
      </c>
      <c r="T388" s="16" t="n">
        <v>1447.84</v>
      </c>
      <c r="U388" s="16" t="n">
        <v>350</v>
      </c>
      <c r="V388" s="16" t="n">
        <v>250</v>
      </c>
      <c r="W388" s="16">
        <f>U388+V388</f>
        <v/>
      </c>
    </row>
    <row r="389">
      <c r="A389" s="3" t="inlineStr">
        <is>
          <t>CANON-202510-001616</t>
        </is>
      </c>
      <c r="B389" s="3" t="inlineStr">
        <is>
          <t>2025-10-15</t>
        </is>
      </c>
      <c r="C389" s="3" t="inlineStr">
        <is>
          <t>Everett Blackwood</t>
        </is>
      </c>
      <c r="D389" s="3" t="inlineStr">
        <is>
          <t>ME</t>
        </is>
      </c>
      <c r="E389" s="14" t="n">
        <v>1950000</v>
      </c>
      <c r="F389" s="14" t="n">
        <v>21179.41</v>
      </c>
      <c r="G389" s="14" t="n">
        <v>2647.43</v>
      </c>
      <c r="H389" s="14" t="n">
        <v>2647.43</v>
      </c>
      <c r="I389" s="14">
        <f>SUM(K389:T389)</f>
        <v/>
      </c>
      <c r="J389" s="14">
        <f>F389-(G389+H389+I389)</f>
        <v/>
      </c>
      <c r="K389" s="14" t="n">
        <v>1588.46</v>
      </c>
      <c r="L389" s="14" t="n">
        <v>1588.46</v>
      </c>
      <c r="M389" s="14" t="n">
        <v>1588.46</v>
      </c>
      <c r="N389" s="14" t="n">
        <v>1588.46</v>
      </c>
      <c r="O389" s="14" t="n">
        <v>1588.46</v>
      </c>
      <c r="P389" s="14" t="n">
        <v>1588.46</v>
      </c>
      <c r="Q389" s="14" t="n">
        <v>1588.46</v>
      </c>
      <c r="R389" s="14" t="n">
        <v>1588.46</v>
      </c>
      <c r="S389" s="14" t="n">
        <v>1588.46</v>
      </c>
      <c r="T389" s="14" t="n">
        <v>1588.46</v>
      </c>
      <c r="U389" s="14" t="n">
        <v>350</v>
      </c>
      <c r="V389" s="14" t="n">
        <v>250</v>
      </c>
      <c r="W389" s="14">
        <f>U389+V389</f>
        <v/>
      </c>
    </row>
    <row r="390">
      <c r="A390" s="15" t="inlineStr">
        <is>
          <t>CANON-202510-001617</t>
        </is>
      </c>
      <c r="B390" s="15" t="inlineStr">
        <is>
          <t>2025-10-20</t>
        </is>
      </c>
      <c r="C390" s="15" t="inlineStr">
        <is>
          <t>Callum Castellanos</t>
        </is>
      </c>
      <c r="D390" s="15" t="inlineStr">
        <is>
          <t>PA</t>
        </is>
      </c>
      <c r="E390" s="16" t="n">
        <v>400000</v>
      </c>
      <c r="F390" s="16" t="n">
        <v>8411.059999999999</v>
      </c>
      <c r="G390" s="16" t="n">
        <v>1051.38</v>
      </c>
      <c r="H390" s="16" t="n">
        <v>1051.38</v>
      </c>
      <c r="I390" s="16">
        <f>SUM(K390:T390)</f>
        <v/>
      </c>
      <c r="J390" s="16">
        <f>F390-(G390+H390+I390)</f>
        <v/>
      </c>
      <c r="K390" s="16" t="n">
        <v>630.83</v>
      </c>
      <c r="L390" s="16" t="n">
        <v>630.83</v>
      </c>
      <c r="M390" s="16" t="n">
        <v>630.83</v>
      </c>
      <c r="N390" s="16" t="n">
        <v>630.83</v>
      </c>
      <c r="O390" s="16" t="n">
        <v>630.83</v>
      </c>
      <c r="P390" s="16" t="n">
        <v>630.83</v>
      </c>
      <c r="Q390" s="16" t="n">
        <v>630.83</v>
      </c>
      <c r="R390" s="16" t="n">
        <v>630.83</v>
      </c>
      <c r="S390" s="16" t="n">
        <v>630.83</v>
      </c>
      <c r="T390" s="16" t="n">
        <v>630.83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CANON-202510-001618</t>
        </is>
      </c>
      <c r="B391" s="3" t="inlineStr">
        <is>
          <t>2025-10-11</t>
        </is>
      </c>
      <c r="C391" s="3" t="inlineStr">
        <is>
          <t>Desmond Fairweather</t>
        </is>
      </c>
      <c r="D391" s="3" t="inlineStr">
        <is>
          <t>NJ</t>
        </is>
      </c>
      <c r="E391" s="14" t="n">
        <v>440000</v>
      </c>
      <c r="F391" s="14" t="n">
        <v>5490.96</v>
      </c>
      <c r="G391" s="14" t="n">
        <v>686.37</v>
      </c>
      <c r="H391" s="14" t="n">
        <v>686.37</v>
      </c>
      <c r="I391" s="14">
        <f>SUM(K391:T391)</f>
        <v/>
      </c>
      <c r="J391" s="14">
        <f>F391-(G391+H391+I391)</f>
        <v/>
      </c>
      <c r="K391" s="14" t="n">
        <v>411.82</v>
      </c>
      <c r="L391" s="14" t="n">
        <v>411.82</v>
      </c>
      <c r="M391" s="14" t="n">
        <v>411.82</v>
      </c>
      <c r="N391" s="14" t="n">
        <v>411.82</v>
      </c>
      <c r="O391" s="14" t="n">
        <v>411.82</v>
      </c>
      <c r="P391" s="14" t="n">
        <v>411.82</v>
      </c>
      <c r="Q391" s="14" t="n">
        <v>411.82</v>
      </c>
      <c r="R391" s="14" t="n">
        <v>411.82</v>
      </c>
      <c r="S391" s="14" t="n">
        <v>411.82</v>
      </c>
      <c r="T391" s="14" t="n">
        <v>411.82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CANON-202510-001619</t>
        </is>
      </c>
      <c r="B392" s="15" t="inlineStr">
        <is>
          <t>2025-10-27</t>
        </is>
      </c>
      <c r="C392" s="15" t="inlineStr">
        <is>
          <t>Wilhelmina Whitlock</t>
        </is>
      </c>
      <c r="D392" s="15" t="inlineStr">
        <is>
          <t>NM</t>
        </is>
      </c>
      <c r="E392" s="16" t="n">
        <v>155000</v>
      </c>
      <c r="F392" s="16" t="n">
        <v>5151.37</v>
      </c>
      <c r="G392" s="16" t="n">
        <v>643.92</v>
      </c>
      <c r="H392" s="16" t="n">
        <v>643.92</v>
      </c>
      <c r="I392" s="16">
        <f>SUM(K392:T392)</f>
        <v/>
      </c>
      <c r="J392" s="16">
        <f>F392-(G392+H392+I392)</f>
        <v/>
      </c>
      <c r="K392" s="16" t="n">
        <v>386.35</v>
      </c>
      <c r="L392" s="16" t="n">
        <v>386.35</v>
      </c>
      <c r="M392" s="16" t="n">
        <v>386.35</v>
      </c>
      <c r="N392" s="16" t="n">
        <v>386.35</v>
      </c>
      <c r="O392" s="16" t="n">
        <v>386.35</v>
      </c>
      <c r="P392" s="16" t="n">
        <v>386.35</v>
      </c>
      <c r="Q392" s="16" t="n">
        <v>386.35</v>
      </c>
      <c r="R392" s="16" t="n">
        <v>386.35</v>
      </c>
      <c r="S392" s="16" t="n">
        <v>386.35</v>
      </c>
      <c r="T392" s="16" t="n">
        <v>386.35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CANON-202510-001621</t>
        </is>
      </c>
      <c r="B393" s="3" t="inlineStr">
        <is>
          <t>2025-10-02</t>
        </is>
      </c>
      <c r="C393" s="3" t="inlineStr">
        <is>
          <t>Desmond Fairweather</t>
        </is>
      </c>
      <c r="D393" s="3" t="inlineStr">
        <is>
          <t>ID</t>
        </is>
      </c>
      <c r="E393" s="14" t="n">
        <v>355000</v>
      </c>
      <c r="F393" s="14" t="n">
        <v>4819.67</v>
      </c>
      <c r="G393" s="14" t="n">
        <v>602.46</v>
      </c>
      <c r="H393" s="14" t="n">
        <v>602.46</v>
      </c>
      <c r="I393" s="14">
        <f>SUM(K393:T393)</f>
        <v/>
      </c>
      <c r="J393" s="14">
        <f>F393-(G393+H393+I393)</f>
        <v/>
      </c>
      <c r="K393" s="14" t="n">
        <v>361.48</v>
      </c>
      <c r="L393" s="14" t="n">
        <v>361.48</v>
      </c>
      <c r="M393" s="14" t="n">
        <v>361.48</v>
      </c>
      <c r="N393" s="14" t="n">
        <v>361.48</v>
      </c>
      <c r="O393" s="14" t="n">
        <v>361.48</v>
      </c>
      <c r="P393" s="14" t="n">
        <v>361.48</v>
      </c>
      <c r="Q393" s="14" t="n">
        <v>361.48</v>
      </c>
      <c r="R393" s="14" t="n">
        <v>361.48</v>
      </c>
      <c r="S393" s="14" t="n">
        <v>361.48</v>
      </c>
      <c r="T393" s="14" t="n">
        <v>361.48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CANON-202510-001622</t>
        </is>
      </c>
      <c r="B394" s="15" t="inlineStr">
        <is>
          <t>2025-10-10</t>
        </is>
      </c>
      <c r="C394" s="15" t="inlineStr">
        <is>
          <t>Priya Ashcombe</t>
        </is>
      </c>
      <c r="D394" s="15" t="inlineStr">
        <is>
          <t>TX</t>
        </is>
      </c>
      <c r="E394" s="16" t="n">
        <v>740000</v>
      </c>
      <c r="F394" s="16" t="n">
        <v>6691</v>
      </c>
      <c r="G394" s="16" t="n">
        <v>836.38</v>
      </c>
      <c r="H394" s="16" t="n">
        <v>836.38</v>
      </c>
      <c r="I394" s="16">
        <f>SUM(K394:T394)</f>
        <v/>
      </c>
      <c r="J394" s="16">
        <f>F394-(G394+H394+I394)</f>
        <v/>
      </c>
      <c r="K394" s="16" t="n">
        <v>501.82</v>
      </c>
      <c r="L394" s="16" t="n">
        <v>501.82</v>
      </c>
      <c r="M394" s="16" t="n">
        <v>501.82</v>
      </c>
      <c r="N394" s="16" t="n">
        <v>501.82</v>
      </c>
      <c r="O394" s="16" t="n">
        <v>501.82</v>
      </c>
      <c r="P394" s="16" t="n">
        <v>501.82</v>
      </c>
      <c r="Q394" s="16" t="n">
        <v>501.82</v>
      </c>
      <c r="R394" s="16" t="n">
        <v>501.82</v>
      </c>
      <c r="S394" s="16" t="n">
        <v>501.82</v>
      </c>
      <c r="T394" s="16" t="n">
        <v>501.82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CANON-202510-001623</t>
        </is>
      </c>
      <c r="B395" s="3" t="inlineStr">
        <is>
          <t>2025-10-03</t>
        </is>
      </c>
      <c r="C395" s="3" t="inlineStr">
        <is>
          <t>Ramona Kingsford</t>
        </is>
      </c>
      <c r="D395" s="3" t="inlineStr">
        <is>
          <t>MN</t>
        </is>
      </c>
      <c r="E395" s="14" t="n">
        <v>290000</v>
      </c>
      <c r="F395" s="14" t="n">
        <v>5249.6</v>
      </c>
      <c r="G395" s="14" t="n">
        <v>656.2</v>
      </c>
      <c r="H395" s="14" t="n">
        <v>656.2</v>
      </c>
      <c r="I395" s="14">
        <f>SUM(K395:T395)</f>
        <v/>
      </c>
      <c r="J395" s="14">
        <f>F395-(G395+H395+I395)</f>
        <v/>
      </c>
      <c r="K395" s="14" t="n">
        <v>393.72</v>
      </c>
      <c r="L395" s="14" t="n">
        <v>393.72</v>
      </c>
      <c r="M395" s="14" t="n">
        <v>393.72</v>
      </c>
      <c r="N395" s="14" t="n">
        <v>393.72</v>
      </c>
      <c r="O395" s="14" t="n">
        <v>393.72</v>
      </c>
      <c r="P395" s="14" t="n">
        <v>393.72</v>
      </c>
      <c r="Q395" s="14" t="n">
        <v>393.72</v>
      </c>
      <c r="R395" s="14" t="n">
        <v>393.72</v>
      </c>
      <c r="S395" s="14" t="n">
        <v>393.72</v>
      </c>
      <c r="T395" s="14" t="n">
        <v>393.72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CANON-202510-001624</t>
        </is>
      </c>
      <c r="B396" s="15" t="inlineStr">
        <is>
          <t>2025-10-18</t>
        </is>
      </c>
      <c r="C396" s="15" t="inlineStr">
        <is>
          <t>Noor Vasquez</t>
        </is>
      </c>
      <c r="D396" s="15" t="inlineStr">
        <is>
          <t>WA</t>
        </is>
      </c>
      <c r="E396" s="16" t="n">
        <v>345000</v>
      </c>
      <c r="F396" s="16" t="n">
        <v>4541.97</v>
      </c>
      <c r="G396" s="16" t="n">
        <v>567.75</v>
      </c>
      <c r="H396" s="16" t="n">
        <v>567.75</v>
      </c>
      <c r="I396" s="16">
        <f>SUM(K396:T396)</f>
        <v/>
      </c>
      <c r="J396" s="16">
        <f>F396-(G396+H396+I396)</f>
        <v/>
      </c>
      <c r="K396" s="16" t="n">
        <v>340.65</v>
      </c>
      <c r="L396" s="16" t="n">
        <v>340.65</v>
      </c>
      <c r="M396" s="16" t="n">
        <v>340.65</v>
      </c>
      <c r="N396" s="16" t="n">
        <v>340.65</v>
      </c>
      <c r="O396" s="16" t="n">
        <v>340.65</v>
      </c>
      <c r="P396" s="16" t="n">
        <v>340.65</v>
      </c>
      <c r="Q396" s="16" t="n">
        <v>340.65</v>
      </c>
      <c r="R396" s="16" t="n">
        <v>340.65</v>
      </c>
      <c r="S396" s="16" t="n">
        <v>340.65</v>
      </c>
      <c r="T396" s="16" t="n">
        <v>340.65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CANON-202510-001625</t>
        </is>
      </c>
      <c r="B397" s="3" t="inlineStr">
        <is>
          <t>2025-10-09</t>
        </is>
      </c>
      <c r="C397" s="3" t="inlineStr">
        <is>
          <t>Sunniva Pennington</t>
        </is>
      </c>
      <c r="D397" s="3" t="inlineStr">
        <is>
          <t>NH</t>
        </is>
      </c>
      <c r="E397" s="14" t="n">
        <v>545000</v>
      </c>
      <c r="F397" s="14" t="n">
        <v>6736.52</v>
      </c>
      <c r="G397" s="14" t="n">
        <v>842.0700000000001</v>
      </c>
      <c r="H397" s="14" t="n">
        <v>842.0700000000001</v>
      </c>
      <c r="I397" s="14">
        <f>SUM(K397:T397)</f>
        <v/>
      </c>
      <c r="J397" s="14">
        <f>F397-(G397+H397+I397)</f>
        <v/>
      </c>
      <c r="K397" s="14" t="n">
        <v>505.24</v>
      </c>
      <c r="L397" s="14" t="n">
        <v>505.24</v>
      </c>
      <c r="M397" s="14" t="n">
        <v>505.24</v>
      </c>
      <c r="N397" s="14" t="n">
        <v>505.24</v>
      </c>
      <c r="O397" s="14" t="n">
        <v>505.24</v>
      </c>
      <c r="P397" s="14" t="n">
        <v>505.24</v>
      </c>
      <c r="Q397" s="14" t="n">
        <v>505.24</v>
      </c>
      <c r="R397" s="14" t="n">
        <v>505.24</v>
      </c>
      <c r="S397" s="14" t="n">
        <v>505.24</v>
      </c>
      <c r="T397" s="14" t="n">
        <v>505.24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CANON-202510-001626</t>
        </is>
      </c>
      <c r="B398" s="15" t="inlineStr">
        <is>
          <t>2025-10-15</t>
        </is>
      </c>
      <c r="C398" s="15" t="inlineStr">
        <is>
          <t>Cassius Okonkwo</t>
        </is>
      </c>
      <c r="D398" s="15" t="inlineStr">
        <is>
          <t>AZ</t>
        </is>
      </c>
      <c r="E398" s="16" t="n">
        <v>310000</v>
      </c>
      <c r="F398" s="16" t="n">
        <v>6583.76</v>
      </c>
      <c r="G398" s="16" t="n">
        <v>822.97</v>
      </c>
      <c r="H398" s="16" t="n">
        <v>822.97</v>
      </c>
      <c r="I398" s="16">
        <f>SUM(K398:T398)</f>
        <v/>
      </c>
      <c r="J398" s="16">
        <f>F398-(G398+H398+I398)</f>
        <v/>
      </c>
      <c r="K398" s="16" t="n">
        <v>493.78</v>
      </c>
      <c r="L398" s="16" t="n">
        <v>493.78</v>
      </c>
      <c r="M398" s="16" t="n">
        <v>493.78</v>
      </c>
      <c r="N398" s="16" t="n">
        <v>493.78</v>
      </c>
      <c r="O398" s="16" t="n">
        <v>493.78</v>
      </c>
      <c r="P398" s="16" t="n">
        <v>493.78</v>
      </c>
      <c r="Q398" s="16" t="n">
        <v>493.78</v>
      </c>
      <c r="R398" s="16" t="n">
        <v>493.78</v>
      </c>
      <c r="S398" s="16" t="n">
        <v>493.78</v>
      </c>
      <c r="T398" s="16" t="n">
        <v>493.78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CANON-202510-001627</t>
        </is>
      </c>
      <c r="B399" s="3" t="inlineStr">
        <is>
          <t>2025-10-30</t>
        </is>
      </c>
      <c r="C399" s="3" t="inlineStr">
        <is>
          <t>Marisol Rourke</t>
        </is>
      </c>
      <c r="D399" s="3" t="inlineStr">
        <is>
          <t>UT</t>
        </is>
      </c>
      <c r="E399" s="14" t="n">
        <v>715000</v>
      </c>
      <c r="F399" s="14" t="n">
        <v>7589.28</v>
      </c>
      <c r="G399" s="14" t="n">
        <v>948.66</v>
      </c>
      <c r="H399" s="14" t="n">
        <v>948.66</v>
      </c>
      <c r="I399" s="14">
        <f>SUM(K399:T399)</f>
        <v/>
      </c>
      <c r="J399" s="14">
        <f>F399-(G399+H399+I399)</f>
        <v/>
      </c>
      <c r="K399" s="14" t="n">
        <v>569.2</v>
      </c>
      <c r="L399" s="14" t="n">
        <v>569.2</v>
      </c>
      <c r="M399" s="14" t="n">
        <v>569.2</v>
      </c>
      <c r="N399" s="14" t="n">
        <v>569.2</v>
      </c>
      <c r="O399" s="14" t="n">
        <v>569.2</v>
      </c>
      <c r="P399" s="14" t="n">
        <v>569.2</v>
      </c>
      <c r="Q399" s="14" t="n">
        <v>569.2</v>
      </c>
      <c r="R399" s="14" t="n">
        <v>569.2</v>
      </c>
      <c r="S399" s="14" t="n">
        <v>569.2</v>
      </c>
      <c r="T399" s="14" t="n">
        <v>569.2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CANON-202510-001628</t>
        </is>
      </c>
      <c r="B400" s="15" t="inlineStr">
        <is>
          <t>2025-10-12</t>
        </is>
      </c>
      <c r="C400" s="15" t="inlineStr">
        <is>
          <t>Wilhelmina Thistlewood</t>
        </is>
      </c>
      <c r="D400" s="15" t="inlineStr">
        <is>
          <t>NV</t>
        </is>
      </c>
      <c r="E400" s="16" t="n">
        <v>365000</v>
      </c>
      <c r="F400" s="16" t="n">
        <v>8979.860000000001</v>
      </c>
      <c r="G400" s="16" t="n">
        <v>1122.48</v>
      </c>
      <c r="H400" s="16" t="n">
        <v>1122.48</v>
      </c>
      <c r="I400" s="16">
        <f>SUM(K400:T400)</f>
        <v/>
      </c>
      <c r="J400" s="16">
        <f>F400-(G400+H400+I400)</f>
        <v/>
      </c>
      <c r="K400" s="16" t="n">
        <v>673.49</v>
      </c>
      <c r="L400" s="16" t="n">
        <v>673.49</v>
      </c>
      <c r="M400" s="16" t="n">
        <v>673.49</v>
      </c>
      <c r="N400" s="16" t="n">
        <v>673.49</v>
      </c>
      <c r="O400" s="16" t="n">
        <v>673.49</v>
      </c>
      <c r="P400" s="16" t="n">
        <v>673.49</v>
      </c>
      <c r="Q400" s="16" t="n">
        <v>673.49</v>
      </c>
      <c r="R400" s="16" t="n">
        <v>673.49</v>
      </c>
      <c r="S400" s="16" t="n">
        <v>673.49</v>
      </c>
      <c r="T400" s="16" t="n">
        <v>673.49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CANON-202510-001629</t>
        </is>
      </c>
      <c r="B401" s="3" t="inlineStr">
        <is>
          <t>2025-10-05</t>
        </is>
      </c>
      <c r="C401" s="3" t="inlineStr">
        <is>
          <t>Anouk Whitlock</t>
        </is>
      </c>
      <c r="D401" s="3" t="inlineStr">
        <is>
          <t>NY</t>
        </is>
      </c>
      <c r="E401" s="14" t="n">
        <v>385000</v>
      </c>
      <c r="F401" s="14" t="n">
        <v>6758.1</v>
      </c>
      <c r="G401" s="14" t="n">
        <v>844.76</v>
      </c>
      <c r="H401" s="14" t="n">
        <v>844.76</v>
      </c>
      <c r="I401" s="14">
        <f>SUM(K401:T401)</f>
        <v/>
      </c>
      <c r="J401" s="14">
        <f>F401-(G401+H401+I401)</f>
        <v/>
      </c>
      <c r="K401" s="14" t="n">
        <v>506.86</v>
      </c>
      <c r="L401" s="14" t="n">
        <v>506.86</v>
      </c>
      <c r="M401" s="14" t="n">
        <v>506.86</v>
      </c>
      <c r="N401" s="14" t="n">
        <v>506.86</v>
      </c>
      <c r="O401" s="14" t="n">
        <v>506.86</v>
      </c>
      <c r="P401" s="14" t="n">
        <v>506.86</v>
      </c>
      <c r="Q401" s="14" t="n">
        <v>506.86</v>
      </c>
      <c r="R401" s="14" t="n">
        <v>506.86</v>
      </c>
      <c r="S401" s="14" t="n">
        <v>506.86</v>
      </c>
      <c r="T401" s="14" t="n">
        <v>506.86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CANON-202510-001630</t>
        </is>
      </c>
      <c r="B402" s="15" t="inlineStr">
        <is>
          <t>2025-10-20</t>
        </is>
      </c>
      <c r="C402" s="15" t="inlineStr">
        <is>
          <t>Mireille Bellandi</t>
        </is>
      </c>
      <c r="D402" s="15" t="inlineStr">
        <is>
          <t>MT</t>
        </is>
      </c>
      <c r="E402" s="16" t="n">
        <v>1950000</v>
      </c>
      <c r="F402" s="16" t="n">
        <v>18237.82</v>
      </c>
      <c r="G402" s="16" t="n">
        <v>2279.73</v>
      </c>
      <c r="H402" s="16" t="n">
        <v>2279.73</v>
      </c>
      <c r="I402" s="16">
        <f>SUM(K402:T402)</f>
        <v/>
      </c>
      <c r="J402" s="16">
        <f>F402-(G402+H402+I402)</f>
        <v/>
      </c>
      <c r="K402" s="16" t="n">
        <v>1367.84</v>
      </c>
      <c r="L402" s="16" t="n">
        <v>1367.84</v>
      </c>
      <c r="M402" s="16" t="n">
        <v>1367.84</v>
      </c>
      <c r="N402" s="16" t="n">
        <v>1367.84</v>
      </c>
      <c r="O402" s="16" t="n">
        <v>1367.84</v>
      </c>
      <c r="P402" s="16" t="n">
        <v>1367.84</v>
      </c>
      <c r="Q402" s="16" t="n">
        <v>1367.84</v>
      </c>
      <c r="R402" s="16" t="n">
        <v>1367.84</v>
      </c>
      <c r="S402" s="16" t="n">
        <v>1367.84</v>
      </c>
      <c r="T402" s="16" t="n">
        <v>1367.84</v>
      </c>
      <c r="U402" s="16" t="n">
        <v>350</v>
      </c>
      <c r="V402" s="16" t="n">
        <v>250</v>
      </c>
      <c r="W402" s="16">
        <f>U402+V402</f>
        <v/>
      </c>
    </row>
    <row r="403">
      <c r="A403" s="3" t="inlineStr">
        <is>
          <t>CANON-202510-001631</t>
        </is>
      </c>
      <c r="B403" s="3" t="inlineStr">
        <is>
          <t>2025-10-20</t>
        </is>
      </c>
      <c r="C403" s="3" t="inlineStr">
        <is>
          <t>Callum Kingsford</t>
        </is>
      </c>
      <c r="D403" s="3" t="inlineStr">
        <is>
          <t>WA</t>
        </is>
      </c>
      <c r="E403" s="14" t="n">
        <v>285000</v>
      </c>
      <c r="F403" s="14" t="n">
        <v>3752.06</v>
      </c>
      <c r="G403" s="14" t="n">
        <v>469.01</v>
      </c>
      <c r="H403" s="14" t="n">
        <v>469.01</v>
      </c>
      <c r="I403" s="14">
        <f>SUM(K403:T403)</f>
        <v/>
      </c>
      <c r="J403" s="14">
        <f>F403-(G403+H403+I403)</f>
        <v/>
      </c>
      <c r="K403" s="14" t="n">
        <v>281.4</v>
      </c>
      <c r="L403" s="14" t="n">
        <v>281.4</v>
      </c>
      <c r="M403" s="14" t="n">
        <v>281.4</v>
      </c>
      <c r="N403" s="14" t="n">
        <v>281.4</v>
      </c>
      <c r="O403" s="14" t="n">
        <v>281.4</v>
      </c>
      <c r="P403" s="14" t="n">
        <v>281.4</v>
      </c>
      <c r="Q403" s="14" t="n">
        <v>281.4</v>
      </c>
      <c r="R403" s="14" t="n">
        <v>281.4</v>
      </c>
      <c r="S403" s="14" t="n">
        <v>281.4</v>
      </c>
      <c r="T403" s="14" t="n">
        <v>281.4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CANON-202510-001633</t>
        </is>
      </c>
      <c r="B404" s="15" t="inlineStr">
        <is>
          <t>2025-10-12</t>
        </is>
      </c>
      <c r="C404" s="15" t="inlineStr">
        <is>
          <t>Delphine Underwood</t>
        </is>
      </c>
      <c r="D404" s="15" t="inlineStr">
        <is>
          <t>MA</t>
        </is>
      </c>
      <c r="E404" s="16" t="n">
        <v>820000</v>
      </c>
      <c r="F404" s="16" t="n">
        <v>12182.31</v>
      </c>
      <c r="G404" s="16" t="n">
        <v>1522.79</v>
      </c>
      <c r="H404" s="16" t="n">
        <v>1522.79</v>
      </c>
      <c r="I404" s="16">
        <f>SUM(K404:T404)</f>
        <v/>
      </c>
      <c r="J404" s="16">
        <f>F404-(G404+H404+I404)</f>
        <v/>
      </c>
      <c r="K404" s="16" t="n">
        <v>913.67</v>
      </c>
      <c r="L404" s="16" t="n">
        <v>913.67</v>
      </c>
      <c r="M404" s="16" t="n">
        <v>913.67</v>
      </c>
      <c r="N404" s="16" t="n">
        <v>913.67</v>
      </c>
      <c r="O404" s="16" t="n">
        <v>913.67</v>
      </c>
      <c r="P404" s="16" t="n">
        <v>913.67</v>
      </c>
      <c r="Q404" s="16" t="n">
        <v>913.67</v>
      </c>
      <c r="R404" s="16" t="n">
        <v>913.67</v>
      </c>
      <c r="S404" s="16" t="n">
        <v>913.67</v>
      </c>
      <c r="T404" s="16" t="n">
        <v>913.67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CANON-202510-001634</t>
        </is>
      </c>
      <c r="B405" s="3" t="inlineStr">
        <is>
          <t>2025-10-05</t>
        </is>
      </c>
      <c r="C405" s="3" t="inlineStr">
        <is>
          <t>Delphine Farkas</t>
        </is>
      </c>
      <c r="D405" s="3" t="inlineStr">
        <is>
          <t>IN</t>
        </is>
      </c>
      <c r="E405" s="14" t="n">
        <v>705000</v>
      </c>
      <c r="F405" s="14" t="n">
        <v>10306.24</v>
      </c>
      <c r="G405" s="14" t="n">
        <v>1288.28</v>
      </c>
      <c r="H405" s="14" t="n">
        <v>1288.28</v>
      </c>
      <c r="I405" s="14">
        <f>SUM(K405:T405)</f>
        <v/>
      </c>
      <c r="J405" s="14">
        <f>F405-(G405+H405+I405)</f>
        <v/>
      </c>
      <c r="K405" s="14" t="n">
        <v>772.97</v>
      </c>
      <c r="L405" s="14" t="n">
        <v>772.97</v>
      </c>
      <c r="M405" s="14" t="n">
        <v>772.97</v>
      </c>
      <c r="N405" s="14" t="n">
        <v>772.97</v>
      </c>
      <c r="O405" s="14" t="n">
        <v>772.97</v>
      </c>
      <c r="P405" s="14" t="n">
        <v>772.97</v>
      </c>
      <c r="Q405" s="14" t="n">
        <v>772.97</v>
      </c>
      <c r="R405" s="14" t="n">
        <v>772.97</v>
      </c>
      <c r="S405" s="14" t="n">
        <v>772.97</v>
      </c>
      <c r="T405" s="14" t="n">
        <v>772.97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CANON-202510-001635</t>
        </is>
      </c>
      <c r="B406" s="15" t="inlineStr">
        <is>
          <t>2025-10-06</t>
        </is>
      </c>
      <c r="C406" s="15" t="inlineStr">
        <is>
          <t>Cassius Bellandi</t>
        </is>
      </c>
      <c r="D406" s="15" t="inlineStr">
        <is>
          <t>IN</t>
        </is>
      </c>
      <c r="E406" s="16" t="n">
        <v>1205000</v>
      </c>
      <c r="F406" s="16" t="n">
        <v>10298.37</v>
      </c>
      <c r="G406" s="16" t="n">
        <v>1287.3</v>
      </c>
      <c r="H406" s="16" t="n">
        <v>1287.3</v>
      </c>
      <c r="I406" s="16">
        <f>SUM(K406:T406)</f>
        <v/>
      </c>
      <c r="J406" s="16">
        <f>F406-(G406+H406+I406)</f>
        <v/>
      </c>
      <c r="K406" s="16" t="n">
        <v>772.38</v>
      </c>
      <c r="L406" s="16" t="n">
        <v>772.38</v>
      </c>
      <c r="M406" s="16" t="n">
        <v>772.38</v>
      </c>
      <c r="N406" s="16" t="n">
        <v>772.38</v>
      </c>
      <c r="O406" s="16" t="n">
        <v>772.38</v>
      </c>
      <c r="P406" s="16" t="n">
        <v>772.38</v>
      </c>
      <c r="Q406" s="16" t="n">
        <v>772.38</v>
      </c>
      <c r="R406" s="16" t="n">
        <v>772.38</v>
      </c>
      <c r="S406" s="16" t="n">
        <v>772.38</v>
      </c>
      <c r="T406" s="16" t="n">
        <v>772.38</v>
      </c>
      <c r="U406" s="16" t="n">
        <v>350</v>
      </c>
      <c r="V406" s="16" t="n">
        <v>250</v>
      </c>
      <c r="W406" s="16">
        <f>U406+V406</f>
        <v/>
      </c>
    </row>
    <row r="407">
      <c r="A407" s="3" t="inlineStr">
        <is>
          <t>CANON-202510-001636</t>
        </is>
      </c>
      <c r="B407" s="3" t="inlineStr">
        <is>
          <t>2025-10-24</t>
        </is>
      </c>
      <c r="C407" s="3" t="inlineStr">
        <is>
          <t>Priya Farkas</t>
        </is>
      </c>
      <c r="D407" s="3" t="inlineStr">
        <is>
          <t>CA</t>
        </is>
      </c>
      <c r="E407" s="14" t="n">
        <v>515000</v>
      </c>
      <c r="F407" s="14" t="n">
        <v>8263.18</v>
      </c>
      <c r="G407" s="14" t="n">
        <v>1032.9</v>
      </c>
      <c r="H407" s="14" t="n">
        <v>1032.9</v>
      </c>
      <c r="I407" s="14">
        <f>SUM(K407:T407)</f>
        <v/>
      </c>
      <c r="J407" s="14">
        <f>F407-(G407+H407+I407)</f>
        <v/>
      </c>
      <c r="K407" s="14" t="n">
        <v>619.74</v>
      </c>
      <c r="L407" s="14" t="n">
        <v>619.74</v>
      </c>
      <c r="M407" s="14" t="n">
        <v>619.74</v>
      </c>
      <c r="N407" s="14" t="n">
        <v>619.74</v>
      </c>
      <c r="O407" s="14" t="n">
        <v>619.74</v>
      </c>
      <c r="P407" s="14" t="n">
        <v>619.74</v>
      </c>
      <c r="Q407" s="14" t="n">
        <v>619.74</v>
      </c>
      <c r="R407" s="14" t="n">
        <v>619.74</v>
      </c>
      <c r="S407" s="14" t="n">
        <v>619.74</v>
      </c>
      <c r="T407" s="14" t="n">
        <v>619.74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CANON-202510-001638</t>
        </is>
      </c>
      <c r="B408" s="15" t="inlineStr">
        <is>
          <t>2025-10-12</t>
        </is>
      </c>
      <c r="C408" s="15" t="inlineStr">
        <is>
          <t>Emiliano Farkas</t>
        </is>
      </c>
      <c r="D408" s="15" t="inlineStr">
        <is>
          <t>HI</t>
        </is>
      </c>
      <c r="E408" s="16" t="n">
        <v>680000</v>
      </c>
      <c r="F408" s="16" t="n">
        <v>6142.26</v>
      </c>
      <c r="G408" s="16" t="n">
        <v>767.78</v>
      </c>
      <c r="H408" s="16" t="n">
        <v>767.78</v>
      </c>
      <c r="I408" s="16">
        <f>SUM(K408:T408)</f>
        <v/>
      </c>
      <c r="J408" s="16">
        <f>F408-(G408+H408+I408)</f>
        <v/>
      </c>
      <c r="K408" s="16" t="n">
        <v>460.67</v>
      </c>
      <c r="L408" s="16" t="n">
        <v>460.67</v>
      </c>
      <c r="M408" s="16" t="n">
        <v>460.67</v>
      </c>
      <c r="N408" s="16" t="n">
        <v>460.67</v>
      </c>
      <c r="O408" s="16" t="n">
        <v>460.67</v>
      </c>
      <c r="P408" s="16" t="n">
        <v>460.67</v>
      </c>
      <c r="Q408" s="16" t="n">
        <v>460.67</v>
      </c>
      <c r="R408" s="16" t="n">
        <v>460.67</v>
      </c>
      <c r="S408" s="16" t="n">
        <v>460.67</v>
      </c>
      <c r="T408" s="16" t="n">
        <v>460.67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CANON-202510-001639</t>
        </is>
      </c>
      <c r="B409" s="3" t="inlineStr">
        <is>
          <t>2025-10-09</t>
        </is>
      </c>
      <c r="C409" s="3" t="inlineStr">
        <is>
          <t>Mireille Farkas</t>
        </is>
      </c>
      <c r="D409" s="3" t="inlineStr">
        <is>
          <t>IL</t>
        </is>
      </c>
      <c r="E409" s="14" t="n">
        <v>730000</v>
      </c>
      <c r="F409" s="14" t="n">
        <v>7805.9</v>
      </c>
      <c r="G409" s="14" t="n">
        <v>975.74</v>
      </c>
      <c r="H409" s="14" t="n">
        <v>975.74</v>
      </c>
      <c r="I409" s="14">
        <f>SUM(K409:T409)</f>
        <v/>
      </c>
      <c r="J409" s="14">
        <f>F409-(G409+H409+I409)</f>
        <v/>
      </c>
      <c r="K409" s="14" t="n">
        <v>585.4400000000001</v>
      </c>
      <c r="L409" s="14" t="n">
        <v>585.4400000000001</v>
      </c>
      <c r="M409" s="14" t="n">
        <v>585.4400000000001</v>
      </c>
      <c r="N409" s="14" t="n">
        <v>585.4400000000001</v>
      </c>
      <c r="O409" s="14" t="n">
        <v>585.4400000000001</v>
      </c>
      <c r="P409" s="14" t="n">
        <v>585.4400000000001</v>
      </c>
      <c r="Q409" s="14" t="n">
        <v>585.4400000000001</v>
      </c>
      <c r="R409" s="14" t="n">
        <v>585.4400000000001</v>
      </c>
      <c r="S409" s="14" t="n">
        <v>585.4400000000001</v>
      </c>
      <c r="T409" s="14" t="n">
        <v>585.4400000000001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CANON-202510-001640</t>
        </is>
      </c>
      <c r="B410" s="15" t="inlineStr">
        <is>
          <t>2025-10-24</t>
        </is>
      </c>
      <c r="C410" s="15" t="inlineStr">
        <is>
          <t>Anouk Ashcombe</t>
        </is>
      </c>
      <c r="D410" s="15" t="inlineStr">
        <is>
          <t>TX</t>
        </is>
      </c>
      <c r="E410" s="16" t="n">
        <v>560000</v>
      </c>
      <c r="F410" s="16" t="n">
        <v>7654.06</v>
      </c>
      <c r="G410" s="16" t="n">
        <v>956.76</v>
      </c>
      <c r="H410" s="16" t="n">
        <v>956.76</v>
      </c>
      <c r="I410" s="16">
        <f>SUM(K410:T410)</f>
        <v/>
      </c>
      <c r="J410" s="16">
        <f>F410-(G410+H410+I410)</f>
        <v/>
      </c>
      <c r="K410" s="16" t="n">
        <v>574.05</v>
      </c>
      <c r="L410" s="16" t="n">
        <v>574.05</v>
      </c>
      <c r="M410" s="16" t="n">
        <v>574.05</v>
      </c>
      <c r="N410" s="16" t="n">
        <v>574.05</v>
      </c>
      <c r="O410" s="16" t="n">
        <v>574.05</v>
      </c>
      <c r="P410" s="16" t="n">
        <v>574.05</v>
      </c>
      <c r="Q410" s="16" t="n">
        <v>574.05</v>
      </c>
      <c r="R410" s="16" t="n">
        <v>574.05</v>
      </c>
      <c r="S410" s="16" t="n">
        <v>574.05</v>
      </c>
      <c r="T410" s="16" t="n">
        <v>574.05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CANON-202510-001641</t>
        </is>
      </c>
      <c r="B411" s="3" t="inlineStr">
        <is>
          <t>2025-10-28</t>
        </is>
      </c>
      <c r="C411" s="3" t="inlineStr">
        <is>
          <t>Noor Okonkwo</t>
        </is>
      </c>
      <c r="D411" s="3" t="inlineStr">
        <is>
          <t>CA</t>
        </is>
      </c>
      <c r="E411" s="14" t="n">
        <v>1160000</v>
      </c>
      <c r="F411" s="14" t="n">
        <v>22907.33</v>
      </c>
      <c r="G411" s="14" t="n">
        <v>2863.42</v>
      </c>
      <c r="H411" s="14" t="n">
        <v>2863.42</v>
      </c>
      <c r="I411" s="14">
        <f>SUM(K411:T411)</f>
        <v/>
      </c>
      <c r="J411" s="14">
        <f>F411-(G411+H411+I411)</f>
        <v/>
      </c>
      <c r="K411" s="14" t="n">
        <v>1718.05</v>
      </c>
      <c r="L411" s="14" t="n">
        <v>1718.05</v>
      </c>
      <c r="M411" s="14" t="n">
        <v>1718.05</v>
      </c>
      <c r="N411" s="14" t="n">
        <v>1718.05</v>
      </c>
      <c r="O411" s="14" t="n">
        <v>1718.05</v>
      </c>
      <c r="P411" s="14" t="n">
        <v>1718.05</v>
      </c>
      <c r="Q411" s="14" t="n">
        <v>1718.05</v>
      </c>
      <c r="R411" s="14" t="n">
        <v>1718.05</v>
      </c>
      <c r="S411" s="14" t="n">
        <v>1718.05</v>
      </c>
      <c r="T411" s="14" t="n">
        <v>1718.05</v>
      </c>
      <c r="U411" s="14" t="n">
        <v>350</v>
      </c>
      <c r="V411" s="14" t="n">
        <v>250</v>
      </c>
      <c r="W411" s="14">
        <f>U411+V411</f>
        <v/>
      </c>
    </row>
    <row r="412">
      <c r="A412" s="15" t="inlineStr">
        <is>
          <t>CANON-202510-001643</t>
        </is>
      </c>
      <c r="B412" s="15" t="inlineStr">
        <is>
          <t>2025-10-22</t>
        </is>
      </c>
      <c r="C412" s="15" t="inlineStr">
        <is>
          <t>Anouk Farkas</t>
        </is>
      </c>
      <c r="D412" s="15" t="inlineStr">
        <is>
          <t>GA</t>
        </is>
      </c>
      <c r="E412" s="16" t="n">
        <v>915000</v>
      </c>
      <c r="F412" s="16" t="n">
        <v>17801.46</v>
      </c>
      <c r="G412" s="16" t="n">
        <v>2225.18</v>
      </c>
      <c r="H412" s="16" t="n">
        <v>2225.18</v>
      </c>
      <c r="I412" s="16">
        <f>SUM(K412:T412)</f>
        <v/>
      </c>
      <c r="J412" s="16">
        <f>F412-(G412+H412+I412)</f>
        <v/>
      </c>
      <c r="K412" s="16" t="n">
        <v>1335.11</v>
      </c>
      <c r="L412" s="16" t="n">
        <v>1335.11</v>
      </c>
      <c r="M412" s="16" t="n">
        <v>1335.11</v>
      </c>
      <c r="N412" s="16" t="n">
        <v>1335.11</v>
      </c>
      <c r="O412" s="16" t="n">
        <v>1335.11</v>
      </c>
      <c r="P412" s="16" t="n">
        <v>1335.11</v>
      </c>
      <c r="Q412" s="16" t="n">
        <v>1335.11</v>
      </c>
      <c r="R412" s="16" t="n">
        <v>1335.11</v>
      </c>
      <c r="S412" s="16" t="n">
        <v>1335.11</v>
      </c>
      <c r="T412" s="16" t="n">
        <v>1335.11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CANON-202510-001644</t>
        </is>
      </c>
      <c r="B413" s="3" t="inlineStr">
        <is>
          <t>2025-10-28</t>
        </is>
      </c>
      <c r="C413" s="3" t="inlineStr">
        <is>
          <t>Sunniva Ashcombe</t>
        </is>
      </c>
      <c r="D413" s="3" t="inlineStr">
        <is>
          <t>ND</t>
        </is>
      </c>
      <c r="E413" s="14" t="n">
        <v>295000</v>
      </c>
      <c r="F413" s="14" t="n">
        <v>6327.22</v>
      </c>
      <c r="G413" s="14" t="n">
        <v>790.9</v>
      </c>
      <c r="H413" s="14" t="n">
        <v>790.9</v>
      </c>
      <c r="I413" s="14">
        <f>SUM(K413:T413)</f>
        <v/>
      </c>
      <c r="J413" s="14">
        <f>F413-(G413+H413+I413)</f>
        <v/>
      </c>
      <c r="K413" s="14" t="n">
        <v>474.54</v>
      </c>
      <c r="L413" s="14" t="n">
        <v>474.54</v>
      </c>
      <c r="M413" s="14" t="n">
        <v>474.54</v>
      </c>
      <c r="N413" s="14" t="n">
        <v>474.54</v>
      </c>
      <c r="O413" s="14" t="n">
        <v>474.54</v>
      </c>
      <c r="P413" s="14" t="n">
        <v>474.54</v>
      </c>
      <c r="Q413" s="14" t="n">
        <v>474.54</v>
      </c>
      <c r="R413" s="14" t="n">
        <v>474.54</v>
      </c>
      <c r="S413" s="14" t="n">
        <v>474.54</v>
      </c>
      <c r="T413" s="14" t="n">
        <v>474.54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CANON-202510-001645</t>
        </is>
      </c>
      <c r="B414" s="15" t="inlineStr">
        <is>
          <t>2025-10-13</t>
        </is>
      </c>
      <c r="C414" s="15" t="inlineStr">
        <is>
          <t>Cassius Larsson</t>
        </is>
      </c>
      <c r="D414" s="15" t="inlineStr">
        <is>
          <t>MI</t>
        </is>
      </c>
      <c r="E414" s="16" t="n">
        <v>515000</v>
      </c>
      <c r="F414" s="16" t="n">
        <v>9487.35</v>
      </c>
      <c r="G414" s="16" t="n">
        <v>1185.92</v>
      </c>
      <c r="H414" s="16" t="n">
        <v>1185.92</v>
      </c>
      <c r="I414" s="16">
        <f>SUM(K414:T414)</f>
        <v/>
      </c>
      <c r="J414" s="16">
        <f>F414-(G414+H414+I414)</f>
        <v/>
      </c>
      <c r="K414" s="16" t="n">
        <v>711.55</v>
      </c>
      <c r="L414" s="16" t="n">
        <v>711.55</v>
      </c>
      <c r="M414" s="16" t="n">
        <v>711.55</v>
      </c>
      <c r="N414" s="16" t="n">
        <v>711.55</v>
      </c>
      <c r="O414" s="16" t="n">
        <v>711.55</v>
      </c>
      <c r="P414" s="16" t="n">
        <v>711.55</v>
      </c>
      <c r="Q414" s="16" t="n">
        <v>711.55</v>
      </c>
      <c r="R414" s="16" t="n">
        <v>711.55</v>
      </c>
      <c r="S414" s="16" t="n">
        <v>711.55</v>
      </c>
      <c r="T414" s="16" t="n">
        <v>711.55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CANON-202510-001647</t>
        </is>
      </c>
      <c r="B415" s="3" t="inlineStr">
        <is>
          <t>2025-10-20</t>
        </is>
      </c>
      <c r="C415" s="3" t="inlineStr">
        <is>
          <t>Saoirse Castellanos</t>
        </is>
      </c>
      <c r="D415" s="3" t="inlineStr">
        <is>
          <t>CA</t>
        </is>
      </c>
      <c r="E415" s="14" t="n">
        <v>775000</v>
      </c>
      <c r="F415" s="14" t="n">
        <v>8226.15</v>
      </c>
      <c r="G415" s="14" t="n">
        <v>1028.27</v>
      </c>
      <c r="H415" s="14" t="n">
        <v>1028.27</v>
      </c>
      <c r="I415" s="14">
        <f>SUM(K415:T415)</f>
        <v/>
      </c>
      <c r="J415" s="14">
        <f>F415-(G415+H415+I415)</f>
        <v/>
      </c>
      <c r="K415" s="14" t="n">
        <v>616.96</v>
      </c>
      <c r="L415" s="14" t="n">
        <v>616.96</v>
      </c>
      <c r="M415" s="14" t="n">
        <v>616.96</v>
      </c>
      <c r="N415" s="14" t="n">
        <v>616.96</v>
      </c>
      <c r="O415" s="14" t="n">
        <v>616.96</v>
      </c>
      <c r="P415" s="14" t="n">
        <v>616.96</v>
      </c>
      <c r="Q415" s="14" t="n">
        <v>616.96</v>
      </c>
      <c r="R415" s="14" t="n">
        <v>616.96</v>
      </c>
      <c r="S415" s="14" t="n">
        <v>616.96</v>
      </c>
      <c r="T415" s="14" t="n">
        <v>616.96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CANON-202510-001648</t>
        </is>
      </c>
      <c r="B416" s="15" t="inlineStr">
        <is>
          <t>2025-10-21</t>
        </is>
      </c>
      <c r="C416" s="15" t="inlineStr">
        <is>
          <t>Thaddeus Pennington</t>
        </is>
      </c>
      <c r="D416" s="15" t="inlineStr">
        <is>
          <t>MA</t>
        </is>
      </c>
      <c r="E416" s="16" t="n">
        <v>490000</v>
      </c>
      <c r="F416" s="16" t="n">
        <v>8399.629999999999</v>
      </c>
      <c r="G416" s="16" t="n">
        <v>1049.95</v>
      </c>
      <c r="H416" s="16" t="n">
        <v>1049.95</v>
      </c>
      <c r="I416" s="16">
        <f>SUM(K416:T416)</f>
        <v/>
      </c>
      <c r="J416" s="16">
        <f>F416-(G416+H416+I416)</f>
        <v/>
      </c>
      <c r="K416" s="16" t="n">
        <v>629.97</v>
      </c>
      <c r="L416" s="16" t="n">
        <v>629.97</v>
      </c>
      <c r="M416" s="16" t="n">
        <v>629.97</v>
      </c>
      <c r="N416" s="16" t="n">
        <v>629.97</v>
      </c>
      <c r="O416" s="16" t="n">
        <v>629.97</v>
      </c>
      <c r="P416" s="16" t="n">
        <v>629.97</v>
      </c>
      <c r="Q416" s="16" t="n">
        <v>629.97</v>
      </c>
      <c r="R416" s="16" t="n">
        <v>629.97</v>
      </c>
      <c r="S416" s="16" t="n">
        <v>629.97</v>
      </c>
      <c r="T416" s="16" t="n">
        <v>629.97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CANON-202510-001649</t>
        </is>
      </c>
      <c r="B417" s="3" t="inlineStr">
        <is>
          <t>2025-10-18</t>
        </is>
      </c>
      <c r="C417" s="3" t="inlineStr">
        <is>
          <t>Sunniva Okonkwo</t>
        </is>
      </c>
      <c r="D417" s="3" t="inlineStr">
        <is>
          <t>NC</t>
        </is>
      </c>
      <c r="E417" s="14" t="n">
        <v>1950000</v>
      </c>
      <c r="F417" s="14" t="n">
        <v>15581.48</v>
      </c>
      <c r="G417" s="14" t="n">
        <v>1947.68</v>
      </c>
      <c r="H417" s="14" t="n">
        <v>1947.68</v>
      </c>
      <c r="I417" s="14">
        <f>SUM(K417:T417)</f>
        <v/>
      </c>
      <c r="J417" s="14">
        <f>F417-(G417+H417+I417)</f>
        <v/>
      </c>
      <c r="K417" s="14" t="n">
        <v>1168.61</v>
      </c>
      <c r="L417" s="14" t="n">
        <v>1168.61</v>
      </c>
      <c r="M417" s="14" t="n">
        <v>1168.61</v>
      </c>
      <c r="N417" s="14" t="n">
        <v>1168.61</v>
      </c>
      <c r="O417" s="14" t="n">
        <v>1168.61</v>
      </c>
      <c r="P417" s="14" t="n">
        <v>1168.61</v>
      </c>
      <c r="Q417" s="14" t="n">
        <v>1168.61</v>
      </c>
      <c r="R417" s="14" t="n">
        <v>1168.61</v>
      </c>
      <c r="S417" s="14" t="n">
        <v>1168.61</v>
      </c>
      <c r="T417" s="14" t="n">
        <v>1168.61</v>
      </c>
      <c r="U417" s="14" t="n">
        <v>350</v>
      </c>
      <c r="V417" s="14" t="n">
        <v>250</v>
      </c>
      <c r="W417" s="14">
        <f>U417+V417</f>
        <v/>
      </c>
    </row>
    <row r="418">
      <c r="A418" s="15" t="inlineStr">
        <is>
          <t>CANON-202510-001650</t>
        </is>
      </c>
      <c r="B418" s="15" t="inlineStr">
        <is>
          <t>2025-10-06</t>
        </is>
      </c>
      <c r="C418" s="15" t="inlineStr">
        <is>
          <t>Everett Montoya</t>
        </is>
      </c>
      <c r="D418" s="15" t="inlineStr">
        <is>
          <t>VA</t>
        </is>
      </c>
      <c r="E418" s="16" t="n">
        <v>315000</v>
      </c>
      <c r="F418" s="16" t="n">
        <v>4708.6</v>
      </c>
      <c r="G418" s="16" t="n">
        <v>588.58</v>
      </c>
      <c r="H418" s="16" t="n">
        <v>588.58</v>
      </c>
      <c r="I418" s="16">
        <f>SUM(K418:T418)</f>
        <v/>
      </c>
      <c r="J418" s="16">
        <f>F418-(G418+H418+I418)</f>
        <v/>
      </c>
      <c r="K418" s="16" t="n">
        <v>353.15</v>
      </c>
      <c r="L418" s="16" t="n">
        <v>353.15</v>
      </c>
      <c r="M418" s="16" t="n">
        <v>353.15</v>
      </c>
      <c r="N418" s="16" t="n">
        <v>353.15</v>
      </c>
      <c r="O418" s="16" t="n">
        <v>353.15</v>
      </c>
      <c r="P418" s="16" t="n">
        <v>353.15</v>
      </c>
      <c r="Q418" s="16" t="n">
        <v>353.15</v>
      </c>
      <c r="R418" s="16" t="n">
        <v>353.15</v>
      </c>
      <c r="S418" s="16" t="n">
        <v>353.15</v>
      </c>
      <c r="T418" s="16" t="n">
        <v>353.15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CANON-202510-001651</t>
        </is>
      </c>
      <c r="B419" s="3" t="inlineStr">
        <is>
          <t>2025-10-02</t>
        </is>
      </c>
      <c r="C419" s="3" t="inlineStr">
        <is>
          <t>Cassius Kingsford</t>
        </is>
      </c>
      <c r="D419" s="3" t="inlineStr">
        <is>
          <t>UT</t>
        </is>
      </c>
      <c r="E419" s="14" t="n">
        <v>560000</v>
      </c>
      <c r="F419" s="14" t="n">
        <v>5252.89</v>
      </c>
      <c r="G419" s="14" t="n">
        <v>656.61</v>
      </c>
      <c r="H419" s="14" t="n">
        <v>656.61</v>
      </c>
      <c r="I419" s="14">
        <f>SUM(K419:T419)</f>
        <v/>
      </c>
      <c r="J419" s="14">
        <f>F419-(G419+H419+I419)</f>
        <v/>
      </c>
      <c r="K419" s="14" t="n">
        <v>393.97</v>
      </c>
      <c r="L419" s="14" t="n">
        <v>393.97</v>
      </c>
      <c r="M419" s="14" t="n">
        <v>393.97</v>
      </c>
      <c r="N419" s="14" t="n">
        <v>393.97</v>
      </c>
      <c r="O419" s="14" t="n">
        <v>393.97</v>
      </c>
      <c r="P419" s="14" t="n">
        <v>393.97</v>
      </c>
      <c r="Q419" s="14" t="n">
        <v>393.97</v>
      </c>
      <c r="R419" s="14" t="n">
        <v>393.97</v>
      </c>
      <c r="S419" s="14" t="n">
        <v>393.97</v>
      </c>
      <c r="T419" s="14" t="n">
        <v>393.97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CANON-202510-001653</t>
        </is>
      </c>
      <c r="B420" s="15" t="inlineStr">
        <is>
          <t>2025-10-31</t>
        </is>
      </c>
      <c r="C420" s="15" t="inlineStr">
        <is>
          <t>Fitzgerald Rourke</t>
        </is>
      </c>
      <c r="D420" s="15" t="inlineStr">
        <is>
          <t>AL</t>
        </is>
      </c>
      <c r="E420" s="16" t="n">
        <v>1280000</v>
      </c>
      <c r="F420" s="16" t="n">
        <v>23779.16</v>
      </c>
      <c r="G420" s="16" t="n">
        <v>2972.39</v>
      </c>
      <c r="H420" s="16" t="n">
        <v>2972.39</v>
      </c>
      <c r="I420" s="16">
        <f>SUM(K420:T420)</f>
        <v/>
      </c>
      <c r="J420" s="16">
        <f>F420-(G420+H420+I420)</f>
        <v/>
      </c>
      <c r="K420" s="16" t="n">
        <v>1783.44</v>
      </c>
      <c r="L420" s="16" t="n">
        <v>1783.44</v>
      </c>
      <c r="M420" s="16" t="n">
        <v>1783.44</v>
      </c>
      <c r="N420" s="16" t="n">
        <v>1783.44</v>
      </c>
      <c r="O420" s="16" t="n">
        <v>1783.44</v>
      </c>
      <c r="P420" s="16" t="n">
        <v>1783.44</v>
      </c>
      <c r="Q420" s="16" t="n">
        <v>1783.44</v>
      </c>
      <c r="R420" s="16" t="n">
        <v>1783.44</v>
      </c>
      <c r="S420" s="16" t="n">
        <v>1783.44</v>
      </c>
      <c r="T420" s="16" t="n">
        <v>1783.44</v>
      </c>
      <c r="U420" s="16" t="n">
        <v>350</v>
      </c>
      <c r="V420" s="16" t="n">
        <v>250</v>
      </c>
      <c r="W420" s="16">
        <f>U420+V420</f>
        <v/>
      </c>
    </row>
    <row r="421">
      <c r="A421" s="3" t="inlineStr">
        <is>
          <t>CANON-202510-001654</t>
        </is>
      </c>
      <c r="B421" s="3" t="inlineStr">
        <is>
          <t>2025-10-07</t>
        </is>
      </c>
      <c r="C421" s="3" t="inlineStr">
        <is>
          <t>Fitzgerald Montoya</t>
        </is>
      </c>
      <c r="D421" s="3" t="inlineStr">
        <is>
          <t>NY</t>
        </is>
      </c>
      <c r="E421" s="14" t="n">
        <v>1320000</v>
      </c>
      <c r="F421" s="14" t="n">
        <v>16991.79</v>
      </c>
      <c r="G421" s="14" t="n">
        <v>2123.97</v>
      </c>
      <c r="H421" s="14" t="n">
        <v>2123.97</v>
      </c>
      <c r="I421" s="14">
        <f>SUM(K421:T421)</f>
        <v/>
      </c>
      <c r="J421" s="14">
        <f>F421-(G421+H421+I421)</f>
        <v/>
      </c>
      <c r="K421" s="14" t="n">
        <v>1274.38</v>
      </c>
      <c r="L421" s="14" t="n">
        <v>1274.38</v>
      </c>
      <c r="M421" s="14" t="n">
        <v>1274.38</v>
      </c>
      <c r="N421" s="14" t="n">
        <v>1274.38</v>
      </c>
      <c r="O421" s="14" t="n">
        <v>1274.38</v>
      </c>
      <c r="P421" s="14" t="n">
        <v>1274.38</v>
      </c>
      <c r="Q421" s="14" t="n">
        <v>1274.38</v>
      </c>
      <c r="R421" s="14" t="n">
        <v>1274.38</v>
      </c>
      <c r="S421" s="14" t="n">
        <v>1274.38</v>
      </c>
      <c r="T421" s="14" t="n">
        <v>1274.38</v>
      </c>
      <c r="U421" s="14" t="n">
        <v>350</v>
      </c>
      <c r="V421" s="14" t="n">
        <v>250</v>
      </c>
      <c r="W421" s="14">
        <f>U421+V421</f>
        <v/>
      </c>
    </row>
    <row r="422">
      <c r="A422" s="15" t="inlineStr">
        <is>
          <t>CANON-202510-001655</t>
        </is>
      </c>
      <c r="B422" s="15" t="inlineStr">
        <is>
          <t>2025-10-09</t>
        </is>
      </c>
      <c r="C422" s="15" t="inlineStr">
        <is>
          <t>Ingrid Rourke</t>
        </is>
      </c>
      <c r="D422" s="15" t="inlineStr">
        <is>
          <t>NM</t>
        </is>
      </c>
      <c r="E422" s="16" t="n">
        <v>490000</v>
      </c>
      <c r="F422" s="16" t="n">
        <v>8601.219999999999</v>
      </c>
      <c r="G422" s="16" t="n">
        <v>1075.15</v>
      </c>
      <c r="H422" s="16" t="n">
        <v>1075.15</v>
      </c>
      <c r="I422" s="16">
        <f>SUM(K422:T422)</f>
        <v/>
      </c>
      <c r="J422" s="16">
        <f>F422-(G422+H422+I422)</f>
        <v/>
      </c>
      <c r="K422" s="16" t="n">
        <v>645.09</v>
      </c>
      <c r="L422" s="16" t="n">
        <v>645.09</v>
      </c>
      <c r="M422" s="16" t="n">
        <v>645.09</v>
      </c>
      <c r="N422" s="16" t="n">
        <v>645.09</v>
      </c>
      <c r="O422" s="16" t="n">
        <v>645.09</v>
      </c>
      <c r="P422" s="16" t="n">
        <v>645.09</v>
      </c>
      <c r="Q422" s="16" t="n">
        <v>645.09</v>
      </c>
      <c r="R422" s="16" t="n">
        <v>645.09</v>
      </c>
      <c r="S422" s="16" t="n">
        <v>645.09</v>
      </c>
      <c r="T422" s="16" t="n">
        <v>645.09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CANON-202510-001656</t>
        </is>
      </c>
      <c r="B423" s="3" t="inlineStr">
        <is>
          <t>2025-10-12</t>
        </is>
      </c>
      <c r="C423" s="3" t="inlineStr">
        <is>
          <t>Ramona Okonkwo</t>
        </is>
      </c>
      <c r="D423" s="3" t="inlineStr">
        <is>
          <t>NH</t>
        </is>
      </c>
      <c r="E423" s="14" t="n">
        <v>310000</v>
      </c>
      <c r="F423" s="14" t="n">
        <v>4421.29</v>
      </c>
      <c r="G423" s="14" t="n">
        <v>552.66</v>
      </c>
      <c r="H423" s="14" t="n">
        <v>552.66</v>
      </c>
      <c r="I423" s="14">
        <f>SUM(K423:T423)</f>
        <v/>
      </c>
      <c r="J423" s="14">
        <f>F423-(G423+H423+I423)</f>
        <v/>
      </c>
      <c r="K423" s="14" t="n">
        <v>331.6</v>
      </c>
      <c r="L423" s="14" t="n">
        <v>331.6</v>
      </c>
      <c r="M423" s="14" t="n">
        <v>331.6</v>
      </c>
      <c r="N423" s="14" t="n">
        <v>331.6</v>
      </c>
      <c r="O423" s="14" t="n">
        <v>331.6</v>
      </c>
      <c r="P423" s="14" t="n">
        <v>331.6</v>
      </c>
      <c r="Q423" s="14" t="n">
        <v>331.6</v>
      </c>
      <c r="R423" s="14" t="n">
        <v>331.6</v>
      </c>
      <c r="S423" s="14" t="n">
        <v>331.6</v>
      </c>
      <c r="T423" s="14" t="n">
        <v>331.6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CANON-202510-001657</t>
        </is>
      </c>
      <c r="B424" s="15" t="inlineStr">
        <is>
          <t>2025-10-03</t>
        </is>
      </c>
      <c r="C424" s="15" t="inlineStr">
        <is>
          <t>Delphine Thistlewood</t>
        </is>
      </c>
      <c r="D424" s="15" t="inlineStr">
        <is>
          <t>TN</t>
        </is>
      </c>
      <c r="E424" s="16" t="n">
        <v>505000</v>
      </c>
      <c r="F424" s="16" t="n">
        <v>3891.16</v>
      </c>
      <c r="G424" s="16" t="n">
        <v>486.39</v>
      </c>
      <c r="H424" s="16" t="n">
        <v>486.39</v>
      </c>
      <c r="I424" s="16">
        <f>SUM(K424:T424)</f>
        <v/>
      </c>
      <c r="J424" s="16">
        <f>F424-(G424+H424+I424)</f>
        <v/>
      </c>
      <c r="K424" s="16" t="n">
        <v>291.84</v>
      </c>
      <c r="L424" s="16" t="n">
        <v>291.84</v>
      </c>
      <c r="M424" s="16" t="n">
        <v>291.84</v>
      </c>
      <c r="N424" s="16" t="n">
        <v>291.84</v>
      </c>
      <c r="O424" s="16" t="n">
        <v>291.84</v>
      </c>
      <c r="P424" s="16" t="n">
        <v>291.84</v>
      </c>
      <c r="Q424" s="16" t="n">
        <v>291.84</v>
      </c>
      <c r="R424" s="16" t="n">
        <v>291.84</v>
      </c>
      <c r="S424" s="16" t="n">
        <v>291.84</v>
      </c>
      <c r="T424" s="16" t="n">
        <v>291.84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CANON-202510-001658</t>
        </is>
      </c>
      <c r="B425" s="3" t="inlineStr">
        <is>
          <t>2025-10-11</t>
        </is>
      </c>
      <c r="C425" s="3" t="inlineStr">
        <is>
          <t>Marisol Merriweather</t>
        </is>
      </c>
      <c r="D425" s="3" t="inlineStr">
        <is>
          <t>OR</t>
        </is>
      </c>
      <c r="E425" s="14" t="n">
        <v>485000</v>
      </c>
      <c r="F425" s="14" t="n">
        <v>7515.78</v>
      </c>
      <c r="G425" s="14" t="n">
        <v>939.47</v>
      </c>
      <c r="H425" s="14" t="n">
        <v>939.47</v>
      </c>
      <c r="I425" s="14">
        <f>SUM(K425:T425)</f>
        <v/>
      </c>
      <c r="J425" s="14">
        <f>F425-(G425+H425+I425)</f>
        <v/>
      </c>
      <c r="K425" s="14" t="n">
        <v>563.6799999999999</v>
      </c>
      <c r="L425" s="14" t="n">
        <v>563.6799999999999</v>
      </c>
      <c r="M425" s="14" t="n">
        <v>563.6799999999999</v>
      </c>
      <c r="N425" s="14" t="n">
        <v>563.6799999999999</v>
      </c>
      <c r="O425" s="14" t="n">
        <v>563.6799999999999</v>
      </c>
      <c r="P425" s="14" t="n">
        <v>563.6799999999999</v>
      </c>
      <c r="Q425" s="14" t="n">
        <v>563.6799999999999</v>
      </c>
      <c r="R425" s="14" t="n">
        <v>563.6799999999999</v>
      </c>
      <c r="S425" s="14" t="n">
        <v>563.6799999999999</v>
      </c>
      <c r="T425" s="14" t="n">
        <v>563.6799999999999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CANON-202510-001660</t>
        </is>
      </c>
      <c r="B426" s="15" t="inlineStr">
        <is>
          <t>2025-10-07</t>
        </is>
      </c>
      <c r="C426" s="15" t="inlineStr">
        <is>
          <t>Ingrid Pennington</t>
        </is>
      </c>
      <c r="D426" s="15" t="inlineStr">
        <is>
          <t>CO</t>
        </is>
      </c>
      <c r="E426" s="16" t="n">
        <v>1950000</v>
      </c>
      <c r="F426" s="16" t="n">
        <v>31376.9</v>
      </c>
      <c r="G426" s="16" t="n">
        <v>3922.11</v>
      </c>
      <c r="H426" s="16" t="n">
        <v>3922.11</v>
      </c>
      <c r="I426" s="16">
        <f>SUM(K426:T426)</f>
        <v/>
      </c>
      <c r="J426" s="16">
        <f>F426-(G426+H426+I426)</f>
        <v/>
      </c>
      <c r="K426" s="16" t="n">
        <v>2353.27</v>
      </c>
      <c r="L426" s="16" t="n">
        <v>2353.27</v>
      </c>
      <c r="M426" s="16" t="n">
        <v>2353.27</v>
      </c>
      <c r="N426" s="16" t="n">
        <v>2353.27</v>
      </c>
      <c r="O426" s="16" t="n">
        <v>2353.27</v>
      </c>
      <c r="P426" s="16" t="n">
        <v>2353.27</v>
      </c>
      <c r="Q426" s="16" t="n">
        <v>2353.27</v>
      </c>
      <c r="R426" s="16" t="n">
        <v>2353.27</v>
      </c>
      <c r="S426" s="16" t="n">
        <v>2353.27</v>
      </c>
      <c r="T426" s="16" t="n">
        <v>2353.27</v>
      </c>
      <c r="U426" s="16" t="n">
        <v>350</v>
      </c>
      <c r="V426" s="16" t="n">
        <v>250</v>
      </c>
      <c r="W426" s="16">
        <f>U426+V426</f>
        <v/>
      </c>
    </row>
    <row r="427">
      <c r="A427" s="3" t="inlineStr">
        <is>
          <t>CANON-202510-001663</t>
        </is>
      </c>
      <c r="B427" s="3" t="inlineStr">
        <is>
          <t>2025-10-06</t>
        </is>
      </c>
      <c r="C427" s="3" t="inlineStr">
        <is>
          <t>Priya Pennington</t>
        </is>
      </c>
      <c r="D427" s="3" t="inlineStr">
        <is>
          <t>CA</t>
        </is>
      </c>
      <c r="E427" s="14" t="n">
        <v>385000</v>
      </c>
      <c r="F427" s="14" t="n">
        <v>7127.68</v>
      </c>
      <c r="G427" s="14" t="n">
        <v>890.96</v>
      </c>
      <c r="H427" s="14" t="n">
        <v>890.96</v>
      </c>
      <c r="I427" s="14">
        <f>SUM(K427:T427)</f>
        <v/>
      </c>
      <c r="J427" s="14">
        <f>F427-(G427+H427+I427)</f>
        <v/>
      </c>
      <c r="K427" s="14" t="n">
        <v>534.58</v>
      </c>
      <c r="L427" s="14" t="n">
        <v>534.58</v>
      </c>
      <c r="M427" s="14" t="n">
        <v>534.58</v>
      </c>
      <c r="N427" s="14" t="n">
        <v>534.58</v>
      </c>
      <c r="O427" s="14" t="n">
        <v>534.58</v>
      </c>
      <c r="P427" s="14" t="n">
        <v>534.58</v>
      </c>
      <c r="Q427" s="14" t="n">
        <v>534.58</v>
      </c>
      <c r="R427" s="14" t="n">
        <v>534.58</v>
      </c>
      <c r="S427" s="14" t="n">
        <v>534.58</v>
      </c>
      <c r="T427" s="14" t="n">
        <v>534.58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CANON-202510-001664</t>
        </is>
      </c>
      <c r="B428" s="15" t="inlineStr">
        <is>
          <t>2025-10-22</t>
        </is>
      </c>
      <c r="C428" s="15" t="inlineStr">
        <is>
          <t>Lorenzo Kingsford</t>
        </is>
      </c>
      <c r="D428" s="15" t="inlineStr">
        <is>
          <t>GA</t>
        </is>
      </c>
      <c r="E428" s="16" t="n">
        <v>150000</v>
      </c>
      <c r="F428" s="16" t="n">
        <v>2826.12</v>
      </c>
      <c r="G428" s="16" t="n">
        <v>353.26</v>
      </c>
      <c r="H428" s="16" t="n">
        <v>353.26</v>
      </c>
      <c r="I428" s="16">
        <f>SUM(K428:T428)</f>
        <v/>
      </c>
      <c r="J428" s="16">
        <f>F428-(G428+H428+I428)</f>
        <v/>
      </c>
      <c r="K428" s="16" t="n">
        <v>211.96</v>
      </c>
      <c r="L428" s="16" t="n">
        <v>211.96</v>
      </c>
      <c r="M428" s="16" t="n">
        <v>211.96</v>
      </c>
      <c r="N428" s="16" t="n">
        <v>211.96</v>
      </c>
      <c r="O428" s="16" t="n">
        <v>211.96</v>
      </c>
      <c r="P428" s="16" t="n">
        <v>211.96</v>
      </c>
      <c r="Q428" s="16" t="n">
        <v>211.96</v>
      </c>
      <c r="R428" s="16" t="n">
        <v>211.96</v>
      </c>
      <c r="S428" s="16" t="n">
        <v>211.96</v>
      </c>
      <c r="T428" s="16" t="n">
        <v>211.96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CANON-202510-001666</t>
        </is>
      </c>
      <c r="B429" s="3" t="inlineStr">
        <is>
          <t>2025-10-22</t>
        </is>
      </c>
      <c r="C429" s="3" t="inlineStr">
        <is>
          <t>Callum Kingsford</t>
        </is>
      </c>
      <c r="D429" s="3" t="inlineStr">
        <is>
          <t>WV</t>
        </is>
      </c>
      <c r="E429" s="14" t="n">
        <v>1450000</v>
      </c>
      <c r="F429" s="14" t="n">
        <v>28209.95</v>
      </c>
      <c r="G429" s="14" t="n">
        <v>3526.24</v>
      </c>
      <c r="H429" s="14" t="n">
        <v>3526.24</v>
      </c>
      <c r="I429" s="14">
        <f>SUM(K429:T429)</f>
        <v/>
      </c>
      <c r="J429" s="14">
        <f>F429-(G429+H429+I429)</f>
        <v/>
      </c>
      <c r="K429" s="14" t="n">
        <v>2115.75</v>
      </c>
      <c r="L429" s="14" t="n">
        <v>2115.75</v>
      </c>
      <c r="M429" s="14" t="n">
        <v>2115.75</v>
      </c>
      <c r="N429" s="14" t="n">
        <v>2115.75</v>
      </c>
      <c r="O429" s="14" t="n">
        <v>2115.75</v>
      </c>
      <c r="P429" s="14" t="n">
        <v>2115.75</v>
      </c>
      <c r="Q429" s="14" t="n">
        <v>2115.75</v>
      </c>
      <c r="R429" s="14" t="n">
        <v>2115.75</v>
      </c>
      <c r="S429" s="14" t="n">
        <v>2115.75</v>
      </c>
      <c r="T429" s="14" t="n">
        <v>2115.75</v>
      </c>
      <c r="U429" s="14" t="n">
        <v>350</v>
      </c>
      <c r="V429" s="14" t="n">
        <v>250</v>
      </c>
      <c r="W429" s="14">
        <f>U429+V429</f>
        <v/>
      </c>
    </row>
    <row r="430">
      <c r="A430" s="15" t="inlineStr">
        <is>
          <t>CANON-202510-001667</t>
        </is>
      </c>
      <c r="B430" s="15" t="inlineStr">
        <is>
          <t>2025-10-25</t>
        </is>
      </c>
      <c r="C430" s="15" t="inlineStr">
        <is>
          <t>Fitzgerald Montoya</t>
        </is>
      </c>
      <c r="D430" s="15" t="inlineStr">
        <is>
          <t>MI</t>
        </is>
      </c>
      <c r="E430" s="16" t="n">
        <v>675000</v>
      </c>
      <c r="F430" s="16" t="n">
        <v>12434.88</v>
      </c>
      <c r="G430" s="16" t="n">
        <v>1554.36</v>
      </c>
      <c r="H430" s="16" t="n">
        <v>1554.36</v>
      </c>
      <c r="I430" s="16">
        <f>SUM(K430:T430)</f>
        <v/>
      </c>
      <c r="J430" s="16">
        <f>F430-(G430+H430+I430)</f>
        <v/>
      </c>
      <c r="K430" s="16" t="n">
        <v>932.62</v>
      </c>
      <c r="L430" s="16" t="n">
        <v>932.62</v>
      </c>
      <c r="M430" s="16" t="n">
        <v>932.62</v>
      </c>
      <c r="N430" s="16" t="n">
        <v>932.62</v>
      </c>
      <c r="O430" s="16" t="n">
        <v>932.62</v>
      </c>
      <c r="P430" s="16" t="n">
        <v>932.62</v>
      </c>
      <c r="Q430" s="16" t="n">
        <v>932.62</v>
      </c>
      <c r="R430" s="16" t="n">
        <v>932.62</v>
      </c>
      <c r="S430" s="16" t="n">
        <v>932.62</v>
      </c>
      <c r="T430" s="16" t="n">
        <v>932.62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CANON-202510-001668</t>
        </is>
      </c>
      <c r="B431" s="3" t="inlineStr">
        <is>
          <t>2025-10-10</t>
        </is>
      </c>
      <c r="C431" s="3" t="inlineStr">
        <is>
          <t>Desmond Whitlock</t>
        </is>
      </c>
      <c r="D431" s="3" t="inlineStr">
        <is>
          <t>OR</t>
        </is>
      </c>
      <c r="E431" s="14" t="n">
        <v>645000</v>
      </c>
      <c r="F431" s="14" t="n">
        <v>8662.52</v>
      </c>
      <c r="G431" s="14" t="n">
        <v>1082.82</v>
      </c>
      <c r="H431" s="14" t="n">
        <v>1082.82</v>
      </c>
      <c r="I431" s="14">
        <f>SUM(K431:T431)</f>
        <v/>
      </c>
      <c r="J431" s="14">
        <f>F431-(G431+H431+I431)</f>
        <v/>
      </c>
      <c r="K431" s="14" t="n">
        <v>649.6900000000001</v>
      </c>
      <c r="L431" s="14" t="n">
        <v>649.6900000000001</v>
      </c>
      <c r="M431" s="14" t="n">
        <v>649.6900000000001</v>
      </c>
      <c r="N431" s="14" t="n">
        <v>649.6900000000001</v>
      </c>
      <c r="O431" s="14" t="n">
        <v>649.6900000000001</v>
      </c>
      <c r="P431" s="14" t="n">
        <v>649.6900000000001</v>
      </c>
      <c r="Q431" s="14" t="n">
        <v>649.6900000000001</v>
      </c>
      <c r="R431" s="14" t="n">
        <v>649.6900000000001</v>
      </c>
      <c r="S431" s="14" t="n">
        <v>649.6900000000001</v>
      </c>
      <c r="T431" s="14" t="n">
        <v>649.6900000000001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CANON-202510-001669</t>
        </is>
      </c>
      <c r="B432" s="15" t="inlineStr">
        <is>
          <t>2025-10-10</t>
        </is>
      </c>
      <c r="C432" s="15" t="inlineStr">
        <is>
          <t>Saoirse Merriweather</t>
        </is>
      </c>
      <c r="D432" s="15" t="inlineStr">
        <is>
          <t>FL</t>
        </is>
      </c>
      <c r="E432" s="16" t="n">
        <v>450000</v>
      </c>
      <c r="F432" s="16" t="n">
        <v>8763.040000000001</v>
      </c>
      <c r="G432" s="16" t="n">
        <v>1095.38</v>
      </c>
      <c r="H432" s="16" t="n">
        <v>1095.38</v>
      </c>
      <c r="I432" s="16">
        <f>SUM(K432:T432)</f>
        <v/>
      </c>
      <c r="J432" s="16">
        <f>F432-(G432+H432+I432)</f>
        <v/>
      </c>
      <c r="K432" s="16" t="n">
        <v>657.23</v>
      </c>
      <c r="L432" s="16" t="n">
        <v>657.23</v>
      </c>
      <c r="M432" s="16" t="n">
        <v>657.23</v>
      </c>
      <c r="N432" s="16" t="n">
        <v>657.23</v>
      </c>
      <c r="O432" s="16" t="n">
        <v>657.23</v>
      </c>
      <c r="P432" s="16" t="n">
        <v>657.23</v>
      </c>
      <c r="Q432" s="16" t="n">
        <v>657.23</v>
      </c>
      <c r="R432" s="16" t="n">
        <v>657.23</v>
      </c>
      <c r="S432" s="16" t="n">
        <v>657.23</v>
      </c>
      <c r="T432" s="16" t="n">
        <v>657.23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CANON-202510-001670</t>
        </is>
      </c>
      <c r="B433" s="3" t="inlineStr">
        <is>
          <t>2025-10-03</t>
        </is>
      </c>
      <c r="C433" s="3" t="inlineStr">
        <is>
          <t>Saoirse Underwood</t>
        </is>
      </c>
      <c r="D433" s="3" t="inlineStr">
        <is>
          <t>PA</t>
        </is>
      </c>
      <c r="E433" s="14" t="n">
        <v>395000</v>
      </c>
      <c r="F433" s="14" t="n">
        <v>5416.9</v>
      </c>
      <c r="G433" s="14" t="n">
        <v>677.11</v>
      </c>
      <c r="H433" s="14" t="n">
        <v>677.11</v>
      </c>
      <c r="I433" s="14">
        <f>SUM(K433:T433)</f>
        <v/>
      </c>
      <c r="J433" s="14">
        <f>F433-(G433+H433+I433)</f>
        <v/>
      </c>
      <c r="K433" s="14" t="n">
        <v>406.27</v>
      </c>
      <c r="L433" s="14" t="n">
        <v>406.27</v>
      </c>
      <c r="M433" s="14" t="n">
        <v>406.27</v>
      </c>
      <c r="N433" s="14" t="n">
        <v>406.27</v>
      </c>
      <c r="O433" s="14" t="n">
        <v>406.27</v>
      </c>
      <c r="P433" s="14" t="n">
        <v>406.27</v>
      </c>
      <c r="Q433" s="14" t="n">
        <v>406.27</v>
      </c>
      <c r="R433" s="14" t="n">
        <v>406.27</v>
      </c>
      <c r="S433" s="14" t="n">
        <v>406.27</v>
      </c>
      <c r="T433" s="14" t="n">
        <v>406.27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CANON-202510-001673</t>
        </is>
      </c>
      <c r="B434" s="15" t="inlineStr">
        <is>
          <t>2025-10-07</t>
        </is>
      </c>
      <c r="C434" s="15" t="inlineStr">
        <is>
          <t>Horace Fairweather</t>
        </is>
      </c>
      <c r="D434" s="15" t="inlineStr">
        <is>
          <t>FL</t>
        </is>
      </c>
      <c r="E434" s="16" t="n">
        <v>320000</v>
      </c>
      <c r="F434" s="16" t="n">
        <v>6231.5</v>
      </c>
      <c r="G434" s="16" t="n">
        <v>778.9400000000001</v>
      </c>
      <c r="H434" s="16" t="n">
        <v>778.9400000000001</v>
      </c>
      <c r="I434" s="16">
        <f>SUM(K434:T434)</f>
        <v/>
      </c>
      <c r="J434" s="16">
        <f>F434-(G434+H434+I434)</f>
        <v/>
      </c>
      <c r="K434" s="16" t="n">
        <v>467.36</v>
      </c>
      <c r="L434" s="16" t="n">
        <v>467.36</v>
      </c>
      <c r="M434" s="16" t="n">
        <v>467.36</v>
      </c>
      <c r="N434" s="16" t="n">
        <v>467.36</v>
      </c>
      <c r="O434" s="16" t="n">
        <v>467.36</v>
      </c>
      <c r="P434" s="16" t="n">
        <v>467.36</v>
      </c>
      <c r="Q434" s="16" t="n">
        <v>467.36</v>
      </c>
      <c r="R434" s="16" t="n">
        <v>467.36</v>
      </c>
      <c r="S434" s="16" t="n">
        <v>467.36</v>
      </c>
      <c r="T434" s="16" t="n">
        <v>467.36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CANON-202510-001675</t>
        </is>
      </c>
      <c r="B435" s="3" t="inlineStr">
        <is>
          <t>2025-10-24</t>
        </is>
      </c>
      <c r="C435" s="3" t="inlineStr">
        <is>
          <t>Wilhelmina Montoya</t>
        </is>
      </c>
      <c r="D435" s="3" t="inlineStr">
        <is>
          <t>IL</t>
        </is>
      </c>
      <c r="E435" s="14" t="n">
        <v>1525000</v>
      </c>
      <c r="F435" s="14" t="n">
        <v>30338.32</v>
      </c>
      <c r="G435" s="14" t="n">
        <v>3792.29</v>
      </c>
      <c r="H435" s="14" t="n">
        <v>3792.29</v>
      </c>
      <c r="I435" s="14">
        <f>SUM(K435:T435)</f>
        <v/>
      </c>
      <c r="J435" s="14">
        <f>F435-(G435+H435+I435)</f>
        <v/>
      </c>
      <c r="K435" s="14" t="n">
        <v>2275.37</v>
      </c>
      <c r="L435" s="14" t="n">
        <v>2275.37</v>
      </c>
      <c r="M435" s="14" t="n">
        <v>2275.37</v>
      </c>
      <c r="N435" s="14" t="n">
        <v>2275.37</v>
      </c>
      <c r="O435" s="14" t="n">
        <v>2275.37</v>
      </c>
      <c r="P435" s="14" t="n">
        <v>2275.37</v>
      </c>
      <c r="Q435" s="14" t="n">
        <v>2275.37</v>
      </c>
      <c r="R435" s="14" t="n">
        <v>2275.37</v>
      </c>
      <c r="S435" s="14" t="n">
        <v>2275.37</v>
      </c>
      <c r="T435" s="14" t="n">
        <v>2275.37</v>
      </c>
      <c r="U435" s="14" t="n">
        <v>350</v>
      </c>
      <c r="V435" s="14" t="n">
        <v>250</v>
      </c>
      <c r="W435" s="14">
        <f>U435+V435</f>
        <v/>
      </c>
    </row>
    <row r="436">
      <c r="A436" s="15" t="inlineStr">
        <is>
          <t>CANON-202510-001677</t>
        </is>
      </c>
      <c r="B436" s="15" t="inlineStr">
        <is>
          <t>2025-10-26</t>
        </is>
      </c>
      <c r="C436" s="15" t="inlineStr">
        <is>
          <t>Sunniva Vandermeer</t>
        </is>
      </c>
      <c r="D436" s="15" t="inlineStr">
        <is>
          <t>KS</t>
        </is>
      </c>
      <c r="E436" s="16" t="n">
        <v>295000</v>
      </c>
      <c r="F436" s="16" t="n">
        <v>3924.17</v>
      </c>
      <c r="G436" s="16" t="n">
        <v>490.52</v>
      </c>
      <c r="H436" s="16" t="n">
        <v>490.52</v>
      </c>
      <c r="I436" s="16">
        <f>SUM(K436:T436)</f>
        <v/>
      </c>
      <c r="J436" s="16">
        <f>F436-(G436+H436+I436)</f>
        <v/>
      </c>
      <c r="K436" s="16" t="n">
        <v>294.31</v>
      </c>
      <c r="L436" s="16" t="n">
        <v>294.31</v>
      </c>
      <c r="M436" s="16" t="n">
        <v>294.31</v>
      </c>
      <c r="N436" s="16" t="n">
        <v>294.31</v>
      </c>
      <c r="O436" s="16" t="n">
        <v>294.31</v>
      </c>
      <c r="P436" s="16" t="n">
        <v>294.31</v>
      </c>
      <c r="Q436" s="16" t="n">
        <v>294.31</v>
      </c>
      <c r="R436" s="16" t="n">
        <v>294.31</v>
      </c>
      <c r="S436" s="16" t="n">
        <v>294.31</v>
      </c>
      <c r="T436" s="16" t="n">
        <v>294.31</v>
      </c>
      <c r="U436" s="16" t="n">
        <v>350</v>
      </c>
      <c r="V436" s="16" t="n">
        <v>0</v>
      </c>
      <c r="W436" s="16">
        <f>U436+V436</f>
        <v/>
      </c>
    </row>
    <row r="437">
      <c r="A437" s="3" t="inlineStr">
        <is>
          <t>CANON-202510-001678</t>
        </is>
      </c>
      <c r="B437" s="3" t="inlineStr">
        <is>
          <t>2025-10-18</t>
        </is>
      </c>
      <c r="C437" s="3" t="inlineStr">
        <is>
          <t>Leopold Pennington</t>
        </is>
      </c>
      <c r="D437" s="3" t="inlineStr">
        <is>
          <t>TX</t>
        </is>
      </c>
      <c r="E437" s="14" t="n">
        <v>1745000</v>
      </c>
      <c r="F437" s="14" t="n">
        <v>13943.43</v>
      </c>
      <c r="G437" s="14" t="n">
        <v>1742.93</v>
      </c>
      <c r="H437" s="14" t="n">
        <v>1742.93</v>
      </c>
      <c r="I437" s="14">
        <f>SUM(K437:T437)</f>
        <v/>
      </c>
      <c r="J437" s="14">
        <f>F437-(G437+H437+I437)</f>
        <v/>
      </c>
      <c r="K437" s="14" t="n">
        <v>1045.76</v>
      </c>
      <c r="L437" s="14" t="n">
        <v>1045.76</v>
      </c>
      <c r="M437" s="14" t="n">
        <v>1045.76</v>
      </c>
      <c r="N437" s="14" t="n">
        <v>1045.76</v>
      </c>
      <c r="O437" s="14" t="n">
        <v>1045.76</v>
      </c>
      <c r="P437" s="14" t="n">
        <v>1045.76</v>
      </c>
      <c r="Q437" s="14" t="n">
        <v>1045.76</v>
      </c>
      <c r="R437" s="14" t="n">
        <v>1045.76</v>
      </c>
      <c r="S437" s="14" t="n">
        <v>1045.76</v>
      </c>
      <c r="T437" s="14" t="n">
        <v>1045.76</v>
      </c>
      <c r="U437" s="14" t="n">
        <v>350</v>
      </c>
      <c r="V437" s="14" t="n">
        <v>250</v>
      </c>
      <c r="W437" s="14">
        <f>U437+V437</f>
        <v/>
      </c>
    </row>
    <row r="438">
      <c r="A438" s="15" t="inlineStr">
        <is>
          <t>CANON-202510-001679</t>
        </is>
      </c>
      <c r="B438" s="15" t="inlineStr">
        <is>
          <t>2025-10-23</t>
        </is>
      </c>
      <c r="C438" s="15" t="inlineStr">
        <is>
          <t>Beatrix Kingsford</t>
        </is>
      </c>
      <c r="D438" s="15" t="inlineStr">
        <is>
          <t>MA</t>
        </is>
      </c>
      <c r="E438" s="16" t="n">
        <v>695000</v>
      </c>
      <c r="F438" s="16" t="n">
        <v>15090.76</v>
      </c>
      <c r="G438" s="16" t="n">
        <v>1886.35</v>
      </c>
      <c r="H438" s="16" t="n">
        <v>1886.35</v>
      </c>
      <c r="I438" s="16">
        <f>SUM(K438:T438)</f>
        <v/>
      </c>
      <c r="J438" s="16">
        <f>F438-(G438+H438+I438)</f>
        <v/>
      </c>
      <c r="K438" s="16" t="n">
        <v>1131.81</v>
      </c>
      <c r="L438" s="16" t="n">
        <v>1131.81</v>
      </c>
      <c r="M438" s="16" t="n">
        <v>1131.81</v>
      </c>
      <c r="N438" s="16" t="n">
        <v>1131.81</v>
      </c>
      <c r="O438" s="16" t="n">
        <v>1131.81</v>
      </c>
      <c r="P438" s="16" t="n">
        <v>1131.81</v>
      </c>
      <c r="Q438" s="16" t="n">
        <v>1131.81</v>
      </c>
      <c r="R438" s="16" t="n">
        <v>1131.81</v>
      </c>
      <c r="S438" s="16" t="n">
        <v>1131.81</v>
      </c>
      <c r="T438" s="16" t="n">
        <v>1131.81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CANON-202510-001680</t>
        </is>
      </c>
      <c r="B439" s="3" t="inlineStr">
        <is>
          <t>2025-10-10</t>
        </is>
      </c>
      <c r="C439" s="3" t="inlineStr">
        <is>
          <t>Leopold Blackwood</t>
        </is>
      </c>
      <c r="D439" s="3" t="inlineStr">
        <is>
          <t>WA</t>
        </is>
      </c>
      <c r="E439" s="14" t="n">
        <v>355000</v>
      </c>
      <c r="F439" s="14" t="n">
        <v>7166.22</v>
      </c>
      <c r="G439" s="14" t="n">
        <v>895.78</v>
      </c>
      <c r="H439" s="14" t="n">
        <v>895.78</v>
      </c>
      <c r="I439" s="14">
        <f>SUM(K439:T439)</f>
        <v/>
      </c>
      <c r="J439" s="14">
        <f>F439-(G439+H439+I439)</f>
        <v/>
      </c>
      <c r="K439" s="14" t="n">
        <v>537.47</v>
      </c>
      <c r="L439" s="14" t="n">
        <v>537.47</v>
      </c>
      <c r="M439" s="14" t="n">
        <v>537.47</v>
      </c>
      <c r="N439" s="14" t="n">
        <v>537.47</v>
      </c>
      <c r="O439" s="14" t="n">
        <v>537.47</v>
      </c>
      <c r="P439" s="14" t="n">
        <v>537.47</v>
      </c>
      <c r="Q439" s="14" t="n">
        <v>537.47</v>
      </c>
      <c r="R439" s="14" t="n">
        <v>537.47</v>
      </c>
      <c r="S439" s="14" t="n">
        <v>537.47</v>
      </c>
      <c r="T439" s="14" t="n">
        <v>537.47</v>
      </c>
      <c r="U439" s="14" t="n">
        <v>350</v>
      </c>
      <c r="V439" s="14" t="n">
        <v>0</v>
      </c>
      <c r="W439" s="14">
        <f>U439+V439</f>
        <v/>
      </c>
    </row>
    <row r="440">
      <c r="A440" s="15" t="inlineStr">
        <is>
          <t>CANON-202510-001681</t>
        </is>
      </c>
      <c r="B440" s="15" t="inlineStr">
        <is>
          <t>2025-10-25</t>
        </is>
      </c>
      <c r="C440" s="15" t="inlineStr">
        <is>
          <t>Horace Blackwood</t>
        </is>
      </c>
      <c r="D440" s="15" t="inlineStr">
        <is>
          <t>NV</t>
        </is>
      </c>
      <c r="E440" s="16" t="n">
        <v>610000</v>
      </c>
      <c r="F440" s="16" t="n">
        <v>8482.450000000001</v>
      </c>
      <c r="G440" s="16" t="n">
        <v>1060.31</v>
      </c>
      <c r="H440" s="16" t="n">
        <v>1060.31</v>
      </c>
      <c r="I440" s="16">
        <f>SUM(K440:T440)</f>
        <v/>
      </c>
      <c r="J440" s="16">
        <f>F440-(G440+H440+I440)</f>
        <v/>
      </c>
      <c r="K440" s="16" t="n">
        <v>636.1799999999999</v>
      </c>
      <c r="L440" s="16" t="n">
        <v>636.1799999999999</v>
      </c>
      <c r="M440" s="16" t="n">
        <v>636.1799999999999</v>
      </c>
      <c r="N440" s="16" t="n">
        <v>636.1799999999999</v>
      </c>
      <c r="O440" s="16" t="n">
        <v>636.1799999999999</v>
      </c>
      <c r="P440" s="16" t="n">
        <v>636.1799999999999</v>
      </c>
      <c r="Q440" s="16" t="n">
        <v>636.1799999999999</v>
      </c>
      <c r="R440" s="16" t="n">
        <v>636.1799999999999</v>
      </c>
      <c r="S440" s="16" t="n">
        <v>636.1799999999999</v>
      </c>
      <c r="T440" s="16" t="n">
        <v>636.1799999999999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CANON-202510-001682</t>
        </is>
      </c>
      <c r="B441" s="3" t="inlineStr">
        <is>
          <t>2025-10-25</t>
        </is>
      </c>
      <c r="C441" s="3" t="inlineStr">
        <is>
          <t>Lorenzo Fairweather</t>
        </is>
      </c>
      <c r="D441" s="3" t="inlineStr">
        <is>
          <t>CA</t>
        </is>
      </c>
      <c r="E441" s="14" t="n">
        <v>480000</v>
      </c>
      <c r="F441" s="14" t="n">
        <v>8886.459999999999</v>
      </c>
      <c r="G441" s="14" t="n">
        <v>1110.81</v>
      </c>
      <c r="H441" s="14" t="n">
        <v>1110.81</v>
      </c>
      <c r="I441" s="14">
        <f>SUM(K441:T441)</f>
        <v/>
      </c>
      <c r="J441" s="14">
        <f>F441-(G441+H441+I441)</f>
        <v/>
      </c>
      <c r="K441" s="14" t="n">
        <v>666.48</v>
      </c>
      <c r="L441" s="14" t="n">
        <v>666.48</v>
      </c>
      <c r="M441" s="14" t="n">
        <v>666.48</v>
      </c>
      <c r="N441" s="14" t="n">
        <v>666.48</v>
      </c>
      <c r="O441" s="14" t="n">
        <v>666.48</v>
      </c>
      <c r="P441" s="14" t="n">
        <v>666.48</v>
      </c>
      <c r="Q441" s="14" t="n">
        <v>666.48</v>
      </c>
      <c r="R441" s="14" t="n">
        <v>666.48</v>
      </c>
      <c r="S441" s="14" t="n">
        <v>666.48</v>
      </c>
      <c r="T441" s="14" t="n">
        <v>666.48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CANON-202510-001686</t>
        </is>
      </c>
      <c r="B442" s="15" t="inlineStr">
        <is>
          <t>2025-10-10</t>
        </is>
      </c>
      <c r="C442" s="15" t="inlineStr">
        <is>
          <t>Sunniva Blackwood</t>
        </is>
      </c>
      <c r="D442" s="15" t="inlineStr">
        <is>
          <t>LA</t>
        </is>
      </c>
      <c r="E442" s="16" t="n">
        <v>1315000</v>
      </c>
      <c r="F442" s="16" t="n">
        <v>9891.969999999999</v>
      </c>
      <c r="G442" s="16" t="n">
        <v>1236.5</v>
      </c>
      <c r="H442" s="16" t="n">
        <v>1236.5</v>
      </c>
      <c r="I442" s="16">
        <f>SUM(K442:T442)</f>
        <v/>
      </c>
      <c r="J442" s="16">
        <f>F442-(G442+H442+I442)</f>
        <v/>
      </c>
      <c r="K442" s="16" t="n">
        <v>741.9</v>
      </c>
      <c r="L442" s="16" t="n">
        <v>741.9</v>
      </c>
      <c r="M442" s="16" t="n">
        <v>741.9</v>
      </c>
      <c r="N442" s="16" t="n">
        <v>741.9</v>
      </c>
      <c r="O442" s="16" t="n">
        <v>741.9</v>
      </c>
      <c r="P442" s="16" t="n">
        <v>741.9</v>
      </c>
      <c r="Q442" s="16" t="n">
        <v>741.9</v>
      </c>
      <c r="R442" s="16" t="n">
        <v>741.9</v>
      </c>
      <c r="S442" s="16" t="n">
        <v>741.9</v>
      </c>
      <c r="T442" s="16" t="n">
        <v>741.9</v>
      </c>
      <c r="U442" s="16" t="n">
        <v>350</v>
      </c>
      <c r="V442" s="16" t="n">
        <v>250</v>
      </c>
      <c r="W442" s="16">
        <f>U442+V442</f>
        <v/>
      </c>
    </row>
    <row r="443">
      <c r="A443" s="3" t="inlineStr">
        <is>
          <t>CANON-202510-001687</t>
        </is>
      </c>
      <c r="B443" s="3" t="inlineStr">
        <is>
          <t>2025-10-22</t>
        </is>
      </c>
      <c r="C443" s="3" t="inlineStr">
        <is>
          <t>Ramona Larsson</t>
        </is>
      </c>
      <c r="D443" s="3" t="inlineStr">
        <is>
          <t>PA</t>
        </is>
      </c>
      <c r="E443" s="14" t="n">
        <v>350000</v>
      </c>
      <c r="F443" s="14" t="n">
        <v>4799.79</v>
      </c>
      <c r="G443" s="14" t="n">
        <v>599.97</v>
      </c>
      <c r="H443" s="14" t="n">
        <v>599.97</v>
      </c>
      <c r="I443" s="14">
        <f>SUM(K443:T443)</f>
        <v/>
      </c>
      <c r="J443" s="14">
        <f>F443-(G443+H443+I443)</f>
        <v/>
      </c>
      <c r="K443" s="14" t="n">
        <v>359.98</v>
      </c>
      <c r="L443" s="14" t="n">
        <v>359.98</v>
      </c>
      <c r="M443" s="14" t="n">
        <v>359.98</v>
      </c>
      <c r="N443" s="14" t="n">
        <v>359.98</v>
      </c>
      <c r="O443" s="14" t="n">
        <v>359.98</v>
      </c>
      <c r="P443" s="14" t="n">
        <v>359.98</v>
      </c>
      <c r="Q443" s="14" t="n">
        <v>359.98</v>
      </c>
      <c r="R443" s="14" t="n">
        <v>359.98</v>
      </c>
      <c r="S443" s="14" t="n">
        <v>359.98</v>
      </c>
      <c r="T443" s="14" t="n">
        <v>359.98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CANON-202510-001688</t>
        </is>
      </c>
      <c r="B444" s="15" t="inlineStr">
        <is>
          <t>2025-10-24</t>
        </is>
      </c>
      <c r="C444" s="15" t="inlineStr">
        <is>
          <t>Emiliano Bellandi</t>
        </is>
      </c>
      <c r="D444" s="15" t="inlineStr">
        <is>
          <t>NJ</t>
        </is>
      </c>
      <c r="E444" s="16" t="n">
        <v>1260000</v>
      </c>
      <c r="F444" s="16" t="n">
        <v>11531.01</v>
      </c>
      <c r="G444" s="16" t="n">
        <v>1441.38</v>
      </c>
      <c r="H444" s="16" t="n">
        <v>1441.38</v>
      </c>
      <c r="I444" s="16">
        <f>SUM(K444:T444)</f>
        <v/>
      </c>
      <c r="J444" s="16">
        <f>F444-(G444+H444+I444)</f>
        <v/>
      </c>
      <c r="K444" s="16" t="n">
        <v>864.83</v>
      </c>
      <c r="L444" s="16" t="n">
        <v>864.83</v>
      </c>
      <c r="M444" s="16" t="n">
        <v>864.83</v>
      </c>
      <c r="N444" s="16" t="n">
        <v>864.83</v>
      </c>
      <c r="O444" s="16" t="n">
        <v>864.83</v>
      </c>
      <c r="P444" s="16" t="n">
        <v>864.83</v>
      </c>
      <c r="Q444" s="16" t="n">
        <v>864.83</v>
      </c>
      <c r="R444" s="16" t="n">
        <v>864.83</v>
      </c>
      <c r="S444" s="16" t="n">
        <v>864.83</v>
      </c>
      <c r="T444" s="16" t="n">
        <v>864.83</v>
      </c>
      <c r="U444" s="16" t="n">
        <v>350</v>
      </c>
      <c r="V444" s="16" t="n">
        <v>250</v>
      </c>
      <c r="W444" s="16">
        <f>U444+V444</f>
        <v/>
      </c>
    </row>
    <row r="445">
      <c r="A445" s="3" t="inlineStr">
        <is>
          <t>CANON-202510-001689</t>
        </is>
      </c>
      <c r="B445" s="3" t="inlineStr">
        <is>
          <t>2025-10-09</t>
        </is>
      </c>
      <c r="C445" s="3" t="inlineStr">
        <is>
          <t>Horace Vandermeer</t>
        </is>
      </c>
      <c r="D445" s="3" t="inlineStr">
        <is>
          <t>FL</t>
        </is>
      </c>
      <c r="E445" s="14" t="n">
        <v>780000</v>
      </c>
      <c r="F445" s="14" t="n">
        <v>13164.03</v>
      </c>
      <c r="G445" s="14" t="n">
        <v>1645.5</v>
      </c>
      <c r="H445" s="14" t="n">
        <v>1645.5</v>
      </c>
      <c r="I445" s="14">
        <f>SUM(K445:T445)</f>
        <v/>
      </c>
      <c r="J445" s="14">
        <f>F445-(G445+H445+I445)</f>
        <v/>
      </c>
      <c r="K445" s="14" t="n">
        <v>987.3</v>
      </c>
      <c r="L445" s="14" t="n">
        <v>987.3</v>
      </c>
      <c r="M445" s="14" t="n">
        <v>987.3</v>
      </c>
      <c r="N445" s="14" t="n">
        <v>987.3</v>
      </c>
      <c r="O445" s="14" t="n">
        <v>987.3</v>
      </c>
      <c r="P445" s="14" t="n">
        <v>987.3</v>
      </c>
      <c r="Q445" s="14" t="n">
        <v>987.3</v>
      </c>
      <c r="R445" s="14" t="n">
        <v>987.3</v>
      </c>
      <c r="S445" s="14" t="n">
        <v>987.3</v>
      </c>
      <c r="T445" s="14" t="n">
        <v>987.3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CANON-202510-001690</t>
        </is>
      </c>
      <c r="B446" s="15" t="inlineStr">
        <is>
          <t>2025-10-31</t>
        </is>
      </c>
      <c r="C446" s="15" t="inlineStr">
        <is>
          <t>Noor Montoya</t>
        </is>
      </c>
      <c r="D446" s="15" t="inlineStr">
        <is>
          <t>CO</t>
        </is>
      </c>
      <c r="E446" s="16" t="n">
        <v>895000</v>
      </c>
      <c r="F446" s="16" t="n">
        <v>6840.57</v>
      </c>
      <c r="G446" s="16" t="n">
        <v>855.0700000000001</v>
      </c>
      <c r="H446" s="16" t="n">
        <v>855.0700000000001</v>
      </c>
      <c r="I446" s="16">
        <f>SUM(K446:T446)</f>
        <v/>
      </c>
      <c r="J446" s="16">
        <f>F446-(G446+H446+I446)</f>
        <v/>
      </c>
      <c r="K446" s="16" t="n">
        <v>513.04</v>
      </c>
      <c r="L446" s="16" t="n">
        <v>513.04</v>
      </c>
      <c r="M446" s="16" t="n">
        <v>513.04</v>
      </c>
      <c r="N446" s="16" t="n">
        <v>513.04</v>
      </c>
      <c r="O446" s="16" t="n">
        <v>513.04</v>
      </c>
      <c r="P446" s="16" t="n">
        <v>513.04</v>
      </c>
      <c r="Q446" s="16" t="n">
        <v>513.04</v>
      </c>
      <c r="R446" s="16" t="n">
        <v>513.04</v>
      </c>
      <c r="S446" s="16" t="n">
        <v>513.04</v>
      </c>
      <c r="T446" s="16" t="n">
        <v>513.04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CANON-202510-001691</t>
        </is>
      </c>
      <c r="B447" s="3" t="inlineStr">
        <is>
          <t>2025-10-29</t>
        </is>
      </c>
      <c r="C447" s="3" t="inlineStr">
        <is>
          <t>Saoirse Rourke</t>
        </is>
      </c>
      <c r="D447" s="3" t="inlineStr">
        <is>
          <t>FL</t>
        </is>
      </c>
      <c r="E447" s="14" t="n">
        <v>880000</v>
      </c>
      <c r="F447" s="14" t="n">
        <v>8682.549999999999</v>
      </c>
      <c r="G447" s="14" t="n">
        <v>1085.32</v>
      </c>
      <c r="H447" s="14" t="n">
        <v>1085.32</v>
      </c>
      <c r="I447" s="14">
        <f>SUM(K447:T447)</f>
        <v/>
      </c>
      <c r="J447" s="14">
        <f>F447-(G447+H447+I447)</f>
        <v/>
      </c>
      <c r="K447" s="14" t="n">
        <v>651.1900000000001</v>
      </c>
      <c r="L447" s="14" t="n">
        <v>651.1900000000001</v>
      </c>
      <c r="M447" s="14" t="n">
        <v>651.1900000000001</v>
      </c>
      <c r="N447" s="14" t="n">
        <v>651.1900000000001</v>
      </c>
      <c r="O447" s="14" t="n">
        <v>651.1900000000001</v>
      </c>
      <c r="P447" s="14" t="n">
        <v>651.1900000000001</v>
      </c>
      <c r="Q447" s="14" t="n">
        <v>651.1900000000001</v>
      </c>
      <c r="R447" s="14" t="n">
        <v>651.1900000000001</v>
      </c>
      <c r="S447" s="14" t="n">
        <v>651.1900000000001</v>
      </c>
      <c r="T447" s="14" t="n">
        <v>651.1900000000001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CANON-202510-001692</t>
        </is>
      </c>
      <c r="B448" s="15" t="inlineStr">
        <is>
          <t>2025-10-17</t>
        </is>
      </c>
      <c r="C448" s="15" t="inlineStr">
        <is>
          <t>Desmond Bellandi</t>
        </is>
      </c>
      <c r="D448" s="15" t="inlineStr">
        <is>
          <t>NY</t>
        </is>
      </c>
      <c r="E448" s="16" t="n">
        <v>590000</v>
      </c>
      <c r="F448" s="16" t="n">
        <v>8975.700000000001</v>
      </c>
      <c r="G448" s="16" t="n">
        <v>1121.96</v>
      </c>
      <c r="H448" s="16" t="n">
        <v>1121.96</v>
      </c>
      <c r="I448" s="16">
        <f>SUM(K448:T448)</f>
        <v/>
      </c>
      <c r="J448" s="16">
        <f>F448-(G448+H448+I448)</f>
        <v/>
      </c>
      <c r="K448" s="16" t="n">
        <v>673.1799999999999</v>
      </c>
      <c r="L448" s="16" t="n">
        <v>673.1799999999999</v>
      </c>
      <c r="M448" s="16" t="n">
        <v>673.1799999999999</v>
      </c>
      <c r="N448" s="16" t="n">
        <v>673.1799999999999</v>
      </c>
      <c r="O448" s="16" t="n">
        <v>673.1799999999999</v>
      </c>
      <c r="P448" s="16" t="n">
        <v>673.1799999999999</v>
      </c>
      <c r="Q448" s="16" t="n">
        <v>673.1799999999999</v>
      </c>
      <c r="R448" s="16" t="n">
        <v>673.1799999999999</v>
      </c>
      <c r="S448" s="16" t="n">
        <v>673.1799999999999</v>
      </c>
      <c r="T448" s="16" t="n">
        <v>673.1799999999999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CANON-202510-001693</t>
        </is>
      </c>
      <c r="B449" s="3" t="inlineStr">
        <is>
          <t>2025-10-22</t>
        </is>
      </c>
      <c r="C449" s="3" t="inlineStr">
        <is>
          <t>Ottilie Bellandi</t>
        </is>
      </c>
      <c r="D449" s="3" t="inlineStr">
        <is>
          <t>NE</t>
        </is>
      </c>
      <c r="E449" s="14" t="n">
        <v>325000</v>
      </c>
      <c r="F449" s="14" t="n">
        <v>5794.03</v>
      </c>
      <c r="G449" s="14" t="n">
        <v>724.25</v>
      </c>
      <c r="H449" s="14" t="n">
        <v>724.25</v>
      </c>
      <c r="I449" s="14">
        <f>SUM(K449:T449)</f>
        <v/>
      </c>
      <c r="J449" s="14">
        <f>F449-(G449+H449+I449)</f>
        <v/>
      </c>
      <c r="K449" s="14" t="n">
        <v>434.55</v>
      </c>
      <c r="L449" s="14" t="n">
        <v>434.55</v>
      </c>
      <c r="M449" s="14" t="n">
        <v>434.55</v>
      </c>
      <c r="N449" s="14" t="n">
        <v>434.55</v>
      </c>
      <c r="O449" s="14" t="n">
        <v>434.55</v>
      </c>
      <c r="P449" s="14" t="n">
        <v>434.55</v>
      </c>
      <c r="Q449" s="14" t="n">
        <v>434.55</v>
      </c>
      <c r="R449" s="14" t="n">
        <v>434.55</v>
      </c>
      <c r="S449" s="14" t="n">
        <v>434.55</v>
      </c>
      <c r="T449" s="14" t="n">
        <v>434.55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CANON-202510-001695</t>
        </is>
      </c>
      <c r="B450" s="15" t="inlineStr">
        <is>
          <t>2025-10-10</t>
        </is>
      </c>
      <c r="C450" s="15" t="inlineStr">
        <is>
          <t>Lorenzo Harrington</t>
        </is>
      </c>
      <c r="D450" s="15" t="inlineStr">
        <is>
          <t>OK</t>
        </is>
      </c>
      <c r="E450" s="16" t="n">
        <v>545000</v>
      </c>
      <c r="F450" s="16" t="n">
        <v>8161.56</v>
      </c>
      <c r="G450" s="16" t="n">
        <v>1020.2</v>
      </c>
      <c r="H450" s="16" t="n">
        <v>1020.2</v>
      </c>
      <c r="I450" s="16">
        <f>SUM(K450:T450)</f>
        <v/>
      </c>
      <c r="J450" s="16">
        <f>F450-(G450+H450+I450)</f>
        <v/>
      </c>
      <c r="K450" s="16" t="n">
        <v>612.12</v>
      </c>
      <c r="L450" s="16" t="n">
        <v>612.12</v>
      </c>
      <c r="M450" s="16" t="n">
        <v>612.12</v>
      </c>
      <c r="N450" s="16" t="n">
        <v>612.12</v>
      </c>
      <c r="O450" s="16" t="n">
        <v>612.12</v>
      </c>
      <c r="P450" s="16" t="n">
        <v>612.12</v>
      </c>
      <c r="Q450" s="16" t="n">
        <v>612.12</v>
      </c>
      <c r="R450" s="16" t="n">
        <v>612.12</v>
      </c>
      <c r="S450" s="16" t="n">
        <v>612.12</v>
      </c>
      <c r="T450" s="16" t="n">
        <v>612.12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CANON-202510-001696</t>
        </is>
      </c>
      <c r="B451" s="3" t="inlineStr">
        <is>
          <t>2025-10-09</t>
        </is>
      </c>
      <c r="C451" s="3" t="inlineStr">
        <is>
          <t>Everett Delacroix</t>
        </is>
      </c>
      <c r="D451" s="3" t="inlineStr">
        <is>
          <t>TN</t>
        </is>
      </c>
      <c r="E451" s="14" t="n">
        <v>450000</v>
      </c>
      <c r="F451" s="14" t="n">
        <v>6047.74</v>
      </c>
      <c r="G451" s="14" t="n">
        <v>755.97</v>
      </c>
      <c r="H451" s="14" t="n">
        <v>755.97</v>
      </c>
      <c r="I451" s="14">
        <f>SUM(K451:T451)</f>
        <v/>
      </c>
      <c r="J451" s="14">
        <f>F451-(G451+H451+I451)</f>
        <v/>
      </c>
      <c r="K451" s="14" t="n">
        <v>453.58</v>
      </c>
      <c r="L451" s="14" t="n">
        <v>453.58</v>
      </c>
      <c r="M451" s="14" t="n">
        <v>453.58</v>
      </c>
      <c r="N451" s="14" t="n">
        <v>453.58</v>
      </c>
      <c r="O451" s="14" t="n">
        <v>453.58</v>
      </c>
      <c r="P451" s="14" t="n">
        <v>453.58</v>
      </c>
      <c r="Q451" s="14" t="n">
        <v>453.58</v>
      </c>
      <c r="R451" s="14" t="n">
        <v>453.58</v>
      </c>
      <c r="S451" s="14" t="n">
        <v>453.58</v>
      </c>
      <c r="T451" s="14" t="n">
        <v>453.58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CANON-202510-001697</t>
        </is>
      </c>
      <c r="B452" s="15" t="inlineStr">
        <is>
          <t>2025-10-15</t>
        </is>
      </c>
      <c r="C452" s="15" t="inlineStr">
        <is>
          <t>Leopold Merriweather</t>
        </is>
      </c>
      <c r="D452" s="15" t="inlineStr">
        <is>
          <t>NE</t>
        </is>
      </c>
      <c r="E452" s="16" t="n">
        <v>530000</v>
      </c>
      <c r="F452" s="16" t="n">
        <v>8188.89</v>
      </c>
      <c r="G452" s="16" t="n">
        <v>1023.61</v>
      </c>
      <c r="H452" s="16" t="n">
        <v>1023.61</v>
      </c>
      <c r="I452" s="16">
        <f>SUM(K452:T452)</f>
        <v/>
      </c>
      <c r="J452" s="16">
        <f>F452-(G452+H452+I452)</f>
        <v/>
      </c>
      <c r="K452" s="16" t="n">
        <v>614.17</v>
      </c>
      <c r="L452" s="16" t="n">
        <v>614.17</v>
      </c>
      <c r="M452" s="16" t="n">
        <v>614.17</v>
      </c>
      <c r="N452" s="16" t="n">
        <v>614.17</v>
      </c>
      <c r="O452" s="16" t="n">
        <v>614.17</v>
      </c>
      <c r="P452" s="16" t="n">
        <v>614.17</v>
      </c>
      <c r="Q452" s="16" t="n">
        <v>614.17</v>
      </c>
      <c r="R452" s="16" t="n">
        <v>614.17</v>
      </c>
      <c r="S452" s="16" t="n">
        <v>614.17</v>
      </c>
      <c r="T452" s="16" t="n">
        <v>614.17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CANON-202510-001698</t>
        </is>
      </c>
      <c r="B453" s="3" t="inlineStr">
        <is>
          <t>2025-10-08</t>
        </is>
      </c>
      <c r="C453" s="3" t="inlineStr">
        <is>
          <t>Ottilie Kingsford</t>
        </is>
      </c>
      <c r="D453" s="3" t="inlineStr">
        <is>
          <t>KY</t>
        </is>
      </c>
      <c r="E453" s="14" t="n">
        <v>640000</v>
      </c>
      <c r="F453" s="14" t="n">
        <v>10192.74</v>
      </c>
      <c r="G453" s="14" t="n">
        <v>1274.09</v>
      </c>
      <c r="H453" s="14" t="n">
        <v>1274.09</v>
      </c>
      <c r="I453" s="14">
        <f>SUM(K453:T453)</f>
        <v/>
      </c>
      <c r="J453" s="14">
        <f>F453-(G453+H453+I453)</f>
        <v/>
      </c>
      <c r="K453" s="14" t="n">
        <v>764.46</v>
      </c>
      <c r="L453" s="14" t="n">
        <v>764.46</v>
      </c>
      <c r="M453" s="14" t="n">
        <v>764.46</v>
      </c>
      <c r="N453" s="14" t="n">
        <v>764.46</v>
      </c>
      <c r="O453" s="14" t="n">
        <v>764.46</v>
      </c>
      <c r="P453" s="14" t="n">
        <v>764.46</v>
      </c>
      <c r="Q453" s="14" t="n">
        <v>764.46</v>
      </c>
      <c r="R453" s="14" t="n">
        <v>764.46</v>
      </c>
      <c r="S453" s="14" t="n">
        <v>764.46</v>
      </c>
      <c r="T453" s="14" t="n">
        <v>764.46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CANON-202510-001700</t>
        </is>
      </c>
      <c r="B454" s="15" t="inlineStr">
        <is>
          <t>2025-10-05</t>
        </is>
      </c>
      <c r="C454" s="15" t="inlineStr">
        <is>
          <t>Emiliano Chattopadhyay</t>
        </is>
      </c>
      <c r="D454" s="15" t="inlineStr">
        <is>
          <t>MI</t>
        </is>
      </c>
      <c r="E454" s="16" t="n">
        <v>625000</v>
      </c>
      <c r="F454" s="16" t="n">
        <v>11513.78</v>
      </c>
      <c r="G454" s="16" t="n">
        <v>1439.22</v>
      </c>
      <c r="H454" s="16" t="n">
        <v>1439.22</v>
      </c>
      <c r="I454" s="16">
        <f>SUM(K454:T454)</f>
        <v/>
      </c>
      <c r="J454" s="16">
        <f>F454-(G454+H454+I454)</f>
        <v/>
      </c>
      <c r="K454" s="16" t="n">
        <v>863.53</v>
      </c>
      <c r="L454" s="16" t="n">
        <v>863.53</v>
      </c>
      <c r="M454" s="16" t="n">
        <v>863.53</v>
      </c>
      <c r="N454" s="16" t="n">
        <v>863.53</v>
      </c>
      <c r="O454" s="16" t="n">
        <v>863.53</v>
      </c>
      <c r="P454" s="16" t="n">
        <v>863.53</v>
      </c>
      <c r="Q454" s="16" t="n">
        <v>863.53</v>
      </c>
      <c r="R454" s="16" t="n">
        <v>863.53</v>
      </c>
      <c r="S454" s="16" t="n">
        <v>863.53</v>
      </c>
      <c r="T454" s="16" t="n">
        <v>863.53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CANON-202510-001701</t>
        </is>
      </c>
      <c r="B455" s="3" t="inlineStr">
        <is>
          <t>2025-10-03</t>
        </is>
      </c>
      <c r="C455" s="3" t="inlineStr">
        <is>
          <t>Horace Rourke</t>
        </is>
      </c>
      <c r="D455" s="3" t="inlineStr">
        <is>
          <t>WY</t>
        </is>
      </c>
      <c r="E455" s="14" t="n">
        <v>785000</v>
      </c>
      <c r="F455" s="14" t="n">
        <v>14590.49</v>
      </c>
      <c r="G455" s="14" t="n">
        <v>1823.81</v>
      </c>
      <c r="H455" s="14" t="n">
        <v>1823.81</v>
      </c>
      <c r="I455" s="14">
        <f>SUM(K455:T455)</f>
        <v/>
      </c>
      <c r="J455" s="14">
        <f>F455-(G455+H455+I455)</f>
        <v/>
      </c>
      <c r="K455" s="14" t="n">
        <v>1094.29</v>
      </c>
      <c r="L455" s="14" t="n">
        <v>1094.29</v>
      </c>
      <c r="M455" s="14" t="n">
        <v>1094.29</v>
      </c>
      <c r="N455" s="14" t="n">
        <v>1094.29</v>
      </c>
      <c r="O455" s="14" t="n">
        <v>1094.29</v>
      </c>
      <c r="P455" s="14" t="n">
        <v>1094.29</v>
      </c>
      <c r="Q455" s="14" t="n">
        <v>1094.29</v>
      </c>
      <c r="R455" s="14" t="n">
        <v>1094.29</v>
      </c>
      <c r="S455" s="14" t="n">
        <v>1094.29</v>
      </c>
      <c r="T455" s="14" t="n">
        <v>1094.29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CANON-202510-001702</t>
        </is>
      </c>
      <c r="B456" s="15" t="inlineStr">
        <is>
          <t>2025-10-03</t>
        </is>
      </c>
      <c r="C456" s="15" t="inlineStr">
        <is>
          <t>Ottilie Nakashima</t>
        </is>
      </c>
      <c r="D456" s="15" t="inlineStr">
        <is>
          <t>DE</t>
        </is>
      </c>
      <c r="E456" s="16" t="n">
        <v>1560000</v>
      </c>
      <c r="F456" s="16" t="n">
        <v>19610.56</v>
      </c>
      <c r="G456" s="16" t="n">
        <v>2451.32</v>
      </c>
      <c r="H456" s="16" t="n">
        <v>2451.32</v>
      </c>
      <c r="I456" s="16">
        <f>SUM(K456:T456)</f>
        <v/>
      </c>
      <c r="J456" s="16">
        <f>F456-(G456+H456+I456)</f>
        <v/>
      </c>
      <c r="K456" s="16" t="n">
        <v>1470.79</v>
      </c>
      <c r="L456" s="16" t="n">
        <v>1470.79</v>
      </c>
      <c r="M456" s="16" t="n">
        <v>1470.79</v>
      </c>
      <c r="N456" s="16" t="n">
        <v>1470.79</v>
      </c>
      <c r="O456" s="16" t="n">
        <v>1470.79</v>
      </c>
      <c r="P456" s="16" t="n">
        <v>1470.79</v>
      </c>
      <c r="Q456" s="16" t="n">
        <v>1470.79</v>
      </c>
      <c r="R456" s="16" t="n">
        <v>1470.79</v>
      </c>
      <c r="S456" s="16" t="n">
        <v>1470.79</v>
      </c>
      <c r="T456" s="16" t="n">
        <v>1470.79</v>
      </c>
      <c r="U456" s="16" t="n">
        <v>350</v>
      </c>
      <c r="V456" s="16" t="n">
        <v>250</v>
      </c>
      <c r="W456" s="16">
        <f>U456+V456</f>
        <v/>
      </c>
    </row>
    <row r="457">
      <c r="A457" s="3" t="inlineStr">
        <is>
          <t>CANON-202510-001703</t>
        </is>
      </c>
      <c r="B457" s="3" t="inlineStr">
        <is>
          <t>2025-10-01</t>
        </is>
      </c>
      <c r="C457" s="3" t="inlineStr">
        <is>
          <t>Ramona Harrington</t>
        </is>
      </c>
      <c r="D457" s="3" t="inlineStr">
        <is>
          <t>TX</t>
        </is>
      </c>
      <c r="E457" s="14" t="n">
        <v>310000</v>
      </c>
      <c r="F457" s="14" t="n">
        <v>7496.36</v>
      </c>
      <c r="G457" s="14" t="n">
        <v>937.04</v>
      </c>
      <c r="H457" s="14" t="n">
        <v>937.04</v>
      </c>
      <c r="I457" s="14">
        <f>SUM(K457:T457)</f>
        <v/>
      </c>
      <c r="J457" s="14">
        <f>F457-(G457+H457+I457)</f>
        <v/>
      </c>
      <c r="K457" s="14" t="n">
        <v>562.23</v>
      </c>
      <c r="L457" s="14" t="n">
        <v>562.23</v>
      </c>
      <c r="M457" s="14" t="n">
        <v>562.23</v>
      </c>
      <c r="N457" s="14" t="n">
        <v>562.23</v>
      </c>
      <c r="O457" s="14" t="n">
        <v>562.23</v>
      </c>
      <c r="P457" s="14" t="n">
        <v>562.23</v>
      </c>
      <c r="Q457" s="14" t="n">
        <v>562.23</v>
      </c>
      <c r="R457" s="14" t="n">
        <v>562.23</v>
      </c>
      <c r="S457" s="14" t="n">
        <v>562.23</v>
      </c>
      <c r="T457" s="14" t="n">
        <v>562.23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CANON-202510-001704</t>
        </is>
      </c>
      <c r="B458" s="15" t="inlineStr">
        <is>
          <t>2025-10-27</t>
        </is>
      </c>
      <c r="C458" s="15" t="inlineStr">
        <is>
          <t>Wilhelmina Larsson</t>
        </is>
      </c>
      <c r="D458" s="15" t="inlineStr">
        <is>
          <t>TN</t>
        </is>
      </c>
      <c r="E458" s="16" t="n">
        <v>875000</v>
      </c>
      <c r="F458" s="16" t="n">
        <v>14895.34</v>
      </c>
      <c r="G458" s="16" t="n">
        <v>1861.92</v>
      </c>
      <c r="H458" s="16" t="n">
        <v>1861.92</v>
      </c>
      <c r="I458" s="16">
        <f>SUM(K458:T458)</f>
        <v/>
      </c>
      <c r="J458" s="16">
        <f>F458-(G458+H458+I458)</f>
        <v/>
      </c>
      <c r="K458" s="16" t="n">
        <v>1117.15</v>
      </c>
      <c r="L458" s="16" t="n">
        <v>1117.15</v>
      </c>
      <c r="M458" s="16" t="n">
        <v>1117.15</v>
      </c>
      <c r="N458" s="16" t="n">
        <v>1117.15</v>
      </c>
      <c r="O458" s="16" t="n">
        <v>1117.15</v>
      </c>
      <c r="P458" s="16" t="n">
        <v>1117.15</v>
      </c>
      <c r="Q458" s="16" t="n">
        <v>1117.15</v>
      </c>
      <c r="R458" s="16" t="n">
        <v>1117.15</v>
      </c>
      <c r="S458" s="16" t="n">
        <v>1117.15</v>
      </c>
      <c r="T458" s="16" t="n">
        <v>1117.15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CANON-202510-001705</t>
        </is>
      </c>
      <c r="B459" s="3" t="inlineStr">
        <is>
          <t>2025-10-28</t>
        </is>
      </c>
      <c r="C459" s="3" t="inlineStr">
        <is>
          <t>Aurelio Okonkwo</t>
        </is>
      </c>
      <c r="D459" s="3" t="inlineStr">
        <is>
          <t>IN</t>
        </is>
      </c>
      <c r="E459" s="14" t="n">
        <v>340000</v>
      </c>
      <c r="F459" s="14" t="n">
        <v>5735.06</v>
      </c>
      <c r="G459" s="14" t="n">
        <v>716.88</v>
      </c>
      <c r="H459" s="14" t="n">
        <v>716.88</v>
      </c>
      <c r="I459" s="14">
        <f>SUM(K459:T459)</f>
        <v/>
      </c>
      <c r="J459" s="14">
        <f>F459-(G459+H459+I459)</f>
        <v/>
      </c>
      <c r="K459" s="14" t="n">
        <v>430.13</v>
      </c>
      <c r="L459" s="14" t="n">
        <v>430.13</v>
      </c>
      <c r="M459" s="14" t="n">
        <v>430.13</v>
      </c>
      <c r="N459" s="14" t="n">
        <v>430.13</v>
      </c>
      <c r="O459" s="14" t="n">
        <v>430.13</v>
      </c>
      <c r="P459" s="14" t="n">
        <v>430.13</v>
      </c>
      <c r="Q459" s="14" t="n">
        <v>430.13</v>
      </c>
      <c r="R459" s="14" t="n">
        <v>430.13</v>
      </c>
      <c r="S459" s="14" t="n">
        <v>430.13</v>
      </c>
      <c r="T459" s="14" t="n">
        <v>430.13</v>
      </c>
      <c r="U459" s="14" t="n">
        <v>350</v>
      </c>
      <c r="V459" s="14" t="n">
        <v>0</v>
      </c>
      <c r="W459" s="14">
        <f>U459+V459</f>
        <v/>
      </c>
    </row>
    <row r="460">
      <c r="A460" s="15" t="inlineStr">
        <is>
          <t>CANON-202510-001706</t>
        </is>
      </c>
      <c r="B460" s="15" t="inlineStr">
        <is>
          <t>2025-10-08</t>
        </is>
      </c>
      <c r="C460" s="15" t="inlineStr">
        <is>
          <t>Marisol Vandermeer</t>
        </is>
      </c>
      <c r="D460" s="15" t="inlineStr">
        <is>
          <t>MO</t>
        </is>
      </c>
      <c r="E460" s="16" t="n">
        <v>955000</v>
      </c>
      <c r="F460" s="16" t="n">
        <v>12031.38</v>
      </c>
      <c r="G460" s="16" t="n">
        <v>1503.92</v>
      </c>
      <c r="H460" s="16" t="n">
        <v>1503.92</v>
      </c>
      <c r="I460" s="16">
        <f>SUM(K460:T460)</f>
        <v/>
      </c>
      <c r="J460" s="16">
        <f>F460-(G460+H460+I460)</f>
        <v/>
      </c>
      <c r="K460" s="16" t="n">
        <v>902.35</v>
      </c>
      <c r="L460" s="16" t="n">
        <v>902.35</v>
      </c>
      <c r="M460" s="16" t="n">
        <v>902.35</v>
      </c>
      <c r="N460" s="16" t="n">
        <v>902.35</v>
      </c>
      <c r="O460" s="16" t="n">
        <v>902.35</v>
      </c>
      <c r="P460" s="16" t="n">
        <v>902.35</v>
      </c>
      <c r="Q460" s="16" t="n">
        <v>902.35</v>
      </c>
      <c r="R460" s="16" t="n">
        <v>902.35</v>
      </c>
      <c r="S460" s="16" t="n">
        <v>902.35</v>
      </c>
      <c r="T460" s="16" t="n">
        <v>902.35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CANON-202510-001708</t>
        </is>
      </c>
      <c r="B461" s="3" t="inlineStr">
        <is>
          <t>2025-10-09</t>
        </is>
      </c>
      <c r="C461" s="3" t="inlineStr">
        <is>
          <t>Thaddeus Montoya</t>
        </is>
      </c>
      <c r="D461" s="3" t="inlineStr">
        <is>
          <t>FL</t>
        </is>
      </c>
      <c r="E461" s="14" t="n">
        <v>555000</v>
      </c>
      <c r="F461" s="14" t="n">
        <v>13689.82</v>
      </c>
      <c r="G461" s="14" t="n">
        <v>1711.23</v>
      </c>
      <c r="H461" s="14" t="n">
        <v>1711.23</v>
      </c>
      <c r="I461" s="14">
        <f>SUM(K461:T461)</f>
        <v/>
      </c>
      <c r="J461" s="14">
        <f>F461-(G461+H461+I461)</f>
        <v/>
      </c>
      <c r="K461" s="14" t="n">
        <v>1026.74</v>
      </c>
      <c r="L461" s="14" t="n">
        <v>1026.74</v>
      </c>
      <c r="M461" s="14" t="n">
        <v>1026.74</v>
      </c>
      <c r="N461" s="14" t="n">
        <v>1026.74</v>
      </c>
      <c r="O461" s="14" t="n">
        <v>1026.74</v>
      </c>
      <c r="P461" s="14" t="n">
        <v>1026.74</v>
      </c>
      <c r="Q461" s="14" t="n">
        <v>1026.74</v>
      </c>
      <c r="R461" s="14" t="n">
        <v>1026.74</v>
      </c>
      <c r="S461" s="14" t="n">
        <v>1026.74</v>
      </c>
      <c r="T461" s="14" t="n">
        <v>1026.74</v>
      </c>
      <c r="U461" s="14" t="n">
        <v>350</v>
      </c>
      <c r="V461" s="14" t="n">
        <v>0</v>
      </c>
      <c r="W461" s="14">
        <f>U461+V461</f>
        <v/>
      </c>
    </row>
    <row r="462">
      <c r="A462" s="15" t="inlineStr">
        <is>
          <t>CANON-202510-001710</t>
        </is>
      </c>
      <c r="B462" s="15" t="inlineStr">
        <is>
          <t>2025-10-24</t>
        </is>
      </c>
      <c r="C462" s="15" t="inlineStr">
        <is>
          <t>Delphine Pennington</t>
        </is>
      </c>
      <c r="D462" s="15" t="inlineStr">
        <is>
          <t>MI</t>
        </is>
      </c>
      <c r="E462" s="16" t="n">
        <v>535000</v>
      </c>
      <c r="F462" s="16" t="n">
        <v>9855.799999999999</v>
      </c>
      <c r="G462" s="16" t="n">
        <v>1231.97</v>
      </c>
      <c r="H462" s="16" t="n">
        <v>1231.97</v>
      </c>
      <c r="I462" s="16">
        <f>SUM(K462:T462)</f>
        <v/>
      </c>
      <c r="J462" s="16">
        <f>F462-(G462+H462+I462)</f>
        <v/>
      </c>
      <c r="K462" s="16" t="n">
        <v>739.1799999999999</v>
      </c>
      <c r="L462" s="16" t="n">
        <v>739.1799999999999</v>
      </c>
      <c r="M462" s="16" t="n">
        <v>739.1799999999999</v>
      </c>
      <c r="N462" s="16" t="n">
        <v>739.1799999999999</v>
      </c>
      <c r="O462" s="16" t="n">
        <v>739.1799999999999</v>
      </c>
      <c r="P462" s="16" t="n">
        <v>739.1799999999999</v>
      </c>
      <c r="Q462" s="16" t="n">
        <v>739.1799999999999</v>
      </c>
      <c r="R462" s="16" t="n">
        <v>739.1799999999999</v>
      </c>
      <c r="S462" s="16" t="n">
        <v>739.1799999999999</v>
      </c>
      <c r="T462" s="16" t="n">
        <v>739.1799999999999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CANON-202510-001711</t>
        </is>
      </c>
      <c r="B463" s="3" t="inlineStr">
        <is>
          <t>2025-10-23</t>
        </is>
      </c>
      <c r="C463" s="3" t="inlineStr">
        <is>
          <t>Desmond Fairweather</t>
        </is>
      </c>
      <c r="D463" s="3" t="inlineStr">
        <is>
          <t>FL</t>
        </is>
      </c>
      <c r="E463" s="14" t="n">
        <v>305000</v>
      </c>
      <c r="F463" s="14" t="n">
        <v>5939.39</v>
      </c>
      <c r="G463" s="14" t="n">
        <v>742.42</v>
      </c>
      <c r="H463" s="14" t="n">
        <v>742.42</v>
      </c>
      <c r="I463" s="14">
        <f>SUM(K463:T463)</f>
        <v/>
      </c>
      <c r="J463" s="14">
        <f>F463-(G463+H463+I463)</f>
        <v/>
      </c>
      <c r="K463" s="14" t="n">
        <v>445.45</v>
      </c>
      <c r="L463" s="14" t="n">
        <v>445.45</v>
      </c>
      <c r="M463" s="14" t="n">
        <v>445.45</v>
      </c>
      <c r="N463" s="14" t="n">
        <v>445.45</v>
      </c>
      <c r="O463" s="14" t="n">
        <v>445.45</v>
      </c>
      <c r="P463" s="14" t="n">
        <v>445.45</v>
      </c>
      <c r="Q463" s="14" t="n">
        <v>445.45</v>
      </c>
      <c r="R463" s="14" t="n">
        <v>445.45</v>
      </c>
      <c r="S463" s="14" t="n">
        <v>445.45</v>
      </c>
      <c r="T463" s="14" t="n">
        <v>445.45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CANON-202510-001713</t>
        </is>
      </c>
      <c r="B464" s="15" t="inlineStr">
        <is>
          <t>2025-10-13</t>
        </is>
      </c>
      <c r="C464" s="15" t="inlineStr">
        <is>
          <t>Everett Bellandi</t>
        </is>
      </c>
      <c r="D464" s="15" t="inlineStr">
        <is>
          <t>TX</t>
        </is>
      </c>
      <c r="E464" s="16" t="n">
        <v>115000</v>
      </c>
      <c r="F464" s="16" t="n">
        <v>2224.72</v>
      </c>
      <c r="G464" s="16" t="n">
        <v>278.09</v>
      </c>
      <c r="H464" s="16" t="n">
        <v>278.09</v>
      </c>
      <c r="I464" s="16">
        <f>SUM(K464:T464)</f>
        <v/>
      </c>
      <c r="J464" s="16">
        <f>F464-(G464+H464+I464)</f>
        <v/>
      </c>
      <c r="K464" s="16" t="n">
        <v>166.85</v>
      </c>
      <c r="L464" s="16" t="n">
        <v>166.85</v>
      </c>
      <c r="M464" s="16" t="n">
        <v>166.85</v>
      </c>
      <c r="N464" s="16" t="n">
        <v>166.85</v>
      </c>
      <c r="O464" s="16" t="n">
        <v>166.85</v>
      </c>
      <c r="P464" s="16" t="n">
        <v>166.85</v>
      </c>
      <c r="Q464" s="16" t="n">
        <v>166.85</v>
      </c>
      <c r="R464" s="16" t="n">
        <v>166.85</v>
      </c>
      <c r="S464" s="16" t="n">
        <v>166.85</v>
      </c>
      <c r="T464" s="16" t="n">
        <v>166.85</v>
      </c>
      <c r="U464" s="16" t="n">
        <v>350</v>
      </c>
      <c r="V464" s="16" t="n">
        <v>0</v>
      </c>
      <c r="W464" s="16">
        <f>U464+V464</f>
        <v/>
      </c>
    </row>
    <row r="465">
      <c r="A465" s="3" t="inlineStr">
        <is>
          <t>CANON-202510-001714</t>
        </is>
      </c>
      <c r="B465" s="3" t="inlineStr">
        <is>
          <t>2025-10-20</t>
        </is>
      </c>
      <c r="C465" s="3" t="inlineStr">
        <is>
          <t>Marisol Larsson</t>
        </is>
      </c>
      <c r="D465" s="3" t="inlineStr">
        <is>
          <t>NJ</t>
        </is>
      </c>
      <c r="E465" s="14" t="n">
        <v>295000</v>
      </c>
      <c r="F465" s="14" t="n">
        <v>3681.44</v>
      </c>
      <c r="G465" s="14" t="n">
        <v>460.18</v>
      </c>
      <c r="H465" s="14" t="n">
        <v>460.18</v>
      </c>
      <c r="I465" s="14">
        <f>SUM(K465:T465)</f>
        <v/>
      </c>
      <c r="J465" s="14">
        <f>F465-(G465+H465+I465)</f>
        <v/>
      </c>
      <c r="K465" s="14" t="n">
        <v>276.11</v>
      </c>
      <c r="L465" s="14" t="n">
        <v>276.11</v>
      </c>
      <c r="M465" s="14" t="n">
        <v>276.11</v>
      </c>
      <c r="N465" s="14" t="n">
        <v>276.11</v>
      </c>
      <c r="O465" s="14" t="n">
        <v>276.11</v>
      </c>
      <c r="P465" s="14" t="n">
        <v>276.11</v>
      </c>
      <c r="Q465" s="14" t="n">
        <v>276.11</v>
      </c>
      <c r="R465" s="14" t="n">
        <v>276.11</v>
      </c>
      <c r="S465" s="14" t="n">
        <v>276.11</v>
      </c>
      <c r="T465" s="14" t="n">
        <v>276.11</v>
      </c>
      <c r="U465" s="14" t="n">
        <v>350</v>
      </c>
      <c r="V465" s="14" t="n">
        <v>0</v>
      </c>
      <c r="W465" s="14">
        <f>U465+V465</f>
        <v/>
      </c>
    </row>
    <row r="466">
      <c r="A466" s="15" t="inlineStr">
        <is>
          <t>CANON-202510-001715</t>
        </is>
      </c>
      <c r="B466" s="15" t="inlineStr">
        <is>
          <t>2025-10-19</t>
        </is>
      </c>
      <c r="C466" s="15" t="inlineStr">
        <is>
          <t>Saoirse Thistlewood</t>
        </is>
      </c>
      <c r="D466" s="15" t="inlineStr">
        <is>
          <t>CA</t>
        </is>
      </c>
      <c r="E466" s="16" t="n">
        <v>405000</v>
      </c>
      <c r="F466" s="16" t="n">
        <v>7497.96</v>
      </c>
      <c r="G466" s="16" t="n">
        <v>937.25</v>
      </c>
      <c r="H466" s="16" t="n">
        <v>937.25</v>
      </c>
      <c r="I466" s="16">
        <f>SUM(K466:T466)</f>
        <v/>
      </c>
      <c r="J466" s="16">
        <f>F466-(G466+H466+I466)</f>
        <v/>
      </c>
      <c r="K466" s="16" t="n">
        <v>562.35</v>
      </c>
      <c r="L466" s="16" t="n">
        <v>562.35</v>
      </c>
      <c r="M466" s="16" t="n">
        <v>562.35</v>
      </c>
      <c r="N466" s="16" t="n">
        <v>562.35</v>
      </c>
      <c r="O466" s="16" t="n">
        <v>562.35</v>
      </c>
      <c r="P466" s="16" t="n">
        <v>562.35</v>
      </c>
      <c r="Q466" s="16" t="n">
        <v>562.35</v>
      </c>
      <c r="R466" s="16" t="n">
        <v>562.35</v>
      </c>
      <c r="S466" s="16" t="n">
        <v>562.35</v>
      </c>
      <c r="T466" s="16" t="n">
        <v>562.35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CANON-202510-001716</t>
        </is>
      </c>
      <c r="B467" s="3" t="inlineStr">
        <is>
          <t>2025-10-04</t>
        </is>
      </c>
      <c r="C467" s="3" t="inlineStr">
        <is>
          <t>Horace Bellandi</t>
        </is>
      </c>
      <c r="D467" s="3" t="inlineStr">
        <is>
          <t>OH</t>
        </is>
      </c>
      <c r="E467" s="14" t="n">
        <v>310000</v>
      </c>
      <c r="F467" s="14" t="n">
        <v>5909.22</v>
      </c>
      <c r="G467" s="14" t="n">
        <v>738.65</v>
      </c>
      <c r="H467" s="14" t="n">
        <v>738.65</v>
      </c>
      <c r="I467" s="14">
        <f>SUM(K467:T467)</f>
        <v/>
      </c>
      <c r="J467" s="14">
        <f>F467-(G467+H467+I467)</f>
        <v/>
      </c>
      <c r="K467" s="14" t="n">
        <v>443.19</v>
      </c>
      <c r="L467" s="14" t="n">
        <v>443.19</v>
      </c>
      <c r="M467" s="14" t="n">
        <v>443.19</v>
      </c>
      <c r="N467" s="14" t="n">
        <v>443.19</v>
      </c>
      <c r="O467" s="14" t="n">
        <v>443.19</v>
      </c>
      <c r="P467" s="14" t="n">
        <v>443.19</v>
      </c>
      <c r="Q467" s="14" t="n">
        <v>443.19</v>
      </c>
      <c r="R467" s="14" t="n">
        <v>443.19</v>
      </c>
      <c r="S467" s="14" t="n">
        <v>443.19</v>
      </c>
      <c r="T467" s="14" t="n">
        <v>443.19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CANON-202510-001717</t>
        </is>
      </c>
      <c r="B468" s="15" t="inlineStr">
        <is>
          <t>2025-10-07</t>
        </is>
      </c>
      <c r="C468" s="15" t="inlineStr">
        <is>
          <t>Delphine Bellandi</t>
        </is>
      </c>
      <c r="D468" s="15" t="inlineStr">
        <is>
          <t>ME</t>
        </is>
      </c>
      <c r="E468" s="16" t="n">
        <v>1655000</v>
      </c>
      <c r="F468" s="16" t="n">
        <v>17975.34</v>
      </c>
      <c r="G468" s="16" t="n">
        <v>2246.92</v>
      </c>
      <c r="H468" s="16" t="n">
        <v>2246.92</v>
      </c>
      <c r="I468" s="16">
        <f>SUM(K468:T468)</f>
        <v/>
      </c>
      <c r="J468" s="16">
        <f>F468-(G468+H468+I468)</f>
        <v/>
      </c>
      <c r="K468" s="16" t="n">
        <v>1348.15</v>
      </c>
      <c r="L468" s="16" t="n">
        <v>1348.15</v>
      </c>
      <c r="M468" s="16" t="n">
        <v>1348.15</v>
      </c>
      <c r="N468" s="16" t="n">
        <v>1348.15</v>
      </c>
      <c r="O468" s="16" t="n">
        <v>1348.15</v>
      </c>
      <c r="P468" s="16" t="n">
        <v>1348.15</v>
      </c>
      <c r="Q468" s="16" t="n">
        <v>1348.15</v>
      </c>
      <c r="R468" s="16" t="n">
        <v>1348.15</v>
      </c>
      <c r="S468" s="16" t="n">
        <v>1348.15</v>
      </c>
      <c r="T468" s="16" t="n">
        <v>1348.15</v>
      </c>
      <c r="U468" s="16" t="n">
        <v>350</v>
      </c>
      <c r="V468" s="16" t="n">
        <v>250</v>
      </c>
      <c r="W468" s="16">
        <f>U468+V468</f>
        <v/>
      </c>
    </row>
    <row r="469">
      <c r="A469" s="3" t="inlineStr">
        <is>
          <t>CANON-202510-001719</t>
        </is>
      </c>
      <c r="B469" s="3" t="inlineStr">
        <is>
          <t>2025-10-12</t>
        </is>
      </c>
      <c r="C469" s="3" t="inlineStr">
        <is>
          <t>Lorenzo Montoya</t>
        </is>
      </c>
      <c r="D469" s="3" t="inlineStr">
        <is>
          <t>LA</t>
        </is>
      </c>
      <c r="E469" s="14" t="n">
        <v>1950000</v>
      </c>
      <c r="F469" s="14" t="n">
        <v>14668.7</v>
      </c>
      <c r="G469" s="14" t="n">
        <v>1833.59</v>
      </c>
      <c r="H469" s="14" t="n">
        <v>1833.59</v>
      </c>
      <c r="I469" s="14">
        <f>SUM(K469:T469)</f>
        <v/>
      </c>
      <c r="J469" s="14">
        <f>F469-(G469+H469+I469)</f>
        <v/>
      </c>
      <c r="K469" s="14" t="n">
        <v>1100.15</v>
      </c>
      <c r="L469" s="14" t="n">
        <v>1100.15</v>
      </c>
      <c r="M469" s="14" t="n">
        <v>1100.15</v>
      </c>
      <c r="N469" s="14" t="n">
        <v>1100.15</v>
      </c>
      <c r="O469" s="14" t="n">
        <v>1100.15</v>
      </c>
      <c r="P469" s="14" t="n">
        <v>1100.15</v>
      </c>
      <c r="Q469" s="14" t="n">
        <v>1100.15</v>
      </c>
      <c r="R469" s="14" t="n">
        <v>1100.15</v>
      </c>
      <c r="S469" s="14" t="n">
        <v>1100.15</v>
      </c>
      <c r="T469" s="14" t="n">
        <v>1100.15</v>
      </c>
      <c r="U469" s="14" t="n">
        <v>350</v>
      </c>
      <c r="V469" s="14" t="n">
        <v>250</v>
      </c>
      <c r="W469" s="14">
        <f>U469+V469</f>
        <v/>
      </c>
    </row>
    <row r="470">
      <c r="A470" s="15" t="inlineStr">
        <is>
          <t>CANON-202510-001720</t>
        </is>
      </c>
      <c r="B470" s="15" t="inlineStr">
        <is>
          <t>2025-10-29</t>
        </is>
      </c>
      <c r="C470" s="15" t="inlineStr">
        <is>
          <t>Delphine Larsson</t>
        </is>
      </c>
      <c r="D470" s="15" t="inlineStr">
        <is>
          <t>MT</t>
        </is>
      </c>
      <c r="E470" s="16" t="n">
        <v>150000</v>
      </c>
      <c r="F470" s="16" t="n">
        <v>2346.69</v>
      </c>
      <c r="G470" s="16" t="n">
        <v>293.34</v>
      </c>
      <c r="H470" s="16" t="n">
        <v>293.34</v>
      </c>
      <c r="I470" s="16">
        <f>SUM(K470:T470)</f>
        <v/>
      </c>
      <c r="J470" s="16">
        <f>F470-(G470+H470+I470)</f>
        <v/>
      </c>
      <c r="K470" s="16" t="n">
        <v>176</v>
      </c>
      <c r="L470" s="16" t="n">
        <v>176</v>
      </c>
      <c r="M470" s="16" t="n">
        <v>176</v>
      </c>
      <c r="N470" s="16" t="n">
        <v>176</v>
      </c>
      <c r="O470" s="16" t="n">
        <v>176</v>
      </c>
      <c r="P470" s="16" t="n">
        <v>176</v>
      </c>
      <c r="Q470" s="16" t="n">
        <v>176</v>
      </c>
      <c r="R470" s="16" t="n">
        <v>176</v>
      </c>
      <c r="S470" s="16" t="n">
        <v>176</v>
      </c>
      <c r="T470" s="16" t="n">
        <v>176</v>
      </c>
      <c r="U470" s="16" t="n">
        <v>350</v>
      </c>
      <c r="V470" s="16" t="n">
        <v>0</v>
      </c>
      <c r="W470" s="16">
        <f>U470+V470</f>
        <v/>
      </c>
    </row>
    <row r="471">
      <c r="A471" s="3" t="inlineStr">
        <is>
          <t>CANON-202510-001723</t>
        </is>
      </c>
      <c r="B471" s="3" t="inlineStr">
        <is>
          <t>2025-10-31</t>
        </is>
      </c>
      <c r="C471" s="3" t="inlineStr">
        <is>
          <t>Ingrid Merriweather</t>
        </is>
      </c>
      <c r="D471" s="3" t="inlineStr">
        <is>
          <t>WA</t>
        </is>
      </c>
      <c r="E471" s="14" t="n">
        <v>395000</v>
      </c>
      <c r="F471" s="14" t="n">
        <v>5200.23</v>
      </c>
      <c r="G471" s="14" t="n">
        <v>650.03</v>
      </c>
      <c r="H471" s="14" t="n">
        <v>650.03</v>
      </c>
      <c r="I471" s="14">
        <f>SUM(K471:T471)</f>
        <v/>
      </c>
      <c r="J471" s="14">
        <f>F471-(G471+H471+I471)</f>
        <v/>
      </c>
      <c r="K471" s="14" t="n">
        <v>390.02</v>
      </c>
      <c r="L471" s="14" t="n">
        <v>390.02</v>
      </c>
      <c r="M471" s="14" t="n">
        <v>390.02</v>
      </c>
      <c r="N471" s="14" t="n">
        <v>390.02</v>
      </c>
      <c r="O471" s="14" t="n">
        <v>390.02</v>
      </c>
      <c r="P471" s="14" t="n">
        <v>390.02</v>
      </c>
      <c r="Q471" s="14" t="n">
        <v>390.02</v>
      </c>
      <c r="R471" s="14" t="n">
        <v>390.02</v>
      </c>
      <c r="S471" s="14" t="n">
        <v>390.02</v>
      </c>
      <c r="T471" s="14" t="n">
        <v>390.02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CANON-202510-001724</t>
        </is>
      </c>
      <c r="B472" s="15" t="inlineStr">
        <is>
          <t>2025-10-25</t>
        </is>
      </c>
      <c r="C472" s="15" t="inlineStr">
        <is>
          <t>Delphine Kingsford</t>
        </is>
      </c>
      <c r="D472" s="15" t="inlineStr">
        <is>
          <t>CT</t>
        </is>
      </c>
      <c r="E472" s="16" t="n">
        <v>935000</v>
      </c>
      <c r="F472" s="16" t="n">
        <v>18190.56</v>
      </c>
      <c r="G472" s="16" t="n">
        <v>2273.82</v>
      </c>
      <c r="H472" s="16" t="n">
        <v>2273.82</v>
      </c>
      <c r="I472" s="16">
        <f>SUM(K472:T472)</f>
        <v/>
      </c>
      <c r="J472" s="16">
        <f>F472-(G472+H472+I472)</f>
        <v/>
      </c>
      <c r="K472" s="16" t="n">
        <v>1364.29</v>
      </c>
      <c r="L472" s="16" t="n">
        <v>1364.29</v>
      </c>
      <c r="M472" s="16" t="n">
        <v>1364.29</v>
      </c>
      <c r="N472" s="16" t="n">
        <v>1364.29</v>
      </c>
      <c r="O472" s="16" t="n">
        <v>1364.29</v>
      </c>
      <c r="P472" s="16" t="n">
        <v>1364.29</v>
      </c>
      <c r="Q472" s="16" t="n">
        <v>1364.29</v>
      </c>
      <c r="R472" s="16" t="n">
        <v>1364.29</v>
      </c>
      <c r="S472" s="16" t="n">
        <v>1364.29</v>
      </c>
      <c r="T472" s="16" t="n">
        <v>1364.29</v>
      </c>
      <c r="U472" s="16" t="n">
        <v>350</v>
      </c>
      <c r="V472" s="16" t="n">
        <v>0</v>
      </c>
      <c r="W472" s="16">
        <f>U472+V472</f>
        <v/>
      </c>
    </row>
    <row r="473">
      <c r="A473" s="3" t="inlineStr">
        <is>
          <t>CANON-202510-001725</t>
        </is>
      </c>
      <c r="B473" s="3" t="inlineStr">
        <is>
          <t>2025-10-30</t>
        </is>
      </c>
      <c r="C473" s="3" t="inlineStr">
        <is>
          <t>Saoirse Okonkwo</t>
        </is>
      </c>
      <c r="D473" s="3" t="inlineStr">
        <is>
          <t>MI</t>
        </is>
      </c>
      <c r="E473" s="14" t="n">
        <v>410000</v>
      </c>
      <c r="F473" s="14" t="n">
        <v>10225.65</v>
      </c>
      <c r="G473" s="14" t="n">
        <v>1278.21</v>
      </c>
      <c r="H473" s="14" t="n">
        <v>1278.21</v>
      </c>
      <c r="I473" s="14">
        <f>SUM(K473:T473)</f>
        <v/>
      </c>
      <c r="J473" s="14">
        <f>F473-(G473+H473+I473)</f>
        <v/>
      </c>
      <c r="K473" s="14" t="n">
        <v>766.92</v>
      </c>
      <c r="L473" s="14" t="n">
        <v>766.92</v>
      </c>
      <c r="M473" s="14" t="n">
        <v>766.92</v>
      </c>
      <c r="N473" s="14" t="n">
        <v>766.92</v>
      </c>
      <c r="O473" s="14" t="n">
        <v>766.92</v>
      </c>
      <c r="P473" s="14" t="n">
        <v>766.92</v>
      </c>
      <c r="Q473" s="14" t="n">
        <v>766.92</v>
      </c>
      <c r="R473" s="14" t="n">
        <v>766.92</v>
      </c>
      <c r="S473" s="14" t="n">
        <v>766.92</v>
      </c>
      <c r="T473" s="14" t="n">
        <v>766.92</v>
      </c>
      <c r="U473" s="14" t="n">
        <v>350</v>
      </c>
      <c r="V473" s="14" t="n">
        <v>0</v>
      </c>
      <c r="W473" s="14">
        <f>U473+V473</f>
        <v/>
      </c>
    </row>
    <row r="474">
      <c r="A474" s="15" t="inlineStr">
        <is>
          <t>CANON-202510-001726</t>
        </is>
      </c>
      <c r="B474" s="15" t="inlineStr">
        <is>
          <t>2025-10-01</t>
        </is>
      </c>
      <c r="C474" s="15" t="inlineStr">
        <is>
          <t>Wilhelmina Whitlock</t>
        </is>
      </c>
      <c r="D474" s="15" t="inlineStr">
        <is>
          <t>WA</t>
        </is>
      </c>
      <c r="E474" s="16" t="n">
        <v>665000</v>
      </c>
      <c r="F474" s="16" t="n">
        <v>5019.42</v>
      </c>
      <c r="G474" s="16" t="n">
        <v>627.4299999999999</v>
      </c>
      <c r="H474" s="16" t="n">
        <v>627.4299999999999</v>
      </c>
      <c r="I474" s="16">
        <f>SUM(K474:T474)</f>
        <v/>
      </c>
      <c r="J474" s="16">
        <f>F474-(G474+H474+I474)</f>
        <v/>
      </c>
      <c r="K474" s="16" t="n">
        <v>376.46</v>
      </c>
      <c r="L474" s="16" t="n">
        <v>376.46</v>
      </c>
      <c r="M474" s="16" t="n">
        <v>376.46</v>
      </c>
      <c r="N474" s="16" t="n">
        <v>376.46</v>
      </c>
      <c r="O474" s="16" t="n">
        <v>376.46</v>
      </c>
      <c r="P474" s="16" t="n">
        <v>376.46</v>
      </c>
      <c r="Q474" s="16" t="n">
        <v>376.46</v>
      </c>
      <c r="R474" s="16" t="n">
        <v>376.46</v>
      </c>
      <c r="S474" s="16" t="n">
        <v>376.46</v>
      </c>
      <c r="T474" s="16" t="n">
        <v>376.46</v>
      </c>
      <c r="U474" s="16" t="n">
        <v>350</v>
      </c>
      <c r="V474" s="16" t="n">
        <v>0</v>
      </c>
      <c r="W474" s="16">
        <f>U474+V474</f>
        <v/>
      </c>
    </row>
    <row r="475">
      <c r="A475" s="3" t="inlineStr">
        <is>
          <t>CANON-202510-001727</t>
        </is>
      </c>
      <c r="B475" s="3" t="inlineStr">
        <is>
          <t>2025-10-04</t>
        </is>
      </c>
      <c r="C475" s="3" t="inlineStr">
        <is>
          <t>Mireille Chattopadhyay</t>
        </is>
      </c>
      <c r="D475" s="3" t="inlineStr">
        <is>
          <t>OR</t>
        </is>
      </c>
      <c r="E475" s="14" t="n">
        <v>125000</v>
      </c>
      <c r="F475" s="14" t="n">
        <v>2376.13</v>
      </c>
      <c r="G475" s="14" t="n">
        <v>297.02</v>
      </c>
      <c r="H475" s="14" t="n">
        <v>297.02</v>
      </c>
      <c r="I475" s="14">
        <f>SUM(K475:T475)</f>
        <v/>
      </c>
      <c r="J475" s="14">
        <f>F475-(G475+H475+I475)</f>
        <v/>
      </c>
      <c r="K475" s="14" t="n">
        <v>178.21</v>
      </c>
      <c r="L475" s="14" t="n">
        <v>178.21</v>
      </c>
      <c r="M475" s="14" t="n">
        <v>178.21</v>
      </c>
      <c r="N475" s="14" t="n">
        <v>178.21</v>
      </c>
      <c r="O475" s="14" t="n">
        <v>178.21</v>
      </c>
      <c r="P475" s="14" t="n">
        <v>178.21</v>
      </c>
      <c r="Q475" s="14" t="n">
        <v>178.21</v>
      </c>
      <c r="R475" s="14" t="n">
        <v>178.21</v>
      </c>
      <c r="S475" s="14" t="n">
        <v>178.21</v>
      </c>
      <c r="T475" s="14" t="n">
        <v>178.21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CANON-202510-001728</t>
        </is>
      </c>
      <c r="B476" s="15" t="inlineStr">
        <is>
          <t>2025-10-09</t>
        </is>
      </c>
      <c r="C476" s="15" t="inlineStr">
        <is>
          <t>Everett Harrington</t>
        </is>
      </c>
      <c r="D476" s="15" t="inlineStr">
        <is>
          <t>MT</t>
        </is>
      </c>
      <c r="E476" s="16" t="n">
        <v>505000</v>
      </c>
      <c r="F476" s="16" t="n">
        <v>5581.88</v>
      </c>
      <c r="G476" s="16" t="n">
        <v>697.74</v>
      </c>
      <c r="H476" s="16" t="n">
        <v>697.74</v>
      </c>
      <c r="I476" s="16">
        <f>SUM(K476:T476)</f>
        <v/>
      </c>
      <c r="J476" s="16">
        <f>F476-(G476+H476+I476)</f>
        <v/>
      </c>
      <c r="K476" s="16" t="n">
        <v>418.64</v>
      </c>
      <c r="L476" s="16" t="n">
        <v>418.64</v>
      </c>
      <c r="M476" s="16" t="n">
        <v>418.64</v>
      </c>
      <c r="N476" s="16" t="n">
        <v>418.64</v>
      </c>
      <c r="O476" s="16" t="n">
        <v>418.64</v>
      </c>
      <c r="P476" s="16" t="n">
        <v>418.64</v>
      </c>
      <c r="Q476" s="16" t="n">
        <v>418.64</v>
      </c>
      <c r="R476" s="16" t="n">
        <v>418.64</v>
      </c>
      <c r="S476" s="16" t="n">
        <v>418.64</v>
      </c>
      <c r="T476" s="16" t="n">
        <v>418.64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CANON-202510-001729</t>
        </is>
      </c>
      <c r="B477" s="3" t="inlineStr">
        <is>
          <t>2025-10-02</t>
        </is>
      </c>
      <c r="C477" s="3" t="inlineStr">
        <is>
          <t>Emiliano Pennington</t>
        </is>
      </c>
      <c r="D477" s="3" t="inlineStr">
        <is>
          <t>WV</t>
        </is>
      </c>
      <c r="E477" s="14" t="n">
        <v>340000</v>
      </c>
      <c r="F477" s="14" t="n">
        <v>6201.33</v>
      </c>
      <c r="G477" s="14" t="n">
        <v>775.17</v>
      </c>
      <c r="H477" s="14" t="n">
        <v>775.17</v>
      </c>
      <c r="I477" s="14">
        <f>SUM(K477:T477)</f>
        <v/>
      </c>
      <c r="J477" s="14">
        <f>F477-(G477+H477+I477)</f>
        <v/>
      </c>
      <c r="K477" s="14" t="n">
        <v>465.1</v>
      </c>
      <c r="L477" s="14" t="n">
        <v>465.1</v>
      </c>
      <c r="M477" s="14" t="n">
        <v>465.1</v>
      </c>
      <c r="N477" s="14" t="n">
        <v>465.1</v>
      </c>
      <c r="O477" s="14" t="n">
        <v>465.1</v>
      </c>
      <c r="P477" s="14" t="n">
        <v>465.1</v>
      </c>
      <c r="Q477" s="14" t="n">
        <v>465.1</v>
      </c>
      <c r="R477" s="14" t="n">
        <v>465.1</v>
      </c>
      <c r="S477" s="14" t="n">
        <v>465.1</v>
      </c>
      <c r="T477" s="14" t="n">
        <v>465.1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CANON-202510-001730</t>
        </is>
      </c>
      <c r="B478" s="15" t="inlineStr">
        <is>
          <t>2025-10-31</t>
        </is>
      </c>
      <c r="C478" s="15" t="inlineStr">
        <is>
          <t>Thaddeus Merriweather</t>
        </is>
      </c>
      <c r="D478" s="15" t="inlineStr">
        <is>
          <t>CA</t>
        </is>
      </c>
      <c r="E478" s="16" t="n">
        <v>505000</v>
      </c>
      <c r="F478" s="16" t="n">
        <v>11842.45</v>
      </c>
      <c r="G478" s="16" t="n">
        <v>1480.31</v>
      </c>
      <c r="H478" s="16" t="n">
        <v>1480.31</v>
      </c>
      <c r="I478" s="16">
        <f>SUM(K478:T478)</f>
        <v/>
      </c>
      <c r="J478" s="16">
        <f>F478-(G478+H478+I478)</f>
        <v/>
      </c>
      <c r="K478" s="16" t="n">
        <v>888.1799999999999</v>
      </c>
      <c r="L478" s="16" t="n">
        <v>888.1799999999999</v>
      </c>
      <c r="M478" s="16" t="n">
        <v>888.1799999999999</v>
      </c>
      <c r="N478" s="16" t="n">
        <v>888.1799999999999</v>
      </c>
      <c r="O478" s="16" t="n">
        <v>888.1799999999999</v>
      </c>
      <c r="P478" s="16" t="n">
        <v>888.1799999999999</v>
      </c>
      <c r="Q478" s="16" t="n">
        <v>888.1799999999999</v>
      </c>
      <c r="R478" s="16" t="n">
        <v>888.1799999999999</v>
      </c>
      <c r="S478" s="16" t="n">
        <v>888.1799999999999</v>
      </c>
      <c r="T478" s="16" t="n">
        <v>888.1799999999999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CANON-202510-001731</t>
        </is>
      </c>
      <c r="B479" s="3" t="inlineStr">
        <is>
          <t>2025-10-17</t>
        </is>
      </c>
      <c r="C479" s="3" t="inlineStr">
        <is>
          <t>Fitzgerald Pennington</t>
        </is>
      </c>
      <c r="D479" s="3" t="inlineStr">
        <is>
          <t>CA</t>
        </is>
      </c>
      <c r="E479" s="14" t="n">
        <v>700000</v>
      </c>
      <c r="F479" s="14" t="n">
        <v>11231.5</v>
      </c>
      <c r="G479" s="14" t="n">
        <v>1403.94</v>
      </c>
      <c r="H479" s="14" t="n">
        <v>1403.94</v>
      </c>
      <c r="I479" s="14">
        <f>SUM(K479:T479)</f>
        <v/>
      </c>
      <c r="J479" s="14">
        <f>F479-(G479+H479+I479)</f>
        <v/>
      </c>
      <c r="K479" s="14" t="n">
        <v>842.36</v>
      </c>
      <c r="L479" s="14" t="n">
        <v>842.36</v>
      </c>
      <c r="M479" s="14" t="n">
        <v>842.36</v>
      </c>
      <c r="N479" s="14" t="n">
        <v>842.36</v>
      </c>
      <c r="O479" s="14" t="n">
        <v>842.36</v>
      </c>
      <c r="P479" s="14" t="n">
        <v>842.36</v>
      </c>
      <c r="Q479" s="14" t="n">
        <v>842.36</v>
      </c>
      <c r="R479" s="14" t="n">
        <v>842.36</v>
      </c>
      <c r="S479" s="14" t="n">
        <v>842.36</v>
      </c>
      <c r="T479" s="14" t="n">
        <v>842.36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CANON-202510-001732</t>
        </is>
      </c>
      <c r="B480" s="15" t="inlineStr">
        <is>
          <t>2025-10-01</t>
        </is>
      </c>
      <c r="C480" s="15" t="inlineStr">
        <is>
          <t>Callum Fairweather</t>
        </is>
      </c>
      <c r="D480" s="15" t="inlineStr">
        <is>
          <t>MI</t>
        </is>
      </c>
      <c r="E480" s="16" t="n">
        <v>1230000</v>
      </c>
      <c r="F480" s="16" t="n">
        <v>13246.87</v>
      </c>
      <c r="G480" s="16" t="n">
        <v>1655.86</v>
      </c>
      <c r="H480" s="16" t="n">
        <v>1655.86</v>
      </c>
      <c r="I480" s="16">
        <f>SUM(K480:T480)</f>
        <v/>
      </c>
      <c r="J480" s="16">
        <f>F480-(G480+H480+I480)</f>
        <v/>
      </c>
      <c r="K480" s="16" t="n">
        <v>993.52</v>
      </c>
      <c r="L480" s="16" t="n">
        <v>993.52</v>
      </c>
      <c r="M480" s="16" t="n">
        <v>993.52</v>
      </c>
      <c r="N480" s="16" t="n">
        <v>993.52</v>
      </c>
      <c r="O480" s="16" t="n">
        <v>993.52</v>
      </c>
      <c r="P480" s="16" t="n">
        <v>993.52</v>
      </c>
      <c r="Q480" s="16" t="n">
        <v>993.52</v>
      </c>
      <c r="R480" s="16" t="n">
        <v>993.52</v>
      </c>
      <c r="S480" s="16" t="n">
        <v>993.52</v>
      </c>
      <c r="T480" s="16" t="n">
        <v>993.52</v>
      </c>
      <c r="U480" s="16" t="n">
        <v>350</v>
      </c>
      <c r="V480" s="16" t="n">
        <v>250</v>
      </c>
      <c r="W480" s="16">
        <f>U480+V480</f>
        <v/>
      </c>
    </row>
    <row r="481">
      <c r="A481" s="3" t="inlineStr">
        <is>
          <t>CANON-202510-001733</t>
        </is>
      </c>
      <c r="B481" s="3" t="inlineStr">
        <is>
          <t>2025-10-02</t>
        </is>
      </c>
      <c r="C481" s="3" t="inlineStr">
        <is>
          <t>Noor Pennington</t>
        </is>
      </c>
      <c r="D481" s="3" t="inlineStr">
        <is>
          <t>OR</t>
        </is>
      </c>
      <c r="E481" s="14" t="n">
        <v>1415000</v>
      </c>
      <c r="F481" s="14" t="n">
        <v>9940.469999999999</v>
      </c>
      <c r="G481" s="14" t="n">
        <v>1242.56</v>
      </c>
      <c r="H481" s="14" t="n">
        <v>1242.56</v>
      </c>
      <c r="I481" s="14">
        <f>SUM(K481:T481)</f>
        <v/>
      </c>
      <c r="J481" s="14">
        <f>F481-(G481+H481+I481)</f>
        <v/>
      </c>
      <c r="K481" s="14" t="n">
        <v>745.54</v>
      </c>
      <c r="L481" s="14" t="n">
        <v>745.54</v>
      </c>
      <c r="M481" s="14" t="n">
        <v>745.54</v>
      </c>
      <c r="N481" s="14" t="n">
        <v>745.54</v>
      </c>
      <c r="O481" s="14" t="n">
        <v>745.54</v>
      </c>
      <c r="P481" s="14" t="n">
        <v>745.54</v>
      </c>
      <c r="Q481" s="14" t="n">
        <v>745.54</v>
      </c>
      <c r="R481" s="14" t="n">
        <v>745.54</v>
      </c>
      <c r="S481" s="14" t="n">
        <v>745.54</v>
      </c>
      <c r="T481" s="14" t="n">
        <v>745.54</v>
      </c>
      <c r="U481" s="14" t="n">
        <v>350</v>
      </c>
      <c r="V481" s="14" t="n">
        <v>250</v>
      </c>
      <c r="W481" s="14">
        <f>U481+V481</f>
        <v/>
      </c>
    </row>
    <row r="482">
      <c r="A482" s="9" t="inlineStr">
        <is>
          <t>TOTAL</t>
        </is>
      </c>
      <c r="E482" s="10">
        <f>SUM(E5:E481)</f>
        <v/>
      </c>
      <c r="F482" s="10">
        <f>SUM(F5:F481)</f>
        <v/>
      </c>
      <c r="G482" s="10">
        <f>SUM(G5:G481)</f>
        <v/>
      </c>
      <c r="H482" s="10">
        <f>SUM(H5:H481)</f>
        <v/>
      </c>
      <c r="I482" s="10">
        <f>SUM(I5:I481)</f>
        <v/>
      </c>
      <c r="J482" s="10">
        <f>SUM(J5:J481)</f>
        <v/>
      </c>
      <c r="K482" s="10">
        <f>SUM(K5:K481)</f>
        <v/>
      </c>
      <c r="L482" s="10">
        <f>SUM(L5:L481)</f>
        <v/>
      </c>
      <c r="M482" s="10">
        <f>SUM(M5:M481)</f>
        <v/>
      </c>
      <c r="N482" s="10">
        <f>SUM(N5:N481)</f>
        <v/>
      </c>
      <c r="O482" s="10">
        <f>SUM(O5:O481)</f>
        <v/>
      </c>
      <c r="P482" s="10">
        <f>SUM(P5:P481)</f>
        <v/>
      </c>
      <c r="Q482" s="10">
        <f>SUM(Q5:Q481)</f>
        <v/>
      </c>
      <c r="R482" s="10">
        <f>SUM(R5:R481)</f>
        <v/>
      </c>
      <c r="S482" s="10">
        <f>SUM(S5:S481)</f>
        <v/>
      </c>
      <c r="T482" s="10">
        <f>SUM(T5:T481)</f>
        <v/>
      </c>
      <c r="U482" s="10">
        <f>SUM(U5:U481)</f>
        <v/>
      </c>
      <c r="V482" s="10">
        <f>SUM(V5:V481)</f>
        <v/>
      </c>
      <c r="W482" s="10">
        <f>SUM(W5:W481)</f>
        <v/>
      </c>
    </row>
    <row r="483">
      <c r="A483" s="5" t="inlineStr">
        <is>
          <t>Foot check: Premium − (B+T+M+Resid)</t>
        </is>
      </c>
      <c r="F483" s="17">
        <f>F482-(G482+H482+I482+J482)</f>
        <v/>
      </c>
    </row>
    <row r="484">
      <c r="A484" s="5" t="inlineStr">
        <is>
          <t>Foot check: Markets − Σ(10 syndicates)</t>
        </is>
      </c>
      <c r="I484" s="17">
        <f>I482-SUM(K482:T482)</f>
        <v/>
      </c>
    </row>
  </sheetData>
  <autoFilter ref="A4:W481"/>
  <mergeCells count="2">
    <mergeCell ref="A2:W2"/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W4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2025-11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CANON-202511-001734</t>
        </is>
      </c>
      <c r="B5" s="3" t="inlineStr">
        <is>
          <t>2025-11-12</t>
        </is>
      </c>
      <c r="C5" s="3" t="inlineStr">
        <is>
          <t>Leopold Ashcombe</t>
        </is>
      </c>
      <c r="D5" s="3" t="inlineStr">
        <is>
          <t>NE</t>
        </is>
      </c>
      <c r="E5" s="14" t="n">
        <v>230000</v>
      </c>
      <c r="F5" s="14" t="n">
        <v>4771.86</v>
      </c>
      <c r="G5" s="14" t="n">
        <v>596.48</v>
      </c>
      <c r="H5" s="14" t="n">
        <v>596.48</v>
      </c>
      <c r="I5" s="14">
        <f>SUM(K5:T5)</f>
        <v/>
      </c>
      <c r="J5" s="14">
        <f>F5-(G5+H5+I5)</f>
        <v/>
      </c>
      <c r="K5" s="14" t="n">
        <v>357.89</v>
      </c>
      <c r="L5" s="14" t="n">
        <v>357.89</v>
      </c>
      <c r="M5" s="14" t="n">
        <v>357.89</v>
      </c>
      <c r="N5" s="14" t="n">
        <v>357.89</v>
      </c>
      <c r="O5" s="14" t="n">
        <v>357.89</v>
      </c>
      <c r="P5" s="14" t="n">
        <v>357.89</v>
      </c>
      <c r="Q5" s="14" t="n">
        <v>357.89</v>
      </c>
      <c r="R5" s="14" t="n">
        <v>357.89</v>
      </c>
      <c r="S5" s="14" t="n">
        <v>357.89</v>
      </c>
      <c r="T5" s="14" t="n">
        <v>357.89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CANON-202511-001736</t>
        </is>
      </c>
      <c r="B6" s="15" t="inlineStr">
        <is>
          <t>2025-11-08</t>
        </is>
      </c>
      <c r="C6" s="15" t="inlineStr">
        <is>
          <t>Beatrix Delacroix</t>
        </is>
      </c>
      <c r="D6" s="15" t="inlineStr">
        <is>
          <t>NE</t>
        </is>
      </c>
      <c r="E6" s="16" t="n">
        <v>175000</v>
      </c>
      <c r="F6" s="16" t="n">
        <v>3630.77</v>
      </c>
      <c r="G6" s="16" t="n">
        <v>453.85</v>
      </c>
      <c r="H6" s="16" t="n">
        <v>453.85</v>
      </c>
      <c r="I6" s="16">
        <f>SUM(K6:T6)</f>
        <v/>
      </c>
      <c r="J6" s="16">
        <f>F6-(G6+H6+I6)</f>
        <v/>
      </c>
      <c r="K6" s="16" t="n">
        <v>272.31</v>
      </c>
      <c r="L6" s="16" t="n">
        <v>272.31</v>
      </c>
      <c r="M6" s="16" t="n">
        <v>272.31</v>
      </c>
      <c r="N6" s="16" t="n">
        <v>272.31</v>
      </c>
      <c r="O6" s="16" t="n">
        <v>272.31</v>
      </c>
      <c r="P6" s="16" t="n">
        <v>272.31</v>
      </c>
      <c r="Q6" s="16" t="n">
        <v>272.31</v>
      </c>
      <c r="R6" s="16" t="n">
        <v>272.31</v>
      </c>
      <c r="S6" s="16" t="n">
        <v>272.31</v>
      </c>
      <c r="T6" s="16" t="n">
        <v>272.31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CANON-202511-001738</t>
        </is>
      </c>
      <c r="B7" s="3" t="inlineStr">
        <is>
          <t>2025-11-20</t>
        </is>
      </c>
      <c r="C7" s="3" t="inlineStr">
        <is>
          <t>Thaddeus Whitlock</t>
        </is>
      </c>
      <c r="D7" s="3" t="inlineStr">
        <is>
          <t>MI</t>
        </is>
      </c>
      <c r="E7" s="14" t="n">
        <v>670000</v>
      </c>
      <c r="F7" s="14" t="n">
        <v>11709.77</v>
      </c>
      <c r="G7" s="14" t="n">
        <v>1463.72</v>
      </c>
      <c r="H7" s="14" t="n">
        <v>1463.72</v>
      </c>
      <c r="I7" s="14">
        <f>SUM(K7:T7)</f>
        <v/>
      </c>
      <c r="J7" s="14">
        <f>F7-(G7+H7+I7)</f>
        <v/>
      </c>
      <c r="K7" s="14" t="n">
        <v>878.23</v>
      </c>
      <c r="L7" s="14" t="n">
        <v>878.23</v>
      </c>
      <c r="M7" s="14" t="n">
        <v>878.23</v>
      </c>
      <c r="N7" s="14" t="n">
        <v>878.23</v>
      </c>
      <c r="O7" s="14" t="n">
        <v>878.23</v>
      </c>
      <c r="P7" s="14" t="n">
        <v>878.23</v>
      </c>
      <c r="Q7" s="14" t="n">
        <v>878.23</v>
      </c>
      <c r="R7" s="14" t="n">
        <v>878.23</v>
      </c>
      <c r="S7" s="14" t="n">
        <v>878.23</v>
      </c>
      <c r="T7" s="14" t="n">
        <v>878.23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CANON-202511-001739</t>
        </is>
      </c>
      <c r="B8" s="15" t="inlineStr">
        <is>
          <t>2025-11-23</t>
        </is>
      </c>
      <c r="C8" s="15" t="inlineStr">
        <is>
          <t>Fitzgerald Thistlewood</t>
        </is>
      </c>
      <c r="D8" s="15" t="inlineStr">
        <is>
          <t>NY</t>
        </is>
      </c>
      <c r="E8" s="16" t="n">
        <v>555000</v>
      </c>
      <c r="F8" s="16" t="n">
        <v>8010.23</v>
      </c>
      <c r="G8" s="16" t="n">
        <v>1001.28</v>
      </c>
      <c r="H8" s="16" t="n">
        <v>1001.28</v>
      </c>
      <c r="I8" s="16">
        <f>SUM(K8:T8)</f>
        <v/>
      </c>
      <c r="J8" s="16">
        <f>F8-(G8+H8+I8)</f>
        <v/>
      </c>
      <c r="K8" s="16" t="n">
        <v>600.77</v>
      </c>
      <c r="L8" s="16" t="n">
        <v>600.77</v>
      </c>
      <c r="M8" s="16" t="n">
        <v>600.77</v>
      </c>
      <c r="N8" s="16" t="n">
        <v>600.77</v>
      </c>
      <c r="O8" s="16" t="n">
        <v>600.77</v>
      </c>
      <c r="P8" s="16" t="n">
        <v>600.77</v>
      </c>
      <c r="Q8" s="16" t="n">
        <v>600.77</v>
      </c>
      <c r="R8" s="16" t="n">
        <v>600.77</v>
      </c>
      <c r="S8" s="16" t="n">
        <v>600.77</v>
      </c>
      <c r="T8" s="16" t="n">
        <v>600.77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CANON-202511-001740</t>
        </is>
      </c>
      <c r="B9" s="3" t="inlineStr">
        <is>
          <t>2025-11-12</t>
        </is>
      </c>
      <c r="C9" s="3" t="inlineStr">
        <is>
          <t>Callum Thistlewood</t>
        </is>
      </c>
      <c r="D9" s="3" t="inlineStr">
        <is>
          <t>RI</t>
        </is>
      </c>
      <c r="E9" s="14" t="n">
        <v>645000</v>
      </c>
      <c r="F9" s="14" t="n">
        <v>9963.74</v>
      </c>
      <c r="G9" s="14" t="n">
        <v>1245.47</v>
      </c>
      <c r="H9" s="14" t="n">
        <v>1245.47</v>
      </c>
      <c r="I9" s="14">
        <f>SUM(K9:T9)</f>
        <v/>
      </c>
      <c r="J9" s="14">
        <f>F9-(G9+H9+I9)</f>
        <v/>
      </c>
      <c r="K9" s="14" t="n">
        <v>747.28</v>
      </c>
      <c r="L9" s="14" t="n">
        <v>747.28</v>
      </c>
      <c r="M9" s="14" t="n">
        <v>747.28</v>
      </c>
      <c r="N9" s="14" t="n">
        <v>747.28</v>
      </c>
      <c r="O9" s="14" t="n">
        <v>747.28</v>
      </c>
      <c r="P9" s="14" t="n">
        <v>747.28</v>
      </c>
      <c r="Q9" s="14" t="n">
        <v>747.28</v>
      </c>
      <c r="R9" s="14" t="n">
        <v>747.28</v>
      </c>
      <c r="S9" s="14" t="n">
        <v>747.28</v>
      </c>
      <c r="T9" s="14" t="n">
        <v>747.28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CANON-202511-001741</t>
        </is>
      </c>
      <c r="B10" s="15" t="inlineStr">
        <is>
          <t>2025-11-11</t>
        </is>
      </c>
      <c r="C10" s="15" t="inlineStr">
        <is>
          <t>Ottilie Montoya</t>
        </is>
      </c>
      <c r="D10" s="15" t="inlineStr">
        <is>
          <t>AL</t>
        </is>
      </c>
      <c r="E10" s="16" t="n">
        <v>415000</v>
      </c>
      <c r="F10" s="16" t="n">
        <v>6857.12</v>
      </c>
      <c r="G10" s="16" t="n">
        <v>857.14</v>
      </c>
      <c r="H10" s="16" t="n">
        <v>857.14</v>
      </c>
      <c r="I10" s="16">
        <f>SUM(K10:T10)</f>
        <v/>
      </c>
      <c r="J10" s="16">
        <f>F10-(G10+H10+I10)</f>
        <v/>
      </c>
      <c r="K10" s="16" t="n">
        <v>514.28</v>
      </c>
      <c r="L10" s="16" t="n">
        <v>514.28</v>
      </c>
      <c r="M10" s="16" t="n">
        <v>514.28</v>
      </c>
      <c r="N10" s="16" t="n">
        <v>514.28</v>
      </c>
      <c r="O10" s="16" t="n">
        <v>514.28</v>
      </c>
      <c r="P10" s="16" t="n">
        <v>514.28</v>
      </c>
      <c r="Q10" s="16" t="n">
        <v>514.28</v>
      </c>
      <c r="R10" s="16" t="n">
        <v>514.28</v>
      </c>
      <c r="S10" s="16" t="n">
        <v>514.28</v>
      </c>
      <c r="T10" s="16" t="n">
        <v>514.28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CANON-202511-001742</t>
        </is>
      </c>
      <c r="B11" s="3" t="inlineStr">
        <is>
          <t>2025-11-30</t>
        </is>
      </c>
      <c r="C11" s="3" t="inlineStr">
        <is>
          <t>Saoirse Larsson</t>
        </is>
      </c>
      <c r="D11" s="3" t="inlineStr">
        <is>
          <t>NC</t>
        </is>
      </c>
      <c r="E11" s="14" t="n">
        <v>1050000</v>
      </c>
      <c r="F11" s="14" t="n">
        <v>16757.37</v>
      </c>
      <c r="G11" s="14" t="n">
        <v>2094.67</v>
      </c>
      <c r="H11" s="14" t="n">
        <v>2094.67</v>
      </c>
      <c r="I11" s="14">
        <f>SUM(K11:T11)</f>
        <v/>
      </c>
      <c r="J11" s="14">
        <f>F11-(G11+H11+I11)</f>
        <v/>
      </c>
      <c r="K11" s="14" t="n">
        <v>1256.8</v>
      </c>
      <c r="L11" s="14" t="n">
        <v>1256.8</v>
      </c>
      <c r="M11" s="14" t="n">
        <v>1256.8</v>
      </c>
      <c r="N11" s="14" t="n">
        <v>1256.8</v>
      </c>
      <c r="O11" s="14" t="n">
        <v>1256.8</v>
      </c>
      <c r="P11" s="14" t="n">
        <v>1256.8</v>
      </c>
      <c r="Q11" s="14" t="n">
        <v>1256.8</v>
      </c>
      <c r="R11" s="14" t="n">
        <v>1256.8</v>
      </c>
      <c r="S11" s="14" t="n">
        <v>1256.8</v>
      </c>
      <c r="T11" s="14" t="n">
        <v>1256.8</v>
      </c>
      <c r="U11" s="14" t="n">
        <v>350</v>
      </c>
      <c r="V11" s="14" t="n">
        <v>250</v>
      </c>
      <c r="W11" s="14">
        <f>U11+V11</f>
        <v/>
      </c>
    </row>
    <row r="12">
      <c r="A12" s="15" t="inlineStr">
        <is>
          <t>CANON-202511-001744</t>
        </is>
      </c>
      <c r="B12" s="15" t="inlineStr">
        <is>
          <t>2025-11-11</t>
        </is>
      </c>
      <c r="C12" s="15" t="inlineStr">
        <is>
          <t>Wilhelmina Delacroix</t>
        </is>
      </c>
      <c r="D12" s="15" t="inlineStr">
        <is>
          <t>IL</t>
        </is>
      </c>
      <c r="E12" s="16" t="n">
        <v>115000</v>
      </c>
      <c r="F12" s="16" t="n">
        <v>1546.47</v>
      </c>
      <c r="G12" s="16" t="n">
        <v>193.31</v>
      </c>
      <c r="H12" s="16" t="n">
        <v>193.31</v>
      </c>
      <c r="I12" s="16">
        <f>SUM(K12:T12)</f>
        <v/>
      </c>
      <c r="J12" s="16">
        <f>F12-(G12+H12+I12)</f>
        <v/>
      </c>
      <c r="K12" s="16" t="n">
        <v>115.99</v>
      </c>
      <c r="L12" s="16" t="n">
        <v>115.99</v>
      </c>
      <c r="M12" s="16" t="n">
        <v>115.99</v>
      </c>
      <c r="N12" s="16" t="n">
        <v>115.99</v>
      </c>
      <c r="O12" s="16" t="n">
        <v>115.99</v>
      </c>
      <c r="P12" s="16" t="n">
        <v>115.99</v>
      </c>
      <c r="Q12" s="16" t="n">
        <v>115.99</v>
      </c>
      <c r="R12" s="16" t="n">
        <v>115.99</v>
      </c>
      <c r="S12" s="16" t="n">
        <v>115.99</v>
      </c>
      <c r="T12" s="16" t="n">
        <v>115.99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CANON-202511-001745</t>
        </is>
      </c>
      <c r="B13" s="3" t="inlineStr">
        <is>
          <t>2025-11-12</t>
        </is>
      </c>
      <c r="C13" s="3" t="inlineStr">
        <is>
          <t>Noor Pennington</t>
        </is>
      </c>
      <c r="D13" s="3" t="inlineStr">
        <is>
          <t>NY</t>
        </is>
      </c>
      <c r="E13" s="14" t="n">
        <v>140000</v>
      </c>
      <c r="F13" s="14" t="n">
        <v>3264.04</v>
      </c>
      <c r="G13" s="14" t="n">
        <v>408</v>
      </c>
      <c r="H13" s="14" t="n">
        <v>408</v>
      </c>
      <c r="I13" s="14">
        <f>SUM(K13:T13)</f>
        <v/>
      </c>
      <c r="J13" s="14">
        <f>F13-(G13+H13+I13)</f>
        <v/>
      </c>
      <c r="K13" s="14" t="n">
        <v>244.8</v>
      </c>
      <c r="L13" s="14" t="n">
        <v>244.8</v>
      </c>
      <c r="M13" s="14" t="n">
        <v>244.8</v>
      </c>
      <c r="N13" s="14" t="n">
        <v>244.8</v>
      </c>
      <c r="O13" s="14" t="n">
        <v>244.8</v>
      </c>
      <c r="P13" s="14" t="n">
        <v>244.8</v>
      </c>
      <c r="Q13" s="14" t="n">
        <v>244.8</v>
      </c>
      <c r="R13" s="14" t="n">
        <v>244.8</v>
      </c>
      <c r="S13" s="14" t="n">
        <v>244.8</v>
      </c>
      <c r="T13" s="14" t="n">
        <v>244.8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CANON-202511-001746</t>
        </is>
      </c>
      <c r="B14" s="15" t="inlineStr">
        <is>
          <t>2025-11-24</t>
        </is>
      </c>
      <c r="C14" s="15" t="inlineStr">
        <is>
          <t>Marisol Chattopadhyay</t>
        </is>
      </c>
      <c r="D14" s="15" t="inlineStr">
        <is>
          <t>PA</t>
        </is>
      </c>
      <c r="E14" s="16" t="n">
        <v>665000</v>
      </c>
      <c r="F14" s="16" t="n">
        <v>10959.07</v>
      </c>
      <c r="G14" s="16" t="n">
        <v>1369.88</v>
      </c>
      <c r="H14" s="16" t="n">
        <v>1369.88</v>
      </c>
      <c r="I14" s="16">
        <f>SUM(K14:T14)</f>
        <v/>
      </c>
      <c r="J14" s="16">
        <f>F14-(G14+H14+I14)</f>
        <v/>
      </c>
      <c r="K14" s="16" t="n">
        <v>821.9299999999999</v>
      </c>
      <c r="L14" s="16" t="n">
        <v>821.9299999999999</v>
      </c>
      <c r="M14" s="16" t="n">
        <v>821.9299999999999</v>
      </c>
      <c r="N14" s="16" t="n">
        <v>821.9299999999999</v>
      </c>
      <c r="O14" s="16" t="n">
        <v>821.9299999999999</v>
      </c>
      <c r="P14" s="16" t="n">
        <v>821.9299999999999</v>
      </c>
      <c r="Q14" s="16" t="n">
        <v>821.9299999999999</v>
      </c>
      <c r="R14" s="16" t="n">
        <v>821.9299999999999</v>
      </c>
      <c r="S14" s="16" t="n">
        <v>821.9299999999999</v>
      </c>
      <c r="T14" s="16" t="n">
        <v>821.9299999999999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CANON-202511-001747</t>
        </is>
      </c>
      <c r="B15" s="3" t="inlineStr">
        <is>
          <t>2025-11-15</t>
        </is>
      </c>
      <c r="C15" s="3" t="inlineStr">
        <is>
          <t>Anouk Bellandi</t>
        </is>
      </c>
      <c r="D15" s="3" t="inlineStr">
        <is>
          <t>TX</t>
        </is>
      </c>
      <c r="E15" s="14" t="n">
        <v>845000</v>
      </c>
      <c r="F15" s="14" t="n">
        <v>10957.12</v>
      </c>
      <c r="G15" s="14" t="n">
        <v>1369.64</v>
      </c>
      <c r="H15" s="14" t="n">
        <v>1369.64</v>
      </c>
      <c r="I15" s="14">
        <f>SUM(K15:T15)</f>
        <v/>
      </c>
      <c r="J15" s="14">
        <f>F15-(G15+H15+I15)</f>
        <v/>
      </c>
      <c r="K15" s="14" t="n">
        <v>821.78</v>
      </c>
      <c r="L15" s="14" t="n">
        <v>821.78</v>
      </c>
      <c r="M15" s="14" t="n">
        <v>821.78</v>
      </c>
      <c r="N15" s="14" t="n">
        <v>821.78</v>
      </c>
      <c r="O15" s="14" t="n">
        <v>821.78</v>
      </c>
      <c r="P15" s="14" t="n">
        <v>821.78</v>
      </c>
      <c r="Q15" s="14" t="n">
        <v>821.78</v>
      </c>
      <c r="R15" s="14" t="n">
        <v>821.78</v>
      </c>
      <c r="S15" s="14" t="n">
        <v>821.78</v>
      </c>
      <c r="T15" s="14" t="n">
        <v>821.78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CANON-202511-001748</t>
        </is>
      </c>
      <c r="B16" s="15" t="inlineStr">
        <is>
          <t>2025-11-17</t>
        </is>
      </c>
      <c r="C16" s="15" t="inlineStr">
        <is>
          <t>Lorenzo Castellanos</t>
        </is>
      </c>
      <c r="D16" s="15" t="inlineStr">
        <is>
          <t>FL</t>
        </is>
      </c>
      <c r="E16" s="16" t="n">
        <v>420000</v>
      </c>
      <c r="F16" s="16" t="n">
        <v>7759.39</v>
      </c>
      <c r="G16" s="16" t="n">
        <v>969.92</v>
      </c>
      <c r="H16" s="16" t="n">
        <v>969.92</v>
      </c>
      <c r="I16" s="16">
        <f>SUM(K16:T16)</f>
        <v/>
      </c>
      <c r="J16" s="16">
        <f>F16-(G16+H16+I16)</f>
        <v/>
      </c>
      <c r="K16" s="16" t="n">
        <v>581.95</v>
      </c>
      <c r="L16" s="16" t="n">
        <v>581.95</v>
      </c>
      <c r="M16" s="16" t="n">
        <v>581.95</v>
      </c>
      <c r="N16" s="16" t="n">
        <v>581.95</v>
      </c>
      <c r="O16" s="16" t="n">
        <v>581.95</v>
      </c>
      <c r="P16" s="16" t="n">
        <v>581.95</v>
      </c>
      <c r="Q16" s="16" t="n">
        <v>581.95</v>
      </c>
      <c r="R16" s="16" t="n">
        <v>581.95</v>
      </c>
      <c r="S16" s="16" t="n">
        <v>581.95</v>
      </c>
      <c r="T16" s="16" t="n">
        <v>581.95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CANON-202511-001749</t>
        </is>
      </c>
      <c r="B17" s="3" t="inlineStr">
        <is>
          <t>2025-11-14</t>
        </is>
      </c>
      <c r="C17" s="3" t="inlineStr">
        <is>
          <t>Cassius Rourke</t>
        </is>
      </c>
      <c r="D17" s="3" t="inlineStr">
        <is>
          <t>PA</t>
        </is>
      </c>
      <c r="E17" s="14" t="n">
        <v>820000</v>
      </c>
      <c r="F17" s="14" t="n">
        <v>6116.61</v>
      </c>
      <c r="G17" s="14" t="n">
        <v>764.58</v>
      </c>
      <c r="H17" s="14" t="n">
        <v>764.58</v>
      </c>
      <c r="I17" s="14">
        <f>SUM(K17:T17)</f>
        <v/>
      </c>
      <c r="J17" s="14">
        <f>F17-(G17+H17+I17)</f>
        <v/>
      </c>
      <c r="K17" s="14" t="n">
        <v>458.75</v>
      </c>
      <c r="L17" s="14" t="n">
        <v>458.75</v>
      </c>
      <c r="M17" s="14" t="n">
        <v>458.75</v>
      </c>
      <c r="N17" s="14" t="n">
        <v>458.75</v>
      </c>
      <c r="O17" s="14" t="n">
        <v>458.75</v>
      </c>
      <c r="P17" s="14" t="n">
        <v>458.75</v>
      </c>
      <c r="Q17" s="14" t="n">
        <v>458.75</v>
      </c>
      <c r="R17" s="14" t="n">
        <v>458.75</v>
      </c>
      <c r="S17" s="14" t="n">
        <v>458.75</v>
      </c>
      <c r="T17" s="14" t="n">
        <v>458.75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CANON-202511-001750</t>
        </is>
      </c>
      <c r="B18" s="15" t="inlineStr">
        <is>
          <t>2025-11-09</t>
        </is>
      </c>
      <c r="C18" s="15" t="inlineStr">
        <is>
          <t>Mireille Vandermeer</t>
        </is>
      </c>
      <c r="D18" s="15" t="inlineStr">
        <is>
          <t>OH</t>
        </is>
      </c>
      <c r="E18" s="16" t="n">
        <v>1345000</v>
      </c>
      <c r="F18" s="16" t="n">
        <v>25945.12</v>
      </c>
      <c r="G18" s="16" t="n">
        <v>3243.14</v>
      </c>
      <c r="H18" s="16" t="n">
        <v>3243.14</v>
      </c>
      <c r="I18" s="16">
        <f>SUM(K18:T18)</f>
        <v/>
      </c>
      <c r="J18" s="16">
        <f>F18-(G18+H18+I18)</f>
        <v/>
      </c>
      <c r="K18" s="16" t="n">
        <v>1945.88</v>
      </c>
      <c r="L18" s="16" t="n">
        <v>1945.88</v>
      </c>
      <c r="M18" s="16" t="n">
        <v>1945.88</v>
      </c>
      <c r="N18" s="16" t="n">
        <v>1945.88</v>
      </c>
      <c r="O18" s="16" t="n">
        <v>1945.88</v>
      </c>
      <c r="P18" s="16" t="n">
        <v>1945.88</v>
      </c>
      <c r="Q18" s="16" t="n">
        <v>1945.88</v>
      </c>
      <c r="R18" s="16" t="n">
        <v>1945.88</v>
      </c>
      <c r="S18" s="16" t="n">
        <v>1945.88</v>
      </c>
      <c r="T18" s="16" t="n">
        <v>1945.88</v>
      </c>
      <c r="U18" s="16" t="n">
        <v>350</v>
      </c>
      <c r="V18" s="16" t="n">
        <v>250</v>
      </c>
      <c r="W18" s="16">
        <f>U18+V18</f>
        <v/>
      </c>
    </row>
    <row r="19">
      <c r="A19" s="3" t="inlineStr">
        <is>
          <t>CANON-202511-001751</t>
        </is>
      </c>
      <c r="B19" s="3" t="inlineStr">
        <is>
          <t>2025-11-28</t>
        </is>
      </c>
      <c r="C19" s="3" t="inlineStr">
        <is>
          <t>Leopold Delacroix</t>
        </is>
      </c>
      <c r="D19" s="3" t="inlineStr">
        <is>
          <t>FL</t>
        </is>
      </c>
      <c r="E19" s="14" t="n">
        <v>1950000</v>
      </c>
      <c r="F19" s="14" t="n">
        <v>16331.67</v>
      </c>
      <c r="G19" s="14" t="n">
        <v>2041.46</v>
      </c>
      <c r="H19" s="14" t="n">
        <v>2041.46</v>
      </c>
      <c r="I19" s="14">
        <f>SUM(K19:T19)</f>
        <v/>
      </c>
      <c r="J19" s="14">
        <f>F19-(G19+H19+I19)</f>
        <v/>
      </c>
      <c r="K19" s="14" t="n">
        <v>1224.88</v>
      </c>
      <c r="L19" s="14" t="n">
        <v>1224.88</v>
      </c>
      <c r="M19" s="14" t="n">
        <v>1224.88</v>
      </c>
      <c r="N19" s="14" t="n">
        <v>1224.88</v>
      </c>
      <c r="O19" s="14" t="n">
        <v>1224.88</v>
      </c>
      <c r="P19" s="14" t="n">
        <v>1224.88</v>
      </c>
      <c r="Q19" s="14" t="n">
        <v>1224.88</v>
      </c>
      <c r="R19" s="14" t="n">
        <v>1224.88</v>
      </c>
      <c r="S19" s="14" t="n">
        <v>1224.88</v>
      </c>
      <c r="T19" s="14" t="n">
        <v>1224.88</v>
      </c>
      <c r="U19" s="14" t="n">
        <v>350</v>
      </c>
      <c r="V19" s="14" t="n">
        <v>250</v>
      </c>
      <c r="W19" s="14">
        <f>U19+V19</f>
        <v/>
      </c>
    </row>
    <row r="20">
      <c r="A20" s="15" t="inlineStr">
        <is>
          <t>CANON-202511-001753</t>
        </is>
      </c>
      <c r="B20" s="15" t="inlineStr">
        <is>
          <t>2025-11-13</t>
        </is>
      </c>
      <c r="C20" s="15" t="inlineStr">
        <is>
          <t>Mireille Farkas</t>
        </is>
      </c>
      <c r="D20" s="15" t="inlineStr">
        <is>
          <t>FL</t>
        </is>
      </c>
      <c r="E20" s="16" t="n">
        <v>1675000</v>
      </c>
      <c r="F20" s="16" t="n">
        <v>22693.14</v>
      </c>
      <c r="G20" s="16" t="n">
        <v>2836.64</v>
      </c>
      <c r="H20" s="16" t="n">
        <v>2836.64</v>
      </c>
      <c r="I20" s="16">
        <f>SUM(K20:T20)</f>
        <v/>
      </c>
      <c r="J20" s="16">
        <f>F20-(G20+H20+I20)</f>
        <v/>
      </c>
      <c r="K20" s="16" t="n">
        <v>1701.99</v>
      </c>
      <c r="L20" s="16" t="n">
        <v>1701.99</v>
      </c>
      <c r="M20" s="16" t="n">
        <v>1701.99</v>
      </c>
      <c r="N20" s="16" t="n">
        <v>1701.99</v>
      </c>
      <c r="O20" s="16" t="n">
        <v>1701.99</v>
      </c>
      <c r="P20" s="16" t="n">
        <v>1701.99</v>
      </c>
      <c r="Q20" s="16" t="n">
        <v>1701.99</v>
      </c>
      <c r="R20" s="16" t="n">
        <v>1701.99</v>
      </c>
      <c r="S20" s="16" t="n">
        <v>1701.99</v>
      </c>
      <c r="T20" s="16" t="n">
        <v>1701.99</v>
      </c>
      <c r="U20" s="16" t="n">
        <v>350</v>
      </c>
      <c r="V20" s="16" t="n">
        <v>250</v>
      </c>
      <c r="W20" s="16">
        <f>U20+V20</f>
        <v/>
      </c>
    </row>
    <row r="21">
      <c r="A21" s="3" t="inlineStr">
        <is>
          <t>CANON-202511-001754</t>
        </is>
      </c>
      <c r="B21" s="3" t="inlineStr">
        <is>
          <t>2025-11-01</t>
        </is>
      </c>
      <c r="C21" s="3" t="inlineStr">
        <is>
          <t>Anouk Bellandi</t>
        </is>
      </c>
      <c r="D21" s="3" t="inlineStr">
        <is>
          <t>AL</t>
        </is>
      </c>
      <c r="E21" s="14" t="n">
        <v>400000</v>
      </c>
      <c r="F21" s="14" t="n">
        <v>6609.27</v>
      </c>
      <c r="G21" s="14" t="n">
        <v>826.16</v>
      </c>
      <c r="H21" s="14" t="n">
        <v>826.16</v>
      </c>
      <c r="I21" s="14">
        <f>SUM(K21:T21)</f>
        <v/>
      </c>
      <c r="J21" s="14">
        <f>F21-(G21+H21+I21)</f>
        <v/>
      </c>
      <c r="K21" s="14" t="n">
        <v>495.7</v>
      </c>
      <c r="L21" s="14" t="n">
        <v>495.7</v>
      </c>
      <c r="M21" s="14" t="n">
        <v>495.7</v>
      </c>
      <c r="N21" s="14" t="n">
        <v>495.7</v>
      </c>
      <c r="O21" s="14" t="n">
        <v>495.7</v>
      </c>
      <c r="P21" s="14" t="n">
        <v>495.7</v>
      </c>
      <c r="Q21" s="14" t="n">
        <v>495.7</v>
      </c>
      <c r="R21" s="14" t="n">
        <v>495.7</v>
      </c>
      <c r="S21" s="14" t="n">
        <v>495.7</v>
      </c>
      <c r="T21" s="14" t="n">
        <v>495.7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CANON-202511-001755</t>
        </is>
      </c>
      <c r="B22" s="15" t="inlineStr">
        <is>
          <t>2025-11-22</t>
        </is>
      </c>
      <c r="C22" s="15" t="inlineStr">
        <is>
          <t>Ottilie Montoya</t>
        </is>
      </c>
      <c r="D22" s="15" t="inlineStr">
        <is>
          <t>TX</t>
        </is>
      </c>
      <c r="E22" s="16" t="n">
        <v>875000</v>
      </c>
      <c r="F22" s="16" t="n">
        <v>13615.36</v>
      </c>
      <c r="G22" s="16" t="n">
        <v>1701.92</v>
      </c>
      <c r="H22" s="16" t="n">
        <v>1701.92</v>
      </c>
      <c r="I22" s="16">
        <f>SUM(K22:T22)</f>
        <v/>
      </c>
      <c r="J22" s="16">
        <f>F22-(G22+H22+I22)</f>
        <v/>
      </c>
      <c r="K22" s="16" t="n">
        <v>1021.15</v>
      </c>
      <c r="L22" s="16" t="n">
        <v>1021.15</v>
      </c>
      <c r="M22" s="16" t="n">
        <v>1021.15</v>
      </c>
      <c r="N22" s="16" t="n">
        <v>1021.15</v>
      </c>
      <c r="O22" s="16" t="n">
        <v>1021.15</v>
      </c>
      <c r="P22" s="16" t="n">
        <v>1021.15</v>
      </c>
      <c r="Q22" s="16" t="n">
        <v>1021.15</v>
      </c>
      <c r="R22" s="16" t="n">
        <v>1021.15</v>
      </c>
      <c r="S22" s="16" t="n">
        <v>1021.15</v>
      </c>
      <c r="T22" s="16" t="n">
        <v>1021.15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CANON-202511-001756</t>
        </is>
      </c>
      <c r="B23" s="3" t="inlineStr">
        <is>
          <t>2025-11-06</t>
        </is>
      </c>
      <c r="C23" s="3" t="inlineStr">
        <is>
          <t>Fenwick Farkas</t>
        </is>
      </c>
      <c r="D23" s="3" t="inlineStr">
        <is>
          <t>TX</t>
        </is>
      </c>
      <c r="E23" s="14" t="n">
        <v>445000</v>
      </c>
      <c r="F23" s="14" t="n">
        <v>7812.12</v>
      </c>
      <c r="G23" s="14" t="n">
        <v>976.51</v>
      </c>
      <c r="H23" s="14" t="n">
        <v>976.51</v>
      </c>
      <c r="I23" s="14">
        <f>SUM(K23:T23)</f>
        <v/>
      </c>
      <c r="J23" s="14">
        <f>F23-(G23+H23+I23)</f>
        <v/>
      </c>
      <c r="K23" s="14" t="n">
        <v>585.91</v>
      </c>
      <c r="L23" s="14" t="n">
        <v>585.91</v>
      </c>
      <c r="M23" s="14" t="n">
        <v>585.91</v>
      </c>
      <c r="N23" s="14" t="n">
        <v>585.91</v>
      </c>
      <c r="O23" s="14" t="n">
        <v>585.91</v>
      </c>
      <c r="P23" s="14" t="n">
        <v>585.91</v>
      </c>
      <c r="Q23" s="14" t="n">
        <v>585.91</v>
      </c>
      <c r="R23" s="14" t="n">
        <v>585.91</v>
      </c>
      <c r="S23" s="14" t="n">
        <v>585.91</v>
      </c>
      <c r="T23" s="14" t="n">
        <v>585.91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CANON-202511-001757</t>
        </is>
      </c>
      <c r="B24" s="15" t="inlineStr">
        <is>
          <t>2025-11-10</t>
        </is>
      </c>
      <c r="C24" s="15" t="inlineStr">
        <is>
          <t>Fenwick Fairweather</t>
        </is>
      </c>
      <c r="D24" s="15" t="inlineStr">
        <is>
          <t>CA</t>
        </is>
      </c>
      <c r="E24" s="16" t="n">
        <v>1050000</v>
      </c>
      <c r="F24" s="16" t="n">
        <v>13524.29</v>
      </c>
      <c r="G24" s="16" t="n">
        <v>1690.54</v>
      </c>
      <c r="H24" s="16" t="n">
        <v>1690.54</v>
      </c>
      <c r="I24" s="16">
        <f>SUM(K24:T24)</f>
        <v/>
      </c>
      <c r="J24" s="16">
        <f>F24-(G24+H24+I24)</f>
        <v/>
      </c>
      <c r="K24" s="16" t="n">
        <v>1014.32</v>
      </c>
      <c r="L24" s="16" t="n">
        <v>1014.32</v>
      </c>
      <c r="M24" s="16" t="n">
        <v>1014.32</v>
      </c>
      <c r="N24" s="16" t="n">
        <v>1014.32</v>
      </c>
      <c r="O24" s="16" t="n">
        <v>1014.32</v>
      </c>
      <c r="P24" s="16" t="n">
        <v>1014.32</v>
      </c>
      <c r="Q24" s="16" t="n">
        <v>1014.32</v>
      </c>
      <c r="R24" s="16" t="n">
        <v>1014.32</v>
      </c>
      <c r="S24" s="16" t="n">
        <v>1014.32</v>
      </c>
      <c r="T24" s="16" t="n">
        <v>1014.32</v>
      </c>
      <c r="U24" s="16" t="n">
        <v>350</v>
      </c>
      <c r="V24" s="16" t="n">
        <v>250</v>
      </c>
      <c r="W24" s="16">
        <f>U24+V24</f>
        <v/>
      </c>
    </row>
    <row r="25">
      <c r="A25" s="3" t="inlineStr">
        <is>
          <t>CANON-202511-001758</t>
        </is>
      </c>
      <c r="B25" s="3" t="inlineStr">
        <is>
          <t>2025-11-15</t>
        </is>
      </c>
      <c r="C25" s="3" t="inlineStr">
        <is>
          <t>Fitzgerald Nakashima</t>
        </is>
      </c>
      <c r="D25" s="3" t="inlineStr">
        <is>
          <t>OK</t>
        </is>
      </c>
      <c r="E25" s="14" t="n">
        <v>1350000</v>
      </c>
      <c r="F25" s="14" t="n">
        <v>11212.86</v>
      </c>
      <c r="G25" s="14" t="n">
        <v>1401.61</v>
      </c>
      <c r="H25" s="14" t="n">
        <v>1401.61</v>
      </c>
      <c r="I25" s="14">
        <f>SUM(K25:T25)</f>
        <v/>
      </c>
      <c r="J25" s="14">
        <f>F25-(G25+H25+I25)</f>
        <v/>
      </c>
      <c r="K25" s="14" t="n">
        <v>840.96</v>
      </c>
      <c r="L25" s="14" t="n">
        <v>840.96</v>
      </c>
      <c r="M25" s="14" t="n">
        <v>840.96</v>
      </c>
      <c r="N25" s="14" t="n">
        <v>840.96</v>
      </c>
      <c r="O25" s="14" t="n">
        <v>840.96</v>
      </c>
      <c r="P25" s="14" t="n">
        <v>840.96</v>
      </c>
      <c r="Q25" s="14" t="n">
        <v>840.96</v>
      </c>
      <c r="R25" s="14" t="n">
        <v>840.96</v>
      </c>
      <c r="S25" s="14" t="n">
        <v>840.96</v>
      </c>
      <c r="T25" s="14" t="n">
        <v>840.96</v>
      </c>
      <c r="U25" s="14" t="n">
        <v>350</v>
      </c>
      <c r="V25" s="14" t="n">
        <v>250</v>
      </c>
      <c r="W25" s="14">
        <f>U25+V25</f>
        <v/>
      </c>
    </row>
    <row r="26">
      <c r="A26" s="15" t="inlineStr">
        <is>
          <t>CANON-202511-001759</t>
        </is>
      </c>
      <c r="B26" s="15" t="inlineStr">
        <is>
          <t>2025-11-27</t>
        </is>
      </c>
      <c r="C26" s="15" t="inlineStr">
        <is>
          <t>Lorenzo Merriweather</t>
        </is>
      </c>
      <c r="D26" s="15" t="inlineStr">
        <is>
          <t>SC</t>
        </is>
      </c>
      <c r="E26" s="16" t="n">
        <v>1275000</v>
      </c>
      <c r="F26" s="16" t="n">
        <v>10421.83</v>
      </c>
      <c r="G26" s="16" t="n">
        <v>1302.73</v>
      </c>
      <c r="H26" s="16" t="n">
        <v>1302.73</v>
      </c>
      <c r="I26" s="16">
        <f>SUM(K26:T26)</f>
        <v/>
      </c>
      <c r="J26" s="16">
        <f>F26-(G26+H26+I26)</f>
        <v/>
      </c>
      <c r="K26" s="16" t="n">
        <v>781.64</v>
      </c>
      <c r="L26" s="16" t="n">
        <v>781.64</v>
      </c>
      <c r="M26" s="16" t="n">
        <v>781.64</v>
      </c>
      <c r="N26" s="16" t="n">
        <v>781.64</v>
      </c>
      <c r="O26" s="16" t="n">
        <v>781.64</v>
      </c>
      <c r="P26" s="16" t="n">
        <v>781.64</v>
      </c>
      <c r="Q26" s="16" t="n">
        <v>781.64</v>
      </c>
      <c r="R26" s="16" t="n">
        <v>781.64</v>
      </c>
      <c r="S26" s="16" t="n">
        <v>781.64</v>
      </c>
      <c r="T26" s="16" t="n">
        <v>781.64</v>
      </c>
      <c r="U26" s="16" t="n">
        <v>350</v>
      </c>
      <c r="V26" s="16" t="n">
        <v>250</v>
      </c>
      <c r="W26" s="16">
        <f>U26+V26</f>
        <v/>
      </c>
    </row>
    <row r="27">
      <c r="A27" s="3" t="inlineStr">
        <is>
          <t>CANON-202511-001760</t>
        </is>
      </c>
      <c r="B27" s="3" t="inlineStr">
        <is>
          <t>2025-11-29</t>
        </is>
      </c>
      <c r="C27" s="3" t="inlineStr">
        <is>
          <t>Everett Fairweather</t>
        </is>
      </c>
      <c r="D27" s="3" t="inlineStr">
        <is>
          <t>LA</t>
        </is>
      </c>
      <c r="E27" s="14" t="n">
        <v>1675000</v>
      </c>
      <c r="F27" s="14" t="n">
        <v>28126.7</v>
      </c>
      <c r="G27" s="14" t="n">
        <v>3515.84</v>
      </c>
      <c r="H27" s="14" t="n">
        <v>3515.84</v>
      </c>
      <c r="I27" s="14">
        <f>SUM(K27:T27)</f>
        <v/>
      </c>
      <c r="J27" s="14">
        <f>F27-(G27+H27+I27)</f>
        <v/>
      </c>
      <c r="K27" s="14" t="n">
        <v>2109.5</v>
      </c>
      <c r="L27" s="14" t="n">
        <v>2109.5</v>
      </c>
      <c r="M27" s="14" t="n">
        <v>2109.5</v>
      </c>
      <c r="N27" s="14" t="n">
        <v>2109.5</v>
      </c>
      <c r="O27" s="14" t="n">
        <v>2109.5</v>
      </c>
      <c r="P27" s="14" t="n">
        <v>2109.5</v>
      </c>
      <c r="Q27" s="14" t="n">
        <v>2109.5</v>
      </c>
      <c r="R27" s="14" t="n">
        <v>2109.5</v>
      </c>
      <c r="S27" s="14" t="n">
        <v>2109.5</v>
      </c>
      <c r="T27" s="14" t="n">
        <v>2109.5</v>
      </c>
      <c r="U27" s="14" t="n">
        <v>350</v>
      </c>
      <c r="V27" s="14" t="n">
        <v>250</v>
      </c>
      <c r="W27" s="14">
        <f>U27+V27</f>
        <v/>
      </c>
    </row>
    <row r="28">
      <c r="A28" s="15" t="inlineStr">
        <is>
          <t>CANON-202511-001761</t>
        </is>
      </c>
      <c r="B28" s="15" t="inlineStr">
        <is>
          <t>2025-11-14</t>
        </is>
      </c>
      <c r="C28" s="15" t="inlineStr">
        <is>
          <t>Sunniva Bellandi</t>
        </is>
      </c>
      <c r="D28" s="15" t="inlineStr">
        <is>
          <t>AR</t>
        </is>
      </c>
      <c r="E28" s="16" t="n">
        <v>280000</v>
      </c>
      <c r="F28" s="16" t="n">
        <v>5027.21</v>
      </c>
      <c r="G28" s="16" t="n">
        <v>628.4</v>
      </c>
      <c r="H28" s="16" t="n">
        <v>628.4</v>
      </c>
      <c r="I28" s="16">
        <f>SUM(K28:T28)</f>
        <v/>
      </c>
      <c r="J28" s="16">
        <f>F28-(G28+H28+I28)</f>
        <v/>
      </c>
      <c r="K28" s="16" t="n">
        <v>377.04</v>
      </c>
      <c r="L28" s="16" t="n">
        <v>377.04</v>
      </c>
      <c r="M28" s="16" t="n">
        <v>377.04</v>
      </c>
      <c r="N28" s="16" t="n">
        <v>377.04</v>
      </c>
      <c r="O28" s="16" t="n">
        <v>377.04</v>
      </c>
      <c r="P28" s="16" t="n">
        <v>377.04</v>
      </c>
      <c r="Q28" s="16" t="n">
        <v>377.04</v>
      </c>
      <c r="R28" s="16" t="n">
        <v>377.04</v>
      </c>
      <c r="S28" s="16" t="n">
        <v>377.04</v>
      </c>
      <c r="T28" s="16" t="n">
        <v>377.04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CANON-202511-001762</t>
        </is>
      </c>
      <c r="B29" s="3" t="inlineStr">
        <is>
          <t>2025-11-09</t>
        </is>
      </c>
      <c r="C29" s="3" t="inlineStr">
        <is>
          <t>Mireille Pennington</t>
        </is>
      </c>
      <c r="D29" s="3" t="inlineStr">
        <is>
          <t>NY</t>
        </is>
      </c>
      <c r="E29" s="14" t="n">
        <v>605000</v>
      </c>
      <c r="F29" s="14" t="n">
        <v>8731.870000000001</v>
      </c>
      <c r="G29" s="14" t="n">
        <v>1091.48</v>
      </c>
      <c r="H29" s="14" t="n">
        <v>1091.48</v>
      </c>
      <c r="I29" s="14">
        <f>SUM(K29:T29)</f>
        <v/>
      </c>
      <c r="J29" s="14">
        <f>F29-(G29+H29+I29)</f>
        <v/>
      </c>
      <c r="K29" s="14" t="n">
        <v>654.89</v>
      </c>
      <c r="L29" s="14" t="n">
        <v>654.89</v>
      </c>
      <c r="M29" s="14" t="n">
        <v>654.89</v>
      </c>
      <c r="N29" s="14" t="n">
        <v>654.89</v>
      </c>
      <c r="O29" s="14" t="n">
        <v>654.89</v>
      </c>
      <c r="P29" s="14" t="n">
        <v>654.89</v>
      </c>
      <c r="Q29" s="14" t="n">
        <v>654.89</v>
      </c>
      <c r="R29" s="14" t="n">
        <v>654.89</v>
      </c>
      <c r="S29" s="14" t="n">
        <v>654.89</v>
      </c>
      <c r="T29" s="14" t="n">
        <v>654.89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CANON-202511-001763</t>
        </is>
      </c>
      <c r="B30" s="15" t="inlineStr">
        <is>
          <t>2025-11-15</t>
        </is>
      </c>
      <c r="C30" s="15" t="inlineStr">
        <is>
          <t>Sunniva Larsson</t>
        </is>
      </c>
      <c r="D30" s="15" t="inlineStr">
        <is>
          <t>IN</t>
        </is>
      </c>
      <c r="E30" s="16" t="n">
        <v>555000</v>
      </c>
      <c r="F30" s="16" t="n">
        <v>5092.08</v>
      </c>
      <c r="G30" s="16" t="n">
        <v>636.51</v>
      </c>
      <c r="H30" s="16" t="n">
        <v>636.51</v>
      </c>
      <c r="I30" s="16">
        <f>SUM(K30:T30)</f>
        <v/>
      </c>
      <c r="J30" s="16">
        <f>F30-(G30+H30+I30)</f>
        <v/>
      </c>
      <c r="K30" s="16" t="n">
        <v>381.91</v>
      </c>
      <c r="L30" s="16" t="n">
        <v>381.91</v>
      </c>
      <c r="M30" s="16" t="n">
        <v>381.91</v>
      </c>
      <c r="N30" s="16" t="n">
        <v>381.91</v>
      </c>
      <c r="O30" s="16" t="n">
        <v>381.91</v>
      </c>
      <c r="P30" s="16" t="n">
        <v>381.91</v>
      </c>
      <c r="Q30" s="16" t="n">
        <v>381.91</v>
      </c>
      <c r="R30" s="16" t="n">
        <v>381.91</v>
      </c>
      <c r="S30" s="16" t="n">
        <v>381.91</v>
      </c>
      <c r="T30" s="16" t="n">
        <v>381.91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CANON-202511-001764</t>
        </is>
      </c>
      <c r="B31" s="3" t="inlineStr">
        <is>
          <t>2025-11-08</t>
        </is>
      </c>
      <c r="C31" s="3" t="inlineStr">
        <is>
          <t>Callum Castellanos</t>
        </is>
      </c>
      <c r="D31" s="3" t="inlineStr">
        <is>
          <t>NY</t>
        </is>
      </c>
      <c r="E31" s="14" t="n">
        <v>665000</v>
      </c>
      <c r="F31" s="14" t="n">
        <v>9597.85</v>
      </c>
      <c r="G31" s="14" t="n">
        <v>1199.73</v>
      </c>
      <c r="H31" s="14" t="n">
        <v>1199.73</v>
      </c>
      <c r="I31" s="14">
        <f>SUM(K31:T31)</f>
        <v/>
      </c>
      <c r="J31" s="14">
        <f>F31-(G31+H31+I31)</f>
        <v/>
      </c>
      <c r="K31" s="14" t="n">
        <v>719.84</v>
      </c>
      <c r="L31" s="14" t="n">
        <v>719.84</v>
      </c>
      <c r="M31" s="14" t="n">
        <v>719.84</v>
      </c>
      <c r="N31" s="14" t="n">
        <v>719.84</v>
      </c>
      <c r="O31" s="14" t="n">
        <v>719.84</v>
      </c>
      <c r="P31" s="14" t="n">
        <v>719.84</v>
      </c>
      <c r="Q31" s="14" t="n">
        <v>719.84</v>
      </c>
      <c r="R31" s="14" t="n">
        <v>719.84</v>
      </c>
      <c r="S31" s="14" t="n">
        <v>719.84</v>
      </c>
      <c r="T31" s="14" t="n">
        <v>719.84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CANON-202511-001765</t>
        </is>
      </c>
      <c r="B32" s="15" t="inlineStr">
        <is>
          <t>2025-11-03</t>
        </is>
      </c>
      <c r="C32" s="15" t="inlineStr">
        <is>
          <t>Cassius Chattopadhyay</t>
        </is>
      </c>
      <c r="D32" s="15" t="inlineStr">
        <is>
          <t>MI</t>
        </is>
      </c>
      <c r="E32" s="16" t="n">
        <v>1185000</v>
      </c>
      <c r="F32" s="16" t="n">
        <v>17524.32</v>
      </c>
      <c r="G32" s="16" t="n">
        <v>2190.54</v>
      </c>
      <c r="H32" s="16" t="n">
        <v>2190.54</v>
      </c>
      <c r="I32" s="16">
        <f>SUM(K32:T32)</f>
        <v/>
      </c>
      <c r="J32" s="16">
        <f>F32-(G32+H32+I32)</f>
        <v/>
      </c>
      <c r="K32" s="16" t="n">
        <v>1314.32</v>
      </c>
      <c r="L32" s="16" t="n">
        <v>1314.32</v>
      </c>
      <c r="M32" s="16" t="n">
        <v>1314.32</v>
      </c>
      <c r="N32" s="16" t="n">
        <v>1314.32</v>
      </c>
      <c r="O32" s="16" t="n">
        <v>1314.32</v>
      </c>
      <c r="P32" s="16" t="n">
        <v>1314.32</v>
      </c>
      <c r="Q32" s="16" t="n">
        <v>1314.32</v>
      </c>
      <c r="R32" s="16" t="n">
        <v>1314.32</v>
      </c>
      <c r="S32" s="16" t="n">
        <v>1314.32</v>
      </c>
      <c r="T32" s="16" t="n">
        <v>1314.32</v>
      </c>
      <c r="U32" s="16" t="n">
        <v>350</v>
      </c>
      <c r="V32" s="16" t="n">
        <v>250</v>
      </c>
      <c r="W32" s="16">
        <f>U32+V32</f>
        <v/>
      </c>
    </row>
    <row r="33">
      <c r="A33" s="3" t="inlineStr">
        <is>
          <t>CANON-202511-001766</t>
        </is>
      </c>
      <c r="B33" s="3" t="inlineStr">
        <is>
          <t>2025-11-13</t>
        </is>
      </c>
      <c r="C33" s="3" t="inlineStr">
        <is>
          <t>Anouk Nakashima</t>
        </is>
      </c>
      <c r="D33" s="3" t="inlineStr">
        <is>
          <t>HI</t>
        </is>
      </c>
      <c r="E33" s="14" t="n">
        <v>595000</v>
      </c>
      <c r="F33" s="14" t="n">
        <v>8721.719999999999</v>
      </c>
      <c r="G33" s="14" t="n">
        <v>1090.21</v>
      </c>
      <c r="H33" s="14" t="n">
        <v>1090.21</v>
      </c>
      <c r="I33" s="14">
        <f>SUM(K33:T33)</f>
        <v/>
      </c>
      <c r="J33" s="14">
        <f>F33-(G33+H33+I33)</f>
        <v/>
      </c>
      <c r="K33" s="14" t="n">
        <v>654.13</v>
      </c>
      <c r="L33" s="14" t="n">
        <v>654.13</v>
      </c>
      <c r="M33" s="14" t="n">
        <v>654.13</v>
      </c>
      <c r="N33" s="14" t="n">
        <v>654.13</v>
      </c>
      <c r="O33" s="14" t="n">
        <v>654.13</v>
      </c>
      <c r="P33" s="14" t="n">
        <v>654.13</v>
      </c>
      <c r="Q33" s="14" t="n">
        <v>654.13</v>
      </c>
      <c r="R33" s="14" t="n">
        <v>654.13</v>
      </c>
      <c r="S33" s="14" t="n">
        <v>654.13</v>
      </c>
      <c r="T33" s="14" t="n">
        <v>654.13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CANON-202511-001767</t>
        </is>
      </c>
      <c r="B34" s="15" t="inlineStr">
        <is>
          <t>2025-11-13</t>
        </is>
      </c>
      <c r="C34" s="15" t="inlineStr">
        <is>
          <t>Lorenzo Delacroix</t>
        </is>
      </c>
      <c r="D34" s="15" t="inlineStr">
        <is>
          <t>WA</t>
        </is>
      </c>
      <c r="E34" s="16" t="n">
        <v>540000</v>
      </c>
      <c r="F34" s="16" t="n">
        <v>3866.9</v>
      </c>
      <c r="G34" s="16" t="n">
        <v>483.36</v>
      </c>
      <c r="H34" s="16" t="n">
        <v>483.36</v>
      </c>
      <c r="I34" s="16">
        <f>SUM(K34:T34)</f>
        <v/>
      </c>
      <c r="J34" s="16">
        <f>F34-(G34+H34+I34)</f>
        <v/>
      </c>
      <c r="K34" s="16" t="n">
        <v>290.02</v>
      </c>
      <c r="L34" s="16" t="n">
        <v>290.02</v>
      </c>
      <c r="M34" s="16" t="n">
        <v>290.02</v>
      </c>
      <c r="N34" s="16" t="n">
        <v>290.02</v>
      </c>
      <c r="O34" s="16" t="n">
        <v>290.02</v>
      </c>
      <c r="P34" s="16" t="n">
        <v>290.02</v>
      </c>
      <c r="Q34" s="16" t="n">
        <v>290.02</v>
      </c>
      <c r="R34" s="16" t="n">
        <v>290.02</v>
      </c>
      <c r="S34" s="16" t="n">
        <v>290.02</v>
      </c>
      <c r="T34" s="16" t="n">
        <v>290.02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CANON-202511-001768</t>
        </is>
      </c>
      <c r="B35" s="3" t="inlineStr">
        <is>
          <t>2025-11-11</t>
        </is>
      </c>
      <c r="C35" s="3" t="inlineStr">
        <is>
          <t>Ingrid Rourke</t>
        </is>
      </c>
      <c r="D35" s="3" t="inlineStr">
        <is>
          <t>TX</t>
        </is>
      </c>
      <c r="E35" s="14" t="n">
        <v>145000</v>
      </c>
      <c r="F35" s="14" t="n">
        <v>2661.23</v>
      </c>
      <c r="G35" s="14" t="n">
        <v>332.65</v>
      </c>
      <c r="H35" s="14" t="n">
        <v>332.65</v>
      </c>
      <c r="I35" s="14">
        <f>SUM(K35:T35)</f>
        <v/>
      </c>
      <c r="J35" s="14">
        <f>F35-(G35+H35+I35)</f>
        <v/>
      </c>
      <c r="K35" s="14" t="n">
        <v>199.59</v>
      </c>
      <c r="L35" s="14" t="n">
        <v>199.59</v>
      </c>
      <c r="M35" s="14" t="n">
        <v>199.59</v>
      </c>
      <c r="N35" s="14" t="n">
        <v>199.59</v>
      </c>
      <c r="O35" s="14" t="n">
        <v>199.59</v>
      </c>
      <c r="P35" s="14" t="n">
        <v>199.59</v>
      </c>
      <c r="Q35" s="14" t="n">
        <v>199.59</v>
      </c>
      <c r="R35" s="14" t="n">
        <v>199.59</v>
      </c>
      <c r="S35" s="14" t="n">
        <v>199.59</v>
      </c>
      <c r="T35" s="14" t="n">
        <v>199.59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CANON-202511-001769</t>
        </is>
      </c>
      <c r="B36" s="15" t="inlineStr">
        <is>
          <t>2025-11-12</t>
        </is>
      </c>
      <c r="C36" s="15" t="inlineStr">
        <is>
          <t>Sunniva Bellandi</t>
        </is>
      </c>
      <c r="D36" s="15" t="inlineStr">
        <is>
          <t>MD</t>
        </is>
      </c>
      <c r="E36" s="16" t="n">
        <v>260000</v>
      </c>
      <c r="F36" s="16" t="n">
        <v>3213.56</v>
      </c>
      <c r="G36" s="16" t="n">
        <v>401.69</v>
      </c>
      <c r="H36" s="16" t="n">
        <v>401.69</v>
      </c>
      <c r="I36" s="16">
        <f>SUM(K36:T36)</f>
        <v/>
      </c>
      <c r="J36" s="16">
        <f>F36-(G36+H36+I36)</f>
        <v/>
      </c>
      <c r="K36" s="16" t="n">
        <v>241.02</v>
      </c>
      <c r="L36" s="16" t="n">
        <v>241.02</v>
      </c>
      <c r="M36" s="16" t="n">
        <v>241.02</v>
      </c>
      <c r="N36" s="16" t="n">
        <v>241.02</v>
      </c>
      <c r="O36" s="16" t="n">
        <v>241.02</v>
      </c>
      <c r="P36" s="16" t="n">
        <v>241.02</v>
      </c>
      <c r="Q36" s="16" t="n">
        <v>241.02</v>
      </c>
      <c r="R36" s="16" t="n">
        <v>241.02</v>
      </c>
      <c r="S36" s="16" t="n">
        <v>241.02</v>
      </c>
      <c r="T36" s="16" t="n">
        <v>241.02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CANON-202511-001772</t>
        </is>
      </c>
      <c r="B37" s="3" t="inlineStr">
        <is>
          <t>2025-11-28</t>
        </is>
      </c>
      <c r="C37" s="3" t="inlineStr">
        <is>
          <t>Beatrix Underwood</t>
        </is>
      </c>
      <c r="D37" s="3" t="inlineStr">
        <is>
          <t>ME</t>
        </is>
      </c>
      <c r="E37" s="14" t="n">
        <v>455000</v>
      </c>
      <c r="F37" s="14" t="n">
        <v>6393.3</v>
      </c>
      <c r="G37" s="14" t="n">
        <v>799.16</v>
      </c>
      <c r="H37" s="14" t="n">
        <v>799.16</v>
      </c>
      <c r="I37" s="14">
        <f>SUM(K37:T37)</f>
        <v/>
      </c>
      <c r="J37" s="14">
        <f>F37-(G37+H37+I37)</f>
        <v/>
      </c>
      <c r="K37" s="14" t="n">
        <v>479.5</v>
      </c>
      <c r="L37" s="14" t="n">
        <v>479.5</v>
      </c>
      <c r="M37" s="14" t="n">
        <v>479.5</v>
      </c>
      <c r="N37" s="14" t="n">
        <v>479.5</v>
      </c>
      <c r="O37" s="14" t="n">
        <v>479.5</v>
      </c>
      <c r="P37" s="14" t="n">
        <v>479.5</v>
      </c>
      <c r="Q37" s="14" t="n">
        <v>479.5</v>
      </c>
      <c r="R37" s="14" t="n">
        <v>479.5</v>
      </c>
      <c r="S37" s="14" t="n">
        <v>479.5</v>
      </c>
      <c r="T37" s="14" t="n">
        <v>479.5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CANON-202511-001773</t>
        </is>
      </c>
      <c r="B38" s="15" t="inlineStr">
        <is>
          <t>2025-11-26</t>
        </is>
      </c>
      <c r="C38" s="15" t="inlineStr">
        <is>
          <t>Noor Bellandi</t>
        </is>
      </c>
      <c r="D38" s="15" t="inlineStr">
        <is>
          <t>NJ</t>
        </is>
      </c>
      <c r="E38" s="16" t="n">
        <v>1025000</v>
      </c>
      <c r="F38" s="16" t="n">
        <v>12944.46</v>
      </c>
      <c r="G38" s="16" t="n">
        <v>1618.06</v>
      </c>
      <c r="H38" s="16" t="n">
        <v>1618.06</v>
      </c>
      <c r="I38" s="16">
        <f>SUM(K38:T38)</f>
        <v/>
      </c>
      <c r="J38" s="16">
        <f>F38-(G38+H38+I38)</f>
        <v/>
      </c>
      <c r="K38" s="16" t="n">
        <v>970.83</v>
      </c>
      <c r="L38" s="16" t="n">
        <v>970.83</v>
      </c>
      <c r="M38" s="16" t="n">
        <v>970.83</v>
      </c>
      <c r="N38" s="16" t="n">
        <v>970.83</v>
      </c>
      <c r="O38" s="16" t="n">
        <v>970.83</v>
      </c>
      <c r="P38" s="16" t="n">
        <v>970.83</v>
      </c>
      <c r="Q38" s="16" t="n">
        <v>970.83</v>
      </c>
      <c r="R38" s="16" t="n">
        <v>970.83</v>
      </c>
      <c r="S38" s="16" t="n">
        <v>970.83</v>
      </c>
      <c r="T38" s="16" t="n">
        <v>970.83</v>
      </c>
      <c r="U38" s="16" t="n">
        <v>350</v>
      </c>
      <c r="V38" s="16" t="n">
        <v>250</v>
      </c>
      <c r="W38" s="16">
        <f>U38+V38</f>
        <v/>
      </c>
    </row>
    <row r="39">
      <c r="A39" s="3" t="inlineStr">
        <is>
          <t>CANON-202511-001774</t>
        </is>
      </c>
      <c r="B39" s="3" t="inlineStr">
        <is>
          <t>2025-11-23</t>
        </is>
      </c>
      <c r="C39" s="3" t="inlineStr">
        <is>
          <t>Horace Chattopadhyay</t>
        </is>
      </c>
      <c r="D39" s="3" t="inlineStr">
        <is>
          <t>CA</t>
        </is>
      </c>
      <c r="E39" s="14" t="n">
        <v>380000</v>
      </c>
      <c r="F39" s="14" t="n">
        <v>6674.32</v>
      </c>
      <c r="G39" s="14" t="n">
        <v>834.29</v>
      </c>
      <c r="H39" s="14" t="n">
        <v>834.29</v>
      </c>
      <c r="I39" s="14">
        <f>SUM(K39:T39)</f>
        <v/>
      </c>
      <c r="J39" s="14">
        <f>F39-(G39+H39+I39)</f>
        <v/>
      </c>
      <c r="K39" s="14" t="n">
        <v>500.57</v>
      </c>
      <c r="L39" s="14" t="n">
        <v>500.57</v>
      </c>
      <c r="M39" s="14" t="n">
        <v>500.57</v>
      </c>
      <c r="N39" s="14" t="n">
        <v>500.57</v>
      </c>
      <c r="O39" s="14" t="n">
        <v>500.57</v>
      </c>
      <c r="P39" s="14" t="n">
        <v>500.57</v>
      </c>
      <c r="Q39" s="14" t="n">
        <v>500.57</v>
      </c>
      <c r="R39" s="14" t="n">
        <v>500.57</v>
      </c>
      <c r="S39" s="14" t="n">
        <v>500.57</v>
      </c>
      <c r="T39" s="14" t="n">
        <v>500.57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CANON-202511-001775</t>
        </is>
      </c>
      <c r="B40" s="15" t="inlineStr">
        <is>
          <t>2025-11-11</t>
        </is>
      </c>
      <c r="C40" s="15" t="inlineStr">
        <is>
          <t>Fenwick Okonkwo</t>
        </is>
      </c>
      <c r="D40" s="15" t="inlineStr">
        <is>
          <t>NY</t>
        </is>
      </c>
      <c r="E40" s="16" t="n">
        <v>1720000</v>
      </c>
      <c r="F40" s="16" t="n">
        <v>30553.22</v>
      </c>
      <c r="G40" s="16" t="n">
        <v>3819.15</v>
      </c>
      <c r="H40" s="16" t="n">
        <v>3819.15</v>
      </c>
      <c r="I40" s="16">
        <f>SUM(K40:T40)</f>
        <v/>
      </c>
      <c r="J40" s="16">
        <f>F40-(G40+H40+I40)</f>
        <v/>
      </c>
      <c r="K40" s="16" t="n">
        <v>2291.49</v>
      </c>
      <c r="L40" s="16" t="n">
        <v>2291.49</v>
      </c>
      <c r="M40" s="16" t="n">
        <v>2291.49</v>
      </c>
      <c r="N40" s="16" t="n">
        <v>2291.49</v>
      </c>
      <c r="O40" s="16" t="n">
        <v>2291.49</v>
      </c>
      <c r="P40" s="16" t="n">
        <v>2291.49</v>
      </c>
      <c r="Q40" s="16" t="n">
        <v>2291.49</v>
      </c>
      <c r="R40" s="16" t="n">
        <v>2291.49</v>
      </c>
      <c r="S40" s="16" t="n">
        <v>2291.49</v>
      </c>
      <c r="T40" s="16" t="n">
        <v>2291.49</v>
      </c>
      <c r="U40" s="16" t="n">
        <v>350</v>
      </c>
      <c r="V40" s="16" t="n">
        <v>250</v>
      </c>
      <c r="W40" s="16">
        <f>U40+V40</f>
        <v/>
      </c>
    </row>
    <row r="41">
      <c r="A41" s="3" t="inlineStr">
        <is>
          <t>CANON-202511-001776</t>
        </is>
      </c>
      <c r="B41" s="3" t="inlineStr">
        <is>
          <t>2025-11-08</t>
        </is>
      </c>
      <c r="C41" s="3" t="inlineStr">
        <is>
          <t>Sunniva Bellandi</t>
        </is>
      </c>
      <c r="D41" s="3" t="inlineStr">
        <is>
          <t>NM</t>
        </is>
      </c>
      <c r="E41" s="14" t="n">
        <v>160000</v>
      </c>
      <c r="F41" s="14" t="n">
        <v>3268.49</v>
      </c>
      <c r="G41" s="14" t="n">
        <v>408.56</v>
      </c>
      <c r="H41" s="14" t="n">
        <v>408.56</v>
      </c>
      <c r="I41" s="14">
        <f>SUM(K41:T41)</f>
        <v/>
      </c>
      <c r="J41" s="14">
        <f>F41-(G41+H41+I41)</f>
        <v/>
      </c>
      <c r="K41" s="14" t="n">
        <v>245.14</v>
      </c>
      <c r="L41" s="14" t="n">
        <v>245.14</v>
      </c>
      <c r="M41" s="14" t="n">
        <v>245.14</v>
      </c>
      <c r="N41" s="14" t="n">
        <v>245.14</v>
      </c>
      <c r="O41" s="14" t="n">
        <v>245.14</v>
      </c>
      <c r="P41" s="14" t="n">
        <v>245.14</v>
      </c>
      <c r="Q41" s="14" t="n">
        <v>245.14</v>
      </c>
      <c r="R41" s="14" t="n">
        <v>245.14</v>
      </c>
      <c r="S41" s="14" t="n">
        <v>245.14</v>
      </c>
      <c r="T41" s="14" t="n">
        <v>245.14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CANON-202511-001779</t>
        </is>
      </c>
      <c r="B42" s="15" t="inlineStr">
        <is>
          <t>2025-11-17</t>
        </is>
      </c>
      <c r="C42" s="15" t="inlineStr">
        <is>
          <t>Emiliano Delacroix</t>
        </is>
      </c>
      <c r="D42" s="15" t="inlineStr">
        <is>
          <t>NC</t>
        </is>
      </c>
      <c r="E42" s="16" t="n">
        <v>525000</v>
      </c>
      <c r="F42" s="16" t="n">
        <v>6807.68</v>
      </c>
      <c r="G42" s="16" t="n">
        <v>850.96</v>
      </c>
      <c r="H42" s="16" t="n">
        <v>850.96</v>
      </c>
      <c r="I42" s="16">
        <f>SUM(K42:T42)</f>
        <v/>
      </c>
      <c r="J42" s="16">
        <f>F42-(G42+H42+I42)</f>
        <v/>
      </c>
      <c r="K42" s="16" t="n">
        <v>510.58</v>
      </c>
      <c r="L42" s="16" t="n">
        <v>510.58</v>
      </c>
      <c r="M42" s="16" t="n">
        <v>510.58</v>
      </c>
      <c r="N42" s="16" t="n">
        <v>510.58</v>
      </c>
      <c r="O42" s="16" t="n">
        <v>510.58</v>
      </c>
      <c r="P42" s="16" t="n">
        <v>510.58</v>
      </c>
      <c r="Q42" s="16" t="n">
        <v>510.58</v>
      </c>
      <c r="R42" s="16" t="n">
        <v>510.58</v>
      </c>
      <c r="S42" s="16" t="n">
        <v>510.58</v>
      </c>
      <c r="T42" s="16" t="n">
        <v>510.58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CANON-202511-001780</t>
        </is>
      </c>
      <c r="B43" s="3" t="inlineStr">
        <is>
          <t>2025-11-15</t>
        </is>
      </c>
      <c r="C43" s="3" t="inlineStr">
        <is>
          <t>Desmond Montoya</t>
        </is>
      </c>
      <c r="D43" s="3" t="inlineStr">
        <is>
          <t>WV</t>
        </is>
      </c>
      <c r="E43" s="14" t="n">
        <v>785000</v>
      </c>
      <c r="F43" s="14" t="n">
        <v>14126.82</v>
      </c>
      <c r="G43" s="14" t="n">
        <v>1765.85</v>
      </c>
      <c r="H43" s="14" t="n">
        <v>1765.85</v>
      </c>
      <c r="I43" s="14">
        <f>SUM(K43:T43)</f>
        <v/>
      </c>
      <c r="J43" s="14">
        <f>F43-(G43+H43+I43)</f>
        <v/>
      </c>
      <c r="K43" s="14" t="n">
        <v>1059.51</v>
      </c>
      <c r="L43" s="14" t="n">
        <v>1059.51</v>
      </c>
      <c r="M43" s="14" t="n">
        <v>1059.51</v>
      </c>
      <c r="N43" s="14" t="n">
        <v>1059.51</v>
      </c>
      <c r="O43" s="14" t="n">
        <v>1059.51</v>
      </c>
      <c r="P43" s="14" t="n">
        <v>1059.51</v>
      </c>
      <c r="Q43" s="14" t="n">
        <v>1059.51</v>
      </c>
      <c r="R43" s="14" t="n">
        <v>1059.51</v>
      </c>
      <c r="S43" s="14" t="n">
        <v>1059.51</v>
      </c>
      <c r="T43" s="14" t="n">
        <v>1059.51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CANON-202511-001781</t>
        </is>
      </c>
      <c r="B44" s="15" t="inlineStr">
        <is>
          <t>2025-11-30</t>
        </is>
      </c>
      <c r="C44" s="15" t="inlineStr">
        <is>
          <t>Desmond Rourke</t>
        </is>
      </c>
      <c r="D44" s="15" t="inlineStr">
        <is>
          <t>MN</t>
        </is>
      </c>
      <c r="E44" s="16" t="n">
        <v>1345000</v>
      </c>
      <c r="F44" s="16" t="n">
        <v>24638.53</v>
      </c>
      <c r="G44" s="16" t="n">
        <v>3079.82</v>
      </c>
      <c r="H44" s="16" t="n">
        <v>3079.82</v>
      </c>
      <c r="I44" s="16">
        <f>SUM(K44:T44)</f>
        <v/>
      </c>
      <c r="J44" s="16">
        <f>F44-(G44+H44+I44)</f>
        <v/>
      </c>
      <c r="K44" s="16" t="n">
        <v>1847.89</v>
      </c>
      <c r="L44" s="16" t="n">
        <v>1847.89</v>
      </c>
      <c r="M44" s="16" t="n">
        <v>1847.89</v>
      </c>
      <c r="N44" s="16" t="n">
        <v>1847.89</v>
      </c>
      <c r="O44" s="16" t="n">
        <v>1847.89</v>
      </c>
      <c r="P44" s="16" t="n">
        <v>1847.89</v>
      </c>
      <c r="Q44" s="16" t="n">
        <v>1847.89</v>
      </c>
      <c r="R44" s="16" t="n">
        <v>1847.89</v>
      </c>
      <c r="S44" s="16" t="n">
        <v>1847.89</v>
      </c>
      <c r="T44" s="16" t="n">
        <v>1847.89</v>
      </c>
      <c r="U44" s="16" t="n">
        <v>350</v>
      </c>
      <c r="V44" s="16" t="n">
        <v>250</v>
      </c>
      <c r="W44" s="16">
        <f>U44+V44</f>
        <v/>
      </c>
    </row>
    <row r="45">
      <c r="A45" s="3" t="inlineStr">
        <is>
          <t>CANON-202511-001786</t>
        </is>
      </c>
      <c r="B45" s="3" t="inlineStr">
        <is>
          <t>2025-11-09</t>
        </is>
      </c>
      <c r="C45" s="3" t="inlineStr">
        <is>
          <t>Fitzgerald Larsson</t>
        </is>
      </c>
      <c r="D45" s="3" t="inlineStr">
        <is>
          <t>KS</t>
        </is>
      </c>
      <c r="E45" s="14" t="n">
        <v>1505000</v>
      </c>
      <c r="F45" s="14" t="n">
        <v>13928.35</v>
      </c>
      <c r="G45" s="14" t="n">
        <v>1741.04</v>
      </c>
      <c r="H45" s="14" t="n">
        <v>1741.04</v>
      </c>
      <c r="I45" s="14">
        <f>SUM(K45:T45)</f>
        <v/>
      </c>
      <c r="J45" s="14">
        <f>F45-(G45+H45+I45)</f>
        <v/>
      </c>
      <c r="K45" s="14" t="n">
        <v>1044.63</v>
      </c>
      <c r="L45" s="14" t="n">
        <v>1044.63</v>
      </c>
      <c r="M45" s="14" t="n">
        <v>1044.63</v>
      </c>
      <c r="N45" s="14" t="n">
        <v>1044.63</v>
      </c>
      <c r="O45" s="14" t="n">
        <v>1044.63</v>
      </c>
      <c r="P45" s="14" t="n">
        <v>1044.63</v>
      </c>
      <c r="Q45" s="14" t="n">
        <v>1044.63</v>
      </c>
      <c r="R45" s="14" t="n">
        <v>1044.63</v>
      </c>
      <c r="S45" s="14" t="n">
        <v>1044.63</v>
      </c>
      <c r="T45" s="14" t="n">
        <v>1044.63</v>
      </c>
      <c r="U45" s="14" t="n">
        <v>350</v>
      </c>
      <c r="V45" s="14" t="n">
        <v>250</v>
      </c>
      <c r="W45" s="14">
        <f>U45+V45</f>
        <v/>
      </c>
    </row>
    <row r="46">
      <c r="A46" s="15" t="inlineStr">
        <is>
          <t>CANON-202511-001787</t>
        </is>
      </c>
      <c r="B46" s="15" t="inlineStr">
        <is>
          <t>2025-11-04</t>
        </is>
      </c>
      <c r="C46" s="15" t="inlineStr">
        <is>
          <t>Aurelio Pennington</t>
        </is>
      </c>
      <c r="D46" s="15" t="inlineStr">
        <is>
          <t>AR</t>
        </is>
      </c>
      <c r="E46" s="16" t="n">
        <v>595000</v>
      </c>
      <c r="F46" s="16" t="n">
        <v>9258.440000000001</v>
      </c>
      <c r="G46" s="16" t="n">
        <v>1157.31</v>
      </c>
      <c r="H46" s="16" t="n">
        <v>1157.31</v>
      </c>
      <c r="I46" s="16">
        <f>SUM(K46:T46)</f>
        <v/>
      </c>
      <c r="J46" s="16">
        <f>F46-(G46+H46+I46)</f>
        <v/>
      </c>
      <c r="K46" s="16" t="n">
        <v>694.38</v>
      </c>
      <c r="L46" s="16" t="n">
        <v>694.38</v>
      </c>
      <c r="M46" s="16" t="n">
        <v>694.38</v>
      </c>
      <c r="N46" s="16" t="n">
        <v>694.38</v>
      </c>
      <c r="O46" s="16" t="n">
        <v>694.38</v>
      </c>
      <c r="P46" s="16" t="n">
        <v>694.38</v>
      </c>
      <c r="Q46" s="16" t="n">
        <v>694.38</v>
      </c>
      <c r="R46" s="16" t="n">
        <v>694.38</v>
      </c>
      <c r="S46" s="16" t="n">
        <v>694.38</v>
      </c>
      <c r="T46" s="16" t="n">
        <v>694.38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CANON-202511-001788</t>
        </is>
      </c>
      <c r="B47" s="3" t="inlineStr">
        <is>
          <t>2025-11-01</t>
        </is>
      </c>
      <c r="C47" s="3" t="inlineStr">
        <is>
          <t>Lorenzo Montoya</t>
        </is>
      </c>
      <c r="D47" s="3" t="inlineStr">
        <is>
          <t>FL</t>
        </is>
      </c>
      <c r="E47" s="14" t="n">
        <v>615000</v>
      </c>
      <c r="F47" s="14" t="n">
        <v>9847.030000000001</v>
      </c>
      <c r="G47" s="14" t="n">
        <v>1230.88</v>
      </c>
      <c r="H47" s="14" t="n">
        <v>1230.88</v>
      </c>
      <c r="I47" s="14">
        <f>SUM(K47:T47)</f>
        <v/>
      </c>
      <c r="J47" s="14">
        <f>F47-(G47+H47+I47)</f>
        <v/>
      </c>
      <c r="K47" s="14" t="n">
        <v>738.53</v>
      </c>
      <c r="L47" s="14" t="n">
        <v>738.53</v>
      </c>
      <c r="M47" s="14" t="n">
        <v>738.53</v>
      </c>
      <c r="N47" s="14" t="n">
        <v>738.53</v>
      </c>
      <c r="O47" s="14" t="n">
        <v>738.53</v>
      </c>
      <c r="P47" s="14" t="n">
        <v>738.53</v>
      </c>
      <c r="Q47" s="14" t="n">
        <v>738.53</v>
      </c>
      <c r="R47" s="14" t="n">
        <v>738.53</v>
      </c>
      <c r="S47" s="14" t="n">
        <v>738.53</v>
      </c>
      <c r="T47" s="14" t="n">
        <v>738.53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CANON-202511-001789</t>
        </is>
      </c>
      <c r="B48" s="15" t="inlineStr">
        <is>
          <t>2025-11-26</t>
        </is>
      </c>
      <c r="C48" s="15" t="inlineStr">
        <is>
          <t>Sunniva Larsson</t>
        </is>
      </c>
      <c r="D48" s="15" t="inlineStr">
        <is>
          <t>WV</t>
        </is>
      </c>
      <c r="E48" s="16" t="n">
        <v>680000</v>
      </c>
      <c r="F48" s="16" t="n">
        <v>10197.71</v>
      </c>
      <c r="G48" s="16" t="n">
        <v>1274.71</v>
      </c>
      <c r="H48" s="16" t="n">
        <v>1274.71</v>
      </c>
      <c r="I48" s="16">
        <f>SUM(K48:T48)</f>
        <v/>
      </c>
      <c r="J48" s="16">
        <f>F48-(G48+H48+I48)</f>
        <v/>
      </c>
      <c r="K48" s="16" t="n">
        <v>764.83</v>
      </c>
      <c r="L48" s="16" t="n">
        <v>764.83</v>
      </c>
      <c r="M48" s="16" t="n">
        <v>764.83</v>
      </c>
      <c r="N48" s="16" t="n">
        <v>764.83</v>
      </c>
      <c r="O48" s="16" t="n">
        <v>764.83</v>
      </c>
      <c r="P48" s="16" t="n">
        <v>764.83</v>
      </c>
      <c r="Q48" s="16" t="n">
        <v>764.83</v>
      </c>
      <c r="R48" s="16" t="n">
        <v>764.83</v>
      </c>
      <c r="S48" s="16" t="n">
        <v>764.83</v>
      </c>
      <c r="T48" s="16" t="n">
        <v>764.83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CANON-202511-001790</t>
        </is>
      </c>
      <c r="B49" s="3" t="inlineStr">
        <is>
          <t>2025-11-17</t>
        </is>
      </c>
      <c r="C49" s="3" t="inlineStr">
        <is>
          <t>Fitzgerald Castellanos</t>
        </is>
      </c>
      <c r="D49" s="3" t="inlineStr">
        <is>
          <t>WV</t>
        </is>
      </c>
      <c r="E49" s="14" t="n">
        <v>550000</v>
      </c>
      <c r="F49" s="14" t="n">
        <v>8248.15</v>
      </c>
      <c r="G49" s="14" t="n">
        <v>1031.02</v>
      </c>
      <c r="H49" s="14" t="n">
        <v>1031.02</v>
      </c>
      <c r="I49" s="14">
        <f>SUM(K49:T49)</f>
        <v/>
      </c>
      <c r="J49" s="14">
        <f>F49-(G49+H49+I49)</f>
        <v/>
      </c>
      <c r="K49" s="14" t="n">
        <v>618.61</v>
      </c>
      <c r="L49" s="14" t="n">
        <v>618.61</v>
      </c>
      <c r="M49" s="14" t="n">
        <v>618.61</v>
      </c>
      <c r="N49" s="14" t="n">
        <v>618.61</v>
      </c>
      <c r="O49" s="14" t="n">
        <v>618.61</v>
      </c>
      <c r="P49" s="14" t="n">
        <v>618.61</v>
      </c>
      <c r="Q49" s="14" t="n">
        <v>618.61</v>
      </c>
      <c r="R49" s="14" t="n">
        <v>618.61</v>
      </c>
      <c r="S49" s="14" t="n">
        <v>618.61</v>
      </c>
      <c r="T49" s="14" t="n">
        <v>618.61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CANON-202511-001791</t>
        </is>
      </c>
      <c r="B50" s="15" t="inlineStr">
        <is>
          <t>2025-11-05</t>
        </is>
      </c>
      <c r="C50" s="15" t="inlineStr">
        <is>
          <t>Lorenzo Vasquez</t>
        </is>
      </c>
      <c r="D50" s="15" t="inlineStr">
        <is>
          <t>OR</t>
        </is>
      </c>
      <c r="E50" s="16" t="n">
        <v>360000</v>
      </c>
      <c r="F50" s="16" t="n">
        <v>5292.62</v>
      </c>
      <c r="G50" s="16" t="n">
        <v>661.58</v>
      </c>
      <c r="H50" s="16" t="n">
        <v>661.58</v>
      </c>
      <c r="I50" s="16">
        <f>SUM(K50:T50)</f>
        <v/>
      </c>
      <c r="J50" s="16">
        <f>F50-(G50+H50+I50)</f>
        <v/>
      </c>
      <c r="K50" s="16" t="n">
        <v>396.95</v>
      </c>
      <c r="L50" s="16" t="n">
        <v>396.95</v>
      </c>
      <c r="M50" s="16" t="n">
        <v>396.95</v>
      </c>
      <c r="N50" s="16" t="n">
        <v>396.95</v>
      </c>
      <c r="O50" s="16" t="n">
        <v>396.95</v>
      </c>
      <c r="P50" s="16" t="n">
        <v>396.95</v>
      </c>
      <c r="Q50" s="16" t="n">
        <v>396.95</v>
      </c>
      <c r="R50" s="16" t="n">
        <v>396.95</v>
      </c>
      <c r="S50" s="16" t="n">
        <v>396.95</v>
      </c>
      <c r="T50" s="16" t="n">
        <v>396.95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CANON-202511-001792</t>
        </is>
      </c>
      <c r="B51" s="3" t="inlineStr">
        <is>
          <t>2025-11-28</t>
        </is>
      </c>
      <c r="C51" s="3" t="inlineStr">
        <is>
          <t>Horace Whitlock</t>
        </is>
      </c>
      <c r="D51" s="3" t="inlineStr">
        <is>
          <t>NY</t>
        </is>
      </c>
      <c r="E51" s="14" t="n">
        <v>1600000</v>
      </c>
      <c r="F51" s="14" t="n">
        <v>19539.85</v>
      </c>
      <c r="G51" s="14" t="n">
        <v>2442.48</v>
      </c>
      <c r="H51" s="14" t="n">
        <v>2442.48</v>
      </c>
      <c r="I51" s="14">
        <f>SUM(K51:T51)</f>
        <v/>
      </c>
      <c r="J51" s="14">
        <f>F51-(G51+H51+I51)</f>
        <v/>
      </c>
      <c r="K51" s="14" t="n">
        <v>1465.49</v>
      </c>
      <c r="L51" s="14" t="n">
        <v>1465.49</v>
      </c>
      <c r="M51" s="14" t="n">
        <v>1465.49</v>
      </c>
      <c r="N51" s="14" t="n">
        <v>1465.49</v>
      </c>
      <c r="O51" s="14" t="n">
        <v>1465.49</v>
      </c>
      <c r="P51" s="14" t="n">
        <v>1465.49</v>
      </c>
      <c r="Q51" s="14" t="n">
        <v>1465.49</v>
      </c>
      <c r="R51" s="14" t="n">
        <v>1465.49</v>
      </c>
      <c r="S51" s="14" t="n">
        <v>1465.49</v>
      </c>
      <c r="T51" s="14" t="n">
        <v>1465.49</v>
      </c>
      <c r="U51" s="14" t="n">
        <v>350</v>
      </c>
      <c r="V51" s="14" t="n">
        <v>250</v>
      </c>
      <c r="W51" s="14">
        <f>U51+V51</f>
        <v/>
      </c>
    </row>
    <row r="52">
      <c r="A52" s="15" t="inlineStr">
        <is>
          <t>CANON-202511-001796</t>
        </is>
      </c>
      <c r="B52" s="15" t="inlineStr">
        <is>
          <t>2025-11-16</t>
        </is>
      </c>
      <c r="C52" s="15" t="inlineStr">
        <is>
          <t>Callum Farkas</t>
        </is>
      </c>
      <c r="D52" s="15" t="inlineStr">
        <is>
          <t>PA</t>
        </is>
      </c>
      <c r="E52" s="16" t="n">
        <v>540000</v>
      </c>
      <c r="F52" s="16" t="n">
        <v>6088.86</v>
      </c>
      <c r="G52" s="16" t="n">
        <v>761.11</v>
      </c>
      <c r="H52" s="16" t="n">
        <v>761.11</v>
      </c>
      <c r="I52" s="16">
        <f>SUM(K52:T52)</f>
        <v/>
      </c>
      <c r="J52" s="16">
        <f>F52-(G52+H52+I52)</f>
        <v/>
      </c>
      <c r="K52" s="16" t="n">
        <v>456.66</v>
      </c>
      <c r="L52" s="16" t="n">
        <v>456.66</v>
      </c>
      <c r="M52" s="16" t="n">
        <v>456.66</v>
      </c>
      <c r="N52" s="16" t="n">
        <v>456.66</v>
      </c>
      <c r="O52" s="16" t="n">
        <v>456.66</v>
      </c>
      <c r="P52" s="16" t="n">
        <v>456.66</v>
      </c>
      <c r="Q52" s="16" t="n">
        <v>456.66</v>
      </c>
      <c r="R52" s="16" t="n">
        <v>456.66</v>
      </c>
      <c r="S52" s="16" t="n">
        <v>456.66</v>
      </c>
      <c r="T52" s="16" t="n">
        <v>456.66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CANON-202511-001797</t>
        </is>
      </c>
      <c r="B53" s="3" t="inlineStr">
        <is>
          <t>2025-11-25</t>
        </is>
      </c>
      <c r="C53" s="3" t="inlineStr">
        <is>
          <t>Noor Montoya</t>
        </is>
      </c>
      <c r="D53" s="3" t="inlineStr">
        <is>
          <t>WA</t>
        </is>
      </c>
      <c r="E53" s="14" t="n">
        <v>425000</v>
      </c>
      <c r="F53" s="14" t="n">
        <v>3397.27</v>
      </c>
      <c r="G53" s="14" t="n">
        <v>424.66</v>
      </c>
      <c r="H53" s="14" t="n">
        <v>424.66</v>
      </c>
      <c r="I53" s="14">
        <f>SUM(K53:T53)</f>
        <v/>
      </c>
      <c r="J53" s="14">
        <f>F53-(G53+H53+I53)</f>
        <v/>
      </c>
      <c r="K53" s="14" t="n">
        <v>254.8</v>
      </c>
      <c r="L53" s="14" t="n">
        <v>254.8</v>
      </c>
      <c r="M53" s="14" t="n">
        <v>254.8</v>
      </c>
      <c r="N53" s="14" t="n">
        <v>254.8</v>
      </c>
      <c r="O53" s="14" t="n">
        <v>254.8</v>
      </c>
      <c r="P53" s="14" t="n">
        <v>254.8</v>
      </c>
      <c r="Q53" s="14" t="n">
        <v>254.8</v>
      </c>
      <c r="R53" s="14" t="n">
        <v>254.8</v>
      </c>
      <c r="S53" s="14" t="n">
        <v>254.8</v>
      </c>
      <c r="T53" s="14" t="n">
        <v>254.8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CANON-202511-001801</t>
        </is>
      </c>
      <c r="B54" s="15" t="inlineStr">
        <is>
          <t>2025-11-13</t>
        </is>
      </c>
      <c r="C54" s="15" t="inlineStr">
        <is>
          <t>Lorenzo Nakashima</t>
        </is>
      </c>
      <c r="D54" s="15" t="inlineStr">
        <is>
          <t>ID</t>
        </is>
      </c>
      <c r="E54" s="16" t="n">
        <v>485000</v>
      </c>
      <c r="F54" s="16" t="n">
        <v>6246.94</v>
      </c>
      <c r="G54" s="16" t="n">
        <v>780.87</v>
      </c>
      <c r="H54" s="16" t="n">
        <v>780.87</v>
      </c>
      <c r="I54" s="16">
        <f>SUM(K54:T54)</f>
        <v/>
      </c>
      <c r="J54" s="16">
        <f>F54-(G54+H54+I54)</f>
        <v/>
      </c>
      <c r="K54" s="16" t="n">
        <v>468.52</v>
      </c>
      <c r="L54" s="16" t="n">
        <v>468.52</v>
      </c>
      <c r="M54" s="16" t="n">
        <v>468.52</v>
      </c>
      <c r="N54" s="16" t="n">
        <v>468.52</v>
      </c>
      <c r="O54" s="16" t="n">
        <v>468.52</v>
      </c>
      <c r="P54" s="16" t="n">
        <v>468.52</v>
      </c>
      <c r="Q54" s="16" t="n">
        <v>468.52</v>
      </c>
      <c r="R54" s="16" t="n">
        <v>468.52</v>
      </c>
      <c r="S54" s="16" t="n">
        <v>468.52</v>
      </c>
      <c r="T54" s="16" t="n">
        <v>468.52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CANON-202511-001803</t>
        </is>
      </c>
      <c r="B55" s="3" t="inlineStr">
        <is>
          <t>2025-11-23</t>
        </is>
      </c>
      <c r="C55" s="3" t="inlineStr">
        <is>
          <t>Sunniva Harrington</t>
        </is>
      </c>
      <c r="D55" s="3" t="inlineStr">
        <is>
          <t>TX</t>
        </is>
      </c>
      <c r="E55" s="14" t="n">
        <v>415000</v>
      </c>
      <c r="F55" s="14" t="n">
        <v>6209.2</v>
      </c>
      <c r="G55" s="14" t="n">
        <v>776.15</v>
      </c>
      <c r="H55" s="14" t="n">
        <v>776.15</v>
      </c>
      <c r="I55" s="14">
        <f>SUM(K55:T55)</f>
        <v/>
      </c>
      <c r="J55" s="14">
        <f>F55-(G55+H55+I55)</f>
        <v/>
      </c>
      <c r="K55" s="14" t="n">
        <v>465.69</v>
      </c>
      <c r="L55" s="14" t="n">
        <v>465.69</v>
      </c>
      <c r="M55" s="14" t="n">
        <v>465.69</v>
      </c>
      <c r="N55" s="14" t="n">
        <v>465.69</v>
      </c>
      <c r="O55" s="14" t="n">
        <v>465.69</v>
      </c>
      <c r="P55" s="14" t="n">
        <v>465.69</v>
      </c>
      <c r="Q55" s="14" t="n">
        <v>465.69</v>
      </c>
      <c r="R55" s="14" t="n">
        <v>465.69</v>
      </c>
      <c r="S55" s="14" t="n">
        <v>465.69</v>
      </c>
      <c r="T55" s="14" t="n">
        <v>465.69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CANON-202511-001804</t>
        </is>
      </c>
      <c r="B56" s="15" t="inlineStr">
        <is>
          <t>2025-11-12</t>
        </is>
      </c>
      <c r="C56" s="15" t="inlineStr">
        <is>
          <t>Callum Thistlewood</t>
        </is>
      </c>
      <c r="D56" s="15" t="inlineStr">
        <is>
          <t>FL</t>
        </is>
      </c>
      <c r="E56" s="16" t="n">
        <v>515000</v>
      </c>
      <c r="F56" s="16" t="n">
        <v>5454.97</v>
      </c>
      <c r="G56" s="16" t="n">
        <v>681.87</v>
      </c>
      <c r="H56" s="16" t="n">
        <v>681.87</v>
      </c>
      <c r="I56" s="16">
        <f>SUM(K56:T56)</f>
        <v/>
      </c>
      <c r="J56" s="16">
        <f>F56-(G56+H56+I56)</f>
        <v/>
      </c>
      <c r="K56" s="16" t="n">
        <v>409.12</v>
      </c>
      <c r="L56" s="16" t="n">
        <v>409.12</v>
      </c>
      <c r="M56" s="16" t="n">
        <v>409.12</v>
      </c>
      <c r="N56" s="16" t="n">
        <v>409.12</v>
      </c>
      <c r="O56" s="16" t="n">
        <v>409.12</v>
      </c>
      <c r="P56" s="16" t="n">
        <v>409.12</v>
      </c>
      <c r="Q56" s="16" t="n">
        <v>409.12</v>
      </c>
      <c r="R56" s="16" t="n">
        <v>409.12</v>
      </c>
      <c r="S56" s="16" t="n">
        <v>409.12</v>
      </c>
      <c r="T56" s="16" t="n">
        <v>409.12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CANON-202511-001806</t>
        </is>
      </c>
      <c r="B57" s="3" t="inlineStr">
        <is>
          <t>2025-11-11</t>
        </is>
      </c>
      <c r="C57" s="3" t="inlineStr">
        <is>
          <t>Lorenzo Thistlewood</t>
        </is>
      </c>
      <c r="D57" s="3" t="inlineStr">
        <is>
          <t>KY</t>
        </is>
      </c>
      <c r="E57" s="14" t="n">
        <v>1150000</v>
      </c>
      <c r="F57" s="14" t="n">
        <v>14702.59</v>
      </c>
      <c r="G57" s="14" t="n">
        <v>1837.82</v>
      </c>
      <c r="H57" s="14" t="n">
        <v>1837.82</v>
      </c>
      <c r="I57" s="14">
        <f>SUM(K57:T57)</f>
        <v/>
      </c>
      <c r="J57" s="14">
        <f>F57-(G57+H57+I57)</f>
        <v/>
      </c>
      <c r="K57" s="14" t="n">
        <v>1102.69</v>
      </c>
      <c r="L57" s="14" t="n">
        <v>1102.69</v>
      </c>
      <c r="M57" s="14" t="n">
        <v>1102.69</v>
      </c>
      <c r="N57" s="14" t="n">
        <v>1102.69</v>
      </c>
      <c r="O57" s="14" t="n">
        <v>1102.69</v>
      </c>
      <c r="P57" s="14" t="n">
        <v>1102.69</v>
      </c>
      <c r="Q57" s="14" t="n">
        <v>1102.69</v>
      </c>
      <c r="R57" s="14" t="n">
        <v>1102.69</v>
      </c>
      <c r="S57" s="14" t="n">
        <v>1102.69</v>
      </c>
      <c r="T57" s="14" t="n">
        <v>1102.69</v>
      </c>
      <c r="U57" s="14" t="n">
        <v>350</v>
      </c>
      <c r="V57" s="14" t="n">
        <v>250</v>
      </c>
      <c r="W57" s="14">
        <f>U57+V57</f>
        <v/>
      </c>
    </row>
    <row r="58">
      <c r="A58" s="15" t="inlineStr">
        <is>
          <t>CANON-202511-001807</t>
        </is>
      </c>
      <c r="B58" s="15" t="inlineStr">
        <is>
          <t>2025-11-11</t>
        </is>
      </c>
      <c r="C58" s="15" t="inlineStr">
        <is>
          <t>Ingrid Harrington</t>
        </is>
      </c>
      <c r="D58" s="15" t="inlineStr">
        <is>
          <t>AL</t>
        </is>
      </c>
      <c r="E58" s="16" t="n">
        <v>405000</v>
      </c>
      <c r="F58" s="16" t="n">
        <v>4282.8</v>
      </c>
      <c r="G58" s="16" t="n">
        <v>535.35</v>
      </c>
      <c r="H58" s="16" t="n">
        <v>535.35</v>
      </c>
      <c r="I58" s="16">
        <f>SUM(K58:T58)</f>
        <v/>
      </c>
      <c r="J58" s="16">
        <f>F58-(G58+H58+I58)</f>
        <v/>
      </c>
      <c r="K58" s="16" t="n">
        <v>321.21</v>
      </c>
      <c r="L58" s="16" t="n">
        <v>321.21</v>
      </c>
      <c r="M58" s="16" t="n">
        <v>321.21</v>
      </c>
      <c r="N58" s="16" t="n">
        <v>321.21</v>
      </c>
      <c r="O58" s="16" t="n">
        <v>321.21</v>
      </c>
      <c r="P58" s="16" t="n">
        <v>321.21</v>
      </c>
      <c r="Q58" s="16" t="n">
        <v>321.21</v>
      </c>
      <c r="R58" s="16" t="n">
        <v>321.21</v>
      </c>
      <c r="S58" s="16" t="n">
        <v>321.21</v>
      </c>
      <c r="T58" s="16" t="n">
        <v>321.21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CANON-202511-001808</t>
        </is>
      </c>
      <c r="B59" s="3" t="inlineStr">
        <is>
          <t>2025-11-12</t>
        </is>
      </c>
      <c r="C59" s="3" t="inlineStr">
        <is>
          <t>Horace Delacroix</t>
        </is>
      </c>
      <c r="D59" s="3" t="inlineStr">
        <is>
          <t>NY</t>
        </is>
      </c>
      <c r="E59" s="14" t="n">
        <v>305000</v>
      </c>
      <c r="F59" s="14" t="n">
        <v>5079.25</v>
      </c>
      <c r="G59" s="14" t="n">
        <v>634.91</v>
      </c>
      <c r="H59" s="14" t="n">
        <v>634.91</v>
      </c>
      <c r="I59" s="14">
        <f>SUM(K59:T59)</f>
        <v/>
      </c>
      <c r="J59" s="14">
        <f>F59-(G59+H59+I59)</f>
        <v/>
      </c>
      <c r="K59" s="14" t="n">
        <v>380.94</v>
      </c>
      <c r="L59" s="14" t="n">
        <v>380.94</v>
      </c>
      <c r="M59" s="14" t="n">
        <v>380.94</v>
      </c>
      <c r="N59" s="14" t="n">
        <v>380.94</v>
      </c>
      <c r="O59" s="14" t="n">
        <v>380.94</v>
      </c>
      <c r="P59" s="14" t="n">
        <v>380.94</v>
      </c>
      <c r="Q59" s="14" t="n">
        <v>380.94</v>
      </c>
      <c r="R59" s="14" t="n">
        <v>380.94</v>
      </c>
      <c r="S59" s="14" t="n">
        <v>380.94</v>
      </c>
      <c r="T59" s="14" t="n">
        <v>380.94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CANON-202511-001811</t>
        </is>
      </c>
      <c r="B60" s="15" t="inlineStr">
        <is>
          <t>2025-11-11</t>
        </is>
      </c>
      <c r="C60" s="15" t="inlineStr">
        <is>
          <t>Noor Thistlewood</t>
        </is>
      </c>
      <c r="D60" s="15" t="inlineStr">
        <is>
          <t>RI</t>
        </is>
      </c>
      <c r="E60" s="16" t="n">
        <v>750000</v>
      </c>
      <c r="F60" s="16" t="n">
        <v>11585.75</v>
      </c>
      <c r="G60" s="16" t="n">
        <v>1448.22</v>
      </c>
      <c r="H60" s="16" t="n">
        <v>1448.22</v>
      </c>
      <c r="I60" s="16">
        <f>SUM(K60:T60)</f>
        <v/>
      </c>
      <c r="J60" s="16">
        <f>F60-(G60+H60+I60)</f>
        <v/>
      </c>
      <c r="K60" s="16" t="n">
        <v>868.9299999999999</v>
      </c>
      <c r="L60" s="16" t="n">
        <v>868.9299999999999</v>
      </c>
      <c r="M60" s="16" t="n">
        <v>868.9299999999999</v>
      </c>
      <c r="N60" s="16" t="n">
        <v>868.9299999999999</v>
      </c>
      <c r="O60" s="16" t="n">
        <v>868.9299999999999</v>
      </c>
      <c r="P60" s="16" t="n">
        <v>868.9299999999999</v>
      </c>
      <c r="Q60" s="16" t="n">
        <v>868.9299999999999</v>
      </c>
      <c r="R60" s="16" t="n">
        <v>868.9299999999999</v>
      </c>
      <c r="S60" s="16" t="n">
        <v>868.9299999999999</v>
      </c>
      <c r="T60" s="16" t="n">
        <v>868.9299999999999</v>
      </c>
      <c r="U60" s="16" t="n">
        <v>350</v>
      </c>
      <c r="V60" s="16" t="n">
        <v>0</v>
      </c>
      <c r="W60" s="16">
        <f>U60+V60</f>
        <v/>
      </c>
    </row>
    <row r="61">
      <c r="A61" s="3" t="inlineStr">
        <is>
          <t>CANON-202511-001812</t>
        </is>
      </c>
      <c r="B61" s="3" t="inlineStr">
        <is>
          <t>2025-11-07</t>
        </is>
      </c>
      <c r="C61" s="3" t="inlineStr">
        <is>
          <t>Mireille Castellanos</t>
        </is>
      </c>
      <c r="D61" s="3" t="inlineStr">
        <is>
          <t>OK</t>
        </is>
      </c>
      <c r="E61" s="14" t="n">
        <v>665000</v>
      </c>
      <c r="F61" s="14" t="n">
        <v>9447.870000000001</v>
      </c>
      <c r="G61" s="14" t="n">
        <v>1180.98</v>
      </c>
      <c r="H61" s="14" t="n">
        <v>1180.98</v>
      </c>
      <c r="I61" s="14">
        <f>SUM(K61:T61)</f>
        <v/>
      </c>
      <c r="J61" s="14">
        <f>F61-(G61+H61+I61)</f>
        <v/>
      </c>
      <c r="K61" s="14" t="n">
        <v>708.59</v>
      </c>
      <c r="L61" s="14" t="n">
        <v>708.59</v>
      </c>
      <c r="M61" s="14" t="n">
        <v>708.59</v>
      </c>
      <c r="N61" s="14" t="n">
        <v>708.59</v>
      </c>
      <c r="O61" s="14" t="n">
        <v>708.59</v>
      </c>
      <c r="P61" s="14" t="n">
        <v>708.59</v>
      </c>
      <c r="Q61" s="14" t="n">
        <v>708.59</v>
      </c>
      <c r="R61" s="14" t="n">
        <v>708.59</v>
      </c>
      <c r="S61" s="14" t="n">
        <v>708.59</v>
      </c>
      <c r="T61" s="14" t="n">
        <v>708.59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CANON-202511-001813</t>
        </is>
      </c>
      <c r="B62" s="15" t="inlineStr">
        <is>
          <t>2025-11-07</t>
        </is>
      </c>
      <c r="C62" s="15" t="inlineStr">
        <is>
          <t>Delphine Vandermeer</t>
        </is>
      </c>
      <c r="D62" s="15" t="inlineStr">
        <is>
          <t>AZ</t>
        </is>
      </c>
      <c r="E62" s="16" t="n">
        <v>1220000</v>
      </c>
      <c r="F62" s="16" t="n">
        <v>17100.15</v>
      </c>
      <c r="G62" s="16" t="n">
        <v>2137.52</v>
      </c>
      <c r="H62" s="16" t="n">
        <v>2137.52</v>
      </c>
      <c r="I62" s="16">
        <f>SUM(K62:T62)</f>
        <v/>
      </c>
      <c r="J62" s="16">
        <f>F62-(G62+H62+I62)</f>
        <v/>
      </c>
      <c r="K62" s="16" t="n">
        <v>1282.51</v>
      </c>
      <c r="L62" s="16" t="n">
        <v>1282.51</v>
      </c>
      <c r="M62" s="16" t="n">
        <v>1282.51</v>
      </c>
      <c r="N62" s="16" t="n">
        <v>1282.51</v>
      </c>
      <c r="O62" s="16" t="n">
        <v>1282.51</v>
      </c>
      <c r="P62" s="16" t="n">
        <v>1282.51</v>
      </c>
      <c r="Q62" s="16" t="n">
        <v>1282.51</v>
      </c>
      <c r="R62" s="16" t="n">
        <v>1282.51</v>
      </c>
      <c r="S62" s="16" t="n">
        <v>1282.51</v>
      </c>
      <c r="T62" s="16" t="n">
        <v>1282.51</v>
      </c>
      <c r="U62" s="16" t="n">
        <v>350</v>
      </c>
      <c r="V62" s="16" t="n">
        <v>250</v>
      </c>
      <c r="W62" s="16">
        <f>U62+V62</f>
        <v/>
      </c>
    </row>
    <row r="63">
      <c r="A63" s="3" t="inlineStr">
        <is>
          <t>CANON-202511-001815</t>
        </is>
      </c>
      <c r="B63" s="3" t="inlineStr">
        <is>
          <t>2025-11-13</t>
        </is>
      </c>
      <c r="C63" s="3" t="inlineStr">
        <is>
          <t>Fenwick Montoya</t>
        </is>
      </c>
      <c r="D63" s="3" t="inlineStr">
        <is>
          <t>VT</t>
        </is>
      </c>
      <c r="E63" s="14" t="n">
        <v>320000</v>
      </c>
      <c r="F63" s="14" t="n">
        <v>5079.25</v>
      </c>
      <c r="G63" s="14" t="n">
        <v>634.91</v>
      </c>
      <c r="H63" s="14" t="n">
        <v>634.91</v>
      </c>
      <c r="I63" s="14">
        <f>SUM(K63:T63)</f>
        <v/>
      </c>
      <c r="J63" s="14">
        <f>F63-(G63+H63+I63)</f>
        <v/>
      </c>
      <c r="K63" s="14" t="n">
        <v>380.94</v>
      </c>
      <c r="L63" s="14" t="n">
        <v>380.94</v>
      </c>
      <c r="M63" s="14" t="n">
        <v>380.94</v>
      </c>
      <c r="N63" s="14" t="n">
        <v>380.94</v>
      </c>
      <c r="O63" s="14" t="n">
        <v>380.94</v>
      </c>
      <c r="P63" s="14" t="n">
        <v>380.94</v>
      </c>
      <c r="Q63" s="14" t="n">
        <v>380.94</v>
      </c>
      <c r="R63" s="14" t="n">
        <v>380.94</v>
      </c>
      <c r="S63" s="14" t="n">
        <v>380.94</v>
      </c>
      <c r="T63" s="14" t="n">
        <v>380.94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CANON-202511-001816</t>
        </is>
      </c>
      <c r="B64" s="15" t="inlineStr">
        <is>
          <t>2025-11-25</t>
        </is>
      </c>
      <c r="C64" s="15" t="inlineStr">
        <is>
          <t>Desmond Kingsford</t>
        </is>
      </c>
      <c r="D64" s="15" t="inlineStr">
        <is>
          <t>IL</t>
        </is>
      </c>
      <c r="E64" s="16" t="n">
        <v>940000</v>
      </c>
      <c r="F64" s="16" t="n">
        <v>9535.940000000001</v>
      </c>
      <c r="G64" s="16" t="n">
        <v>1191.99</v>
      </c>
      <c r="H64" s="16" t="n">
        <v>1191.99</v>
      </c>
      <c r="I64" s="16">
        <f>SUM(K64:T64)</f>
        <v/>
      </c>
      <c r="J64" s="16">
        <f>F64-(G64+H64+I64)</f>
        <v/>
      </c>
      <c r="K64" s="16" t="n">
        <v>715.2</v>
      </c>
      <c r="L64" s="16" t="n">
        <v>715.2</v>
      </c>
      <c r="M64" s="16" t="n">
        <v>715.2</v>
      </c>
      <c r="N64" s="16" t="n">
        <v>715.2</v>
      </c>
      <c r="O64" s="16" t="n">
        <v>715.2</v>
      </c>
      <c r="P64" s="16" t="n">
        <v>715.2</v>
      </c>
      <c r="Q64" s="16" t="n">
        <v>715.2</v>
      </c>
      <c r="R64" s="16" t="n">
        <v>715.2</v>
      </c>
      <c r="S64" s="16" t="n">
        <v>715.2</v>
      </c>
      <c r="T64" s="16" t="n">
        <v>715.2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CANON-202511-001817</t>
        </is>
      </c>
      <c r="B65" s="3" t="inlineStr">
        <is>
          <t>2025-11-24</t>
        </is>
      </c>
      <c r="C65" s="3" t="inlineStr">
        <is>
          <t>Cassius Rourke</t>
        </is>
      </c>
      <c r="D65" s="3" t="inlineStr">
        <is>
          <t>NY</t>
        </is>
      </c>
      <c r="E65" s="14" t="n">
        <v>340000</v>
      </c>
      <c r="F65" s="14" t="n">
        <v>8681.91</v>
      </c>
      <c r="G65" s="14" t="n">
        <v>1085.24</v>
      </c>
      <c r="H65" s="14" t="n">
        <v>1085.24</v>
      </c>
      <c r="I65" s="14">
        <f>SUM(K65:T65)</f>
        <v/>
      </c>
      <c r="J65" s="14">
        <f>F65-(G65+H65+I65)</f>
        <v/>
      </c>
      <c r="K65" s="14" t="n">
        <v>651.14</v>
      </c>
      <c r="L65" s="14" t="n">
        <v>651.14</v>
      </c>
      <c r="M65" s="14" t="n">
        <v>651.14</v>
      </c>
      <c r="N65" s="14" t="n">
        <v>651.14</v>
      </c>
      <c r="O65" s="14" t="n">
        <v>651.14</v>
      </c>
      <c r="P65" s="14" t="n">
        <v>651.14</v>
      </c>
      <c r="Q65" s="14" t="n">
        <v>651.14</v>
      </c>
      <c r="R65" s="14" t="n">
        <v>651.14</v>
      </c>
      <c r="S65" s="14" t="n">
        <v>651.14</v>
      </c>
      <c r="T65" s="14" t="n">
        <v>651.14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CANON-202511-001818</t>
        </is>
      </c>
      <c r="B66" s="15" t="inlineStr">
        <is>
          <t>2025-11-09</t>
        </is>
      </c>
      <c r="C66" s="15" t="inlineStr">
        <is>
          <t>Callum Vasquez</t>
        </is>
      </c>
      <c r="D66" s="15" t="inlineStr">
        <is>
          <t>NH</t>
        </is>
      </c>
      <c r="E66" s="16" t="n">
        <v>460000</v>
      </c>
      <c r="F66" s="16" t="n">
        <v>6224.16</v>
      </c>
      <c r="G66" s="16" t="n">
        <v>778.02</v>
      </c>
      <c r="H66" s="16" t="n">
        <v>778.02</v>
      </c>
      <c r="I66" s="16">
        <f>SUM(K66:T66)</f>
        <v/>
      </c>
      <c r="J66" s="16">
        <f>F66-(G66+H66+I66)</f>
        <v/>
      </c>
      <c r="K66" s="16" t="n">
        <v>466.81</v>
      </c>
      <c r="L66" s="16" t="n">
        <v>466.81</v>
      </c>
      <c r="M66" s="16" t="n">
        <v>466.81</v>
      </c>
      <c r="N66" s="16" t="n">
        <v>466.81</v>
      </c>
      <c r="O66" s="16" t="n">
        <v>466.81</v>
      </c>
      <c r="P66" s="16" t="n">
        <v>466.81</v>
      </c>
      <c r="Q66" s="16" t="n">
        <v>466.81</v>
      </c>
      <c r="R66" s="16" t="n">
        <v>466.81</v>
      </c>
      <c r="S66" s="16" t="n">
        <v>466.81</v>
      </c>
      <c r="T66" s="16" t="n">
        <v>466.81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CANON-202511-001819</t>
        </is>
      </c>
      <c r="B67" s="3" t="inlineStr">
        <is>
          <t>2025-11-19</t>
        </is>
      </c>
      <c r="C67" s="3" t="inlineStr">
        <is>
          <t>Emiliano Harrington</t>
        </is>
      </c>
      <c r="D67" s="3" t="inlineStr">
        <is>
          <t>TX</t>
        </is>
      </c>
      <c r="E67" s="14" t="n">
        <v>695000</v>
      </c>
      <c r="F67" s="14" t="n">
        <v>9012.07</v>
      </c>
      <c r="G67" s="14" t="n">
        <v>1126.51</v>
      </c>
      <c r="H67" s="14" t="n">
        <v>1126.51</v>
      </c>
      <c r="I67" s="14">
        <f>SUM(K67:T67)</f>
        <v/>
      </c>
      <c r="J67" s="14">
        <f>F67-(G67+H67+I67)</f>
        <v/>
      </c>
      <c r="K67" s="14" t="n">
        <v>675.91</v>
      </c>
      <c r="L67" s="14" t="n">
        <v>675.91</v>
      </c>
      <c r="M67" s="14" t="n">
        <v>675.91</v>
      </c>
      <c r="N67" s="14" t="n">
        <v>675.91</v>
      </c>
      <c r="O67" s="14" t="n">
        <v>675.91</v>
      </c>
      <c r="P67" s="14" t="n">
        <v>675.91</v>
      </c>
      <c r="Q67" s="14" t="n">
        <v>675.91</v>
      </c>
      <c r="R67" s="14" t="n">
        <v>675.91</v>
      </c>
      <c r="S67" s="14" t="n">
        <v>675.91</v>
      </c>
      <c r="T67" s="14" t="n">
        <v>675.91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CANON-202511-001820</t>
        </is>
      </c>
      <c r="B68" s="15" t="inlineStr">
        <is>
          <t>2025-11-23</t>
        </is>
      </c>
      <c r="C68" s="15" t="inlineStr">
        <is>
          <t>Lorenzo Whitlock</t>
        </is>
      </c>
      <c r="D68" s="15" t="inlineStr">
        <is>
          <t>MI</t>
        </is>
      </c>
      <c r="E68" s="16" t="n">
        <v>460000</v>
      </c>
      <c r="F68" s="16" t="n">
        <v>14223.81</v>
      </c>
      <c r="G68" s="16" t="n">
        <v>1777.98</v>
      </c>
      <c r="H68" s="16" t="n">
        <v>1777.98</v>
      </c>
      <c r="I68" s="16">
        <f>SUM(K68:T68)</f>
        <v/>
      </c>
      <c r="J68" s="16">
        <f>F68-(G68+H68+I68)</f>
        <v/>
      </c>
      <c r="K68" s="16" t="n">
        <v>1066.79</v>
      </c>
      <c r="L68" s="16" t="n">
        <v>1066.79</v>
      </c>
      <c r="M68" s="16" t="n">
        <v>1066.79</v>
      </c>
      <c r="N68" s="16" t="n">
        <v>1066.79</v>
      </c>
      <c r="O68" s="16" t="n">
        <v>1066.79</v>
      </c>
      <c r="P68" s="16" t="n">
        <v>1066.79</v>
      </c>
      <c r="Q68" s="16" t="n">
        <v>1066.79</v>
      </c>
      <c r="R68" s="16" t="n">
        <v>1066.79</v>
      </c>
      <c r="S68" s="16" t="n">
        <v>1066.79</v>
      </c>
      <c r="T68" s="16" t="n">
        <v>1066.79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CANON-202511-001821</t>
        </is>
      </c>
      <c r="B69" s="3" t="inlineStr">
        <is>
          <t>2025-11-11</t>
        </is>
      </c>
      <c r="C69" s="3" t="inlineStr">
        <is>
          <t>Desmond Merriweather</t>
        </is>
      </c>
      <c r="D69" s="3" t="inlineStr">
        <is>
          <t>NH</t>
        </is>
      </c>
      <c r="E69" s="14" t="n">
        <v>1275000</v>
      </c>
      <c r="F69" s="14" t="n">
        <v>12651.29</v>
      </c>
      <c r="G69" s="14" t="n">
        <v>1581.41</v>
      </c>
      <c r="H69" s="14" t="n">
        <v>1581.41</v>
      </c>
      <c r="I69" s="14">
        <f>SUM(K69:T69)</f>
        <v/>
      </c>
      <c r="J69" s="14">
        <f>F69-(G69+H69+I69)</f>
        <v/>
      </c>
      <c r="K69" s="14" t="n">
        <v>948.85</v>
      </c>
      <c r="L69" s="14" t="n">
        <v>948.85</v>
      </c>
      <c r="M69" s="14" t="n">
        <v>948.85</v>
      </c>
      <c r="N69" s="14" t="n">
        <v>948.85</v>
      </c>
      <c r="O69" s="14" t="n">
        <v>948.85</v>
      </c>
      <c r="P69" s="14" t="n">
        <v>948.85</v>
      </c>
      <c r="Q69" s="14" t="n">
        <v>948.85</v>
      </c>
      <c r="R69" s="14" t="n">
        <v>948.85</v>
      </c>
      <c r="S69" s="14" t="n">
        <v>948.85</v>
      </c>
      <c r="T69" s="14" t="n">
        <v>948.85</v>
      </c>
      <c r="U69" s="14" t="n">
        <v>350</v>
      </c>
      <c r="V69" s="14" t="n">
        <v>250</v>
      </c>
      <c r="W69" s="14">
        <f>U69+V69</f>
        <v/>
      </c>
    </row>
    <row r="70">
      <c r="A70" s="15" t="inlineStr">
        <is>
          <t>CANON-202511-001822</t>
        </is>
      </c>
      <c r="B70" s="15" t="inlineStr">
        <is>
          <t>2025-11-20</t>
        </is>
      </c>
      <c r="C70" s="15" t="inlineStr">
        <is>
          <t>Lorenzo Montoya</t>
        </is>
      </c>
      <c r="D70" s="15" t="inlineStr">
        <is>
          <t>AZ</t>
        </is>
      </c>
      <c r="E70" s="16" t="n">
        <v>1320000</v>
      </c>
      <c r="F70" s="16" t="n">
        <v>18501.79</v>
      </c>
      <c r="G70" s="16" t="n">
        <v>2312.72</v>
      </c>
      <c r="H70" s="16" t="n">
        <v>2312.72</v>
      </c>
      <c r="I70" s="16">
        <f>SUM(K70:T70)</f>
        <v/>
      </c>
      <c r="J70" s="16">
        <f>F70-(G70+H70+I70)</f>
        <v/>
      </c>
      <c r="K70" s="16" t="n">
        <v>1387.63</v>
      </c>
      <c r="L70" s="16" t="n">
        <v>1387.63</v>
      </c>
      <c r="M70" s="16" t="n">
        <v>1387.63</v>
      </c>
      <c r="N70" s="16" t="n">
        <v>1387.63</v>
      </c>
      <c r="O70" s="16" t="n">
        <v>1387.63</v>
      </c>
      <c r="P70" s="16" t="n">
        <v>1387.63</v>
      </c>
      <c r="Q70" s="16" t="n">
        <v>1387.63</v>
      </c>
      <c r="R70" s="16" t="n">
        <v>1387.63</v>
      </c>
      <c r="S70" s="16" t="n">
        <v>1387.63</v>
      </c>
      <c r="T70" s="16" t="n">
        <v>1387.63</v>
      </c>
      <c r="U70" s="16" t="n">
        <v>350</v>
      </c>
      <c r="V70" s="16" t="n">
        <v>250</v>
      </c>
      <c r="W70" s="16">
        <f>U70+V70</f>
        <v/>
      </c>
    </row>
    <row r="71">
      <c r="A71" s="3" t="inlineStr">
        <is>
          <t>CANON-202511-001823</t>
        </is>
      </c>
      <c r="B71" s="3" t="inlineStr">
        <is>
          <t>2025-11-12</t>
        </is>
      </c>
      <c r="C71" s="3" t="inlineStr">
        <is>
          <t>Horace Underwood</t>
        </is>
      </c>
      <c r="D71" s="3" t="inlineStr">
        <is>
          <t>DE</t>
        </is>
      </c>
      <c r="E71" s="14" t="n">
        <v>1560000</v>
      </c>
      <c r="F71" s="14" t="n">
        <v>18604.84</v>
      </c>
      <c r="G71" s="14" t="n">
        <v>2325.61</v>
      </c>
      <c r="H71" s="14" t="n">
        <v>2325.61</v>
      </c>
      <c r="I71" s="14">
        <f>SUM(K71:T71)</f>
        <v/>
      </c>
      <c r="J71" s="14">
        <f>F71-(G71+H71+I71)</f>
        <v/>
      </c>
      <c r="K71" s="14" t="n">
        <v>1395.36</v>
      </c>
      <c r="L71" s="14" t="n">
        <v>1395.36</v>
      </c>
      <c r="M71" s="14" t="n">
        <v>1395.36</v>
      </c>
      <c r="N71" s="14" t="n">
        <v>1395.36</v>
      </c>
      <c r="O71" s="14" t="n">
        <v>1395.36</v>
      </c>
      <c r="P71" s="14" t="n">
        <v>1395.36</v>
      </c>
      <c r="Q71" s="14" t="n">
        <v>1395.36</v>
      </c>
      <c r="R71" s="14" t="n">
        <v>1395.36</v>
      </c>
      <c r="S71" s="14" t="n">
        <v>1395.36</v>
      </c>
      <c r="T71" s="14" t="n">
        <v>1395.36</v>
      </c>
      <c r="U71" s="14" t="n">
        <v>350</v>
      </c>
      <c r="V71" s="14" t="n">
        <v>250</v>
      </c>
      <c r="W71" s="14">
        <f>U71+V71</f>
        <v/>
      </c>
    </row>
    <row r="72">
      <c r="A72" s="15" t="inlineStr">
        <is>
          <t>CANON-202511-001825</t>
        </is>
      </c>
      <c r="B72" s="15" t="inlineStr">
        <is>
          <t>2025-11-21</t>
        </is>
      </c>
      <c r="C72" s="15" t="inlineStr">
        <is>
          <t>Anouk Larsson</t>
        </is>
      </c>
      <c r="D72" s="15" t="inlineStr">
        <is>
          <t>MT</t>
        </is>
      </c>
      <c r="E72" s="16" t="n">
        <v>480000</v>
      </c>
      <c r="F72" s="16" t="n">
        <v>5807.83</v>
      </c>
      <c r="G72" s="16" t="n">
        <v>725.98</v>
      </c>
      <c r="H72" s="16" t="n">
        <v>725.98</v>
      </c>
      <c r="I72" s="16">
        <f>SUM(K72:T72)</f>
        <v/>
      </c>
      <c r="J72" s="16">
        <f>F72-(G72+H72+I72)</f>
        <v/>
      </c>
      <c r="K72" s="16" t="n">
        <v>435.59</v>
      </c>
      <c r="L72" s="16" t="n">
        <v>435.59</v>
      </c>
      <c r="M72" s="16" t="n">
        <v>435.59</v>
      </c>
      <c r="N72" s="16" t="n">
        <v>435.59</v>
      </c>
      <c r="O72" s="16" t="n">
        <v>435.59</v>
      </c>
      <c r="P72" s="16" t="n">
        <v>435.59</v>
      </c>
      <c r="Q72" s="16" t="n">
        <v>435.59</v>
      </c>
      <c r="R72" s="16" t="n">
        <v>435.59</v>
      </c>
      <c r="S72" s="16" t="n">
        <v>435.59</v>
      </c>
      <c r="T72" s="16" t="n">
        <v>435.59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CANON-202511-001826</t>
        </is>
      </c>
      <c r="B73" s="3" t="inlineStr">
        <is>
          <t>2025-11-16</t>
        </is>
      </c>
      <c r="C73" s="3" t="inlineStr">
        <is>
          <t>Emiliano Thistlewood</t>
        </is>
      </c>
      <c r="D73" s="3" t="inlineStr">
        <is>
          <t>RI</t>
        </is>
      </c>
      <c r="E73" s="14" t="n">
        <v>600000</v>
      </c>
      <c r="F73" s="14" t="n">
        <v>13546.4</v>
      </c>
      <c r="G73" s="14" t="n">
        <v>1693.3</v>
      </c>
      <c r="H73" s="14" t="n">
        <v>1693.3</v>
      </c>
      <c r="I73" s="14">
        <f>SUM(K73:T73)</f>
        <v/>
      </c>
      <c r="J73" s="14">
        <f>F73-(G73+H73+I73)</f>
        <v/>
      </c>
      <c r="K73" s="14" t="n">
        <v>1015.98</v>
      </c>
      <c r="L73" s="14" t="n">
        <v>1015.98</v>
      </c>
      <c r="M73" s="14" t="n">
        <v>1015.98</v>
      </c>
      <c r="N73" s="14" t="n">
        <v>1015.98</v>
      </c>
      <c r="O73" s="14" t="n">
        <v>1015.98</v>
      </c>
      <c r="P73" s="14" t="n">
        <v>1015.98</v>
      </c>
      <c r="Q73" s="14" t="n">
        <v>1015.98</v>
      </c>
      <c r="R73" s="14" t="n">
        <v>1015.98</v>
      </c>
      <c r="S73" s="14" t="n">
        <v>1015.98</v>
      </c>
      <c r="T73" s="14" t="n">
        <v>1015.98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CANON-202511-001830</t>
        </is>
      </c>
      <c r="B74" s="15" t="inlineStr">
        <is>
          <t>2025-11-09</t>
        </is>
      </c>
      <c r="C74" s="15" t="inlineStr">
        <is>
          <t>Saoirse Ashcombe</t>
        </is>
      </c>
      <c r="D74" s="15" t="inlineStr">
        <is>
          <t>MD</t>
        </is>
      </c>
      <c r="E74" s="16" t="n">
        <v>505000</v>
      </c>
      <c r="F74" s="16" t="n">
        <v>5409.5</v>
      </c>
      <c r="G74" s="16" t="n">
        <v>676.1900000000001</v>
      </c>
      <c r="H74" s="16" t="n">
        <v>676.1900000000001</v>
      </c>
      <c r="I74" s="16">
        <f>SUM(K74:T74)</f>
        <v/>
      </c>
      <c r="J74" s="16">
        <f>F74-(G74+H74+I74)</f>
        <v/>
      </c>
      <c r="K74" s="16" t="n">
        <v>405.71</v>
      </c>
      <c r="L74" s="16" t="n">
        <v>405.71</v>
      </c>
      <c r="M74" s="16" t="n">
        <v>405.71</v>
      </c>
      <c r="N74" s="16" t="n">
        <v>405.71</v>
      </c>
      <c r="O74" s="16" t="n">
        <v>405.71</v>
      </c>
      <c r="P74" s="16" t="n">
        <v>405.71</v>
      </c>
      <c r="Q74" s="16" t="n">
        <v>405.71</v>
      </c>
      <c r="R74" s="16" t="n">
        <v>405.71</v>
      </c>
      <c r="S74" s="16" t="n">
        <v>405.71</v>
      </c>
      <c r="T74" s="16" t="n">
        <v>405.71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CANON-202511-001831</t>
        </is>
      </c>
      <c r="B75" s="3" t="inlineStr">
        <is>
          <t>2025-11-04</t>
        </is>
      </c>
      <c r="C75" s="3" t="inlineStr">
        <is>
          <t>Priya Underwood</t>
        </is>
      </c>
      <c r="D75" s="3" t="inlineStr">
        <is>
          <t>IL</t>
        </is>
      </c>
      <c r="E75" s="14" t="n">
        <v>415000</v>
      </c>
      <c r="F75" s="14" t="n">
        <v>7343.05</v>
      </c>
      <c r="G75" s="14" t="n">
        <v>917.88</v>
      </c>
      <c r="H75" s="14" t="n">
        <v>917.88</v>
      </c>
      <c r="I75" s="14">
        <f>SUM(K75:T75)</f>
        <v/>
      </c>
      <c r="J75" s="14">
        <f>F75-(G75+H75+I75)</f>
        <v/>
      </c>
      <c r="K75" s="14" t="n">
        <v>550.73</v>
      </c>
      <c r="L75" s="14" t="n">
        <v>550.73</v>
      </c>
      <c r="M75" s="14" t="n">
        <v>550.73</v>
      </c>
      <c r="N75" s="14" t="n">
        <v>550.73</v>
      </c>
      <c r="O75" s="14" t="n">
        <v>550.73</v>
      </c>
      <c r="P75" s="14" t="n">
        <v>550.73</v>
      </c>
      <c r="Q75" s="14" t="n">
        <v>550.73</v>
      </c>
      <c r="R75" s="14" t="n">
        <v>550.73</v>
      </c>
      <c r="S75" s="14" t="n">
        <v>550.73</v>
      </c>
      <c r="T75" s="14" t="n">
        <v>550.73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CANON-202511-001833</t>
        </is>
      </c>
      <c r="B76" s="15" t="inlineStr">
        <is>
          <t>2025-11-14</t>
        </is>
      </c>
      <c r="C76" s="15" t="inlineStr">
        <is>
          <t>Callum Ashcombe</t>
        </is>
      </c>
      <c r="D76" s="15" t="inlineStr">
        <is>
          <t>CO</t>
        </is>
      </c>
      <c r="E76" s="16" t="n">
        <v>435000</v>
      </c>
      <c r="F76" s="16" t="n">
        <v>6225.47</v>
      </c>
      <c r="G76" s="16" t="n">
        <v>778.1799999999999</v>
      </c>
      <c r="H76" s="16" t="n">
        <v>778.1799999999999</v>
      </c>
      <c r="I76" s="16">
        <f>SUM(K76:T76)</f>
        <v/>
      </c>
      <c r="J76" s="16">
        <f>F76-(G76+H76+I76)</f>
        <v/>
      </c>
      <c r="K76" s="16" t="n">
        <v>466.91</v>
      </c>
      <c r="L76" s="16" t="n">
        <v>466.91</v>
      </c>
      <c r="M76" s="16" t="n">
        <v>466.91</v>
      </c>
      <c r="N76" s="16" t="n">
        <v>466.91</v>
      </c>
      <c r="O76" s="16" t="n">
        <v>466.91</v>
      </c>
      <c r="P76" s="16" t="n">
        <v>466.91</v>
      </c>
      <c r="Q76" s="16" t="n">
        <v>466.91</v>
      </c>
      <c r="R76" s="16" t="n">
        <v>466.91</v>
      </c>
      <c r="S76" s="16" t="n">
        <v>466.91</v>
      </c>
      <c r="T76" s="16" t="n">
        <v>466.91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CANON-202511-001835</t>
        </is>
      </c>
      <c r="B77" s="3" t="inlineStr">
        <is>
          <t>2025-11-23</t>
        </is>
      </c>
      <c r="C77" s="3" t="inlineStr">
        <is>
          <t>Lorenzo Whitlock</t>
        </is>
      </c>
      <c r="D77" s="3" t="inlineStr">
        <is>
          <t>WI</t>
        </is>
      </c>
      <c r="E77" s="14" t="n">
        <v>320000</v>
      </c>
      <c r="F77" s="14" t="n">
        <v>7660.51</v>
      </c>
      <c r="G77" s="14" t="n">
        <v>957.5599999999999</v>
      </c>
      <c r="H77" s="14" t="n">
        <v>957.5599999999999</v>
      </c>
      <c r="I77" s="14">
        <f>SUM(K77:T77)</f>
        <v/>
      </c>
      <c r="J77" s="14">
        <f>F77-(G77+H77+I77)</f>
        <v/>
      </c>
      <c r="K77" s="14" t="n">
        <v>574.54</v>
      </c>
      <c r="L77" s="14" t="n">
        <v>574.54</v>
      </c>
      <c r="M77" s="14" t="n">
        <v>574.54</v>
      </c>
      <c r="N77" s="14" t="n">
        <v>574.54</v>
      </c>
      <c r="O77" s="14" t="n">
        <v>574.54</v>
      </c>
      <c r="P77" s="14" t="n">
        <v>574.54</v>
      </c>
      <c r="Q77" s="14" t="n">
        <v>574.54</v>
      </c>
      <c r="R77" s="14" t="n">
        <v>574.54</v>
      </c>
      <c r="S77" s="14" t="n">
        <v>574.54</v>
      </c>
      <c r="T77" s="14" t="n">
        <v>574.54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CANON-202511-001837</t>
        </is>
      </c>
      <c r="B78" s="15" t="inlineStr">
        <is>
          <t>2025-11-24</t>
        </is>
      </c>
      <c r="C78" s="15" t="inlineStr">
        <is>
          <t>Delphine Blackwood</t>
        </is>
      </c>
      <c r="D78" s="15" t="inlineStr">
        <is>
          <t>NY</t>
        </is>
      </c>
      <c r="E78" s="16" t="n">
        <v>915000</v>
      </c>
      <c r="F78" s="16" t="n">
        <v>13206.05</v>
      </c>
      <c r="G78" s="16" t="n">
        <v>1650.76</v>
      </c>
      <c r="H78" s="16" t="n">
        <v>1650.76</v>
      </c>
      <c r="I78" s="16">
        <f>SUM(K78:T78)</f>
        <v/>
      </c>
      <c r="J78" s="16">
        <f>F78-(G78+H78+I78)</f>
        <v/>
      </c>
      <c r="K78" s="16" t="n">
        <v>990.45</v>
      </c>
      <c r="L78" s="16" t="n">
        <v>990.45</v>
      </c>
      <c r="M78" s="16" t="n">
        <v>990.45</v>
      </c>
      <c r="N78" s="16" t="n">
        <v>990.45</v>
      </c>
      <c r="O78" s="16" t="n">
        <v>990.45</v>
      </c>
      <c r="P78" s="16" t="n">
        <v>990.45</v>
      </c>
      <c r="Q78" s="16" t="n">
        <v>990.45</v>
      </c>
      <c r="R78" s="16" t="n">
        <v>990.45</v>
      </c>
      <c r="S78" s="16" t="n">
        <v>990.45</v>
      </c>
      <c r="T78" s="16" t="n">
        <v>990.45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CANON-202511-001839</t>
        </is>
      </c>
      <c r="B79" s="3" t="inlineStr">
        <is>
          <t>2025-11-15</t>
        </is>
      </c>
      <c r="C79" s="3" t="inlineStr">
        <is>
          <t>Emiliano Kingsford</t>
        </is>
      </c>
      <c r="D79" s="3" t="inlineStr">
        <is>
          <t>CT</t>
        </is>
      </c>
      <c r="E79" s="14" t="n">
        <v>270000</v>
      </c>
      <c r="F79" s="14" t="n">
        <v>3934.34</v>
      </c>
      <c r="G79" s="14" t="n">
        <v>491.79</v>
      </c>
      <c r="H79" s="14" t="n">
        <v>491.79</v>
      </c>
      <c r="I79" s="14">
        <f>SUM(K79:T79)</f>
        <v/>
      </c>
      <c r="J79" s="14">
        <f>F79-(G79+H79+I79)</f>
        <v/>
      </c>
      <c r="K79" s="14" t="n">
        <v>295.08</v>
      </c>
      <c r="L79" s="14" t="n">
        <v>295.08</v>
      </c>
      <c r="M79" s="14" t="n">
        <v>295.08</v>
      </c>
      <c r="N79" s="14" t="n">
        <v>295.08</v>
      </c>
      <c r="O79" s="14" t="n">
        <v>295.08</v>
      </c>
      <c r="P79" s="14" t="n">
        <v>295.08</v>
      </c>
      <c r="Q79" s="14" t="n">
        <v>295.08</v>
      </c>
      <c r="R79" s="14" t="n">
        <v>295.08</v>
      </c>
      <c r="S79" s="14" t="n">
        <v>295.08</v>
      </c>
      <c r="T79" s="14" t="n">
        <v>295.08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CANON-202511-001840</t>
        </is>
      </c>
      <c r="B80" s="15" t="inlineStr">
        <is>
          <t>2025-11-06</t>
        </is>
      </c>
      <c r="C80" s="15" t="inlineStr">
        <is>
          <t>Callum Merriweather</t>
        </is>
      </c>
      <c r="D80" s="15" t="inlineStr">
        <is>
          <t>AL</t>
        </is>
      </c>
      <c r="E80" s="16" t="n">
        <v>620000</v>
      </c>
      <c r="F80" s="16" t="n">
        <v>5873.44</v>
      </c>
      <c r="G80" s="16" t="n">
        <v>734.1799999999999</v>
      </c>
      <c r="H80" s="16" t="n">
        <v>734.1799999999999</v>
      </c>
      <c r="I80" s="16">
        <f>SUM(K80:T80)</f>
        <v/>
      </c>
      <c r="J80" s="16">
        <f>F80-(G80+H80+I80)</f>
        <v/>
      </c>
      <c r="K80" s="16" t="n">
        <v>440.51</v>
      </c>
      <c r="L80" s="16" t="n">
        <v>440.51</v>
      </c>
      <c r="M80" s="16" t="n">
        <v>440.51</v>
      </c>
      <c r="N80" s="16" t="n">
        <v>440.51</v>
      </c>
      <c r="O80" s="16" t="n">
        <v>440.51</v>
      </c>
      <c r="P80" s="16" t="n">
        <v>440.51</v>
      </c>
      <c r="Q80" s="16" t="n">
        <v>440.51</v>
      </c>
      <c r="R80" s="16" t="n">
        <v>440.51</v>
      </c>
      <c r="S80" s="16" t="n">
        <v>440.51</v>
      </c>
      <c r="T80" s="16" t="n">
        <v>440.51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CANON-202511-001841</t>
        </is>
      </c>
      <c r="B81" s="3" t="inlineStr">
        <is>
          <t>2025-11-04</t>
        </is>
      </c>
      <c r="C81" s="3" t="inlineStr">
        <is>
          <t>Anouk Vandermeer</t>
        </is>
      </c>
      <c r="D81" s="3" t="inlineStr">
        <is>
          <t>AR</t>
        </is>
      </c>
      <c r="E81" s="14" t="n">
        <v>985000</v>
      </c>
      <c r="F81" s="14" t="n">
        <v>15327</v>
      </c>
      <c r="G81" s="14" t="n">
        <v>1915.88</v>
      </c>
      <c r="H81" s="14" t="n">
        <v>1915.88</v>
      </c>
      <c r="I81" s="14">
        <f>SUM(K81:T81)</f>
        <v/>
      </c>
      <c r="J81" s="14">
        <f>F81-(G81+H81+I81)</f>
        <v/>
      </c>
      <c r="K81" s="14" t="n">
        <v>1149.52</v>
      </c>
      <c r="L81" s="14" t="n">
        <v>1149.52</v>
      </c>
      <c r="M81" s="14" t="n">
        <v>1149.52</v>
      </c>
      <c r="N81" s="14" t="n">
        <v>1149.52</v>
      </c>
      <c r="O81" s="14" t="n">
        <v>1149.52</v>
      </c>
      <c r="P81" s="14" t="n">
        <v>1149.52</v>
      </c>
      <c r="Q81" s="14" t="n">
        <v>1149.52</v>
      </c>
      <c r="R81" s="14" t="n">
        <v>1149.52</v>
      </c>
      <c r="S81" s="14" t="n">
        <v>1149.52</v>
      </c>
      <c r="T81" s="14" t="n">
        <v>1149.52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CANON-202511-001843</t>
        </is>
      </c>
      <c r="B82" s="15" t="inlineStr">
        <is>
          <t>2025-11-08</t>
        </is>
      </c>
      <c r="C82" s="15" t="inlineStr">
        <is>
          <t>Priya Fairweather</t>
        </is>
      </c>
      <c r="D82" s="15" t="inlineStr">
        <is>
          <t>VT</t>
        </is>
      </c>
      <c r="E82" s="16" t="n">
        <v>1195000</v>
      </c>
      <c r="F82" s="16" t="n">
        <v>13909.74</v>
      </c>
      <c r="G82" s="16" t="n">
        <v>1738.72</v>
      </c>
      <c r="H82" s="16" t="n">
        <v>1738.72</v>
      </c>
      <c r="I82" s="16">
        <f>SUM(K82:T82)</f>
        <v/>
      </c>
      <c r="J82" s="16">
        <f>F82-(G82+H82+I82)</f>
        <v/>
      </c>
      <c r="K82" s="16" t="n">
        <v>1043.23</v>
      </c>
      <c r="L82" s="16" t="n">
        <v>1043.23</v>
      </c>
      <c r="M82" s="16" t="n">
        <v>1043.23</v>
      </c>
      <c r="N82" s="16" t="n">
        <v>1043.23</v>
      </c>
      <c r="O82" s="16" t="n">
        <v>1043.23</v>
      </c>
      <c r="P82" s="16" t="n">
        <v>1043.23</v>
      </c>
      <c r="Q82" s="16" t="n">
        <v>1043.23</v>
      </c>
      <c r="R82" s="16" t="n">
        <v>1043.23</v>
      </c>
      <c r="S82" s="16" t="n">
        <v>1043.23</v>
      </c>
      <c r="T82" s="16" t="n">
        <v>1043.23</v>
      </c>
      <c r="U82" s="16" t="n">
        <v>350</v>
      </c>
      <c r="V82" s="16" t="n">
        <v>250</v>
      </c>
      <c r="W82" s="16">
        <f>U82+V82</f>
        <v/>
      </c>
    </row>
    <row r="83">
      <c r="A83" s="3" t="inlineStr">
        <is>
          <t>CANON-202511-001844</t>
        </is>
      </c>
      <c r="B83" s="3" t="inlineStr">
        <is>
          <t>2025-11-15</t>
        </is>
      </c>
      <c r="C83" s="3" t="inlineStr">
        <is>
          <t>Cassius Vandermeer</t>
        </is>
      </c>
      <c r="D83" s="3" t="inlineStr">
        <is>
          <t>LA</t>
        </is>
      </c>
      <c r="E83" s="14" t="n">
        <v>615000</v>
      </c>
      <c r="F83" s="14" t="n">
        <v>8390.780000000001</v>
      </c>
      <c r="G83" s="14" t="n">
        <v>1048.85</v>
      </c>
      <c r="H83" s="14" t="n">
        <v>1048.85</v>
      </c>
      <c r="I83" s="14">
        <f>SUM(K83:T83)</f>
        <v/>
      </c>
      <c r="J83" s="14">
        <f>F83-(G83+H83+I83)</f>
        <v/>
      </c>
      <c r="K83" s="14" t="n">
        <v>629.3099999999999</v>
      </c>
      <c r="L83" s="14" t="n">
        <v>629.3099999999999</v>
      </c>
      <c r="M83" s="14" t="n">
        <v>629.3099999999999</v>
      </c>
      <c r="N83" s="14" t="n">
        <v>629.3099999999999</v>
      </c>
      <c r="O83" s="14" t="n">
        <v>629.3099999999999</v>
      </c>
      <c r="P83" s="14" t="n">
        <v>629.3099999999999</v>
      </c>
      <c r="Q83" s="14" t="n">
        <v>629.3099999999999</v>
      </c>
      <c r="R83" s="14" t="n">
        <v>629.3099999999999</v>
      </c>
      <c r="S83" s="14" t="n">
        <v>629.3099999999999</v>
      </c>
      <c r="T83" s="14" t="n">
        <v>629.3099999999999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CANON-202511-001845</t>
        </is>
      </c>
      <c r="B84" s="15" t="inlineStr">
        <is>
          <t>2025-11-15</t>
        </is>
      </c>
      <c r="C84" s="15" t="inlineStr">
        <is>
          <t>Mireille Montoya</t>
        </is>
      </c>
      <c r="D84" s="15" t="inlineStr">
        <is>
          <t>FL</t>
        </is>
      </c>
      <c r="E84" s="16" t="n">
        <v>495000</v>
      </c>
      <c r="F84" s="16" t="n">
        <v>9145</v>
      </c>
      <c r="G84" s="16" t="n">
        <v>1143.12</v>
      </c>
      <c r="H84" s="16" t="n">
        <v>1143.12</v>
      </c>
      <c r="I84" s="16">
        <f>SUM(K84:T84)</f>
        <v/>
      </c>
      <c r="J84" s="16">
        <f>F84-(G84+H84+I84)</f>
        <v/>
      </c>
      <c r="K84" s="16" t="n">
        <v>685.88</v>
      </c>
      <c r="L84" s="16" t="n">
        <v>685.88</v>
      </c>
      <c r="M84" s="16" t="n">
        <v>685.88</v>
      </c>
      <c r="N84" s="16" t="n">
        <v>685.88</v>
      </c>
      <c r="O84" s="16" t="n">
        <v>685.88</v>
      </c>
      <c r="P84" s="16" t="n">
        <v>685.88</v>
      </c>
      <c r="Q84" s="16" t="n">
        <v>685.88</v>
      </c>
      <c r="R84" s="16" t="n">
        <v>685.88</v>
      </c>
      <c r="S84" s="16" t="n">
        <v>685.88</v>
      </c>
      <c r="T84" s="16" t="n">
        <v>685.88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CANON-202511-001847</t>
        </is>
      </c>
      <c r="B85" s="3" t="inlineStr">
        <is>
          <t>2025-11-03</t>
        </is>
      </c>
      <c r="C85" s="3" t="inlineStr">
        <is>
          <t>Wilhelmina Castellanos</t>
        </is>
      </c>
      <c r="D85" s="3" t="inlineStr">
        <is>
          <t>CA</t>
        </is>
      </c>
      <c r="E85" s="14" t="n">
        <v>305000</v>
      </c>
      <c r="F85" s="14" t="n">
        <v>5357.02</v>
      </c>
      <c r="G85" s="14" t="n">
        <v>669.63</v>
      </c>
      <c r="H85" s="14" t="n">
        <v>669.63</v>
      </c>
      <c r="I85" s="14">
        <f>SUM(K85:T85)</f>
        <v/>
      </c>
      <c r="J85" s="14">
        <f>F85-(G85+H85+I85)</f>
        <v/>
      </c>
      <c r="K85" s="14" t="n">
        <v>401.78</v>
      </c>
      <c r="L85" s="14" t="n">
        <v>401.78</v>
      </c>
      <c r="M85" s="14" t="n">
        <v>401.78</v>
      </c>
      <c r="N85" s="14" t="n">
        <v>401.78</v>
      </c>
      <c r="O85" s="14" t="n">
        <v>401.78</v>
      </c>
      <c r="P85" s="14" t="n">
        <v>401.78</v>
      </c>
      <c r="Q85" s="14" t="n">
        <v>401.78</v>
      </c>
      <c r="R85" s="14" t="n">
        <v>401.78</v>
      </c>
      <c r="S85" s="14" t="n">
        <v>401.78</v>
      </c>
      <c r="T85" s="14" t="n">
        <v>401.78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CANON-202511-001848</t>
        </is>
      </c>
      <c r="B86" s="15" t="inlineStr">
        <is>
          <t>2025-11-25</t>
        </is>
      </c>
      <c r="C86" s="15" t="inlineStr">
        <is>
          <t>Sunniva Farkas</t>
        </is>
      </c>
      <c r="D86" s="15" t="inlineStr">
        <is>
          <t>MN</t>
        </is>
      </c>
      <c r="E86" s="16" t="n">
        <v>460000</v>
      </c>
      <c r="F86" s="16" t="n">
        <v>7899.9</v>
      </c>
      <c r="G86" s="16" t="n">
        <v>987.49</v>
      </c>
      <c r="H86" s="16" t="n">
        <v>987.49</v>
      </c>
      <c r="I86" s="16">
        <f>SUM(K86:T86)</f>
        <v/>
      </c>
      <c r="J86" s="16">
        <f>F86-(G86+H86+I86)</f>
        <v/>
      </c>
      <c r="K86" s="16" t="n">
        <v>592.49</v>
      </c>
      <c r="L86" s="16" t="n">
        <v>592.49</v>
      </c>
      <c r="M86" s="16" t="n">
        <v>592.49</v>
      </c>
      <c r="N86" s="16" t="n">
        <v>592.49</v>
      </c>
      <c r="O86" s="16" t="n">
        <v>592.49</v>
      </c>
      <c r="P86" s="16" t="n">
        <v>592.49</v>
      </c>
      <c r="Q86" s="16" t="n">
        <v>592.49</v>
      </c>
      <c r="R86" s="16" t="n">
        <v>592.49</v>
      </c>
      <c r="S86" s="16" t="n">
        <v>592.49</v>
      </c>
      <c r="T86" s="16" t="n">
        <v>592.49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CANON-202511-001849</t>
        </is>
      </c>
      <c r="B87" s="3" t="inlineStr">
        <is>
          <t>2025-11-26</t>
        </is>
      </c>
      <c r="C87" s="3" t="inlineStr">
        <is>
          <t>Desmond Okonkwo</t>
        </is>
      </c>
      <c r="D87" s="3" t="inlineStr">
        <is>
          <t>IA</t>
        </is>
      </c>
      <c r="E87" s="14" t="n">
        <v>695000</v>
      </c>
      <c r="F87" s="14" t="n">
        <v>8620.24</v>
      </c>
      <c r="G87" s="14" t="n">
        <v>1077.53</v>
      </c>
      <c r="H87" s="14" t="n">
        <v>1077.53</v>
      </c>
      <c r="I87" s="14">
        <f>SUM(K87:T87)</f>
        <v/>
      </c>
      <c r="J87" s="14">
        <f>F87-(G87+H87+I87)</f>
        <v/>
      </c>
      <c r="K87" s="14" t="n">
        <v>646.52</v>
      </c>
      <c r="L87" s="14" t="n">
        <v>646.52</v>
      </c>
      <c r="M87" s="14" t="n">
        <v>646.52</v>
      </c>
      <c r="N87" s="14" t="n">
        <v>646.52</v>
      </c>
      <c r="O87" s="14" t="n">
        <v>646.52</v>
      </c>
      <c r="P87" s="14" t="n">
        <v>646.52</v>
      </c>
      <c r="Q87" s="14" t="n">
        <v>646.52</v>
      </c>
      <c r="R87" s="14" t="n">
        <v>646.52</v>
      </c>
      <c r="S87" s="14" t="n">
        <v>646.52</v>
      </c>
      <c r="T87" s="14" t="n">
        <v>646.52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CANON-202511-001850</t>
        </is>
      </c>
      <c r="B88" s="15" t="inlineStr">
        <is>
          <t>2025-11-19</t>
        </is>
      </c>
      <c r="C88" s="15" t="inlineStr">
        <is>
          <t>Beatrix Fairweather</t>
        </is>
      </c>
      <c r="D88" s="15" t="inlineStr">
        <is>
          <t>LA</t>
        </is>
      </c>
      <c r="E88" s="16" t="n">
        <v>715000</v>
      </c>
      <c r="F88" s="16" t="n">
        <v>14257.51</v>
      </c>
      <c r="G88" s="16" t="n">
        <v>1782.19</v>
      </c>
      <c r="H88" s="16" t="n">
        <v>1782.19</v>
      </c>
      <c r="I88" s="16">
        <f>SUM(K88:T88)</f>
        <v/>
      </c>
      <c r="J88" s="16">
        <f>F88-(G88+H88+I88)</f>
        <v/>
      </c>
      <c r="K88" s="16" t="n">
        <v>1069.31</v>
      </c>
      <c r="L88" s="16" t="n">
        <v>1069.31</v>
      </c>
      <c r="M88" s="16" t="n">
        <v>1069.31</v>
      </c>
      <c r="N88" s="16" t="n">
        <v>1069.31</v>
      </c>
      <c r="O88" s="16" t="n">
        <v>1069.31</v>
      </c>
      <c r="P88" s="16" t="n">
        <v>1069.31</v>
      </c>
      <c r="Q88" s="16" t="n">
        <v>1069.31</v>
      </c>
      <c r="R88" s="16" t="n">
        <v>1069.31</v>
      </c>
      <c r="S88" s="16" t="n">
        <v>1069.31</v>
      </c>
      <c r="T88" s="16" t="n">
        <v>1069.31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CANON-202511-001851</t>
        </is>
      </c>
      <c r="B89" s="3" t="inlineStr">
        <is>
          <t>2025-11-10</t>
        </is>
      </c>
      <c r="C89" s="3" t="inlineStr">
        <is>
          <t>Mireille Nakashima</t>
        </is>
      </c>
      <c r="D89" s="3" t="inlineStr">
        <is>
          <t>HI</t>
        </is>
      </c>
      <c r="E89" s="14" t="n">
        <v>1395000</v>
      </c>
      <c r="F89" s="14" t="n">
        <v>21392.19</v>
      </c>
      <c r="G89" s="14" t="n">
        <v>2674.02</v>
      </c>
      <c r="H89" s="14" t="n">
        <v>2674.02</v>
      </c>
      <c r="I89" s="14">
        <f>SUM(K89:T89)</f>
        <v/>
      </c>
      <c r="J89" s="14">
        <f>F89-(G89+H89+I89)</f>
        <v/>
      </c>
      <c r="K89" s="14" t="n">
        <v>1604.41</v>
      </c>
      <c r="L89" s="14" t="n">
        <v>1604.41</v>
      </c>
      <c r="M89" s="14" t="n">
        <v>1604.41</v>
      </c>
      <c r="N89" s="14" t="n">
        <v>1604.41</v>
      </c>
      <c r="O89" s="14" t="n">
        <v>1604.41</v>
      </c>
      <c r="P89" s="14" t="n">
        <v>1604.41</v>
      </c>
      <c r="Q89" s="14" t="n">
        <v>1604.41</v>
      </c>
      <c r="R89" s="14" t="n">
        <v>1604.41</v>
      </c>
      <c r="S89" s="14" t="n">
        <v>1604.41</v>
      </c>
      <c r="T89" s="14" t="n">
        <v>1604.41</v>
      </c>
      <c r="U89" s="14" t="n">
        <v>350</v>
      </c>
      <c r="V89" s="14" t="n">
        <v>250</v>
      </c>
      <c r="W89" s="14">
        <f>U89+V89</f>
        <v/>
      </c>
    </row>
    <row r="90">
      <c r="A90" s="15" t="inlineStr">
        <is>
          <t>CANON-202511-001852</t>
        </is>
      </c>
      <c r="B90" s="15" t="inlineStr">
        <is>
          <t>2025-11-30</t>
        </is>
      </c>
      <c r="C90" s="15" t="inlineStr">
        <is>
          <t>Ottilie Chattopadhyay</t>
        </is>
      </c>
      <c r="D90" s="15" t="inlineStr">
        <is>
          <t>OR</t>
        </is>
      </c>
      <c r="E90" s="16" t="n">
        <v>330000</v>
      </c>
      <c r="F90" s="16" t="n">
        <v>4851.57</v>
      </c>
      <c r="G90" s="16" t="n">
        <v>606.45</v>
      </c>
      <c r="H90" s="16" t="n">
        <v>606.45</v>
      </c>
      <c r="I90" s="16">
        <f>SUM(K90:T90)</f>
        <v/>
      </c>
      <c r="J90" s="16">
        <f>F90-(G90+H90+I90)</f>
        <v/>
      </c>
      <c r="K90" s="16" t="n">
        <v>363.87</v>
      </c>
      <c r="L90" s="16" t="n">
        <v>363.87</v>
      </c>
      <c r="M90" s="16" t="n">
        <v>363.87</v>
      </c>
      <c r="N90" s="16" t="n">
        <v>363.87</v>
      </c>
      <c r="O90" s="16" t="n">
        <v>363.87</v>
      </c>
      <c r="P90" s="16" t="n">
        <v>363.87</v>
      </c>
      <c r="Q90" s="16" t="n">
        <v>363.87</v>
      </c>
      <c r="R90" s="16" t="n">
        <v>363.87</v>
      </c>
      <c r="S90" s="16" t="n">
        <v>363.87</v>
      </c>
      <c r="T90" s="16" t="n">
        <v>363.87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CANON-202511-001853</t>
        </is>
      </c>
      <c r="B91" s="3" t="inlineStr">
        <is>
          <t>2025-11-15</t>
        </is>
      </c>
      <c r="C91" s="3" t="inlineStr">
        <is>
          <t>Thaddeus Nakashima</t>
        </is>
      </c>
      <c r="D91" s="3" t="inlineStr">
        <is>
          <t>WI</t>
        </is>
      </c>
      <c r="E91" s="14" t="n">
        <v>345000</v>
      </c>
      <c r="F91" s="14" t="n">
        <v>3447.23</v>
      </c>
      <c r="G91" s="14" t="n">
        <v>430.9</v>
      </c>
      <c r="H91" s="14" t="n">
        <v>430.9</v>
      </c>
      <c r="I91" s="14">
        <f>SUM(K91:T91)</f>
        <v/>
      </c>
      <c r="J91" s="14">
        <f>F91-(G91+H91+I91)</f>
        <v/>
      </c>
      <c r="K91" s="14" t="n">
        <v>258.54</v>
      </c>
      <c r="L91" s="14" t="n">
        <v>258.54</v>
      </c>
      <c r="M91" s="14" t="n">
        <v>258.54</v>
      </c>
      <c r="N91" s="14" t="n">
        <v>258.54</v>
      </c>
      <c r="O91" s="14" t="n">
        <v>258.54</v>
      </c>
      <c r="P91" s="14" t="n">
        <v>258.54</v>
      </c>
      <c r="Q91" s="14" t="n">
        <v>258.54</v>
      </c>
      <c r="R91" s="14" t="n">
        <v>258.54</v>
      </c>
      <c r="S91" s="14" t="n">
        <v>258.54</v>
      </c>
      <c r="T91" s="14" t="n">
        <v>258.54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CANON-202511-001854</t>
        </is>
      </c>
      <c r="B92" s="15" t="inlineStr">
        <is>
          <t>2025-11-14</t>
        </is>
      </c>
      <c r="C92" s="15" t="inlineStr">
        <is>
          <t>Marisol Chattopadhyay</t>
        </is>
      </c>
      <c r="D92" s="15" t="inlineStr">
        <is>
          <t>MA</t>
        </is>
      </c>
      <c r="E92" s="16" t="n">
        <v>750000</v>
      </c>
      <c r="F92" s="16" t="n">
        <v>12685.12</v>
      </c>
      <c r="G92" s="16" t="n">
        <v>1585.64</v>
      </c>
      <c r="H92" s="16" t="n">
        <v>1585.64</v>
      </c>
      <c r="I92" s="16">
        <f>SUM(K92:T92)</f>
        <v/>
      </c>
      <c r="J92" s="16">
        <f>F92-(G92+H92+I92)</f>
        <v/>
      </c>
      <c r="K92" s="16" t="n">
        <v>951.38</v>
      </c>
      <c r="L92" s="16" t="n">
        <v>951.38</v>
      </c>
      <c r="M92" s="16" t="n">
        <v>951.38</v>
      </c>
      <c r="N92" s="16" t="n">
        <v>951.38</v>
      </c>
      <c r="O92" s="16" t="n">
        <v>951.38</v>
      </c>
      <c r="P92" s="16" t="n">
        <v>951.38</v>
      </c>
      <c r="Q92" s="16" t="n">
        <v>951.38</v>
      </c>
      <c r="R92" s="16" t="n">
        <v>951.38</v>
      </c>
      <c r="S92" s="16" t="n">
        <v>951.38</v>
      </c>
      <c r="T92" s="16" t="n">
        <v>951.38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CANON-202511-001855</t>
        </is>
      </c>
      <c r="B93" s="3" t="inlineStr">
        <is>
          <t>2025-11-05</t>
        </is>
      </c>
      <c r="C93" s="3" t="inlineStr">
        <is>
          <t>Leopold Harrington</t>
        </is>
      </c>
      <c r="D93" s="3" t="inlineStr">
        <is>
          <t>NY</t>
        </is>
      </c>
      <c r="E93" s="14" t="n">
        <v>710000</v>
      </c>
      <c r="F93" s="14" t="n">
        <v>6778.99</v>
      </c>
      <c r="G93" s="14" t="n">
        <v>847.37</v>
      </c>
      <c r="H93" s="14" t="n">
        <v>847.37</v>
      </c>
      <c r="I93" s="14">
        <f>SUM(K93:T93)</f>
        <v/>
      </c>
      <c r="J93" s="14">
        <f>F93-(G93+H93+I93)</f>
        <v/>
      </c>
      <c r="K93" s="14" t="n">
        <v>508.42</v>
      </c>
      <c r="L93" s="14" t="n">
        <v>508.42</v>
      </c>
      <c r="M93" s="14" t="n">
        <v>508.42</v>
      </c>
      <c r="N93" s="14" t="n">
        <v>508.42</v>
      </c>
      <c r="O93" s="14" t="n">
        <v>508.42</v>
      </c>
      <c r="P93" s="14" t="n">
        <v>508.42</v>
      </c>
      <c r="Q93" s="14" t="n">
        <v>508.42</v>
      </c>
      <c r="R93" s="14" t="n">
        <v>508.42</v>
      </c>
      <c r="S93" s="14" t="n">
        <v>508.42</v>
      </c>
      <c r="T93" s="14" t="n">
        <v>508.42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CANON-202511-001857</t>
        </is>
      </c>
      <c r="B94" s="15" t="inlineStr">
        <is>
          <t>2025-11-22</t>
        </is>
      </c>
      <c r="C94" s="15" t="inlineStr">
        <is>
          <t>Ottilie Rourke</t>
        </is>
      </c>
      <c r="D94" s="15" t="inlineStr">
        <is>
          <t>MT</t>
        </is>
      </c>
      <c r="E94" s="16" t="n">
        <v>170000</v>
      </c>
      <c r="F94" s="16" t="n">
        <v>2523.18</v>
      </c>
      <c r="G94" s="16" t="n">
        <v>315.4</v>
      </c>
      <c r="H94" s="16" t="n">
        <v>315.4</v>
      </c>
      <c r="I94" s="16">
        <f>SUM(K94:T94)</f>
        <v/>
      </c>
      <c r="J94" s="16">
        <f>F94-(G94+H94+I94)</f>
        <v/>
      </c>
      <c r="K94" s="16" t="n">
        <v>189.24</v>
      </c>
      <c r="L94" s="16" t="n">
        <v>189.24</v>
      </c>
      <c r="M94" s="16" t="n">
        <v>189.24</v>
      </c>
      <c r="N94" s="16" t="n">
        <v>189.24</v>
      </c>
      <c r="O94" s="16" t="n">
        <v>189.24</v>
      </c>
      <c r="P94" s="16" t="n">
        <v>189.24</v>
      </c>
      <c r="Q94" s="16" t="n">
        <v>189.24</v>
      </c>
      <c r="R94" s="16" t="n">
        <v>189.24</v>
      </c>
      <c r="S94" s="16" t="n">
        <v>189.24</v>
      </c>
      <c r="T94" s="16" t="n">
        <v>189.24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CANON-202511-001858</t>
        </is>
      </c>
      <c r="B95" s="3" t="inlineStr">
        <is>
          <t>2025-11-16</t>
        </is>
      </c>
      <c r="C95" s="3" t="inlineStr">
        <is>
          <t>Callum Bellandi</t>
        </is>
      </c>
      <c r="D95" s="3" t="inlineStr">
        <is>
          <t>RI</t>
        </is>
      </c>
      <c r="E95" s="14" t="n">
        <v>400000</v>
      </c>
      <c r="F95" s="14" t="n">
        <v>7129.69</v>
      </c>
      <c r="G95" s="14" t="n">
        <v>891.21</v>
      </c>
      <c r="H95" s="14" t="n">
        <v>891.21</v>
      </c>
      <c r="I95" s="14">
        <f>SUM(K95:T95)</f>
        <v/>
      </c>
      <c r="J95" s="14">
        <f>F95-(G95+H95+I95)</f>
        <v/>
      </c>
      <c r="K95" s="14" t="n">
        <v>534.73</v>
      </c>
      <c r="L95" s="14" t="n">
        <v>534.73</v>
      </c>
      <c r="M95" s="14" t="n">
        <v>534.73</v>
      </c>
      <c r="N95" s="14" t="n">
        <v>534.73</v>
      </c>
      <c r="O95" s="14" t="n">
        <v>534.73</v>
      </c>
      <c r="P95" s="14" t="n">
        <v>534.73</v>
      </c>
      <c r="Q95" s="14" t="n">
        <v>534.73</v>
      </c>
      <c r="R95" s="14" t="n">
        <v>534.73</v>
      </c>
      <c r="S95" s="14" t="n">
        <v>534.73</v>
      </c>
      <c r="T95" s="14" t="n">
        <v>534.73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CANON-202511-001859</t>
        </is>
      </c>
      <c r="B96" s="15" t="inlineStr">
        <is>
          <t>2025-11-02</t>
        </is>
      </c>
      <c r="C96" s="15" t="inlineStr">
        <is>
          <t>Thaddeus Merriweather</t>
        </is>
      </c>
      <c r="D96" s="15" t="inlineStr">
        <is>
          <t>MA</t>
        </is>
      </c>
      <c r="E96" s="16" t="n">
        <v>610000</v>
      </c>
      <c r="F96" s="16" t="n">
        <v>8597.700000000001</v>
      </c>
      <c r="G96" s="16" t="n">
        <v>1074.71</v>
      </c>
      <c r="H96" s="16" t="n">
        <v>1074.71</v>
      </c>
      <c r="I96" s="16">
        <f>SUM(K96:T96)</f>
        <v/>
      </c>
      <c r="J96" s="16">
        <f>F96-(G96+H96+I96)</f>
        <v/>
      </c>
      <c r="K96" s="16" t="n">
        <v>644.83</v>
      </c>
      <c r="L96" s="16" t="n">
        <v>644.83</v>
      </c>
      <c r="M96" s="16" t="n">
        <v>644.83</v>
      </c>
      <c r="N96" s="16" t="n">
        <v>644.83</v>
      </c>
      <c r="O96" s="16" t="n">
        <v>644.83</v>
      </c>
      <c r="P96" s="16" t="n">
        <v>644.83</v>
      </c>
      <c r="Q96" s="16" t="n">
        <v>644.83</v>
      </c>
      <c r="R96" s="16" t="n">
        <v>644.83</v>
      </c>
      <c r="S96" s="16" t="n">
        <v>644.83</v>
      </c>
      <c r="T96" s="16" t="n">
        <v>644.83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CANON-202511-001860</t>
        </is>
      </c>
      <c r="B97" s="3" t="inlineStr">
        <is>
          <t>2025-11-26</t>
        </is>
      </c>
      <c r="C97" s="3" t="inlineStr">
        <is>
          <t>Ottilie Nakashima</t>
        </is>
      </c>
      <c r="D97" s="3" t="inlineStr">
        <is>
          <t>WA</t>
        </is>
      </c>
      <c r="E97" s="14" t="n">
        <v>1685000</v>
      </c>
      <c r="F97" s="14" t="n">
        <v>22448.62</v>
      </c>
      <c r="G97" s="14" t="n">
        <v>2806.08</v>
      </c>
      <c r="H97" s="14" t="n">
        <v>2806.08</v>
      </c>
      <c r="I97" s="14">
        <f>SUM(K97:T97)</f>
        <v/>
      </c>
      <c r="J97" s="14">
        <f>F97-(G97+H97+I97)</f>
        <v/>
      </c>
      <c r="K97" s="14" t="n">
        <v>1683.65</v>
      </c>
      <c r="L97" s="14" t="n">
        <v>1683.65</v>
      </c>
      <c r="M97" s="14" t="n">
        <v>1683.65</v>
      </c>
      <c r="N97" s="14" t="n">
        <v>1683.65</v>
      </c>
      <c r="O97" s="14" t="n">
        <v>1683.65</v>
      </c>
      <c r="P97" s="14" t="n">
        <v>1683.65</v>
      </c>
      <c r="Q97" s="14" t="n">
        <v>1683.65</v>
      </c>
      <c r="R97" s="14" t="n">
        <v>1683.65</v>
      </c>
      <c r="S97" s="14" t="n">
        <v>1683.65</v>
      </c>
      <c r="T97" s="14" t="n">
        <v>1683.65</v>
      </c>
      <c r="U97" s="14" t="n">
        <v>350</v>
      </c>
      <c r="V97" s="14" t="n">
        <v>250</v>
      </c>
      <c r="W97" s="14">
        <f>U97+V97</f>
        <v/>
      </c>
    </row>
    <row r="98">
      <c r="A98" s="15" t="inlineStr">
        <is>
          <t>CANON-202511-001861</t>
        </is>
      </c>
      <c r="B98" s="15" t="inlineStr">
        <is>
          <t>2025-11-04</t>
        </is>
      </c>
      <c r="C98" s="15" t="inlineStr">
        <is>
          <t>Wilhelmina Ashcombe</t>
        </is>
      </c>
      <c r="D98" s="15" t="inlineStr">
        <is>
          <t>VA</t>
        </is>
      </c>
      <c r="E98" s="16" t="n">
        <v>270000</v>
      </c>
      <c r="F98" s="16" t="n">
        <v>3828.95</v>
      </c>
      <c r="G98" s="16" t="n">
        <v>478.62</v>
      </c>
      <c r="H98" s="16" t="n">
        <v>478.62</v>
      </c>
      <c r="I98" s="16">
        <f>SUM(K98:T98)</f>
        <v/>
      </c>
      <c r="J98" s="16">
        <f>F98-(G98+H98+I98)</f>
        <v/>
      </c>
      <c r="K98" s="16" t="n">
        <v>287.17</v>
      </c>
      <c r="L98" s="16" t="n">
        <v>287.17</v>
      </c>
      <c r="M98" s="16" t="n">
        <v>287.17</v>
      </c>
      <c r="N98" s="16" t="n">
        <v>287.17</v>
      </c>
      <c r="O98" s="16" t="n">
        <v>287.17</v>
      </c>
      <c r="P98" s="16" t="n">
        <v>287.17</v>
      </c>
      <c r="Q98" s="16" t="n">
        <v>287.17</v>
      </c>
      <c r="R98" s="16" t="n">
        <v>287.17</v>
      </c>
      <c r="S98" s="16" t="n">
        <v>287.17</v>
      </c>
      <c r="T98" s="16" t="n">
        <v>287.17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CANON-202511-001862</t>
        </is>
      </c>
      <c r="B99" s="3" t="inlineStr">
        <is>
          <t>2025-11-21</t>
        </is>
      </c>
      <c r="C99" s="3" t="inlineStr">
        <is>
          <t>Noor Harrington</t>
        </is>
      </c>
      <c r="D99" s="3" t="inlineStr">
        <is>
          <t>AL</t>
        </is>
      </c>
      <c r="E99" s="14" t="n">
        <v>500000</v>
      </c>
      <c r="F99" s="14" t="n">
        <v>7160.05</v>
      </c>
      <c r="G99" s="14" t="n">
        <v>895.01</v>
      </c>
      <c r="H99" s="14" t="n">
        <v>895.01</v>
      </c>
      <c r="I99" s="14">
        <f>SUM(K99:T99)</f>
        <v/>
      </c>
      <c r="J99" s="14">
        <f>F99-(G99+H99+I99)</f>
        <v/>
      </c>
      <c r="K99" s="14" t="n">
        <v>537</v>
      </c>
      <c r="L99" s="14" t="n">
        <v>537</v>
      </c>
      <c r="M99" s="14" t="n">
        <v>537</v>
      </c>
      <c r="N99" s="14" t="n">
        <v>537</v>
      </c>
      <c r="O99" s="14" t="n">
        <v>537</v>
      </c>
      <c r="P99" s="14" t="n">
        <v>537</v>
      </c>
      <c r="Q99" s="14" t="n">
        <v>537</v>
      </c>
      <c r="R99" s="14" t="n">
        <v>537</v>
      </c>
      <c r="S99" s="14" t="n">
        <v>537</v>
      </c>
      <c r="T99" s="14" t="n">
        <v>537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CANON-202511-001864</t>
        </is>
      </c>
      <c r="B100" s="15" t="inlineStr">
        <is>
          <t>2025-11-19</t>
        </is>
      </c>
      <c r="C100" s="15" t="inlineStr">
        <is>
          <t>Callum Harrington</t>
        </is>
      </c>
      <c r="D100" s="15" t="inlineStr">
        <is>
          <t>NJ</t>
        </is>
      </c>
      <c r="E100" s="16" t="n">
        <v>635000</v>
      </c>
      <c r="F100" s="16" t="n">
        <v>6515.64</v>
      </c>
      <c r="G100" s="16" t="n">
        <v>814.46</v>
      </c>
      <c r="H100" s="16" t="n">
        <v>814.46</v>
      </c>
      <c r="I100" s="16">
        <f>SUM(K100:T100)</f>
        <v/>
      </c>
      <c r="J100" s="16">
        <f>F100-(G100+H100+I100)</f>
        <v/>
      </c>
      <c r="K100" s="16" t="n">
        <v>488.67</v>
      </c>
      <c r="L100" s="16" t="n">
        <v>488.67</v>
      </c>
      <c r="M100" s="16" t="n">
        <v>488.67</v>
      </c>
      <c r="N100" s="16" t="n">
        <v>488.67</v>
      </c>
      <c r="O100" s="16" t="n">
        <v>488.67</v>
      </c>
      <c r="P100" s="16" t="n">
        <v>488.67</v>
      </c>
      <c r="Q100" s="16" t="n">
        <v>488.67</v>
      </c>
      <c r="R100" s="16" t="n">
        <v>488.67</v>
      </c>
      <c r="S100" s="16" t="n">
        <v>488.67</v>
      </c>
      <c r="T100" s="16" t="n">
        <v>488.67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CANON-202511-001865</t>
        </is>
      </c>
      <c r="B101" s="3" t="inlineStr">
        <is>
          <t>2025-11-17</t>
        </is>
      </c>
      <c r="C101" s="3" t="inlineStr">
        <is>
          <t>Desmond Bellandi</t>
        </is>
      </c>
      <c r="D101" s="3" t="inlineStr">
        <is>
          <t>ND</t>
        </is>
      </c>
      <c r="E101" s="14" t="n">
        <v>1190000</v>
      </c>
      <c r="F101" s="14" t="n">
        <v>14318.07</v>
      </c>
      <c r="G101" s="14" t="n">
        <v>1789.76</v>
      </c>
      <c r="H101" s="14" t="n">
        <v>1789.76</v>
      </c>
      <c r="I101" s="14">
        <f>SUM(K101:T101)</f>
        <v/>
      </c>
      <c r="J101" s="14">
        <f>F101-(G101+H101+I101)</f>
        <v/>
      </c>
      <c r="K101" s="14" t="n">
        <v>1073.86</v>
      </c>
      <c r="L101" s="14" t="n">
        <v>1073.86</v>
      </c>
      <c r="M101" s="14" t="n">
        <v>1073.86</v>
      </c>
      <c r="N101" s="14" t="n">
        <v>1073.86</v>
      </c>
      <c r="O101" s="14" t="n">
        <v>1073.86</v>
      </c>
      <c r="P101" s="14" t="n">
        <v>1073.86</v>
      </c>
      <c r="Q101" s="14" t="n">
        <v>1073.86</v>
      </c>
      <c r="R101" s="14" t="n">
        <v>1073.86</v>
      </c>
      <c r="S101" s="14" t="n">
        <v>1073.86</v>
      </c>
      <c r="T101" s="14" t="n">
        <v>1073.86</v>
      </c>
      <c r="U101" s="14" t="n">
        <v>350</v>
      </c>
      <c r="V101" s="14" t="n">
        <v>250</v>
      </c>
      <c r="W101" s="14">
        <f>U101+V101</f>
        <v/>
      </c>
    </row>
    <row r="102">
      <c r="A102" s="15" t="inlineStr">
        <is>
          <t>CANON-202511-001866</t>
        </is>
      </c>
      <c r="B102" s="15" t="inlineStr">
        <is>
          <t>2025-11-01</t>
        </is>
      </c>
      <c r="C102" s="15" t="inlineStr">
        <is>
          <t>Beatrix Harrington</t>
        </is>
      </c>
      <c r="D102" s="15" t="inlineStr">
        <is>
          <t>DE</t>
        </is>
      </c>
      <c r="E102" s="16" t="n">
        <v>320000</v>
      </c>
      <c r="F102" s="16" t="n">
        <v>7979.7</v>
      </c>
      <c r="G102" s="16" t="n">
        <v>997.46</v>
      </c>
      <c r="H102" s="16" t="n">
        <v>997.46</v>
      </c>
      <c r="I102" s="16">
        <f>SUM(K102:T102)</f>
        <v/>
      </c>
      <c r="J102" s="16">
        <f>F102-(G102+H102+I102)</f>
        <v/>
      </c>
      <c r="K102" s="16" t="n">
        <v>598.48</v>
      </c>
      <c r="L102" s="16" t="n">
        <v>598.48</v>
      </c>
      <c r="M102" s="16" t="n">
        <v>598.48</v>
      </c>
      <c r="N102" s="16" t="n">
        <v>598.48</v>
      </c>
      <c r="O102" s="16" t="n">
        <v>598.48</v>
      </c>
      <c r="P102" s="16" t="n">
        <v>598.48</v>
      </c>
      <c r="Q102" s="16" t="n">
        <v>598.48</v>
      </c>
      <c r="R102" s="16" t="n">
        <v>598.48</v>
      </c>
      <c r="S102" s="16" t="n">
        <v>598.48</v>
      </c>
      <c r="T102" s="16" t="n">
        <v>598.48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CANON-202511-001867</t>
        </is>
      </c>
      <c r="B103" s="3" t="inlineStr">
        <is>
          <t>2025-11-23</t>
        </is>
      </c>
      <c r="C103" s="3" t="inlineStr">
        <is>
          <t>Wilhelmina Harrington</t>
        </is>
      </c>
      <c r="D103" s="3" t="inlineStr">
        <is>
          <t>UT</t>
        </is>
      </c>
      <c r="E103" s="14" t="n">
        <v>695000</v>
      </c>
      <c r="F103" s="14" t="n">
        <v>15462.18</v>
      </c>
      <c r="G103" s="14" t="n">
        <v>1932.77</v>
      </c>
      <c r="H103" s="14" t="n">
        <v>1932.77</v>
      </c>
      <c r="I103" s="14">
        <f>SUM(K103:T103)</f>
        <v/>
      </c>
      <c r="J103" s="14">
        <f>F103-(G103+H103+I103)</f>
        <v/>
      </c>
      <c r="K103" s="14" t="n">
        <v>1159.66</v>
      </c>
      <c r="L103" s="14" t="n">
        <v>1159.66</v>
      </c>
      <c r="M103" s="14" t="n">
        <v>1159.66</v>
      </c>
      <c r="N103" s="14" t="n">
        <v>1159.66</v>
      </c>
      <c r="O103" s="14" t="n">
        <v>1159.66</v>
      </c>
      <c r="P103" s="14" t="n">
        <v>1159.66</v>
      </c>
      <c r="Q103" s="14" t="n">
        <v>1159.66</v>
      </c>
      <c r="R103" s="14" t="n">
        <v>1159.66</v>
      </c>
      <c r="S103" s="14" t="n">
        <v>1159.66</v>
      </c>
      <c r="T103" s="14" t="n">
        <v>1159.66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CANON-202511-001868</t>
        </is>
      </c>
      <c r="B104" s="15" t="inlineStr">
        <is>
          <t>2025-11-28</t>
        </is>
      </c>
      <c r="C104" s="15" t="inlineStr">
        <is>
          <t>Emiliano Rourke</t>
        </is>
      </c>
      <c r="D104" s="15" t="inlineStr">
        <is>
          <t>VA</t>
        </is>
      </c>
      <c r="E104" s="16" t="n">
        <v>725000</v>
      </c>
      <c r="F104" s="16" t="n">
        <v>8910.59</v>
      </c>
      <c r="G104" s="16" t="n">
        <v>1113.82</v>
      </c>
      <c r="H104" s="16" t="n">
        <v>1113.82</v>
      </c>
      <c r="I104" s="16">
        <f>SUM(K104:T104)</f>
        <v/>
      </c>
      <c r="J104" s="16">
        <f>F104-(G104+H104+I104)</f>
        <v/>
      </c>
      <c r="K104" s="16" t="n">
        <v>668.29</v>
      </c>
      <c r="L104" s="16" t="n">
        <v>668.29</v>
      </c>
      <c r="M104" s="16" t="n">
        <v>668.29</v>
      </c>
      <c r="N104" s="16" t="n">
        <v>668.29</v>
      </c>
      <c r="O104" s="16" t="n">
        <v>668.29</v>
      </c>
      <c r="P104" s="16" t="n">
        <v>668.29</v>
      </c>
      <c r="Q104" s="16" t="n">
        <v>668.29</v>
      </c>
      <c r="R104" s="16" t="n">
        <v>668.29</v>
      </c>
      <c r="S104" s="16" t="n">
        <v>668.29</v>
      </c>
      <c r="T104" s="16" t="n">
        <v>668.29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CANON-202511-001869</t>
        </is>
      </c>
      <c r="B105" s="3" t="inlineStr">
        <is>
          <t>2025-11-18</t>
        </is>
      </c>
      <c r="C105" s="3" t="inlineStr">
        <is>
          <t>Desmond Okonkwo</t>
        </is>
      </c>
      <c r="D105" s="3" t="inlineStr">
        <is>
          <t>OH</t>
        </is>
      </c>
      <c r="E105" s="14" t="n">
        <v>610000</v>
      </c>
      <c r="F105" s="14" t="n">
        <v>9560.629999999999</v>
      </c>
      <c r="G105" s="14" t="n">
        <v>1195.08</v>
      </c>
      <c r="H105" s="14" t="n">
        <v>1195.08</v>
      </c>
      <c r="I105" s="14">
        <f>SUM(K105:T105)</f>
        <v/>
      </c>
      <c r="J105" s="14">
        <f>F105-(G105+H105+I105)</f>
        <v/>
      </c>
      <c r="K105" s="14" t="n">
        <v>717.05</v>
      </c>
      <c r="L105" s="14" t="n">
        <v>717.05</v>
      </c>
      <c r="M105" s="14" t="n">
        <v>717.05</v>
      </c>
      <c r="N105" s="14" t="n">
        <v>717.05</v>
      </c>
      <c r="O105" s="14" t="n">
        <v>717.05</v>
      </c>
      <c r="P105" s="14" t="n">
        <v>717.05</v>
      </c>
      <c r="Q105" s="14" t="n">
        <v>717.05</v>
      </c>
      <c r="R105" s="14" t="n">
        <v>717.05</v>
      </c>
      <c r="S105" s="14" t="n">
        <v>717.05</v>
      </c>
      <c r="T105" s="14" t="n">
        <v>717.05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CANON-202511-001871</t>
        </is>
      </c>
      <c r="B106" s="15" t="inlineStr">
        <is>
          <t>2025-11-10</t>
        </is>
      </c>
      <c r="C106" s="15" t="inlineStr">
        <is>
          <t>Beatrix Fairweather</t>
        </is>
      </c>
      <c r="D106" s="15" t="inlineStr">
        <is>
          <t>NY</t>
        </is>
      </c>
      <c r="E106" s="16" t="n">
        <v>615000</v>
      </c>
      <c r="F106" s="16" t="n">
        <v>8876.200000000001</v>
      </c>
      <c r="G106" s="16" t="n">
        <v>1109.53</v>
      </c>
      <c r="H106" s="16" t="n">
        <v>1109.53</v>
      </c>
      <c r="I106" s="16">
        <f>SUM(K106:T106)</f>
        <v/>
      </c>
      <c r="J106" s="16">
        <f>F106-(G106+H106+I106)</f>
        <v/>
      </c>
      <c r="K106" s="16" t="n">
        <v>665.72</v>
      </c>
      <c r="L106" s="16" t="n">
        <v>665.72</v>
      </c>
      <c r="M106" s="16" t="n">
        <v>665.72</v>
      </c>
      <c r="N106" s="16" t="n">
        <v>665.72</v>
      </c>
      <c r="O106" s="16" t="n">
        <v>665.72</v>
      </c>
      <c r="P106" s="16" t="n">
        <v>665.72</v>
      </c>
      <c r="Q106" s="16" t="n">
        <v>665.72</v>
      </c>
      <c r="R106" s="16" t="n">
        <v>665.72</v>
      </c>
      <c r="S106" s="16" t="n">
        <v>665.72</v>
      </c>
      <c r="T106" s="16" t="n">
        <v>665.72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CANON-202511-001872</t>
        </is>
      </c>
      <c r="B107" s="3" t="inlineStr">
        <is>
          <t>2025-11-17</t>
        </is>
      </c>
      <c r="C107" s="3" t="inlineStr">
        <is>
          <t>Marisol Thistlewood</t>
        </is>
      </c>
      <c r="D107" s="3" t="inlineStr">
        <is>
          <t>OH</t>
        </is>
      </c>
      <c r="E107" s="14" t="n">
        <v>325000</v>
      </c>
      <c r="F107" s="14" t="n">
        <v>5877.44</v>
      </c>
      <c r="G107" s="14" t="n">
        <v>734.6799999999999</v>
      </c>
      <c r="H107" s="14" t="n">
        <v>734.6799999999999</v>
      </c>
      <c r="I107" s="14">
        <f>SUM(K107:T107)</f>
        <v/>
      </c>
      <c r="J107" s="14">
        <f>F107-(G107+H107+I107)</f>
        <v/>
      </c>
      <c r="K107" s="14" t="n">
        <v>440.81</v>
      </c>
      <c r="L107" s="14" t="n">
        <v>440.81</v>
      </c>
      <c r="M107" s="14" t="n">
        <v>440.81</v>
      </c>
      <c r="N107" s="14" t="n">
        <v>440.81</v>
      </c>
      <c r="O107" s="14" t="n">
        <v>440.81</v>
      </c>
      <c r="P107" s="14" t="n">
        <v>440.81</v>
      </c>
      <c r="Q107" s="14" t="n">
        <v>440.81</v>
      </c>
      <c r="R107" s="14" t="n">
        <v>440.81</v>
      </c>
      <c r="S107" s="14" t="n">
        <v>440.81</v>
      </c>
      <c r="T107" s="14" t="n">
        <v>440.81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CANON-202511-001875</t>
        </is>
      </c>
      <c r="B108" s="15" t="inlineStr">
        <is>
          <t>2025-11-27</t>
        </is>
      </c>
      <c r="C108" s="15" t="inlineStr">
        <is>
          <t>Fenwick Larsson</t>
        </is>
      </c>
      <c r="D108" s="15" t="inlineStr">
        <is>
          <t>TX</t>
        </is>
      </c>
      <c r="E108" s="16" t="n">
        <v>290000</v>
      </c>
      <c r="F108" s="16" t="n">
        <v>6653.07</v>
      </c>
      <c r="G108" s="16" t="n">
        <v>831.63</v>
      </c>
      <c r="H108" s="16" t="n">
        <v>831.63</v>
      </c>
      <c r="I108" s="16">
        <f>SUM(K108:T108)</f>
        <v/>
      </c>
      <c r="J108" s="16">
        <f>F108-(G108+H108+I108)</f>
        <v/>
      </c>
      <c r="K108" s="16" t="n">
        <v>498.98</v>
      </c>
      <c r="L108" s="16" t="n">
        <v>498.98</v>
      </c>
      <c r="M108" s="16" t="n">
        <v>498.98</v>
      </c>
      <c r="N108" s="16" t="n">
        <v>498.98</v>
      </c>
      <c r="O108" s="16" t="n">
        <v>498.98</v>
      </c>
      <c r="P108" s="16" t="n">
        <v>498.98</v>
      </c>
      <c r="Q108" s="16" t="n">
        <v>498.98</v>
      </c>
      <c r="R108" s="16" t="n">
        <v>498.98</v>
      </c>
      <c r="S108" s="16" t="n">
        <v>498.98</v>
      </c>
      <c r="T108" s="16" t="n">
        <v>498.98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CANON-202511-001878</t>
        </is>
      </c>
      <c r="B109" s="3" t="inlineStr">
        <is>
          <t>2025-11-22</t>
        </is>
      </c>
      <c r="C109" s="3" t="inlineStr">
        <is>
          <t>Thaddeus Underwood</t>
        </is>
      </c>
      <c r="D109" s="3" t="inlineStr">
        <is>
          <t>NJ</t>
        </is>
      </c>
      <c r="E109" s="14" t="n">
        <v>1030000</v>
      </c>
      <c r="F109" s="14" t="n">
        <v>11056.47</v>
      </c>
      <c r="G109" s="14" t="n">
        <v>1382.06</v>
      </c>
      <c r="H109" s="14" t="n">
        <v>1382.06</v>
      </c>
      <c r="I109" s="14">
        <f>SUM(K109:T109)</f>
        <v/>
      </c>
      <c r="J109" s="14">
        <f>F109-(G109+H109+I109)</f>
        <v/>
      </c>
      <c r="K109" s="14" t="n">
        <v>829.24</v>
      </c>
      <c r="L109" s="14" t="n">
        <v>829.24</v>
      </c>
      <c r="M109" s="14" t="n">
        <v>829.24</v>
      </c>
      <c r="N109" s="14" t="n">
        <v>829.24</v>
      </c>
      <c r="O109" s="14" t="n">
        <v>829.24</v>
      </c>
      <c r="P109" s="14" t="n">
        <v>829.24</v>
      </c>
      <c r="Q109" s="14" t="n">
        <v>829.24</v>
      </c>
      <c r="R109" s="14" t="n">
        <v>829.24</v>
      </c>
      <c r="S109" s="14" t="n">
        <v>829.24</v>
      </c>
      <c r="T109" s="14" t="n">
        <v>829.24</v>
      </c>
      <c r="U109" s="14" t="n">
        <v>350</v>
      </c>
      <c r="V109" s="14" t="n">
        <v>250</v>
      </c>
      <c r="W109" s="14">
        <f>U109+V109</f>
        <v/>
      </c>
    </row>
    <row r="110">
      <c r="A110" s="15" t="inlineStr">
        <is>
          <t>CANON-202511-001879</t>
        </is>
      </c>
      <c r="B110" s="15" t="inlineStr">
        <is>
          <t>2025-11-29</t>
        </is>
      </c>
      <c r="C110" s="15" t="inlineStr">
        <is>
          <t>Cassius Farkas</t>
        </is>
      </c>
      <c r="D110" s="15" t="inlineStr">
        <is>
          <t>PA</t>
        </is>
      </c>
      <c r="E110" s="16" t="n">
        <v>745000</v>
      </c>
      <c r="F110" s="16" t="n">
        <v>8400.360000000001</v>
      </c>
      <c r="G110" s="16" t="n">
        <v>1050.05</v>
      </c>
      <c r="H110" s="16" t="n">
        <v>1050.05</v>
      </c>
      <c r="I110" s="16">
        <f>SUM(K110:T110)</f>
        <v/>
      </c>
      <c r="J110" s="16">
        <f>F110-(G110+H110+I110)</f>
        <v/>
      </c>
      <c r="K110" s="16" t="n">
        <v>630.03</v>
      </c>
      <c r="L110" s="16" t="n">
        <v>630.03</v>
      </c>
      <c r="M110" s="16" t="n">
        <v>630.03</v>
      </c>
      <c r="N110" s="16" t="n">
        <v>630.03</v>
      </c>
      <c r="O110" s="16" t="n">
        <v>630.03</v>
      </c>
      <c r="P110" s="16" t="n">
        <v>630.03</v>
      </c>
      <c r="Q110" s="16" t="n">
        <v>630.03</v>
      </c>
      <c r="R110" s="16" t="n">
        <v>630.03</v>
      </c>
      <c r="S110" s="16" t="n">
        <v>630.03</v>
      </c>
      <c r="T110" s="16" t="n">
        <v>630.03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CANON-202511-001880</t>
        </is>
      </c>
      <c r="B111" s="3" t="inlineStr">
        <is>
          <t>2025-11-20</t>
        </is>
      </c>
      <c r="C111" s="3" t="inlineStr">
        <is>
          <t>Ramona Farkas</t>
        </is>
      </c>
      <c r="D111" s="3" t="inlineStr">
        <is>
          <t>MS</t>
        </is>
      </c>
      <c r="E111" s="14" t="n">
        <v>1360000</v>
      </c>
      <c r="F111" s="14" t="n">
        <v>15441.07</v>
      </c>
      <c r="G111" s="14" t="n">
        <v>1930.13</v>
      </c>
      <c r="H111" s="14" t="n">
        <v>1930.13</v>
      </c>
      <c r="I111" s="14">
        <f>SUM(K111:T111)</f>
        <v/>
      </c>
      <c r="J111" s="14">
        <f>F111-(G111+H111+I111)</f>
        <v/>
      </c>
      <c r="K111" s="14" t="n">
        <v>1158.08</v>
      </c>
      <c r="L111" s="14" t="n">
        <v>1158.08</v>
      </c>
      <c r="M111" s="14" t="n">
        <v>1158.08</v>
      </c>
      <c r="N111" s="14" t="n">
        <v>1158.08</v>
      </c>
      <c r="O111" s="14" t="n">
        <v>1158.08</v>
      </c>
      <c r="P111" s="14" t="n">
        <v>1158.08</v>
      </c>
      <c r="Q111" s="14" t="n">
        <v>1158.08</v>
      </c>
      <c r="R111" s="14" t="n">
        <v>1158.08</v>
      </c>
      <c r="S111" s="14" t="n">
        <v>1158.08</v>
      </c>
      <c r="T111" s="14" t="n">
        <v>1158.08</v>
      </c>
      <c r="U111" s="14" t="n">
        <v>350</v>
      </c>
      <c r="V111" s="14" t="n">
        <v>250</v>
      </c>
      <c r="W111" s="14">
        <f>U111+V111</f>
        <v/>
      </c>
    </row>
    <row r="112">
      <c r="A112" s="15" t="inlineStr">
        <is>
          <t>CANON-202511-001881</t>
        </is>
      </c>
      <c r="B112" s="15" t="inlineStr">
        <is>
          <t>2025-11-20</t>
        </is>
      </c>
      <c r="C112" s="15" t="inlineStr">
        <is>
          <t>Ingrid Fairweather</t>
        </is>
      </c>
      <c r="D112" s="15" t="inlineStr">
        <is>
          <t>CA</t>
        </is>
      </c>
      <c r="E112" s="16" t="n">
        <v>395000</v>
      </c>
      <c r="F112" s="16" t="n">
        <v>6937.78</v>
      </c>
      <c r="G112" s="16" t="n">
        <v>867.22</v>
      </c>
      <c r="H112" s="16" t="n">
        <v>867.22</v>
      </c>
      <c r="I112" s="16">
        <f>SUM(K112:T112)</f>
        <v/>
      </c>
      <c r="J112" s="16">
        <f>F112-(G112+H112+I112)</f>
        <v/>
      </c>
      <c r="K112" s="16" t="n">
        <v>520.33</v>
      </c>
      <c r="L112" s="16" t="n">
        <v>520.33</v>
      </c>
      <c r="M112" s="16" t="n">
        <v>520.33</v>
      </c>
      <c r="N112" s="16" t="n">
        <v>520.33</v>
      </c>
      <c r="O112" s="16" t="n">
        <v>520.33</v>
      </c>
      <c r="P112" s="16" t="n">
        <v>520.33</v>
      </c>
      <c r="Q112" s="16" t="n">
        <v>520.33</v>
      </c>
      <c r="R112" s="16" t="n">
        <v>520.33</v>
      </c>
      <c r="S112" s="16" t="n">
        <v>520.33</v>
      </c>
      <c r="T112" s="16" t="n">
        <v>520.33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CANON-202511-001883</t>
        </is>
      </c>
      <c r="B113" s="3" t="inlineStr">
        <is>
          <t>2025-11-21</t>
        </is>
      </c>
      <c r="C113" s="3" t="inlineStr">
        <is>
          <t>Ingrid Vandermeer</t>
        </is>
      </c>
      <c r="D113" s="3" t="inlineStr">
        <is>
          <t>MI</t>
        </is>
      </c>
      <c r="E113" s="14" t="n">
        <v>185000</v>
      </c>
      <c r="F113" s="14" t="n">
        <v>4576.36</v>
      </c>
      <c r="G113" s="14" t="n">
        <v>572.04</v>
      </c>
      <c r="H113" s="14" t="n">
        <v>572.04</v>
      </c>
      <c r="I113" s="14">
        <f>SUM(K113:T113)</f>
        <v/>
      </c>
      <c r="J113" s="14">
        <f>F113-(G113+H113+I113)</f>
        <v/>
      </c>
      <c r="K113" s="14" t="n">
        <v>343.23</v>
      </c>
      <c r="L113" s="14" t="n">
        <v>343.23</v>
      </c>
      <c r="M113" s="14" t="n">
        <v>343.23</v>
      </c>
      <c r="N113" s="14" t="n">
        <v>343.23</v>
      </c>
      <c r="O113" s="14" t="n">
        <v>343.23</v>
      </c>
      <c r="P113" s="14" t="n">
        <v>343.23</v>
      </c>
      <c r="Q113" s="14" t="n">
        <v>343.23</v>
      </c>
      <c r="R113" s="14" t="n">
        <v>343.23</v>
      </c>
      <c r="S113" s="14" t="n">
        <v>343.23</v>
      </c>
      <c r="T113" s="14" t="n">
        <v>343.23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CANON-202511-001885</t>
        </is>
      </c>
      <c r="B114" s="15" t="inlineStr">
        <is>
          <t>2025-11-05</t>
        </is>
      </c>
      <c r="C114" s="15" t="inlineStr">
        <is>
          <t>Delphine Whitlock</t>
        </is>
      </c>
      <c r="D114" s="15" t="inlineStr">
        <is>
          <t>MS</t>
        </is>
      </c>
      <c r="E114" s="16" t="n">
        <v>1950000</v>
      </c>
      <c r="F114" s="16" t="n">
        <v>13686.4</v>
      </c>
      <c r="G114" s="16" t="n">
        <v>1710.8</v>
      </c>
      <c r="H114" s="16" t="n">
        <v>1710.8</v>
      </c>
      <c r="I114" s="16">
        <f>SUM(K114:T114)</f>
        <v/>
      </c>
      <c r="J114" s="16">
        <f>F114-(G114+H114+I114)</f>
        <v/>
      </c>
      <c r="K114" s="16" t="n">
        <v>1026.48</v>
      </c>
      <c r="L114" s="16" t="n">
        <v>1026.48</v>
      </c>
      <c r="M114" s="16" t="n">
        <v>1026.48</v>
      </c>
      <c r="N114" s="16" t="n">
        <v>1026.48</v>
      </c>
      <c r="O114" s="16" t="n">
        <v>1026.48</v>
      </c>
      <c r="P114" s="16" t="n">
        <v>1026.48</v>
      </c>
      <c r="Q114" s="16" t="n">
        <v>1026.48</v>
      </c>
      <c r="R114" s="16" t="n">
        <v>1026.48</v>
      </c>
      <c r="S114" s="16" t="n">
        <v>1026.48</v>
      </c>
      <c r="T114" s="16" t="n">
        <v>1026.48</v>
      </c>
      <c r="U114" s="16" t="n">
        <v>350</v>
      </c>
      <c r="V114" s="16" t="n">
        <v>250</v>
      </c>
      <c r="W114" s="16">
        <f>U114+V114</f>
        <v/>
      </c>
    </row>
    <row r="115">
      <c r="A115" s="3" t="inlineStr">
        <is>
          <t>CANON-202511-001886</t>
        </is>
      </c>
      <c r="B115" s="3" t="inlineStr">
        <is>
          <t>2025-11-29</t>
        </is>
      </c>
      <c r="C115" s="3" t="inlineStr">
        <is>
          <t>Noor Blackwood</t>
        </is>
      </c>
      <c r="D115" s="3" t="inlineStr">
        <is>
          <t>CT</t>
        </is>
      </c>
      <c r="E115" s="14" t="n">
        <v>800000</v>
      </c>
      <c r="F115" s="14" t="n">
        <v>10102.99</v>
      </c>
      <c r="G115" s="14" t="n">
        <v>1262.87</v>
      </c>
      <c r="H115" s="14" t="n">
        <v>1262.87</v>
      </c>
      <c r="I115" s="14">
        <f>SUM(K115:T115)</f>
        <v/>
      </c>
      <c r="J115" s="14">
        <f>F115-(G115+H115+I115)</f>
        <v/>
      </c>
      <c r="K115" s="14" t="n">
        <v>757.72</v>
      </c>
      <c r="L115" s="14" t="n">
        <v>757.72</v>
      </c>
      <c r="M115" s="14" t="n">
        <v>757.72</v>
      </c>
      <c r="N115" s="14" t="n">
        <v>757.72</v>
      </c>
      <c r="O115" s="14" t="n">
        <v>757.72</v>
      </c>
      <c r="P115" s="14" t="n">
        <v>757.72</v>
      </c>
      <c r="Q115" s="14" t="n">
        <v>757.72</v>
      </c>
      <c r="R115" s="14" t="n">
        <v>757.72</v>
      </c>
      <c r="S115" s="14" t="n">
        <v>757.72</v>
      </c>
      <c r="T115" s="14" t="n">
        <v>757.72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CANON-202511-001887</t>
        </is>
      </c>
      <c r="B116" s="15" t="inlineStr">
        <is>
          <t>2025-11-13</t>
        </is>
      </c>
      <c r="C116" s="15" t="inlineStr">
        <is>
          <t>Mireille Thistlewood</t>
        </is>
      </c>
      <c r="D116" s="15" t="inlineStr">
        <is>
          <t>MT</t>
        </is>
      </c>
      <c r="E116" s="16" t="n">
        <v>805000</v>
      </c>
      <c r="F116" s="16" t="n">
        <v>8441.530000000001</v>
      </c>
      <c r="G116" s="16" t="n">
        <v>1055.19</v>
      </c>
      <c r="H116" s="16" t="n">
        <v>1055.19</v>
      </c>
      <c r="I116" s="16">
        <f>SUM(K116:T116)</f>
        <v/>
      </c>
      <c r="J116" s="16">
        <f>F116-(G116+H116+I116)</f>
        <v/>
      </c>
      <c r="K116" s="16" t="n">
        <v>633.11</v>
      </c>
      <c r="L116" s="16" t="n">
        <v>633.11</v>
      </c>
      <c r="M116" s="16" t="n">
        <v>633.11</v>
      </c>
      <c r="N116" s="16" t="n">
        <v>633.11</v>
      </c>
      <c r="O116" s="16" t="n">
        <v>633.11</v>
      </c>
      <c r="P116" s="16" t="n">
        <v>633.11</v>
      </c>
      <c r="Q116" s="16" t="n">
        <v>633.11</v>
      </c>
      <c r="R116" s="16" t="n">
        <v>633.11</v>
      </c>
      <c r="S116" s="16" t="n">
        <v>633.11</v>
      </c>
      <c r="T116" s="16" t="n">
        <v>633.11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CANON-202511-001889</t>
        </is>
      </c>
      <c r="B117" s="3" t="inlineStr">
        <is>
          <t>2025-11-08</t>
        </is>
      </c>
      <c r="C117" s="3" t="inlineStr">
        <is>
          <t>Leopold Vasquez</t>
        </is>
      </c>
      <c r="D117" s="3" t="inlineStr">
        <is>
          <t>ME</t>
        </is>
      </c>
      <c r="E117" s="14" t="n">
        <v>270000</v>
      </c>
      <c r="F117" s="14" t="n">
        <v>3793.83</v>
      </c>
      <c r="G117" s="14" t="n">
        <v>474.23</v>
      </c>
      <c r="H117" s="14" t="n">
        <v>474.23</v>
      </c>
      <c r="I117" s="14">
        <f>SUM(K117:T117)</f>
        <v/>
      </c>
      <c r="J117" s="14">
        <f>F117-(G117+H117+I117)</f>
        <v/>
      </c>
      <c r="K117" s="14" t="n">
        <v>284.54</v>
      </c>
      <c r="L117" s="14" t="n">
        <v>284.54</v>
      </c>
      <c r="M117" s="14" t="n">
        <v>284.54</v>
      </c>
      <c r="N117" s="14" t="n">
        <v>284.54</v>
      </c>
      <c r="O117" s="14" t="n">
        <v>284.54</v>
      </c>
      <c r="P117" s="14" t="n">
        <v>284.54</v>
      </c>
      <c r="Q117" s="14" t="n">
        <v>284.54</v>
      </c>
      <c r="R117" s="14" t="n">
        <v>284.54</v>
      </c>
      <c r="S117" s="14" t="n">
        <v>284.54</v>
      </c>
      <c r="T117" s="14" t="n">
        <v>284.54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CANON-202511-001891</t>
        </is>
      </c>
      <c r="B118" s="15" t="inlineStr">
        <is>
          <t>2025-11-07</t>
        </is>
      </c>
      <c r="C118" s="15" t="inlineStr">
        <is>
          <t>Fenwick Okonkwo</t>
        </is>
      </c>
      <c r="D118" s="15" t="inlineStr">
        <is>
          <t>MO</t>
        </is>
      </c>
      <c r="E118" s="16" t="n">
        <v>340000</v>
      </c>
      <c r="F118" s="16" t="n">
        <v>4688.94</v>
      </c>
      <c r="G118" s="16" t="n">
        <v>586.12</v>
      </c>
      <c r="H118" s="16" t="n">
        <v>586.12</v>
      </c>
      <c r="I118" s="16">
        <f>SUM(K118:T118)</f>
        <v/>
      </c>
      <c r="J118" s="16">
        <f>F118-(G118+H118+I118)</f>
        <v/>
      </c>
      <c r="K118" s="16" t="n">
        <v>351.67</v>
      </c>
      <c r="L118" s="16" t="n">
        <v>351.67</v>
      </c>
      <c r="M118" s="16" t="n">
        <v>351.67</v>
      </c>
      <c r="N118" s="16" t="n">
        <v>351.67</v>
      </c>
      <c r="O118" s="16" t="n">
        <v>351.67</v>
      </c>
      <c r="P118" s="16" t="n">
        <v>351.67</v>
      </c>
      <c r="Q118" s="16" t="n">
        <v>351.67</v>
      </c>
      <c r="R118" s="16" t="n">
        <v>351.67</v>
      </c>
      <c r="S118" s="16" t="n">
        <v>351.67</v>
      </c>
      <c r="T118" s="16" t="n">
        <v>351.67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CANON-202511-001892</t>
        </is>
      </c>
      <c r="B119" s="3" t="inlineStr">
        <is>
          <t>2025-11-04</t>
        </is>
      </c>
      <c r="C119" s="3" t="inlineStr">
        <is>
          <t>Ottilie Castellanos</t>
        </is>
      </c>
      <c r="D119" s="3" t="inlineStr">
        <is>
          <t>VT</t>
        </is>
      </c>
      <c r="E119" s="14" t="n">
        <v>570000</v>
      </c>
      <c r="F119" s="14" t="n">
        <v>7841.09</v>
      </c>
      <c r="G119" s="14" t="n">
        <v>980.14</v>
      </c>
      <c r="H119" s="14" t="n">
        <v>980.14</v>
      </c>
      <c r="I119" s="14">
        <f>SUM(K119:T119)</f>
        <v/>
      </c>
      <c r="J119" s="14">
        <f>F119-(G119+H119+I119)</f>
        <v/>
      </c>
      <c r="K119" s="14" t="n">
        <v>588.08</v>
      </c>
      <c r="L119" s="14" t="n">
        <v>588.08</v>
      </c>
      <c r="M119" s="14" t="n">
        <v>588.08</v>
      </c>
      <c r="N119" s="14" t="n">
        <v>588.08</v>
      </c>
      <c r="O119" s="14" t="n">
        <v>588.08</v>
      </c>
      <c r="P119" s="14" t="n">
        <v>588.08</v>
      </c>
      <c r="Q119" s="14" t="n">
        <v>588.08</v>
      </c>
      <c r="R119" s="14" t="n">
        <v>588.08</v>
      </c>
      <c r="S119" s="14" t="n">
        <v>588.08</v>
      </c>
      <c r="T119" s="14" t="n">
        <v>588.08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CANON-202511-001893</t>
        </is>
      </c>
      <c r="B120" s="15" t="inlineStr">
        <is>
          <t>2025-11-24</t>
        </is>
      </c>
      <c r="C120" s="15" t="inlineStr">
        <is>
          <t>Cassius Castellanos</t>
        </is>
      </c>
      <c r="D120" s="15" t="inlineStr">
        <is>
          <t>RI</t>
        </is>
      </c>
      <c r="E120" s="16" t="n">
        <v>765000</v>
      </c>
      <c r="F120" s="16" t="n">
        <v>17271.66</v>
      </c>
      <c r="G120" s="16" t="n">
        <v>2158.96</v>
      </c>
      <c r="H120" s="16" t="n">
        <v>2158.96</v>
      </c>
      <c r="I120" s="16">
        <f>SUM(K120:T120)</f>
        <v/>
      </c>
      <c r="J120" s="16">
        <f>F120-(G120+H120+I120)</f>
        <v/>
      </c>
      <c r="K120" s="16" t="n">
        <v>1295.37</v>
      </c>
      <c r="L120" s="16" t="n">
        <v>1295.37</v>
      </c>
      <c r="M120" s="16" t="n">
        <v>1295.37</v>
      </c>
      <c r="N120" s="16" t="n">
        <v>1295.37</v>
      </c>
      <c r="O120" s="16" t="n">
        <v>1295.37</v>
      </c>
      <c r="P120" s="16" t="n">
        <v>1295.37</v>
      </c>
      <c r="Q120" s="16" t="n">
        <v>1295.37</v>
      </c>
      <c r="R120" s="16" t="n">
        <v>1295.37</v>
      </c>
      <c r="S120" s="16" t="n">
        <v>1295.37</v>
      </c>
      <c r="T120" s="16" t="n">
        <v>1295.37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CANON-202511-001894</t>
        </is>
      </c>
      <c r="B121" s="3" t="inlineStr">
        <is>
          <t>2025-11-29</t>
        </is>
      </c>
      <c r="C121" s="3" t="inlineStr">
        <is>
          <t>Horace Delacroix</t>
        </is>
      </c>
      <c r="D121" s="3" t="inlineStr">
        <is>
          <t>DE</t>
        </is>
      </c>
      <c r="E121" s="14" t="n">
        <v>825000</v>
      </c>
      <c r="F121" s="14" t="n">
        <v>11628.03</v>
      </c>
      <c r="G121" s="14" t="n">
        <v>1453.5</v>
      </c>
      <c r="H121" s="14" t="n">
        <v>1453.5</v>
      </c>
      <c r="I121" s="14">
        <f>SUM(K121:T121)</f>
        <v/>
      </c>
      <c r="J121" s="14">
        <f>F121-(G121+H121+I121)</f>
        <v/>
      </c>
      <c r="K121" s="14" t="n">
        <v>872.1</v>
      </c>
      <c r="L121" s="14" t="n">
        <v>872.1</v>
      </c>
      <c r="M121" s="14" t="n">
        <v>872.1</v>
      </c>
      <c r="N121" s="14" t="n">
        <v>872.1</v>
      </c>
      <c r="O121" s="14" t="n">
        <v>872.1</v>
      </c>
      <c r="P121" s="14" t="n">
        <v>872.1</v>
      </c>
      <c r="Q121" s="14" t="n">
        <v>872.1</v>
      </c>
      <c r="R121" s="14" t="n">
        <v>872.1</v>
      </c>
      <c r="S121" s="14" t="n">
        <v>872.1</v>
      </c>
      <c r="T121" s="14" t="n">
        <v>872.1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CANON-202511-001895</t>
        </is>
      </c>
      <c r="B122" s="15" t="inlineStr">
        <is>
          <t>2025-11-07</t>
        </is>
      </c>
      <c r="C122" s="15" t="inlineStr">
        <is>
          <t>Ramona Castellanos</t>
        </is>
      </c>
      <c r="D122" s="15" t="inlineStr">
        <is>
          <t>AR</t>
        </is>
      </c>
      <c r="E122" s="16" t="n">
        <v>345000</v>
      </c>
      <c r="F122" s="16" t="n">
        <v>6194.24</v>
      </c>
      <c r="G122" s="16" t="n">
        <v>774.28</v>
      </c>
      <c r="H122" s="16" t="n">
        <v>774.28</v>
      </c>
      <c r="I122" s="16">
        <f>SUM(K122:T122)</f>
        <v/>
      </c>
      <c r="J122" s="16">
        <f>F122-(G122+H122+I122)</f>
        <v/>
      </c>
      <c r="K122" s="16" t="n">
        <v>464.57</v>
      </c>
      <c r="L122" s="16" t="n">
        <v>464.57</v>
      </c>
      <c r="M122" s="16" t="n">
        <v>464.57</v>
      </c>
      <c r="N122" s="16" t="n">
        <v>464.57</v>
      </c>
      <c r="O122" s="16" t="n">
        <v>464.57</v>
      </c>
      <c r="P122" s="16" t="n">
        <v>464.57</v>
      </c>
      <c r="Q122" s="16" t="n">
        <v>464.57</v>
      </c>
      <c r="R122" s="16" t="n">
        <v>464.57</v>
      </c>
      <c r="S122" s="16" t="n">
        <v>464.57</v>
      </c>
      <c r="T122" s="16" t="n">
        <v>464.57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CANON-202511-001896</t>
        </is>
      </c>
      <c r="B123" s="3" t="inlineStr">
        <is>
          <t>2025-11-23</t>
        </is>
      </c>
      <c r="C123" s="3" t="inlineStr">
        <is>
          <t>Fitzgerald Vandermeer</t>
        </is>
      </c>
      <c r="D123" s="3" t="inlineStr">
        <is>
          <t>TX</t>
        </is>
      </c>
      <c r="E123" s="14" t="n">
        <v>190000</v>
      </c>
      <c r="F123" s="14" t="n">
        <v>3487.13</v>
      </c>
      <c r="G123" s="14" t="n">
        <v>435.89</v>
      </c>
      <c r="H123" s="14" t="n">
        <v>435.89</v>
      </c>
      <c r="I123" s="14">
        <f>SUM(K123:T123)</f>
        <v/>
      </c>
      <c r="J123" s="14">
        <f>F123-(G123+H123+I123)</f>
        <v/>
      </c>
      <c r="K123" s="14" t="n">
        <v>261.53</v>
      </c>
      <c r="L123" s="14" t="n">
        <v>261.53</v>
      </c>
      <c r="M123" s="14" t="n">
        <v>261.53</v>
      </c>
      <c r="N123" s="14" t="n">
        <v>261.53</v>
      </c>
      <c r="O123" s="14" t="n">
        <v>261.53</v>
      </c>
      <c r="P123" s="14" t="n">
        <v>261.53</v>
      </c>
      <c r="Q123" s="14" t="n">
        <v>261.53</v>
      </c>
      <c r="R123" s="14" t="n">
        <v>261.53</v>
      </c>
      <c r="S123" s="14" t="n">
        <v>261.53</v>
      </c>
      <c r="T123" s="14" t="n">
        <v>261.53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CANON-202511-001897</t>
        </is>
      </c>
      <c r="B124" s="15" t="inlineStr">
        <is>
          <t>2025-11-14</t>
        </is>
      </c>
      <c r="C124" s="15" t="inlineStr">
        <is>
          <t>Fenwick Blackwood</t>
        </is>
      </c>
      <c r="D124" s="15" t="inlineStr">
        <is>
          <t>AL</t>
        </is>
      </c>
      <c r="E124" s="16" t="n">
        <v>820000</v>
      </c>
      <c r="F124" s="16" t="n">
        <v>11742.48</v>
      </c>
      <c r="G124" s="16" t="n">
        <v>1467.81</v>
      </c>
      <c r="H124" s="16" t="n">
        <v>1467.81</v>
      </c>
      <c r="I124" s="16">
        <f>SUM(K124:T124)</f>
        <v/>
      </c>
      <c r="J124" s="16">
        <f>F124-(G124+H124+I124)</f>
        <v/>
      </c>
      <c r="K124" s="16" t="n">
        <v>880.6900000000001</v>
      </c>
      <c r="L124" s="16" t="n">
        <v>880.6900000000001</v>
      </c>
      <c r="M124" s="16" t="n">
        <v>880.6900000000001</v>
      </c>
      <c r="N124" s="16" t="n">
        <v>880.6900000000001</v>
      </c>
      <c r="O124" s="16" t="n">
        <v>880.6900000000001</v>
      </c>
      <c r="P124" s="16" t="n">
        <v>880.6900000000001</v>
      </c>
      <c r="Q124" s="16" t="n">
        <v>880.6900000000001</v>
      </c>
      <c r="R124" s="16" t="n">
        <v>880.6900000000001</v>
      </c>
      <c r="S124" s="16" t="n">
        <v>880.6900000000001</v>
      </c>
      <c r="T124" s="16" t="n">
        <v>880.6900000000001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CANON-202511-001899</t>
        </is>
      </c>
      <c r="B125" s="3" t="inlineStr">
        <is>
          <t>2025-11-24</t>
        </is>
      </c>
      <c r="C125" s="3" t="inlineStr">
        <is>
          <t>Lorenzo Blackwood</t>
        </is>
      </c>
      <c r="D125" s="3" t="inlineStr">
        <is>
          <t>FL</t>
        </is>
      </c>
      <c r="E125" s="14" t="n">
        <v>420000</v>
      </c>
      <c r="F125" s="14" t="n">
        <v>7759.39</v>
      </c>
      <c r="G125" s="14" t="n">
        <v>969.92</v>
      </c>
      <c r="H125" s="14" t="n">
        <v>969.92</v>
      </c>
      <c r="I125" s="14">
        <f>SUM(K125:T125)</f>
        <v/>
      </c>
      <c r="J125" s="14">
        <f>F125-(G125+H125+I125)</f>
        <v/>
      </c>
      <c r="K125" s="14" t="n">
        <v>581.95</v>
      </c>
      <c r="L125" s="14" t="n">
        <v>581.95</v>
      </c>
      <c r="M125" s="14" t="n">
        <v>581.95</v>
      </c>
      <c r="N125" s="14" t="n">
        <v>581.95</v>
      </c>
      <c r="O125" s="14" t="n">
        <v>581.95</v>
      </c>
      <c r="P125" s="14" t="n">
        <v>581.95</v>
      </c>
      <c r="Q125" s="14" t="n">
        <v>581.95</v>
      </c>
      <c r="R125" s="14" t="n">
        <v>581.95</v>
      </c>
      <c r="S125" s="14" t="n">
        <v>581.95</v>
      </c>
      <c r="T125" s="14" t="n">
        <v>581.95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CANON-202511-001901</t>
        </is>
      </c>
      <c r="B126" s="15" t="inlineStr">
        <is>
          <t>2025-11-30</t>
        </is>
      </c>
      <c r="C126" s="15" t="inlineStr">
        <is>
          <t>Thaddeus Fairweather</t>
        </is>
      </c>
      <c r="D126" s="15" t="inlineStr">
        <is>
          <t>OH</t>
        </is>
      </c>
      <c r="E126" s="16" t="n">
        <v>265000</v>
      </c>
      <c r="F126" s="16" t="n">
        <v>7348.3</v>
      </c>
      <c r="G126" s="16" t="n">
        <v>918.54</v>
      </c>
      <c r="H126" s="16" t="n">
        <v>918.54</v>
      </c>
      <c r="I126" s="16">
        <f>SUM(K126:T126)</f>
        <v/>
      </c>
      <c r="J126" s="16">
        <f>F126-(G126+H126+I126)</f>
        <v/>
      </c>
      <c r="K126" s="16" t="n">
        <v>551.12</v>
      </c>
      <c r="L126" s="16" t="n">
        <v>551.12</v>
      </c>
      <c r="M126" s="16" t="n">
        <v>551.12</v>
      </c>
      <c r="N126" s="16" t="n">
        <v>551.12</v>
      </c>
      <c r="O126" s="16" t="n">
        <v>551.12</v>
      </c>
      <c r="P126" s="16" t="n">
        <v>551.12</v>
      </c>
      <c r="Q126" s="16" t="n">
        <v>551.12</v>
      </c>
      <c r="R126" s="16" t="n">
        <v>551.12</v>
      </c>
      <c r="S126" s="16" t="n">
        <v>551.12</v>
      </c>
      <c r="T126" s="16" t="n">
        <v>551.12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CANON-202511-001903</t>
        </is>
      </c>
      <c r="B127" s="3" t="inlineStr">
        <is>
          <t>2025-11-19</t>
        </is>
      </c>
      <c r="C127" s="3" t="inlineStr">
        <is>
          <t>Thaddeus Thistlewood</t>
        </is>
      </c>
      <c r="D127" s="3" t="inlineStr">
        <is>
          <t>FL</t>
        </is>
      </c>
      <c r="E127" s="14" t="n">
        <v>655000</v>
      </c>
      <c r="F127" s="14" t="n">
        <v>15327.87</v>
      </c>
      <c r="G127" s="14" t="n">
        <v>1915.98</v>
      </c>
      <c r="H127" s="14" t="n">
        <v>1915.98</v>
      </c>
      <c r="I127" s="14">
        <f>SUM(K127:T127)</f>
        <v/>
      </c>
      <c r="J127" s="14">
        <f>F127-(G127+H127+I127)</f>
        <v/>
      </c>
      <c r="K127" s="14" t="n">
        <v>1149.59</v>
      </c>
      <c r="L127" s="14" t="n">
        <v>1149.59</v>
      </c>
      <c r="M127" s="14" t="n">
        <v>1149.59</v>
      </c>
      <c r="N127" s="14" t="n">
        <v>1149.59</v>
      </c>
      <c r="O127" s="14" t="n">
        <v>1149.59</v>
      </c>
      <c r="P127" s="14" t="n">
        <v>1149.59</v>
      </c>
      <c r="Q127" s="14" t="n">
        <v>1149.59</v>
      </c>
      <c r="R127" s="14" t="n">
        <v>1149.59</v>
      </c>
      <c r="S127" s="14" t="n">
        <v>1149.59</v>
      </c>
      <c r="T127" s="14" t="n">
        <v>1149.59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CANON-202511-001904</t>
        </is>
      </c>
      <c r="B128" s="15" t="inlineStr">
        <is>
          <t>2025-11-24</t>
        </is>
      </c>
      <c r="C128" s="15" t="inlineStr">
        <is>
          <t>Aurelio Underwood</t>
        </is>
      </c>
      <c r="D128" s="15" t="inlineStr">
        <is>
          <t>FL</t>
        </is>
      </c>
      <c r="E128" s="16" t="n">
        <v>1655000</v>
      </c>
      <c r="F128" s="16" t="n">
        <v>32614.07</v>
      </c>
      <c r="G128" s="16" t="n">
        <v>4076.76</v>
      </c>
      <c r="H128" s="16" t="n">
        <v>4076.76</v>
      </c>
      <c r="I128" s="16">
        <f>SUM(K128:T128)</f>
        <v/>
      </c>
      <c r="J128" s="16">
        <f>F128-(G128+H128+I128)</f>
        <v/>
      </c>
      <c r="K128" s="16" t="n">
        <v>2446.06</v>
      </c>
      <c r="L128" s="16" t="n">
        <v>2446.06</v>
      </c>
      <c r="M128" s="16" t="n">
        <v>2446.06</v>
      </c>
      <c r="N128" s="16" t="n">
        <v>2446.06</v>
      </c>
      <c r="O128" s="16" t="n">
        <v>2446.06</v>
      </c>
      <c r="P128" s="16" t="n">
        <v>2446.06</v>
      </c>
      <c r="Q128" s="16" t="n">
        <v>2446.06</v>
      </c>
      <c r="R128" s="16" t="n">
        <v>2446.06</v>
      </c>
      <c r="S128" s="16" t="n">
        <v>2446.06</v>
      </c>
      <c r="T128" s="16" t="n">
        <v>2446.06</v>
      </c>
      <c r="U128" s="16" t="n">
        <v>350</v>
      </c>
      <c r="V128" s="16" t="n">
        <v>250</v>
      </c>
      <c r="W128" s="16">
        <f>U128+V128</f>
        <v/>
      </c>
    </row>
    <row r="129">
      <c r="A129" s="3" t="inlineStr">
        <is>
          <t>CANON-202511-001906</t>
        </is>
      </c>
      <c r="B129" s="3" t="inlineStr">
        <is>
          <t>2025-11-22</t>
        </is>
      </c>
      <c r="C129" s="3" t="inlineStr">
        <is>
          <t>Lorenzo Castellanos</t>
        </is>
      </c>
      <c r="D129" s="3" t="inlineStr">
        <is>
          <t>AL</t>
        </is>
      </c>
      <c r="E129" s="14" t="n">
        <v>295000</v>
      </c>
      <c r="F129" s="14" t="n">
        <v>4874.34</v>
      </c>
      <c r="G129" s="14" t="n">
        <v>609.29</v>
      </c>
      <c r="H129" s="14" t="n">
        <v>609.29</v>
      </c>
      <c r="I129" s="14">
        <f>SUM(K129:T129)</f>
        <v/>
      </c>
      <c r="J129" s="14">
        <f>F129-(G129+H129+I129)</f>
        <v/>
      </c>
      <c r="K129" s="14" t="n">
        <v>365.58</v>
      </c>
      <c r="L129" s="14" t="n">
        <v>365.58</v>
      </c>
      <c r="M129" s="14" t="n">
        <v>365.58</v>
      </c>
      <c r="N129" s="14" t="n">
        <v>365.58</v>
      </c>
      <c r="O129" s="14" t="n">
        <v>365.58</v>
      </c>
      <c r="P129" s="14" t="n">
        <v>365.58</v>
      </c>
      <c r="Q129" s="14" t="n">
        <v>365.58</v>
      </c>
      <c r="R129" s="14" t="n">
        <v>365.58</v>
      </c>
      <c r="S129" s="14" t="n">
        <v>365.58</v>
      </c>
      <c r="T129" s="14" t="n">
        <v>365.58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CANON-202511-001907</t>
        </is>
      </c>
      <c r="B130" s="15" t="inlineStr">
        <is>
          <t>2025-11-10</t>
        </is>
      </c>
      <c r="C130" s="15" t="inlineStr">
        <is>
          <t>Ramona Fairweather</t>
        </is>
      </c>
      <c r="D130" s="15" t="inlineStr">
        <is>
          <t>MT</t>
        </is>
      </c>
      <c r="E130" s="16" t="n">
        <v>155000</v>
      </c>
      <c r="F130" s="16" t="n">
        <v>1425.34</v>
      </c>
      <c r="G130" s="16" t="n">
        <v>178.17</v>
      </c>
      <c r="H130" s="16" t="n">
        <v>178.17</v>
      </c>
      <c r="I130" s="16">
        <f>SUM(K130:T130)</f>
        <v/>
      </c>
      <c r="J130" s="16">
        <f>F130-(G130+H130+I130)</f>
        <v/>
      </c>
      <c r="K130" s="16" t="n">
        <v>106.9</v>
      </c>
      <c r="L130" s="16" t="n">
        <v>106.9</v>
      </c>
      <c r="M130" s="16" t="n">
        <v>106.9</v>
      </c>
      <c r="N130" s="16" t="n">
        <v>106.9</v>
      </c>
      <c r="O130" s="16" t="n">
        <v>106.9</v>
      </c>
      <c r="P130" s="16" t="n">
        <v>106.9</v>
      </c>
      <c r="Q130" s="16" t="n">
        <v>106.9</v>
      </c>
      <c r="R130" s="16" t="n">
        <v>106.9</v>
      </c>
      <c r="S130" s="16" t="n">
        <v>106.9</v>
      </c>
      <c r="T130" s="16" t="n">
        <v>106.9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CANON-202511-001909</t>
        </is>
      </c>
      <c r="B131" s="3" t="inlineStr">
        <is>
          <t>2025-11-04</t>
        </is>
      </c>
      <c r="C131" s="3" t="inlineStr">
        <is>
          <t>Mireille Rourke</t>
        </is>
      </c>
      <c r="D131" s="3" t="inlineStr">
        <is>
          <t>VT</t>
        </is>
      </c>
      <c r="E131" s="14" t="n">
        <v>525000</v>
      </c>
      <c r="F131" s="14" t="n">
        <v>4777.67</v>
      </c>
      <c r="G131" s="14" t="n">
        <v>597.21</v>
      </c>
      <c r="H131" s="14" t="n">
        <v>597.21</v>
      </c>
      <c r="I131" s="14">
        <f>SUM(K131:T131)</f>
        <v/>
      </c>
      <c r="J131" s="14">
        <f>F131-(G131+H131+I131)</f>
        <v/>
      </c>
      <c r="K131" s="14" t="n">
        <v>358.33</v>
      </c>
      <c r="L131" s="14" t="n">
        <v>358.33</v>
      </c>
      <c r="M131" s="14" t="n">
        <v>358.33</v>
      </c>
      <c r="N131" s="14" t="n">
        <v>358.33</v>
      </c>
      <c r="O131" s="14" t="n">
        <v>358.33</v>
      </c>
      <c r="P131" s="14" t="n">
        <v>358.33</v>
      </c>
      <c r="Q131" s="14" t="n">
        <v>358.33</v>
      </c>
      <c r="R131" s="14" t="n">
        <v>358.33</v>
      </c>
      <c r="S131" s="14" t="n">
        <v>358.33</v>
      </c>
      <c r="T131" s="14" t="n">
        <v>358.33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CANON-202511-001910</t>
        </is>
      </c>
      <c r="B132" s="15" t="inlineStr">
        <is>
          <t>2025-11-22</t>
        </is>
      </c>
      <c r="C132" s="15" t="inlineStr">
        <is>
          <t>Noor Merriweather</t>
        </is>
      </c>
      <c r="D132" s="15" t="inlineStr">
        <is>
          <t>NE</t>
        </is>
      </c>
      <c r="E132" s="16" t="n">
        <v>425000</v>
      </c>
      <c r="F132" s="16" t="n">
        <v>8434.190000000001</v>
      </c>
      <c r="G132" s="16" t="n">
        <v>1054.27</v>
      </c>
      <c r="H132" s="16" t="n">
        <v>1054.27</v>
      </c>
      <c r="I132" s="16">
        <f>SUM(K132:T132)</f>
        <v/>
      </c>
      <c r="J132" s="16">
        <f>F132-(G132+H132+I132)</f>
        <v/>
      </c>
      <c r="K132" s="16" t="n">
        <v>632.5599999999999</v>
      </c>
      <c r="L132" s="16" t="n">
        <v>632.5599999999999</v>
      </c>
      <c r="M132" s="16" t="n">
        <v>632.5599999999999</v>
      </c>
      <c r="N132" s="16" t="n">
        <v>632.5599999999999</v>
      </c>
      <c r="O132" s="16" t="n">
        <v>632.5599999999999</v>
      </c>
      <c r="P132" s="16" t="n">
        <v>632.5599999999999</v>
      </c>
      <c r="Q132" s="16" t="n">
        <v>632.5599999999999</v>
      </c>
      <c r="R132" s="16" t="n">
        <v>632.5599999999999</v>
      </c>
      <c r="S132" s="16" t="n">
        <v>632.5599999999999</v>
      </c>
      <c r="T132" s="16" t="n">
        <v>632.5599999999999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CANON-202511-001913</t>
        </is>
      </c>
      <c r="B133" s="3" t="inlineStr">
        <is>
          <t>2025-11-04</t>
        </is>
      </c>
      <c r="C133" s="3" t="inlineStr">
        <is>
          <t>Priya Okonkwo</t>
        </is>
      </c>
      <c r="D133" s="3" t="inlineStr">
        <is>
          <t>SC</t>
        </is>
      </c>
      <c r="E133" s="14" t="n">
        <v>645000</v>
      </c>
      <c r="F133" s="14" t="n">
        <v>9018.280000000001</v>
      </c>
      <c r="G133" s="14" t="n">
        <v>1127.29</v>
      </c>
      <c r="H133" s="14" t="n">
        <v>1127.29</v>
      </c>
      <c r="I133" s="14">
        <f>SUM(K133:T133)</f>
        <v/>
      </c>
      <c r="J133" s="14">
        <f>F133-(G133+H133+I133)</f>
        <v/>
      </c>
      <c r="K133" s="14" t="n">
        <v>676.37</v>
      </c>
      <c r="L133" s="14" t="n">
        <v>676.37</v>
      </c>
      <c r="M133" s="14" t="n">
        <v>676.37</v>
      </c>
      <c r="N133" s="14" t="n">
        <v>676.37</v>
      </c>
      <c r="O133" s="14" t="n">
        <v>676.37</v>
      </c>
      <c r="P133" s="14" t="n">
        <v>676.37</v>
      </c>
      <c r="Q133" s="14" t="n">
        <v>676.37</v>
      </c>
      <c r="R133" s="14" t="n">
        <v>676.37</v>
      </c>
      <c r="S133" s="14" t="n">
        <v>676.37</v>
      </c>
      <c r="T133" s="14" t="n">
        <v>676.37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CANON-202511-001915</t>
        </is>
      </c>
      <c r="B134" s="15" t="inlineStr">
        <is>
          <t>2025-11-07</t>
        </is>
      </c>
      <c r="C134" s="15" t="inlineStr">
        <is>
          <t>Lorenzo Castellanos</t>
        </is>
      </c>
      <c r="D134" s="15" t="inlineStr">
        <is>
          <t>CO</t>
        </is>
      </c>
      <c r="E134" s="16" t="n">
        <v>630000</v>
      </c>
      <c r="F134" s="16" t="n">
        <v>7814.04</v>
      </c>
      <c r="G134" s="16" t="n">
        <v>976.75</v>
      </c>
      <c r="H134" s="16" t="n">
        <v>976.75</v>
      </c>
      <c r="I134" s="16">
        <f>SUM(K134:T134)</f>
        <v/>
      </c>
      <c r="J134" s="16">
        <f>F134-(G134+H134+I134)</f>
        <v/>
      </c>
      <c r="K134" s="16" t="n">
        <v>586.05</v>
      </c>
      <c r="L134" s="16" t="n">
        <v>586.05</v>
      </c>
      <c r="M134" s="16" t="n">
        <v>586.05</v>
      </c>
      <c r="N134" s="16" t="n">
        <v>586.05</v>
      </c>
      <c r="O134" s="16" t="n">
        <v>586.05</v>
      </c>
      <c r="P134" s="16" t="n">
        <v>586.05</v>
      </c>
      <c r="Q134" s="16" t="n">
        <v>586.05</v>
      </c>
      <c r="R134" s="16" t="n">
        <v>586.05</v>
      </c>
      <c r="S134" s="16" t="n">
        <v>586.05</v>
      </c>
      <c r="T134" s="16" t="n">
        <v>586.05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CANON-202511-001916</t>
        </is>
      </c>
      <c r="B135" s="3" t="inlineStr">
        <is>
          <t>2025-11-19</t>
        </is>
      </c>
      <c r="C135" s="3" t="inlineStr">
        <is>
          <t>Anouk Okonkwo</t>
        </is>
      </c>
      <c r="D135" s="3" t="inlineStr">
        <is>
          <t>OK</t>
        </is>
      </c>
      <c r="E135" s="14" t="n">
        <v>805000</v>
      </c>
      <c r="F135" s="14" t="n">
        <v>11436.9</v>
      </c>
      <c r="G135" s="14" t="n">
        <v>1429.61</v>
      </c>
      <c r="H135" s="14" t="n">
        <v>1429.61</v>
      </c>
      <c r="I135" s="14">
        <f>SUM(K135:T135)</f>
        <v/>
      </c>
      <c r="J135" s="14">
        <f>F135-(G135+H135+I135)</f>
        <v/>
      </c>
      <c r="K135" s="14" t="n">
        <v>857.77</v>
      </c>
      <c r="L135" s="14" t="n">
        <v>857.77</v>
      </c>
      <c r="M135" s="14" t="n">
        <v>857.77</v>
      </c>
      <c r="N135" s="14" t="n">
        <v>857.77</v>
      </c>
      <c r="O135" s="14" t="n">
        <v>857.77</v>
      </c>
      <c r="P135" s="14" t="n">
        <v>857.77</v>
      </c>
      <c r="Q135" s="14" t="n">
        <v>857.77</v>
      </c>
      <c r="R135" s="14" t="n">
        <v>857.77</v>
      </c>
      <c r="S135" s="14" t="n">
        <v>857.77</v>
      </c>
      <c r="T135" s="14" t="n">
        <v>857.77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CANON-202511-001918</t>
        </is>
      </c>
      <c r="B136" s="15" t="inlineStr">
        <is>
          <t>2025-11-21</t>
        </is>
      </c>
      <c r="C136" s="15" t="inlineStr">
        <is>
          <t>Thaddeus Montoya</t>
        </is>
      </c>
      <c r="D136" s="15" t="inlineStr">
        <is>
          <t>ID</t>
        </is>
      </c>
      <c r="E136" s="16" t="n">
        <v>1035000</v>
      </c>
      <c r="F136" s="16" t="n">
        <v>9776.129999999999</v>
      </c>
      <c r="G136" s="16" t="n">
        <v>1222.02</v>
      </c>
      <c r="H136" s="16" t="n">
        <v>1222.02</v>
      </c>
      <c r="I136" s="16">
        <f>SUM(K136:T136)</f>
        <v/>
      </c>
      <c r="J136" s="16">
        <f>F136-(G136+H136+I136)</f>
        <v/>
      </c>
      <c r="K136" s="16" t="n">
        <v>733.21</v>
      </c>
      <c r="L136" s="16" t="n">
        <v>733.21</v>
      </c>
      <c r="M136" s="16" t="n">
        <v>733.21</v>
      </c>
      <c r="N136" s="16" t="n">
        <v>733.21</v>
      </c>
      <c r="O136" s="16" t="n">
        <v>733.21</v>
      </c>
      <c r="P136" s="16" t="n">
        <v>733.21</v>
      </c>
      <c r="Q136" s="16" t="n">
        <v>733.21</v>
      </c>
      <c r="R136" s="16" t="n">
        <v>733.21</v>
      </c>
      <c r="S136" s="16" t="n">
        <v>733.21</v>
      </c>
      <c r="T136" s="16" t="n">
        <v>733.21</v>
      </c>
      <c r="U136" s="16" t="n">
        <v>350</v>
      </c>
      <c r="V136" s="16" t="n">
        <v>250</v>
      </c>
      <c r="W136" s="16">
        <f>U136+V136</f>
        <v/>
      </c>
    </row>
    <row r="137">
      <c r="A137" s="3" t="inlineStr">
        <is>
          <t>CANON-202511-001921</t>
        </is>
      </c>
      <c r="B137" s="3" t="inlineStr">
        <is>
          <t>2025-11-05</t>
        </is>
      </c>
      <c r="C137" s="3" t="inlineStr">
        <is>
          <t>Saoirse Farkas</t>
        </is>
      </c>
      <c r="D137" s="3" t="inlineStr">
        <is>
          <t>CA</t>
        </is>
      </c>
      <c r="E137" s="14" t="n">
        <v>350000</v>
      </c>
      <c r="F137" s="14" t="n">
        <v>6147.4</v>
      </c>
      <c r="G137" s="14" t="n">
        <v>768.42</v>
      </c>
      <c r="H137" s="14" t="n">
        <v>768.42</v>
      </c>
      <c r="I137" s="14">
        <f>SUM(K137:T137)</f>
        <v/>
      </c>
      <c r="J137" s="14">
        <f>F137-(G137+H137+I137)</f>
        <v/>
      </c>
      <c r="K137" s="14" t="n">
        <v>461.05</v>
      </c>
      <c r="L137" s="14" t="n">
        <v>461.05</v>
      </c>
      <c r="M137" s="14" t="n">
        <v>461.05</v>
      </c>
      <c r="N137" s="14" t="n">
        <v>461.05</v>
      </c>
      <c r="O137" s="14" t="n">
        <v>461.05</v>
      </c>
      <c r="P137" s="14" t="n">
        <v>461.05</v>
      </c>
      <c r="Q137" s="14" t="n">
        <v>461.05</v>
      </c>
      <c r="R137" s="14" t="n">
        <v>461.05</v>
      </c>
      <c r="S137" s="14" t="n">
        <v>461.05</v>
      </c>
      <c r="T137" s="14" t="n">
        <v>461.05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CANON-202511-001923</t>
        </is>
      </c>
      <c r="B138" s="15" t="inlineStr">
        <is>
          <t>2025-11-03</t>
        </is>
      </c>
      <c r="C138" s="15" t="inlineStr">
        <is>
          <t>Mireille Blackwood</t>
        </is>
      </c>
      <c r="D138" s="15" t="inlineStr">
        <is>
          <t>CA</t>
        </is>
      </c>
      <c r="E138" s="16" t="n">
        <v>1950000</v>
      </c>
      <c r="F138" s="16" t="n">
        <v>36533.14</v>
      </c>
      <c r="G138" s="16" t="n">
        <v>4566.64</v>
      </c>
      <c r="H138" s="16" t="n">
        <v>4566.64</v>
      </c>
      <c r="I138" s="16">
        <f>SUM(K138:T138)</f>
        <v/>
      </c>
      <c r="J138" s="16">
        <f>F138-(G138+H138+I138)</f>
        <v/>
      </c>
      <c r="K138" s="16" t="n">
        <v>2739.99</v>
      </c>
      <c r="L138" s="16" t="n">
        <v>2739.99</v>
      </c>
      <c r="M138" s="16" t="n">
        <v>2739.99</v>
      </c>
      <c r="N138" s="16" t="n">
        <v>2739.99</v>
      </c>
      <c r="O138" s="16" t="n">
        <v>2739.99</v>
      </c>
      <c r="P138" s="16" t="n">
        <v>2739.99</v>
      </c>
      <c r="Q138" s="16" t="n">
        <v>2739.99</v>
      </c>
      <c r="R138" s="16" t="n">
        <v>2739.99</v>
      </c>
      <c r="S138" s="16" t="n">
        <v>2739.99</v>
      </c>
      <c r="T138" s="16" t="n">
        <v>2739.99</v>
      </c>
      <c r="U138" s="16" t="n">
        <v>350</v>
      </c>
      <c r="V138" s="16" t="n">
        <v>250</v>
      </c>
      <c r="W138" s="16">
        <f>U138+V138</f>
        <v/>
      </c>
    </row>
    <row r="139">
      <c r="A139" s="3" t="inlineStr">
        <is>
          <t>CANON-202511-001925</t>
        </is>
      </c>
      <c r="B139" s="3" t="inlineStr">
        <is>
          <t>2025-11-08</t>
        </is>
      </c>
      <c r="C139" s="3" t="inlineStr">
        <is>
          <t>Cassius Thistlewood</t>
        </is>
      </c>
      <c r="D139" s="3" t="inlineStr">
        <is>
          <t>AZ</t>
        </is>
      </c>
      <c r="E139" s="14" t="n">
        <v>615000</v>
      </c>
      <c r="F139" s="14" t="n">
        <v>7003.88</v>
      </c>
      <c r="G139" s="14" t="n">
        <v>875.49</v>
      </c>
      <c r="H139" s="14" t="n">
        <v>875.49</v>
      </c>
      <c r="I139" s="14">
        <f>SUM(K139:T139)</f>
        <v/>
      </c>
      <c r="J139" s="14">
        <f>F139-(G139+H139+I139)</f>
        <v/>
      </c>
      <c r="K139" s="14" t="n">
        <v>525.29</v>
      </c>
      <c r="L139" s="14" t="n">
        <v>525.29</v>
      </c>
      <c r="M139" s="14" t="n">
        <v>525.29</v>
      </c>
      <c r="N139" s="14" t="n">
        <v>525.29</v>
      </c>
      <c r="O139" s="14" t="n">
        <v>525.29</v>
      </c>
      <c r="P139" s="14" t="n">
        <v>525.29</v>
      </c>
      <c r="Q139" s="14" t="n">
        <v>525.29</v>
      </c>
      <c r="R139" s="14" t="n">
        <v>525.29</v>
      </c>
      <c r="S139" s="14" t="n">
        <v>525.29</v>
      </c>
      <c r="T139" s="14" t="n">
        <v>525.29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CANON-202511-001926</t>
        </is>
      </c>
      <c r="B140" s="15" t="inlineStr">
        <is>
          <t>2025-11-16</t>
        </is>
      </c>
      <c r="C140" s="15" t="inlineStr">
        <is>
          <t>Thaddeus Castellanos</t>
        </is>
      </c>
      <c r="D140" s="15" t="inlineStr">
        <is>
          <t>MN</t>
        </is>
      </c>
      <c r="E140" s="16" t="n">
        <v>325000</v>
      </c>
      <c r="F140" s="16" t="n">
        <v>5581.45</v>
      </c>
      <c r="G140" s="16" t="n">
        <v>697.6799999999999</v>
      </c>
      <c r="H140" s="16" t="n">
        <v>697.6799999999999</v>
      </c>
      <c r="I140" s="16">
        <f>SUM(K140:T140)</f>
        <v/>
      </c>
      <c r="J140" s="16">
        <f>F140-(G140+H140+I140)</f>
        <v/>
      </c>
      <c r="K140" s="16" t="n">
        <v>418.61</v>
      </c>
      <c r="L140" s="16" t="n">
        <v>418.61</v>
      </c>
      <c r="M140" s="16" t="n">
        <v>418.61</v>
      </c>
      <c r="N140" s="16" t="n">
        <v>418.61</v>
      </c>
      <c r="O140" s="16" t="n">
        <v>418.61</v>
      </c>
      <c r="P140" s="16" t="n">
        <v>418.61</v>
      </c>
      <c r="Q140" s="16" t="n">
        <v>418.61</v>
      </c>
      <c r="R140" s="16" t="n">
        <v>418.61</v>
      </c>
      <c r="S140" s="16" t="n">
        <v>418.61</v>
      </c>
      <c r="T140" s="16" t="n">
        <v>418.61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CANON-202511-001927</t>
        </is>
      </c>
      <c r="B141" s="3" t="inlineStr">
        <is>
          <t>2025-11-05</t>
        </is>
      </c>
      <c r="C141" s="3" t="inlineStr">
        <is>
          <t>Mireille Pennington</t>
        </is>
      </c>
      <c r="D141" s="3" t="inlineStr">
        <is>
          <t>IL</t>
        </is>
      </c>
      <c r="E141" s="14" t="n">
        <v>440000</v>
      </c>
      <c r="F141" s="14" t="n">
        <v>7785.41</v>
      </c>
      <c r="G141" s="14" t="n">
        <v>973.1799999999999</v>
      </c>
      <c r="H141" s="14" t="n">
        <v>973.1799999999999</v>
      </c>
      <c r="I141" s="14">
        <f>SUM(K141:T141)</f>
        <v/>
      </c>
      <c r="J141" s="14">
        <f>F141-(G141+H141+I141)</f>
        <v/>
      </c>
      <c r="K141" s="14" t="n">
        <v>583.91</v>
      </c>
      <c r="L141" s="14" t="n">
        <v>583.91</v>
      </c>
      <c r="M141" s="14" t="n">
        <v>583.91</v>
      </c>
      <c r="N141" s="14" t="n">
        <v>583.91</v>
      </c>
      <c r="O141" s="14" t="n">
        <v>583.91</v>
      </c>
      <c r="P141" s="14" t="n">
        <v>583.91</v>
      </c>
      <c r="Q141" s="14" t="n">
        <v>583.91</v>
      </c>
      <c r="R141" s="14" t="n">
        <v>583.91</v>
      </c>
      <c r="S141" s="14" t="n">
        <v>583.91</v>
      </c>
      <c r="T141" s="14" t="n">
        <v>583.91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CANON-202511-001928</t>
        </is>
      </c>
      <c r="B142" s="15" t="inlineStr">
        <is>
          <t>2025-11-02</t>
        </is>
      </c>
      <c r="C142" s="15" t="inlineStr">
        <is>
          <t>Saoirse Fairweather</t>
        </is>
      </c>
      <c r="D142" s="15" t="inlineStr">
        <is>
          <t>IL</t>
        </is>
      </c>
      <c r="E142" s="16" t="n">
        <v>985000</v>
      </c>
      <c r="F142" s="16" t="n">
        <v>15104.88</v>
      </c>
      <c r="G142" s="16" t="n">
        <v>1888.11</v>
      </c>
      <c r="H142" s="16" t="n">
        <v>1888.11</v>
      </c>
      <c r="I142" s="16">
        <f>SUM(K142:T142)</f>
        <v/>
      </c>
      <c r="J142" s="16">
        <f>F142-(G142+H142+I142)</f>
        <v/>
      </c>
      <c r="K142" s="16" t="n">
        <v>1132.87</v>
      </c>
      <c r="L142" s="16" t="n">
        <v>1132.87</v>
      </c>
      <c r="M142" s="16" t="n">
        <v>1132.87</v>
      </c>
      <c r="N142" s="16" t="n">
        <v>1132.87</v>
      </c>
      <c r="O142" s="16" t="n">
        <v>1132.87</v>
      </c>
      <c r="P142" s="16" t="n">
        <v>1132.87</v>
      </c>
      <c r="Q142" s="16" t="n">
        <v>1132.87</v>
      </c>
      <c r="R142" s="16" t="n">
        <v>1132.87</v>
      </c>
      <c r="S142" s="16" t="n">
        <v>1132.87</v>
      </c>
      <c r="T142" s="16" t="n">
        <v>1132.87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CANON-202511-001934</t>
        </is>
      </c>
      <c r="B143" s="3" t="inlineStr">
        <is>
          <t>2025-11-13</t>
        </is>
      </c>
      <c r="C143" s="3" t="inlineStr">
        <is>
          <t>Everett Ashcombe</t>
        </is>
      </c>
      <c r="D143" s="3" t="inlineStr">
        <is>
          <t>TX</t>
        </is>
      </c>
      <c r="E143" s="14" t="n">
        <v>605000</v>
      </c>
      <c r="F143" s="14" t="n">
        <v>7845.04</v>
      </c>
      <c r="G143" s="14" t="n">
        <v>980.63</v>
      </c>
      <c r="H143" s="14" t="n">
        <v>980.63</v>
      </c>
      <c r="I143" s="14">
        <f>SUM(K143:T143)</f>
        <v/>
      </c>
      <c r="J143" s="14">
        <f>F143-(G143+H143+I143)</f>
        <v/>
      </c>
      <c r="K143" s="14" t="n">
        <v>588.38</v>
      </c>
      <c r="L143" s="14" t="n">
        <v>588.38</v>
      </c>
      <c r="M143" s="14" t="n">
        <v>588.38</v>
      </c>
      <c r="N143" s="14" t="n">
        <v>588.38</v>
      </c>
      <c r="O143" s="14" t="n">
        <v>588.38</v>
      </c>
      <c r="P143" s="14" t="n">
        <v>588.38</v>
      </c>
      <c r="Q143" s="14" t="n">
        <v>588.38</v>
      </c>
      <c r="R143" s="14" t="n">
        <v>588.38</v>
      </c>
      <c r="S143" s="14" t="n">
        <v>588.38</v>
      </c>
      <c r="T143" s="14" t="n">
        <v>588.38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CANON-202511-001935</t>
        </is>
      </c>
      <c r="B144" s="15" t="inlineStr">
        <is>
          <t>2025-11-09</t>
        </is>
      </c>
      <c r="C144" s="15" t="inlineStr">
        <is>
          <t>Cassius Kingsford</t>
        </is>
      </c>
      <c r="D144" s="15" t="inlineStr">
        <is>
          <t>NC</t>
        </is>
      </c>
      <c r="E144" s="16" t="n">
        <v>605000</v>
      </c>
      <c r="F144" s="16" t="n">
        <v>7845.04</v>
      </c>
      <c r="G144" s="16" t="n">
        <v>980.63</v>
      </c>
      <c r="H144" s="16" t="n">
        <v>980.63</v>
      </c>
      <c r="I144" s="16">
        <f>SUM(K144:T144)</f>
        <v/>
      </c>
      <c r="J144" s="16">
        <f>F144-(G144+H144+I144)</f>
        <v/>
      </c>
      <c r="K144" s="16" t="n">
        <v>588.38</v>
      </c>
      <c r="L144" s="16" t="n">
        <v>588.38</v>
      </c>
      <c r="M144" s="16" t="n">
        <v>588.38</v>
      </c>
      <c r="N144" s="16" t="n">
        <v>588.38</v>
      </c>
      <c r="O144" s="16" t="n">
        <v>588.38</v>
      </c>
      <c r="P144" s="16" t="n">
        <v>588.38</v>
      </c>
      <c r="Q144" s="16" t="n">
        <v>588.38</v>
      </c>
      <c r="R144" s="16" t="n">
        <v>588.38</v>
      </c>
      <c r="S144" s="16" t="n">
        <v>588.38</v>
      </c>
      <c r="T144" s="16" t="n">
        <v>588.38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CANON-202511-001936</t>
        </is>
      </c>
      <c r="B145" s="3" t="inlineStr">
        <is>
          <t>2025-11-26</t>
        </is>
      </c>
      <c r="C145" s="3" t="inlineStr">
        <is>
          <t>Beatrix Pennington</t>
        </is>
      </c>
      <c r="D145" s="3" t="inlineStr">
        <is>
          <t>WV</t>
        </is>
      </c>
      <c r="E145" s="14" t="n">
        <v>760000</v>
      </c>
      <c r="F145" s="14" t="n">
        <v>11397.43</v>
      </c>
      <c r="G145" s="14" t="n">
        <v>1424.68</v>
      </c>
      <c r="H145" s="14" t="n">
        <v>1424.68</v>
      </c>
      <c r="I145" s="14">
        <f>SUM(K145:T145)</f>
        <v/>
      </c>
      <c r="J145" s="14">
        <f>F145-(G145+H145+I145)</f>
        <v/>
      </c>
      <c r="K145" s="14" t="n">
        <v>854.8099999999999</v>
      </c>
      <c r="L145" s="14" t="n">
        <v>854.8099999999999</v>
      </c>
      <c r="M145" s="14" t="n">
        <v>854.8099999999999</v>
      </c>
      <c r="N145" s="14" t="n">
        <v>854.8099999999999</v>
      </c>
      <c r="O145" s="14" t="n">
        <v>854.8099999999999</v>
      </c>
      <c r="P145" s="14" t="n">
        <v>854.8099999999999</v>
      </c>
      <c r="Q145" s="14" t="n">
        <v>854.8099999999999</v>
      </c>
      <c r="R145" s="14" t="n">
        <v>854.8099999999999</v>
      </c>
      <c r="S145" s="14" t="n">
        <v>854.8099999999999</v>
      </c>
      <c r="T145" s="14" t="n">
        <v>854.8099999999999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CANON-202511-001937</t>
        </is>
      </c>
      <c r="B146" s="15" t="inlineStr">
        <is>
          <t>2025-11-26</t>
        </is>
      </c>
      <c r="C146" s="15" t="inlineStr">
        <is>
          <t>Ramona Blackwood</t>
        </is>
      </c>
      <c r="D146" s="15" t="inlineStr">
        <is>
          <t>CO</t>
        </is>
      </c>
      <c r="E146" s="16" t="n">
        <v>715000</v>
      </c>
      <c r="F146" s="16" t="n">
        <v>8868.299999999999</v>
      </c>
      <c r="G146" s="16" t="n">
        <v>1108.54</v>
      </c>
      <c r="H146" s="16" t="n">
        <v>1108.54</v>
      </c>
      <c r="I146" s="16">
        <f>SUM(K146:T146)</f>
        <v/>
      </c>
      <c r="J146" s="16">
        <f>F146-(G146+H146+I146)</f>
        <v/>
      </c>
      <c r="K146" s="16" t="n">
        <v>665.12</v>
      </c>
      <c r="L146" s="16" t="n">
        <v>665.12</v>
      </c>
      <c r="M146" s="16" t="n">
        <v>665.12</v>
      </c>
      <c r="N146" s="16" t="n">
        <v>665.12</v>
      </c>
      <c r="O146" s="16" t="n">
        <v>665.12</v>
      </c>
      <c r="P146" s="16" t="n">
        <v>665.12</v>
      </c>
      <c r="Q146" s="16" t="n">
        <v>665.12</v>
      </c>
      <c r="R146" s="16" t="n">
        <v>665.12</v>
      </c>
      <c r="S146" s="16" t="n">
        <v>665.12</v>
      </c>
      <c r="T146" s="16" t="n">
        <v>665.12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CANON-202511-001939</t>
        </is>
      </c>
      <c r="B147" s="3" t="inlineStr">
        <is>
          <t>2025-11-21</t>
        </is>
      </c>
      <c r="C147" s="3" t="inlineStr">
        <is>
          <t>Delphine Vasquez</t>
        </is>
      </c>
      <c r="D147" s="3" t="inlineStr">
        <is>
          <t>UT</t>
        </is>
      </c>
      <c r="E147" s="14" t="n">
        <v>520000</v>
      </c>
      <c r="F147" s="14" t="n">
        <v>7915.51</v>
      </c>
      <c r="G147" s="14" t="n">
        <v>989.4400000000001</v>
      </c>
      <c r="H147" s="14" t="n">
        <v>989.4400000000001</v>
      </c>
      <c r="I147" s="14">
        <f>SUM(K147:T147)</f>
        <v/>
      </c>
      <c r="J147" s="14">
        <f>F147-(G147+H147+I147)</f>
        <v/>
      </c>
      <c r="K147" s="14" t="n">
        <v>593.66</v>
      </c>
      <c r="L147" s="14" t="n">
        <v>593.66</v>
      </c>
      <c r="M147" s="14" t="n">
        <v>593.66</v>
      </c>
      <c r="N147" s="14" t="n">
        <v>593.66</v>
      </c>
      <c r="O147" s="14" t="n">
        <v>593.66</v>
      </c>
      <c r="P147" s="14" t="n">
        <v>593.66</v>
      </c>
      <c r="Q147" s="14" t="n">
        <v>593.66</v>
      </c>
      <c r="R147" s="14" t="n">
        <v>593.66</v>
      </c>
      <c r="S147" s="14" t="n">
        <v>593.66</v>
      </c>
      <c r="T147" s="14" t="n">
        <v>593.66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CANON-202511-001940</t>
        </is>
      </c>
      <c r="B148" s="15" t="inlineStr">
        <is>
          <t>2025-11-23</t>
        </is>
      </c>
      <c r="C148" s="15" t="inlineStr">
        <is>
          <t>Noor Bellandi</t>
        </is>
      </c>
      <c r="D148" s="15" t="inlineStr">
        <is>
          <t>TX</t>
        </is>
      </c>
      <c r="E148" s="16" t="n">
        <v>765000</v>
      </c>
      <c r="F148" s="16" t="n">
        <v>9919.77</v>
      </c>
      <c r="G148" s="16" t="n">
        <v>1239.97</v>
      </c>
      <c r="H148" s="16" t="n">
        <v>1239.97</v>
      </c>
      <c r="I148" s="16">
        <f>SUM(K148:T148)</f>
        <v/>
      </c>
      <c r="J148" s="16">
        <f>F148-(G148+H148+I148)</f>
        <v/>
      </c>
      <c r="K148" s="16" t="n">
        <v>743.98</v>
      </c>
      <c r="L148" s="16" t="n">
        <v>743.98</v>
      </c>
      <c r="M148" s="16" t="n">
        <v>743.98</v>
      </c>
      <c r="N148" s="16" t="n">
        <v>743.98</v>
      </c>
      <c r="O148" s="16" t="n">
        <v>743.98</v>
      </c>
      <c r="P148" s="16" t="n">
        <v>743.98</v>
      </c>
      <c r="Q148" s="16" t="n">
        <v>743.98</v>
      </c>
      <c r="R148" s="16" t="n">
        <v>743.98</v>
      </c>
      <c r="S148" s="16" t="n">
        <v>743.98</v>
      </c>
      <c r="T148" s="16" t="n">
        <v>743.98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CANON-202511-001941</t>
        </is>
      </c>
      <c r="B149" s="3" t="inlineStr">
        <is>
          <t>2025-11-18</t>
        </is>
      </c>
      <c r="C149" s="3" t="inlineStr">
        <is>
          <t>Desmond Vasquez</t>
        </is>
      </c>
      <c r="D149" s="3" t="inlineStr">
        <is>
          <t>TX</t>
        </is>
      </c>
      <c r="E149" s="14" t="n">
        <v>280000</v>
      </c>
      <c r="F149" s="14" t="n">
        <v>4189.34</v>
      </c>
      <c r="G149" s="14" t="n">
        <v>523.67</v>
      </c>
      <c r="H149" s="14" t="n">
        <v>523.67</v>
      </c>
      <c r="I149" s="14">
        <f>SUM(K149:T149)</f>
        <v/>
      </c>
      <c r="J149" s="14">
        <f>F149-(G149+H149+I149)</f>
        <v/>
      </c>
      <c r="K149" s="14" t="n">
        <v>314.2</v>
      </c>
      <c r="L149" s="14" t="n">
        <v>314.2</v>
      </c>
      <c r="M149" s="14" t="n">
        <v>314.2</v>
      </c>
      <c r="N149" s="14" t="n">
        <v>314.2</v>
      </c>
      <c r="O149" s="14" t="n">
        <v>314.2</v>
      </c>
      <c r="P149" s="14" t="n">
        <v>314.2</v>
      </c>
      <c r="Q149" s="14" t="n">
        <v>314.2</v>
      </c>
      <c r="R149" s="14" t="n">
        <v>314.2</v>
      </c>
      <c r="S149" s="14" t="n">
        <v>314.2</v>
      </c>
      <c r="T149" s="14" t="n">
        <v>314.2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CANON-202511-001943</t>
        </is>
      </c>
      <c r="B150" s="15" t="inlineStr">
        <is>
          <t>2025-11-01</t>
        </is>
      </c>
      <c r="C150" s="15" t="inlineStr">
        <is>
          <t>Ottilie Farkas</t>
        </is>
      </c>
      <c r="D150" s="15" t="inlineStr">
        <is>
          <t>MO</t>
        </is>
      </c>
      <c r="E150" s="16" t="n">
        <v>1400000</v>
      </c>
      <c r="F150" s="16" t="n">
        <v>14158.76</v>
      </c>
      <c r="G150" s="16" t="n">
        <v>1769.85</v>
      </c>
      <c r="H150" s="16" t="n">
        <v>1769.85</v>
      </c>
      <c r="I150" s="16">
        <f>SUM(K150:T150)</f>
        <v/>
      </c>
      <c r="J150" s="16">
        <f>F150-(G150+H150+I150)</f>
        <v/>
      </c>
      <c r="K150" s="16" t="n">
        <v>1061.91</v>
      </c>
      <c r="L150" s="16" t="n">
        <v>1061.91</v>
      </c>
      <c r="M150" s="16" t="n">
        <v>1061.91</v>
      </c>
      <c r="N150" s="16" t="n">
        <v>1061.91</v>
      </c>
      <c r="O150" s="16" t="n">
        <v>1061.91</v>
      </c>
      <c r="P150" s="16" t="n">
        <v>1061.91</v>
      </c>
      <c r="Q150" s="16" t="n">
        <v>1061.91</v>
      </c>
      <c r="R150" s="16" t="n">
        <v>1061.91</v>
      </c>
      <c r="S150" s="16" t="n">
        <v>1061.91</v>
      </c>
      <c r="T150" s="16" t="n">
        <v>1061.91</v>
      </c>
      <c r="U150" s="16" t="n">
        <v>350</v>
      </c>
      <c r="V150" s="16" t="n">
        <v>250</v>
      </c>
      <c r="W150" s="16">
        <f>U150+V150</f>
        <v/>
      </c>
    </row>
    <row r="151">
      <c r="A151" s="3" t="inlineStr">
        <is>
          <t>CANON-202511-001944</t>
        </is>
      </c>
      <c r="B151" s="3" t="inlineStr">
        <is>
          <t>2025-11-06</t>
        </is>
      </c>
      <c r="C151" s="3" t="inlineStr">
        <is>
          <t>Ramona Blackwood</t>
        </is>
      </c>
      <c r="D151" s="3" t="inlineStr">
        <is>
          <t>LA</t>
        </is>
      </c>
      <c r="E151" s="14" t="n">
        <v>125000</v>
      </c>
      <c r="F151" s="14" t="n">
        <v>2754.95</v>
      </c>
      <c r="G151" s="14" t="n">
        <v>344.37</v>
      </c>
      <c r="H151" s="14" t="n">
        <v>344.37</v>
      </c>
      <c r="I151" s="14">
        <f>SUM(K151:T151)</f>
        <v/>
      </c>
      <c r="J151" s="14">
        <f>F151-(G151+H151+I151)</f>
        <v/>
      </c>
      <c r="K151" s="14" t="n">
        <v>206.62</v>
      </c>
      <c r="L151" s="14" t="n">
        <v>206.62</v>
      </c>
      <c r="M151" s="14" t="n">
        <v>206.62</v>
      </c>
      <c r="N151" s="14" t="n">
        <v>206.62</v>
      </c>
      <c r="O151" s="14" t="n">
        <v>206.62</v>
      </c>
      <c r="P151" s="14" t="n">
        <v>206.62</v>
      </c>
      <c r="Q151" s="14" t="n">
        <v>206.62</v>
      </c>
      <c r="R151" s="14" t="n">
        <v>206.62</v>
      </c>
      <c r="S151" s="14" t="n">
        <v>206.62</v>
      </c>
      <c r="T151" s="14" t="n">
        <v>206.62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CANON-202511-001946</t>
        </is>
      </c>
      <c r="B152" s="15" t="inlineStr">
        <is>
          <t>2025-11-15</t>
        </is>
      </c>
      <c r="C152" s="15" t="inlineStr">
        <is>
          <t>Thaddeus Blackwood</t>
        </is>
      </c>
      <c r="D152" s="15" t="inlineStr">
        <is>
          <t>CA</t>
        </is>
      </c>
      <c r="E152" s="16" t="n">
        <v>895000</v>
      </c>
      <c r="F152" s="16" t="n">
        <v>19911.73</v>
      </c>
      <c r="G152" s="16" t="n">
        <v>2488.97</v>
      </c>
      <c r="H152" s="16" t="n">
        <v>2488.97</v>
      </c>
      <c r="I152" s="16">
        <f>SUM(K152:T152)</f>
        <v/>
      </c>
      <c r="J152" s="16">
        <f>F152-(G152+H152+I152)</f>
        <v/>
      </c>
      <c r="K152" s="16" t="n">
        <v>1493.38</v>
      </c>
      <c r="L152" s="16" t="n">
        <v>1493.38</v>
      </c>
      <c r="M152" s="16" t="n">
        <v>1493.38</v>
      </c>
      <c r="N152" s="16" t="n">
        <v>1493.38</v>
      </c>
      <c r="O152" s="16" t="n">
        <v>1493.38</v>
      </c>
      <c r="P152" s="16" t="n">
        <v>1493.38</v>
      </c>
      <c r="Q152" s="16" t="n">
        <v>1493.38</v>
      </c>
      <c r="R152" s="16" t="n">
        <v>1493.38</v>
      </c>
      <c r="S152" s="16" t="n">
        <v>1493.38</v>
      </c>
      <c r="T152" s="16" t="n">
        <v>1493.38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CANON-202511-001947</t>
        </is>
      </c>
      <c r="B153" s="3" t="inlineStr">
        <is>
          <t>2025-11-01</t>
        </is>
      </c>
      <c r="C153" s="3" t="inlineStr">
        <is>
          <t>Mireille Farkas</t>
        </is>
      </c>
      <c r="D153" s="3" t="inlineStr">
        <is>
          <t>WA</t>
        </is>
      </c>
      <c r="E153" s="14" t="n">
        <v>660000</v>
      </c>
      <c r="F153" s="14" t="n">
        <v>7144.26</v>
      </c>
      <c r="G153" s="14" t="n">
        <v>893.03</v>
      </c>
      <c r="H153" s="14" t="n">
        <v>893.03</v>
      </c>
      <c r="I153" s="14">
        <f>SUM(K153:T153)</f>
        <v/>
      </c>
      <c r="J153" s="14">
        <f>F153-(G153+H153+I153)</f>
        <v/>
      </c>
      <c r="K153" s="14" t="n">
        <v>535.8200000000001</v>
      </c>
      <c r="L153" s="14" t="n">
        <v>535.8200000000001</v>
      </c>
      <c r="M153" s="14" t="n">
        <v>535.8200000000001</v>
      </c>
      <c r="N153" s="14" t="n">
        <v>535.8200000000001</v>
      </c>
      <c r="O153" s="14" t="n">
        <v>535.8200000000001</v>
      </c>
      <c r="P153" s="14" t="n">
        <v>535.8200000000001</v>
      </c>
      <c r="Q153" s="14" t="n">
        <v>535.8200000000001</v>
      </c>
      <c r="R153" s="14" t="n">
        <v>535.8200000000001</v>
      </c>
      <c r="S153" s="14" t="n">
        <v>535.8200000000001</v>
      </c>
      <c r="T153" s="14" t="n">
        <v>535.8200000000001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CANON-202511-001948</t>
        </is>
      </c>
      <c r="B154" s="15" t="inlineStr">
        <is>
          <t>2025-11-22</t>
        </is>
      </c>
      <c r="C154" s="15" t="inlineStr">
        <is>
          <t>Beatrix Bellandi</t>
        </is>
      </c>
      <c r="D154" s="15" t="inlineStr">
        <is>
          <t>NY</t>
        </is>
      </c>
      <c r="E154" s="16" t="n">
        <v>535000</v>
      </c>
      <c r="F154" s="16" t="n">
        <v>5108.11</v>
      </c>
      <c r="G154" s="16" t="n">
        <v>638.51</v>
      </c>
      <c r="H154" s="16" t="n">
        <v>638.51</v>
      </c>
      <c r="I154" s="16">
        <f>SUM(K154:T154)</f>
        <v/>
      </c>
      <c r="J154" s="16">
        <f>F154-(G154+H154+I154)</f>
        <v/>
      </c>
      <c r="K154" s="16" t="n">
        <v>383.11</v>
      </c>
      <c r="L154" s="16" t="n">
        <v>383.11</v>
      </c>
      <c r="M154" s="16" t="n">
        <v>383.11</v>
      </c>
      <c r="N154" s="16" t="n">
        <v>383.11</v>
      </c>
      <c r="O154" s="16" t="n">
        <v>383.11</v>
      </c>
      <c r="P154" s="16" t="n">
        <v>383.11</v>
      </c>
      <c r="Q154" s="16" t="n">
        <v>383.11</v>
      </c>
      <c r="R154" s="16" t="n">
        <v>383.11</v>
      </c>
      <c r="S154" s="16" t="n">
        <v>383.11</v>
      </c>
      <c r="T154" s="16" t="n">
        <v>383.11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CANON-202511-001949</t>
        </is>
      </c>
      <c r="B155" s="3" t="inlineStr">
        <is>
          <t>2025-11-06</t>
        </is>
      </c>
      <c r="C155" s="3" t="inlineStr">
        <is>
          <t>Thaddeus Underwood</t>
        </is>
      </c>
      <c r="D155" s="3" t="inlineStr">
        <is>
          <t>KS</t>
        </is>
      </c>
      <c r="E155" s="14" t="n">
        <v>1275000</v>
      </c>
      <c r="F155" s="14" t="n">
        <v>17163.29</v>
      </c>
      <c r="G155" s="14" t="n">
        <v>2145.41</v>
      </c>
      <c r="H155" s="14" t="n">
        <v>2145.41</v>
      </c>
      <c r="I155" s="14">
        <f>SUM(K155:T155)</f>
        <v/>
      </c>
      <c r="J155" s="14">
        <f>F155-(G155+H155+I155)</f>
        <v/>
      </c>
      <c r="K155" s="14" t="n">
        <v>1287.25</v>
      </c>
      <c r="L155" s="14" t="n">
        <v>1287.25</v>
      </c>
      <c r="M155" s="14" t="n">
        <v>1287.25</v>
      </c>
      <c r="N155" s="14" t="n">
        <v>1287.25</v>
      </c>
      <c r="O155" s="14" t="n">
        <v>1287.25</v>
      </c>
      <c r="P155" s="14" t="n">
        <v>1287.25</v>
      </c>
      <c r="Q155" s="14" t="n">
        <v>1287.25</v>
      </c>
      <c r="R155" s="14" t="n">
        <v>1287.25</v>
      </c>
      <c r="S155" s="14" t="n">
        <v>1287.25</v>
      </c>
      <c r="T155" s="14" t="n">
        <v>1287.25</v>
      </c>
      <c r="U155" s="14" t="n">
        <v>350</v>
      </c>
      <c r="V155" s="14" t="n">
        <v>250</v>
      </c>
      <c r="W155" s="14">
        <f>U155+V155</f>
        <v/>
      </c>
    </row>
    <row r="156">
      <c r="A156" s="15" t="inlineStr">
        <is>
          <t>CANON-202511-001950</t>
        </is>
      </c>
      <c r="B156" s="15" t="inlineStr">
        <is>
          <t>2025-11-28</t>
        </is>
      </c>
      <c r="C156" s="15" t="inlineStr">
        <is>
          <t>Fitzgerald Ashcombe</t>
        </is>
      </c>
      <c r="D156" s="15" t="inlineStr">
        <is>
          <t>OR</t>
        </is>
      </c>
      <c r="E156" s="16" t="n">
        <v>1615000</v>
      </c>
      <c r="F156" s="16" t="n">
        <v>12029.94</v>
      </c>
      <c r="G156" s="16" t="n">
        <v>1503.74</v>
      </c>
      <c r="H156" s="16" t="n">
        <v>1503.74</v>
      </c>
      <c r="I156" s="16">
        <f>SUM(K156:T156)</f>
        <v/>
      </c>
      <c r="J156" s="16">
        <f>F156-(G156+H156+I156)</f>
        <v/>
      </c>
      <c r="K156" s="16" t="n">
        <v>902.25</v>
      </c>
      <c r="L156" s="16" t="n">
        <v>902.25</v>
      </c>
      <c r="M156" s="16" t="n">
        <v>902.25</v>
      </c>
      <c r="N156" s="16" t="n">
        <v>902.25</v>
      </c>
      <c r="O156" s="16" t="n">
        <v>902.25</v>
      </c>
      <c r="P156" s="16" t="n">
        <v>902.25</v>
      </c>
      <c r="Q156" s="16" t="n">
        <v>902.25</v>
      </c>
      <c r="R156" s="16" t="n">
        <v>902.25</v>
      </c>
      <c r="S156" s="16" t="n">
        <v>902.25</v>
      </c>
      <c r="T156" s="16" t="n">
        <v>902.25</v>
      </c>
      <c r="U156" s="16" t="n">
        <v>350</v>
      </c>
      <c r="V156" s="16" t="n">
        <v>250</v>
      </c>
      <c r="W156" s="16">
        <f>U156+V156</f>
        <v/>
      </c>
    </row>
    <row r="157">
      <c r="A157" s="3" t="inlineStr">
        <is>
          <t>CANON-202511-001951</t>
        </is>
      </c>
      <c r="B157" s="3" t="inlineStr">
        <is>
          <t>2025-11-22</t>
        </is>
      </c>
      <c r="C157" s="3" t="inlineStr">
        <is>
          <t>Aurelio Farkas</t>
        </is>
      </c>
      <c r="D157" s="3" t="inlineStr">
        <is>
          <t>TX</t>
        </is>
      </c>
      <c r="E157" s="14" t="n">
        <v>680000</v>
      </c>
      <c r="F157" s="14" t="n">
        <v>8817.57</v>
      </c>
      <c r="G157" s="14" t="n">
        <v>1102.2</v>
      </c>
      <c r="H157" s="14" t="n">
        <v>1102.2</v>
      </c>
      <c r="I157" s="14">
        <f>SUM(K157:T157)</f>
        <v/>
      </c>
      <c r="J157" s="14">
        <f>F157-(G157+H157+I157)</f>
        <v/>
      </c>
      <c r="K157" s="14" t="n">
        <v>661.3200000000001</v>
      </c>
      <c r="L157" s="14" t="n">
        <v>661.3200000000001</v>
      </c>
      <c r="M157" s="14" t="n">
        <v>661.3200000000001</v>
      </c>
      <c r="N157" s="14" t="n">
        <v>661.3200000000001</v>
      </c>
      <c r="O157" s="14" t="n">
        <v>661.3200000000001</v>
      </c>
      <c r="P157" s="14" t="n">
        <v>661.3200000000001</v>
      </c>
      <c r="Q157" s="14" t="n">
        <v>661.3200000000001</v>
      </c>
      <c r="R157" s="14" t="n">
        <v>661.3200000000001</v>
      </c>
      <c r="S157" s="14" t="n">
        <v>661.3200000000001</v>
      </c>
      <c r="T157" s="14" t="n">
        <v>661.3200000000001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CANON-202511-001952</t>
        </is>
      </c>
      <c r="B158" s="15" t="inlineStr">
        <is>
          <t>2025-11-04</t>
        </is>
      </c>
      <c r="C158" s="15" t="inlineStr">
        <is>
          <t>Sunniva Vasquez</t>
        </is>
      </c>
      <c r="D158" s="15" t="inlineStr">
        <is>
          <t>MS</t>
        </is>
      </c>
      <c r="E158" s="16" t="n">
        <v>560000</v>
      </c>
      <c r="F158" s="16" t="n">
        <v>7514.1</v>
      </c>
      <c r="G158" s="16" t="n">
        <v>939.26</v>
      </c>
      <c r="H158" s="16" t="n">
        <v>939.26</v>
      </c>
      <c r="I158" s="16">
        <f>SUM(K158:T158)</f>
        <v/>
      </c>
      <c r="J158" s="16">
        <f>F158-(G158+H158+I158)</f>
        <v/>
      </c>
      <c r="K158" s="16" t="n">
        <v>563.5599999999999</v>
      </c>
      <c r="L158" s="16" t="n">
        <v>563.5599999999999</v>
      </c>
      <c r="M158" s="16" t="n">
        <v>563.5599999999999</v>
      </c>
      <c r="N158" s="16" t="n">
        <v>563.5599999999999</v>
      </c>
      <c r="O158" s="16" t="n">
        <v>563.5599999999999</v>
      </c>
      <c r="P158" s="16" t="n">
        <v>563.5599999999999</v>
      </c>
      <c r="Q158" s="16" t="n">
        <v>563.5599999999999</v>
      </c>
      <c r="R158" s="16" t="n">
        <v>563.5599999999999</v>
      </c>
      <c r="S158" s="16" t="n">
        <v>563.5599999999999</v>
      </c>
      <c r="T158" s="16" t="n">
        <v>563.5599999999999</v>
      </c>
      <c r="U158" s="16" t="n">
        <v>350</v>
      </c>
      <c r="V158" s="16" t="n">
        <v>0</v>
      </c>
      <c r="W158" s="16">
        <f>U158+V158</f>
        <v/>
      </c>
    </row>
    <row r="159">
      <c r="A159" s="3" t="inlineStr">
        <is>
          <t>CANON-202511-001953</t>
        </is>
      </c>
      <c r="B159" s="3" t="inlineStr">
        <is>
          <t>2025-11-10</t>
        </is>
      </c>
      <c r="C159" s="3" t="inlineStr">
        <is>
          <t>Lorenzo Rourke</t>
        </is>
      </c>
      <c r="D159" s="3" t="inlineStr">
        <is>
          <t>VT</t>
        </is>
      </c>
      <c r="E159" s="14" t="n">
        <v>985000</v>
      </c>
      <c r="F159" s="14" t="n">
        <v>13549.96</v>
      </c>
      <c r="G159" s="14" t="n">
        <v>1693.74</v>
      </c>
      <c r="H159" s="14" t="n">
        <v>1693.74</v>
      </c>
      <c r="I159" s="14">
        <f>SUM(K159:T159)</f>
        <v/>
      </c>
      <c r="J159" s="14">
        <f>F159-(G159+H159+I159)</f>
        <v/>
      </c>
      <c r="K159" s="14" t="n">
        <v>1016.25</v>
      </c>
      <c r="L159" s="14" t="n">
        <v>1016.25</v>
      </c>
      <c r="M159" s="14" t="n">
        <v>1016.25</v>
      </c>
      <c r="N159" s="14" t="n">
        <v>1016.25</v>
      </c>
      <c r="O159" s="14" t="n">
        <v>1016.25</v>
      </c>
      <c r="P159" s="14" t="n">
        <v>1016.25</v>
      </c>
      <c r="Q159" s="14" t="n">
        <v>1016.25</v>
      </c>
      <c r="R159" s="14" t="n">
        <v>1016.25</v>
      </c>
      <c r="S159" s="14" t="n">
        <v>1016.25</v>
      </c>
      <c r="T159" s="14" t="n">
        <v>1016.25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CANON-202511-001954</t>
        </is>
      </c>
      <c r="B160" s="15" t="inlineStr">
        <is>
          <t>2025-11-16</t>
        </is>
      </c>
      <c r="C160" s="15" t="inlineStr">
        <is>
          <t>Leopold Pennington</t>
        </is>
      </c>
      <c r="D160" s="15" t="inlineStr">
        <is>
          <t>CO</t>
        </is>
      </c>
      <c r="E160" s="16" t="n">
        <v>885000</v>
      </c>
      <c r="F160" s="16" t="n">
        <v>16043.1</v>
      </c>
      <c r="G160" s="16" t="n">
        <v>2005.39</v>
      </c>
      <c r="H160" s="16" t="n">
        <v>2005.39</v>
      </c>
      <c r="I160" s="16">
        <f>SUM(K160:T160)</f>
        <v/>
      </c>
      <c r="J160" s="16">
        <f>F160-(G160+H160+I160)</f>
        <v/>
      </c>
      <c r="K160" s="16" t="n">
        <v>1203.23</v>
      </c>
      <c r="L160" s="16" t="n">
        <v>1203.23</v>
      </c>
      <c r="M160" s="16" t="n">
        <v>1203.23</v>
      </c>
      <c r="N160" s="16" t="n">
        <v>1203.23</v>
      </c>
      <c r="O160" s="16" t="n">
        <v>1203.23</v>
      </c>
      <c r="P160" s="16" t="n">
        <v>1203.23</v>
      </c>
      <c r="Q160" s="16" t="n">
        <v>1203.23</v>
      </c>
      <c r="R160" s="16" t="n">
        <v>1203.23</v>
      </c>
      <c r="S160" s="16" t="n">
        <v>1203.23</v>
      </c>
      <c r="T160" s="16" t="n">
        <v>1203.23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CANON-202511-001955</t>
        </is>
      </c>
      <c r="B161" s="3" t="inlineStr">
        <is>
          <t>2025-11-09</t>
        </is>
      </c>
      <c r="C161" s="3" t="inlineStr">
        <is>
          <t>Fenwick Underwood</t>
        </is>
      </c>
      <c r="D161" s="3" t="inlineStr">
        <is>
          <t>OH</t>
        </is>
      </c>
      <c r="E161" s="14" t="n">
        <v>395000</v>
      </c>
      <c r="F161" s="14" t="n">
        <v>7143.35</v>
      </c>
      <c r="G161" s="14" t="n">
        <v>892.92</v>
      </c>
      <c r="H161" s="14" t="n">
        <v>892.92</v>
      </c>
      <c r="I161" s="14">
        <f>SUM(K161:T161)</f>
        <v/>
      </c>
      <c r="J161" s="14">
        <f>F161-(G161+H161+I161)</f>
        <v/>
      </c>
      <c r="K161" s="14" t="n">
        <v>535.75</v>
      </c>
      <c r="L161" s="14" t="n">
        <v>535.75</v>
      </c>
      <c r="M161" s="14" t="n">
        <v>535.75</v>
      </c>
      <c r="N161" s="14" t="n">
        <v>535.75</v>
      </c>
      <c r="O161" s="14" t="n">
        <v>535.75</v>
      </c>
      <c r="P161" s="14" t="n">
        <v>535.75</v>
      </c>
      <c r="Q161" s="14" t="n">
        <v>535.75</v>
      </c>
      <c r="R161" s="14" t="n">
        <v>535.75</v>
      </c>
      <c r="S161" s="14" t="n">
        <v>535.75</v>
      </c>
      <c r="T161" s="14" t="n">
        <v>535.75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CANON-202511-001956</t>
        </is>
      </c>
      <c r="B162" s="15" t="inlineStr">
        <is>
          <t>2025-11-14</t>
        </is>
      </c>
      <c r="C162" s="15" t="inlineStr">
        <is>
          <t>Wilhelmina Chattopadhyay</t>
        </is>
      </c>
      <c r="D162" s="15" t="inlineStr">
        <is>
          <t>LA</t>
        </is>
      </c>
      <c r="E162" s="16" t="n">
        <v>715000</v>
      </c>
      <c r="F162" s="16" t="n">
        <v>9755.139999999999</v>
      </c>
      <c r="G162" s="16" t="n">
        <v>1219.39</v>
      </c>
      <c r="H162" s="16" t="n">
        <v>1219.39</v>
      </c>
      <c r="I162" s="16">
        <f>SUM(K162:T162)</f>
        <v/>
      </c>
      <c r="J162" s="16">
        <f>F162-(G162+H162+I162)</f>
        <v/>
      </c>
      <c r="K162" s="16" t="n">
        <v>731.64</v>
      </c>
      <c r="L162" s="16" t="n">
        <v>731.64</v>
      </c>
      <c r="M162" s="16" t="n">
        <v>731.64</v>
      </c>
      <c r="N162" s="16" t="n">
        <v>731.64</v>
      </c>
      <c r="O162" s="16" t="n">
        <v>731.64</v>
      </c>
      <c r="P162" s="16" t="n">
        <v>731.64</v>
      </c>
      <c r="Q162" s="16" t="n">
        <v>731.64</v>
      </c>
      <c r="R162" s="16" t="n">
        <v>731.64</v>
      </c>
      <c r="S162" s="16" t="n">
        <v>731.64</v>
      </c>
      <c r="T162" s="16" t="n">
        <v>731.64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CANON-202511-001957</t>
        </is>
      </c>
      <c r="B163" s="3" t="inlineStr">
        <is>
          <t>2025-11-23</t>
        </is>
      </c>
      <c r="C163" s="3" t="inlineStr">
        <is>
          <t>Fenwick Bellandi</t>
        </is>
      </c>
      <c r="D163" s="3" t="inlineStr">
        <is>
          <t>NY</t>
        </is>
      </c>
      <c r="E163" s="14" t="n">
        <v>285000</v>
      </c>
      <c r="F163" s="14" t="n">
        <v>4746.18</v>
      </c>
      <c r="G163" s="14" t="n">
        <v>593.27</v>
      </c>
      <c r="H163" s="14" t="n">
        <v>593.27</v>
      </c>
      <c r="I163" s="14">
        <f>SUM(K163:T163)</f>
        <v/>
      </c>
      <c r="J163" s="14">
        <f>F163-(G163+H163+I163)</f>
        <v/>
      </c>
      <c r="K163" s="14" t="n">
        <v>355.96</v>
      </c>
      <c r="L163" s="14" t="n">
        <v>355.96</v>
      </c>
      <c r="M163" s="14" t="n">
        <v>355.96</v>
      </c>
      <c r="N163" s="14" t="n">
        <v>355.96</v>
      </c>
      <c r="O163" s="14" t="n">
        <v>355.96</v>
      </c>
      <c r="P163" s="14" t="n">
        <v>355.96</v>
      </c>
      <c r="Q163" s="14" t="n">
        <v>355.96</v>
      </c>
      <c r="R163" s="14" t="n">
        <v>355.96</v>
      </c>
      <c r="S163" s="14" t="n">
        <v>355.96</v>
      </c>
      <c r="T163" s="14" t="n">
        <v>355.96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CANON-202511-001958</t>
        </is>
      </c>
      <c r="B164" s="15" t="inlineStr">
        <is>
          <t>2025-11-17</t>
        </is>
      </c>
      <c r="C164" s="15" t="inlineStr">
        <is>
          <t>Horace Montoya</t>
        </is>
      </c>
      <c r="D164" s="15" t="inlineStr">
        <is>
          <t>TX</t>
        </is>
      </c>
      <c r="E164" s="16" t="n">
        <v>1020000</v>
      </c>
      <c r="F164" s="16" t="n">
        <v>11191.53</v>
      </c>
      <c r="G164" s="16" t="n">
        <v>1398.94</v>
      </c>
      <c r="H164" s="16" t="n">
        <v>1398.94</v>
      </c>
      <c r="I164" s="16">
        <f>SUM(K164:T164)</f>
        <v/>
      </c>
      <c r="J164" s="16">
        <f>F164-(G164+H164+I164)</f>
        <v/>
      </c>
      <c r="K164" s="16" t="n">
        <v>839.36</v>
      </c>
      <c r="L164" s="16" t="n">
        <v>839.36</v>
      </c>
      <c r="M164" s="16" t="n">
        <v>839.36</v>
      </c>
      <c r="N164" s="16" t="n">
        <v>839.36</v>
      </c>
      <c r="O164" s="16" t="n">
        <v>839.36</v>
      </c>
      <c r="P164" s="16" t="n">
        <v>839.36</v>
      </c>
      <c r="Q164" s="16" t="n">
        <v>839.36</v>
      </c>
      <c r="R164" s="16" t="n">
        <v>839.36</v>
      </c>
      <c r="S164" s="16" t="n">
        <v>839.36</v>
      </c>
      <c r="T164" s="16" t="n">
        <v>839.36</v>
      </c>
      <c r="U164" s="16" t="n">
        <v>350</v>
      </c>
      <c r="V164" s="16" t="n">
        <v>250</v>
      </c>
      <c r="W164" s="16">
        <f>U164+V164</f>
        <v/>
      </c>
    </row>
    <row r="165">
      <c r="A165" s="3" t="inlineStr">
        <is>
          <t>CANON-202511-001960</t>
        </is>
      </c>
      <c r="B165" s="3" t="inlineStr">
        <is>
          <t>2025-11-06</t>
        </is>
      </c>
      <c r="C165" s="3" t="inlineStr">
        <is>
          <t>Delphine Whitlock</t>
        </is>
      </c>
      <c r="D165" s="3" t="inlineStr">
        <is>
          <t>ID</t>
        </is>
      </c>
      <c r="E165" s="14" t="n">
        <v>735000</v>
      </c>
      <c r="F165" s="14" t="n">
        <v>9845.68</v>
      </c>
      <c r="G165" s="14" t="n">
        <v>1230.71</v>
      </c>
      <c r="H165" s="14" t="n">
        <v>1230.71</v>
      </c>
      <c r="I165" s="14">
        <f>SUM(K165:T165)</f>
        <v/>
      </c>
      <c r="J165" s="14">
        <f>F165-(G165+H165+I165)</f>
        <v/>
      </c>
      <c r="K165" s="14" t="n">
        <v>738.4299999999999</v>
      </c>
      <c r="L165" s="14" t="n">
        <v>738.4299999999999</v>
      </c>
      <c r="M165" s="14" t="n">
        <v>738.4299999999999</v>
      </c>
      <c r="N165" s="14" t="n">
        <v>738.4299999999999</v>
      </c>
      <c r="O165" s="14" t="n">
        <v>738.4299999999999</v>
      </c>
      <c r="P165" s="14" t="n">
        <v>738.4299999999999</v>
      </c>
      <c r="Q165" s="14" t="n">
        <v>738.4299999999999</v>
      </c>
      <c r="R165" s="14" t="n">
        <v>738.4299999999999</v>
      </c>
      <c r="S165" s="14" t="n">
        <v>738.4299999999999</v>
      </c>
      <c r="T165" s="14" t="n">
        <v>738.4299999999999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CANON-202511-001961</t>
        </is>
      </c>
      <c r="B166" s="15" t="inlineStr">
        <is>
          <t>2025-11-11</t>
        </is>
      </c>
      <c r="C166" s="15" t="inlineStr">
        <is>
          <t>Desmond Montoya</t>
        </is>
      </c>
      <c r="D166" s="15" t="inlineStr">
        <is>
          <t>FL</t>
        </is>
      </c>
      <c r="E166" s="16" t="n">
        <v>570000</v>
      </c>
      <c r="F166" s="16" t="n">
        <v>6037.54</v>
      </c>
      <c r="G166" s="16" t="n">
        <v>754.6900000000001</v>
      </c>
      <c r="H166" s="16" t="n">
        <v>754.6900000000001</v>
      </c>
      <c r="I166" s="16">
        <f>SUM(K166:T166)</f>
        <v/>
      </c>
      <c r="J166" s="16">
        <f>F166-(G166+H166+I166)</f>
        <v/>
      </c>
      <c r="K166" s="16" t="n">
        <v>452.82</v>
      </c>
      <c r="L166" s="16" t="n">
        <v>452.82</v>
      </c>
      <c r="M166" s="16" t="n">
        <v>452.82</v>
      </c>
      <c r="N166" s="16" t="n">
        <v>452.82</v>
      </c>
      <c r="O166" s="16" t="n">
        <v>452.82</v>
      </c>
      <c r="P166" s="16" t="n">
        <v>452.82</v>
      </c>
      <c r="Q166" s="16" t="n">
        <v>452.82</v>
      </c>
      <c r="R166" s="16" t="n">
        <v>452.82</v>
      </c>
      <c r="S166" s="16" t="n">
        <v>452.82</v>
      </c>
      <c r="T166" s="16" t="n">
        <v>452.82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CANON-202511-001963</t>
        </is>
      </c>
      <c r="B167" s="3" t="inlineStr">
        <is>
          <t>2025-11-21</t>
        </is>
      </c>
      <c r="C167" s="3" t="inlineStr">
        <is>
          <t>Emiliano Blackwood</t>
        </is>
      </c>
      <c r="D167" s="3" t="inlineStr">
        <is>
          <t>TN</t>
        </is>
      </c>
      <c r="E167" s="14" t="n">
        <v>575000</v>
      </c>
      <c r="F167" s="14" t="n">
        <v>6353.84</v>
      </c>
      <c r="G167" s="14" t="n">
        <v>794.23</v>
      </c>
      <c r="H167" s="14" t="n">
        <v>794.23</v>
      </c>
      <c r="I167" s="14">
        <f>SUM(K167:T167)</f>
        <v/>
      </c>
      <c r="J167" s="14">
        <f>F167-(G167+H167+I167)</f>
        <v/>
      </c>
      <c r="K167" s="14" t="n">
        <v>476.54</v>
      </c>
      <c r="L167" s="14" t="n">
        <v>476.54</v>
      </c>
      <c r="M167" s="14" t="n">
        <v>476.54</v>
      </c>
      <c r="N167" s="14" t="n">
        <v>476.54</v>
      </c>
      <c r="O167" s="14" t="n">
        <v>476.54</v>
      </c>
      <c r="P167" s="14" t="n">
        <v>476.54</v>
      </c>
      <c r="Q167" s="14" t="n">
        <v>476.54</v>
      </c>
      <c r="R167" s="14" t="n">
        <v>476.54</v>
      </c>
      <c r="S167" s="14" t="n">
        <v>476.54</v>
      </c>
      <c r="T167" s="14" t="n">
        <v>476.54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CANON-202511-001964</t>
        </is>
      </c>
      <c r="B168" s="15" t="inlineStr">
        <is>
          <t>2025-11-25</t>
        </is>
      </c>
      <c r="C168" s="15" t="inlineStr">
        <is>
          <t>Everett Larsson</t>
        </is>
      </c>
      <c r="D168" s="15" t="inlineStr">
        <is>
          <t>RI</t>
        </is>
      </c>
      <c r="E168" s="16" t="n">
        <v>470000</v>
      </c>
      <c r="F168" s="16" t="n">
        <v>8377.379999999999</v>
      </c>
      <c r="G168" s="16" t="n">
        <v>1047.17</v>
      </c>
      <c r="H168" s="16" t="n">
        <v>1047.17</v>
      </c>
      <c r="I168" s="16">
        <f>SUM(K168:T168)</f>
        <v/>
      </c>
      <c r="J168" s="16">
        <f>F168-(G168+H168+I168)</f>
        <v/>
      </c>
      <c r="K168" s="16" t="n">
        <v>628.3</v>
      </c>
      <c r="L168" s="16" t="n">
        <v>628.3</v>
      </c>
      <c r="M168" s="16" t="n">
        <v>628.3</v>
      </c>
      <c r="N168" s="16" t="n">
        <v>628.3</v>
      </c>
      <c r="O168" s="16" t="n">
        <v>628.3</v>
      </c>
      <c r="P168" s="16" t="n">
        <v>628.3</v>
      </c>
      <c r="Q168" s="16" t="n">
        <v>628.3</v>
      </c>
      <c r="R168" s="16" t="n">
        <v>628.3</v>
      </c>
      <c r="S168" s="16" t="n">
        <v>628.3</v>
      </c>
      <c r="T168" s="16" t="n">
        <v>628.3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CANON-202511-001966</t>
        </is>
      </c>
      <c r="B169" s="3" t="inlineStr">
        <is>
          <t>2025-11-07</t>
        </is>
      </c>
      <c r="C169" s="3" t="inlineStr">
        <is>
          <t>Noor Fairweather</t>
        </is>
      </c>
      <c r="D169" s="3" t="inlineStr">
        <is>
          <t>WV</t>
        </is>
      </c>
      <c r="E169" s="14" t="n">
        <v>1030000</v>
      </c>
      <c r="F169" s="14" t="n">
        <v>13070.14</v>
      </c>
      <c r="G169" s="14" t="n">
        <v>1633.77</v>
      </c>
      <c r="H169" s="14" t="n">
        <v>1633.77</v>
      </c>
      <c r="I169" s="14">
        <f>SUM(K169:T169)</f>
        <v/>
      </c>
      <c r="J169" s="14">
        <f>F169-(G169+H169+I169)</f>
        <v/>
      </c>
      <c r="K169" s="14" t="n">
        <v>980.26</v>
      </c>
      <c r="L169" s="14" t="n">
        <v>980.26</v>
      </c>
      <c r="M169" s="14" t="n">
        <v>980.26</v>
      </c>
      <c r="N169" s="14" t="n">
        <v>980.26</v>
      </c>
      <c r="O169" s="14" t="n">
        <v>980.26</v>
      </c>
      <c r="P169" s="14" t="n">
        <v>980.26</v>
      </c>
      <c r="Q169" s="14" t="n">
        <v>980.26</v>
      </c>
      <c r="R169" s="14" t="n">
        <v>980.26</v>
      </c>
      <c r="S169" s="14" t="n">
        <v>980.26</v>
      </c>
      <c r="T169" s="14" t="n">
        <v>980.26</v>
      </c>
      <c r="U169" s="14" t="n">
        <v>350</v>
      </c>
      <c r="V169" s="14" t="n">
        <v>250</v>
      </c>
      <c r="W169" s="14">
        <f>U169+V169</f>
        <v/>
      </c>
    </row>
    <row r="170">
      <c r="A170" s="15" t="inlineStr">
        <is>
          <t>CANON-202511-001968</t>
        </is>
      </c>
      <c r="B170" s="15" t="inlineStr">
        <is>
          <t>2025-11-21</t>
        </is>
      </c>
      <c r="C170" s="15" t="inlineStr">
        <is>
          <t>Beatrix Underwood</t>
        </is>
      </c>
      <c r="D170" s="15" t="inlineStr">
        <is>
          <t>CA</t>
        </is>
      </c>
      <c r="E170" s="16" t="n">
        <v>1950000</v>
      </c>
      <c r="F170" s="16" t="n">
        <v>36533.14</v>
      </c>
      <c r="G170" s="16" t="n">
        <v>4566.64</v>
      </c>
      <c r="H170" s="16" t="n">
        <v>4566.64</v>
      </c>
      <c r="I170" s="16">
        <f>SUM(K170:T170)</f>
        <v/>
      </c>
      <c r="J170" s="16">
        <f>F170-(G170+H170+I170)</f>
        <v/>
      </c>
      <c r="K170" s="16" t="n">
        <v>2739.99</v>
      </c>
      <c r="L170" s="16" t="n">
        <v>2739.99</v>
      </c>
      <c r="M170" s="16" t="n">
        <v>2739.99</v>
      </c>
      <c r="N170" s="16" t="n">
        <v>2739.99</v>
      </c>
      <c r="O170" s="16" t="n">
        <v>2739.99</v>
      </c>
      <c r="P170" s="16" t="n">
        <v>2739.99</v>
      </c>
      <c r="Q170" s="16" t="n">
        <v>2739.99</v>
      </c>
      <c r="R170" s="16" t="n">
        <v>2739.99</v>
      </c>
      <c r="S170" s="16" t="n">
        <v>2739.99</v>
      </c>
      <c r="T170" s="16" t="n">
        <v>2739.99</v>
      </c>
      <c r="U170" s="16" t="n">
        <v>350</v>
      </c>
      <c r="V170" s="16" t="n">
        <v>250</v>
      </c>
      <c r="W170" s="16">
        <f>U170+V170</f>
        <v/>
      </c>
    </row>
    <row r="171">
      <c r="A171" s="3" t="inlineStr">
        <is>
          <t>CANON-202511-001969</t>
        </is>
      </c>
      <c r="B171" s="3" t="inlineStr">
        <is>
          <t>2025-11-04</t>
        </is>
      </c>
      <c r="C171" s="3" t="inlineStr">
        <is>
          <t>Anouk Okonkwo</t>
        </is>
      </c>
      <c r="D171" s="3" t="inlineStr">
        <is>
          <t>NY</t>
        </is>
      </c>
      <c r="E171" s="14" t="n">
        <v>520000</v>
      </c>
      <c r="F171" s="14" t="n">
        <v>4964.9</v>
      </c>
      <c r="G171" s="14" t="n">
        <v>620.61</v>
      </c>
      <c r="H171" s="14" t="n">
        <v>620.61</v>
      </c>
      <c r="I171" s="14">
        <f>SUM(K171:T171)</f>
        <v/>
      </c>
      <c r="J171" s="14">
        <f>F171-(G171+H171+I171)</f>
        <v/>
      </c>
      <c r="K171" s="14" t="n">
        <v>372.37</v>
      </c>
      <c r="L171" s="14" t="n">
        <v>372.37</v>
      </c>
      <c r="M171" s="14" t="n">
        <v>372.37</v>
      </c>
      <c r="N171" s="14" t="n">
        <v>372.37</v>
      </c>
      <c r="O171" s="14" t="n">
        <v>372.37</v>
      </c>
      <c r="P171" s="14" t="n">
        <v>372.37</v>
      </c>
      <c r="Q171" s="14" t="n">
        <v>372.37</v>
      </c>
      <c r="R171" s="14" t="n">
        <v>372.37</v>
      </c>
      <c r="S171" s="14" t="n">
        <v>372.37</v>
      </c>
      <c r="T171" s="14" t="n">
        <v>372.37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CANON-202511-001970</t>
        </is>
      </c>
      <c r="B172" s="15" t="inlineStr">
        <is>
          <t>2025-11-28</t>
        </is>
      </c>
      <c r="C172" s="15" t="inlineStr">
        <is>
          <t>Delphine Whitlock</t>
        </is>
      </c>
      <c r="D172" s="15" t="inlineStr">
        <is>
          <t>WA</t>
        </is>
      </c>
      <c r="E172" s="16" t="n">
        <v>285000</v>
      </c>
      <c r="F172" s="16" t="n">
        <v>5458.11</v>
      </c>
      <c r="G172" s="16" t="n">
        <v>682.26</v>
      </c>
      <c r="H172" s="16" t="n">
        <v>682.26</v>
      </c>
      <c r="I172" s="16">
        <f>SUM(K172:T172)</f>
        <v/>
      </c>
      <c r="J172" s="16">
        <f>F172-(G172+H172+I172)</f>
        <v/>
      </c>
      <c r="K172" s="16" t="n">
        <v>409.36</v>
      </c>
      <c r="L172" s="16" t="n">
        <v>409.36</v>
      </c>
      <c r="M172" s="16" t="n">
        <v>409.36</v>
      </c>
      <c r="N172" s="16" t="n">
        <v>409.36</v>
      </c>
      <c r="O172" s="16" t="n">
        <v>409.36</v>
      </c>
      <c r="P172" s="16" t="n">
        <v>409.36</v>
      </c>
      <c r="Q172" s="16" t="n">
        <v>409.36</v>
      </c>
      <c r="R172" s="16" t="n">
        <v>409.36</v>
      </c>
      <c r="S172" s="16" t="n">
        <v>409.36</v>
      </c>
      <c r="T172" s="16" t="n">
        <v>409.36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CANON-202511-001971</t>
        </is>
      </c>
      <c r="B173" s="3" t="inlineStr">
        <is>
          <t>2025-11-03</t>
        </is>
      </c>
      <c r="C173" s="3" t="inlineStr">
        <is>
          <t>Callum Underwood</t>
        </is>
      </c>
      <c r="D173" s="3" t="inlineStr">
        <is>
          <t>FL</t>
        </is>
      </c>
      <c r="E173" s="14" t="n">
        <v>860000</v>
      </c>
      <c r="F173" s="14" t="n">
        <v>13769.84</v>
      </c>
      <c r="G173" s="14" t="n">
        <v>1721.23</v>
      </c>
      <c r="H173" s="14" t="n">
        <v>1721.23</v>
      </c>
      <c r="I173" s="14">
        <f>SUM(K173:T173)</f>
        <v/>
      </c>
      <c r="J173" s="14">
        <f>F173-(G173+H173+I173)</f>
        <v/>
      </c>
      <c r="K173" s="14" t="n">
        <v>1032.74</v>
      </c>
      <c r="L173" s="14" t="n">
        <v>1032.74</v>
      </c>
      <c r="M173" s="14" t="n">
        <v>1032.74</v>
      </c>
      <c r="N173" s="14" t="n">
        <v>1032.74</v>
      </c>
      <c r="O173" s="14" t="n">
        <v>1032.74</v>
      </c>
      <c r="P173" s="14" t="n">
        <v>1032.74</v>
      </c>
      <c r="Q173" s="14" t="n">
        <v>1032.74</v>
      </c>
      <c r="R173" s="14" t="n">
        <v>1032.74</v>
      </c>
      <c r="S173" s="14" t="n">
        <v>1032.74</v>
      </c>
      <c r="T173" s="14" t="n">
        <v>1032.74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CANON-202511-001972</t>
        </is>
      </c>
      <c r="B174" s="15" t="inlineStr">
        <is>
          <t>2025-11-13</t>
        </is>
      </c>
      <c r="C174" s="15" t="inlineStr">
        <is>
          <t>Ramona Underwood</t>
        </is>
      </c>
      <c r="D174" s="15" t="inlineStr">
        <is>
          <t>KY</t>
        </is>
      </c>
      <c r="E174" s="16" t="n">
        <v>785000</v>
      </c>
      <c r="F174" s="16" t="n">
        <v>11860.87</v>
      </c>
      <c r="G174" s="16" t="n">
        <v>1482.61</v>
      </c>
      <c r="H174" s="16" t="n">
        <v>1482.61</v>
      </c>
      <c r="I174" s="16">
        <f>SUM(K174:T174)</f>
        <v/>
      </c>
      <c r="J174" s="16">
        <f>F174-(G174+H174+I174)</f>
        <v/>
      </c>
      <c r="K174" s="16" t="n">
        <v>889.5700000000001</v>
      </c>
      <c r="L174" s="16" t="n">
        <v>889.5700000000001</v>
      </c>
      <c r="M174" s="16" t="n">
        <v>889.5700000000001</v>
      </c>
      <c r="N174" s="16" t="n">
        <v>889.5700000000001</v>
      </c>
      <c r="O174" s="16" t="n">
        <v>889.5700000000001</v>
      </c>
      <c r="P174" s="16" t="n">
        <v>889.5700000000001</v>
      </c>
      <c r="Q174" s="16" t="n">
        <v>889.5700000000001</v>
      </c>
      <c r="R174" s="16" t="n">
        <v>889.5700000000001</v>
      </c>
      <c r="S174" s="16" t="n">
        <v>889.5700000000001</v>
      </c>
      <c r="T174" s="16" t="n">
        <v>889.5700000000001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CANON-202511-001973</t>
        </is>
      </c>
      <c r="B175" s="3" t="inlineStr">
        <is>
          <t>2025-11-16</t>
        </is>
      </c>
      <c r="C175" s="3" t="inlineStr">
        <is>
          <t>Anouk Farkas</t>
        </is>
      </c>
      <c r="D175" s="3" t="inlineStr">
        <is>
          <t>MA</t>
        </is>
      </c>
      <c r="E175" s="14" t="n">
        <v>435000</v>
      </c>
      <c r="F175" s="14" t="n">
        <v>4527.61</v>
      </c>
      <c r="G175" s="14" t="n">
        <v>565.95</v>
      </c>
      <c r="H175" s="14" t="n">
        <v>565.95</v>
      </c>
      <c r="I175" s="14">
        <f>SUM(K175:T175)</f>
        <v/>
      </c>
      <c r="J175" s="14">
        <f>F175-(G175+H175+I175)</f>
        <v/>
      </c>
      <c r="K175" s="14" t="n">
        <v>339.57</v>
      </c>
      <c r="L175" s="14" t="n">
        <v>339.57</v>
      </c>
      <c r="M175" s="14" t="n">
        <v>339.57</v>
      </c>
      <c r="N175" s="14" t="n">
        <v>339.57</v>
      </c>
      <c r="O175" s="14" t="n">
        <v>339.57</v>
      </c>
      <c r="P175" s="14" t="n">
        <v>339.57</v>
      </c>
      <c r="Q175" s="14" t="n">
        <v>339.57</v>
      </c>
      <c r="R175" s="14" t="n">
        <v>339.57</v>
      </c>
      <c r="S175" s="14" t="n">
        <v>339.57</v>
      </c>
      <c r="T175" s="14" t="n">
        <v>339.57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CANON-202511-001976</t>
        </is>
      </c>
      <c r="B176" s="15" t="inlineStr">
        <is>
          <t>2025-11-10</t>
        </is>
      </c>
      <c r="C176" s="15" t="inlineStr">
        <is>
          <t>Desmond Blackwood</t>
        </is>
      </c>
      <c r="D176" s="15" t="inlineStr">
        <is>
          <t>CA</t>
        </is>
      </c>
      <c r="E176" s="16" t="n">
        <v>395000</v>
      </c>
      <c r="F176" s="16" t="n">
        <v>6937.78</v>
      </c>
      <c r="G176" s="16" t="n">
        <v>867.22</v>
      </c>
      <c r="H176" s="16" t="n">
        <v>867.22</v>
      </c>
      <c r="I176" s="16">
        <f>SUM(K176:T176)</f>
        <v/>
      </c>
      <c r="J176" s="16">
        <f>F176-(G176+H176+I176)</f>
        <v/>
      </c>
      <c r="K176" s="16" t="n">
        <v>520.33</v>
      </c>
      <c r="L176" s="16" t="n">
        <v>520.33</v>
      </c>
      <c r="M176" s="16" t="n">
        <v>520.33</v>
      </c>
      <c r="N176" s="16" t="n">
        <v>520.33</v>
      </c>
      <c r="O176" s="16" t="n">
        <v>520.33</v>
      </c>
      <c r="P176" s="16" t="n">
        <v>520.33</v>
      </c>
      <c r="Q176" s="16" t="n">
        <v>520.33</v>
      </c>
      <c r="R176" s="16" t="n">
        <v>520.33</v>
      </c>
      <c r="S176" s="16" t="n">
        <v>520.33</v>
      </c>
      <c r="T176" s="16" t="n">
        <v>520.33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CANON-202511-001977</t>
        </is>
      </c>
      <c r="B177" s="3" t="inlineStr">
        <is>
          <t>2025-11-11</t>
        </is>
      </c>
      <c r="C177" s="3" t="inlineStr">
        <is>
          <t>Ingrid Ashcombe</t>
        </is>
      </c>
      <c r="D177" s="3" t="inlineStr">
        <is>
          <t>PA</t>
        </is>
      </c>
      <c r="E177" s="14" t="n">
        <v>955000</v>
      </c>
      <c r="F177" s="14" t="n">
        <v>7123.61</v>
      </c>
      <c r="G177" s="14" t="n">
        <v>890.45</v>
      </c>
      <c r="H177" s="14" t="n">
        <v>890.45</v>
      </c>
      <c r="I177" s="14">
        <f>SUM(K177:T177)</f>
        <v/>
      </c>
      <c r="J177" s="14">
        <f>F177-(G177+H177+I177)</f>
        <v/>
      </c>
      <c r="K177" s="14" t="n">
        <v>534.27</v>
      </c>
      <c r="L177" s="14" t="n">
        <v>534.27</v>
      </c>
      <c r="M177" s="14" t="n">
        <v>534.27</v>
      </c>
      <c r="N177" s="14" t="n">
        <v>534.27</v>
      </c>
      <c r="O177" s="14" t="n">
        <v>534.27</v>
      </c>
      <c r="P177" s="14" t="n">
        <v>534.27</v>
      </c>
      <c r="Q177" s="14" t="n">
        <v>534.27</v>
      </c>
      <c r="R177" s="14" t="n">
        <v>534.27</v>
      </c>
      <c r="S177" s="14" t="n">
        <v>534.27</v>
      </c>
      <c r="T177" s="14" t="n">
        <v>534.27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CANON-202511-001978</t>
        </is>
      </c>
      <c r="B178" s="15" t="inlineStr">
        <is>
          <t>2025-11-21</t>
        </is>
      </c>
      <c r="C178" s="15" t="inlineStr">
        <is>
          <t>Leopold Harrington</t>
        </is>
      </c>
      <c r="D178" s="15" t="inlineStr">
        <is>
          <t>CA</t>
        </is>
      </c>
      <c r="E178" s="16" t="n">
        <v>700000</v>
      </c>
      <c r="F178" s="16" t="n">
        <v>10655.5</v>
      </c>
      <c r="G178" s="16" t="n">
        <v>1331.94</v>
      </c>
      <c r="H178" s="16" t="n">
        <v>1331.94</v>
      </c>
      <c r="I178" s="16">
        <f>SUM(K178:T178)</f>
        <v/>
      </c>
      <c r="J178" s="16">
        <f>F178-(G178+H178+I178)</f>
        <v/>
      </c>
      <c r="K178" s="16" t="n">
        <v>799.16</v>
      </c>
      <c r="L178" s="16" t="n">
        <v>799.16</v>
      </c>
      <c r="M178" s="16" t="n">
        <v>799.16</v>
      </c>
      <c r="N178" s="16" t="n">
        <v>799.16</v>
      </c>
      <c r="O178" s="16" t="n">
        <v>799.16</v>
      </c>
      <c r="P178" s="16" t="n">
        <v>799.16</v>
      </c>
      <c r="Q178" s="16" t="n">
        <v>799.16</v>
      </c>
      <c r="R178" s="16" t="n">
        <v>799.16</v>
      </c>
      <c r="S178" s="16" t="n">
        <v>799.16</v>
      </c>
      <c r="T178" s="16" t="n">
        <v>799.16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CANON-202511-001980</t>
        </is>
      </c>
      <c r="B179" s="3" t="inlineStr">
        <is>
          <t>2025-11-20</t>
        </is>
      </c>
      <c r="C179" s="3" t="inlineStr">
        <is>
          <t>Beatrix Vasquez</t>
        </is>
      </c>
      <c r="D179" s="3" t="inlineStr">
        <is>
          <t>NH</t>
        </is>
      </c>
      <c r="E179" s="14" t="n">
        <v>150000</v>
      </c>
      <c r="F179" s="14" t="n">
        <v>2841.47</v>
      </c>
      <c r="G179" s="14" t="n">
        <v>355.18</v>
      </c>
      <c r="H179" s="14" t="n">
        <v>355.18</v>
      </c>
      <c r="I179" s="14">
        <f>SUM(K179:T179)</f>
        <v/>
      </c>
      <c r="J179" s="14">
        <f>F179-(G179+H179+I179)</f>
        <v/>
      </c>
      <c r="K179" s="14" t="n">
        <v>213.11</v>
      </c>
      <c r="L179" s="14" t="n">
        <v>213.11</v>
      </c>
      <c r="M179" s="14" t="n">
        <v>213.11</v>
      </c>
      <c r="N179" s="14" t="n">
        <v>213.11</v>
      </c>
      <c r="O179" s="14" t="n">
        <v>213.11</v>
      </c>
      <c r="P179" s="14" t="n">
        <v>213.11</v>
      </c>
      <c r="Q179" s="14" t="n">
        <v>213.11</v>
      </c>
      <c r="R179" s="14" t="n">
        <v>213.11</v>
      </c>
      <c r="S179" s="14" t="n">
        <v>213.11</v>
      </c>
      <c r="T179" s="14" t="n">
        <v>213.11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CANON-202511-001981</t>
        </is>
      </c>
      <c r="B180" s="15" t="inlineStr">
        <is>
          <t>2025-11-13</t>
        </is>
      </c>
      <c r="C180" s="15" t="inlineStr">
        <is>
          <t>Leopold Delacroix</t>
        </is>
      </c>
      <c r="D180" s="15" t="inlineStr">
        <is>
          <t>NJ</t>
        </is>
      </c>
      <c r="E180" s="16" t="n">
        <v>435000</v>
      </c>
      <c r="F180" s="16" t="n">
        <v>5150.16</v>
      </c>
      <c r="G180" s="16" t="n">
        <v>643.77</v>
      </c>
      <c r="H180" s="16" t="n">
        <v>643.77</v>
      </c>
      <c r="I180" s="16">
        <f>SUM(K180:T180)</f>
        <v/>
      </c>
      <c r="J180" s="16">
        <f>F180-(G180+H180+I180)</f>
        <v/>
      </c>
      <c r="K180" s="16" t="n">
        <v>386.26</v>
      </c>
      <c r="L180" s="16" t="n">
        <v>386.26</v>
      </c>
      <c r="M180" s="16" t="n">
        <v>386.26</v>
      </c>
      <c r="N180" s="16" t="n">
        <v>386.26</v>
      </c>
      <c r="O180" s="16" t="n">
        <v>386.26</v>
      </c>
      <c r="P180" s="16" t="n">
        <v>386.26</v>
      </c>
      <c r="Q180" s="16" t="n">
        <v>386.26</v>
      </c>
      <c r="R180" s="16" t="n">
        <v>386.26</v>
      </c>
      <c r="S180" s="16" t="n">
        <v>386.26</v>
      </c>
      <c r="T180" s="16" t="n">
        <v>386.26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CANON-202511-001982</t>
        </is>
      </c>
      <c r="B181" s="3" t="inlineStr">
        <is>
          <t>2025-11-15</t>
        </is>
      </c>
      <c r="C181" s="3" t="inlineStr">
        <is>
          <t>Horace Underwood</t>
        </is>
      </c>
      <c r="D181" s="3" t="inlineStr">
        <is>
          <t>OR</t>
        </is>
      </c>
      <c r="E181" s="14" t="n">
        <v>500000</v>
      </c>
      <c r="F181" s="14" t="n">
        <v>4214.49</v>
      </c>
      <c r="G181" s="14" t="n">
        <v>526.8099999999999</v>
      </c>
      <c r="H181" s="14" t="n">
        <v>526.8099999999999</v>
      </c>
      <c r="I181" s="14">
        <f>SUM(K181:T181)</f>
        <v/>
      </c>
      <c r="J181" s="14">
        <f>F181-(G181+H181+I181)</f>
        <v/>
      </c>
      <c r="K181" s="14" t="n">
        <v>316.09</v>
      </c>
      <c r="L181" s="14" t="n">
        <v>316.09</v>
      </c>
      <c r="M181" s="14" t="n">
        <v>316.09</v>
      </c>
      <c r="N181" s="14" t="n">
        <v>316.09</v>
      </c>
      <c r="O181" s="14" t="n">
        <v>316.09</v>
      </c>
      <c r="P181" s="14" t="n">
        <v>316.09</v>
      </c>
      <c r="Q181" s="14" t="n">
        <v>316.09</v>
      </c>
      <c r="R181" s="14" t="n">
        <v>316.09</v>
      </c>
      <c r="S181" s="14" t="n">
        <v>316.09</v>
      </c>
      <c r="T181" s="14" t="n">
        <v>316.09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CANON-202511-001983</t>
        </is>
      </c>
      <c r="B182" s="15" t="inlineStr">
        <is>
          <t>2025-11-14</t>
        </is>
      </c>
      <c r="C182" s="15" t="inlineStr">
        <is>
          <t>Delphine Okonkwo</t>
        </is>
      </c>
      <c r="D182" s="15" t="inlineStr">
        <is>
          <t>AK</t>
        </is>
      </c>
      <c r="E182" s="16" t="n">
        <v>485000</v>
      </c>
      <c r="F182" s="16" t="n">
        <v>4603.8</v>
      </c>
      <c r="G182" s="16" t="n">
        <v>575.48</v>
      </c>
      <c r="H182" s="16" t="n">
        <v>575.48</v>
      </c>
      <c r="I182" s="16">
        <f>SUM(K182:T182)</f>
        <v/>
      </c>
      <c r="J182" s="16">
        <f>F182-(G182+H182+I182)</f>
        <v/>
      </c>
      <c r="K182" s="16" t="n">
        <v>345.29</v>
      </c>
      <c r="L182" s="16" t="n">
        <v>345.29</v>
      </c>
      <c r="M182" s="16" t="n">
        <v>345.29</v>
      </c>
      <c r="N182" s="16" t="n">
        <v>345.29</v>
      </c>
      <c r="O182" s="16" t="n">
        <v>345.29</v>
      </c>
      <c r="P182" s="16" t="n">
        <v>345.29</v>
      </c>
      <c r="Q182" s="16" t="n">
        <v>345.29</v>
      </c>
      <c r="R182" s="16" t="n">
        <v>345.29</v>
      </c>
      <c r="S182" s="16" t="n">
        <v>345.29</v>
      </c>
      <c r="T182" s="16" t="n">
        <v>345.29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CANON-202511-001985</t>
        </is>
      </c>
      <c r="B183" s="3" t="inlineStr">
        <is>
          <t>2025-11-04</t>
        </is>
      </c>
      <c r="C183" s="3" t="inlineStr">
        <is>
          <t>Everett Chattopadhyay</t>
        </is>
      </c>
      <c r="D183" s="3" t="inlineStr">
        <is>
          <t>IA</t>
        </is>
      </c>
      <c r="E183" s="14" t="n">
        <v>580000</v>
      </c>
      <c r="F183" s="14" t="n">
        <v>7193.87</v>
      </c>
      <c r="G183" s="14" t="n">
        <v>899.23</v>
      </c>
      <c r="H183" s="14" t="n">
        <v>899.23</v>
      </c>
      <c r="I183" s="14">
        <f>SUM(K183:T183)</f>
        <v/>
      </c>
      <c r="J183" s="14">
        <f>F183-(G183+H183+I183)</f>
        <v/>
      </c>
      <c r="K183" s="14" t="n">
        <v>539.54</v>
      </c>
      <c r="L183" s="14" t="n">
        <v>539.54</v>
      </c>
      <c r="M183" s="14" t="n">
        <v>539.54</v>
      </c>
      <c r="N183" s="14" t="n">
        <v>539.54</v>
      </c>
      <c r="O183" s="14" t="n">
        <v>539.54</v>
      </c>
      <c r="P183" s="14" t="n">
        <v>539.54</v>
      </c>
      <c r="Q183" s="14" t="n">
        <v>539.54</v>
      </c>
      <c r="R183" s="14" t="n">
        <v>539.54</v>
      </c>
      <c r="S183" s="14" t="n">
        <v>539.54</v>
      </c>
      <c r="T183" s="14" t="n">
        <v>539.54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CANON-202511-001986</t>
        </is>
      </c>
      <c r="B184" s="15" t="inlineStr">
        <is>
          <t>2025-11-05</t>
        </is>
      </c>
      <c r="C184" s="15" t="inlineStr">
        <is>
          <t>Fitzgerald Delacroix</t>
        </is>
      </c>
      <c r="D184" s="15" t="inlineStr">
        <is>
          <t>FL</t>
        </is>
      </c>
      <c r="E184" s="16" t="n">
        <v>470000</v>
      </c>
      <c r="F184" s="16" t="n">
        <v>8683.129999999999</v>
      </c>
      <c r="G184" s="16" t="n">
        <v>1085.39</v>
      </c>
      <c r="H184" s="16" t="n">
        <v>1085.39</v>
      </c>
      <c r="I184" s="16">
        <f>SUM(K184:T184)</f>
        <v/>
      </c>
      <c r="J184" s="16">
        <f>F184-(G184+H184+I184)</f>
        <v/>
      </c>
      <c r="K184" s="16" t="n">
        <v>651.23</v>
      </c>
      <c r="L184" s="16" t="n">
        <v>651.23</v>
      </c>
      <c r="M184" s="16" t="n">
        <v>651.23</v>
      </c>
      <c r="N184" s="16" t="n">
        <v>651.23</v>
      </c>
      <c r="O184" s="16" t="n">
        <v>651.23</v>
      </c>
      <c r="P184" s="16" t="n">
        <v>651.23</v>
      </c>
      <c r="Q184" s="16" t="n">
        <v>651.23</v>
      </c>
      <c r="R184" s="16" t="n">
        <v>651.23</v>
      </c>
      <c r="S184" s="16" t="n">
        <v>651.23</v>
      </c>
      <c r="T184" s="16" t="n">
        <v>651.23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CANON-202511-001988</t>
        </is>
      </c>
      <c r="B185" s="3" t="inlineStr">
        <is>
          <t>2025-11-29</t>
        </is>
      </c>
      <c r="C185" s="3" t="inlineStr">
        <is>
          <t>Horace Whitlock</t>
        </is>
      </c>
      <c r="D185" s="3" t="inlineStr">
        <is>
          <t>WA</t>
        </is>
      </c>
      <c r="E185" s="14" t="n">
        <v>655000</v>
      </c>
      <c r="F185" s="14" t="n">
        <v>10362.5</v>
      </c>
      <c r="G185" s="14" t="n">
        <v>1295.31</v>
      </c>
      <c r="H185" s="14" t="n">
        <v>1295.31</v>
      </c>
      <c r="I185" s="14">
        <f>SUM(K185:T185)</f>
        <v/>
      </c>
      <c r="J185" s="14">
        <f>F185-(G185+H185+I185)</f>
        <v/>
      </c>
      <c r="K185" s="14" t="n">
        <v>777.1900000000001</v>
      </c>
      <c r="L185" s="14" t="n">
        <v>777.1900000000001</v>
      </c>
      <c r="M185" s="14" t="n">
        <v>777.1900000000001</v>
      </c>
      <c r="N185" s="14" t="n">
        <v>777.1900000000001</v>
      </c>
      <c r="O185" s="14" t="n">
        <v>777.1900000000001</v>
      </c>
      <c r="P185" s="14" t="n">
        <v>777.1900000000001</v>
      </c>
      <c r="Q185" s="14" t="n">
        <v>777.1900000000001</v>
      </c>
      <c r="R185" s="14" t="n">
        <v>777.1900000000001</v>
      </c>
      <c r="S185" s="14" t="n">
        <v>777.1900000000001</v>
      </c>
      <c r="T185" s="14" t="n">
        <v>777.1900000000001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CANON-202511-001989</t>
        </is>
      </c>
      <c r="B186" s="15" t="inlineStr">
        <is>
          <t>2025-11-10</t>
        </is>
      </c>
      <c r="C186" s="15" t="inlineStr">
        <is>
          <t>Ramona Bellandi</t>
        </is>
      </c>
      <c r="D186" s="15" t="inlineStr">
        <is>
          <t>ME</t>
        </is>
      </c>
      <c r="E186" s="16" t="n">
        <v>255000</v>
      </c>
      <c r="F186" s="16" t="n">
        <v>3583.06</v>
      </c>
      <c r="G186" s="16" t="n">
        <v>447.88</v>
      </c>
      <c r="H186" s="16" t="n">
        <v>447.88</v>
      </c>
      <c r="I186" s="16">
        <f>SUM(K186:T186)</f>
        <v/>
      </c>
      <c r="J186" s="16">
        <f>F186-(G186+H186+I186)</f>
        <v/>
      </c>
      <c r="K186" s="16" t="n">
        <v>268.73</v>
      </c>
      <c r="L186" s="16" t="n">
        <v>268.73</v>
      </c>
      <c r="M186" s="16" t="n">
        <v>268.73</v>
      </c>
      <c r="N186" s="16" t="n">
        <v>268.73</v>
      </c>
      <c r="O186" s="16" t="n">
        <v>268.73</v>
      </c>
      <c r="P186" s="16" t="n">
        <v>268.73</v>
      </c>
      <c r="Q186" s="16" t="n">
        <v>268.73</v>
      </c>
      <c r="R186" s="16" t="n">
        <v>268.73</v>
      </c>
      <c r="S186" s="16" t="n">
        <v>268.73</v>
      </c>
      <c r="T186" s="16" t="n">
        <v>268.73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CANON-202511-001990</t>
        </is>
      </c>
      <c r="B187" s="3" t="inlineStr">
        <is>
          <t>2025-11-12</t>
        </is>
      </c>
      <c r="C187" s="3" t="inlineStr">
        <is>
          <t>Priya Whitlock</t>
        </is>
      </c>
      <c r="D187" s="3" t="inlineStr">
        <is>
          <t>RI</t>
        </is>
      </c>
      <c r="E187" s="14" t="n">
        <v>1200000</v>
      </c>
      <c r="F187" s="14" t="n">
        <v>15685.31</v>
      </c>
      <c r="G187" s="14" t="n">
        <v>1960.66</v>
      </c>
      <c r="H187" s="14" t="n">
        <v>1960.66</v>
      </c>
      <c r="I187" s="14">
        <f>SUM(K187:T187)</f>
        <v/>
      </c>
      <c r="J187" s="14">
        <f>F187-(G187+H187+I187)</f>
        <v/>
      </c>
      <c r="K187" s="14" t="n">
        <v>1176.4</v>
      </c>
      <c r="L187" s="14" t="n">
        <v>1176.4</v>
      </c>
      <c r="M187" s="14" t="n">
        <v>1176.4</v>
      </c>
      <c r="N187" s="14" t="n">
        <v>1176.4</v>
      </c>
      <c r="O187" s="14" t="n">
        <v>1176.4</v>
      </c>
      <c r="P187" s="14" t="n">
        <v>1176.4</v>
      </c>
      <c r="Q187" s="14" t="n">
        <v>1176.4</v>
      </c>
      <c r="R187" s="14" t="n">
        <v>1176.4</v>
      </c>
      <c r="S187" s="14" t="n">
        <v>1176.4</v>
      </c>
      <c r="T187" s="14" t="n">
        <v>1176.4</v>
      </c>
      <c r="U187" s="14" t="n">
        <v>350</v>
      </c>
      <c r="V187" s="14" t="n">
        <v>250</v>
      </c>
      <c r="W187" s="14">
        <f>U187+V187</f>
        <v/>
      </c>
    </row>
    <row r="188">
      <c r="A188" s="15" t="inlineStr">
        <is>
          <t>CANON-202511-001992</t>
        </is>
      </c>
      <c r="B188" s="15" t="inlineStr">
        <is>
          <t>2025-11-11</t>
        </is>
      </c>
      <c r="C188" s="15" t="inlineStr">
        <is>
          <t>Fitzgerald Larsson</t>
        </is>
      </c>
      <c r="D188" s="15" t="inlineStr">
        <is>
          <t>NC</t>
        </is>
      </c>
      <c r="E188" s="16" t="n">
        <v>590000</v>
      </c>
      <c r="F188" s="16" t="n">
        <v>7650.54</v>
      </c>
      <c r="G188" s="16" t="n">
        <v>956.3200000000001</v>
      </c>
      <c r="H188" s="16" t="n">
        <v>956.3200000000001</v>
      </c>
      <c r="I188" s="16">
        <f>SUM(K188:T188)</f>
        <v/>
      </c>
      <c r="J188" s="16">
        <f>F188-(G188+H188+I188)</f>
        <v/>
      </c>
      <c r="K188" s="16" t="n">
        <v>573.79</v>
      </c>
      <c r="L188" s="16" t="n">
        <v>573.79</v>
      </c>
      <c r="M188" s="16" t="n">
        <v>573.79</v>
      </c>
      <c r="N188" s="16" t="n">
        <v>573.79</v>
      </c>
      <c r="O188" s="16" t="n">
        <v>573.79</v>
      </c>
      <c r="P188" s="16" t="n">
        <v>573.79</v>
      </c>
      <c r="Q188" s="16" t="n">
        <v>573.79</v>
      </c>
      <c r="R188" s="16" t="n">
        <v>573.79</v>
      </c>
      <c r="S188" s="16" t="n">
        <v>573.79</v>
      </c>
      <c r="T188" s="16" t="n">
        <v>573.79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CANON-202511-001993</t>
        </is>
      </c>
      <c r="B189" s="3" t="inlineStr">
        <is>
          <t>2025-11-05</t>
        </is>
      </c>
      <c r="C189" s="3" t="inlineStr">
        <is>
          <t>Saoirse Vasquez</t>
        </is>
      </c>
      <c r="D189" s="3" t="inlineStr">
        <is>
          <t>ND</t>
        </is>
      </c>
      <c r="E189" s="14" t="n">
        <v>535000</v>
      </c>
      <c r="F189" s="14" t="n">
        <v>6153.13</v>
      </c>
      <c r="G189" s="14" t="n">
        <v>769.14</v>
      </c>
      <c r="H189" s="14" t="n">
        <v>769.14</v>
      </c>
      <c r="I189" s="14">
        <f>SUM(K189:T189)</f>
        <v/>
      </c>
      <c r="J189" s="14">
        <f>F189-(G189+H189+I189)</f>
        <v/>
      </c>
      <c r="K189" s="14" t="n">
        <v>461.48</v>
      </c>
      <c r="L189" s="14" t="n">
        <v>461.48</v>
      </c>
      <c r="M189" s="14" t="n">
        <v>461.48</v>
      </c>
      <c r="N189" s="14" t="n">
        <v>461.48</v>
      </c>
      <c r="O189" s="14" t="n">
        <v>461.48</v>
      </c>
      <c r="P189" s="14" t="n">
        <v>461.48</v>
      </c>
      <c r="Q189" s="14" t="n">
        <v>461.48</v>
      </c>
      <c r="R189" s="14" t="n">
        <v>461.48</v>
      </c>
      <c r="S189" s="14" t="n">
        <v>461.48</v>
      </c>
      <c r="T189" s="14" t="n">
        <v>461.48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CANON-202511-001994</t>
        </is>
      </c>
      <c r="B190" s="15" t="inlineStr">
        <is>
          <t>2025-11-05</t>
        </is>
      </c>
      <c r="C190" s="15" t="inlineStr">
        <is>
          <t>Saoirse Merriweather</t>
        </is>
      </c>
      <c r="D190" s="15" t="inlineStr">
        <is>
          <t>AL</t>
        </is>
      </c>
      <c r="E190" s="16" t="n">
        <v>895000</v>
      </c>
      <c r="F190" s="16" t="n">
        <v>8478.6</v>
      </c>
      <c r="G190" s="16" t="n">
        <v>1059.83</v>
      </c>
      <c r="H190" s="16" t="n">
        <v>1059.83</v>
      </c>
      <c r="I190" s="16">
        <f>SUM(K190:T190)</f>
        <v/>
      </c>
      <c r="J190" s="16">
        <f>F190-(G190+H190+I190)</f>
        <v/>
      </c>
      <c r="K190" s="16" t="n">
        <v>635.89</v>
      </c>
      <c r="L190" s="16" t="n">
        <v>635.89</v>
      </c>
      <c r="M190" s="16" t="n">
        <v>635.89</v>
      </c>
      <c r="N190" s="16" t="n">
        <v>635.89</v>
      </c>
      <c r="O190" s="16" t="n">
        <v>635.89</v>
      </c>
      <c r="P190" s="16" t="n">
        <v>635.89</v>
      </c>
      <c r="Q190" s="16" t="n">
        <v>635.89</v>
      </c>
      <c r="R190" s="16" t="n">
        <v>635.89</v>
      </c>
      <c r="S190" s="16" t="n">
        <v>635.89</v>
      </c>
      <c r="T190" s="16" t="n">
        <v>635.89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CANON-202511-001995</t>
        </is>
      </c>
      <c r="B191" s="3" t="inlineStr">
        <is>
          <t>2025-11-29</t>
        </is>
      </c>
      <c r="C191" s="3" t="inlineStr">
        <is>
          <t>Anouk Vasquez</t>
        </is>
      </c>
      <c r="D191" s="3" t="inlineStr">
        <is>
          <t>IL</t>
        </is>
      </c>
      <c r="E191" s="14" t="n">
        <v>1050000</v>
      </c>
      <c r="F191" s="14" t="n">
        <v>13624.47</v>
      </c>
      <c r="G191" s="14" t="n">
        <v>1703.06</v>
      </c>
      <c r="H191" s="14" t="n">
        <v>1703.06</v>
      </c>
      <c r="I191" s="14">
        <f>SUM(K191:T191)</f>
        <v/>
      </c>
      <c r="J191" s="14">
        <f>F191-(G191+H191+I191)</f>
        <v/>
      </c>
      <c r="K191" s="14" t="n">
        <v>1021.84</v>
      </c>
      <c r="L191" s="14" t="n">
        <v>1021.84</v>
      </c>
      <c r="M191" s="14" t="n">
        <v>1021.84</v>
      </c>
      <c r="N191" s="14" t="n">
        <v>1021.84</v>
      </c>
      <c r="O191" s="14" t="n">
        <v>1021.84</v>
      </c>
      <c r="P191" s="14" t="n">
        <v>1021.84</v>
      </c>
      <c r="Q191" s="14" t="n">
        <v>1021.84</v>
      </c>
      <c r="R191" s="14" t="n">
        <v>1021.84</v>
      </c>
      <c r="S191" s="14" t="n">
        <v>1021.84</v>
      </c>
      <c r="T191" s="14" t="n">
        <v>1021.84</v>
      </c>
      <c r="U191" s="14" t="n">
        <v>350</v>
      </c>
      <c r="V191" s="14" t="n">
        <v>250</v>
      </c>
      <c r="W191" s="14">
        <f>U191+V191</f>
        <v/>
      </c>
    </row>
    <row r="192">
      <c r="A192" s="15" t="inlineStr">
        <is>
          <t>CANON-202511-001997</t>
        </is>
      </c>
      <c r="B192" s="15" t="inlineStr">
        <is>
          <t>2025-11-15</t>
        </is>
      </c>
      <c r="C192" s="15" t="inlineStr">
        <is>
          <t>Thaddeus Merriweather</t>
        </is>
      </c>
      <c r="D192" s="15" t="inlineStr">
        <is>
          <t>MT</t>
        </is>
      </c>
      <c r="E192" s="16" t="n">
        <v>1240000</v>
      </c>
      <c r="F192" s="16" t="n">
        <v>16003.8</v>
      </c>
      <c r="G192" s="16" t="n">
        <v>2000.47</v>
      </c>
      <c r="H192" s="16" t="n">
        <v>2000.47</v>
      </c>
      <c r="I192" s="16">
        <f>SUM(K192:T192)</f>
        <v/>
      </c>
      <c r="J192" s="16">
        <f>F192-(G192+H192+I192)</f>
        <v/>
      </c>
      <c r="K192" s="16" t="n">
        <v>1200.28</v>
      </c>
      <c r="L192" s="16" t="n">
        <v>1200.28</v>
      </c>
      <c r="M192" s="16" t="n">
        <v>1200.28</v>
      </c>
      <c r="N192" s="16" t="n">
        <v>1200.28</v>
      </c>
      <c r="O192" s="16" t="n">
        <v>1200.28</v>
      </c>
      <c r="P192" s="16" t="n">
        <v>1200.28</v>
      </c>
      <c r="Q192" s="16" t="n">
        <v>1200.28</v>
      </c>
      <c r="R192" s="16" t="n">
        <v>1200.28</v>
      </c>
      <c r="S192" s="16" t="n">
        <v>1200.28</v>
      </c>
      <c r="T192" s="16" t="n">
        <v>1200.28</v>
      </c>
      <c r="U192" s="16" t="n">
        <v>350</v>
      </c>
      <c r="V192" s="16" t="n">
        <v>250</v>
      </c>
      <c r="W192" s="16">
        <f>U192+V192</f>
        <v/>
      </c>
    </row>
    <row r="193">
      <c r="A193" s="3" t="inlineStr">
        <is>
          <t>CANON-202511-001998</t>
        </is>
      </c>
      <c r="B193" s="3" t="inlineStr">
        <is>
          <t>2025-11-01</t>
        </is>
      </c>
      <c r="C193" s="3" t="inlineStr">
        <is>
          <t>Ingrid Nakashima</t>
        </is>
      </c>
      <c r="D193" s="3" t="inlineStr">
        <is>
          <t>DE</t>
        </is>
      </c>
      <c r="E193" s="14" t="n">
        <v>630000</v>
      </c>
      <c r="F193" s="14" t="n">
        <v>8879.58</v>
      </c>
      <c r="G193" s="14" t="n">
        <v>1109.95</v>
      </c>
      <c r="H193" s="14" t="n">
        <v>1109.95</v>
      </c>
      <c r="I193" s="14">
        <f>SUM(K193:T193)</f>
        <v/>
      </c>
      <c r="J193" s="14">
        <f>F193-(G193+H193+I193)</f>
        <v/>
      </c>
      <c r="K193" s="14" t="n">
        <v>665.97</v>
      </c>
      <c r="L193" s="14" t="n">
        <v>665.97</v>
      </c>
      <c r="M193" s="14" t="n">
        <v>665.97</v>
      </c>
      <c r="N193" s="14" t="n">
        <v>665.97</v>
      </c>
      <c r="O193" s="14" t="n">
        <v>665.97</v>
      </c>
      <c r="P193" s="14" t="n">
        <v>665.97</v>
      </c>
      <c r="Q193" s="14" t="n">
        <v>665.97</v>
      </c>
      <c r="R193" s="14" t="n">
        <v>665.97</v>
      </c>
      <c r="S193" s="14" t="n">
        <v>665.97</v>
      </c>
      <c r="T193" s="14" t="n">
        <v>665.97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CANON-202511-001999</t>
        </is>
      </c>
      <c r="B194" s="15" t="inlineStr">
        <is>
          <t>2025-11-06</t>
        </is>
      </c>
      <c r="C194" s="15" t="inlineStr">
        <is>
          <t>Lorenzo Fairweather</t>
        </is>
      </c>
      <c r="D194" s="15" t="inlineStr">
        <is>
          <t>KY</t>
        </is>
      </c>
      <c r="E194" s="16" t="n">
        <v>285000</v>
      </c>
      <c r="F194" s="16" t="n">
        <v>3179.95</v>
      </c>
      <c r="G194" s="16" t="n">
        <v>397.49</v>
      </c>
      <c r="H194" s="16" t="n">
        <v>397.49</v>
      </c>
      <c r="I194" s="16">
        <f>SUM(K194:T194)</f>
        <v/>
      </c>
      <c r="J194" s="16">
        <f>F194-(G194+H194+I194)</f>
        <v/>
      </c>
      <c r="K194" s="16" t="n">
        <v>238.5</v>
      </c>
      <c r="L194" s="16" t="n">
        <v>238.5</v>
      </c>
      <c r="M194" s="16" t="n">
        <v>238.5</v>
      </c>
      <c r="N194" s="16" t="n">
        <v>238.5</v>
      </c>
      <c r="O194" s="16" t="n">
        <v>238.5</v>
      </c>
      <c r="P194" s="16" t="n">
        <v>238.5</v>
      </c>
      <c r="Q194" s="16" t="n">
        <v>238.5</v>
      </c>
      <c r="R194" s="16" t="n">
        <v>238.5</v>
      </c>
      <c r="S194" s="16" t="n">
        <v>238.5</v>
      </c>
      <c r="T194" s="16" t="n">
        <v>238.5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CANON-202511-002000</t>
        </is>
      </c>
      <c r="B195" s="3" t="inlineStr">
        <is>
          <t>2025-11-25</t>
        </is>
      </c>
      <c r="C195" s="3" t="inlineStr">
        <is>
          <t>Ottilie Thistlewood</t>
        </is>
      </c>
      <c r="D195" s="3" t="inlineStr">
        <is>
          <t>NV</t>
        </is>
      </c>
      <c r="E195" s="14" t="n">
        <v>205000</v>
      </c>
      <c r="F195" s="14" t="n">
        <v>3827.86</v>
      </c>
      <c r="G195" s="14" t="n">
        <v>478.48</v>
      </c>
      <c r="H195" s="14" t="n">
        <v>478.48</v>
      </c>
      <c r="I195" s="14">
        <f>SUM(K195:T195)</f>
        <v/>
      </c>
      <c r="J195" s="14">
        <f>F195-(G195+H195+I195)</f>
        <v/>
      </c>
      <c r="K195" s="14" t="n">
        <v>287.09</v>
      </c>
      <c r="L195" s="14" t="n">
        <v>287.09</v>
      </c>
      <c r="M195" s="14" t="n">
        <v>287.09</v>
      </c>
      <c r="N195" s="14" t="n">
        <v>287.09</v>
      </c>
      <c r="O195" s="14" t="n">
        <v>287.09</v>
      </c>
      <c r="P195" s="14" t="n">
        <v>287.09</v>
      </c>
      <c r="Q195" s="14" t="n">
        <v>287.09</v>
      </c>
      <c r="R195" s="14" t="n">
        <v>287.09</v>
      </c>
      <c r="S195" s="14" t="n">
        <v>287.09</v>
      </c>
      <c r="T195" s="14" t="n">
        <v>287.09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CANON-202511-002001</t>
        </is>
      </c>
      <c r="B196" s="15" t="inlineStr">
        <is>
          <t>2025-11-01</t>
        </is>
      </c>
      <c r="C196" s="15" t="inlineStr">
        <is>
          <t>Marisol Merriweather</t>
        </is>
      </c>
      <c r="D196" s="15" t="inlineStr">
        <is>
          <t>MA</t>
        </is>
      </c>
      <c r="E196" s="16" t="n">
        <v>575000</v>
      </c>
      <c r="F196" s="16" t="n">
        <v>11844.86</v>
      </c>
      <c r="G196" s="16" t="n">
        <v>1480.61</v>
      </c>
      <c r="H196" s="16" t="n">
        <v>1480.61</v>
      </c>
      <c r="I196" s="16">
        <f>SUM(K196:T196)</f>
        <v/>
      </c>
      <c r="J196" s="16">
        <f>F196-(G196+H196+I196)</f>
        <v/>
      </c>
      <c r="K196" s="16" t="n">
        <v>888.36</v>
      </c>
      <c r="L196" s="16" t="n">
        <v>888.36</v>
      </c>
      <c r="M196" s="16" t="n">
        <v>888.36</v>
      </c>
      <c r="N196" s="16" t="n">
        <v>888.36</v>
      </c>
      <c r="O196" s="16" t="n">
        <v>888.36</v>
      </c>
      <c r="P196" s="16" t="n">
        <v>888.36</v>
      </c>
      <c r="Q196" s="16" t="n">
        <v>888.36</v>
      </c>
      <c r="R196" s="16" t="n">
        <v>888.36</v>
      </c>
      <c r="S196" s="16" t="n">
        <v>888.36</v>
      </c>
      <c r="T196" s="16" t="n">
        <v>888.36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CANON-202511-002002</t>
        </is>
      </c>
      <c r="B197" s="3" t="inlineStr">
        <is>
          <t>2025-11-10</t>
        </is>
      </c>
      <c r="C197" s="3" t="inlineStr">
        <is>
          <t>Beatrix Pennington</t>
        </is>
      </c>
      <c r="D197" s="3" t="inlineStr">
        <is>
          <t>OR</t>
        </is>
      </c>
      <c r="E197" s="14" t="n">
        <v>1535000</v>
      </c>
      <c r="F197" s="14" t="n">
        <v>24071.63</v>
      </c>
      <c r="G197" s="14" t="n">
        <v>3008.95</v>
      </c>
      <c r="H197" s="14" t="n">
        <v>3008.95</v>
      </c>
      <c r="I197" s="14">
        <f>SUM(K197:T197)</f>
        <v/>
      </c>
      <c r="J197" s="14">
        <f>F197-(G197+H197+I197)</f>
        <v/>
      </c>
      <c r="K197" s="14" t="n">
        <v>1805.37</v>
      </c>
      <c r="L197" s="14" t="n">
        <v>1805.37</v>
      </c>
      <c r="M197" s="14" t="n">
        <v>1805.37</v>
      </c>
      <c r="N197" s="14" t="n">
        <v>1805.37</v>
      </c>
      <c r="O197" s="14" t="n">
        <v>1805.37</v>
      </c>
      <c r="P197" s="14" t="n">
        <v>1805.37</v>
      </c>
      <c r="Q197" s="14" t="n">
        <v>1805.37</v>
      </c>
      <c r="R197" s="14" t="n">
        <v>1805.37</v>
      </c>
      <c r="S197" s="14" t="n">
        <v>1805.37</v>
      </c>
      <c r="T197" s="14" t="n">
        <v>1805.37</v>
      </c>
      <c r="U197" s="14" t="n">
        <v>350</v>
      </c>
      <c r="V197" s="14" t="n">
        <v>250</v>
      </c>
      <c r="W197" s="14">
        <f>U197+V197</f>
        <v/>
      </c>
    </row>
    <row r="198">
      <c r="A198" s="15" t="inlineStr">
        <is>
          <t>CANON-202511-002004</t>
        </is>
      </c>
      <c r="B198" s="15" t="inlineStr">
        <is>
          <t>2025-11-07</t>
        </is>
      </c>
      <c r="C198" s="15" t="inlineStr">
        <is>
          <t>Wilhelmina Farkas</t>
        </is>
      </c>
      <c r="D198" s="15" t="inlineStr">
        <is>
          <t>AL</t>
        </is>
      </c>
      <c r="E198" s="16" t="n">
        <v>470000</v>
      </c>
      <c r="F198" s="16" t="n">
        <v>7765.9</v>
      </c>
      <c r="G198" s="16" t="n">
        <v>970.74</v>
      </c>
      <c r="H198" s="16" t="n">
        <v>970.74</v>
      </c>
      <c r="I198" s="16">
        <f>SUM(K198:T198)</f>
        <v/>
      </c>
      <c r="J198" s="16">
        <f>F198-(G198+H198+I198)</f>
        <v/>
      </c>
      <c r="K198" s="16" t="n">
        <v>582.4400000000001</v>
      </c>
      <c r="L198" s="16" t="n">
        <v>582.4400000000001</v>
      </c>
      <c r="M198" s="16" t="n">
        <v>582.4400000000001</v>
      </c>
      <c r="N198" s="16" t="n">
        <v>582.4400000000001</v>
      </c>
      <c r="O198" s="16" t="n">
        <v>582.4400000000001</v>
      </c>
      <c r="P198" s="16" t="n">
        <v>582.4400000000001</v>
      </c>
      <c r="Q198" s="16" t="n">
        <v>582.4400000000001</v>
      </c>
      <c r="R198" s="16" t="n">
        <v>582.4400000000001</v>
      </c>
      <c r="S198" s="16" t="n">
        <v>582.4400000000001</v>
      </c>
      <c r="T198" s="16" t="n">
        <v>582.4400000000001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CANON-202511-002005</t>
        </is>
      </c>
      <c r="B199" s="3" t="inlineStr">
        <is>
          <t>2025-11-22</t>
        </is>
      </c>
      <c r="C199" s="3" t="inlineStr">
        <is>
          <t>Ottilie Chattopadhyay</t>
        </is>
      </c>
      <c r="D199" s="3" t="inlineStr">
        <is>
          <t>FL</t>
        </is>
      </c>
      <c r="E199" s="14" t="n">
        <v>1085000</v>
      </c>
      <c r="F199" s="14" t="n">
        <v>21381.43</v>
      </c>
      <c r="G199" s="14" t="n">
        <v>2672.68</v>
      </c>
      <c r="H199" s="14" t="n">
        <v>2672.68</v>
      </c>
      <c r="I199" s="14">
        <f>SUM(K199:T199)</f>
        <v/>
      </c>
      <c r="J199" s="14">
        <f>F199-(G199+H199+I199)</f>
        <v/>
      </c>
      <c r="K199" s="14" t="n">
        <v>1603.61</v>
      </c>
      <c r="L199" s="14" t="n">
        <v>1603.61</v>
      </c>
      <c r="M199" s="14" t="n">
        <v>1603.61</v>
      </c>
      <c r="N199" s="14" t="n">
        <v>1603.61</v>
      </c>
      <c r="O199" s="14" t="n">
        <v>1603.61</v>
      </c>
      <c r="P199" s="14" t="n">
        <v>1603.61</v>
      </c>
      <c r="Q199" s="14" t="n">
        <v>1603.61</v>
      </c>
      <c r="R199" s="14" t="n">
        <v>1603.61</v>
      </c>
      <c r="S199" s="14" t="n">
        <v>1603.61</v>
      </c>
      <c r="T199" s="14" t="n">
        <v>1603.61</v>
      </c>
      <c r="U199" s="14" t="n">
        <v>350</v>
      </c>
      <c r="V199" s="14" t="n">
        <v>250</v>
      </c>
      <c r="W199" s="14">
        <f>U199+V199</f>
        <v/>
      </c>
    </row>
    <row r="200">
      <c r="A200" s="15" t="inlineStr">
        <is>
          <t>CANON-202511-002008</t>
        </is>
      </c>
      <c r="B200" s="15" t="inlineStr">
        <is>
          <t>2025-11-27</t>
        </is>
      </c>
      <c r="C200" s="15" t="inlineStr">
        <is>
          <t>Ottilie Bellandi</t>
        </is>
      </c>
      <c r="D200" s="15" t="inlineStr">
        <is>
          <t>OH</t>
        </is>
      </c>
      <c r="E200" s="16" t="n">
        <v>340000</v>
      </c>
      <c r="F200" s="16" t="n">
        <v>6148.71</v>
      </c>
      <c r="G200" s="16" t="n">
        <v>768.59</v>
      </c>
      <c r="H200" s="16" t="n">
        <v>768.59</v>
      </c>
      <c r="I200" s="16">
        <f>SUM(K200:T200)</f>
        <v/>
      </c>
      <c r="J200" s="16">
        <f>F200-(G200+H200+I200)</f>
        <v/>
      </c>
      <c r="K200" s="16" t="n">
        <v>461.15</v>
      </c>
      <c r="L200" s="16" t="n">
        <v>461.15</v>
      </c>
      <c r="M200" s="16" t="n">
        <v>461.15</v>
      </c>
      <c r="N200" s="16" t="n">
        <v>461.15</v>
      </c>
      <c r="O200" s="16" t="n">
        <v>461.15</v>
      </c>
      <c r="P200" s="16" t="n">
        <v>461.15</v>
      </c>
      <c r="Q200" s="16" t="n">
        <v>461.15</v>
      </c>
      <c r="R200" s="16" t="n">
        <v>461.15</v>
      </c>
      <c r="S200" s="16" t="n">
        <v>461.15</v>
      </c>
      <c r="T200" s="16" t="n">
        <v>461.15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CANON-202511-002009</t>
        </is>
      </c>
      <c r="B201" s="3" t="inlineStr">
        <is>
          <t>2025-11-22</t>
        </is>
      </c>
      <c r="C201" s="3" t="inlineStr">
        <is>
          <t>Mireille Harrington</t>
        </is>
      </c>
      <c r="D201" s="3" t="inlineStr">
        <is>
          <t>AR</t>
        </is>
      </c>
      <c r="E201" s="14" t="n">
        <v>920000</v>
      </c>
      <c r="F201" s="14" t="n">
        <v>14315.58</v>
      </c>
      <c r="G201" s="14" t="n">
        <v>1789.45</v>
      </c>
      <c r="H201" s="14" t="n">
        <v>1789.45</v>
      </c>
      <c r="I201" s="14">
        <f>SUM(K201:T201)</f>
        <v/>
      </c>
      <c r="J201" s="14">
        <f>F201-(G201+H201+I201)</f>
        <v/>
      </c>
      <c r="K201" s="14" t="n">
        <v>1073.67</v>
      </c>
      <c r="L201" s="14" t="n">
        <v>1073.67</v>
      </c>
      <c r="M201" s="14" t="n">
        <v>1073.67</v>
      </c>
      <c r="N201" s="14" t="n">
        <v>1073.67</v>
      </c>
      <c r="O201" s="14" t="n">
        <v>1073.67</v>
      </c>
      <c r="P201" s="14" t="n">
        <v>1073.67</v>
      </c>
      <c r="Q201" s="14" t="n">
        <v>1073.67</v>
      </c>
      <c r="R201" s="14" t="n">
        <v>1073.67</v>
      </c>
      <c r="S201" s="14" t="n">
        <v>1073.67</v>
      </c>
      <c r="T201" s="14" t="n">
        <v>1073.67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CANON-202511-002010</t>
        </is>
      </c>
      <c r="B202" s="15" t="inlineStr">
        <is>
          <t>2025-11-24</t>
        </is>
      </c>
      <c r="C202" s="15" t="inlineStr">
        <is>
          <t>Leopold Kingsford</t>
        </is>
      </c>
      <c r="D202" s="15" t="inlineStr">
        <is>
          <t>MI</t>
        </is>
      </c>
      <c r="E202" s="16" t="n">
        <v>470000</v>
      </c>
      <c r="F202" s="16" t="n">
        <v>9478.059999999999</v>
      </c>
      <c r="G202" s="16" t="n">
        <v>1184.76</v>
      </c>
      <c r="H202" s="16" t="n">
        <v>1184.76</v>
      </c>
      <c r="I202" s="16">
        <f>SUM(K202:T202)</f>
        <v/>
      </c>
      <c r="J202" s="16">
        <f>F202-(G202+H202+I202)</f>
        <v/>
      </c>
      <c r="K202" s="16" t="n">
        <v>710.85</v>
      </c>
      <c r="L202" s="16" t="n">
        <v>710.85</v>
      </c>
      <c r="M202" s="16" t="n">
        <v>710.85</v>
      </c>
      <c r="N202" s="16" t="n">
        <v>710.85</v>
      </c>
      <c r="O202" s="16" t="n">
        <v>710.85</v>
      </c>
      <c r="P202" s="16" t="n">
        <v>710.85</v>
      </c>
      <c r="Q202" s="16" t="n">
        <v>710.85</v>
      </c>
      <c r="R202" s="16" t="n">
        <v>710.85</v>
      </c>
      <c r="S202" s="16" t="n">
        <v>710.85</v>
      </c>
      <c r="T202" s="16" t="n">
        <v>710.85</v>
      </c>
      <c r="U202" s="16" t="n">
        <v>350</v>
      </c>
      <c r="V202" s="16" t="n">
        <v>0</v>
      </c>
      <c r="W202" s="16">
        <f>U202+V202</f>
        <v/>
      </c>
    </row>
    <row r="203">
      <c r="A203" s="3" t="inlineStr">
        <is>
          <t>CANON-202511-002011</t>
        </is>
      </c>
      <c r="B203" s="3" t="inlineStr">
        <is>
          <t>2025-11-13</t>
        </is>
      </c>
      <c r="C203" s="3" t="inlineStr">
        <is>
          <t>Saoirse Underwood</t>
        </is>
      </c>
      <c r="D203" s="3" t="inlineStr">
        <is>
          <t>MD</t>
        </is>
      </c>
      <c r="E203" s="14" t="n">
        <v>410000</v>
      </c>
      <c r="F203" s="14" t="n">
        <v>5067.54</v>
      </c>
      <c r="G203" s="14" t="n">
        <v>633.4400000000001</v>
      </c>
      <c r="H203" s="14" t="n">
        <v>633.4400000000001</v>
      </c>
      <c r="I203" s="14">
        <f>SUM(K203:T203)</f>
        <v/>
      </c>
      <c r="J203" s="14">
        <f>F203-(G203+H203+I203)</f>
        <v/>
      </c>
      <c r="K203" s="14" t="n">
        <v>380.07</v>
      </c>
      <c r="L203" s="14" t="n">
        <v>380.07</v>
      </c>
      <c r="M203" s="14" t="n">
        <v>380.07</v>
      </c>
      <c r="N203" s="14" t="n">
        <v>380.07</v>
      </c>
      <c r="O203" s="14" t="n">
        <v>380.07</v>
      </c>
      <c r="P203" s="14" t="n">
        <v>380.07</v>
      </c>
      <c r="Q203" s="14" t="n">
        <v>380.07</v>
      </c>
      <c r="R203" s="14" t="n">
        <v>380.07</v>
      </c>
      <c r="S203" s="14" t="n">
        <v>380.07</v>
      </c>
      <c r="T203" s="14" t="n">
        <v>380.07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CANON-202511-002013</t>
        </is>
      </c>
      <c r="B204" s="15" t="inlineStr">
        <is>
          <t>2025-11-29</t>
        </is>
      </c>
      <c r="C204" s="15" t="inlineStr">
        <is>
          <t>Beatrix Rourke</t>
        </is>
      </c>
      <c r="D204" s="15" t="inlineStr">
        <is>
          <t>NY</t>
        </is>
      </c>
      <c r="E204" s="16" t="n">
        <v>1130000</v>
      </c>
      <c r="F204" s="16" t="n">
        <v>13800.02</v>
      </c>
      <c r="G204" s="16" t="n">
        <v>1725</v>
      </c>
      <c r="H204" s="16" t="n">
        <v>1725</v>
      </c>
      <c r="I204" s="16">
        <f>SUM(K204:T204)</f>
        <v/>
      </c>
      <c r="J204" s="16">
        <f>F204-(G204+H204+I204)</f>
        <v/>
      </c>
      <c r="K204" s="16" t="n">
        <v>1035</v>
      </c>
      <c r="L204" s="16" t="n">
        <v>1035</v>
      </c>
      <c r="M204" s="16" t="n">
        <v>1035</v>
      </c>
      <c r="N204" s="16" t="n">
        <v>1035</v>
      </c>
      <c r="O204" s="16" t="n">
        <v>1035</v>
      </c>
      <c r="P204" s="16" t="n">
        <v>1035</v>
      </c>
      <c r="Q204" s="16" t="n">
        <v>1035</v>
      </c>
      <c r="R204" s="16" t="n">
        <v>1035</v>
      </c>
      <c r="S204" s="16" t="n">
        <v>1035</v>
      </c>
      <c r="T204" s="16" t="n">
        <v>1035</v>
      </c>
      <c r="U204" s="16" t="n">
        <v>350</v>
      </c>
      <c r="V204" s="16" t="n">
        <v>250</v>
      </c>
      <c r="W204" s="16">
        <f>U204+V204</f>
        <v/>
      </c>
    </row>
    <row r="205">
      <c r="A205" s="3" t="inlineStr">
        <is>
          <t>CANON-202511-002014</t>
        </is>
      </c>
      <c r="B205" s="3" t="inlineStr">
        <is>
          <t>2025-11-29</t>
        </is>
      </c>
      <c r="C205" s="3" t="inlineStr">
        <is>
          <t>Beatrix Fairweather</t>
        </is>
      </c>
      <c r="D205" s="3" t="inlineStr">
        <is>
          <t>RI</t>
        </is>
      </c>
      <c r="E205" s="14" t="n">
        <v>815000</v>
      </c>
      <c r="F205" s="14" t="n">
        <v>8328.66</v>
      </c>
      <c r="G205" s="14" t="n">
        <v>1041.08</v>
      </c>
      <c r="H205" s="14" t="n">
        <v>1041.08</v>
      </c>
      <c r="I205" s="14">
        <f>SUM(K205:T205)</f>
        <v/>
      </c>
      <c r="J205" s="14">
        <f>F205-(G205+H205+I205)</f>
        <v/>
      </c>
      <c r="K205" s="14" t="n">
        <v>624.65</v>
      </c>
      <c r="L205" s="14" t="n">
        <v>624.65</v>
      </c>
      <c r="M205" s="14" t="n">
        <v>624.65</v>
      </c>
      <c r="N205" s="14" t="n">
        <v>624.65</v>
      </c>
      <c r="O205" s="14" t="n">
        <v>624.65</v>
      </c>
      <c r="P205" s="14" t="n">
        <v>624.65</v>
      </c>
      <c r="Q205" s="14" t="n">
        <v>624.65</v>
      </c>
      <c r="R205" s="14" t="n">
        <v>624.65</v>
      </c>
      <c r="S205" s="14" t="n">
        <v>624.65</v>
      </c>
      <c r="T205" s="14" t="n">
        <v>624.65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CANON-202511-002015</t>
        </is>
      </c>
      <c r="B206" s="15" t="inlineStr">
        <is>
          <t>2025-11-21</t>
        </is>
      </c>
      <c r="C206" s="15" t="inlineStr">
        <is>
          <t>Ingrid Rourke</t>
        </is>
      </c>
      <c r="D206" s="15" t="inlineStr">
        <is>
          <t>RI</t>
        </is>
      </c>
      <c r="E206" s="16" t="n">
        <v>440000</v>
      </c>
      <c r="F206" s="16" t="n">
        <v>12025.4</v>
      </c>
      <c r="G206" s="16" t="n">
        <v>1503.17</v>
      </c>
      <c r="H206" s="16" t="n">
        <v>1503.17</v>
      </c>
      <c r="I206" s="16">
        <f>SUM(K206:T206)</f>
        <v/>
      </c>
      <c r="J206" s="16">
        <f>F206-(G206+H206+I206)</f>
        <v/>
      </c>
      <c r="K206" s="16" t="n">
        <v>901.9</v>
      </c>
      <c r="L206" s="16" t="n">
        <v>901.9</v>
      </c>
      <c r="M206" s="16" t="n">
        <v>901.9</v>
      </c>
      <c r="N206" s="16" t="n">
        <v>901.9</v>
      </c>
      <c r="O206" s="16" t="n">
        <v>901.9</v>
      </c>
      <c r="P206" s="16" t="n">
        <v>901.9</v>
      </c>
      <c r="Q206" s="16" t="n">
        <v>901.9</v>
      </c>
      <c r="R206" s="16" t="n">
        <v>901.9</v>
      </c>
      <c r="S206" s="16" t="n">
        <v>901.9</v>
      </c>
      <c r="T206" s="16" t="n">
        <v>901.9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CANON-202511-002016</t>
        </is>
      </c>
      <c r="B207" s="3" t="inlineStr">
        <is>
          <t>2025-11-08</t>
        </is>
      </c>
      <c r="C207" s="3" t="inlineStr">
        <is>
          <t>Delphine Montoya</t>
        </is>
      </c>
      <c r="D207" s="3" t="inlineStr">
        <is>
          <t>OR</t>
        </is>
      </c>
      <c r="E207" s="14" t="n">
        <v>475000</v>
      </c>
      <c r="F207" s="14" t="n">
        <v>6983.32</v>
      </c>
      <c r="G207" s="14" t="n">
        <v>872.91</v>
      </c>
      <c r="H207" s="14" t="n">
        <v>872.91</v>
      </c>
      <c r="I207" s="14">
        <f>SUM(K207:T207)</f>
        <v/>
      </c>
      <c r="J207" s="14">
        <f>F207-(G207+H207+I207)</f>
        <v/>
      </c>
      <c r="K207" s="14" t="n">
        <v>523.75</v>
      </c>
      <c r="L207" s="14" t="n">
        <v>523.75</v>
      </c>
      <c r="M207" s="14" t="n">
        <v>523.75</v>
      </c>
      <c r="N207" s="14" t="n">
        <v>523.75</v>
      </c>
      <c r="O207" s="14" t="n">
        <v>523.75</v>
      </c>
      <c r="P207" s="14" t="n">
        <v>523.75</v>
      </c>
      <c r="Q207" s="14" t="n">
        <v>523.75</v>
      </c>
      <c r="R207" s="14" t="n">
        <v>523.75</v>
      </c>
      <c r="S207" s="14" t="n">
        <v>523.75</v>
      </c>
      <c r="T207" s="14" t="n">
        <v>523.75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CANON-202511-002017</t>
        </is>
      </c>
      <c r="B208" s="15" t="inlineStr">
        <is>
          <t>2025-11-04</t>
        </is>
      </c>
      <c r="C208" s="15" t="inlineStr">
        <is>
          <t>Thaddeus Whitlock</t>
        </is>
      </c>
      <c r="D208" s="15" t="inlineStr">
        <is>
          <t>FL</t>
        </is>
      </c>
      <c r="E208" s="16" t="n">
        <v>1950000</v>
      </c>
      <c r="F208" s="16" t="n">
        <v>38427.45</v>
      </c>
      <c r="G208" s="16" t="n">
        <v>4803.43</v>
      </c>
      <c r="H208" s="16" t="n">
        <v>4803.43</v>
      </c>
      <c r="I208" s="16">
        <f>SUM(K208:T208)</f>
        <v/>
      </c>
      <c r="J208" s="16">
        <f>F208-(G208+H208+I208)</f>
        <v/>
      </c>
      <c r="K208" s="16" t="n">
        <v>2882.06</v>
      </c>
      <c r="L208" s="16" t="n">
        <v>2882.06</v>
      </c>
      <c r="M208" s="16" t="n">
        <v>2882.06</v>
      </c>
      <c r="N208" s="16" t="n">
        <v>2882.06</v>
      </c>
      <c r="O208" s="16" t="n">
        <v>2882.06</v>
      </c>
      <c r="P208" s="16" t="n">
        <v>2882.06</v>
      </c>
      <c r="Q208" s="16" t="n">
        <v>2882.06</v>
      </c>
      <c r="R208" s="16" t="n">
        <v>2882.06</v>
      </c>
      <c r="S208" s="16" t="n">
        <v>2882.06</v>
      </c>
      <c r="T208" s="16" t="n">
        <v>2882.06</v>
      </c>
      <c r="U208" s="16" t="n">
        <v>350</v>
      </c>
      <c r="V208" s="16" t="n">
        <v>250</v>
      </c>
      <c r="W208" s="16">
        <f>U208+V208</f>
        <v/>
      </c>
    </row>
    <row r="209">
      <c r="A209" s="3" t="inlineStr">
        <is>
          <t>CANON-202511-002018</t>
        </is>
      </c>
      <c r="B209" s="3" t="inlineStr">
        <is>
          <t>2025-11-01</t>
        </is>
      </c>
      <c r="C209" s="3" t="inlineStr">
        <is>
          <t>Lorenzo Kingsford</t>
        </is>
      </c>
      <c r="D209" s="3" t="inlineStr">
        <is>
          <t>HI</t>
        </is>
      </c>
      <c r="E209" s="14" t="n">
        <v>805000</v>
      </c>
      <c r="F209" s="14" t="n">
        <v>17246.12</v>
      </c>
      <c r="G209" s="14" t="n">
        <v>2155.76</v>
      </c>
      <c r="H209" s="14" t="n">
        <v>2155.76</v>
      </c>
      <c r="I209" s="14">
        <f>SUM(K209:T209)</f>
        <v/>
      </c>
      <c r="J209" s="14">
        <f>F209-(G209+H209+I209)</f>
        <v/>
      </c>
      <c r="K209" s="14" t="n">
        <v>1293.46</v>
      </c>
      <c r="L209" s="14" t="n">
        <v>1293.46</v>
      </c>
      <c r="M209" s="14" t="n">
        <v>1293.46</v>
      </c>
      <c r="N209" s="14" t="n">
        <v>1293.46</v>
      </c>
      <c r="O209" s="14" t="n">
        <v>1293.46</v>
      </c>
      <c r="P209" s="14" t="n">
        <v>1293.46</v>
      </c>
      <c r="Q209" s="14" t="n">
        <v>1293.46</v>
      </c>
      <c r="R209" s="14" t="n">
        <v>1293.46</v>
      </c>
      <c r="S209" s="14" t="n">
        <v>1293.46</v>
      </c>
      <c r="T209" s="14" t="n">
        <v>1293.46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CANON-202511-002019</t>
        </is>
      </c>
      <c r="B210" s="15" t="inlineStr">
        <is>
          <t>2025-11-27</t>
        </is>
      </c>
      <c r="C210" s="15" t="inlineStr">
        <is>
          <t>Desmond Bellandi</t>
        </is>
      </c>
      <c r="D210" s="15" t="inlineStr">
        <is>
          <t>FL</t>
        </is>
      </c>
      <c r="E210" s="16" t="n">
        <v>705000</v>
      </c>
      <c r="F210" s="16" t="n">
        <v>16497.94</v>
      </c>
      <c r="G210" s="16" t="n">
        <v>2062.24</v>
      </c>
      <c r="H210" s="16" t="n">
        <v>2062.24</v>
      </c>
      <c r="I210" s="16">
        <f>SUM(K210:T210)</f>
        <v/>
      </c>
      <c r="J210" s="16">
        <f>F210-(G210+H210+I210)</f>
        <v/>
      </c>
      <c r="K210" s="16" t="n">
        <v>1237.35</v>
      </c>
      <c r="L210" s="16" t="n">
        <v>1237.35</v>
      </c>
      <c r="M210" s="16" t="n">
        <v>1237.35</v>
      </c>
      <c r="N210" s="16" t="n">
        <v>1237.35</v>
      </c>
      <c r="O210" s="16" t="n">
        <v>1237.35</v>
      </c>
      <c r="P210" s="16" t="n">
        <v>1237.35</v>
      </c>
      <c r="Q210" s="16" t="n">
        <v>1237.35</v>
      </c>
      <c r="R210" s="16" t="n">
        <v>1237.35</v>
      </c>
      <c r="S210" s="16" t="n">
        <v>1237.35</v>
      </c>
      <c r="T210" s="16" t="n">
        <v>1237.35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CANON-202511-002020</t>
        </is>
      </c>
      <c r="B211" s="3" t="inlineStr">
        <is>
          <t>2025-11-22</t>
        </is>
      </c>
      <c r="C211" s="3" t="inlineStr">
        <is>
          <t>Everett Castellanos</t>
        </is>
      </c>
      <c r="D211" s="3" t="inlineStr">
        <is>
          <t>RI</t>
        </is>
      </c>
      <c r="E211" s="14" t="n">
        <v>570000</v>
      </c>
      <c r="F211" s="14" t="n">
        <v>8805.17</v>
      </c>
      <c r="G211" s="14" t="n">
        <v>1100.65</v>
      </c>
      <c r="H211" s="14" t="n">
        <v>1100.65</v>
      </c>
      <c r="I211" s="14">
        <f>SUM(K211:T211)</f>
        <v/>
      </c>
      <c r="J211" s="14">
        <f>F211-(G211+H211+I211)</f>
        <v/>
      </c>
      <c r="K211" s="14" t="n">
        <v>660.39</v>
      </c>
      <c r="L211" s="14" t="n">
        <v>660.39</v>
      </c>
      <c r="M211" s="14" t="n">
        <v>660.39</v>
      </c>
      <c r="N211" s="14" t="n">
        <v>660.39</v>
      </c>
      <c r="O211" s="14" t="n">
        <v>660.39</v>
      </c>
      <c r="P211" s="14" t="n">
        <v>660.39</v>
      </c>
      <c r="Q211" s="14" t="n">
        <v>660.39</v>
      </c>
      <c r="R211" s="14" t="n">
        <v>660.39</v>
      </c>
      <c r="S211" s="14" t="n">
        <v>660.39</v>
      </c>
      <c r="T211" s="14" t="n">
        <v>660.39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CANON-202511-002024</t>
        </is>
      </c>
      <c r="B212" s="15" t="inlineStr">
        <is>
          <t>2025-11-08</t>
        </is>
      </c>
      <c r="C212" s="15" t="inlineStr">
        <is>
          <t>Priya Blackwood</t>
        </is>
      </c>
      <c r="D212" s="15" t="inlineStr">
        <is>
          <t>WA</t>
        </is>
      </c>
      <c r="E212" s="16" t="n">
        <v>840000</v>
      </c>
      <c r="F212" s="16" t="n">
        <v>10911.23</v>
      </c>
      <c r="G212" s="16" t="n">
        <v>1363.9</v>
      </c>
      <c r="H212" s="16" t="n">
        <v>1363.9</v>
      </c>
      <c r="I212" s="16">
        <f>SUM(K212:T212)</f>
        <v/>
      </c>
      <c r="J212" s="16">
        <f>F212-(G212+H212+I212)</f>
        <v/>
      </c>
      <c r="K212" s="16" t="n">
        <v>818.34</v>
      </c>
      <c r="L212" s="16" t="n">
        <v>818.34</v>
      </c>
      <c r="M212" s="16" t="n">
        <v>818.34</v>
      </c>
      <c r="N212" s="16" t="n">
        <v>818.34</v>
      </c>
      <c r="O212" s="16" t="n">
        <v>818.34</v>
      </c>
      <c r="P212" s="16" t="n">
        <v>818.34</v>
      </c>
      <c r="Q212" s="16" t="n">
        <v>818.34</v>
      </c>
      <c r="R212" s="16" t="n">
        <v>818.34</v>
      </c>
      <c r="S212" s="16" t="n">
        <v>818.34</v>
      </c>
      <c r="T212" s="16" t="n">
        <v>818.34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CANON-202511-002025</t>
        </is>
      </c>
      <c r="B213" s="3" t="inlineStr">
        <is>
          <t>2025-11-09</t>
        </is>
      </c>
      <c r="C213" s="3" t="inlineStr">
        <is>
          <t>Ingrid Fairweather</t>
        </is>
      </c>
      <c r="D213" s="3" t="inlineStr">
        <is>
          <t>AZ</t>
        </is>
      </c>
      <c r="E213" s="14" t="n">
        <v>725000</v>
      </c>
      <c r="F213" s="14" t="n">
        <v>8256.6</v>
      </c>
      <c r="G213" s="14" t="n">
        <v>1032.08</v>
      </c>
      <c r="H213" s="14" t="n">
        <v>1032.08</v>
      </c>
      <c r="I213" s="14">
        <f>SUM(K213:T213)</f>
        <v/>
      </c>
      <c r="J213" s="14">
        <f>F213-(G213+H213+I213)</f>
        <v/>
      </c>
      <c r="K213" s="14" t="n">
        <v>619.25</v>
      </c>
      <c r="L213" s="14" t="n">
        <v>619.25</v>
      </c>
      <c r="M213" s="14" t="n">
        <v>619.25</v>
      </c>
      <c r="N213" s="14" t="n">
        <v>619.25</v>
      </c>
      <c r="O213" s="14" t="n">
        <v>619.25</v>
      </c>
      <c r="P213" s="14" t="n">
        <v>619.25</v>
      </c>
      <c r="Q213" s="14" t="n">
        <v>619.25</v>
      </c>
      <c r="R213" s="14" t="n">
        <v>619.25</v>
      </c>
      <c r="S213" s="14" t="n">
        <v>619.25</v>
      </c>
      <c r="T213" s="14" t="n">
        <v>619.25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CANON-202511-002028</t>
        </is>
      </c>
      <c r="B214" s="15" t="inlineStr">
        <is>
          <t>2025-11-04</t>
        </is>
      </c>
      <c r="C214" s="15" t="inlineStr">
        <is>
          <t>Fenwick Ashcombe</t>
        </is>
      </c>
      <c r="D214" s="15" t="inlineStr">
        <is>
          <t>RI</t>
        </is>
      </c>
      <c r="E214" s="16" t="n">
        <v>980000</v>
      </c>
      <c r="F214" s="16" t="n">
        <v>15138.7</v>
      </c>
      <c r="G214" s="16" t="n">
        <v>1892.34</v>
      </c>
      <c r="H214" s="16" t="n">
        <v>1892.34</v>
      </c>
      <c r="I214" s="16">
        <f>SUM(K214:T214)</f>
        <v/>
      </c>
      <c r="J214" s="16">
        <f>F214-(G214+H214+I214)</f>
        <v/>
      </c>
      <c r="K214" s="16" t="n">
        <v>1135.4</v>
      </c>
      <c r="L214" s="16" t="n">
        <v>1135.4</v>
      </c>
      <c r="M214" s="16" t="n">
        <v>1135.4</v>
      </c>
      <c r="N214" s="16" t="n">
        <v>1135.4</v>
      </c>
      <c r="O214" s="16" t="n">
        <v>1135.4</v>
      </c>
      <c r="P214" s="16" t="n">
        <v>1135.4</v>
      </c>
      <c r="Q214" s="16" t="n">
        <v>1135.4</v>
      </c>
      <c r="R214" s="16" t="n">
        <v>1135.4</v>
      </c>
      <c r="S214" s="16" t="n">
        <v>1135.4</v>
      </c>
      <c r="T214" s="16" t="n">
        <v>1135.4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CANON-202511-002030</t>
        </is>
      </c>
      <c r="B215" s="3" t="inlineStr">
        <is>
          <t>2025-11-18</t>
        </is>
      </c>
      <c r="C215" s="3" t="inlineStr">
        <is>
          <t>Callum Bellandi</t>
        </is>
      </c>
      <c r="D215" s="3" t="inlineStr">
        <is>
          <t>NY</t>
        </is>
      </c>
      <c r="E215" s="14" t="n">
        <v>335000</v>
      </c>
      <c r="F215" s="14" t="n">
        <v>5578.85</v>
      </c>
      <c r="G215" s="14" t="n">
        <v>697.36</v>
      </c>
      <c r="H215" s="14" t="n">
        <v>697.36</v>
      </c>
      <c r="I215" s="14">
        <f>SUM(K215:T215)</f>
        <v/>
      </c>
      <c r="J215" s="14">
        <f>F215-(G215+H215+I215)</f>
        <v/>
      </c>
      <c r="K215" s="14" t="n">
        <v>418.41</v>
      </c>
      <c r="L215" s="14" t="n">
        <v>418.41</v>
      </c>
      <c r="M215" s="14" t="n">
        <v>418.41</v>
      </c>
      <c r="N215" s="14" t="n">
        <v>418.41</v>
      </c>
      <c r="O215" s="14" t="n">
        <v>418.41</v>
      </c>
      <c r="P215" s="14" t="n">
        <v>418.41</v>
      </c>
      <c r="Q215" s="14" t="n">
        <v>418.41</v>
      </c>
      <c r="R215" s="14" t="n">
        <v>418.41</v>
      </c>
      <c r="S215" s="14" t="n">
        <v>418.41</v>
      </c>
      <c r="T215" s="14" t="n">
        <v>418.41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CANON-202511-002031</t>
        </is>
      </c>
      <c r="B216" s="15" t="inlineStr">
        <is>
          <t>2025-11-20</t>
        </is>
      </c>
      <c r="C216" s="15" t="inlineStr">
        <is>
          <t>Fenwick Merriweather</t>
        </is>
      </c>
      <c r="D216" s="15" t="inlineStr">
        <is>
          <t>KS</t>
        </is>
      </c>
      <c r="E216" s="16" t="n">
        <v>630000</v>
      </c>
      <c r="F216" s="16" t="n">
        <v>6890.55</v>
      </c>
      <c r="G216" s="16" t="n">
        <v>861.3200000000001</v>
      </c>
      <c r="H216" s="16" t="n">
        <v>861.3200000000001</v>
      </c>
      <c r="I216" s="16">
        <f>SUM(K216:T216)</f>
        <v/>
      </c>
      <c r="J216" s="16">
        <f>F216-(G216+H216+I216)</f>
        <v/>
      </c>
      <c r="K216" s="16" t="n">
        <v>516.79</v>
      </c>
      <c r="L216" s="16" t="n">
        <v>516.79</v>
      </c>
      <c r="M216" s="16" t="n">
        <v>516.79</v>
      </c>
      <c r="N216" s="16" t="n">
        <v>516.79</v>
      </c>
      <c r="O216" s="16" t="n">
        <v>516.79</v>
      </c>
      <c r="P216" s="16" t="n">
        <v>516.79</v>
      </c>
      <c r="Q216" s="16" t="n">
        <v>516.79</v>
      </c>
      <c r="R216" s="16" t="n">
        <v>516.79</v>
      </c>
      <c r="S216" s="16" t="n">
        <v>516.79</v>
      </c>
      <c r="T216" s="16" t="n">
        <v>516.79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CANON-202511-002032</t>
        </is>
      </c>
      <c r="B217" s="3" t="inlineStr">
        <is>
          <t>2025-11-17</t>
        </is>
      </c>
      <c r="C217" s="3" t="inlineStr">
        <is>
          <t>Marisol Thistlewood</t>
        </is>
      </c>
      <c r="D217" s="3" t="inlineStr">
        <is>
          <t>CO</t>
        </is>
      </c>
      <c r="E217" s="14" t="n">
        <v>530000</v>
      </c>
      <c r="F217" s="14" t="n">
        <v>6573.71</v>
      </c>
      <c r="G217" s="14" t="n">
        <v>821.71</v>
      </c>
      <c r="H217" s="14" t="n">
        <v>821.71</v>
      </c>
      <c r="I217" s="14">
        <f>SUM(K217:T217)</f>
        <v/>
      </c>
      <c r="J217" s="14">
        <f>F217-(G217+H217+I217)</f>
        <v/>
      </c>
      <c r="K217" s="14" t="n">
        <v>493.03</v>
      </c>
      <c r="L217" s="14" t="n">
        <v>493.03</v>
      </c>
      <c r="M217" s="14" t="n">
        <v>493.03</v>
      </c>
      <c r="N217" s="14" t="n">
        <v>493.03</v>
      </c>
      <c r="O217" s="14" t="n">
        <v>493.03</v>
      </c>
      <c r="P217" s="14" t="n">
        <v>493.03</v>
      </c>
      <c r="Q217" s="14" t="n">
        <v>493.03</v>
      </c>
      <c r="R217" s="14" t="n">
        <v>493.03</v>
      </c>
      <c r="S217" s="14" t="n">
        <v>493.03</v>
      </c>
      <c r="T217" s="14" t="n">
        <v>493.03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CANON-202511-002033</t>
        </is>
      </c>
      <c r="B218" s="15" t="inlineStr">
        <is>
          <t>2025-11-18</t>
        </is>
      </c>
      <c r="C218" s="15" t="inlineStr">
        <is>
          <t>Emiliano Merriweather</t>
        </is>
      </c>
      <c r="D218" s="15" t="inlineStr">
        <is>
          <t>IL</t>
        </is>
      </c>
      <c r="E218" s="16" t="n">
        <v>840000</v>
      </c>
      <c r="F218" s="16" t="n">
        <v>18826.54</v>
      </c>
      <c r="G218" s="16" t="n">
        <v>2353.32</v>
      </c>
      <c r="H218" s="16" t="n">
        <v>2353.32</v>
      </c>
      <c r="I218" s="16">
        <f>SUM(K218:T218)</f>
        <v/>
      </c>
      <c r="J218" s="16">
        <f>F218-(G218+H218+I218)</f>
        <v/>
      </c>
      <c r="K218" s="16" t="n">
        <v>1411.99</v>
      </c>
      <c r="L218" s="16" t="n">
        <v>1411.99</v>
      </c>
      <c r="M218" s="16" t="n">
        <v>1411.99</v>
      </c>
      <c r="N218" s="16" t="n">
        <v>1411.99</v>
      </c>
      <c r="O218" s="16" t="n">
        <v>1411.99</v>
      </c>
      <c r="P218" s="16" t="n">
        <v>1411.99</v>
      </c>
      <c r="Q218" s="16" t="n">
        <v>1411.99</v>
      </c>
      <c r="R218" s="16" t="n">
        <v>1411.99</v>
      </c>
      <c r="S218" s="16" t="n">
        <v>1411.99</v>
      </c>
      <c r="T218" s="16" t="n">
        <v>1411.99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CANON-202511-002034</t>
        </is>
      </c>
      <c r="B219" s="3" t="inlineStr">
        <is>
          <t>2025-11-10</t>
        </is>
      </c>
      <c r="C219" s="3" t="inlineStr">
        <is>
          <t>Saoirse Underwood</t>
        </is>
      </c>
      <c r="D219" s="3" t="inlineStr">
        <is>
          <t>CA</t>
        </is>
      </c>
      <c r="E219" s="14" t="n">
        <v>720000</v>
      </c>
      <c r="F219" s="14" t="n">
        <v>10959.94</v>
      </c>
      <c r="G219" s="14" t="n">
        <v>1369.99</v>
      </c>
      <c r="H219" s="14" t="n">
        <v>1369.99</v>
      </c>
      <c r="I219" s="14">
        <f>SUM(K219:T219)</f>
        <v/>
      </c>
      <c r="J219" s="14">
        <f>F219-(G219+H219+I219)</f>
        <v/>
      </c>
      <c r="K219" s="14" t="n">
        <v>822</v>
      </c>
      <c r="L219" s="14" t="n">
        <v>822</v>
      </c>
      <c r="M219" s="14" t="n">
        <v>822</v>
      </c>
      <c r="N219" s="14" t="n">
        <v>822</v>
      </c>
      <c r="O219" s="14" t="n">
        <v>822</v>
      </c>
      <c r="P219" s="14" t="n">
        <v>822</v>
      </c>
      <c r="Q219" s="14" t="n">
        <v>822</v>
      </c>
      <c r="R219" s="14" t="n">
        <v>822</v>
      </c>
      <c r="S219" s="14" t="n">
        <v>822</v>
      </c>
      <c r="T219" s="14" t="n">
        <v>822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CANON-202511-002035</t>
        </is>
      </c>
      <c r="B220" s="15" t="inlineStr">
        <is>
          <t>2025-11-19</t>
        </is>
      </c>
      <c r="C220" s="15" t="inlineStr">
        <is>
          <t>Delphine Pennington</t>
        </is>
      </c>
      <c r="D220" s="15" t="inlineStr">
        <is>
          <t>NY</t>
        </is>
      </c>
      <c r="E220" s="16" t="n">
        <v>360000</v>
      </c>
      <c r="F220" s="16" t="n">
        <v>5995.18</v>
      </c>
      <c r="G220" s="16" t="n">
        <v>749.4</v>
      </c>
      <c r="H220" s="16" t="n">
        <v>749.4</v>
      </c>
      <c r="I220" s="16">
        <f>SUM(K220:T220)</f>
        <v/>
      </c>
      <c r="J220" s="16">
        <f>F220-(G220+H220+I220)</f>
        <v/>
      </c>
      <c r="K220" s="16" t="n">
        <v>449.64</v>
      </c>
      <c r="L220" s="16" t="n">
        <v>449.64</v>
      </c>
      <c r="M220" s="16" t="n">
        <v>449.64</v>
      </c>
      <c r="N220" s="16" t="n">
        <v>449.64</v>
      </c>
      <c r="O220" s="16" t="n">
        <v>449.64</v>
      </c>
      <c r="P220" s="16" t="n">
        <v>449.64</v>
      </c>
      <c r="Q220" s="16" t="n">
        <v>449.64</v>
      </c>
      <c r="R220" s="16" t="n">
        <v>449.64</v>
      </c>
      <c r="S220" s="16" t="n">
        <v>449.64</v>
      </c>
      <c r="T220" s="16" t="n">
        <v>449.64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CANON-202511-002036</t>
        </is>
      </c>
      <c r="B221" s="3" t="inlineStr">
        <is>
          <t>2025-11-22</t>
        </is>
      </c>
      <c r="C221" s="3" t="inlineStr">
        <is>
          <t>Ramona Kingsford</t>
        </is>
      </c>
      <c r="D221" s="3" t="inlineStr">
        <is>
          <t>WY</t>
        </is>
      </c>
      <c r="E221" s="14" t="n">
        <v>305000</v>
      </c>
      <c r="F221" s="14" t="n">
        <v>4245.94</v>
      </c>
      <c r="G221" s="14" t="n">
        <v>530.74</v>
      </c>
      <c r="H221" s="14" t="n">
        <v>530.74</v>
      </c>
      <c r="I221" s="14">
        <f>SUM(K221:T221)</f>
        <v/>
      </c>
      <c r="J221" s="14">
        <f>F221-(G221+H221+I221)</f>
        <v/>
      </c>
      <c r="K221" s="14" t="n">
        <v>318.45</v>
      </c>
      <c r="L221" s="14" t="n">
        <v>318.45</v>
      </c>
      <c r="M221" s="14" t="n">
        <v>318.45</v>
      </c>
      <c r="N221" s="14" t="n">
        <v>318.45</v>
      </c>
      <c r="O221" s="14" t="n">
        <v>318.45</v>
      </c>
      <c r="P221" s="14" t="n">
        <v>318.45</v>
      </c>
      <c r="Q221" s="14" t="n">
        <v>318.45</v>
      </c>
      <c r="R221" s="14" t="n">
        <v>318.45</v>
      </c>
      <c r="S221" s="14" t="n">
        <v>318.45</v>
      </c>
      <c r="T221" s="14" t="n">
        <v>318.45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CANON-202511-002037</t>
        </is>
      </c>
      <c r="B222" s="15" t="inlineStr">
        <is>
          <t>2025-11-23</t>
        </is>
      </c>
      <c r="C222" s="15" t="inlineStr">
        <is>
          <t>Leopold Kingsford</t>
        </is>
      </c>
      <c r="D222" s="15" t="inlineStr">
        <is>
          <t>FL</t>
        </is>
      </c>
      <c r="E222" s="16" t="n">
        <v>565000</v>
      </c>
      <c r="F222" s="16" t="n">
        <v>9046.459999999999</v>
      </c>
      <c r="G222" s="16" t="n">
        <v>1130.81</v>
      </c>
      <c r="H222" s="16" t="n">
        <v>1130.81</v>
      </c>
      <c r="I222" s="16">
        <f>SUM(K222:T222)</f>
        <v/>
      </c>
      <c r="J222" s="16">
        <f>F222-(G222+H222+I222)</f>
        <v/>
      </c>
      <c r="K222" s="16" t="n">
        <v>678.48</v>
      </c>
      <c r="L222" s="16" t="n">
        <v>678.48</v>
      </c>
      <c r="M222" s="16" t="n">
        <v>678.48</v>
      </c>
      <c r="N222" s="16" t="n">
        <v>678.48</v>
      </c>
      <c r="O222" s="16" t="n">
        <v>678.48</v>
      </c>
      <c r="P222" s="16" t="n">
        <v>678.48</v>
      </c>
      <c r="Q222" s="16" t="n">
        <v>678.48</v>
      </c>
      <c r="R222" s="16" t="n">
        <v>678.48</v>
      </c>
      <c r="S222" s="16" t="n">
        <v>678.48</v>
      </c>
      <c r="T222" s="16" t="n">
        <v>678.48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CANON-202511-002038</t>
        </is>
      </c>
      <c r="B223" s="3" t="inlineStr">
        <is>
          <t>2025-11-05</t>
        </is>
      </c>
      <c r="C223" s="3" t="inlineStr">
        <is>
          <t>Desmond Castellanos</t>
        </is>
      </c>
      <c r="D223" s="3" t="inlineStr">
        <is>
          <t>UT</t>
        </is>
      </c>
      <c r="E223" s="14" t="n">
        <v>345000</v>
      </c>
      <c r="F223" s="14" t="n">
        <v>6059.58</v>
      </c>
      <c r="G223" s="14" t="n">
        <v>757.45</v>
      </c>
      <c r="H223" s="14" t="n">
        <v>757.45</v>
      </c>
      <c r="I223" s="14">
        <f>SUM(K223:T223)</f>
        <v/>
      </c>
      <c r="J223" s="14">
        <f>F223-(G223+H223+I223)</f>
        <v/>
      </c>
      <c r="K223" s="14" t="n">
        <v>454.47</v>
      </c>
      <c r="L223" s="14" t="n">
        <v>454.47</v>
      </c>
      <c r="M223" s="14" t="n">
        <v>454.47</v>
      </c>
      <c r="N223" s="14" t="n">
        <v>454.47</v>
      </c>
      <c r="O223" s="14" t="n">
        <v>454.47</v>
      </c>
      <c r="P223" s="14" t="n">
        <v>454.47</v>
      </c>
      <c r="Q223" s="14" t="n">
        <v>454.47</v>
      </c>
      <c r="R223" s="14" t="n">
        <v>454.47</v>
      </c>
      <c r="S223" s="14" t="n">
        <v>454.47</v>
      </c>
      <c r="T223" s="14" t="n">
        <v>454.47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CANON-202511-002039</t>
        </is>
      </c>
      <c r="B224" s="15" t="inlineStr">
        <is>
          <t>2025-11-08</t>
        </is>
      </c>
      <c r="C224" s="15" t="inlineStr">
        <is>
          <t>Ingrid Larsson</t>
        </is>
      </c>
      <c r="D224" s="15" t="inlineStr">
        <is>
          <t>SC</t>
        </is>
      </c>
      <c r="E224" s="16" t="n">
        <v>560000</v>
      </c>
      <c r="F224" s="16" t="n">
        <v>11443.58</v>
      </c>
      <c r="G224" s="16" t="n">
        <v>1430.45</v>
      </c>
      <c r="H224" s="16" t="n">
        <v>1430.45</v>
      </c>
      <c r="I224" s="16">
        <f>SUM(K224:T224)</f>
        <v/>
      </c>
      <c r="J224" s="16">
        <f>F224-(G224+H224+I224)</f>
        <v/>
      </c>
      <c r="K224" s="16" t="n">
        <v>858.27</v>
      </c>
      <c r="L224" s="16" t="n">
        <v>858.27</v>
      </c>
      <c r="M224" s="16" t="n">
        <v>858.27</v>
      </c>
      <c r="N224" s="16" t="n">
        <v>858.27</v>
      </c>
      <c r="O224" s="16" t="n">
        <v>858.27</v>
      </c>
      <c r="P224" s="16" t="n">
        <v>858.27</v>
      </c>
      <c r="Q224" s="16" t="n">
        <v>858.27</v>
      </c>
      <c r="R224" s="16" t="n">
        <v>858.27</v>
      </c>
      <c r="S224" s="16" t="n">
        <v>858.27</v>
      </c>
      <c r="T224" s="16" t="n">
        <v>858.27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CANON-202511-002043</t>
        </is>
      </c>
      <c r="B225" s="3" t="inlineStr">
        <is>
          <t>2025-11-16</t>
        </is>
      </c>
      <c r="C225" s="3" t="inlineStr">
        <is>
          <t>Beatrix Fairweather</t>
        </is>
      </c>
      <c r="D225" s="3" t="inlineStr">
        <is>
          <t>CA</t>
        </is>
      </c>
      <c r="E225" s="14" t="n">
        <v>1120000</v>
      </c>
      <c r="F225" s="14" t="n">
        <v>14425.91</v>
      </c>
      <c r="G225" s="14" t="n">
        <v>1803.24</v>
      </c>
      <c r="H225" s="14" t="n">
        <v>1803.24</v>
      </c>
      <c r="I225" s="14">
        <f>SUM(K225:T225)</f>
        <v/>
      </c>
      <c r="J225" s="14">
        <f>F225-(G225+H225+I225)</f>
        <v/>
      </c>
      <c r="K225" s="14" t="n">
        <v>1081.94</v>
      </c>
      <c r="L225" s="14" t="n">
        <v>1081.94</v>
      </c>
      <c r="M225" s="14" t="n">
        <v>1081.94</v>
      </c>
      <c r="N225" s="14" t="n">
        <v>1081.94</v>
      </c>
      <c r="O225" s="14" t="n">
        <v>1081.94</v>
      </c>
      <c r="P225" s="14" t="n">
        <v>1081.94</v>
      </c>
      <c r="Q225" s="14" t="n">
        <v>1081.94</v>
      </c>
      <c r="R225" s="14" t="n">
        <v>1081.94</v>
      </c>
      <c r="S225" s="14" t="n">
        <v>1081.94</v>
      </c>
      <c r="T225" s="14" t="n">
        <v>1081.94</v>
      </c>
      <c r="U225" s="14" t="n">
        <v>350</v>
      </c>
      <c r="V225" s="14" t="n">
        <v>250</v>
      </c>
      <c r="W225" s="14">
        <f>U225+V225</f>
        <v/>
      </c>
    </row>
    <row r="226">
      <c r="A226" s="15" t="inlineStr">
        <is>
          <t>CANON-202511-002044</t>
        </is>
      </c>
      <c r="B226" s="15" t="inlineStr">
        <is>
          <t>2025-11-29</t>
        </is>
      </c>
      <c r="C226" s="15" t="inlineStr">
        <is>
          <t>Desmond Whitlock</t>
        </is>
      </c>
      <c r="D226" s="15" t="inlineStr">
        <is>
          <t>AR</t>
        </is>
      </c>
      <c r="E226" s="16" t="n">
        <v>475000</v>
      </c>
      <c r="F226" s="16" t="n">
        <v>5458.11</v>
      </c>
      <c r="G226" s="16" t="n">
        <v>682.26</v>
      </c>
      <c r="H226" s="16" t="n">
        <v>682.26</v>
      </c>
      <c r="I226" s="16">
        <f>SUM(K226:T226)</f>
        <v/>
      </c>
      <c r="J226" s="16">
        <f>F226-(G226+H226+I226)</f>
        <v/>
      </c>
      <c r="K226" s="16" t="n">
        <v>409.36</v>
      </c>
      <c r="L226" s="16" t="n">
        <v>409.36</v>
      </c>
      <c r="M226" s="16" t="n">
        <v>409.36</v>
      </c>
      <c r="N226" s="16" t="n">
        <v>409.36</v>
      </c>
      <c r="O226" s="16" t="n">
        <v>409.36</v>
      </c>
      <c r="P226" s="16" t="n">
        <v>409.36</v>
      </c>
      <c r="Q226" s="16" t="n">
        <v>409.36</v>
      </c>
      <c r="R226" s="16" t="n">
        <v>409.36</v>
      </c>
      <c r="S226" s="16" t="n">
        <v>409.36</v>
      </c>
      <c r="T226" s="16" t="n">
        <v>409.36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CANON-202511-002045</t>
        </is>
      </c>
      <c r="B227" s="3" t="inlineStr">
        <is>
          <t>2025-11-28</t>
        </is>
      </c>
      <c r="C227" s="3" t="inlineStr">
        <is>
          <t>Saoirse Ashcombe</t>
        </is>
      </c>
      <c r="D227" s="3" t="inlineStr">
        <is>
          <t>ID</t>
        </is>
      </c>
      <c r="E227" s="14" t="n">
        <v>825000</v>
      </c>
      <c r="F227" s="14" t="n">
        <v>13459.89</v>
      </c>
      <c r="G227" s="14" t="n">
        <v>1682.49</v>
      </c>
      <c r="H227" s="14" t="n">
        <v>1682.49</v>
      </c>
      <c r="I227" s="14">
        <f>SUM(K227:T227)</f>
        <v/>
      </c>
      <c r="J227" s="14">
        <f>F227-(G227+H227+I227)</f>
        <v/>
      </c>
      <c r="K227" s="14" t="n">
        <v>1009.49</v>
      </c>
      <c r="L227" s="14" t="n">
        <v>1009.49</v>
      </c>
      <c r="M227" s="14" t="n">
        <v>1009.49</v>
      </c>
      <c r="N227" s="14" t="n">
        <v>1009.49</v>
      </c>
      <c r="O227" s="14" t="n">
        <v>1009.49</v>
      </c>
      <c r="P227" s="14" t="n">
        <v>1009.49</v>
      </c>
      <c r="Q227" s="14" t="n">
        <v>1009.49</v>
      </c>
      <c r="R227" s="14" t="n">
        <v>1009.49</v>
      </c>
      <c r="S227" s="14" t="n">
        <v>1009.49</v>
      </c>
      <c r="T227" s="14" t="n">
        <v>1009.49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CANON-202511-002046</t>
        </is>
      </c>
      <c r="B228" s="15" t="inlineStr">
        <is>
          <t>2025-11-13</t>
        </is>
      </c>
      <c r="C228" s="15" t="inlineStr">
        <is>
          <t>Ottilie Montoya</t>
        </is>
      </c>
      <c r="D228" s="15" t="inlineStr">
        <is>
          <t>WA</t>
        </is>
      </c>
      <c r="E228" s="16" t="n">
        <v>425000</v>
      </c>
      <c r="F228" s="16" t="n">
        <v>3397.27</v>
      </c>
      <c r="G228" s="16" t="n">
        <v>424.66</v>
      </c>
      <c r="H228" s="16" t="n">
        <v>424.66</v>
      </c>
      <c r="I228" s="16">
        <f>SUM(K228:T228)</f>
        <v/>
      </c>
      <c r="J228" s="16">
        <f>F228-(G228+H228+I228)</f>
        <v/>
      </c>
      <c r="K228" s="16" t="n">
        <v>254.8</v>
      </c>
      <c r="L228" s="16" t="n">
        <v>254.8</v>
      </c>
      <c r="M228" s="16" t="n">
        <v>254.8</v>
      </c>
      <c r="N228" s="16" t="n">
        <v>254.8</v>
      </c>
      <c r="O228" s="16" t="n">
        <v>254.8</v>
      </c>
      <c r="P228" s="16" t="n">
        <v>254.8</v>
      </c>
      <c r="Q228" s="16" t="n">
        <v>254.8</v>
      </c>
      <c r="R228" s="16" t="n">
        <v>254.8</v>
      </c>
      <c r="S228" s="16" t="n">
        <v>254.8</v>
      </c>
      <c r="T228" s="16" t="n">
        <v>254.8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CANON-202511-002048</t>
        </is>
      </c>
      <c r="B229" s="3" t="inlineStr">
        <is>
          <t>2025-11-23</t>
        </is>
      </c>
      <c r="C229" s="3" t="inlineStr">
        <is>
          <t>Emiliano Okonkwo</t>
        </is>
      </c>
      <c r="D229" s="3" t="inlineStr">
        <is>
          <t>MT</t>
        </is>
      </c>
      <c r="E229" s="14" t="n">
        <v>215000</v>
      </c>
      <c r="F229" s="14" t="n">
        <v>3191.08</v>
      </c>
      <c r="G229" s="14" t="n">
        <v>398.88</v>
      </c>
      <c r="H229" s="14" t="n">
        <v>398.88</v>
      </c>
      <c r="I229" s="14">
        <f>SUM(K229:T229)</f>
        <v/>
      </c>
      <c r="J229" s="14">
        <f>F229-(G229+H229+I229)</f>
        <v/>
      </c>
      <c r="K229" s="14" t="n">
        <v>239.33</v>
      </c>
      <c r="L229" s="14" t="n">
        <v>239.33</v>
      </c>
      <c r="M229" s="14" t="n">
        <v>239.33</v>
      </c>
      <c r="N229" s="14" t="n">
        <v>239.33</v>
      </c>
      <c r="O229" s="14" t="n">
        <v>239.33</v>
      </c>
      <c r="P229" s="14" t="n">
        <v>239.33</v>
      </c>
      <c r="Q229" s="14" t="n">
        <v>239.33</v>
      </c>
      <c r="R229" s="14" t="n">
        <v>239.33</v>
      </c>
      <c r="S229" s="14" t="n">
        <v>239.33</v>
      </c>
      <c r="T229" s="14" t="n">
        <v>239.33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CANON-202511-002049</t>
        </is>
      </c>
      <c r="B230" s="15" t="inlineStr">
        <is>
          <t>2025-11-21</t>
        </is>
      </c>
      <c r="C230" s="15" t="inlineStr">
        <is>
          <t>Marisol Vandermeer</t>
        </is>
      </c>
      <c r="D230" s="15" t="inlineStr">
        <is>
          <t>VA</t>
        </is>
      </c>
      <c r="E230" s="16" t="n">
        <v>750000</v>
      </c>
      <c r="F230" s="16" t="n">
        <v>6097.97</v>
      </c>
      <c r="G230" s="16" t="n">
        <v>762.25</v>
      </c>
      <c r="H230" s="16" t="n">
        <v>762.25</v>
      </c>
      <c r="I230" s="16">
        <f>SUM(K230:T230)</f>
        <v/>
      </c>
      <c r="J230" s="16">
        <f>F230-(G230+H230+I230)</f>
        <v/>
      </c>
      <c r="K230" s="16" t="n">
        <v>457.35</v>
      </c>
      <c r="L230" s="16" t="n">
        <v>457.35</v>
      </c>
      <c r="M230" s="16" t="n">
        <v>457.35</v>
      </c>
      <c r="N230" s="16" t="n">
        <v>457.35</v>
      </c>
      <c r="O230" s="16" t="n">
        <v>457.35</v>
      </c>
      <c r="P230" s="16" t="n">
        <v>457.35</v>
      </c>
      <c r="Q230" s="16" t="n">
        <v>457.35</v>
      </c>
      <c r="R230" s="16" t="n">
        <v>457.35</v>
      </c>
      <c r="S230" s="16" t="n">
        <v>457.35</v>
      </c>
      <c r="T230" s="16" t="n">
        <v>457.35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CANON-202511-002051</t>
        </is>
      </c>
      <c r="B231" s="3" t="inlineStr">
        <is>
          <t>2025-11-18</t>
        </is>
      </c>
      <c r="C231" s="3" t="inlineStr">
        <is>
          <t>Aurelio Bellandi</t>
        </is>
      </c>
      <c r="D231" s="3" t="inlineStr">
        <is>
          <t>MN</t>
        </is>
      </c>
      <c r="E231" s="14" t="n">
        <v>380000</v>
      </c>
      <c r="F231" s="14" t="n">
        <v>6526</v>
      </c>
      <c r="G231" s="14" t="n">
        <v>815.75</v>
      </c>
      <c r="H231" s="14" t="n">
        <v>815.75</v>
      </c>
      <c r="I231" s="14">
        <f>SUM(K231:T231)</f>
        <v/>
      </c>
      <c r="J231" s="14">
        <f>F231-(G231+H231+I231)</f>
        <v/>
      </c>
      <c r="K231" s="14" t="n">
        <v>489.45</v>
      </c>
      <c r="L231" s="14" t="n">
        <v>489.45</v>
      </c>
      <c r="M231" s="14" t="n">
        <v>489.45</v>
      </c>
      <c r="N231" s="14" t="n">
        <v>489.45</v>
      </c>
      <c r="O231" s="14" t="n">
        <v>489.45</v>
      </c>
      <c r="P231" s="14" t="n">
        <v>489.45</v>
      </c>
      <c r="Q231" s="14" t="n">
        <v>489.45</v>
      </c>
      <c r="R231" s="14" t="n">
        <v>489.45</v>
      </c>
      <c r="S231" s="14" t="n">
        <v>489.45</v>
      </c>
      <c r="T231" s="14" t="n">
        <v>489.45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CANON-202511-002052</t>
        </is>
      </c>
      <c r="B232" s="15" t="inlineStr">
        <is>
          <t>2025-11-11</t>
        </is>
      </c>
      <c r="C232" s="15" t="inlineStr">
        <is>
          <t>Fitzgerald Farkas</t>
        </is>
      </c>
      <c r="D232" s="15" t="inlineStr">
        <is>
          <t>ME</t>
        </is>
      </c>
      <c r="E232" s="16" t="n">
        <v>890000</v>
      </c>
      <c r="F232" s="16" t="n">
        <v>7169.87</v>
      </c>
      <c r="G232" s="16" t="n">
        <v>896.23</v>
      </c>
      <c r="H232" s="16" t="n">
        <v>896.23</v>
      </c>
      <c r="I232" s="16">
        <f>SUM(K232:T232)</f>
        <v/>
      </c>
      <c r="J232" s="16">
        <f>F232-(G232+H232+I232)</f>
        <v/>
      </c>
      <c r="K232" s="16" t="n">
        <v>537.74</v>
      </c>
      <c r="L232" s="16" t="n">
        <v>537.74</v>
      </c>
      <c r="M232" s="16" t="n">
        <v>537.74</v>
      </c>
      <c r="N232" s="16" t="n">
        <v>537.74</v>
      </c>
      <c r="O232" s="16" t="n">
        <v>537.74</v>
      </c>
      <c r="P232" s="16" t="n">
        <v>537.74</v>
      </c>
      <c r="Q232" s="16" t="n">
        <v>537.74</v>
      </c>
      <c r="R232" s="16" t="n">
        <v>537.74</v>
      </c>
      <c r="S232" s="16" t="n">
        <v>537.74</v>
      </c>
      <c r="T232" s="16" t="n">
        <v>537.74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CANON-202511-002054</t>
        </is>
      </c>
      <c r="B233" s="3" t="inlineStr">
        <is>
          <t>2025-11-30</t>
        </is>
      </c>
      <c r="C233" s="3" t="inlineStr">
        <is>
          <t>Marisol Montoya</t>
        </is>
      </c>
      <c r="D233" s="3" t="inlineStr">
        <is>
          <t>KS</t>
        </is>
      </c>
      <c r="E233" s="14" t="n">
        <v>1090000</v>
      </c>
      <c r="F233" s="14" t="n">
        <v>14672.93</v>
      </c>
      <c r="G233" s="14" t="n">
        <v>1834.12</v>
      </c>
      <c r="H233" s="14" t="n">
        <v>1834.12</v>
      </c>
      <c r="I233" s="14">
        <f>SUM(K233:T233)</f>
        <v/>
      </c>
      <c r="J233" s="14">
        <f>F233-(G233+H233+I233)</f>
        <v/>
      </c>
      <c r="K233" s="14" t="n">
        <v>1100.47</v>
      </c>
      <c r="L233" s="14" t="n">
        <v>1100.47</v>
      </c>
      <c r="M233" s="14" t="n">
        <v>1100.47</v>
      </c>
      <c r="N233" s="14" t="n">
        <v>1100.47</v>
      </c>
      <c r="O233" s="14" t="n">
        <v>1100.47</v>
      </c>
      <c r="P233" s="14" t="n">
        <v>1100.47</v>
      </c>
      <c r="Q233" s="14" t="n">
        <v>1100.47</v>
      </c>
      <c r="R233" s="14" t="n">
        <v>1100.47</v>
      </c>
      <c r="S233" s="14" t="n">
        <v>1100.47</v>
      </c>
      <c r="T233" s="14" t="n">
        <v>1100.47</v>
      </c>
      <c r="U233" s="14" t="n">
        <v>350</v>
      </c>
      <c r="V233" s="14" t="n">
        <v>250</v>
      </c>
      <c r="W233" s="14">
        <f>U233+V233</f>
        <v/>
      </c>
    </row>
    <row r="234">
      <c r="A234" s="15" t="inlineStr">
        <is>
          <t>CANON-202511-002055</t>
        </is>
      </c>
      <c r="B234" s="15" t="inlineStr">
        <is>
          <t>2025-11-02</t>
        </is>
      </c>
      <c r="C234" s="15" t="inlineStr">
        <is>
          <t>Delphine Kingsford</t>
        </is>
      </c>
      <c r="D234" s="15" t="inlineStr">
        <is>
          <t>NJ</t>
        </is>
      </c>
      <c r="E234" s="16" t="n">
        <v>400000</v>
      </c>
      <c r="F234" s="16" t="n">
        <v>4735.77</v>
      </c>
      <c r="G234" s="16" t="n">
        <v>591.97</v>
      </c>
      <c r="H234" s="16" t="n">
        <v>591.97</v>
      </c>
      <c r="I234" s="16">
        <f>SUM(K234:T234)</f>
        <v/>
      </c>
      <c r="J234" s="16">
        <f>F234-(G234+H234+I234)</f>
        <v/>
      </c>
      <c r="K234" s="16" t="n">
        <v>355.18</v>
      </c>
      <c r="L234" s="16" t="n">
        <v>355.18</v>
      </c>
      <c r="M234" s="16" t="n">
        <v>355.18</v>
      </c>
      <c r="N234" s="16" t="n">
        <v>355.18</v>
      </c>
      <c r="O234" s="16" t="n">
        <v>355.18</v>
      </c>
      <c r="P234" s="16" t="n">
        <v>355.18</v>
      </c>
      <c r="Q234" s="16" t="n">
        <v>355.18</v>
      </c>
      <c r="R234" s="16" t="n">
        <v>355.18</v>
      </c>
      <c r="S234" s="16" t="n">
        <v>355.18</v>
      </c>
      <c r="T234" s="16" t="n">
        <v>355.18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CANON-202511-002057</t>
        </is>
      </c>
      <c r="B235" s="3" t="inlineStr">
        <is>
          <t>2025-11-09</t>
        </is>
      </c>
      <c r="C235" s="3" t="inlineStr">
        <is>
          <t>Noor Chattopadhyay</t>
        </is>
      </c>
      <c r="D235" s="3" t="inlineStr">
        <is>
          <t>MO</t>
        </is>
      </c>
      <c r="E235" s="14" t="n">
        <v>1450000</v>
      </c>
      <c r="F235" s="14" t="n">
        <v>10131.79</v>
      </c>
      <c r="G235" s="14" t="n">
        <v>1266.47</v>
      </c>
      <c r="H235" s="14" t="n">
        <v>1266.47</v>
      </c>
      <c r="I235" s="14">
        <f>SUM(K235:T235)</f>
        <v/>
      </c>
      <c r="J235" s="14">
        <f>F235-(G235+H235+I235)</f>
        <v/>
      </c>
      <c r="K235" s="14" t="n">
        <v>759.88</v>
      </c>
      <c r="L235" s="14" t="n">
        <v>759.88</v>
      </c>
      <c r="M235" s="14" t="n">
        <v>759.88</v>
      </c>
      <c r="N235" s="14" t="n">
        <v>759.88</v>
      </c>
      <c r="O235" s="14" t="n">
        <v>759.88</v>
      </c>
      <c r="P235" s="14" t="n">
        <v>759.88</v>
      </c>
      <c r="Q235" s="14" t="n">
        <v>759.88</v>
      </c>
      <c r="R235" s="14" t="n">
        <v>759.88</v>
      </c>
      <c r="S235" s="14" t="n">
        <v>759.88</v>
      </c>
      <c r="T235" s="14" t="n">
        <v>759.88</v>
      </c>
      <c r="U235" s="14" t="n">
        <v>350</v>
      </c>
      <c r="V235" s="14" t="n">
        <v>250</v>
      </c>
      <c r="W235" s="14">
        <f>U235+V235</f>
        <v/>
      </c>
    </row>
    <row r="236">
      <c r="A236" s="15" t="inlineStr">
        <is>
          <t>CANON-202511-002058</t>
        </is>
      </c>
      <c r="B236" s="15" t="inlineStr">
        <is>
          <t>2025-11-12</t>
        </is>
      </c>
      <c r="C236" s="15" t="inlineStr">
        <is>
          <t>Desmond Harrington</t>
        </is>
      </c>
      <c r="D236" s="15" t="inlineStr">
        <is>
          <t>MS</t>
        </is>
      </c>
      <c r="E236" s="16" t="n">
        <v>430000</v>
      </c>
      <c r="F236" s="16" t="n">
        <v>6657.41</v>
      </c>
      <c r="G236" s="16" t="n">
        <v>832.1799999999999</v>
      </c>
      <c r="H236" s="16" t="n">
        <v>832.1799999999999</v>
      </c>
      <c r="I236" s="16">
        <f>SUM(K236:T236)</f>
        <v/>
      </c>
      <c r="J236" s="16">
        <f>F236-(G236+H236+I236)</f>
        <v/>
      </c>
      <c r="K236" s="16" t="n">
        <v>499.31</v>
      </c>
      <c r="L236" s="16" t="n">
        <v>499.31</v>
      </c>
      <c r="M236" s="16" t="n">
        <v>499.31</v>
      </c>
      <c r="N236" s="16" t="n">
        <v>499.31</v>
      </c>
      <c r="O236" s="16" t="n">
        <v>499.31</v>
      </c>
      <c r="P236" s="16" t="n">
        <v>499.31</v>
      </c>
      <c r="Q236" s="16" t="n">
        <v>499.31</v>
      </c>
      <c r="R236" s="16" t="n">
        <v>499.31</v>
      </c>
      <c r="S236" s="16" t="n">
        <v>499.31</v>
      </c>
      <c r="T236" s="16" t="n">
        <v>499.31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CANON-202511-002059</t>
        </is>
      </c>
      <c r="B237" s="3" t="inlineStr">
        <is>
          <t>2025-11-11</t>
        </is>
      </c>
      <c r="C237" s="3" t="inlineStr">
        <is>
          <t>Sunniva Fairweather</t>
        </is>
      </c>
      <c r="D237" s="3" t="inlineStr">
        <is>
          <t>TX</t>
        </is>
      </c>
      <c r="E237" s="14" t="n">
        <v>560000</v>
      </c>
      <c r="F237" s="14" t="n">
        <v>10613</v>
      </c>
      <c r="G237" s="14" t="n">
        <v>1326.62</v>
      </c>
      <c r="H237" s="14" t="n">
        <v>1326.62</v>
      </c>
      <c r="I237" s="14">
        <f>SUM(K237:T237)</f>
        <v/>
      </c>
      <c r="J237" s="14">
        <f>F237-(G237+H237+I237)</f>
        <v/>
      </c>
      <c r="K237" s="14" t="n">
        <v>795.98</v>
      </c>
      <c r="L237" s="14" t="n">
        <v>795.98</v>
      </c>
      <c r="M237" s="14" t="n">
        <v>795.98</v>
      </c>
      <c r="N237" s="14" t="n">
        <v>795.98</v>
      </c>
      <c r="O237" s="14" t="n">
        <v>795.98</v>
      </c>
      <c r="P237" s="14" t="n">
        <v>795.98</v>
      </c>
      <c r="Q237" s="14" t="n">
        <v>795.98</v>
      </c>
      <c r="R237" s="14" t="n">
        <v>795.98</v>
      </c>
      <c r="S237" s="14" t="n">
        <v>795.98</v>
      </c>
      <c r="T237" s="14" t="n">
        <v>795.98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CANON-202511-002060</t>
        </is>
      </c>
      <c r="B238" s="15" t="inlineStr">
        <is>
          <t>2025-11-23</t>
        </is>
      </c>
      <c r="C238" s="15" t="inlineStr">
        <is>
          <t>Horace Castellanos</t>
        </is>
      </c>
      <c r="D238" s="15" t="inlineStr">
        <is>
          <t>MA</t>
        </is>
      </c>
      <c r="E238" s="16" t="n">
        <v>505000</v>
      </c>
      <c r="F238" s="16" t="n">
        <v>8541.309999999999</v>
      </c>
      <c r="G238" s="16" t="n">
        <v>1067.66</v>
      </c>
      <c r="H238" s="16" t="n">
        <v>1067.66</v>
      </c>
      <c r="I238" s="16">
        <f>SUM(K238:T238)</f>
        <v/>
      </c>
      <c r="J238" s="16">
        <f>F238-(G238+H238+I238)</f>
        <v/>
      </c>
      <c r="K238" s="16" t="n">
        <v>640.6</v>
      </c>
      <c r="L238" s="16" t="n">
        <v>640.6</v>
      </c>
      <c r="M238" s="16" t="n">
        <v>640.6</v>
      </c>
      <c r="N238" s="16" t="n">
        <v>640.6</v>
      </c>
      <c r="O238" s="16" t="n">
        <v>640.6</v>
      </c>
      <c r="P238" s="16" t="n">
        <v>640.6</v>
      </c>
      <c r="Q238" s="16" t="n">
        <v>640.6</v>
      </c>
      <c r="R238" s="16" t="n">
        <v>640.6</v>
      </c>
      <c r="S238" s="16" t="n">
        <v>640.6</v>
      </c>
      <c r="T238" s="16" t="n">
        <v>640.6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CANON-202511-002061</t>
        </is>
      </c>
      <c r="B239" s="3" t="inlineStr">
        <is>
          <t>2025-11-10</t>
        </is>
      </c>
      <c r="C239" s="3" t="inlineStr">
        <is>
          <t>Everett Whitlock</t>
        </is>
      </c>
      <c r="D239" s="3" t="inlineStr">
        <is>
          <t>ND</t>
        </is>
      </c>
      <c r="E239" s="14" t="n">
        <v>255000</v>
      </c>
      <c r="F239" s="14" t="n">
        <v>3384</v>
      </c>
      <c r="G239" s="14" t="n">
        <v>423</v>
      </c>
      <c r="H239" s="14" t="n">
        <v>423</v>
      </c>
      <c r="I239" s="14">
        <f>SUM(K239:T239)</f>
        <v/>
      </c>
      <c r="J239" s="14">
        <f>F239-(G239+H239+I239)</f>
        <v/>
      </c>
      <c r="K239" s="14" t="n">
        <v>253.8</v>
      </c>
      <c r="L239" s="14" t="n">
        <v>253.8</v>
      </c>
      <c r="M239" s="14" t="n">
        <v>253.8</v>
      </c>
      <c r="N239" s="14" t="n">
        <v>253.8</v>
      </c>
      <c r="O239" s="14" t="n">
        <v>253.8</v>
      </c>
      <c r="P239" s="14" t="n">
        <v>253.8</v>
      </c>
      <c r="Q239" s="14" t="n">
        <v>253.8</v>
      </c>
      <c r="R239" s="14" t="n">
        <v>253.8</v>
      </c>
      <c r="S239" s="14" t="n">
        <v>253.8</v>
      </c>
      <c r="T239" s="14" t="n">
        <v>253.8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CANON-202511-002062</t>
        </is>
      </c>
      <c r="B240" s="15" t="inlineStr">
        <is>
          <t>2025-11-30</t>
        </is>
      </c>
      <c r="C240" s="15" t="inlineStr">
        <is>
          <t>Noor Whitlock</t>
        </is>
      </c>
      <c r="D240" s="15" t="inlineStr">
        <is>
          <t>NM</t>
        </is>
      </c>
      <c r="E240" s="16" t="n">
        <v>445000</v>
      </c>
      <c r="F240" s="16" t="n">
        <v>7410.71</v>
      </c>
      <c r="G240" s="16" t="n">
        <v>926.34</v>
      </c>
      <c r="H240" s="16" t="n">
        <v>926.34</v>
      </c>
      <c r="I240" s="16">
        <f>SUM(K240:T240)</f>
        <v/>
      </c>
      <c r="J240" s="16">
        <f>F240-(G240+H240+I240)</f>
        <v/>
      </c>
      <c r="K240" s="16" t="n">
        <v>555.8</v>
      </c>
      <c r="L240" s="16" t="n">
        <v>555.8</v>
      </c>
      <c r="M240" s="16" t="n">
        <v>555.8</v>
      </c>
      <c r="N240" s="16" t="n">
        <v>555.8</v>
      </c>
      <c r="O240" s="16" t="n">
        <v>555.8</v>
      </c>
      <c r="P240" s="16" t="n">
        <v>555.8</v>
      </c>
      <c r="Q240" s="16" t="n">
        <v>555.8</v>
      </c>
      <c r="R240" s="16" t="n">
        <v>555.8</v>
      </c>
      <c r="S240" s="16" t="n">
        <v>555.8</v>
      </c>
      <c r="T240" s="16" t="n">
        <v>555.8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CANON-202511-002063</t>
        </is>
      </c>
      <c r="B241" s="3" t="inlineStr">
        <is>
          <t>2025-11-26</t>
        </is>
      </c>
      <c r="C241" s="3" t="inlineStr">
        <is>
          <t>Fenwick Castellanos</t>
        </is>
      </c>
      <c r="D241" s="3" t="inlineStr">
        <is>
          <t>FL</t>
        </is>
      </c>
      <c r="E241" s="14" t="n">
        <v>610000</v>
      </c>
      <c r="F241" s="14" t="n">
        <v>9766.98</v>
      </c>
      <c r="G241" s="14" t="n">
        <v>1220.87</v>
      </c>
      <c r="H241" s="14" t="n">
        <v>1220.87</v>
      </c>
      <c r="I241" s="14">
        <f>SUM(K241:T241)</f>
        <v/>
      </c>
      <c r="J241" s="14">
        <f>F241-(G241+H241+I241)</f>
        <v/>
      </c>
      <c r="K241" s="14" t="n">
        <v>732.52</v>
      </c>
      <c r="L241" s="14" t="n">
        <v>732.52</v>
      </c>
      <c r="M241" s="14" t="n">
        <v>732.52</v>
      </c>
      <c r="N241" s="14" t="n">
        <v>732.52</v>
      </c>
      <c r="O241" s="14" t="n">
        <v>732.52</v>
      </c>
      <c r="P241" s="14" t="n">
        <v>732.52</v>
      </c>
      <c r="Q241" s="14" t="n">
        <v>732.52</v>
      </c>
      <c r="R241" s="14" t="n">
        <v>732.52</v>
      </c>
      <c r="S241" s="14" t="n">
        <v>732.52</v>
      </c>
      <c r="T241" s="14" t="n">
        <v>732.52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CANON-202511-002065</t>
        </is>
      </c>
      <c r="B242" s="15" t="inlineStr">
        <is>
          <t>2025-11-04</t>
        </is>
      </c>
      <c r="C242" s="15" t="inlineStr">
        <is>
          <t>Sunniva Underwood</t>
        </is>
      </c>
      <c r="D242" s="15" t="inlineStr">
        <is>
          <t>WY</t>
        </is>
      </c>
      <c r="E242" s="16" t="n">
        <v>205000</v>
      </c>
      <c r="F242" s="16" t="n">
        <v>3500.69</v>
      </c>
      <c r="G242" s="16" t="n">
        <v>437.59</v>
      </c>
      <c r="H242" s="16" t="n">
        <v>437.59</v>
      </c>
      <c r="I242" s="16">
        <f>SUM(K242:T242)</f>
        <v/>
      </c>
      <c r="J242" s="16">
        <f>F242-(G242+H242+I242)</f>
        <v/>
      </c>
      <c r="K242" s="16" t="n">
        <v>262.55</v>
      </c>
      <c r="L242" s="16" t="n">
        <v>262.55</v>
      </c>
      <c r="M242" s="16" t="n">
        <v>262.55</v>
      </c>
      <c r="N242" s="16" t="n">
        <v>262.55</v>
      </c>
      <c r="O242" s="16" t="n">
        <v>262.55</v>
      </c>
      <c r="P242" s="16" t="n">
        <v>262.55</v>
      </c>
      <c r="Q242" s="16" t="n">
        <v>262.55</v>
      </c>
      <c r="R242" s="16" t="n">
        <v>262.55</v>
      </c>
      <c r="S242" s="16" t="n">
        <v>262.55</v>
      </c>
      <c r="T242" s="16" t="n">
        <v>262.55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CANON-202511-002066</t>
        </is>
      </c>
      <c r="B243" s="3" t="inlineStr">
        <is>
          <t>2025-11-22</t>
        </is>
      </c>
      <c r="C243" s="3" t="inlineStr">
        <is>
          <t>Callum Blackwood</t>
        </is>
      </c>
      <c r="D243" s="3" t="inlineStr">
        <is>
          <t>OH</t>
        </is>
      </c>
      <c r="E243" s="14" t="n">
        <v>805000</v>
      </c>
      <c r="F243" s="14" t="n">
        <v>12616.9</v>
      </c>
      <c r="G243" s="14" t="n">
        <v>1577.11</v>
      </c>
      <c r="H243" s="14" t="n">
        <v>1577.11</v>
      </c>
      <c r="I243" s="14">
        <f>SUM(K243:T243)</f>
        <v/>
      </c>
      <c r="J243" s="14">
        <f>F243-(G243+H243+I243)</f>
        <v/>
      </c>
      <c r="K243" s="14" t="n">
        <v>946.27</v>
      </c>
      <c r="L243" s="14" t="n">
        <v>946.27</v>
      </c>
      <c r="M243" s="14" t="n">
        <v>946.27</v>
      </c>
      <c r="N243" s="14" t="n">
        <v>946.27</v>
      </c>
      <c r="O243" s="14" t="n">
        <v>946.27</v>
      </c>
      <c r="P243" s="14" t="n">
        <v>946.27</v>
      </c>
      <c r="Q243" s="14" t="n">
        <v>946.27</v>
      </c>
      <c r="R243" s="14" t="n">
        <v>946.27</v>
      </c>
      <c r="S243" s="14" t="n">
        <v>946.27</v>
      </c>
      <c r="T243" s="14" t="n">
        <v>946.27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CANON-202511-002067</t>
        </is>
      </c>
      <c r="B244" s="15" t="inlineStr">
        <is>
          <t>2025-11-20</t>
        </is>
      </c>
      <c r="C244" s="15" t="inlineStr">
        <is>
          <t>Ingrid Chattopadhyay</t>
        </is>
      </c>
      <c r="D244" s="15" t="inlineStr">
        <is>
          <t>SD</t>
        </is>
      </c>
      <c r="E244" s="16" t="n">
        <v>660000</v>
      </c>
      <c r="F244" s="16" t="n">
        <v>12073.11</v>
      </c>
      <c r="G244" s="16" t="n">
        <v>1509.14</v>
      </c>
      <c r="H244" s="16" t="n">
        <v>1509.14</v>
      </c>
      <c r="I244" s="16">
        <f>SUM(K244:T244)</f>
        <v/>
      </c>
      <c r="J244" s="16">
        <f>F244-(G244+H244+I244)</f>
        <v/>
      </c>
      <c r="K244" s="16" t="n">
        <v>905.48</v>
      </c>
      <c r="L244" s="16" t="n">
        <v>905.48</v>
      </c>
      <c r="M244" s="16" t="n">
        <v>905.48</v>
      </c>
      <c r="N244" s="16" t="n">
        <v>905.48</v>
      </c>
      <c r="O244" s="16" t="n">
        <v>905.48</v>
      </c>
      <c r="P244" s="16" t="n">
        <v>905.48</v>
      </c>
      <c r="Q244" s="16" t="n">
        <v>905.48</v>
      </c>
      <c r="R244" s="16" t="n">
        <v>905.48</v>
      </c>
      <c r="S244" s="16" t="n">
        <v>905.48</v>
      </c>
      <c r="T244" s="16" t="n">
        <v>905.48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CANON-202511-002068</t>
        </is>
      </c>
      <c r="B245" s="3" t="inlineStr">
        <is>
          <t>2025-11-20</t>
        </is>
      </c>
      <c r="C245" s="3" t="inlineStr">
        <is>
          <t>Anouk Vasquez</t>
        </is>
      </c>
      <c r="D245" s="3" t="inlineStr">
        <is>
          <t>NC</t>
        </is>
      </c>
      <c r="E245" s="14" t="n">
        <v>555000</v>
      </c>
      <c r="F245" s="14" t="n">
        <v>7196.69</v>
      </c>
      <c r="G245" s="14" t="n">
        <v>899.59</v>
      </c>
      <c r="H245" s="14" t="n">
        <v>899.59</v>
      </c>
      <c r="I245" s="14">
        <f>SUM(K245:T245)</f>
        <v/>
      </c>
      <c r="J245" s="14">
        <f>F245-(G245+H245+I245)</f>
        <v/>
      </c>
      <c r="K245" s="14" t="n">
        <v>539.75</v>
      </c>
      <c r="L245" s="14" t="n">
        <v>539.75</v>
      </c>
      <c r="M245" s="14" t="n">
        <v>539.75</v>
      </c>
      <c r="N245" s="14" t="n">
        <v>539.75</v>
      </c>
      <c r="O245" s="14" t="n">
        <v>539.75</v>
      </c>
      <c r="P245" s="14" t="n">
        <v>539.75</v>
      </c>
      <c r="Q245" s="14" t="n">
        <v>539.75</v>
      </c>
      <c r="R245" s="14" t="n">
        <v>539.75</v>
      </c>
      <c r="S245" s="14" t="n">
        <v>539.75</v>
      </c>
      <c r="T245" s="14" t="n">
        <v>539.75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CANON-202511-002069</t>
        </is>
      </c>
      <c r="B246" s="15" t="inlineStr">
        <is>
          <t>2025-11-10</t>
        </is>
      </c>
      <c r="C246" s="15" t="inlineStr">
        <is>
          <t>Fenwick Kingsford</t>
        </is>
      </c>
      <c r="D246" s="15" t="inlineStr">
        <is>
          <t>IN</t>
        </is>
      </c>
      <c r="E246" s="16" t="n">
        <v>420000</v>
      </c>
      <c r="F246" s="16" t="n">
        <v>10305.78</v>
      </c>
      <c r="G246" s="16" t="n">
        <v>1288.22</v>
      </c>
      <c r="H246" s="16" t="n">
        <v>1288.22</v>
      </c>
      <c r="I246" s="16">
        <f>SUM(K246:T246)</f>
        <v/>
      </c>
      <c r="J246" s="16">
        <f>F246-(G246+H246+I246)</f>
        <v/>
      </c>
      <c r="K246" s="16" t="n">
        <v>772.9299999999999</v>
      </c>
      <c r="L246" s="16" t="n">
        <v>772.9299999999999</v>
      </c>
      <c r="M246" s="16" t="n">
        <v>772.9299999999999</v>
      </c>
      <c r="N246" s="16" t="n">
        <v>772.9299999999999</v>
      </c>
      <c r="O246" s="16" t="n">
        <v>772.9299999999999</v>
      </c>
      <c r="P246" s="16" t="n">
        <v>772.9299999999999</v>
      </c>
      <c r="Q246" s="16" t="n">
        <v>772.9299999999999</v>
      </c>
      <c r="R246" s="16" t="n">
        <v>772.9299999999999</v>
      </c>
      <c r="S246" s="16" t="n">
        <v>772.9299999999999</v>
      </c>
      <c r="T246" s="16" t="n">
        <v>772.9299999999999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CANON-202511-002071</t>
        </is>
      </c>
      <c r="B247" s="3" t="inlineStr">
        <is>
          <t>2025-11-03</t>
        </is>
      </c>
      <c r="C247" s="3" t="inlineStr">
        <is>
          <t>Thaddeus Pennington</t>
        </is>
      </c>
      <c r="D247" s="3" t="inlineStr">
        <is>
          <t>DE</t>
        </is>
      </c>
      <c r="E247" s="14" t="n">
        <v>315000</v>
      </c>
      <c r="F247" s="14" t="n">
        <v>5122.83</v>
      </c>
      <c r="G247" s="14" t="n">
        <v>640.35</v>
      </c>
      <c r="H247" s="14" t="n">
        <v>640.35</v>
      </c>
      <c r="I247" s="14">
        <f>SUM(K247:T247)</f>
        <v/>
      </c>
      <c r="J247" s="14">
        <f>F247-(G247+H247+I247)</f>
        <v/>
      </c>
      <c r="K247" s="14" t="n">
        <v>384.21</v>
      </c>
      <c r="L247" s="14" t="n">
        <v>384.21</v>
      </c>
      <c r="M247" s="14" t="n">
        <v>384.21</v>
      </c>
      <c r="N247" s="14" t="n">
        <v>384.21</v>
      </c>
      <c r="O247" s="14" t="n">
        <v>384.21</v>
      </c>
      <c r="P247" s="14" t="n">
        <v>384.21</v>
      </c>
      <c r="Q247" s="14" t="n">
        <v>384.21</v>
      </c>
      <c r="R247" s="14" t="n">
        <v>384.21</v>
      </c>
      <c r="S247" s="14" t="n">
        <v>384.21</v>
      </c>
      <c r="T247" s="14" t="n">
        <v>384.21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CANON-202511-002072</t>
        </is>
      </c>
      <c r="B248" s="15" t="inlineStr">
        <is>
          <t>2025-11-29</t>
        </is>
      </c>
      <c r="C248" s="15" t="inlineStr">
        <is>
          <t>Fitzgerald Underwood</t>
        </is>
      </c>
      <c r="D248" s="15" t="inlineStr">
        <is>
          <t>NJ</t>
        </is>
      </c>
      <c r="E248" s="16" t="n">
        <v>490000</v>
      </c>
      <c r="F248" s="16" t="n">
        <v>8895.370000000001</v>
      </c>
      <c r="G248" s="16" t="n">
        <v>1111.92</v>
      </c>
      <c r="H248" s="16" t="n">
        <v>1111.92</v>
      </c>
      <c r="I248" s="16">
        <f>SUM(K248:T248)</f>
        <v/>
      </c>
      <c r="J248" s="16">
        <f>F248-(G248+H248+I248)</f>
        <v/>
      </c>
      <c r="K248" s="16" t="n">
        <v>667.15</v>
      </c>
      <c r="L248" s="16" t="n">
        <v>667.15</v>
      </c>
      <c r="M248" s="16" t="n">
        <v>667.15</v>
      </c>
      <c r="N248" s="16" t="n">
        <v>667.15</v>
      </c>
      <c r="O248" s="16" t="n">
        <v>667.15</v>
      </c>
      <c r="P248" s="16" t="n">
        <v>667.15</v>
      </c>
      <c r="Q248" s="16" t="n">
        <v>667.15</v>
      </c>
      <c r="R248" s="16" t="n">
        <v>667.15</v>
      </c>
      <c r="S248" s="16" t="n">
        <v>667.15</v>
      </c>
      <c r="T248" s="16" t="n">
        <v>667.15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CANON-202511-002075</t>
        </is>
      </c>
      <c r="B249" s="3" t="inlineStr">
        <is>
          <t>2025-11-10</t>
        </is>
      </c>
      <c r="C249" s="3" t="inlineStr">
        <is>
          <t>Horace Nakashima</t>
        </is>
      </c>
      <c r="D249" s="3" t="inlineStr">
        <is>
          <t>MD</t>
        </is>
      </c>
      <c r="E249" s="14" t="n">
        <v>1115000</v>
      </c>
      <c r="F249" s="14" t="n">
        <v>10106.25</v>
      </c>
      <c r="G249" s="14" t="n">
        <v>1263.28</v>
      </c>
      <c r="H249" s="14" t="n">
        <v>1263.28</v>
      </c>
      <c r="I249" s="14">
        <f>SUM(K249:T249)</f>
        <v/>
      </c>
      <c r="J249" s="14">
        <f>F249-(G249+H249+I249)</f>
        <v/>
      </c>
      <c r="K249" s="14" t="n">
        <v>757.97</v>
      </c>
      <c r="L249" s="14" t="n">
        <v>757.97</v>
      </c>
      <c r="M249" s="14" t="n">
        <v>757.97</v>
      </c>
      <c r="N249" s="14" t="n">
        <v>757.97</v>
      </c>
      <c r="O249" s="14" t="n">
        <v>757.97</v>
      </c>
      <c r="P249" s="14" t="n">
        <v>757.97</v>
      </c>
      <c r="Q249" s="14" t="n">
        <v>757.97</v>
      </c>
      <c r="R249" s="14" t="n">
        <v>757.97</v>
      </c>
      <c r="S249" s="14" t="n">
        <v>757.97</v>
      </c>
      <c r="T249" s="14" t="n">
        <v>757.97</v>
      </c>
      <c r="U249" s="14" t="n">
        <v>350</v>
      </c>
      <c r="V249" s="14" t="n">
        <v>250</v>
      </c>
      <c r="W249" s="14">
        <f>U249+V249</f>
        <v/>
      </c>
    </row>
    <row r="250">
      <c r="A250" s="15" t="inlineStr">
        <is>
          <t>CANON-202511-002077</t>
        </is>
      </c>
      <c r="B250" s="15" t="inlineStr">
        <is>
          <t>2025-11-02</t>
        </is>
      </c>
      <c r="C250" s="15" t="inlineStr">
        <is>
          <t>Sunniva Harrington</t>
        </is>
      </c>
      <c r="D250" s="15" t="inlineStr">
        <is>
          <t>IN</t>
        </is>
      </c>
      <c r="E250" s="16" t="n">
        <v>650000</v>
      </c>
      <c r="F250" s="16" t="n">
        <v>13175.61</v>
      </c>
      <c r="G250" s="16" t="n">
        <v>1646.95</v>
      </c>
      <c r="H250" s="16" t="n">
        <v>1646.95</v>
      </c>
      <c r="I250" s="16">
        <f>SUM(K250:T250)</f>
        <v/>
      </c>
      <c r="J250" s="16">
        <f>F250-(G250+H250+I250)</f>
        <v/>
      </c>
      <c r="K250" s="16" t="n">
        <v>988.17</v>
      </c>
      <c r="L250" s="16" t="n">
        <v>988.17</v>
      </c>
      <c r="M250" s="16" t="n">
        <v>988.17</v>
      </c>
      <c r="N250" s="16" t="n">
        <v>988.17</v>
      </c>
      <c r="O250" s="16" t="n">
        <v>988.17</v>
      </c>
      <c r="P250" s="16" t="n">
        <v>988.17</v>
      </c>
      <c r="Q250" s="16" t="n">
        <v>988.17</v>
      </c>
      <c r="R250" s="16" t="n">
        <v>988.17</v>
      </c>
      <c r="S250" s="16" t="n">
        <v>988.17</v>
      </c>
      <c r="T250" s="16" t="n">
        <v>988.17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CANON-202511-002078</t>
        </is>
      </c>
      <c r="B251" s="3" t="inlineStr">
        <is>
          <t>2025-11-18</t>
        </is>
      </c>
      <c r="C251" s="3" t="inlineStr">
        <is>
          <t>Leopold Kingsford</t>
        </is>
      </c>
      <c r="D251" s="3" t="inlineStr">
        <is>
          <t>NY</t>
        </is>
      </c>
      <c r="E251" s="14" t="n">
        <v>480000</v>
      </c>
      <c r="F251" s="14" t="n">
        <v>5115.89</v>
      </c>
      <c r="G251" s="14" t="n">
        <v>639.49</v>
      </c>
      <c r="H251" s="14" t="n">
        <v>639.49</v>
      </c>
      <c r="I251" s="14">
        <f>SUM(K251:T251)</f>
        <v/>
      </c>
      <c r="J251" s="14">
        <f>F251-(G251+H251+I251)</f>
        <v/>
      </c>
      <c r="K251" s="14" t="n">
        <v>383.69</v>
      </c>
      <c r="L251" s="14" t="n">
        <v>383.69</v>
      </c>
      <c r="M251" s="14" t="n">
        <v>383.69</v>
      </c>
      <c r="N251" s="14" t="n">
        <v>383.69</v>
      </c>
      <c r="O251" s="14" t="n">
        <v>383.69</v>
      </c>
      <c r="P251" s="14" t="n">
        <v>383.69</v>
      </c>
      <c r="Q251" s="14" t="n">
        <v>383.69</v>
      </c>
      <c r="R251" s="14" t="n">
        <v>383.69</v>
      </c>
      <c r="S251" s="14" t="n">
        <v>383.69</v>
      </c>
      <c r="T251" s="14" t="n">
        <v>383.69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CANON-202511-002079</t>
        </is>
      </c>
      <c r="B252" s="15" t="inlineStr">
        <is>
          <t>2025-11-16</t>
        </is>
      </c>
      <c r="C252" s="15" t="inlineStr">
        <is>
          <t>Ingrid Castellanos</t>
        </is>
      </c>
      <c r="D252" s="15" t="inlineStr">
        <is>
          <t>TX</t>
        </is>
      </c>
      <c r="E252" s="16" t="n">
        <v>1475000</v>
      </c>
      <c r="F252" s="16" t="n">
        <v>23540.11</v>
      </c>
      <c r="G252" s="16" t="n">
        <v>2942.51</v>
      </c>
      <c r="H252" s="16" t="n">
        <v>2942.51</v>
      </c>
      <c r="I252" s="16">
        <f>SUM(K252:T252)</f>
        <v/>
      </c>
      <c r="J252" s="16">
        <f>F252-(G252+H252+I252)</f>
        <v/>
      </c>
      <c r="K252" s="16" t="n">
        <v>1765.51</v>
      </c>
      <c r="L252" s="16" t="n">
        <v>1765.51</v>
      </c>
      <c r="M252" s="16" t="n">
        <v>1765.51</v>
      </c>
      <c r="N252" s="16" t="n">
        <v>1765.51</v>
      </c>
      <c r="O252" s="16" t="n">
        <v>1765.51</v>
      </c>
      <c r="P252" s="16" t="n">
        <v>1765.51</v>
      </c>
      <c r="Q252" s="16" t="n">
        <v>1765.51</v>
      </c>
      <c r="R252" s="16" t="n">
        <v>1765.51</v>
      </c>
      <c r="S252" s="16" t="n">
        <v>1765.51</v>
      </c>
      <c r="T252" s="16" t="n">
        <v>1765.51</v>
      </c>
      <c r="U252" s="16" t="n">
        <v>350</v>
      </c>
      <c r="V252" s="16" t="n">
        <v>250</v>
      </c>
      <c r="W252" s="16">
        <f>U252+V252</f>
        <v/>
      </c>
    </row>
    <row r="253">
      <c r="A253" s="3" t="inlineStr">
        <is>
          <t>CANON-202511-002080</t>
        </is>
      </c>
      <c r="B253" s="3" t="inlineStr">
        <is>
          <t>2025-11-03</t>
        </is>
      </c>
      <c r="C253" s="3" t="inlineStr">
        <is>
          <t>Aurelio Ashcombe</t>
        </is>
      </c>
      <c r="D253" s="3" t="inlineStr">
        <is>
          <t>SC</t>
        </is>
      </c>
      <c r="E253" s="14" t="n">
        <v>1060000</v>
      </c>
      <c r="F253" s="14" t="n">
        <v>15504.76</v>
      </c>
      <c r="G253" s="14" t="n">
        <v>1938.1</v>
      </c>
      <c r="H253" s="14" t="n">
        <v>1938.1</v>
      </c>
      <c r="I253" s="14">
        <f>SUM(K253:T253)</f>
        <v/>
      </c>
      <c r="J253" s="14">
        <f>F253-(G253+H253+I253)</f>
        <v/>
      </c>
      <c r="K253" s="14" t="n">
        <v>1162.86</v>
      </c>
      <c r="L253" s="14" t="n">
        <v>1162.86</v>
      </c>
      <c r="M253" s="14" t="n">
        <v>1162.86</v>
      </c>
      <c r="N253" s="14" t="n">
        <v>1162.86</v>
      </c>
      <c r="O253" s="14" t="n">
        <v>1162.86</v>
      </c>
      <c r="P253" s="14" t="n">
        <v>1162.86</v>
      </c>
      <c r="Q253" s="14" t="n">
        <v>1162.86</v>
      </c>
      <c r="R253" s="14" t="n">
        <v>1162.86</v>
      </c>
      <c r="S253" s="14" t="n">
        <v>1162.86</v>
      </c>
      <c r="T253" s="14" t="n">
        <v>1162.86</v>
      </c>
      <c r="U253" s="14" t="n">
        <v>350</v>
      </c>
      <c r="V253" s="14" t="n">
        <v>250</v>
      </c>
      <c r="W253" s="14">
        <f>U253+V253</f>
        <v/>
      </c>
    </row>
    <row r="254">
      <c r="A254" s="15" t="inlineStr">
        <is>
          <t>CANON-202511-002081</t>
        </is>
      </c>
      <c r="B254" s="15" t="inlineStr">
        <is>
          <t>2025-11-09</t>
        </is>
      </c>
      <c r="C254" s="15" t="inlineStr">
        <is>
          <t>Marisol Vasquez</t>
        </is>
      </c>
      <c r="D254" s="15" t="inlineStr">
        <is>
          <t>ND</t>
        </is>
      </c>
      <c r="E254" s="16" t="n">
        <v>535000</v>
      </c>
      <c r="F254" s="16" t="n">
        <v>6153.13</v>
      </c>
      <c r="G254" s="16" t="n">
        <v>769.14</v>
      </c>
      <c r="H254" s="16" t="n">
        <v>769.14</v>
      </c>
      <c r="I254" s="16">
        <f>SUM(K254:T254)</f>
        <v/>
      </c>
      <c r="J254" s="16">
        <f>F254-(G254+H254+I254)</f>
        <v/>
      </c>
      <c r="K254" s="16" t="n">
        <v>461.48</v>
      </c>
      <c r="L254" s="16" t="n">
        <v>461.48</v>
      </c>
      <c r="M254" s="16" t="n">
        <v>461.48</v>
      </c>
      <c r="N254" s="16" t="n">
        <v>461.48</v>
      </c>
      <c r="O254" s="16" t="n">
        <v>461.48</v>
      </c>
      <c r="P254" s="16" t="n">
        <v>461.48</v>
      </c>
      <c r="Q254" s="16" t="n">
        <v>461.48</v>
      </c>
      <c r="R254" s="16" t="n">
        <v>461.48</v>
      </c>
      <c r="S254" s="16" t="n">
        <v>461.48</v>
      </c>
      <c r="T254" s="16" t="n">
        <v>461.48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CANON-202511-002082</t>
        </is>
      </c>
      <c r="B255" s="3" t="inlineStr">
        <is>
          <t>2025-11-02</t>
        </is>
      </c>
      <c r="C255" s="3" t="inlineStr">
        <is>
          <t>Ingrid Pennington</t>
        </is>
      </c>
      <c r="D255" s="3" t="inlineStr">
        <is>
          <t>MI</t>
        </is>
      </c>
      <c r="E255" s="14" t="n">
        <v>1950000</v>
      </c>
      <c r="F255" s="14" t="n">
        <v>41945.46</v>
      </c>
      <c r="G255" s="14" t="n">
        <v>5243.18</v>
      </c>
      <c r="H255" s="14" t="n">
        <v>5243.18</v>
      </c>
      <c r="I255" s="14">
        <f>SUM(K255:T255)</f>
        <v/>
      </c>
      <c r="J255" s="14">
        <f>F255-(G255+H255+I255)</f>
        <v/>
      </c>
      <c r="K255" s="14" t="n">
        <v>3145.91</v>
      </c>
      <c r="L255" s="14" t="n">
        <v>3145.91</v>
      </c>
      <c r="M255" s="14" t="n">
        <v>3145.91</v>
      </c>
      <c r="N255" s="14" t="n">
        <v>3145.91</v>
      </c>
      <c r="O255" s="14" t="n">
        <v>3145.91</v>
      </c>
      <c r="P255" s="14" t="n">
        <v>3145.91</v>
      </c>
      <c r="Q255" s="14" t="n">
        <v>3145.91</v>
      </c>
      <c r="R255" s="14" t="n">
        <v>3145.91</v>
      </c>
      <c r="S255" s="14" t="n">
        <v>3145.91</v>
      </c>
      <c r="T255" s="14" t="n">
        <v>3145.91</v>
      </c>
      <c r="U255" s="14" t="n">
        <v>350</v>
      </c>
      <c r="V255" s="14" t="n">
        <v>250</v>
      </c>
      <c r="W255" s="14">
        <f>U255+V255</f>
        <v/>
      </c>
    </row>
    <row r="256">
      <c r="A256" s="15" t="inlineStr">
        <is>
          <t>CANON-202511-002084</t>
        </is>
      </c>
      <c r="B256" s="15" t="inlineStr">
        <is>
          <t>2025-11-19</t>
        </is>
      </c>
      <c r="C256" s="15" t="inlineStr">
        <is>
          <t>Emiliano Blackwood</t>
        </is>
      </c>
      <c r="D256" s="15" t="inlineStr">
        <is>
          <t>CO</t>
        </is>
      </c>
      <c r="E256" s="16" t="n">
        <v>940000</v>
      </c>
      <c r="F256" s="16" t="n">
        <v>17040.12</v>
      </c>
      <c r="G256" s="16" t="n">
        <v>2130.01</v>
      </c>
      <c r="H256" s="16" t="n">
        <v>2130.01</v>
      </c>
      <c r="I256" s="16">
        <f>SUM(K256:T256)</f>
        <v/>
      </c>
      <c r="J256" s="16">
        <f>F256-(G256+H256+I256)</f>
        <v/>
      </c>
      <c r="K256" s="16" t="n">
        <v>1278.01</v>
      </c>
      <c r="L256" s="16" t="n">
        <v>1278.01</v>
      </c>
      <c r="M256" s="16" t="n">
        <v>1278.01</v>
      </c>
      <c r="N256" s="16" t="n">
        <v>1278.01</v>
      </c>
      <c r="O256" s="16" t="n">
        <v>1278.01</v>
      </c>
      <c r="P256" s="16" t="n">
        <v>1278.01</v>
      </c>
      <c r="Q256" s="16" t="n">
        <v>1278.01</v>
      </c>
      <c r="R256" s="16" t="n">
        <v>1278.01</v>
      </c>
      <c r="S256" s="16" t="n">
        <v>1278.01</v>
      </c>
      <c r="T256" s="16" t="n">
        <v>1278.01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CANON-202511-002086</t>
        </is>
      </c>
      <c r="B257" s="3" t="inlineStr">
        <is>
          <t>2025-11-01</t>
        </is>
      </c>
      <c r="C257" s="3" t="inlineStr">
        <is>
          <t>Anouk Harrington</t>
        </is>
      </c>
      <c r="D257" s="3" t="inlineStr">
        <is>
          <t>LA</t>
        </is>
      </c>
      <c r="E257" s="14" t="n">
        <v>260000</v>
      </c>
      <c r="F257" s="14" t="n">
        <v>4093.07</v>
      </c>
      <c r="G257" s="14" t="n">
        <v>511.63</v>
      </c>
      <c r="H257" s="14" t="n">
        <v>511.63</v>
      </c>
      <c r="I257" s="14">
        <f>SUM(K257:T257)</f>
        <v/>
      </c>
      <c r="J257" s="14">
        <f>F257-(G257+H257+I257)</f>
        <v/>
      </c>
      <c r="K257" s="14" t="n">
        <v>306.98</v>
      </c>
      <c r="L257" s="14" t="n">
        <v>306.98</v>
      </c>
      <c r="M257" s="14" t="n">
        <v>306.98</v>
      </c>
      <c r="N257" s="14" t="n">
        <v>306.98</v>
      </c>
      <c r="O257" s="14" t="n">
        <v>306.98</v>
      </c>
      <c r="P257" s="14" t="n">
        <v>306.98</v>
      </c>
      <c r="Q257" s="14" t="n">
        <v>306.98</v>
      </c>
      <c r="R257" s="14" t="n">
        <v>306.98</v>
      </c>
      <c r="S257" s="14" t="n">
        <v>306.98</v>
      </c>
      <c r="T257" s="14" t="n">
        <v>306.98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CANON-202511-002087</t>
        </is>
      </c>
      <c r="B258" s="15" t="inlineStr">
        <is>
          <t>2025-11-27</t>
        </is>
      </c>
      <c r="C258" s="15" t="inlineStr">
        <is>
          <t>Cassius Fairweather</t>
        </is>
      </c>
      <c r="D258" s="15" t="inlineStr">
        <is>
          <t>MN</t>
        </is>
      </c>
      <c r="E258" s="16" t="n">
        <v>715000</v>
      </c>
      <c r="F258" s="16" t="n">
        <v>10641.97</v>
      </c>
      <c r="G258" s="16" t="n">
        <v>1330.25</v>
      </c>
      <c r="H258" s="16" t="n">
        <v>1330.25</v>
      </c>
      <c r="I258" s="16">
        <f>SUM(K258:T258)</f>
        <v/>
      </c>
      <c r="J258" s="16">
        <f>F258-(G258+H258+I258)</f>
        <v/>
      </c>
      <c r="K258" s="16" t="n">
        <v>798.15</v>
      </c>
      <c r="L258" s="16" t="n">
        <v>798.15</v>
      </c>
      <c r="M258" s="16" t="n">
        <v>798.15</v>
      </c>
      <c r="N258" s="16" t="n">
        <v>798.15</v>
      </c>
      <c r="O258" s="16" t="n">
        <v>798.15</v>
      </c>
      <c r="P258" s="16" t="n">
        <v>798.15</v>
      </c>
      <c r="Q258" s="16" t="n">
        <v>798.15</v>
      </c>
      <c r="R258" s="16" t="n">
        <v>798.15</v>
      </c>
      <c r="S258" s="16" t="n">
        <v>798.15</v>
      </c>
      <c r="T258" s="16" t="n">
        <v>798.15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CANON-202511-002088</t>
        </is>
      </c>
      <c r="B259" s="3" t="inlineStr">
        <is>
          <t>2025-11-15</t>
        </is>
      </c>
      <c r="C259" s="3" t="inlineStr">
        <is>
          <t>Saoirse Larsson</t>
        </is>
      </c>
      <c r="D259" s="3" t="inlineStr">
        <is>
          <t>MT</t>
        </is>
      </c>
      <c r="E259" s="14" t="n">
        <v>1120000</v>
      </c>
      <c r="F259" s="14" t="n">
        <v>9937.85</v>
      </c>
      <c r="G259" s="14" t="n">
        <v>1242.23</v>
      </c>
      <c r="H259" s="14" t="n">
        <v>1242.23</v>
      </c>
      <c r="I259" s="14">
        <f>SUM(K259:T259)</f>
        <v/>
      </c>
      <c r="J259" s="14">
        <f>F259-(G259+H259+I259)</f>
        <v/>
      </c>
      <c r="K259" s="14" t="n">
        <v>745.34</v>
      </c>
      <c r="L259" s="14" t="n">
        <v>745.34</v>
      </c>
      <c r="M259" s="14" t="n">
        <v>745.34</v>
      </c>
      <c r="N259" s="14" t="n">
        <v>745.34</v>
      </c>
      <c r="O259" s="14" t="n">
        <v>745.34</v>
      </c>
      <c r="P259" s="14" t="n">
        <v>745.34</v>
      </c>
      <c r="Q259" s="14" t="n">
        <v>745.34</v>
      </c>
      <c r="R259" s="14" t="n">
        <v>745.34</v>
      </c>
      <c r="S259" s="14" t="n">
        <v>745.34</v>
      </c>
      <c r="T259" s="14" t="n">
        <v>745.34</v>
      </c>
      <c r="U259" s="14" t="n">
        <v>350</v>
      </c>
      <c r="V259" s="14" t="n">
        <v>250</v>
      </c>
      <c r="W259" s="14">
        <f>U259+V259</f>
        <v/>
      </c>
    </row>
    <row r="260">
      <c r="A260" s="15" t="inlineStr">
        <is>
          <t>CANON-202511-002089</t>
        </is>
      </c>
      <c r="B260" s="15" t="inlineStr">
        <is>
          <t>2025-11-04</t>
        </is>
      </c>
      <c r="C260" s="15" t="inlineStr">
        <is>
          <t>Marisol Ashcombe</t>
        </is>
      </c>
      <c r="D260" s="15" t="inlineStr">
        <is>
          <t>CA</t>
        </is>
      </c>
      <c r="E260" s="16" t="n">
        <v>1055000</v>
      </c>
      <c r="F260" s="16" t="n">
        <v>19765.36</v>
      </c>
      <c r="G260" s="16" t="n">
        <v>2470.67</v>
      </c>
      <c r="H260" s="16" t="n">
        <v>2470.67</v>
      </c>
      <c r="I260" s="16">
        <f>SUM(K260:T260)</f>
        <v/>
      </c>
      <c r="J260" s="16">
        <f>F260-(G260+H260+I260)</f>
        <v/>
      </c>
      <c r="K260" s="16" t="n">
        <v>1482.4</v>
      </c>
      <c r="L260" s="16" t="n">
        <v>1482.4</v>
      </c>
      <c r="M260" s="16" t="n">
        <v>1482.4</v>
      </c>
      <c r="N260" s="16" t="n">
        <v>1482.4</v>
      </c>
      <c r="O260" s="16" t="n">
        <v>1482.4</v>
      </c>
      <c r="P260" s="16" t="n">
        <v>1482.4</v>
      </c>
      <c r="Q260" s="16" t="n">
        <v>1482.4</v>
      </c>
      <c r="R260" s="16" t="n">
        <v>1482.4</v>
      </c>
      <c r="S260" s="16" t="n">
        <v>1482.4</v>
      </c>
      <c r="T260" s="16" t="n">
        <v>1482.4</v>
      </c>
      <c r="U260" s="16" t="n">
        <v>350</v>
      </c>
      <c r="V260" s="16" t="n">
        <v>250</v>
      </c>
      <c r="W260" s="16">
        <f>U260+V260</f>
        <v/>
      </c>
    </row>
    <row r="261">
      <c r="A261" s="3" t="inlineStr">
        <is>
          <t>CANON-202511-002092</t>
        </is>
      </c>
      <c r="B261" s="3" t="inlineStr">
        <is>
          <t>2025-11-18</t>
        </is>
      </c>
      <c r="C261" s="3" t="inlineStr">
        <is>
          <t>Fitzgerald Castellanos</t>
        </is>
      </c>
      <c r="D261" s="3" t="inlineStr">
        <is>
          <t>TX</t>
        </is>
      </c>
      <c r="E261" s="14" t="n">
        <v>640000</v>
      </c>
      <c r="F261" s="14" t="n">
        <v>12129.14</v>
      </c>
      <c r="G261" s="14" t="n">
        <v>1516.14</v>
      </c>
      <c r="H261" s="14" t="n">
        <v>1516.14</v>
      </c>
      <c r="I261" s="14">
        <f>SUM(K261:T261)</f>
        <v/>
      </c>
      <c r="J261" s="14">
        <f>F261-(G261+H261+I261)</f>
        <v/>
      </c>
      <c r="K261" s="14" t="n">
        <v>909.6900000000001</v>
      </c>
      <c r="L261" s="14" t="n">
        <v>909.6900000000001</v>
      </c>
      <c r="M261" s="14" t="n">
        <v>909.6900000000001</v>
      </c>
      <c r="N261" s="14" t="n">
        <v>909.6900000000001</v>
      </c>
      <c r="O261" s="14" t="n">
        <v>909.6900000000001</v>
      </c>
      <c r="P261" s="14" t="n">
        <v>909.6900000000001</v>
      </c>
      <c r="Q261" s="14" t="n">
        <v>909.6900000000001</v>
      </c>
      <c r="R261" s="14" t="n">
        <v>909.6900000000001</v>
      </c>
      <c r="S261" s="14" t="n">
        <v>909.6900000000001</v>
      </c>
      <c r="T261" s="14" t="n">
        <v>909.6900000000001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CANON-202511-002098</t>
        </is>
      </c>
      <c r="B262" s="15" t="inlineStr">
        <is>
          <t>2025-11-28</t>
        </is>
      </c>
      <c r="C262" s="15" t="inlineStr">
        <is>
          <t>Marisol Ashcombe</t>
        </is>
      </c>
      <c r="D262" s="15" t="inlineStr">
        <is>
          <t>PA</t>
        </is>
      </c>
      <c r="E262" s="16" t="n">
        <v>385000</v>
      </c>
      <c r="F262" s="16" t="n">
        <v>2805.03</v>
      </c>
      <c r="G262" s="16" t="n">
        <v>350.63</v>
      </c>
      <c r="H262" s="16" t="n">
        <v>350.63</v>
      </c>
      <c r="I262" s="16">
        <f>SUM(K262:T262)</f>
        <v/>
      </c>
      <c r="J262" s="16">
        <f>F262-(G262+H262+I262)</f>
        <v/>
      </c>
      <c r="K262" s="16" t="n">
        <v>210.38</v>
      </c>
      <c r="L262" s="16" t="n">
        <v>210.38</v>
      </c>
      <c r="M262" s="16" t="n">
        <v>210.38</v>
      </c>
      <c r="N262" s="16" t="n">
        <v>210.38</v>
      </c>
      <c r="O262" s="16" t="n">
        <v>210.38</v>
      </c>
      <c r="P262" s="16" t="n">
        <v>210.38</v>
      </c>
      <c r="Q262" s="16" t="n">
        <v>210.38</v>
      </c>
      <c r="R262" s="16" t="n">
        <v>210.38</v>
      </c>
      <c r="S262" s="16" t="n">
        <v>210.38</v>
      </c>
      <c r="T262" s="16" t="n">
        <v>210.38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CANON-202511-002099</t>
        </is>
      </c>
      <c r="B263" s="3" t="inlineStr">
        <is>
          <t>2025-11-12</t>
        </is>
      </c>
      <c r="C263" s="3" t="inlineStr">
        <is>
          <t>Anouk Vasquez</t>
        </is>
      </c>
      <c r="D263" s="3" t="inlineStr">
        <is>
          <t>WA</t>
        </is>
      </c>
      <c r="E263" s="14" t="n">
        <v>460000</v>
      </c>
      <c r="F263" s="14" t="n">
        <v>5745.39</v>
      </c>
      <c r="G263" s="14" t="n">
        <v>718.17</v>
      </c>
      <c r="H263" s="14" t="n">
        <v>718.17</v>
      </c>
      <c r="I263" s="14">
        <f>SUM(K263:T263)</f>
        <v/>
      </c>
      <c r="J263" s="14">
        <f>F263-(G263+H263+I263)</f>
        <v/>
      </c>
      <c r="K263" s="14" t="n">
        <v>430.9</v>
      </c>
      <c r="L263" s="14" t="n">
        <v>430.9</v>
      </c>
      <c r="M263" s="14" t="n">
        <v>430.9</v>
      </c>
      <c r="N263" s="14" t="n">
        <v>430.9</v>
      </c>
      <c r="O263" s="14" t="n">
        <v>430.9</v>
      </c>
      <c r="P263" s="14" t="n">
        <v>430.9</v>
      </c>
      <c r="Q263" s="14" t="n">
        <v>430.9</v>
      </c>
      <c r="R263" s="14" t="n">
        <v>430.9</v>
      </c>
      <c r="S263" s="14" t="n">
        <v>430.9</v>
      </c>
      <c r="T263" s="14" t="n">
        <v>430.9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CANON-202511-002100</t>
        </is>
      </c>
      <c r="B264" s="15" t="inlineStr">
        <is>
          <t>2025-11-09</t>
        </is>
      </c>
      <c r="C264" s="15" t="inlineStr">
        <is>
          <t>Ramona Larsson</t>
        </is>
      </c>
      <c r="D264" s="15" t="inlineStr">
        <is>
          <t>AR</t>
        </is>
      </c>
      <c r="E264" s="16" t="n">
        <v>645000</v>
      </c>
      <c r="F264" s="16" t="n">
        <v>10036.46</v>
      </c>
      <c r="G264" s="16" t="n">
        <v>1254.56</v>
      </c>
      <c r="H264" s="16" t="n">
        <v>1254.56</v>
      </c>
      <c r="I264" s="16">
        <f>SUM(K264:T264)</f>
        <v/>
      </c>
      <c r="J264" s="16">
        <f>F264-(G264+H264+I264)</f>
        <v/>
      </c>
      <c r="K264" s="16" t="n">
        <v>752.73</v>
      </c>
      <c r="L264" s="16" t="n">
        <v>752.73</v>
      </c>
      <c r="M264" s="16" t="n">
        <v>752.73</v>
      </c>
      <c r="N264" s="16" t="n">
        <v>752.73</v>
      </c>
      <c r="O264" s="16" t="n">
        <v>752.73</v>
      </c>
      <c r="P264" s="16" t="n">
        <v>752.73</v>
      </c>
      <c r="Q264" s="16" t="n">
        <v>752.73</v>
      </c>
      <c r="R264" s="16" t="n">
        <v>752.73</v>
      </c>
      <c r="S264" s="16" t="n">
        <v>752.73</v>
      </c>
      <c r="T264" s="16" t="n">
        <v>752.73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CANON-202511-002102</t>
        </is>
      </c>
      <c r="B265" s="3" t="inlineStr">
        <is>
          <t>2025-11-30</t>
        </is>
      </c>
      <c r="C265" s="3" t="inlineStr">
        <is>
          <t>Fenwick Harrington</t>
        </is>
      </c>
      <c r="D265" s="3" t="inlineStr">
        <is>
          <t>WA</t>
        </is>
      </c>
      <c r="E265" s="14" t="n">
        <v>1205000</v>
      </c>
      <c r="F265" s="14" t="n">
        <v>16053.76</v>
      </c>
      <c r="G265" s="14" t="n">
        <v>2006.72</v>
      </c>
      <c r="H265" s="14" t="n">
        <v>2006.72</v>
      </c>
      <c r="I265" s="14">
        <f>SUM(K265:T265)</f>
        <v/>
      </c>
      <c r="J265" s="14">
        <f>F265-(G265+H265+I265)</f>
        <v/>
      </c>
      <c r="K265" s="14" t="n">
        <v>1204.03</v>
      </c>
      <c r="L265" s="14" t="n">
        <v>1204.03</v>
      </c>
      <c r="M265" s="14" t="n">
        <v>1204.03</v>
      </c>
      <c r="N265" s="14" t="n">
        <v>1204.03</v>
      </c>
      <c r="O265" s="14" t="n">
        <v>1204.03</v>
      </c>
      <c r="P265" s="14" t="n">
        <v>1204.03</v>
      </c>
      <c r="Q265" s="14" t="n">
        <v>1204.03</v>
      </c>
      <c r="R265" s="14" t="n">
        <v>1204.03</v>
      </c>
      <c r="S265" s="14" t="n">
        <v>1204.03</v>
      </c>
      <c r="T265" s="14" t="n">
        <v>1204.03</v>
      </c>
      <c r="U265" s="14" t="n">
        <v>350</v>
      </c>
      <c r="V265" s="14" t="n">
        <v>250</v>
      </c>
      <c r="W265" s="14">
        <f>U265+V265</f>
        <v/>
      </c>
    </row>
    <row r="266">
      <c r="A266" s="15" t="inlineStr">
        <is>
          <t>CANON-202511-002104</t>
        </is>
      </c>
      <c r="B266" s="15" t="inlineStr">
        <is>
          <t>2025-11-05</t>
        </is>
      </c>
      <c r="C266" s="15" t="inlineStr">
        <is>
          <t>Beatrix Montoya</t>
        </is>
      </c>
      <c r="D266" s="15" t="inlineStr">
        <is>
          <t>AL</t>
        </is>
      </c>
      <c r="E266" s="16" t="n">
        <v>500000</v>
      </c>
      <c r="F266" s="16" t="n">
        <v>4736.65</v>
      </c>
      <c r="G266" s="16" t="n">
        <v>592.08</v>
      </c>
      <c r="H266" s="16" t="n">
        <v>592.08</v>
      </c>
      <c r="I266" s="16">
        <f>SUM(K266:T266)</f>
        <v/>
      </c>
      <c r="J266" s="16">
        <f>F266-(G266+H266+I266)</f>
        <v/>
      </c>
      <c r="K266" s="16" t="n">
        <v>355.25</v>
      </c>
      <c r="L266" s="16" t="n">
        <v>355.25</v>
      </c>
      <c r="M266" s="16" t="n">
        <v>355.25</v>
      </c>
      <c r="N266" s="16" t="n">
        <v>355.25</v>
      </c>
      <c r="O266" s="16" t="n">
        <v>355.25</v>
      </c>
      <c r="P266" s="16" t="n">
        <v>355.25</v>
      </c>
      <c r="Q266" s="16" t="n">
        <v>355.25</v>
      </c>
      <c r="R266" s="16" t="n">
        <v>355.25</v>
      </c>
      <c r="S266" s="16" t="n">
        <v>355.25</v>
      </c>
      <c r="T266" s="16" t="n">
        <v>355.25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CANON-202511-002105</t>
        </is>
      </c>
      <c r="B267" s="3" t="inlineStr">
        <is>
          <t>2025-11-11</t>
        </is>
      </c>
      <c r="C267" s="3" t="inlineStr">
        <is>
          <t>Marisol Bellandi</t>
        </is>
      </c>
      <c r="D267" s="3" t="inlineStr">
        <is>
          <t>SD</t>
        </is>
      </c>
      <c r="E267" s="14" t="n">
        <v>635000</v>
      </c>
      <c r="F267" s="14" t="n">
        <v>7947.65</v>
      </c>
      <c r="G267" s="14" t="n">
        <v>993.46</v>
      </c>
      <c r="H267" s="14" t="n">
        <v>993.46</v>
      </c>
      <c r="I267" s="14">
        <f>SUM(K267:T267)</f>
        <v/>
      </c>
      <c r="J267" s="14">
        <f>F267-(G267+H267+I267)</f>
        <v/>
      </c>
      <c r="K267" s="14" t="n">
        <v>596.0700000000001</v>
      </c>
      <c r="L267" s="14" t="n">
        <v>596.0700000000001</v>
      </c>
      <c r="M267" s="14" t="n">
        <v>596.0700000000001</v>
      </c>
      <c r="N267" s="14" t="n">
        <v>596.0700000000001</v>
      </c>
      <c r="O267" s="14" t="n">
        <v>596.0700000000001</v>
      </c>
      <c r="P267" s="14" t="n">
        <v>596.0700000000001</v>
      </c>
      <c r="Q267" s="14" t="n">
        <v>596.0700000000001</v>
      </c>
      <c r="R267" s="14" t="n">
        <v>596.0700000000001</v>
      </c>
      <c r="S267" s="14" t="n">
        <v>596.0700000000001</v>
      </c>
      <c r="T267" s="14" t="n">
        <v>596.0700000000001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CANON-202511-002108</t>
        </is>
      </c>
      <c r="B268" s="15" t="inlineStr">
        <is>
          <t>2025-11-11</t>
        </is>
      </c>
      <c r="C268" s="15" t="inlineStr">
        <is>
          <t>Noor Merriweather</t>
        </is>
      </c>
      <c r="D268" s="15" t="inlineStr">
        <is>
          <t>WV</t>
        </is>
      </c>
      <c r="E268" s="16" t="n">
        <v>255000</v>
      </c>
      <c r="F268" s="16" t="n">
        <v>4412.47</v>
      </c>
      <c r="G268" s="16" t="n">
        <v>551.5599999999999</v>
      </c>
      <c r="H268" s="16" t="n">
        <v>551.5599999999999</v>
      </c>
      <c r="I268" s="16">
        <f>SUM(K268:T268)</f>
        <v/>
      </c>
      <c r="J268" s="16">
        <f>F268-(G268+H268+I268)</f>
        <v/>
      </c>
      <c r="K268" s="16" t="n">
        <v>330.94</v>
      </c>
      <c r="L268" s="16" t="n">
        <v>330.94</v>
      </c>
      <c r="M268" s="16" t="n">
        <v>330.94</v>
      </c>
      <c r="N268" s="16" t="n">
        <v>330.94</v>
      </c>
      <c r="O268" s="16" t="n">
        <v>330.94</v>
      </c>
      <c r="P268" s="16" t="n">
        <v>330.94</v>
      </c>
      <c r="Q268" s="16" t="n">
        <v>330.94</v>
      </c>
      <c r="R268" s="16" t="n">
        <v>330.94</v>
      </c>
      <c r="S268" s="16" t="n">
        <v>330.94</v>
      </c>
      <c r="T268" s="16" t="n">
        <v>330.94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CANON-202511-002109</t>
        </is>
      </c>
      <c r="B269" s="3" t="inlineStr">
        <is>
          <t>2025-11-30</t>
        </is>
      </c>
      <c r="C269" s="3" t="inlineStr">
        <is>
          <t>Anouk Vandermeer</t>
        </is>
      </c>
      <c r="D269" s="3" t="inlineStr">
        <is>
          <t>CO</t>
        </is>
      </c>
      <c r="E269" s="14" t="n">
        <v>1170000</v>
      </c>
      <c r="F269" s="14" t="n">
        <v>8483.809999999999</v>
      </c>
      <c r="G269" s="14" t="n">
        <v>1060.48</v>
      </c>
      <c r="H269" s="14" t="n">
        <v>1060.48</v>
      </c>
      <c r="I269" s="14">
        <f>SUM(K269:T269)</f>
        <v/>
      </c>
      <c r="J269" s="14">
        <f>F269-(G269+H269+I269)</f>
        <v/>
      </c>
      <c r="K269" s="14" t="n">
        <v>636.29</v>
      </c>
      <c r="L269" s="14" t="n">
        <v>636.29</v>
      </c>
      <c r="M269" s="14" t="n">
        <v>636.29</v>
      </c>
      <c r="N269" s="14" t="n">
        <v>636.29</v>
      </c>
      <c r="O269" s="14" t="n">
        <v>636.29</v>
      </c>
      <c r="P269" s="14" t="n">
        <v>636.29</v>
      </c>
      <c r="Q269" s="14" t="n">
        <v>636.29</v>
      </c>
      <c r="R269" s="14" t="n">
        <v>636.29</v>
      </c>
      <c r="S269" s="14" t="n">
        <v>636.29</v>
      </c>
      <c r="T269" s="14" t="n">
        <v>636.29</v>
      </c>
      <c r="U269" s="14" t="n">
        <v>350</v>
      </c>
      <c r="V269" s="14" t="n">
        <v>250</v>
      </c>
      <c r="W269" s="14">
        <f>U269+V269</f>
        <v/>
      </c>
    </row>
    <row r="270">
      <c r="A270" s="15" t="inlineStr">
        <is>
          <t>CANON-202511-002110</t>
        </is>
      </c>
      <c r="B270" s="15" t="inlineStr">
        <is>
          <t>2025-11-18</t>
        </is>
      </c>
      <c r="C270" s="15" t="inlineStr">
        <is>
          <t>Lorenzo Chattopadhyay</t>
        </is>
      </c>
      <c r="D270" s="15" t="inlineStr">
        <is>
          <t>FL</t>
        </is>
      </c>
      <c r="E270" s="16" t="n">
        <v>850000</v>
      </c>
      <c r="F270" s="16" t="n">
        <v>19891.14</v>
      </c>
      <c r="G270" s="16" t="n">
        <v>2486.39</v>
      </c>
      <c r="H270" s="16" t="n">
        <v>2486.39</v>
      </c>
      <c r="I270" s="16">
        <f>SUM(K270:T270)</f>
        <v/>
      </c>
      <c r="J270" s="16">
        <f>F270-(G270+H270+I270)</f>
        <v/>
      </c>
      <c r="K270" s="16" t="n">
        <v>1491.84</v>
      </c>
      <c r="L270" s="16" t="n">
        <v>1491.84</v>
      </c>
      <c r="M270" s="16" t="n">
        <v>1491.84</v>
      </c>
      <c r="N270" s="16" t="n">
        <v>1491.84</v>
      </c>
      <c r="O270" s="16" t="n">
        <v>1491.84</v>
      </c>
      <c r="P270" s="16" t="n">
        <v>1491.84</v>
      </c>
      <c r="Q270" s="16" t="n">
        <v>1491.84</v>
      </c>
      <c r="R270" s="16" t="n">
        <v>1491.84</v>
      </c>
      <c r="S270" s="16" t="n">
        <v>1491.84</v>
      </c>
      <c r="T270" s="16" t="n">
        <v>1491.84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CANON-202511-002112</t>
        </is>
      </c>
      <c r="B271" s="3" t="inlineStr">
        <is>
          <t>2025-11-20</t>
        </is>
      </c>
      <c r="C271" s="3" t="inlineStr">
        <is>
          <t>Callum Nakashima</t>
        </is>
      </c>
      <c r="D271" s="3" t="inlineStr">
        <is>
          <t>OH</t>
        </is>
      </c>
      <c r="E271" s="14" t="n">
        <v>645000</v>
      </c>
      <c r="F271" s="14" t="n">
        <v>6687.62</v>
      </c>
      <c r="G271" s="14" t="n">
        <v>835.95</v>
      </c>
      <c r="H271" s="14" t="n">
        <v>835.95</v>
      </c>
      <c r="I271" s="14">
        <f>SUM(K271:T271)</f>
        <v/>
      </c>
      <c r="J271" s="14">
        <f>F271-(G271+H271+I271)</f>
        <v/>
      </c>
      <c r="K271" s="14" t="n">
        <v>501.57</v>
      </c>
      <c r="L271" s="14" t="n">
        <v>501.57</v>
      </c>
      <c r="M271" s="14" t="n">
        <v>501.57</v>
      </c>
      <c r="N271" s="14" t="n">
        <v>501.57</v>
      </c>
      <c r="O271" s="14" t="n">
        <v>501.57</v>
      </c>
      <c r="P271" s="14" t="n">
        <v>501.57</v>
      </c>
      <c r="Q271" s="14" t="n">
        <v>501.57</v>
      </c>
      <c r="R271" s="14" t="n">
        <v>501.57</v>
      </c>
      <c r="S271" s="14" t="n">
        <v>501.57</v>
      </c>
      <c r="T271" s="14" t="n">
        <v>501.57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CANON-202511-002113</t>
        </is>
      </c>
      <c r="B272" s="15" t="inlineStr">
        <is>
          <t>2025-11-19</t>
        </is>
      </c>
      <c r="C272" s="15" t="inlineStr">
        <is>
          <t>Aurelio Merriweather</t>
        </is>
      </c>
      <c r="D272" s="15" t="inlineStr">
        <is>
          <t>HI</t>
        </is>
      </c>
      <c r="E272" s="16" t="n">
        <v>335000</v>
      </c>
      <c r="F272" s="16" t="n">
        <v>5666.02</v>
      </c>
      <c r="G272" s="16" t="n">
        <v>708.25</v>
      </c>
      <c r="H272" s="16" t="n">
        <v>708.25</v>
      </c>
      <c r="I272" s="16">
        <f>SUM(K272:T272)</f>
        <v/>
      </c>
      <c r="J272" s="16">
        <f>F272-(G272+H272+I272)</f>
        <v/>
      </c>
      <c r="K272" s="16" t="n">
        <v>424.95</v>
      </c>
      <c r="L272" s="16" t="n">
        <v>424.95</v>
      </c>
      <c r="M272" s="16" t="n">
        <v>424.95</v>
      </c>
      <c r="N272" s="16" t="n">
        <v>424.95</v>
      </c>
      <c r="O272" s="16" t="n">
        <v>424.95</v>
      </c>
      <c r="P272" s="16" t="n">
        <v>424.95</v>
      </c>
      <c r="Q272" s="16" t="n">
        <v>424.95</v>
      </c>
      <c r="R272" s="16" t="n">
        <v>424.95</v>
      </c>
      <c r="S272" s="16" t="n">
        <v>424.95</v>
      </c>
      <c r="T272" s="16" t="n">
        <v>424.95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CANON-202511-002114</t>
        </is>
      </c>
      <c r="B273" s="3" t="inlineStr">
        <is>
          <t>2025-11-25</t>
        </is>
      </c>
      <c r="C273" s="3" t="inlineStr">
        <is>
          <t>Ottilie Merriweather</t>
        </is>
      </c>
      <c r="D273" s="3" t="inlineStr">
        <is>
          <t>MN</t>
        </is>
      </c>
      <c r="E273" s="14" t="n">
        <v>425000</v>
      </c>
      <c r="F273" s="14" t="n">
        <v>7298.82</v>
      </c>
      <c r="G273" s="14" t="n">
        <v>912.35</v>
      </c>
      <c r="H273" s="14" t="n">
        <v>912.35</v>
      </c>
      <c r="I273" s="14">
        <f>SUM(K273:T273)</f>
        <v/>
      </c>
      <c r="J273" s="14">
        <f>F273-(G273+H273+I273)</f>
        <v/>
      </c>
      <c r="K273" s="14" t="n">
        <v>547.41</v>
      </c>
      <c r="L273" s="14" t="n">
        <v>547.41</v>
      </c>
      <c r="M273" s="14" t="n">
        <v>547.41</v>
      </c>
      <c r="N273" s="14" t="n">
        <v>547.41</v>
      </c>
      <c r="O273" s="14" t="n">
        <v>547.41</v>
      </c>
      <c r="P273" s="14" t="n">
        <v>547.41</v>
      </c>
      <c r="Q273" s="14" t="n">
        <v>547.41</v>
      </c>
      <c r="R273" s="14" t="n">
        <v>547.41</v>
      </c>
      <c r="S273" s="14" t="n">
        <v>547.41</v>
      </c>
      <c r="T273" s="14" t="n">
        <v>547.41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CANON-202511-002115</t>
        </is>
      </c>
      <c r="B274" s="15" t="inlineStr">
        <is>
          <t>2025-11-15</t>
        </is>
      </c>
      <c r="C274" s="15" t="inlineStr">
        <is>
          <t>Cassius Chattopadhyay</t>
        </is>
      </c>
      <c r="D274" s="15" t="inlineStr">
        <is>
          <t>KY</t>
        </is>
      </c>
      <c r="E274" s="16" t="n">
        <v>535000</v>
      </c>
      <c r="F274" s="16" t="n">
        <v>8083.52</v>
      </c>
      <c r="G274" s="16" t="n">
        <v>1010.44</v>
      </c>
      <c r="H274" s="16" t="n">
        <v>1010.44</v>
      </c>
      <c r="I274" s="16">
        <f>SUM(K274:T274)</f>
        <v/>
      </c>
      <c r="J274" s="16">
        <f>F274-(G274+H274+I274)</f>
        <v/>
      </c>
      <c r="K274" s="16" t="n">
        <v>606.26</v>
      </c>
      <c r="L274" s="16" t="n">
        <v>606.26</v>
      </c>
      <c r="M274" s="16" t="n">
        <v>606.26</v>
      </c>
      <c r="N274" s="16" t="n">
        <v>606.26</v>
      </c>
      <c r="O274" s="16" t="n">
        <v>606.26</v>
      </c>
      <c r="P274" s="16" t="n">
        <v>606.26</v>
      </c>
      <c r="Q274" s="16" t="n">
        <v>606.26</v>
      </c>
      <c r="R274" s="16" t="n">
        <v>606.26</v>
      </c>
      <c r="S274" s="16" t="n">
        <v>606.26</v>
      </c>
      <c r="T274" s="16" t="n">
        <v>606.26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CANON-202511-002116</t>
        </is>
      </c>
      <c r="B275" s="3" t="inlineStr">
        <is>
          <t>2025-11-24</t>
        </is>
      </c>
      <c r="C275" s="3" t="inlineStr">
        <is>
          <t>Fitzgerald Larsson</t>
        </is>
      </c>
      <c r="D275" s="3" t="inlineStr">
        <is>
          <t>HI</t>
        </is>
      </c>
      <c r="E275" s="14" t="n">
        <v>480000</v>
      </c>
      <c r="F275" s="14" t="n">
        <v>8118.48</v>
      </c>
      <c r="G275" s="14" t="n">
        <v>1014.81</v>
      </c>
      <c r="H275" s="14" t="n">
        <v>1014.81</v>
      </c>
      <c r="I275" s="14">
        <f>SUM(K275:T275)</f>
        <v/>
      </c>
      <c r="J275" s="14">
        <f>F275-(G275+H275+I275)</f>
        <v/>
      </c>
      <c r="K275" s="14" t="n">
        <v>608.89</v>
      </c>
      <c r="L275" s="14" t="n">
        <v>608.89</v>
      </c>
      <c r="M275" s="14" t="n">
        <v>608.89</v>
      </c>
      <c r="N275" s="14" t="n">
        <v>608.89</v>
      </c>
      <c r="O275" s="14" t="n">
        <v>608.89</v>
      </c>
      <c r="P275" s="14" t="n">
        <v>608.89</v>
      </c>
      <c r="Q275" s="14" t="n">
        <v>608.89</v>
      </c>
      <c r="R275" s="14" t="n">
        <v>608.89</v>
      </c>
      <c r="S275" s="14" t="n">
        <v>608.89</v>
      </c>
      <c r="T275" s="14" t="n">
        <v>608.89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CANON-202511-002117</t>
        </is>
      </c>
      <c r="B276" s="15" t="inlineStr">
        <is>
          <t>2025-11-05</t>
        </is>
      </c>
      <c r="C276" s="15" t="inlineStr">
        <is>
          <t>Delphine Merriweather</t>
        </is>
      </c>
      <c r="D276" s="15" t="inlineStr">
        <is>
          <t>WI</t>
        </is>
      </c>
      <c r="E276" s="16" t="n">
        <v>1950000</v>
      </c>
      <c r="F276" s="16" t="n">
        <v>13801.41</v>
      </c>
      <c r="G276" s="16" t="n">
        <v>1725.18</v>
      </c>
      <c r="H276" s="16" t="n">
        <v>1725.18</v>
      </c>
      <c r="I276" s="16">
        <f>SUM(K276:T276)</f>
        <v/>
      </c>
      <c r="J276" s="16">
        <f>F276-(G276+H276+I276)</f>
        <v/>
      </c>
      <c r="K276" s="16" t="n">
        <v>1035.11</v>
      </c>
      <c r="L276" s="16" t="n">
        <v>1035.11</v>
      </c>
      <c r="M276" s="16" t="n">
        <v>1035.11</v>
      </c>
      <c r="N276" s="16" t="n">
        <v>1035.11</v>
      </c>
      <c r="O276" s="16" t="n">
        <v>1035.11</v>
      </c>
      <c r="P276" s="16" t="n">
        <v>1035.11</v>
      </c>
      <c r="Q276" s="16" t="n">
        <v>1035.11</v>
      </c>
      <c r="R276" s="16" t="n">
        <v>1035.11</v>
      </c>
      <c r="S276" s="16" t="n">
        <v>1035.11</v>
      </c>
      <c r="T276" s="16" t="n">
        <v>1035.11</v>
      </c>
      <c r="U276" s="16" t="n">
        <v>350</v>
      </c>
      <c r="V276" s="16" t="n">
        <v>250</v>
      </c>
      <c r="W276" s="16">
        <f>U276+V276</f>
        <v/>
      </c>
    </row>
    <row r="277">
      <c r="A277" s="3" t="inlineStr">
        <is>
          <t>CANON-202511-002118</t>
        </is>
      </c>
      <c r="B277" s="3" t="inlineStr">
        <is>
          <t>2025-11-30</t>
        </is>
      </c>
      <c r="C277" s="3" t="inlineStr">
        <is>
          <t>Desmond Larsson</t>
        </is>
      </c>
      <c r="D277" s="3" t="inlineStr">
        <is>
          <t>NH</t>
        </is>
      </c>
      <c r="E277" s="14" t="n">
        <v>240000</v>
      </c>
      <c r="F277" s="14" t="n">
        <v>3983.47</v>
      </c>
      <c r="G277" s="14" t="n">
        <v>497.93</v>
      </c>
      <c r="H277" s="14" t="n">
        <v>497.93</v>
      </c>
      <c r="I277" s="14">
        <f>SUM(K277:T277)</f>
        <v/>
      </c>
      <c r="J277" s="14">
        <f>F277-(G277+H277+I277)</f>
        <v/>
      </c>
      <c r="K277" s="14" t="n">
        <v>298.76</v>
      </c>
      <c r="L277" s="14" t="n">
        <v>298.76</v>
      </c>
      <c r="M277" s="14" t="n">
        <v>298.76</v>
      </c>
      <c r="N277" s="14" t="n">
        <v>298.76</v>
      </c>
      <c r="O277" s="14" t="n">
        <v>298.76</v>
      </c>
      <c r="P277" s="14" t="n">
        <v>298.76</v>
      </c>
      <c r="Q277" s="14" t="n">
        <v>298.76</v>
      </c>
      <c r="R277" s="14" t="n">
        <v>298.76</v>
      </c>
      <c r="S277" s="14" t="n">
        <v>298.76</v>
      </c>
      <c r="T277" s="14" t="n">
        <v>298.76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CANON-202511-002119</t>
        </is>
      </c>
      <c r="B278" s="15" t="inlineStr">
        <is>
          <t>2025-11-24</t>
        </is>
      </c>
      <c r="C278" s="15" t="inlineStr">
        <is>
          <t>Noor Okonkwo</t>
        </is>
      </c>
      <c r="D278" s="15" t="inlineStr">
        <is>
          <t>OH</t>
        </is>
      </c>
      <c r="E278" s="16" t="n">
        <v>815000</v>
      </c>
      <c r="F278" s="16" t="n">
        <v>12773.63</v>
      </c>
      <c r="G278" s="16" t="n">
        <v>1596.7</v>
      </c>
      <c r="H278" s="16" t="n">
        <v>1596.7</v>
      </c>
      <c r="I278" s="16">
        <f>SUM(K278:T278)</f>
        <v/>
      </c>
      <c r="J278" s="16">
        <f>F278-(G278+H278+I278)</f>
        <v/>
      </c>
      <c r="K278" s="16" t="n">
        <v>958.02</v>
      </c>
      <c r="L278" s="16" t="n">
        <v>958.02</v>
      </c>
      <c r="M278" s="16" t="n">
        <v>958.02</v>
      </c>
      <c r="N278" s="16" t="n">
        <v>958.02</v>
      </c>
      <c r="O278" s="16" t="n">
        <v>958.02</v>
      </c>
      <c r="P278" s="16" t="n">
        <v>958.02</v>
      </c>
      <c r="Q278" s="16" t="n">
        <v>958.02</v>
      </c>
      <c r="R278" s="16" t="n">
        <v>958.02</v>
      </c>
      <c r="S278" s="16" t="n">
        <v>958.02</v>
      </c>
      <c r="T278" s="16" t="n">
        <v>958.02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CANON-202511-002120</t>
        </is>
      </c>
      <c r="B279" s="3" t="inlineStr">
        <is>
          <t>2025-11-21</t>
        </is>
      </c>
      <c r="C279" s="3" t="inlineStr">
        <is>
          <t>Mireille Merriweather</t>
        </is>
      </c>
      <c r="D279" s="3" t="inlineStr">
        <is>
          <t>AZ</t>
        </is>
      </c>
      <c r="E279" s="14" t="n">
        <v>480000</v>
      </c>
      <c r="F279" s="14" t="n">
        <v>6307.43</v>
      </c>
      <c r="G279" s="14" t="n">
        <v>788.4299999999999</v>
      </c>
      <c r="H279" s="14" t="n">
        <v>788.4299999999999</v>
      </c>
      <c r="I279" s="14">
        <f>SUM(K279:T279)</f>
        <v/>
      </c>
      <c r="J279" s="14">
        <f>F279-(G279+H279+I279)</f>
        <v/>
      </c>
      <c r="K279" s="14" t="n">
        <v>473.06</v>
      </c>
      <c r="L279" s="14" t="n">
        <v>473.06</v>
      </c>
      <c r="M279" s="14" t="n">
        <v>473.06</v>
      </c>
      <c r="N279" s="14" t="n">
        <v>473.06</v>
      </c>
      <c r="O279" s="14" t="n">
        <v>473.06</v>
      </c>
      <c r="P279" s="14" t="n">
        <v>473.06</v>
      </c>
      <c r="Q279" s="14" t="n">
        <v>473.06</v>
      </c>
      <c r="R279" s="14" t="n">
        <v>473.06</v>
      </c>
      <c r="S279" s="14" t="n">
        <v>473.06</v>
      </c>
      <c r="T279" s="14" t="n">
        <v>473.06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CANON-202511-002121</t>
        </is>
      </c>
      <c r="B280" s="15" t="inlineStr">
        <is>
          <t>2025-11-05</t>
        </is>
      </c>
      <c r="C280" s="15" t="inlineStr">
        <is>
          <t>Ramona Vandermeer</t>
        </is>
      </c>
      <c r="D280" s="15" t="inlineStr">
        <is>
          <t>AL</t>
        </is>
      </c>
      <c r="E280" s="16" t="n">
        <v>325000</v>
      </c>
      <c r="F280" s="16" t="n">
        <v>3436.82</v>
      </c>
      <c r="G280" s="16" t="n">
        <v>429.6</v>
      </c>
      <c r="H280" s="16" t="n">
        <v>429.6</v>
      </c>
      <c r="I280" s="16">
        <f>SUM(K280:T280)</f>
        <v/>
      </c>
      <c r="J280" s="16">
        <f>F280-(G280+H280+I280)</f>
        <v/>
      </c>
      <c r="K280" s="16" t="n">
        <v>257.76</v>
      </c>
      <c r="L280" s="16" t="n">
        <v>257.76</v>
      </c>
      <c r="M280" s="16" t="n">
        <v>257.76</v>
      </c>
      <c r="N280" s="16" t="n">
        <v>257.76</v>
      </c>
      <c r="O280" s="16" t="n">
        <v>257.76</v>
      </c>
      <c r="P280" s="16" t="n">
        <v>257.76</v>
      </c>
      <c r="Q280" s="16" t="n">
        <v>257.76</v>
      </c>
      <c r="R280" s="16" t="n">
        <v>257.76</v>
      </c>
      <c r="S280" s="16" t="n">
        <v>257.76</v>
      </c>
      <c r="T280" s="16" t="n">
        <v>257.76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CANON-202511-002122</t>
        </is>
      </c>
      <c r="B281" s="3" t="inlineStr">
        <is>
          <t>2025-11-23</t>
        </is>
      </c>
      <c r="C281" s="3" t="inlineStr">
        <is>
          <t>Delphine Ashcombe</t>
        </is>
      </c>
      <c r="D281" s="3" t="inlineStr">
        <is>
          <t>ID</t>
        </is>
      </c>
      <c r="E281" s="14" t="n">
        <v>355000</v>
      </c>
      <c r="F281" s="14" t="n">
        <v>2926.4</v>
      </c>
      <c r="G281" s="14" t="n">
        <v>365.8</v>
      </c>
      <c r="H281" s="14" t="n">
        <v>365.8</v>
      </c>
      <c r="I281" s="14">
        <f>SUM(K281:T281)</f>
        <v/>
      </c>
      <c r="J281" s="14">
        <f>F281-(G281+H281+I281)</f>
        <v/>
      </c>
      <c r="K281" s="14" t="n">
        <v>219.48</v>
      </c>
      <c r="L281" s="14" t="n">
        <v>219.48</v>
      </c>
      <c r="M281" s="14" t="n">
        <v>219.48</v>
      </c>
      <c r="N281" s="14" t="n">
        <v>219.48</v>
      </c>
      <c r="O281" s="14" t="n">
        <v>219.48</v>
      </c>
      <c r="P281" s="14" t="n">
        <v>219.48</v>
      </c>
      <c r="Q281" s="14" t="n">
        <v>219.48</v>
      </c>
      <c r="R281" s="14" t="n">
        <v>219.48</v>
      </c>
      <c r="S281" s="14" t="n">
        <v>219.48</v>
      </c>
      <c r="T281" s="14" t="n">
        <v>219.48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CANON-202511-002123</t>
        </is>
      </c>
      <c r="B282" s="15" t="inlineStr">
        <is>
          <t>2025-11-21</t>
        </is>
      </c>
      <c r="C282" s="15" t="inlineStr">
        <is>
          <t>Saoirse Montoya</t>
        </is>
      </c>
      <c r="D282" s="15" t="inlineStr">
        <is>
          <t>OH</t>
        </is>
      </c>
      <c r="E282" s="16" t="n">
        <v>350000</v>
      </c>
      <c r="F282" s="16" t="n">
        <v>6329.54</v>
      </c>
      <c r="G282" s="16" t="n">
        <v>791.1900000000001</v>
      </c>
      <c r="H282" s="16" t="n">
        <v>791.1900000000001</v>
      </c>
      <c r="I282" s="16">
        <f>SUM(K282:T282)</f>
        <v/>
      </c>
      <c r="J282" s="16">
        <f>F282-(G282+H282+I282)</f>
        <v/>
      </c>
      <c r="K282" s="16" t="n">
        <v>474.72</v>
      </c>
      <c r="L282" s="16" t="n">
        <v>474.72</v>
      </c>
      <c r="M282" s="16" t="n">
        <v>474.72</v>
      </c>
      <c r="N282" s="16" t="n">
        <v>474.72</v>
      </c>
      <c r="O282" s="16" t="n">
        <v>474.72</v>
      </c>
      <c r="P282" s="16" t="n">
        <v>474.72</v>
      </c>
      <c r="Q282" s="16" t="n">
        <v>474.72</v>
      </c>
      <c r="R282" s="16" t="n">
        <v>474.72</v>
      </c>
      <c r="S282" s="16" t="n">
        <v>474.72</v>
      </c>
      <c r="T282" s="16" t="n">
        <v>474.72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CANON-202511-002125</t>
        </is>
      </c>
      <c r="B283" s="3" t="inlineStr">
        <is>
          <t>2025-11-16</t>
        </is>
      </c>
      <c r="C283" s="3" t="inlineStr">
        <is>
          <t>Emiliano Nakashima</t>
        </is>
      </c>
      <c r="D283" s="3" t="inlineStr">
        <is>
          <t>WI</t>
        </is>
      </c>
      <c r="E283" s="14" t="n">
        <v>535000</v>
      </c>
      <c r="F283" s="14" t="n">
        <v>7238.97</v>
      </c>
      <c r="G283" s="14" t="n">
        <v>904.87</v>
      </c>
      <c r="H283" s="14" t="n">
        <v>904.87</v>
      </c>
      <c r="I283" s="14">
        <f>SUM(K283:T283)</f>
        <v/>
      </c>
      <c r="J283" s="14">
        <f>F283-(G283+H283+I283)</f>
        <v/>
      </c>
      <c r="K283" s="14" t="n">
        <v>542.92</v>
      </c>
      <c r="L283" s="14" t="n">
        <v>542.92</v>
      </c>
      <c r="M283" s="14" t="n">
        <v>542.92</v>
      </c>
      <c r="N283" s="14" t="n">
        <v>542.92</v>
      </c>
      <c r="O283" s="14" t="n">
        <v>542.92</v>
      </c>
      <c r="P283" s="14" t="n">
        <v>542.92</v>
      </c>
      <c r="Q283" s="14" t="n">
        <v>542.92</v>
      </c>
      <c r="R283" s="14" t="n">
        <v>542.92</v>
      </c>
      <c r="S283" s="14" t="n">
        <v>542.92</v>
      </c>
      <c r="T283" s="14" t="n">
        <v>542.92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CANON-202511-002127</t>
        </is>
      </c>
      <c r="B284" s="15" t="inlineStr">
        <is>
          <t>2025-11-23</t>
        </is>
      </c>
      <c r="C284" s="15" t="inlineStr">
        <is>
          <t>Ramona Pennington</t>
        </is>
      </c>
      <c r="D284" s="15" t="inlineStr">
        <is>
          <t>OH</t>
        </is>
      </c>
      <c r="E284" s="16" t="n">
        <v>765000</v>
      </c>
      <c r="F284" s="16" t="n">
        <v>11989.97</v>
      </c>
      <c r="G284" s="16" t="n">
        <v>1498.75</v>
      </c>
      <c r="H284" s="16" t="n">
        <v>1498.75</v>
      </c>
      <c r="I284" s="16">
        <f>SUM(K284:T284)</f>
        <v/>
      </c>
      <c r="J284" s="16">
        <f>F284-(G284+H284+I284)</f>
        <v/>
      </c>
      <c r="K284" s="16" t="n">
        <v>899.25</v>
      </c>
      <c r="L284" s="16" t="n">
        <v>899.25</v>
      </c>
      <c r="M284" s="16" t="n">
        <v>899.25</v>
      </c>
      <c r="N284" s="16" t="n">
        <v>899.25</v>
      </c>
      <c r="O284" s="16" t="n">
        <v>899.25</v>
      </c>
      <c r="P284" s="16" t="n">
        <v>899.25</v>
      </c>
      <c r="Q284" s="16" t="n">
        <v>899.25</v>
      </c>
      <c r="R284" s="16" t="n">
        <v>899.25</v>
      </c>
      <c r="S284" s="16" t="n">
        <v>899.25</v>
      </c>
      <c r="T284" s="16" t="n">
        <v>899.25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CANON-202511-002128</t>
        </is>
      </c>
      <c r="B285" s="3" t="inlineStr">
        <is>
          <t>2025-11-24</t>
        </is>
      </c>
      <c r="C285" s="3" t="inlineStr">
        <is>
          <t>Anouk Whitlock</t>
        </is>
      </c>
      <c r="D285" s="3" t="inlineStr">
        <is>
          <t>MD</t>
        </is>
      </c>
      <c r="E285" s="14" t="n">
        <v>535000</v>
      </c>
      <c r="F285" s="14" t="n">
        <v>5730.85</v>
      </c>
      <c r="G285" s="14" t="n">
        <v>716.36</v>
      </c>
      <c r="H285" s="14" t="n">
        <v>716.36</v>
      </c>
      <c r="I285" s="14">
        <f>SUM(K285:T285)</f>
        <v/>
      </c>
      <c r="J285" s="14">
        <f>F285-(G285+H285+I285)</f>
        <v/>
      </c>
      <c r="K285" s="14" t="n">
        <v>429.81</v>
      </c>
      <c r="L285" s="14" t="n">
        <v>429.81</v>
      </c>
      <c r="M285" s="14" t="n">
        <v>429.81</v>
      </c>
      <c r="N285" s="14" t="n">
        <v>429.81</v>
      </c>
      <c r="O285" s="14" t="n">
        <v>429.81</v>
      </c>
      <c r="P285" s="14" t="n">
        <v>429.81</v>
      </c>
      <c r="Q285" s="14" t="n">
        <v>429.81</v>
      </c>
      <c r="R285" s="14" t="n">
        <v>429.81</v>
      </c>
      <c r="S285" s="14" t="n">
        <v>429.81</v>
      </c>
      <c r="T285" s="14" t="n">
        <v>429.81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CANON-202511-002129</t>
        </is>
      </c>
      <c r="B286" s="15" t="inlineStr">
        <is>
          <t>2025-11-30</t>
        </is>
      </c>
      <c r="C286" s="15" t="inlineStr">
        <is>
          <t>Fenwick Underwood</t>
        </is>
      </c>
      <c r="D286" s="15" t="inlineStr">
        <is>
          <t>ND</t>
        </is>
      </c>
      <c r="E286" s="16" t="n">
        <v>1090000</v>
      </c>
      <c r="F286" s="16" t="n">
        <v>10607.62</v>
      </c>
      <c r="G286" s="16" t="n">
        <v>1325.95</v>
      </c>
      <c r="H286" s="16" t="n">
        <v>1325.95</v>
      </c>
      <c r="I286" s="16">
        <f>SUM(K286:T286)</f>
        <v/>
      </c>
      <c r="J286" s="16">
        <f>F286-(G286+H286+I286)</f>
        <v/>
      </c>
      <c r="K286" s="16" t="n">
        <v>795.5700000000001</v>
      </c>
      <c r="L286" s="16" t="n">
        <v>795.5700000000001</v>
      </c>
      <c r="M286" s="16" t="n">
        <v>795.5700000000001</v>
      </c>
      <c r="N286" s="16" t="n">
        <v>795.5700000000001</v>
      </c>
      <c r="O286" s="16" t="n">
        <v>795.5700000000001</v>
      </c>
      <c r="P286" s="16" t="n">
        <v>795.5700000000001</v>
      </c>
      <c r="Q286" s="16" t="n">
        <v>795.5700000000001</v>
      </c>
      <c r="R286" s="16" t="n">
        <v>795.5700000000001</v>
      </c>
      <c r="S286" s="16" t="n">
        <v>795.5700000000001</v>
      </c>
      <c r="T286" s="16" t="n">
        <v>795.5700000000001</v>
      </c>
      <c r="U286" s="16" t="n">
        <v>350</v>
      </c>
      <c r="V286" s="16" t="n">
        <v>250</v>
      </c>
      <c r="W286" s="16">
        <f>U286+V286</f>
        <v/>
      </c>
    </row>
    <row r="287">
      <c r="A287" s="3" t="inlineStr">
        <is>
          <t>CANON-202511-002130</t>
        </is>
      </c>
      <c r="B287" s="3" t="inlineStr">
        <is>
          <t>2025-11-11</t>
        </is>
      </c>
      <c r="C287" s="3" t="inlineStr">
        <is>
          <t>Ramona Larsson</t>
        </is>
      </c>
      <c r="D287" s="3" t="inlineStr">
        <is>
          <t>WI</t>
        </is>
      </c>
      <c r="E287" s="14" t="n">
        <v>590000</v>
      </c>
      <c r="F287" s="14" t="n">
        <v>7983.17</v>
      </c>
      <c r="G287" s="14" t="n">
        <v>997.9</v>
      </c>
      <c r="H287" s="14" t="n">
        <v>997.9</v>
      </c>
      <c r="I287" s="14">
        <f>SUM(K287:T287)</f>
        <v/>
      </c>
      <c r="J287" s="14">
        <f>F287-(G287+H287+I287)</f>
        <v/>
      </c>
      <c r="K287" s="14" t="n">
        <v>598.74</v>
      </c>
      <c r="L287" s="14" t="n">
        <v>598.74</v>
      </c>
      <c r="M287" s="14" t="n">
        <v>598.74</v>
      </c>
      <c r="N287" s="14" t="n">
        <v>598.74</v>
      </c>
      <c r="O287" s="14" t="n">
        <v>598.74</v>
      </c>
      <c r="P287" s="14" t="n">
        <v>598.74</v>
      </c>
      <c r="Q287" s="14" t="n">
        <v>598.74</v>
      </c>
      <c r="R287" s="14" t="n">
        <v>598.74</v>
      </c>
      <c r="S287" s="14" t="n">
        <v>598.74</v>
      </c>
      <c r="T287" s="14" t="n">
        <v>598.74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CANON-202511-002131</t>
        </is>
      </c>
      <c r="B288" s="15" t="inlineStr">
        <is>
          <t>2025-11-26</t>
        </is>
      </c>
      <c r="C288" s="15" t="inlineStr">
        <is>
          <t>Ramona Harrington</t>
        </is>
      </c>
      <c r="D288" s="15" t="inlineStr">
        <is>
          <t>CA</t>
        </is>
      </c>
      <c r="E288" s="16" t="n">
        <v>915000</v>
      </c>
      <c r="F288" s="16" t="n">
        <v>13928.26</v>
      </c>
      <c r="G288" s="16" t="n">
        <v>1741.03</v>
      </c>
      <c r="H288" s="16" t="n">
        <v>1741.03</v>
      </c>
      <c r="I288" s="16">
        <f>SUM(K288:T288)</f>
        <v/>
      </c>
      <c r="J288" s="16">
        <f>F288-(G288+H288+I288)</f>
        <v/>
      </c>
      <c r="K288" s="16" t="n">
        <v>1044.62</v>
      </c>
      <c r="L288" s="16" t="n">
        <v>1044.62</v>
      </c>
      <c r="M288" s="16" t="n">
        <v>1044.62</v>
      </c>
      <c r="N288" s="16" t="n">
        <v>1044.62</v>
      </c>
      <c r="O288" s="16" t="n">
        <v>1044.62</v>
      </c>
      <c r="P288" s="16" t="n">
        <v>1044.62</v>
      </c>
      <c r="Q288" s="16" t="n">
        <v>1044.62</v>
      </c>
      <c r="R288" s="16" t="n">
        <v>1044.62</v>
      </c>
      <c r="S288" s="16" t="n">
        <v>1044.62</v>
      </c>
      <c r="T288" s="16" t="n">
        <v>1044.62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CANON-202511-002135</t>
        </is>
      </c>
      <c r="B289" s="3" t="inlineStr">
        <is>
          <t>2025-11-21</t>
        </is>
      </c>
      <c r="C289" s="3" t="inlineStr">
        <is>
          <t>Fenwick Okonkwo</t>
        </is>
      </c>
      <c r="D289" s="3" t="inlineStr">
        <is>
          <t>MI</t>
        </is>
      </c>
      <c r="E289" s="14" t="n">
        <v>1040000</v>
      </c>
      <c r="F289" s="14" t="n">
        <v>10626.19</v>
      </c>
      <c r="G289" s="14" t="n">
        <v>1328.27</v>
      </c>
      <c r="H289" s="14" t="n">
        <v>1328.27</v>
      </c>
      <c r="I289" s="14">
        <f>SUM(K289:T289)</f>
        <v/>
      </c>
      <c r="J289" s="14">
        <f>F289-(G289+H289+I289)</f>
        <v/>
      </c>
      <c r="K289" s="14" t="n">
        <v>796.96</v>
      </c>
      <c r="L289" s="14" t="n">
        <v>796.96</v>
      </c>
      <c r="M289" s="14" t="n">
        <v>796.96</v>
      </c>
      <c r="N289" s="14" t="n">
        <v>796.96</v>
      </c>
      <c r="O289" s="14" t="n">
        <v>796.96</v>
      </c>
      <c r="P289" s="14" t="n">
        <v>796.96</v>
      </c>
      <c r="Q289" s="14" t="n">
        <v>796.96</v>
      </c>
      <c r="R289" s="14" t="n">
        <v>796.96</v>
      </c>
      <c r="S289" s="14" t="n">
        <v>796.96</v>
      </c>
      <c r="T289" s="14" t="n">
        <v>796.96</v>
      </c>
      <c r="U289" s="14" t="n">
        <v>350</v>
      </c>
      <c r="V289" s="14" t="n">
        <v>250</v>
      </c>
      <c r="W289" s="14">
        <f>U289+V289</f>
        <v/>
      </c>
    </row>
    <row r="290">
      <c r="A290" s="15" t="inlineStr">
        <is>
          <t>CANON-202511-002136</t>
        </is>
      </c>
      <c r="B290" s="15" t="inlineStr">
        <is>
          <t>2025-11-02</t>
        </is>
      </c>
      <c r="C290" s="15" t="inlineStr">
        <is>
          <t>Delphine Ashcombe</t>
        </is>
      </c>
      <c r="D290" s="15" t="inlineStr">
        <is>
          <t>ME</t>
        </is>
      </c>
      <c r="E290" s="16" t="n">
        <v>525000</v>
      </c>
      <c r="F290" s="16" t="n">
        <v>6393.3</v>
      </c>
      <c r="G290" s="16" t="n">
        <v>799.16</v>
      </c>
      <c r="H290" s="16" t="n">
        <v>799.16</v>
      </c>
      <c r="I290" s="16">
        <f>SUM(K290:T290)</f>
        <v/>
      </c>
      <c r="J290" s="16">
        <f>F290-(G290+H290+I290)</f>
        <v/>
      </c>
      <c r="K290" s="16" t="n">
        <v>479.5</v>
      </c>
      <c r="L290" s="16" t="n">
        <v>479.5</v>
      </c>
      <c r="M290" s="16" t="n">
        <v>479.5</v>
      </c>
      <c r="N290" s="16" t="n">
        <v>479.5</v>
      </c>
      <c r="O290" s="16" t="n">
        <v>479.5</v>
      </c>
      <c r="P290" s="16" t="n">
        <v>479.5</v>
      </c>
      <c r="Q290" s="16" t="n">
        <v>479.5</v>
      </c>
      <c r="R290" s="16" t="n">
        <v>479.5</v>
      </c>
      <c r="S290" s="16" t="n">
        <v>479.5</v>
      </c>
      <c r="T290" s="16" t="n">
        <v>479.5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CANON-202511-002137</t>
        </is>
      </c>
      <c r="B291" s="3" t="inlineStr">
        <is>
          <t>2025-11-08</t>
        </is>
      </c>
      <c r="C291" s="3" t="inlineStr">
        <is>
          <t>Leopold Farkas</t>
        </is>
      </c>
      <c r="D291" s="3" t="inlineStr">
        <is>
          <t>HI</t>
        </is>
      </c>
      <c r="E291" s="14" t="n">
        <v>670000</v>
      </c>
      <c r="F291" s="14" t="n">
        <v>11785.32</v>
      </c>
      <c r="G291" s="14" t="n">
        <v>1473.16</v>
      </c>
      <c r="H291" s="14" t="n">
        <v>1473.16</v>
      </c>
      <c r="I291" s="14">
        <f>SUM(K291:T291)</f>
        <v/>
      </c>
      <c r="J291" s="14">
        <f>F291-(G291+H291+I291)</f>
        <v/>
      </c>
      <c r="K291" s="14" t="n">
        <v>883.9</v>
      </c>
      <c r="L291" s="14" t="n">
        <v>883.9</v>
      </c>
      <c r="M291" s="14" t="n">
        <v>883.9</v>
      </c>
      <c r="N291" s="14" t="n">
        <v>883.9</v>
      </c>
      <c r="O291" s="14" t="n">
        <v>883.9</v>
      </c>
      <c r="P291" s="14" t="n">
        <v>883.9</v>
      </c>
      <c r="Q291" s="14" t="n">
        <v>883.9</v>
      </c>
      <c r="R291" s="14" t="n">
        <v>883.9</v>
      </c>
      <c r="S291" s="14" t="n">
        <v>883.9</v>
      </c>
      <c r="T291" s="14" t="n">
        <v>883.9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CANON-202511-002138</t>
        </is>
      </c>
      <c r="B292" s="15" t="inlineStr">
        <is>
          <t>2025-11-02</t>
        </is>
      </c>
      <c r="C292" s="15" t="inlineStr">
        <is>
          <t>Aurelio Delacroix</t>
        </is>
      </c>
      <c r="D292" s="15" t="inlineStr">
        <is>
          <t>NE</t>
        </is>
      </c>
      <c r="E292" s="16" t="n">
        <v>425000</v>
      </c>
      <c r="F292" s="16" t="n">
        <v>4600.47</v>
      </c>
      <c r="G292" s="16" t="n">
        <v>575.0599999999999</v>
      </c>
      <c r="H292" s="16" t="n">
        <v>575.0599999999999</v>
      </c>
      <c r="I292" s="16">
        <f>SUM(K292:T292)</f>
        <v/>
      </c>
      <c r="J292" s="16">
        <f>F292-(G292+H292+I292)</f>
        <v/>
      </c>
      <c r="K292" s="16" t="n">
        <v>345.04</v>
      </c>
      <c r="L292" s="16" t="n">
        <v>345.04</v>
      </c>
      <c r="M292" s="16" t="n">
        <v>345.04</v>
      </c>
      <c r="N292" s="16" t="n">
        <v>345.04</v>
      </c>
      <c r="O292" s="16" t="n">
        <v>345.04</v>
      </c>
      <c r="P292" s="16" t="n">
        <v>345.04</v>
      </c>
      <c r="Q292" s="16" t="n">
        <v>345.04</v>
      </c>
      <c r="R292" s="16" t="n">
        <v>345.04</v>
      </c>
      <c r="S292" s="16" t="n">
        <v>345.04</v>
      </c>
      <c r="T292" s="16" t="n">
        <v>345.04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CANON-202511-002141</t>
        </is>
      </c>
      <c r="B293" s="3" t="inlineStr">
        <is>
          <t>2025-11-10</t>
        </is>
      </c>
      <c r="C293" s="3" t="inlineStr">
        <is>
          <t>Thaddeus Okonkwo</t>
        </is>
      </c>
      <c r="D293" s="3" t="inlineStr">
        <is>
          <t>MA</t>
        </is>
      </c>
      <c r="E293" s="14" t="n">
        <v>300000</v>
      </c>
      <c r="F293" s="14" t="n">
        <v>4878.89</v>
      </c>
      <c r="G293" s="14" t="n">
        <v>609.86</v>
      </c>
      <c r="H293" s="14" t="n">
        <v>609.86</v>
      </c>
      <c r="I293" s="14">
        <f>SUM(K293:T293)</f>
        <v/>
      </c>
      <c r="J293" s="14">
        <f>F293-(G293+H293+I293)</f>
        <v/>
      </c>
      <c r="K293" s="14" t="n">
        <v>365.92</v>
      </c>
      <c r="L293" s="14" t="n">
        <v>365.92</v>
      </c>
      <c r="M293" s="14" t="n">
        <v>365.92</v>
      </c>
      <c r="N293" s="14" t="n">
        <v>365.92</v>
      </c>
      <c r="O293" s="14" t="n">
        <v>365.92</v>
      </c>
      <c r="P293" s="14" t="n">
        <v>365.92</v>
      </c>
      <c r="Q293" s="14" t="n">
        <v>365.92</v>
      </c>
      <c r="R293" s="14" t="n">
        <v>365.92</v>
      </c>
      <c r="S293" s="14" t="n">
        <v>365.92</v>
      </c>
      <c r="T293" s="14" t="n">
        <v>365.92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CANON-202511-002142</t>
        </is>
      </c>
      <c r="B294" s="15" t="inlineStr">
        <is>
          <t>2025-11-22</t>
        </is>
      </c>
      <c r="C294" s="15" t="inlineStr">
        <is>
          <t>Everett Delacroix</t>
        </is>
      </c>
      <c r="D294" s="15" t="inlineStr">
        <is>
          <t>MD</t>
        </is>
      </c>
      <c r="E294" s="16" t="n">
        <v>1380000</v>
      </c>
      <c r="F294" s="16" t="n">
        <v>18193.71</v>
      </c>
      <c r="G294" s="16" t="n">
        <v>2274.21</v>
      </c>
      <c r="H294" s="16" t="n">
        <v>2274.21</v>
      </c>
      <c r="I294" s="16">
        <f>SUM(K294:T294)</f>
        <v/>
      </c>
      <c r="J294" s="16">
        <f>F294-(G294+H294+I294)</f>
        <v/>
      </c>
      <c r="K294" s="16" t="n">
        <v>1364.53</v>
      </c>
      <c r="L294" s="16" t="n">
        <v>1364.53</v>
      </c>
      <c r="M294" s="16" t="n">
        <v>1364.53</v>
      </c>
      <c r="N294" s="16" t="n">
        <v>1364.53</v>
      </c>
      <c r="O294" s="16" t="n">
        <v>1364.53</v>
      </c>
      <c r="P294" s="16" t="n">
        <v>1364.53</v>
      </c>
      <c r="Q294" s="16" t="n">
        <v>1364.53</v>
      </c>
      <c r="R294" s="16" t="n">
        <v>1364.53</v>
      </c>
      <c r="S294" s="16" t="n">
        <v>1364.53</v>
      </c>
      <c r="T294" s="16" t="n">
        <v>1364.53</v>
      </c>
      <c r="U294" s="16" t="n">
        <v>350</v>
      </c>
      <c r="V294" s="16" t="n">
        <v>250</v>
      </c>
      <c r="W294" s="16">
        <f>U294+V294</f>
        <v/>
      </c>
    </row>
    <row r="295">
      <c r="A295" s="3" t="inlineStr">
        <is>
          <t>CANON-202511-002144</t>
        </is>
      </c>
      <c r="B295" s="3" t="inlineStr">
        <is>
          <t>2025-11-12</t>
        </is>
      </c>
      <c r="C295" s="3" t="inlineStr">
        <is>
          <t>Callum Chattopadhyay</t>
        </is>
      </c>
      <c r="D295" s="3" t="inlineStr">
        <is>
          <t>KS</t>
        </is>
      </c>
      <c r="E295" s="14" t="n">
        <v>1075000</v>
      </c>
      <c r="F295" s="14" t="n">
        <v>14471.01</v>
      </c>
      <c r="G295" s="14" t="n">
        <v>1808.88</v>
      </c>
      <c r="H295" s="14" t="n">
        <v>1808.88</v>
      </c>
      <c r="I295" s="14">
        <f>SUM(K295:T295)</f>
        <v/>
      </c>
      <c r="J295" s="14">
        <f>F295-(G295+H295+I295)</f>
        <v/>
      </c>
      <c r="K295" s="14" t="n">
        <v>1085.33</v>
      </c>
      <c r="L295" s="14" t="n">
        <v>1085.33</v>
      </c>
      <c r="M295" s="14" t="n">
        <v>1085.33</v>
      </c>
      <c r="N295" s="14" t="n">
        <v>1085.33</v>
      </c>
      <c r="O295" s="14" t="n">
        <v>1085.33</v>
      </c>
      <c r="P295" s="14" t="n">
        <v>1085.33</v>
      </c>
      <c r="Q295" s="14" t="n">
        <v>1085.33</v>
      </c>
      <c r="R295" s="14" t="n">
        <v>1085.33</v>
      </c>
      <c r="S295" s="14" t="n">
        <v>1085.33</v>
      </c>
      <c r="T295" s="14" t="n">
        <v>1085.33</v>
      </c>
      <c r="U295" s="14" t="n">
        <v>350</v>
      </c>
      <c r="V295" s="14" t="n">
        <v>250</v>
      </c>
      <c r="W295" s="14">
        <f>U295+V295</f>
        <v/>
      </c>
    </row>
    <row r="296">
      <c r="A296" s="15" t="inlineStr">
        <is>
          <t>CANON-202511-002145</t>
        </is>
      </c>
      <c r="B296" s="15" t="inlineStr">
        <is>
          <t>2025-11-04</t>
        </is>
      </c>
      <c r="C296" s="15" t="inlineStr">
        <is>
          <t>Anouk Larsson</t>
        </is>
      </c>
      <c r="D296" s="15" t="inlineStr">
        <is>
          <t>WI</t>
        </is>
      </c>
      <c r="E296" s="16" t="n">
        <v>885000</v>
      </c>
      <c r="F296" s="16" t="n">
        <v>11974.75</v>
      </c>
      <c r="G296" s="16" t="n">
        <v>1496.84</v>
      </c>
      <c r="H296" s="16" t="n">
        <v>1496.84</v>
      </c>
      <c r="I296" s="16">
        <f>SUM(K296:T296)</f>
        <v/>
      </c>
      <c r="J296" s="16">
        <f>F296-(G296+H296+I296)</f>
        <v/>
      </c>
      <c r="K296" s="16" t="n">
        <v>898.11</v>
      </c>
      <c r="L296" s="16" t="n">
        <v>898.11</v>
      </c>
      <c r="M296" s="16" t="n">
        <v>898.11</v>
      </c>
      <c r="N296" s="16" t="n">
        <v>898.11</v>
      </c>
      <c r="O296" s="16" t="n">
        <v>898.11</v>
      </c>
      <c r="P296" s="16" t="n">
        <v>898.11</v>
      </c>
      <c r="Q296" s="16" t="n">
        <v>898.11</v>
      </c>
      <c r="R296" s="16" t="n">
        <v>898.11</v>
      </c>
      <c r="S296" s="16" t="n">
        <v>898.11</v>
      </c>
      <c r="T296" s="16" t="n">
        <v>898.11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CANON-202511-002147</t>
        </is>
      </c>
      <c r="B297" s="3" t="inlineStr">
        <is>
          <t>2025-11-28</t>
        </is>
      </c>
      <c r="C297" s="3" t="inlineStr">
        <is>
          <t>Ramona Rourke</t>
        </is>
      </c>
      <c r="D297" s="3" t="inlineStr">
        <is>
          <t>WI</t>
        </is>
      </c>
      <c r="E297" s="14" t="n">
        <v>340000</v>
      </c>
      <c r="F297" s="14" t="n">
        <v>5308.23</v>
      </c>
      <c r="G297" s="14" t="n">
        <v>663.53</v>
      </c>
      <c r="H297" s="14" t="n">
        <v>663.53</v>
      </c>
      <c r="I297" s="14">
        <f>SUM(K297:T297)</f>
        <v/>
      </c>
      <c r="J297" s="14">
        <f>F297-(G297+H297+I297)</f>
        <v/>
      </c>
      <c r="K297" s="14" t="n">
        <v>398.12</v>
      </c>
      <c r="L297" s="14" t="n">
        <v>398.12</v>
      </c>
      <c r="M297" s="14" t="n">
        <v>398.12</v>
      </c>
      <c r="N297" s="14" t="n">
        <v>398.12</v>
      </c>
      <c r="O297" s="14" t="n">
        <v>398.12</v>
      </c>
      <c r="P297" s="14" t="n">
        <v>398.12</v>
      </c>
      <c r="Q297" s="14" t="n">
        <v>398.12</v>
      </c>
      <c r="R297" s="14" t="n">
        <v>398.12</v>
      </c>
      <c r="S297" s="14" t="n">
        <v>398.12</v>
      </c>
      <c r="T297" s="14" t="n">
        <v>398.12</v>
      </c>
      <c r="U297" s="14" t="n">
        <v>350</v>
      </c>
      <c r="V297" s="14" t="n">
        <v>0</v>
      </c>
      <c r="W297" s="14">
        <f>U297+V297</f>
        <v/>
      </c>
    </row>
    <row r="298">
      <c r="A298" s="15" t="inlineStr">
        <is>
          <t>CANON-202511-002148</t>
        </is>
      </c>
      <c r="B298" s="15" t="inlineStr">
        <is>
          <t>2025-11-14</t>
        </is>
      </c>
      <c r="C298" s="15" t="inlineStr">
        <is>
          <t>Emiliano Rourke</t>
        </is>
      </c>
      <c r="D298" s="15" t="inlineStr">
        <is>
          <t>CA</t>
        </is>
      </c>
      <c r="E298" s="16" t="n">
        <v>680000</v>
      </c>
      <c r="F298" s="16" t="n">
        <v>15128.47</v>
      </c>
      <c r="G298" s="16" t="n">
        <v>1891.06</v>
      </c>
      <c r="H298" s="16" t="n">
        <v>1891.06</v>
      </c>
      <c r="I298" s="16">
        <f>SUM(K298:T298)</f>
        <v/>
      </c>
      <c r="J298" s="16">
        <f>F298-(G298+H298+I298)</f>
        <v/>
      </c>
      <c r="K298" s="16" t="n">
        <v>1134.64</v>
      </c>
      <c r="L298" s="16" t="n">
        <v>1134.64</v>
      </c>
      <c r="M298" s="16" t="n">
        <v>1134.64</v>
      </c>
      <c r="N298" s="16" t="n">
        <v>1134.64</v>
      </c>
      <c r="O298" s="16" t="n">
        <v>1134.64</v>
      </c>
      <c r="P298" s="16" t="n">
        <v>1134.64</v>
      </c>
      <c r="Q298" s="16" t="n">
        <v>1134.64</v>
      </c>
      <c r="R298" s="16" t="n">
        <v>1134.64</v>
      </c>
      <c r="S298" s="16" t="n">
        <v>1134.64</v>
      </c>
      <c r="T298" s="16" t="n">
        <v>1134.64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CANON-202511-002150</t>
        </is>
      </c>
      <c r="B299" s="3" t="inlineStr">
        <is>
          <t>2025-11-09</t>
        </is>
      </c>
      <c r="C299" s="3" t="inlineStr">
        <is>
          <t>Beatrix Delacroix</t>
        </is>
      </c>
      <c r="D299" s="3" t="inlineStr">
        <is>
          <t>NC</t>
        </is>
      </c>
      <c r="E299" s="14" t="n">
        <v>1040000</v>
      </c>
      <c r="F299" s="14" t="n">
        <v>16597.77</v>
      </c>
      <c r="G299" s="14" t="n">
        <v>2074.72</v>
      </c>
      <c r="H299" s="14" t="n">
        <v>2074.72</v>
      </c>
      <c r="I299" s="14">
        <f>SUM(K299:T299)</f>
        <v/>
      </c>
      <c r="J299" s="14">
        <f>F299-(G299+H299+I299)</f>
        <v/>
      </c>
      <c r="K299" s="14" t="n">
        <v>1244.83</v>
      </c>
      <c r="L299" s="14" t="n">
        <v>1244.83</v>
      </c>
      <c r="M299" s="14" t="n">
        <v>1244.83</v>
      </c>
      <c r="N299" s="14" t="n">
        <v>1244.83</v>
      </c>
      <c r="O299" s="14" t="n">
        <v>1244.83</v>
      </c>
      <c r="P299" s="14" t="n">
        <v>1244.83</v>
      </c>
      <c r="Q299" s="14" t="n">
        <v>1244.83</v>
      </c>
      <c r="R299" s="14" t="n">
        <v>1244.83</v>
      </c>
      <c r="S299" s="14" t="n">
        <v>1244.83</v>
      </c>
      <c r="T299" s="14" t="n">
        <v>1244.83</v>
      </c>
      <c r="U299" s="14" t="n">
        <v>350</v>
      </c>
      <c r="V299" s="14" t="n">
        <v>250</v>
      </c>
      <c r="W299" s="14">
        <f>U299+V299</f>
        <v/>
      </c>
    </row>
    <row r="300">
      <c r="A300" s="15" t="inlineStr">
        <is>
          <t>CANON-202511-002151</t>
        </is>
      </c>
      <c r="B300" s="15" t="inlineStr">
        <is>
          <t>2025-11-03</t>
        </is>
      </c>
      <c r="C300" s="15" t="inlineStr">
        <is>
          <t>Delphine Thistlewood</t>
        </is>
      </c>
      <c r="D300" s="15" t="inlineStr">
        <is>
          <t>AR</t>
        </is>
      </c>
      <c r="E300" s="16" t="n">
        <v>1785000</v>
      </c>
      <c r="F300" s="16" t="n">
        <v>23502.21</v>
      </c>
      <c r="G300" s="16" t="n">
        <v>2937.78</v>
      </c>
      <c r="H300" s="16" t="n">
        <v>2937.78</v>
      </c>
      <c r="I300" s="16">
        <f>SUM(K300:T300)</f>
        <v/>
      </c>
      <c r="J300" s="16">
        <f>F300-(G300+H300+I300)</f>
        <v/>
      </c>
      <c r="K300" s="16" t="n">
        <v>1762.67</v>
      </c>
      <c r="L300" s="16" t="n">
        <v>1762.67</v>
      </c>
      <c r="M300" s="16" t="n">
        <v>1762.67</v>
      </c>
      <c r="N300" s="16" t="n">
        <v>1762.67</v>
      </c>
      <c r="O300" s="16" t="n">
        <v>1762.67</v>
      </c>
      <c r="P300" s="16" t="n">
        <v>1762.67</v>
      </c>
      <c r="Q300" s="16" t="n">
        <v>1762.67</v>
      </c>
      <c r="R300" s="16" t="n">
        <v>1762.67</v>
      </c>
      <c r="S300" s="16" t="n">
        <v>1762.67</v>
      </c>
      <c r="T300" s="16" t="n">
        <v>1762.67</v>
      </c>
      <c r="U300" s="16" t="n">
        <v>350</v>
      </c>
      <c r="V300" s="16" t="n">
        <v>250</v>
      </c>
      <c r="W300" s="16">
        <f>U300+V300</f>
        <v/>
      </c>
    </row>
    <row r="301">
      <c r="A301" s="3" t="inlineStr">
        <is>
          <t>CANON-202511-002152</t>
        </is>
      </c>
      <c r="B301" s="3" t="inlineStr">
        <is>
          <t>2025-11-28</t>
        </is>
      </c>
      <c r="C301" s="3" t="inlineStr">
        <is>
          <t>Callum Underwood</t>
        </is>
      </c>
      <c r="D301" s="3" t="inlineStr">
        <is>
          <t>IN</t>
        </is>
      </c>
      <c r="E301" s="14" t="n">
        <v>1855000</v>
      </c>
      <c r="F301" s="14" t="n">
        <v>31664.14</v>
      </c>
      <c r="G301" s="14" t="n">
        <v>3958.02</v>
      </c>
      <c r="H301" s="14" t="n">
        <v>3958.02</v>
      </c>
      <c r="I301" s="14">
        <f>SUM(K301:T301)</f>
        <v/>
      </c>
      <c r="J301" s="14">
        <f>F301-(G301+H301+I301)</f>
        <v/>
      </c>
      <c r="K301" s="14" t="n">
        <v>2374.81</v>
      </c>
      <c r="L301" s="14" t="n">
        <v>2374.81</v>
      </c>
      <c r="M301" s="14" t="n">
        <v>2374.81</v>
      </c>
      <c r="N301" s="14" t="n">
        <v>2374.81</v>
      </c>
      <c r="O301" s="14" t="n">
        <v>2374.81</v>
      </c>
      <c r="P301" s="14" t="n">
        <v>2374.81</v>
      </c>
      <c r="Q301" s="14" t="n">
        <v>2374.81</v>
      </c>
      <c r="R301" s="14" t="n">
        <v>2374.81</v>
      </c>
      <c r="S301" s="14" t="n">
        <v>2374.81</v>
      </c>
      <c r="T301" s="14" t="n">
        <v>2374.81</v>
      </c>
      <c r="U301" s="14" t="n">
        <v>350</v>
      </c>
      <c r="V301" s="14" t="n">
        <v>250</v>
      </c>
      <c r="W301" s="14">
        <f>U301+V301</f>
        <v/>
      </c>
    </row>
    <row r="302">
      <c r="A302" s="15" t="inlineStr">
        <is>
          <t>CANON-202511-002153</t>
        </is>
      </c>
      <c r="B302" s="15" t="inlineStr">
        <is>
          <t>2025-11-24</t>
        </is>
      </c>
      <c r="C302" s="15" t="inlineStr">
        <is>
          <t>Desmond Ashcombe</t>
        </is>
      </c>
      <c r="D302" s="15" t="inlineStr">
        <is>
          <t>VT</t>
        </is>
      </c>
      <c r="E302" s="16" t="n">
        <v>1655000</v>
      </c>
      <c r="F302" s="16" t="n">
        <v>28020.54</v>
      </c>
      <c r="G302" s="16" t="n">
        <v>3502.57</v>
      </c>
      <c r="H302" s="16" t="n">
        <v>3502.57</v>
      </c>
      <c r="I302" s="16">
        <f>SUM(K302:T302)</f>
        <v/>
      </c>
      <c r="J302" s="16">
        <f>F302-(G302+H302+I302)</f>
        <v/>
      </c>
      <c r="K302" s="16" t="n">
        <v>2101.54</v>
      </c>
      <c r="L302" s="16" t="n">
        <v>2101.54</v>
      </c>
      <c r="M302" s="16" t="n">
        <v>2101.54</v>
      </c>
      <c r="N302" s="16" t="n">
        <v>2101.54</v>
      </c>
      <c r="O302" s="16" t="n">
        <v>2101.54</v>
      </c>
      <c r="P302" s="16" t="n">
        <v>2101.54</v>
      </c>
      <c r="Q302" s="16" t="n">
        <v>2101.54</v>
      </c>
      <c r="R302" s="16" t="n">
        <v>2101.54</v>
      </c>
      <c r="S302" s="16" t="n">
        <v>2101.54</v>
      </c>
      <c r="T302" s="16" t="n">
        <v>2101.54</v>
      </c>
      <c r="U302" s="16" t="n">
        <v>350</v>
      </c>
      <c r="V302" s="16" t="n">
        <v>250</v>
      </c>
      <c r="W302" s="16">
        <f>U302+V302</f>
        <v/>
      </c>
    </row>
    <row r="303">
      <c r="A303" s="3" t="inlineStr">
        <is>
          <t>CANON-202511-002154</t>
        </is>
      </c>
      <c r="B303" s="3" t="inlineStr">
        <is>
          <t>2025-11-22</t>
        </is>
      </c>
      <c r="C303" s="3" t="inlineStr">
        <is>
          <t>Saoirse Vandermeer</t>
        </is>
      </c>
      <c r="D303" s="3" t="inlineStr">
        <is>
          <t>CA</t>
        </is>
      </c>
      <c r="E303" s="14" t="n">
        <v>1185000</v>
      </c>
      <c r="F303" s="14" t="n">
        <v>15263.12</v>
      </c>
      <c r="G303" s="14" t="n">
        <v>1907.89</v>
      </c>
      <c r="H303" s="14" t="n">
        <v>1907.89</v>
      </c>
      <c r="I303" s="14">
        <f>SUM(K303:T303)</f>
        <v/>
      </c>
      <c r="J303" s="14">
        <f>F303-(G303+H303+I303)</f>
        <v/>
      </c>
      <c r="K303" s="14" t="n">
        <v>1144.73</v>
      </c>
      <c r="L303" s="14" t="n">
        <v>1144.73</v>
      </c>
      <c r="M303" s="14" t="n">
        <v>1144.73</v>
      </c>
      <c r="N303" s="14" t="n">
        <v>1144.73</v>
      </c>
      <c r="O303" s="14" t="n">
        <v>1144.73</v>
      </c>
      <c r="P303" s="14" t="n">
        <v>1144.73</v>
      </c>
      <c r="Q303" s="14" t="n">
        <v>1144.73</v>
      </c>
      <c r="R303" s="14" t="n">
        <v>1144.73</v>
      </c>
      <c r="S303" s="14" t="n">
        <v>1144.73</v>
      </c>
      <c r="T303" s="14" t="n">
        <v>1144.73</v>
      </c>
      <c r="U303" s="14" t="n">
        <v>350</v>
      </c>
      <c r="V303" s="14" t="n">
        <v>250</v>
      </c>
      <c r="W303" s="14">
        <f>U303+V303</f>
        <v/>
      </c>
    </row>
    <row r="304">
      <c r="A304" s="15" t="inlineStr">
        <is>
          <t>CANON-202511-002155</t>
        </is>
      </c>
      <c r="B304" s="15" t="inlineStr">
        <is>
          <t>2025-11-12</t>
        </is>
      </c>
      <c r="C304" s="15" t="inlineStr">
        <is>
          <t>Sunniva Whitlock</t>
        </is>
      </c>
      <c r="D304" s="15" t="inlineStr">
        <is>
          <t>KY</t>
        </is>
      </c>
      <c r="E304" s="16" t="n">
        <v>405000</v>
      </c>
      <c r="F304" s="16" t="n">
        <v>7060.73</v>
      </c>
      <c r="G304" s="16" t="n">
        <v>882.59</v>
      </c>
      <c r="H304" s="16" t="n">
        <v>882.59</v>
      </c>
      <c r="I304" s="16">
        <f>SUM(K304:T304)</f>
        <v/>
      </c>
      <c r="J304" s="16">
        <f>F304-(G304+H304+I304)</f>
        <v/>
      </c>
      <c r="K304" s="16" t="n">
        <v>529.55</v>
      </c>
      <c r="L304" s="16" t="n">
        <v>529.55</v>
      </c>
      <c r="M304" s="16" t="n">
        <v>529.55</v>
      </c>
      <c r="N304" s="16" t="n">
        <v>529.55</v>
      </c>
      <c r="O304" s="16" t="n">
        <v>529.55</v>
      </c>
      <c r="P304" s="16" t="n">
        <v>529.55</v>
      </c>
      <c r="Q304" s="16" t="n">
        <v>529.55</v>
      </c>
      <c r="R304" s="16" t="n">
        <v>529.55</v>
      </c>
      <c r="S304" s="16" t="n">
        <v>529.55</v>
      </c>
      <c r="T304" s="16" t="n">
        <v>529.55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CANON-202511-002156</t>
        </is>
      </c>
      <c r="B305" s="3" t="inlineStr">
        <is>
          <t>2025-11-02</t>
        </is>
      </c>
      <c r="C305" s="3" t="inlineStr">
        <is>
          <t>Aurelio Ashcombe</t>
        </is>
      </c>
      <c r="D305" s="3" t="inlineStr">
        <is>
          <t>TX</t>
        </is>
      </c>
      <c r="E305" s="14" t="n">
        <v>1070000</v>
      </c>
      <c r="F305" s="14" t="n">
        <v>11740.13</v>
      </c>
      <c r="G305" s="14" t="n">
        <v>1467.52</v>
      </c>
      <c r="H305" s="14" t="n">
        <v>1467.52</v>
      </c>
      <c r="I305" s="14">
        <f>SUM(K305:T305)</f>
        <v/>
      </c>
      <c r="J305" s="14">
        <f>F305-(G305+H305+I305)</f>
        <v/>
      </c>
      <c r="K305" s="14" t="n">
        <v>880.51</v>
      </c>
      <c r="L305" s="14" t="n">
        <v>880.51</v>
      </c>
      <c r="M305" s="14" t="n">
        <v>880.51</v>
      </c>
      <c r="N305" s="14" t="n">
        <v>880.51</v>
      </c>
      <c r="O305" s="14" t="n">
        <v>880.51</v>
      </c>
      <c r="P305" s="14" t="n">
        <v>880.51</v>
      </c>
      <c r="Q305" s="14" t="n">
        <v>880.51</v>
      </c>
      <c r="R305" s="14" t="n">
        <v>880.51</v>
      </c>
      <c r="S305" s="14" t="n">
        <v>880.51</v>
      </c>
      <c r="T305" s="14" t="n">
        <v>880.51</v>
      </c>
      <c r="U305" s="14" t="n">
        <v>350</v>
      </c>
      <c r="V305" s="14" t="n">
        <v>250</v>
      </c>
      <c r="W305" s="14">
        <f>U305+V305</f>
        <v/>
      </c>
    </row>
    <row r="306">
      <c r="A306" s="15" t="inlineStr">
        <is>
          <t>CANON-202511-002157</t>
        </is>
      </c>
      <c r="B306" s="15" t="inlineStr">
        <is>
          <t>2025-11-25</t>
        </is>
      </c>
      <c r="C306" s="15" t="inlineStr">
        <is>
          <t>Aurelio Farkas</t>
        </is>
      </c>
      <c r="D306" s="15" t="inlineStr">
        <is>
          <t>IA</t>
        </is>
      </c>
      <c r="E306" s="16" t="n">
        <v>560000</v>
      </c>
      <c r="F306" s="16" t="n">
        <v>4060.62</v>
      </c>
      <c r="G306" s="16" t="n">
        <v>507.58</v>
      </c>
      <c r="H306" s="16" t="n">
        <v>507.58</v>
      </c>
      <c r="I306" s="16">
        <f>SUM(K306:T306)</f>
        <v/>
      </c>
      <c r="J306" s="16">
        <f>F306-(G306+H306+I306)</f>
        <v/>
      </c>
      <c r="K306" s="16" t="n">
        <v>304.55</v>
      </c>
      <c r="L306" s="16" t="n">
        <v>304.55</v>
      </c>
      <c r="M306" s="16" t="n">
        <v>304.55</v>
      </c>
      <c r="N306" s="16" t="n">
        <v>304.55</v>
      </c>
      <c r="O306" s="16" t="n">
        <v>304.55</v>
      </c>
      <c r="P306" s="16" t="n">
        <v>304.55</v>
      </c>
      <c r="Q306" s="16" t="n">
        <v>304.55</v>
      </c>
      <c r="R306" s="16" t="n">
        <v>304.55</v>
      </c>
      <c r="S306" s="16" t="n">
        <v>304.55</v>
      </c>
      <c r="T306" s="16" t="n">
        <v>304.55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CANON-202511-002158</t>
        </is>
      </c>
      <c r="B307" s="3" t="inlineStr">
        <is>
          <t>2025-11-11</t>
        </is>
      </c>
      <c r="C307" s="3" t="inlineStr">
        <is>
          <t>Marisol Montoya</t>
        </is>
      </c>
      <c r="D307" s="3" t="inlineStr">
        <is>
          <t>TX</t>
        </is>
      </c>
      <c r="E307" s="14" t="n">
        <v>715000</v>
      </c>
      <c r="F307" s="14" t="n">
        <v>9271.41</v>
      </c>
      <c r="G307" s="14" t="n">
        <v>1158.93</v>
      </c>
      <c r="H307" s="14" t="n">
        <v>1158.93</v>
      </c>
      <c r="I307" s="14">
        <f>SUM(K307:T307)</f>
        <v/>
      </c>
      <c r="J307" s="14">
        <f>F307-(G307+H307+I307)</f>
        <v/>
      </c>
      <c r="K307" s="14" t="n">
        <v>695.36</v>
      </c>
      <c r="L307" s="14" t="n">
        <v>695.36</v>
      </c>
      <c r="M307" s="14" t="n">
        <v>695.36</v>
      </c>
      <c r="N307" s="14" t="n">
        <v>695.36</v>
      </c>
      <c r="O307" s="14" t="n">
        <v>695.36</v>
      </c>
      <c r="P307" s="14" t="n">
        <v>695.36</v>
      </c>
      <c r="Q307" s="14" t="n">
        <v>695.36</v>
      </c>
      <c r="R307" s="14" t="n">
        <v>695.36</v>
      </c>
      <c r="S307" s="14" t="n">
        <v>695.36</v>
      </c>
      <c r="T307" s="14" t="n">
        <v>695.36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CANON-202511-002159</t>
        </is>
      </c>
      <c r="B308" s="15" t="inlineStr">
        <is>
          <t>2025-11-15</t>
        </is>
      </c>
      <c r="C308" s="15" t="inlineStr">
        <is>
          <t>Marisol Bellandi</t>
        </is>
      </c>
      <c r="D308" s="15" t="inlineStr">
        <is>
          <t>MT</t>
        </is>
      </c>
      <c r="E308" s="16" t="n">
        <v>895000</v>
      </c>
      <c r="F308" s="16" t="n">
        <v>6208.74</v>
      </c>
      <c r="G308" s="16" t="n">
        <v>776.09</v>
      </c>
      <c r="H308" s="16" t="n">
        <v>776.09</v>
      </c>
      <c r="I308" s="16">
        <f>SUM(K308:T308)</f>
        <v/>
      </c>
      <c r="J308" s="16">
        <f>F308-(G308+H308+I308)</f>
        <v/>
      </c>
      <c r="K308" s="16" t="n">
        <v>465.66</v>
      </c>
      <c r="L308" s="16" t="n">
        <v>465.66</v>
      </c>
      <c r="M308" s="16" t="n">
        <v>465.66</v>
      </c>
      <c r="N308" s="16" t="n">
        <v>465.66</v>
      </c>
      <c r="O308" s="16" t="n">
        <v>465.66</v>
      </c>
      <c r="P308" s="16" t="n">
        <v>465.66</v>
      </c>
      <c r="Q308" s="16" t="n">
        <v>465.66</v>
      </c>
      <c r="R308" s="16" t="n">
        <v>465.66</v>
      </c>
      <c r="S308" s="16" t="n">
        <v>465.66</v>
      </c>
      <c r="T308" s="16" t="n">
        <v>465.66</v>
      </c>
      <c r="U308" s="16" t="n">
        <v>350</v>
      </c>
      <c r="V308" s="16" t="n">
        <v>0</v>
      </c>
      <c r="W308" s="16">
        <f>U308+V308</f>
        <v/>
      </c>
    </row>
    <row r="309">
      <c r="A309" s="3" t="inlineStr">
        <is>
          <t>CANON-202511-002162</t>
        </is>
      </c>
      <c r="B309" s="3" t="inlineStr">
        <is>
          <t>2025-11-21</t>
        </is>
      </c>
      <c r="C309" s="3" t="inlineStr">
        <is>
          <t>Ottilie Ashcombe</t>
        </is>
      </c>
      <c r="D309" s="3" t="inlineStr">
        <is>
          <t>FL</t>
        </is>
      </c>
      <c r="E309" s="14" t="n">
        <v>690000</v>
      </c>
      <c r="F309" s="14" t="n">
        <v>11047.9</v>
      </c>
      <c r="G309" s="14" t="n">
        <v>1380.99</v>
      </c>
      <c r="H309" s="14" t="n">
        <v>1380.99</v>
      </c>
      <c r="I309" s="14">
        <f>SUM(K309:T309)</f>
        <v/>
      </c>
      <c r="J309" s="14">
        <f>F309-(G309+H309+I309)</f>
        <v/>
      </c>
      <c r="K309" s="14" t="n">
        <v>828.59</v>
      </c>
      <c r="L309" s="14" t="n">
        <v>828.59</v>
      </c>
      <c r="M309" s="14" t="n">
        <v>828.59</v>
      </c>
      <c r="N309" s="14" t="n">
        <v>828.59</v>
      </c>
      <c r="O309" s="14" t="n">
        <v>828.59</v>
      </c>
      <c r="P309" s="14" t="n">
        <v>828.59</v>
      </c>
      <c r="Q309" s="14" t="n">
        <v>828.59</v>
      </c>
      <c r="R309" s="14" t="n">
        <v>828.59</v>
      </c>
      <c r="S309" s="14" t="n">
        <v>828.59</v>
      </c>
      <c r="T309" s="14" t="n">
        <v>828.59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CANON-202511-002164</t>
        </is>
      </c>
      <c r="B310" s="15" t="inlineStr">
        <is>
          <t>2025-11-01</t>
        </is>
      </c>
      <c r="C310" s="15" t="inlineStr">
        <is>
          <t>Ingrid Nakashima</t>
        </is>
      </c>
      <c r="D310" s="15" t="inlineStr">
        <is>
          <t>OH</t>
        </is>
      </c>
      <c r="E310" s="16" t="n">
        <v>285000</v>
      </c>
      <c r="F310" s="16" t="n">
        <v>5154.06</v>
      </c>
      <c r="G310" s="16" t="n">
        <v>644.26</v>
      </c>
      <c r="H310" s="16" t="n">
        <v>644.26</v>
      </c>
      <c r="I310" s="16">
        <f>SUM(K310:T310)</f>
        <v/>
      </c>
      <c r="J310" s="16">
        <f>F310-(G310+H310+I310)</f>
        <v/>
      </c>
      <c r="K310" s="16" t="n">
        <v>386.55</v>
      </c>
      <c r="L310" s="16" t="n">
        <v>386.55</v>
      </c>
      <c r="M310" s="16" t="n">
        <v>386.55</v>
      </c>
      <c r="N310" s="16" t="n">
        <v>386.55</v>
      </c>
      <c r="O310" s="16" t="n">
        <v>386.55</v>
      </c>
      <c r="P310" s="16" t="n">
        <v>386.55</v>
      </c>
      <c r="Q310" s="16" t="n">
        <v>386.55</v>
      </c>
      <c r="R310" s="16" t="n">
        <v>386.55</v>
      </c>
      <c r="S310" s="16" t="n">
        <v>386.55</v>
      </c>
      <c r="T310" s="16" t="n">
        <v>386.55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CANON-202511-002165</t>
        </is>
      </c>
      <c r="B311" s="3" t="inlineStr">
        <is>
          <t>2025-11-16</t>
        </is>
      </c>
      <c r="C311" s="3" t="inlineStr">
        <is>
          <t>Horace Delacroix</t>
        </is>
      </c>
      <c r="D311" s="3" t="inlineStr">
        <is>
          <t>WV</t>
        </is>
      </c>
      <c r="E311" s="14" t="n">
        <v>385000</v>
      </c>
      <c r="F311" s="14" t="n">
        <v>6661.96</v>
      </c>
      <c r="G311" s="14" t="n">
        <v>832.75</v>
      </c>
      <c r="H311" s="14" t="n">
        <v>832.75</v>
      </c>
      <c r="I311" s="14">
        <f>SUM(K311:T311)</f>
        <v/>
      </c>
      <c r="J311" s="14">
        <f>F311-(G311+H311+I311)</f>
        <v/>
      </c>
      <c r="K311" s="14" t="n">
        <v>499.65</v>
      </c>
      <c r="L311" s="14" t="n">
        <v>499.65</v>
      </c>
      <c r="M311" s="14" t="n">
        <v>499.65</v>
      </c>
      <c r="N311" s="14" t="n">
        <v>499.65</v>
      </c>
      <c r="O311" s="14" t="n">
        <v>499.65</v>
      </c>
      <c r="P311" s="14" t="n">
        <v>499.65</v>
      </c>
      <c r="Q311" s="14" t="n">
        <v>499.65</v>
      </c>
      <c r="R311" s="14" t="n">
        <v>499.65</v>
      </c>
      <c r="S311" s="14" t="n">
        <v>499.65</v>
      </c>
      <c r="T311" s="14" t="n">
        <v>499.65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CANON-202511-002167</t>
        </is>
      </c>
      <c r="B312" s="15" t="inlineStr">
        <is>
          <t>2025-11-12</t>
        </is>
      </c>
      <c r="C312" s="15" t="inlineStr">
        <is>
          <t>Leopold Delacroix</t>
        </is>
      </c>
      <c r="D312" s="15" t="inlineStr">
        <is>
          <t>MN</t>
        </is>
      </c>
      <c r="E312" s="16" t="n">
        <v>760000</v>
      </c>
      <c r="F312" s="16" t="n">
        <v>7483.15</v>
      </c>
      <c r="G312" s="16" t="n">
        <v>935.39</v>
      </c>
      <c r="H312" s="16" t="n">
        <v>935.39</v>
      </c>
      <c r="I312" s="16">
        <f>SUM(K312:T312)</f>
        <v/>
      </c>
      <c r="J312" s="16">
        <f>F312-(G312+H312+I312)</f>
        <v/>
      </c>
      <c r="K312" s="16" t="n">
        <v>561.24</v>
      </c>
      <c r="L312" s="16" t="n">
        <v>561.24</v>
      </c>
      <c r="M312" s="16" t="n">
        <v>561.24</v>
      </c>
      <c r="N312" s="16" t="n">
        <v>561.24</v>
      </c>
      <c r="O312" s="16" t="n">
        <v>561.24</v>
      </c>
      <c r="P312" s="16" t="n">
        <v>561.24</v>
      </c>
      <c r="Q312" s="16" t="n">
        <v>561.24</v>
      </c>
      <c r="R312" s="16" t="n">
        <v>561.24</v>
      </c>
      <c r="S312" s="16" t="n">
        <v>561.24</v>
      </c>
      <c r="T312" s="16" t="n">
        <v>561.24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CANON-202511-002169</t>
        </is>
      </c>
      <c r="B313" s="3" t="inlineStr">
        <is>
          <t>2025-11-17</t>
        </is>
      </c>
      <c r="C313" s="3" t="inlineStr">
        <is>
          <t>Lorenzo Rourke</t>
        </is>
      </c>
      <c r="D313" s="3" t="inlineStr">
        <is>
          <t>NC</t>
        </is>
      </c>
      <c r="E313" s="14" t="n">
        <v>705000</v>
      </c>
      <c r="F313" s="14" t="n">
        <v>9141.74</v>
      </c>
      <c r="G313" s="14" t="n">
        <v>1142.72</v>
      </c>
      <c r="H313" s="14" t="n">
        <v>1142.72</v>
      </c>
      <c r="I313" s="14">
        <f>SUM(K313:T313)</f>
        <v/>
      </c>
      <c r="J313" s="14">
        <f>F313-(G313+H313+I313)</f>
        <v/>
      </c>
      <c r="K313" s="14" t="n">
        <v>685.63</v>
      </c>
      <c r="L313" s="14" t="n">
        <v>685.63</v>
      </c>
      <c r="M313" s="14" t="n">
        <v>685.63</v>
      </c>
      <c r="N313" s="14" t="n">
        <v>685.63</v>
      </c>
      <c r="O313" s="14" t="n">
        <v>685.63</v>
      </c>
      <c r="P313" s="14" t="n">
        <v>685.63</v>
      </c>
      <c r="Q313" s="14" t="n">
        <v>685.63</v>
      </c>
      <c r="R313" s="14" t="n">
        <v>685.63</v>
      </c>
      <c r="S313" s="14" t="n">
        <v>685.63</v>
      </c>
      <c r="T313" s="14" t="n">
        <v>685.63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CANON-202511-002172</t>
        </is>
      </c>
      <c r="B314" s="15" t="inlineStr">
        <is>
          <t>2025-11-17</t>
        </is>
      </c>
      <c r="C314" s="15" t="inlineStr">
        <is>
          <t>Fenwick Larsson</t>
        </is>
      </c>
      <c r="D314" s="15" t="inlineStr">
        <is>
          <t>ME</t>
        </is>
      </c>
      <c r="E314" s="16" t="n">
        <v>505000</v>
      </c>
      <c r="F314" s="16" t="n">
        <v>8988.09</v>
      </c>
      <c r="G314" s="16" t="n">
        <v>1123.51</v>
      </c>
      <c r="H314" s="16" t="n">
        <v>1123.51</v>
      </c>
      <c r="I314" s="16">
        <f>SUM(K314:T314)</f>
        <v/>
      </c>
      <c r="J314" s="16">
        <f>F314-(G314+H314+I314)</f>
        <v/>
      </c>
      <c r="K314" s="16" t="n">
        <v>674.11</v>
      </c>
      <c r="L314" s="16" t="n">
        <v>674.11</v>
      </c>
      <c r="M314" s="16" t="n">
        <v>674.11</v>
      </c>
      <c r="N314" s="16" t="n">
        <v>674.11</v>
      </c>
      <c r="O314" s="16" t="n">
        <v>674.11</v>
      </c>
      <c r="P314" s="16" t="n">
        <v>674.11</v>
      </c>
      <c r="Q314" s="16" t="n">
        <v>674.11</v>
      </c>
      <c r="R314" s="16" t="n">
        <v>674.11</v>
      </c>
      <c r="S314" s="16" t="n">
        <v>674.11</v>
      </c>
      <c r="T314" s="16" t="n">
        <v>674.11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CANON-202511-002173</t>
        </is>
      </c>
      <c r="B315" s="3" t="inlineStr">
        <is>
          <t>2025-11-24</t>
        </is>
      </c>
      <c r="C315" s="3" t="inlineStr">
        <is>
          <t>Ramona Harrington</t>
        </is>
      </c>
      <c r="D315" s="3" t="inlineStr">
        <is>
          <t>OH</t>
        </is>
      </c>
      <c r="E315" s="14" t="n">
        <v>905000</v>
      </c>
      <c r="F315" s="14" t="n">
        <v>20730.78</v>
      </c>
      <c r="G315" s="14" t="n">
        <v>2591.35</v>
      </c>
      <c r="H315" s="14" t="n">
        <v>2591.35</v>
      </c>
      <c r="I315" s="14">
        <f>SUM(K315:T315)</f>
        <v/>
      </c>
      <c r="J315" s="14">
        <f>F315-(G315+H315+I315)</f>
        <v/>
      </c>
      <c r="K315" s="14" t="n">
        <v>1554.81</v>
      </c>
      <c r="L315" s="14" t="n">
        <v>1554.81</v>
      </c>
      <c r="M315" s="14" t="n">
        <v>1554.81</v>
      </c>
      <c r="N315" s="14" t="n">
        <v>1554.81</v>
      </c>
      <c r="O315" s="14" t="n">
        <v>1554.81</v>
      </c>
      <c r="P315" s="14" t="n">
        <v>1554.81</v>
      </c>
      <c r="Q315" s="14" t="n">
        <v>1554.81</v>
      </c>
      <c r="R315" s="14" t="n">
        <v>1554.81</v>
      </c>
      <c r="S315" s="14" t="n">
        <v>1554.81</v>
      </c>
      <c r="T315" s="14" t="n">
        <v>1554.81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CANON-202511-002174</t>
        </is>
      </c>
      <c r="B316" s="15" t="inlineStr">
        <is>
          <t>2025-11-30</t>
        </is>
      </c>
      <c r="C316" s="15" t="inlineStr">
        <is>
          <t>Marisol Larsson</t>
        </is>
      </c>
      <c r="D316" s="15" t="inlineStr">
        <is>
          <t>ME</t>
        </is>
      </c>
      <c r="E316" s="16" t="n">
        <v>1950000</v>
      </c>
      <c r="F316" s="16" t="n">
        <v>13882.59</v>
      </c>
      <c r="G316" s="16" t="n">
        <v>1735.32</v>
      </c>
      <c r="H316" s="16" t="n">
        <v>1735.32</v>
      </c>
      <c r="I316" s="16">
        <f>SUM(K316:T316)</f>
        <v/>
      </c>
      <c r="J316" s="16">
        <f>F316-(G316+H316+I316)</f>
        <v/>
      </c>
      <c r="K316" s="16" t="n">
        <v>1041.19</v>
      </c>
      <c r="L316" s="16" t="n">
        <v>1041.19</v>
      </c>
      <c r="M316" s="16" t="n">
        <v>1041.19</v>
      </c>
      <c r="N316" s="16" t="n">
        <v>1041.19</v>
      </c>
      <c r="O316" s="16" t="n">
        <v>1041.19</v>
      </c>
      <c r="P316" s="16" t="n">
        <v>1041.19</v>
      </c>
      <c r="Q316" s="16" t="n">
        <v>1041.19</v>
      </c>
      <c r="R316" s="16" t="n">
        <v>1041.19</v>
      </c>
      <c r="S316" s="16" t="n">
        <v>1041.19</v>
      </c>
      <c r="T316" s="16" t="n">
        <v>1041.19</v>
      </c>
      <c r="U316" s="16" t="n">
        <v>350</v>
      </c>
      <c r="V316" s="16" t="n">
        <v>250</v>
      </c>
      <c r="W316" s="16">
        <f>U316+V316</f>
        <v/>
      </c>
    </row>
    <row r="317">
      <c r="A317" s="3" t="inlineStr">
        <is>
          <t>CANON-202511-002176</t>
        </is>
      </c>
      <c r="B317" s="3" t="inlineStr">
        <is>
          <t>2025-11-23</t>
        </is>
      </c>
      <c r="C317" s="3" t="inlineStr">
        <is>
          <t>Wilhelmina Harrington</t>
        </is>
      </c>
      <c r="D317" s="3" t="inlineStr">
        <is>
          <t>CO</t>
        </is>
      </c>
      <c r="E317" s="14" t="n">
        <v>380000</v>
      </c>
      <c r="F317" s="14" t="n">
        <v>8338.780000000001</v>
      </c>
      <c r="G317" s="14" t="n">
        <v>1042.35</v>
      </c>
      <c r="H317" s="14" t="n">
        <v>1042.35</v>
      </c>
      <c r="I317" s="14">
        <f>SUM(K317:T317)</f>
        <v/>
      </c>
      <c r="J317" s="14">
        <f>F317-(G317+H317+I317)</f>
        <v/>
      </c>
      <c r="K317" s="14" t="n">
        <v>625.41</v>
      </c>
      <c r="L317" s="14" t="n">
        <v>625.41</v>
      </c>
      <c r="M317" s="14" t="n">
        <v>625.41</v>
      </c>
      <c r="N317" s="14" t="n">
        <v>625.41</v>
      </c>
      <c r="O317" s="14" t="n">
        <v>625.41</v>
      </c>
      <c r="P317" s="14" t="n">
        <v>625.41</v>
      </c>
      <c r="Q317" s="14" t="n">
        <v>625.41</v>
      </c>
      <c r="R317" s="14" t="n">
        <v>625.41</v>
      </c>
      <c r="S317" s="14" t="n">
        <v>625.41</v>
      </c>
      <c r="T317" s="14" t="n">
        <v>625.41</v>
      </c>
      <c r="U317" s="14" t="n">
        <v>350</v>
      </c>
      <c r="V317" s="14" t="n">
        <v>0</v>
      </c>
      <c r="W317" s="14">
        <f>U317+V317</f>
        <v/>
      </c>
    </row>
    <row r="318">
      <c r="A318" s="15" t="inlineStr">
        <is>
          <t>CANON-202511-002178</t>
        </is>
      </c>
      <c r="B318" s="15" t="inlineStr">
        <is>
          <t>2025-11-24</t>
        </is>
      </c>
      <c r="C318" s="15" t="inlineStr">
        <is>
          <t>Horace Blackwood</t>
        </is>
      </c>
      <c r="D318" s="15" t="inlineStr">
        <is>
          <t>NV</t>
        </is>
      </c>
      <c r="E318" s="16" t="n">
        <v>950000</v>
      </c>
      <c r="F318" s="16" t="n">
        <v>12532.89</v>
      </c>
      <c r="G318" s="16" t="n">
        <v>1566.61</v>
      </c>
      <c r="H318" s="16" t="n">
        <v>1566.61</v>
      </c>
      <c r="I318" s="16">
        <f>SUM(K318:T318)</f>
        <v/>
      </c>
      <c r="J318" s="16">
        <f>F318-(G318+H318+I318)</f>
        <v/>
      </c>
      <c r="K318" s="16" t="n">
        <v>939.97</v>
      </c>
      <c r="L318" s="16" t="n">
        <v>939.97</v>
      </c>
      <c r="M318" s="16" t="n">
        <v>939.97</v>
      </c>
      <c r="N318" s="16" t="n">
        <v>939.97</v>
      </c>
      <c r="O318" s="16" t="n">
        <v>939.97</v>
      </c>
      <c r="P318" s="16" t="n">
        <v>939.97</v>
      </c>
      <c r="Q318" s="16" t="n">
        <v>939.97</v>
      </c>
      <c r="R318" s="16" t="n">
        <v>939.97</v>
      </c>
      <c r="S318" s="16" t="n">
        <v>939.97</v>
      </c>
      <c r="T318" s="16" t="n">
        <v>939.97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CANON-202511-002179</t>
        </is>
      </c>
      <c r="B319" s="3" t="inlineStr">
        <is>
          <t>2025-11-14</t>
        </is>
      </c>
      <c r="C319" s="3" t="inlineStr">
        <is>
          <t>Fenwick Thistlewood</t>
        </is>
      </c>
      <c r="D319" s="3" t="inlineStr">
        <is>
          <t>HI</t>
        </is>
      </c>
      <c r="E319" s="14" t="n">
        <v>485000</v>
      </c>
      <c r="F319" s="14" t="n">
        <v>8203.040000000001</v>
      </c>
      <c r="G319" s="14" t="n">
        <v>1025.38</v>
      </c>
      <c r="H319" s="14" t="n">
        <v>1025.38</v>
      </c>
      <c r="I319" s="14">
        <f>SUM(K319:T319)</f>
        <v/>
      </c>
      <c r="J319" s="14">
        <f>F319-(G319+H319+I319)</f>
        <v/>
      </c>
      <c r="K319" s="14" t="n">
        <v>615.23</v>
      </c>
      <c r="L319" s="14" t="n">
        <v>615.23</v>
      </c>
      <c r="M319" s="14" t="n">
        <v>615.23</v>
      </c>
      <c r="N319" s="14" t="n">
        <v>615.23</v>
      </c>
      <c r="O319" s="14" t="n">
        <v>615.23</v>
      </c>
      <c r="P319" s="14" t="n">
        <v>615.23</v>
      </c>
      <c r="Q319" s="14" t="n">
        <v>615.23</v>
      </c>
      <c r="R319" s="14" t="n">
        <v>615.23</v>
      </c>
      <c r="S319" s="14" t="n">
        <v>615.23</v>
      </c>
      <c r="T319" s="14" t="n">
        <v>615.23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CANON-202511-002180</t>
        </is>
      </c>
      <c r="B320" s="15" t="inlineStr">
        <is>
          <t>2025-11-14</t>
        </is>
      </c>
      <c r="C320" s="15" t="inlineStr">
        <is>
          <t>Ottilie Montoya</t>
        </is>
      </c>
      <c r="D320" s="15" t="inlineStr">
        <is>
          <t>HI</t>
        </is>
      </c>
      <c r="E320" s="16" t="n">
        <v>640000</v>
      </c>
      <c r="F320" s="16" t="n">
        <v>9381.35</v>
      </c>
      <c r="G320" s="16" t="n">
        <v>1172.67</v>
      </c>
      <c r="H320" s="16" t="n">
        <v>1172.67</v>
      </c>
      <c r="I320" s="16">
        <f>SUM(K320:T320)</f>
        <v/>
      </c>
      <c r="J320" s="16">
        <f>F320-(G320+H320+I320)</f>
        <v/>
      </c>
      <c r="K320" s="16" t="n">
        <v>703.6</v>
      </c>
      <c r="L320" s="16" t="n">
        <v>703.6</v>
      </c>
      <c r="M320" s="16" t="n">
        <v>703.6</v>
      </c>
      <c r="N320" s="16" t="n">
        <v>703.6</v>
      </c>
      <c r="O320" s="16" t="n">
        <v>703.6</v>
      </c>
      <c r="P320" s="16" t="n">
        <v>703.6</v>
      </c>
      <c r="Q320" s="16" t="n">
        <v>703.6</v>
      </c>
      <c r="R320" s="16" t="n">
        <v>703.6</v>
      </c>
      <c r="S320" s="16" t="n">
        <v>703.6</v>
      </c>
      <c r="T320" s="16" t="n">
        <v>703.6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CANON-202511-002181</t>
        </is>
      </c>
      <c r="B321" s="3" t="inlineStr">
        <is>
          <t>2025-11-17</t>
        </is>
      </c>
      <c r="C321" s="3" t="inlineStr">
        <is>
          <t>Fenwick Rourke</t>
        </is>
      </c>
      <c r="D321" s="3" t="inlineStr">
        <is>
          <t>MI</t>
        </is>
      </c>
      <c r="E321" s="14" t="n">
        <v>890000</v>
      </c>
      <c r="F321" s="14" t="n">
        <v>15554.78</v>
      </c>
      <c r="G321" s="14" t="n">
        <v>1944.35</v>
      </c>
      <c r="H321" s="14" t="n">
        <v>1944.35</v>
      </c>
      <c r="I321" s="14">
        <f>SUM(K321:T321)</f>
        <v/>
      </c>
      <c r="J321" s="14">
        <f>F321-(G321+H321+I321)</f>
        <v/>
      </c>
      <c r="K321" s="14" t="n">
        <v>1166.61</v>
      </c>
      <c r="L321" s="14" t="n">
        <v>1166.61</v>
      </c>
      <c r="M321" s="14" t="n">
        <v>1166.61</v>
      </c>
      <c r="N321" s="14" t="n">
        <v>1166.61</v>
      </c>
      <c r="O321" s="14" t="n">
        <v>1166.61</v>
      </c>
      <c r="P321" s="14" t="n">
        <v>1166.61</v>
      </c>
      <c r="Q321" s="14" t="n">
        <v>1166.61</v>
      </c>
      <c r="R321" s="14" t="n">
        <v>1166.61</v>
      </c>
      <c r="S321" s="14" t="n">
        <v>1166.61</v>
      </c>
      <c r="T321" s="14" t="n">
        <v>1166.61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CANON-202511-002183</t>
        </is>
      </c>
      <c r="B322" s="15" t="inlineStr">
        <is>
          <t>2025-11-24</t>
        </is>
      </c>
      <c r="C322" s="15" t="inlineStr">
        <is>
          <t>Aurelio Vasquez</t>
        </is>
      </c>
      <c r="D322" s="15" t="inlineStr">
        <is>
          <t>GA</t>
        </is>
      </c>
      <c r="E322" s="16" t="n">
        <v>710000</v>
      </c>
      <c r="F322" s="16" t="n">
        <v>8966.4</v>
      </c>
      <c r="G322" s="16" t="n">
        <v>1120.8</v>
      </c>
      <c r="H322" s="16" t="n">
        <v>1120.8</v>
      </c>
      <c r="I322" s="16">
        <f>SUM(K322:T322)</f>
        <v/>
      </c>
      <c r="J322" s="16">
        <f>F322-(G322+H322+I322)</f>
        <v/>
      </c>
      <c r="K322" s="16" t="n">
        <v>672.48</v>
      </c>
      <c r="L322" s="16" t="n">
        <v>672.48</v>
      </c>
      <c r="M322" s="16" t="n">
        <v>672.48</v>
      </c>
      <c r="N322" s="16" t="n">
        <v>672.48</v>
      </c>
      <c r="O322" s="16" t="n">
        <v>672.48</v>
      </c>
      <c r="P322" s="16" t="n">
        <v>672.48</v>
      </c>
      <c r="Q322" s="16" t="n">
        <v>672.48</v>
      </c>
      <c r="R322" s="16" t="n">
        <v>672.48</v>
      </c>
      <c r="S322" s="16" t="n">
        <v>672.48</v>
      </c>
      <c r="T322" s="16" t="n">
        <v>672.48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CANON-202511-002184</t>
        </is>
      </c>
      <c r="B323" s="3" t="inlineStr">
        <is>
          <t>2025-11-11</t>
        </is>
      </c>
      <c r="C323" s="3" t="inlineStr">
        <is>
          <t>Noor Farkas</t>
        </is>
      </c>
      <c r="D323" s="3" t="inlineStr">
        <is>
          <t>LA</t>
        </is>
      </c>
      <c r="E323" s="14" t="n">
        <v>875000</v>
      </c>
      <c r="F323" s="14" t="n">
        <v>11938.11</v>
      </c>
      <c r="G323" s="14" t="n">
        <v>1492.26</v>
      </c>
      <c r="H323" s="14" t="n">
        <v>1492.26</v>
      </c>
      <c r="I323" s="14">
        <f>SUM(K323:T323)</f>
        <v/>
      </c>
      <c r="J323" s="14">
        <f>F323-(G323+H323+I323)</f>
        <v/>
      </c>
      <c r="K323" s="14" t="n">
        <v>895.36</v>
      </c>
      <c r="L323" s="14" t="n">
        <v>895.36</v>
      </c>
      <c r="M323" s="14" t="n">
        <v>895.36</v>
      </c>
      <c r="N323" s="14" t="n">
        <v>895.36</v>
      </c>
      <c r="O323" s="14" t="n">
        <v>895.36</v>
      </c>
      <c r="P323" s="14" t="n">
        <v>895.36</v>
      </c>
      <c r="Q323" s="14" t="n">
        <v>895.36</v>
      </c>
      <c r="R323" s="14" t="n">
        <v>895.36</v>
      </c>
      <c r="S323" s="14" t="n">
        <v>895.36</v>
      </c>
      <c r="T323" s="14" t="n">
        <v>895.36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CANON-202511-002185</t>
        </is>
      </c>
      <c r="B324" s="15" t="inlineStr">
        <is>
          <t>2025-11-09</t>
        </is>
      </c>
      <c r="C324" s="15" t="inlineStr">
        <is>
          <t>Emiliano Castellanos</t>
        </is>
      </c>
      <c r="D324" s="15" t="inlineStr">
        <is>
          <t>LA</t>
        </is>
      </c>
      <c r="E324" s="16" t="n">
        <v>1015000</v>
      </c>
      <c r="F324" s="16" t="n">
        <v>8095.87</v>
      </c>
      <c r="G324" s="16" t="n">
        <v>1011.98</v>
      </c>
      <c r="H324" s="16" t="n">
        <v>1011.98</v>
      </c>
      <c r="I324" s="16">
        <f>SUM(K324:T324)</f>
        <v/>
      </c>
      <c r="J324" s="16">
        <f>F324-(G324+H324+I324)</f>
        <v/>
      </c>
      <c r="K324" s="16" t="n">
        <v>607.1900000000001</v>
      </c>
      <c r="L324" s="16" t="n">
        <v>607.1900000000001</v>
      </c>
      <c r="M324" s="16" t="n">
        <v>607.1900000000001</v>
      </c>
      <c r="N324" s="16" t="n">
        <v>607.1900000000001</v>
      </c>
      <c r="O324" s="16" t="n">
        <v>607.1900000000001</v>
      </c>
      <c r="P324" s="16" t="n">
        <v>607.1900000000001</v>
      </c>
      <c r="Q324" s="16" t="n">
        <v>607.1900000000001</v>
      </c>
      <c r="R324" s="16" t="n">
        <v>607.1900000000001</v>
      </c>
      <c r="S324" s="16" t="n">
        <v>607.1900000000001</v>
      </c>
      <c r="T324" s="16" t="n">
        <v>607.1900000000001</v>
      </c>
      <c r="U324" s="16" t="n">
        <v>350</v>
      </c>
      <c r="V324" s="16" t="n">
        <v>250</v>
      </c>
      <c r="W324" s="16">
        <f>U324+V324</f>
        <v/>
      </c>
    </row>
    <row r="325">
      <c r="A325" s="3" t="inlineStr">
        <is>
          <t>CANON-202511-002186</t>
        </is>
      </c>
      <c r="B325" s="3" t="inlineStr">
        <is>
          <t>2025-11-21</t>
        </is>
      </c>
      <c r="C325" s="3" t="inlineStr">
        <is>
          <t>Ramona Farkas</t>
        </is>
      </c>
      <c r="D325" s="3" t="inlineStr">
        <is>
          <t>NJ</t>
        </is>
      </c>
      <c r="E325" s="14" t="n">
        <v>805000</v>
      </c>
      <c r="F325" s="14" t="n">
        <v>8259.98</v>
      </c>
      <c r="G325" s="14" t="n">
        <v>1032.5</v>
      </c>
      <c r="H325" s="14" t="n">
        <v>1032.5</v>
      </c>
      <c r="I325" s="14">
        <f>SUM(K325:T325)</f>
        <v/>
      </c>
      <c r="J325" s="14">
        <f>F325-(G325+H325+I325)</f>
        <v/>
      </c>
      <c r="K325" s="14" t="n">
        <v>619.5</v>
      </c>
      <c r="L325" s="14" t="n">
        <v>619.5</v>
      </c>
      <c r="M325" s="14" t="n">
        <v>619.5</v>
      </c>
      <c r="N325" s="14" t="n">
        <v>619.5</v>
      </c>
      <c r="O325" s="14" t="n">
        <v>619.5</v>
      </c>
      <c r="P325" s="14" t="n">
        <v>619.5</v>
      </c>
      <c r="Q325" s="14" t="n">
        <v>619.5</v>
      </c>
      <c r="R325" s="14" t="n">
        <v>619.5</v>
      </c>
      <c r="S325" s="14" t="n">
        <v>619.5</v>
      </c>
      <c r="T325" s="14" t="n">
        <v>619.5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CANON-202511-002187</t>
        </is>
      </c>
      <c r="B326" s="15" t="inlineStr">
        <is>
          <t>2025-11-05</t>
        </is>
      </c>
      <c r="C326" s="15" t="inlineStr">
        <is>
          <t>Leopold Merriweather</t>
        </is>
      </c>
      <c r="D326" s="15" t="inlineStr">
        <is>
          <t>ND</t>
        </is>
      </c>
      <c r="E326" s="16" t="n">
        <v>805000</v>
      </c>
      <c r="F326" s="16" t="n">
        <v>9258.440000000001</v>
      </c>
      <c r="G326" s="16" t="n">
        <v>1157.31</v>
      </c>
      <c r="H326" s="16" t="n">
        <v>1157.31</v>
      </c>
      <c r="I326" s="16">
        <f>SUM(K326:T326)</f>
        <v/>
      </c>
      <c r="J326" s="16">
        <f>F326-(G326+H326+I326)</f>
        <v/>
      </c>
      <c r="K326" s="16" t="n">
        <v>694.38</v>
      </c>
      <c r="L326" s="16" t="n">
        <v>694.38</v>
      </c>
      <c r="M326" s="16" t="n">
        <v>694.38</v>
      </c>
      <c r="N326" s="16" t="n">
        <v>694.38</v>
      </c>
      <c r="O326" s="16" t="n">
        <v>694.38</v>
      </c>
      <c r="P326" s="16" t="n">
        <v>694.38</v>
      </c>
      <c r="Q326" s="16" t="n">
        <v>694.38</v>
      </c>
      <c r="R326" s="16" t="n">
        <v>694.38</v>
      </c>
      <c r="S326" s="16" t="n">
        <v>694.38</v>
      </c>
      <c r="T326" s="16" t="n">
        <v>694.38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CANON-202511-002188</t>
        </is>
      </c>
      <c r="B327" s="3" t="inlineStr">
        <is>
          <t>2025-11-15</t>
        </is>
      </c>
      <c r="C327" s="3" t="inlineStr">
        <is>
          <t>Wilhelmina Farkas</t>
        </is>
      </c>
      <c r="D327" s="3" t="inlineStr">
        <is>
          <t>TX</t>
        </is>
      </c>
      <c r="E327" s="14" t="n">
        <v>850000</v>
      </c>
      <c r="F327" s="14" t="n">
        <v>11021.96</v>
      </c>
      <c r="G327" s="14" t="n">
        <v>1377.74</v>
      </c>
      <c r="H327" s="14" t="n">
        <v>1377.74</v>
      </c>
      <c r="I327" s="14">
        <f>SUM(K327:T327)</f>
        <v/>
      </c>
      <c r="J327" s="14">
        <f>F327-(G327+H327+I327)</f>
        <v/>
      </c>
      <c r="K327" s="14" t="n">
        <v>826.65</v>
      </c>
      <c r="L327" s="14" t="n">
        <v>826.65</v>
      </c>
      <c r="M327" s="14" t="n">
        <v>826.65</v>
      </c>
      <c r="N327" s="14" t="n">
        <v>826.65</v>
      </c>
      <c r="O327" s="14" t="n">
        <v>826.65</v>
      </c>
      <c r="P327" s="14" t="n">
        <v>826.65</v>
      </c>
      <c r="Q327" s="14" t="n">
        <v>826.65</v>
      </c>
      <c r="R327" s="14" t="n">
        <v>826.65</v>
      </c>
      <c r="S327" s="14" t="n">
        <v>826.65</v>
      </c>
      <c r="T327" s="14" t="n">
        <v>826.65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CANON-202511-002189</t>
        </is>
      </c>
      <c r="B328" s="15" t="inlineStr">
        <is>
          <t>2025-11-19</t>
        </is>
      </c>
      <c r="C328" s="15" t="inlineStr">
        <is>
          <t>Leopold Fairweather</t>
        </is>
      </c>
      <c r="D328" s="15" t="inlineStr">
        <is>
          <t>TX</t>
        </is>
      </c>
      <c r="E328" s="16" t="n">
        <v>340000</v>
      </c>
      <c r="F328" s="16" t="n">
        <v>5087.06</v>
      </c>
      <c r="G328" s="16" t="n">
        <v>635.88</v>
      </c>
      <c r="H328" s="16" t="n">
        <v>635.88</v>
      </c>
      <c r="I328" s="16">
        <f>SUM(K328:T328)</f>
        <v/>
      </c>
      <c r="J328" s="16">
        <f>F328-(G328+H328+I328)</f>
        <v/>
      </c>
      <c r="K328" s="16" t="n">
        <v>381.53</v>
      </c>
      <c r="L328" s="16" t="n">
        <v>381.53</v>
      </c>
      <c r="M328" s="16" t="n">
        <v>381.53</v>
      </c>
      <c r="N328" s="16" t="n">
        <v>381.53</v>
      </c>
      <c r="O328" s="16" t="n">
        <v>381.53</v>
      </c>
      <c r="P328" s="16" t="n">
        <v>381.53</v>
      </c>
      <c r="Q328" s="16" t="n">
        <v>381.53</v>
      </c>
      <c r="R328" s="16" t="n">
        <v>381.53</v>
      </c>
      <c r="S328" s="16" t="n">
        <v>381.53</v>
      </c>
      <c r="T328" s="16" t="n">
        <v>381.53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CANON-202511-002190</t>
        </is>
      </c>
      <c r="B329" s="3" t="inlineStr">
        <is>
          <t>2025-11-14</t>
        </is>
      </c>
      <c r="C329" s="3" t="inlineStr">
        <is>
          <t>Aurelio Larsson</t>
        </is>
      </c>
      <c r="D329" s="3" t="inlineStr">
        <is>
          <t>ME</t>
        </is>
      </c>
      <c r="E329" s="14" t="n">
        <v>1210000</v>
      </c>
      <c r="F329" s="14" t="n">
        <v>18135.42</v>
      </c>
      <c r="G329" s="14" t="n">
        <v>2266.93</v>
      </c>
      <c r="H329" s="14" t="n">
        <v>2266.93</v>
      </c>
      <c r="I329" s="14">
        <f>SUM(K329:T329)</f>
        <v/>
      </c>
      <c r="J329" s="14">
        <f>F329-(G329+H329+I329)</f>
        <v/>
      </c>
      <c r="K329" s="14" t="n">
        <v>1360.16</v>
      </c>
      <c r="L329" s="14" t="n">
        <v>1360.16</v>
      </c>
      <c r="M329" s="14" t="n">
        <v>1360.16</v>
      </c>
      <c r="N329" s="14" t="n">
        <v>1360.16</v>
      </c>
      <c r="O329" s="14" t="n">
        <v>1360.16</v>
      </c>
      <c r="P329" s="14" t="n">
        <v>1360.16</v>
      </c>
      <c r="Q329" s="14" t="n">
        <v>1360.16</v>
      </c>
      <c r="R329" s="14" t="n">
        <v>1360.16</v>
      </c>
      <c r="S329" s="14" t="n">
        <v>1360.16</v>
      </c>
      <c r="T329" s="14" t="n">
        <v>1360.16</v>
      </c>
      <c r="U329" s="14" t="n">
        <v>350</v>
      </c>
      <c r="V329" s="14" t="n">
        <v>250</v>
      </c>
      <c r="W329" s="14">
        <f>U329+V329</f>
        <v/>
      </c>
    </row>
    <row r="330">
      <c r="A330" s="15" t="inlineStr">
        <is>
          <t>CANON-202511-002191</t>
        </is>
      </c>
      <c r="B330" s="15" t="inlineStr">
        <is>
          <t>2025-11-14</t>
        </is>
      </c>
      <c r="C330" s="15" t="inlineStr">
        <is>
          <t>Emiliano Vasquez</t>
        </is>
      </c>
      <c r="D330" s="15" t="inlineStr">
        <is>
          <t>IN</t>
        </is>
      </c>
      <c r="E330" s="16" t="n">
        <v>305000</v>
      </c>
      <c r="F330" s="16" t="n">
        <v>4880.85</v>
      </c>
      <c r="G330" s="16" t="n">
        <v>610.11</v>
      </c>
      <c r="H330" s="16" t="n">
        <v>610.11</v>
      </c>
      <c r="I330" s="16">
        <f>SUM(K330:T330)</f>
        <v/>
      </c>
      <c r="J330" s="16">
        <f>F330-(G330+H330+I330)</f>
        <v/>
      </c>
      <c r="K330" s="16" t="n">
        <v>366.06</v>
      </c>
      <c r="L330" s="16" t="n">
        <v>366.06</v>
      </c>
      <c r="M330" s="16" t="n">
        <v>366.06</v>
      </c>
      <c r="N330" s="16" t="n">
        <v>366.06</v>
      </c>
      <c r="O330" s="16" t="n">
        <v>366.06</v>
      </c>
      <c r="P330" s="16" t="n">
        <v>366.06</v>
      </c>
      <c r="Q330" s="16" t="n">
        <v>366.06</v>
      </c>
      <c r="R330" s="16" t="n">
        <v>366.06</v>
      </c>
      <c r="S330" s="16" t="n">
        <v>366.06</v>
      </c>
      <c r="T330" s="16" t="n">
        <v>366.06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CANON-202511-002192</t>
        </is>
      </c>
      <c r="B331" s="3" t="inlineStr">
        <is>
          <t>2025-11-07</t>
        </is>
      </c>
      <c r="C331" s="3" t="inlineStr">
        <is>
          <t>Marisol Montoya</t>
        </is>
      </c>
      <c r="D331" s="3" t="inlineStr">
        <is>
          <t>CO</t>
        </is>
      </c>
      <c r="E331" s="14" t="n">
        <v>195000</v>
      </c>
      <c r="F331" s="14" t="n">
        <v>3423.29</v>
      </c>
      <c r="G331" s="14" t="n">
        <v>427.91</v>
      </c>
      <c r="H331" s="14" t="n">
        <v>427.91</v>
      </c>
      <c r="I331" s="14">
        <f>SUM(K331:T331)</f>
        <v/>
      </c>
      <c r="J331" s="14">
        <f>F331-(G331+H331+I331)</f>
        <v/>
      </c>
      <c r="K331" s="14" t="n">
        <v>256.75</v>
      </c>
      <c r="L331" s="14" t="n">
        <v>256.75</v>
      </c>
      <c r="M331" s="14" t="n">
        <v>256.75</v>
      </c>
      <c r="N331" s="14" t="n">
        <v>256.75</v>
      </c>
      <c r="O331" s="14" t="n">
        <v>256.75</v>
      </c>
      <c r="P331" s="14" t="n">
        <v>256.75</v>
      </c>
      <c r="Q331" s="14" t="n">
        <v>256.75</v>
      </c>
      <c r="R331" s="14" t="n">
        <v>256.75</v>
      </c>
      <c r="S331" s="14" t="n">
        <v>256.75</v>
      </c>
      <c r="T331" s="14" t="n">
        <v>256.75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CANON-202511-002193</t>
        </is>
      </c>
      <c r="B332" s="15" t="inlineStr">
        <is>
          <t>2025-11-19</t>
        </is>
      </c>
      <c r="C332" s="15" t="inlineStr">
        <is>
          <t>Horace Delacroix</t>
        </is>
      </c>
      <c r="D332" s="15" t="inlineStr">
        <is>
          <t>IA</t>
        </is>
      </c>
      <c r="E332" s="16" t="n">
        <v>310000</v>
      </c>
      <c r="F332" s="16" t="n">
        <v>4436.54</v>
      </c>
      <c r="G332" s="16" t="n">
        <v>554.5700000000001</v>
      </c>
      <c r="H332" s="16" t="n">
        <v>554.5700000000001</v>
      </c>
      <c r="I332" s="16">
        <f>SUM(K332:T332)</f>
        <v/>
      </c>
      <c r="J332" s="16">
        <f>F332-(G332+H332+I332)</f>
        <v/>
      </c>
      <c r="K332" s="16" t="n">
        <v>332.74</v>
      </c>
      <c r="L332" s="16" t="n">
        <v>332.74</v>
      </c>
      <c r="M332" s="16" t="n">
        <v>332.74</v>
      </c>
      <c r="N332" s="16" t="n">
        <v>332.74</v>
      </c>
      <c r="O332" s="16" t="n">
        <v>332.74</v>
      </c>
      <c r="P332" s="16" t="n">
        <v>332.74</v>
      </c>
      <c r="Q332" s="16" t="n">
        <v>332.74</v>
      </c>
      <c r="R332" s="16" t="n">
        <v>332.74</v>
      </c>
      <c r="S332" s="16" t="n">
        <v>332.74</v>
      </c>
      <c r="T332" s="16" t="n">
        <v>332.74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CANON-202511-002194</t>
        </is>
      </c>
      <c r="B333" s="3" t="inlineStr">
        <is>
          <t>2025-11-08</t>
        </is>
      </c>
      <c r="C333" s="3" t="inlineStr">
        <is>
          <t>Callum Vandermeer</t>
        </is>
      </c>
      <c r="D333" s="3" t="inlineStr">
        <is>
          <t>TX</t>
        </is>
      </c>
      <c r="E333" s="14" t="n">
        <v>1025000</v>
      </c>
      <c r="F333" s="14" t="n">
        <v>11246.39</v>
      </c>
      <c r="G333" s="14" t="n">
        <v>1405.8</v>
      </c>
      <c r="H333" s="14" t="n">
        <v>1405.8</v>
      </c>
      <c r="I333" s="14">
        <f>SUM(K333:T333)</f>
        <v/>
      </c>
      <c r="J333" s="14">
        <f>F333-(G333+H333+I333)</f>
        <v/>
      </c>
      <c r="K333" s="14" t="n">
        <v>843.48</v>
      </c>
      <c r="L333" s="14" t="n">
        <v>843.48</v>
      </c>
      <c r="M333" s="14" t="n">
        <v>843.48</v>
      </c>
      <c r="N333" s="14" t="n">
        <v>843.48</v>
      </c>
      <c r="O333" s="14" t="n">
        <v>843.48</v>
      </c>
      <c r="P333" s="14" t="n">
        <v>843.48</v>
      </c>
      <c r="Q333" s="14" t="n">
        <v>843.48</v>
      </c>
      <c r="R333" s="14" t="n">
        <v>843.48</v>
      </c>
      <c r="S333" s="14" t="n">
        <v>843.48</v>
      </c>
      <c r="T333" s="14" t="n">
        <v>843.48</v>
      </c>
      <c r="U333" s="14" t="n">
        <v>350</v>
      </c>
      <c r="V333" s="14" t="n">
        <v>250</v>
      </c>
      <c r="W333" s="14">
        <f>U333+V333</f>
        <v/>
      </c>
    </row>
    <row r="334">
      <c r="A334" s="15" t="inlineStr">
        <is>
          <t>CANON-202511-002195</t>
        </is>
      </c>
      <c r="B334" s="15" t="inlineStr">
        <is>
          <t>2025-11-16</t>
        </is>
      </c>
      <c r="C334" s="15" t="inlineStr">
        <is>
          <t>Fitzgerald Chattopadhyay</t>
        </is>
      </c>
      <c r="D334" s="15" t="inlineStr">
        <is>
          <t>CA</t>
        </is>
      </c>
      <c r="E334" s="16" t="n">
        <v>720000</v>
      </c>
      <c r="F334" s="16" t="n">
        <v>10959.94</v>
      </c>
      <c r="G334" s="16" t="n">
        <v>1369.99</v>
      </c>
      <c r="H334" s="16" t="n">
        <v>1369.99</v>
      </c>
      <c r="I334" s="16">
        <f>SUM(K334:T334)</f>
        <v/>
      </c>
      <c r="J334" s="16">
        <f>F334-(G334+H334+I334)</f>
        <v/>
      </c>
      <c r="K334" s="16" t="n">
        <v>822</v>
      </c>
      <c r="L334" s="16" t="n">
        <v>822</v>
      </c>
      <c r="M334" s="16" t="n">
        <v>822</v>
      </c>
      <c r="N334" s="16" t="n">
        <v>822</v>
      </c>
      <c r="O334" s="16" t="n">
        <v>822</v>
      </c>
      <c r="P334" s="16" t="n">
        <v>822</v>
      </c>
      <c r="Q334" s="16" t="n">
        <v>822</v>
      </c>
      <c r="R334" s="16" t="n">
        <v>822</v>
      </c>
      <c r="S334" s="16" t="n">
        <v>822</v>
      </c>
      <c r="T334" s="16" t="n">
        <v>822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CANON-202511-002199</t>
        </is>
      </c>
      <c r="B335" s="3" t="inlineStr">
        <is>
          <t>2025-11-22</t>
        </is>
      </c>
      <c r="C335" s="3" t="inlineStr">
        <is>
          <t>Leopold Kingsford</t>
        </is>
      </c>
      <c r="D335" s="3" t="inlineStr">
        <is>
          <t>GA</t>
        </is>
      </c>
      <c r="E335" s="14" t="n">
        <v>350000</v>
      </c>
      <c r="F335" s="14" t="n">
        <v>5100.07</v>
      </c>
      <c r="G335" s="14" t="n">
        <v>637.51</v>
      </c>
      <c r="H335" s="14" t="n">
        <v>637.51</v>
      </c>
      <c r="I335" s="14">
        <f>SUM(K335:T335)</f>
        <v/>
      </c>
      <c r="J335" s="14">
        <f>F335-(G335+H335+I335)</f>
        <v/>
      </c>
      <c r="K335" s="14" t="n">
        <v>382.51</v>
      </c>
      <c r="L335" s="14" t="n">
        <v>382.51</v>
      </c>
      <c r="M335" s="14" t="n">
        <v>382.51</v>
      </c>
      <c r="N335" s="14" t="n">
        <v>382.51</v>
      </c>
      <c r="O335" s="14" t="n">
        <v>382.51</v>
      </c>
      <c r="P335" s="14" t="n">
        <v>382.51</v>
      </c>
      <c r="Q335" s="14" t="n">
        <v>382.51</v>
      </c>
      <c r="R335" s="14" t="n">
        <v>382.51</v>
      </c>
      <c r="S335" s="14" t="n">
        <v>382.51</v>
      </c>
      <c r="T335" s="14" t="n">
        <v>382.51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CANON-202511-002200</t>
        </is>
      </c>
      <c r="B336" s="15" t="inlineStr">
        <is>
          <t>2025-11-28</t>
        </is>
      </c>
      <c r="C336" s="15" t="inlineStr">
        <is>
          <t>Marisol Underwood</t>
        </is>
      </c>
      <c r="D336" s="15" t="inlineStr">
        <is>
          <t>CA</t>
        </is>
      </c>
      <c r="E336" s="16" t="n">
        <v>390000</v>
      </c>
      <c r="F336" s="16" t="n">
        <v>4383.98</v>
      </c>
      <c r="G336" s="16" t="n">
        <v>548</v>
      </c>
      <c r="H336" s="16" t="n">
        <v>548</v>
      </c>
      <c r="I336" s="16">
        <f>SUM(K336:T336)</f>
        <v/>
      </c>
      <c r="J336" s="16">
        <f>F336-(G336+H336+I336)</f>
        <v/>
      </c>
      <c r="K336" s="16" t="n">
        <v>328.8</v>
      </c>
      <c r="L336" s="16" t="n">
        <v>328.8</v>
      </c>
      <c r="M336" s="16" t="n">
        <v>328.8</v>
      </c>
      <c r="N336" s="16" t="n">
        <v>328.8</v>
      </c>
      <c r="O336" s="16" t="n">
        <v>328.8</v>
      </c>
      <c r="P336" s="16" t="n">
        <v>328.8</v>
      </c>
      <c r="Q336" s="16" t="n">
        <v>328.8</v>
      </c>
      <c r="R336" s="16" t="n">
        <v>328.8</v>
      </c>
      <c r="S336" s="16" t="n">
        <v>328.8</v>
      </c>
      <c r="T336" s="16" t="n">
        <v>328.8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CANON-202511-002201</t>
        </is>
      </c>
      <c r="B337" s="3" t="inlineStr">
        <is>
          <t>2025-11-16</t>
        </is>
      </c>
      <c r="C337" s="3" t="inlineStr">
        <is>
          <t>Ottilie Castellanos</t>
        </is>
      </c>
      <c r="D337" s="3" t="inlineStr">
        <is>
          <t>NY</t>
        </is>
      </c>
      <c r="E337" s="14" t="n">
        <v>1500000</v>
      </c>
      <c r="F337" s="14" t="n">
        <v>18318.61</v>
      </c>
      <c r="G337" s="14" t="n">
        <v>2289.83</v>
      </c>
      <c r="H337" s="14" t="n">
        <v>2289.83</v>
      </c>
      <c r="I337" s="14">
        <f>SUM(K337:T337)</f>
        <v/>
      </c>
      <c r="J337" s="14">
        <f>F337-(G337+H337+I337)</f>
        <v/>
      </c>
      <c r="K337" s="14" t="n">
        <v>1373.9</v>
      </c>
      <c r="L337" s="14" t="n">
        <v>1373.9</v>
      </c>
      <c r="M337" s="14" t="n">
        <v>1373.9</v>
      </c>
      <c r="N337" s="14" t="n">
        <v>1373.9</v>
      </c>
      <c r="O337" s="14" t="n">
        <v>1373.9</v>
      </c>
      <c r="P337" s="14" t="n">
        <v>1373.9</v>
      </c>
      <c r="Q337" s="14" t="n">
        <v>1373.9</v>
      </c>
      <c r="R337" s="14" t="n">
        <v>1373.9</v>
      </c>
      <c r="S337" s="14" t="n">
        <v>1373.9</v>
      </c>
      <c r="T337" s="14" t="n">
        <v>1373.9</v>
      </c>
      <c r="U337" s="14" t="n">
        <v>350</v>
      </c>
      <c r="V337" s="14" t="n">
        <v>250</v>
      </c>
      <c r="W337" s="14">
        <f>U337+V337</f>
        <v/>
      </c>
    </row>
    <row r="338">
      <c r="A338" s="15" t="inlineStr">
        <is>
          <t>CANON-202511-002202</t>
        </is>
      </c>
      <c r="B338" s="15" t="inlineStr">
        <is>
          <t>2025-11-19</t>
        </is>
      </c>
      <c r="C338" s="15" t="inlineStr">
        <is>
          <t>Saoirse Fairweather</t>
        </is>
      </c>
      <c r="D338" s="15" t="inlineStr">
        <is>
          <t>SD</t>
        </is>
      </c>
      <c r="E338" s="16" t="n">
        <v>560000</v>
      </c>
      <c r="F338" s="16" t="n">
        <v>4636.69</v>
      </c>
      <c r="G338" s="16" t="n">
        <v>579.59</v>
      </c>
      <c r="H338" s="16" t="n">
        <v>579.59</v>
      </c>
      <c r="I338" s="16">
        <f>SUM(K338:T338)</f>
        <v/>
      </c>
      <c r="J338" s="16">
        <f>F338-(G338+H338+I338)</f>
        <v/>
      </c>
      <c r="K338" s="16" t="n">
        <v>347.75</v>
      </c>
      <c r="L338" s="16" t="n">
        <v>347.75</v>
      </c>
      <c r="M338" s="16" t="n">
        <v>347.75</v>
      </c>
      <c r="N338" s="16" t="n">
        <v>347.75</v>
      </c>
      <c r="O338" s="16" t="n">
        <v>347.75</v>
      </c>
      <c r="P338" s="16" t="n">
        <v>347.75</v>
      </c>
      <c r="Q338" s="16" t="n">
        <v>347.75</v>
      </c>
      <c r="R338" s="16" t="n">
        <v>347.75</v>
      </c>
      <c r="S338" s="16" t="n">
        <v>347.75</v>
      </c>
      <c r="T338" s="16" t="n">
        <v>347.75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CANON-202511-002203</t>
        </is>
      </c>
      <c r="B339" s="3" t="inlineStr">
        <is>
          <t>2025-11-11</t>
        </is>
      </c>
      <c r="C339" s="3" t="inlineStr">
        <is>
          <t>Anouk Ashcombe</t>
        </is>
      </c>
      <c r="D339" s="3" t="inlineStr">
        <is>
          <t>KS</t>
        </is>
      </c>
      <c r="E339" s="14" t="n">
        <v>445000</v>
      </c>
      <c r="F339" s="14" t="n">
        <v>5615.93</v>
      </c>
      <c r="G339" s="14" t="n">
        <v>701.99</v>
      </c>
      <c r="H339" s="14" t="n">
        <v>701.99</v>
      </c>
      <c r="I339" s="14">
        <f>SUM(K339:T339)</f>
        <v/>
      </c>
      <c r="J339" s="14">
        <f>F339-(G339+H339+I339)</f>
        <v/>
      </c>
      <c r="K339" s="14" t="n">
        <v>421.19</v>
      </c>
      <c r="L339" s="14" t="n">
        <v>421.19</v>
      </c>
      <c r="M339" s="14" t="n">
        <v>421.19</v>
      </c>
      <c r="N339" s="14" t="n">
        <v>421.19</v>
      </c>
      <c r="O339" s="14" t="n">
        <v>421.19</v>
      </c>
      <c r="P339" s="14" t="n">
        <v>421.19</v>
      </c>
      <c r="Q339" s="14" t="n">
        <v>421.19</v>
      </c>
      <c r="R339" s="14" t="n">
        <v>421.19</v>
      </c>
      <c r="S339" s="14" t="n">
        <v>421.19</v>
      </c>
      <c r="T339" s="14" t="n">
        <v>421.19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CANON-202511-002204</t>
        </is>
      </c>
      <c r="B340" s="15" t="inlineStr">
        <is>
          <t>2025-11-25</t>
        </is>
      </c>
      <c r="C340" s="15" t="inlineStr">
        <is>
          <t>Mireille Fairweather</t>
        </is>
      </c>
      <c r="D340" s="15" t="inlineStr">
        <is>
          <t>SD</t>
        </is>
      </c>
      <c r="E340" s="16" t="n">
        <v>1045000</v>
      </c>
      <c r="F340" s="16" t="n">
        <v>16097.48</v>
      </c>
      <c r="G340" s="16" t="n">
        <v>2012.18</v>
      </c>
      <c r="H340" s="16" t="n">
        <v>2012.18</v>
      </c>
      <c r="I340" s="16">
        <f>SUM(K340:T340)</f>
        <v/>
      </c>
      <c r="J340" s="16">
        <f>F340-(G340+H340+I340)</f>
        <v/>
      </c>
      <c r="K340" s="16" t="n">
        <v>1207.31</v>
      </c>
      <c r="L340" s="16" t="n">
        <v>1207.31</v>
      </c>
      <c r="M340" s="16" t="n">
        <v>1207.31</v>
      </c>
      <c r="N340" s="16" t="n">
        <v>1207.31</v>
      </c>
      <c r="O340" s="16" t="n">
        <v>1207.31</v>
      </c>
      <c r="P340" s="16" t="n">
        <v>1207.31</v>
      </c>
      <c r="Q340" s="16" t="n">
        <v>1207.31</v>
      </c>
      <c r="R340" s="16" t="n">
        <v>1207.31</v>
      </c>
      <c r="S340" s="16" t="n">
        <v>1207.31</v>
      </c>
      <c r="T340" s="16" t="n">
        <v>1207.31</v>
      </c>
      <c r="U340" s="16" t="n">
        <v>350</v>
      </c>
      <c r="V340" s="16" t="n">
        <v>250</v>
      </c>
      <c r="W340" s="16">
        <f>U340+V340</f>
        <v/>
      </c>
    </row>
    <row r="341">
      <c r="A341" s="3" t="inlineStr">
        <is>
          <t>CANON-202511-002205</t>
        </is>
      </c>
      <c r="B341" s="3" t="inlineStr">
        <is>
          <t>2025-11-16</t>
        </is>
      </c>
      <c r="C341" s="3" t="inlineStr">
        <is>
          <t>Aurelio Merriweather</t>
        </is>
      </c>
      <c r="D341" s="3" t="inlineStr">
        <is>
          <t>NJ</t>
        </is>
      </c>
      <c r="E341" s="14" t="n">
        <v>585000</v>
      </c>
      <c r="F341" s="14" t="n">
        <v>8773.030000000001</v>
      </c>
      <c r="G341" s="14" t="n">
        <v>1096.63</v>
      </c>
      <c r="H341" s="14" t="n">
        <v>1096.63</v>
      </c>
      <c r="I341" s="14">
        <f>SUM(K341:T341)</f>
        <v/>
      </c>
      <c r="J341" s="14">
        <f>F341-(G341+H341+I341)</f>
        <v/>
      </c>
      <c r="K341" s="14" t="n">
        <v>657.98</v>
      </c>
      <c r="L341" s="14" t="n">
        <v>657.98</v>
      </c>
      <c r="M341" s="14" t="n">
        <v>657.98</v>
      </c>
      <c r="N341" s="14" t="n">
        <v>657.98</v>
      </c>
      <c r="O341" s="14" t="n">
        <v>657.98</v>
      </c>
      <c r="P341" s="14" t="n">
        <v>657.98</v>
      </c>
      <c r="Q341" s="14" t="n">
        <v>657.98</v>
      </c>
      <c r="R341" s="14" t="n">
        <v>657.98</v>
      </c>
      <c r="S341" s="14" t="n">
        <v>657.98</v>
      </c>
      <c r="T341" s="14" t="n">
        <v>657.98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CANON-202511-002206</t>
        </is>
      </c>
      <c r="B342" s="15" t="inlineStr">
        <is>
          <t>2025-11-23</t>
        </is>
      </c>
      <c r="C342" s="15" t="inlineStr">
        <is>
          <t>Aurelio Fairweather</t>
        </is>
      </c>
      <c r="D342" s="15" t="inlineStr">
        <is>
          <t>TN</t>
        </is>
      </c>
      <c r="E342" s="16" t="n">
        <v>455000</v>
      </c>
      <c r="F342" s="16" t="n">
        <v>5801.33</v>
      </c>
      <c r="G342" s="16" t="n">
        <v>725.17</v>
      </c>
      <c r="H342" s="16" t="n">
        <v>725.17</v>
      </c>
      <c r="I342" s="16">
        <f>SUM(K342:T342)</f>
        <v/>
      </c>
      <c r="J342" s="16">
        <f>F342-(G342+H342+I342)</f>
        <v/>
      </c>
      <c r="K342" s="16" t="n">
        <v>435.1</v>
      </c>
      <c r="L342" s="16" t="n">
        <v>435.1</v>
      </c>
      <c r="M342" s="16" t="n">
        <v>435.1</v>
      </c>
      <c r="N342" s="16" t="n">
        <v>435.1</v>
      </c>
      <c r="O342" s="16" t="n">
        <v>435.1</v>
      </c>
      <c r="P342" s="16" t="n">
        <v>435.1</v>
      </c>
      <c r="Q342" s="16" t="n">
        <v>435.1</v>
      </c>
      <c r="R342" s="16" t="n">
        <v>435.1</v>
      </c>
      <c r="S342" s="16" t="n">
        <v>435.1</v>
      </c>
      <c r="T342" s="16" t="n">
        <v>435.1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CANON-202511-002207</t>
        </is>
      </c>
      <c r="B343" s="3" t="inlineStr">
        <is>
          <t>2025-11-02</t>
        </is>
      </c>
      <c r="C343" s="3" t="inlineStr">
        <is>
          <t>Ottilie Vasquez</t>
        </is>
      </c>
      <c r="D343" s="3" t="inlineStr">
        <is>
          <t>MS</t>
        </is>
      </c>
      <c r="E343" s="14" t="n">
        <v>545000</v>
      </c>
      <c r="F343" s="14" t="n">
        <v>7312.83</v>
      </c>
      <c r="G343" s="14" t="n">
        <v>914.1</v>
      </c>
      <c r="H343" s="14" t="n">
        <v>914.1</v>
      </c>
      <c r="I343" s="14">
        <f>SUM(K343:T343)</f>
        <v/>
      </c>
      <c r="J343" s="14">
        <f>F343-(G343+H343+I343)</f>
        <v/>
      </c>
      <c r="K343" s="14" t="n">
        <v>548.46</v>
      </c>
      <c r="L343" s="14" t="n">
        <v>548.46</v>
      </c>
      <c r="M343" s="14" t="n">
        <v>548.46</v>
      </c>
      <c r="N343" s="14" t="n">
        <v>548.46</v>
      </c>
      <c r="O343" s="14" t="n">
        <v>548.46</v>
      </c>
      <c r="P343" s="14" t="n">
        <v>548.46</v>
      </c>
      <c r="Q343" s="14" t="n">
        <v>548.46</v>
      </c>
      <c r="R343" s="14" t="n">
        <v>548.46</v>
      </c>
      <c r="S343" s="14" t="n">
        <v>548.46</v>
      </c>
      <c r="T343" s="14" t="n">
        <v>548.46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CANON-202511-002209</t>
        </is>
      </c>
      <c r="B344" s="15" t="inlineStr">
        <is>
          <t>2025-11-03</t>
        </is>
      </c>
      <c r="C344" s="15" t="inlineStr">
        <is>
          <t>Thaddeus Blackwood</t>
        </is>
      </c>
      <c r="D344" s="15" t="inlineStr">
        <is>
          <t>WI</t>
        </is>
      </c>
      <c r="E344" s="16" t="n">
        <v>355000</v>
      </c>
      <c r="F344" s="16" t="n">
        <v>5542.42</v>
      </c>
      <c r="G344" s="16" t="n">
        <v>692.8</v>
      </c>
      <c r="H344" s="16" t="n">
        <v>692.8</v>
      </c>
      <c r="I344" s="16">
        <f>SUM(K344:T344)</f>
        <v/>
      </c>
      <c r="J344" s="16">
        <f>F344-(G344+H344+I344)</f>
        <v/>
      </c>
      <c r="K344" s="16" t="n">
        <v>415.68</v>
      </c>
      <c r="L344" s="16" t="n">
        <v>415.68</v>
      </c>
      <c r="M344" s="16" t="n">
        <v>415.68</v>
      </c>
      <c r="N344" s="16" t="n">
        <v>415.68</v>
      </c>
      <c r="O344" s="16" t="n">
        <v>415.68</v>
      </c>
      <c r="P344" s="16" t="n">
        <v>415.68</v>
      </c>
      <c r="Q344" s="16" t="n">
        <v>415.68</v>
      </c>
      <c r="R344" s="16" t="n">
        <v>415.68</v>
      </c>
      <c r="S344" s="16" t="n">
        <v>415.68</v>
      </c>
      <c r="T344" s="16" t="n">
        <v>415.68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CANON-202511-002210</t>
        </is>
      </c>
      <c r="B345" s="3" t="inlineStr">
        <is>
          <t>2025-11-22</t>
        </is>
      </c>
      <c r="C345" s="3" t="inlineStr">
        <is>
          <t>Marisol Delacroix</t>
        </is>
      </c>
      <c r="D345" s="3" t="inlineStr">
        <is>
          <t>MT</t>
        </is>
      </c>
      <c r="E345" s="14" t="n">
        <v>610000</v>
      </c>
      <c r="F345" s="14" t="n">
        <v>6396.68</v>
      </c>
      <c r="G345" s="14" t="n">
        <v>799.59</v>
      </c>
      <c r="H345" s="14" t="n">
        <v>799.59</v>
      </c>
      <c r="I345" s="14">
        <f>SUM(K345:T345)</f>
        <v/>
      </c>
      <c r="J345" s="14">
        <f>F345-(G345+H345+I345)</f>
        <v/>
      </c>
      <c r="K345" s="14" t="n">
        <v>479.75</v>
      </c>
      <c r="L345" s="14" t="n">
        <v>479.75</v>
      </c>
      <c r="M345" s="14" t="n">
        <v>479.75</v>
      </c>
      <c r="N345" s="14" t="n">
        <v>479.75</v>
      </c>
      <c r="O345" s="14" t="n">
        <v>479.75</v>
      </c>
      <c r="P345" s="14" t="n">
        <v>479.75</v>
      </c>
      <c r="Q345" s="14" t="n">
        <v>479.75</v>
      </c>
      <c r="R345" s="14" t="n">
        <v>479.75</v>
      </c>
      <c r="S345" s="14" t="n">
        <v>479.75</v>
      </c>
      <c r="T345" s="14" t="n">
        <v>479.75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CANON-202511-002211</t>
        </is>
      </c>
      <c r="B346" s="15" t="inlineStr">
        <is>
          <t>2025-11-16</t>
        </is>
      </c>
      <c r="C346" s="15" t="inlineStr">
        <is>
          <t>Emiliano Fairweather</t>
        </is>
      </c>
      <c r="D346" s="15" t="inlineStr">
        <is>
          <t>KS</t>
        </is>
      </c>
      <c r="E346" s="16" t="n">
        <v>1305000</v>
      </c>
      <c r="F346" s="16" t="n">
        <v>17567.13</v>
      </c>
      <c r="G346" s="16" t="n">
        <v>2195.89</v>
      </c>
      <c r="H346" s="16" t="n">
        <v>2195.89</v>
      </c>
      <c r="I346" s="16">
        <f>SUM(K346:T346)</f>
        <v/>
      </c>
      <c r="J346" s="16">
        <f>F346-(G346+H346+I346)</f>
        <v/>
      </c>
      <c r="K346" s="16" t="n">
        <v>1317.53</v>
      </c>
      <c r="L346" s="16" t="n">
        <v>1317.53</v>
      </c>
      <c r="M346" s="16" t="n">
        <v>1317.53</v>
      </c>
      <c r="N346" s="16" t="n">
        <v>1317.53</v>
      </c>
      <c r="O346" s="16" t="n">
        <v>1317.53</v>
      </c>
      <c r="P346" s="16" t="n">
        <v>1317.53</v>
      </c>
      <c r="Q346" s="16" t="n">
        <v>1317.53</v>
      </c>
      <c r="R346" s="16" t="n">
        <v>1317.53</v>
      </c>
      <c r="S346" s="16" t="n">
        <v>1317.53</v>
      </c>
      <c r="T346" s="16" t="n">
        <v>1317.53</v>
      </c>
      <c r="U346" s="16" t="n">
        <v>350</v>
      </c>
      <c r="V346" s="16" t="n">
        <v>250</v>
      </c>
      <c r="W346" s="16">
        <f>U346+V346</f>
        <v/>
      </c>
    </row>
    <row r="347">
      <c r="A347" s="3" t="inlineStr">
        <is>
          <t>CANON-202511-002212</t>
        </is>
      </c>
      <c r="B347" s="3" t="inlineStr">
        <is>
          <t>2025-11-13</t>
        </is>
      </c>
      <c r="C347" s="3" t="inlineStr">
        <is>
          <t>Delphine Okonkwo</t>
        </is>
      </c>
      <c r="D347" s="3" t="inlineStr">
        <is>
          <t>VT</t>
        </is>
      </c>
      <c r="E347" s="14" t="n">
        <v>520000</v>
      </c>
      <c r="F347" s="14" t="n">
        <v>10454.79</v>
      </c>
      <c r="G347" s="14" t="n">
        <v>1306.85</v>
      </c>
      <c r="H347" s="14" t="n">
        <v>1306.85</v>
      </c>
      <c r="I347" s="14">
        <f>SUM(K347:T347)</f>
        <v/>
      </c>
      <c r="J347" s="14">
        <f>F347-(G347+H347+I347)</f>
        <v/>
      </c>
      <c r="K347" s="14" t="n">
        <v>784.11</v>
      </c>
      <c r="L347" s="14" t="n">
        <v>784.11</v>
      </c>
      <c r="M347" s="14" t="n">
        <v>784.11</v>
      </c>
      <c r="N347" s="14" t="n">
        <v>784.11</v>
      </c>
      <c r="O347" s="14" t="n">
        <v>784.11</v>
      </c>
      <c r="P347" s="14" t="n">
        <v>784.11</v>
      </c>
      <c r="Q347" s="14" t="n">
        <v>784.11</v>
      </c>
      <c r="R347" s="14" t="n">
        <v>784.11</v>
      </c>
      <c r="S347" s="14" t="n">
        <v>784.11</v>
      </c>
      <c r="T347" s="14" t="n">
        <v>784.11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CANON-202511-002213</t>
        </is>
      </c>
      <c r="B348" s="15" t="inlineStr">
        <is>
          <t>2025-11-20</t>
        </is>
      </c>
      <c r="C348" s="15" t="inlineStr">
        <is>
          <t>Beatrix Ashcombe</t>
        </is>
      </c>
      <c r="D348" s="15" t="inlineStr">
        <is>
          <t>AZ</t>
        </is>
      </c>
      <c r="E348" s="16" t="n">
        <v>350000</v>
      </c>
      <c r="F348" s="16" t="n">
        <v>4599.17</v>
      </c>
      <c r="G348" s="16" t="n">
        <v>574.9</v>
      </c>
      <c r="H348" s="16" t="n">
        <v>574.9</v>
      </c>
      <c r="I348" s="16">
        <f>SUM(K348:T348)</f>
        <v/>
      </c>
      <c r="J348" s="16">
        <f>F348-(G348+H348+I348)</f>
        <v/>
      </c>
      <c r="K348" s="16" t="n">
        <v>344.94</v>
      </c>
      <c r="L348" s="16" t="n">
        <v>344.94</v>
      </c>
      <c r="M348" s="16" t="n">
        <v>344.94</v>
      </c>
      <c r="N348" s="16" t="n">
        <v>344.94</v>
      </c>
      <c r="O348" s="16" t="n">
        <v>344.94</v>
      </c>
      <c r="P348" s="16" t="n">
        <v>344.94</v>
      </c>
      <c r="Q348" s="16" t="n">
        <v>344.94</v>
      </c>
      <c r="R348" s="16" t="n">
        <v>344.94</v>
      </c>
      <c r="S348" s="16" t="n">
        <v>344.94</v>
      </c>
      <c r="T348" s="16" t="n">
        <v>344.94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CANON-202511-002214</t>
        </is>
      </c>
      <c r="B349" s="3" t="inlineStr">
        <is>
          <t>2025-11-07</t>
        </is>
      </c>
      <c r="C349" s="3" t="inlineStr">
        <is>
          <t>Noor Castellanos</t>
        </is>
      </c>
      <c r="D349" s="3" t="inlineStr">
        <is>
          <t>CA</t>
        </is>
      </c>
      <c r="E349" s="14" t="n">
        <v>410000</v>
      </c>
      <c r="F349" s="14" t="n">
        <v>7201.25</v>
      </c>
      <c r="G349" s="14" t="n">
        <v>900.16</v>
      </c>
      <c r="H349" s="14" t="n">
        <v>900.16</v>
      </c>
      <c r="I349" s="14">
        <f>SUM(K349:T349)</f>
        <v/>
      </c>
      <c r="J349" s="14">
        <f>F349-(G349+H349+I349)</f>
        <v/>
      </c>
      <c r="K349" s="14" t="n">
        <v>540.09</v>
      </c>
      <c r="L349" s="14" t="n">
        <v>540.09</v>
      </c>
      <c r="M349" s="14" t="n">
        <v>540.09</v>
      </c>
      <c r="N349" s="14" t="n">
        <v>540.09</v>
      </c>
      <c r="O349" s="14" t="n">
        <v>540.09</v>
      </c>
      <c r="P349" s="14" t="n">
        <v>540.09</v>
      </c>
      <c r="Q349" s="14" t="n">
        <v>540.09</v>
      </c>
      <c r="R349" s="14" t="n">
        <v>540.09</v>
      </c>
      <c r="S349" s="14" t="n">
        <v>540.09</v>
      </c>
      <c r="T349" s="14" t="n">
        <v>540.09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CANON-202511-002215</t>
        </is>
      </c>
      <c r="B350" s="15" t="inlineStr">
        <is>
          <t>2025-11-01</t>
        </is>
      </c>
      <c r="C350" s="15" t="inlineStr">
        <is>
          <t>Ingrid Chattopadhyay</t>
        </is>
      </c>
      <c r="D350" s="15" t="inlineStr">
        <is>
          <t>WY</t>
        </is>
      </c>
      <c r="E350" s="16" t="n">
        <v>255000</v>
      </c>
      <c r="F350" s="16" t="n">
        <v>3549.88</v>
      </c>
      <c r="G350" s="16" t="n">
        <v>443.74</v>
      </c>
      <c r="H350" s="16" t="n">
        <v>443.74</v>
      </c>
      <c r="I350" s="16">
        <f>SUM(K350:T350)</f>
        <v/>
      </c>
      <c r="J350" s="16">
        <f>F350-(G350+H350+I350)</f>
        <v/>
      </c>
      <c r="K350" s="16" t="n">
        <v>266.24</v>
      </c>
      <c r="L350" s="16" t="n">
        <v>266.24</v>
      </c>
      <c r="M350" s="16" t="n">
        <v>266.24</v>
      </c>
      <c r="N350" s="16" t="n">
        <v>266.24</v>
      </c>
      <c r="O350" s="16" t="n">
        <v>266.24</v>
      </c>
      <c r="P350" s="16" t="n">
        <v>266.24</v>
      </c>
      <c r="Q350" s="16" t="n">
        <v>266.24</v>
      </c>
      <c r="R350" s="16" t="n">
        <v>266.24</v>
      </c>
      <c r="S350" s="16" t="n">
        <v>266.24</v>
      </c>
      <c r="T350" s="16" t="n">
        <v>266.24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CANON-202511-002216</t>
        </is>
      </c>
      <c r="B351" s="3" t="inlineStr">
        <is>
          <t>2025-11-30</t>
        </is>
      </c>
      <c r="C351" s="3" t="inlineStr">
        <is>
          <t>Beatrix Underwood</t>
        </is>
      </c>
      <c r="D351" s="3" t="inlineStr">
        <is>
          <t>CO</t>
        </is>
      </c>
      <c r="E351" s="14" t="n">
        <v>485000</v>
      </c>
      <c r="F351" s="14" t="n">
        <v>6941.04</v>
      </c>
      <c r="G351" s="14" t="n">
        <v>867.63</v>
      </c>
      <c r="H351" s="14" t="n">
        <v>867.63</v>
      </c>
      <c r="I351" s="14">
        <f>SUM(K351:T351)</f>
        <v/>
      </c>
      <c r="J351" s="14">
        <f>F351-(G351+H351+I351)</f>
        <v/>
      </c>
      <c r="K351" s="14" t="n">
        <v>520.58</v>
      </c>
      <c r="L351" s="14" t="n">
        <v>520.58</v>
      </c>
      <c r="M351" s="14" t="n">
        <v>520.58</v>
      </c>
      <c r="N351" s="14" t="n">
        <v>520.58</v>
      </c>
      <c r="O351" s="14" t="n">
        <v>520.58</v>
      </c>
      <c r="P351" s="14" t="n">
        <v>520.58</v>
      </c>
      <c r="Q351" s="14" t="n">
        <v>520.58</v>
      </c>
      <c r="R351" s="14" t="n">
        <v>520.58</v>
      </c>
      <c r="S351" s="14" t="n">
        <v>520.58</v>
      </c>
      <c r="T351" s="14" t="n">
        <v>520.58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CANON-202511-002217</t>
        </is>
      </c>
      <c r="B352" s="15" t="inlineStr">
        <is>
          <t>2025-11-01</t>
        </is>
      </c>
      <c r="C352" s="15" t="inlineStr">
        <is>
          <t>Fenwick Delacroix</t>
        </is>
      </c>
      <c r="D352" s="15" t="inlineStr">
        <is>
          <t>TN</t>
        </is>
      </c>
      <c r="E352" s="16" t="n">
        <v>1950000</v>
      </c>
      <c r="F352" s="16" t="n">
        <v>18232.74</v>
      </c>
      <c r="G352" s="16" t="n">
        <v>2279.09</v>
      </c>
      <c r="H352" s="16" t="n">
        <v>2279.09</v>
      </c>
      <c r="I352" s="16">
        <f>SUM(K352:T352)</f>
        <v/>
      </c>
      <c r="J352" s="16">
        <f>F352-(G352+H352+I352)</f>
        <v/>
      </c>
      <c r="K352" s="16" t="n">
        <v>1367.46</v>
      </c>
      <c r="L352" s="16" t="n">
        <v>1367.46</v>
      </c>
      <c r="M352" s="16" t="n">
        <v>1367.46</v>
      </c>
      <c r="N352" s="16" t="n">
        <v>1367.46</v>
      </c>
      <c r="O352" s="16" t="n">
        <v>1367.46</v>
      </c>
      <c r="P352" s="16" t="n">
        <v>1367.46</v>
      </c>
      <c r="Q352" s="16" t="n">
        <v>1367.46</v>
      </c>
      <c r="R352" s="16" t="n">
        <v>1367.46</v>
      </c>
      <c r="S352" s="16" t="n">
        <v>1367.46</v>
      </c>
      <c r="T352" s="16" t="n">
        <v>1367.46</v>
      </c>
      <c r="U352" s="16" t="n">
        <v>350</v>
      </c>
      <c r="V352" s="16" t="n">
        <v>250</v>
      </c>
      <c r="W352" s="16">
        <f>U352+V352</f>
        <v/>
      </c>
    </row>
    <row r="353">
      <c r="A353" s="3" t="inlineStr">
        <is>
          <t>CANON-202511-002218</t>
        </is>
      </c>
      <c r="B353" s="3" t="inlineStr">
        <is>
          <t>2025-11-15</t>
        </is>
      </c>
      <c r="C353" s="3" t="inlineStr">
        <is>
          <t>Lorenzo Blackwood</t>
        </is>
      </c>
      <c r="D353" s="3" t="inlineStr">
        <is>
          <t>OR</t>
        </is>
      </c>
      <c r="E353" s="14" t="n">
        <v>1120000</v>
      </c>
      <c r="F353" s="14" t="n">
        <v>8342.74</v>
      </c>
      <c r="G353" s="14" t="n">
        <v>1042.84</v>
      </c>
      <c r="H353" s="14" t="n">
        <v>1042.84</v>
      </c>
      <c r="I353" s="14">
        <f>SUM(K353:T353)</f>
        <v/>
      </c>
      <c r="J353" s="14">
        <f>F353-(G353+H353+I353)</f>
        <v/>
      </c>
      <c r="K353" s="14" t="n">
        <v>625.71</v>
      </c>
      <c r="L353" s="14" t="n">
        <v>625.71</v>
      </c>
      <c r="M353" s="14" t="n">
        <v>625.71</v>
      </c>
      <c r="N353" s="14" t="n">
        <v>625.71</v>
      </c>
      <c r="O353" s="14" t="n">
        <v>625.71</v>
      </c>
      <c r="P353" s="14" t="n">
        <v>625.71</v>
      </c>
      <c r="Q353" s="14" t="n">
        <v>625.71</v>
      </c>
      <c r="R353" s="14" t="n">
        <v>625.71</v>
      </c>
      <c r="S353" s="14" t="n">
        <v>625.71</v>
      </c>
      <c r="T353" s="14" t="n">
        <v>625.71</v>
      </c>
      <c r="U353" s="14" t="n">
        <v>350</v>
      </c>
      <c r="V353" s="14" t="n">
        <v>250</v>
      </c>
      <c r="W353" s="14">
        <f>U353+V353</f>
        <v/>
      </c>
    </row>
    <row r="354">
      <c r="A354" s="15" t="inlineStr">
        <is>
          <t>CANON-202511-002219</t>
        </is>
      </c>
      <c r="B354" s="15" t="inlineStr">
        <is>
          <t>2025-11-30</t>
        </is>
      </c>
      <c r="C354" s="15" t="inlineStr">
        <is>
          <t>Fenwick Harrington</t>
        </is>
      </c>
      <c r="D354" s="15" t="inlineStr">
        <is>
          <t>SD</t>
        </is>
      </c>
      <c r="E354" s="16" t="n">
        <v>350000</v>
      </c>
      <c r="F354" s="16" t="n">
        <v>3234.9</v>
      </c>
      <c r="G354" s="16" t="n">
        <v>404.36</v>
      </c>
      <c r="H354" s="16" t="n">
        <v>404.36</v>
      </c>
      <c r="I354" s="16">
        <f>SUM(K354:T354)</f>
        <v/>
      </c>
      <c r="J354" s="16">
        <f>F354-(G354+H354+I354)</f>
        <v/>
      </c>
      <c r="K354" s="16" t="n">
        <v>242.62</v>
      </c>
      <c r="L354" s="16" t="n">
        <v>242.62</v>
      </c>
      <c r="M354" s="16" t="n">
        <v>242.62</v>
      </c>
      <c r="N354" s="16" t="n">
        <v>242.62</v>
      </c>
      <c r="O354" s="16" t="n">
        <v>242.62</v>
      </c>
      <c r="P354" s="16" t="n">
        <v>242.62</v>
      </c>
      <c r="Q354" s="16" t="n">
        <v>242.62</v>
      </c>
      <c r="R354" s="16" t="n">
        <v>242.62</v>
      </c>
      <c r="S354" s="16" t="n">
        <v>242.62</v>
      </c>
      <c r="T354" s="16" t="n">
        <v>242.62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CANON-202511-002220</t>
        </is>
      </c>
      <c r="B355" s="3" t="inlineStr">
        <is>
          <t>2025-11-15</t>
        </is>
      </c>
      <c r="C355" s="3" t="inlineStr">
        <is>
          <t>Ramona Montoya</t>
        </is>
      </c>
      <c r="D355" s="3" t="inlineStr">
        <is>
          <t>PA</t>
        </is>
      </c>
      <c r="E355" s="14" t="n">
        <v>460000</v>
      </c>
      <c r="F355" s="14" t="n">
        <v>5984.77</v>
      </c>
      <c r="G355" s="14" t="n">
        <v>748.1</v>
      </c>
      <c r="H355" s="14" t="n">
        <v>748.1</v>
      </c>
      <c r="I355" s="14">
        <f>SUM(K355:T355)</f>
        <v/>
      </c>
      <c r="J355" s="14">
        <f>F355-(G355+H355+I355)</f>
        <v/>
      </c>
      <c r="K355" s="14" t="n">
        <v>448.86</v>
      </c>
      <c r="L355" s="14" t="n">
        <v>448.86</v>
      </c>
      <c r="M355" s="14" t="n">
        <v>448.86</v>
      </c>
      <c r="N355" s="14" t="n">
        <v>448.86</v>
      </c>
      <c r="O355" s="14" t="n">
        <v>448.86</v>
      </c>
      <c r="P355" s="14" t="n">
        <v>448.86</v>
      </c>
      <c r="Q355" s="14" t="n">
        <v>448.86</v>
      </c>
      <c r="R355" s="14" t="n">
        <v>448.86</v>
      </c>
      <c r="S355" s="14" t="n">
        <v>448.86</v>
      </c>
      <c r="T355" s="14" t="n">
        <v>448.86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CANON-202511-002221</t>
        </is>
      </c>
      <c r="B356" s="15" t="inlineStr">
        <is>
          <t>2025-11-29</t>
        </is>
      </c>
      <c r="C356" s="15" t="inlineStr">
        <is>
          <t>Wilhelmina Whitlock</t>
        </is>
      </c>
      <c r="D356" s="15" t="inlineStr">
        <is>
          <t>ND</t>
        </is>
      </c>
      <c r="E356" s="16" t="n">
        <v>330000</v>
      </c>
      <c r="F356" s="16" t="n">
        <v>4379.3</v>
      </c>
      <c r="G356" s="16" t="n">
        <v>547.41</v>
      </c>
      <c r="H356" s="16" t="n">
        <v>547.41</v>
      </c>
      <c r="I356" s="16">
        <f>SUM(K356:T356)</f>
        <v/>
      </c>
      <c r="J356" s="16">
        <f>F356-(G356+H356+I356)</f>
        <v/>
      </c>
      <c r="K356" s="16" t="n">
        <v>328.45</v>
      </c>
      <c r="L356" s="16" t="n">
        <v>328.45</v>
      </c>
      <c r="M356" s="16" t="n">
        <v>328.45</v>
      </c>
      <c r="N356" s="16" t="n">
        <v>328.45</v>
      </c>
      <c r="O356" s="16" t="n">
        <v>328.45</v>
      </c>
      <c r="P356" s="16" t="n">
        <v>328.45</v>
      </c>
      <c r="Q356" s="16" t="n">
        <v>328.45</v>
      </c>
      <c r="R356" s="16" t="n">
        <v>328.45</v>
      </c>
      <c r="S356" s="16" t="n">
        <v>328.45</v>
      </c>
      <c r="T356" s="16" t="n">
        <v>328.45</v>
      </c>
      <c r="U356" s="16" t="n">
        <v>350</v>
      </c>
      <c r="V356" s="16" t="n">
        <v>0</v>
      </c>
      <c r="W356" s="16">
        <f>U356+V356</f>
        <v/>
      </c>
    </row>
    <row r="357">
      <c r="A357" s="3" t="inlineStr">
        <is>
          <t>CANON-202511-002223</t>
        </is>
      </c>
      <c r="B357" s="3" t="inlineStr">
        <is>
          <t>2025-11-27</t>
        </is>
      </c>
      <c r="C357" s="3" t="inlineStr">
        <is>
          <t>Saoirse Blackwood</t>
        </is>
      </c>
      <c r="D357" s="3" t="inlineStr">
        <is>
          <t>NJ</t>
        </is>
      </c>
      <c r="E357" s="14" t="n">
        <v>470000</v>
      </c>
      <c r="F357" s="14" t="n">
        <v>3561.31</v>
      </c>
      <c r="G357" s="14" t="n">
        <v>445.16</v>
      </c>
      <c r="H357" s="14" t="n">
        <v>445.16</v>
      </c>
      <c r="I357" s="14">
        <f>SUM(K357:T357)</f>
        <v/>
      </c>
      <c r="J357" s="14">
        <f>F357-(G357+H357+I357)</f>
        <v/>
      </c>
      <c r="K357" s="14" t="n">
        <v>267.1</v>
      </c>
      <c r="L357" s="14" t="n">
        <v>267.1</v>
      </c>
      <c r="M357" s="14" t="n">
        <v>267.1</v>
      </c>
      <c r="N357" s="14" t="n">
        <v>267.1</v>
      </c>
      <c r="O357" s="14" t="n">
        <v>267.1</v>
      </c>
      <c r="P357" s="14" t="n">
        <v>267.1</v>
      </c>
      <c r="Q357" s="14" t="n">
        <v>267.1</v>
      </c>
      <c r="R357" s="14" t="n">
        <v>267.1</v>
      </c>
      <c r="S357" s="14" t="n">
        <v>267.1</v>
      </c>
      <c r="T357" s="14" t="n">
        <v>267.1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CANON-202511-002225</t>
        </is>
      </c>
      <c r="B358" s="15" t="inlineStr">
        <is>
          <t>2025-11-02</t>
        </is>
      </c>
      <c r="C358" s="15" t="inlineStr">
        <is>
          <t>Delphine Kingsford</t>
        </is>
      </c>
      <c r="D358" s="15" t="inlineStr">
        <is>
          <t>TX</t>
        </is>
      </c>
      <c r="E358" s="16" t="n">
        <v>710000</v>
      </c>
      <c r="F358" s="16" t="n">
        <v>9206.58</v>
      </c>
      <c r="G358" s="16" t="n">
        <v>1150.82</v>
      </c>
      <c r="H358" s="16" t="n">
        <v>1150.82</v>
      </c>
      <c r="I358" s="16">
        <f>SUM(K358:T358)</f>
        <v/>
      </c>
      <c r="J358" s="16">
        <f>F358-(G358+H358+I358)</f>
        <v/>
      </c>
      <c r="K358" s="16" t="n">
        <v>690.49</v>
      </c>
      <c r="L358" s="16" t="n">
        <v>690.49</v>
      </c>
      <c r="M358" s="16" t="n">
        <v>690.49</v>
      </c>
      <c r="N358" s="16" t="n">
        <v>690.49</v>
      </c>
      <c r="O358" s="16" t="n">
        <v>690.49</v>
      </c>
      <c r="P358" s="16" t="n">
        <v>690.49</v>
      </c>
      <c r="Q358" s="16" t="n">
        <v>690.49</v>
      </c>
      <c r="R358" s="16" t="n">
        <v>690.49</v>
      </c>
      <c r="S358" s="16" t="n">
        <v>690.49</v>
      </c>
      <c r="T358" s="16" t="n">
        <v>690.49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CANON-202511-002226</t>
        </is>
      </c>
      <c r="B359" s="3" t="inlineStr">
        <is>
          <t>2025-11-30</t>
        </is>
      </c>
      <c r="C359" s="3" t="inlineStr">
        <is>
          <t>Fitzgerald Ashcombe</t>
        </is>
      </c>
      <c r="D359" s="3" t="inlineStr">
        <is>
          <t>NJ</t>
        </is>
      </c>
      <c r="E359" s="14" t="n">
        <v>195000</v>
      </c>
      <c r="F359" s="14" t="n">
        <v>2831.99</v>
      </c>
      <c r="G359" s="14" t="n">
        <v>354</v>
      </c>
      <c r="H359" s="14" t="n">
        <v>354</v>
      </c>
      <c r="I359" s="14">
        <f>SUM(K359:T359)</f>
        <v/>
      </c>
      <c r="J359" s="14">
        <f>F359-(G359+H359+I359)</f>
        <v/>
      </c>
      <c r="K359" s="14" t="n">
        <v>212.4</v>
      </c>
      <c r="L359" s="14" t="n">
        <v>212.4</v>
      </c>
      <c r="M359" s="14" t="n">
        <v>212.4</v>
      </c>
      <c r="N359" s="14" t="n">
        <v>212.4</v>
      </c>
      <c r="O359" s="14" t="n">
        <v>212.4</v>
      </c>
      <c r="P359" s="14" t="n">
        <v>212.4</v>
      </c>
      <c r="Q359" s="14" t="n">
        <v>212.4</v>
      </c>
      <c r="R359" s="14" t="n">
        <v>212.4</v>
      </c>
      <c r="S359" s="14" t="n">
        <v>212.4</v>
      </c>
      <c r="T359" s="14" t="n">
        <v>212.4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CANON-202511-002227</t>
        </is>
      </c>
      <c r="B360" s="15" t="inlineStr">
        <is>
          <t>2025-11-20</t>
        </is>
      </c>
      <c r="C360" s="15" t="inlineStr">
        <is>
          <t>Wilhelmina Vasquez</t>
        </is>
      </c>
      <c r="D360" s="15" t="inlineStr">
        <is>
          <t>OK</t>
        </is>
      </c>
      <c r="E360" s="16" t="n">
        <v>230000</v>
      </c>
      <c r="F360" s="16" t="n">
        <v>4625.03</v>
      </c>
      <c r="G360" s="16" t="n">
        <v>578.13</v>
      </c>
      <c r="H360" s="16" t="n">
        <v>578.13</v>
      </c>
      <c r="I360" s="16">
        <f>SUM(K360:T360)</f>
        <v/>
      </c>
      <c r="J360" s="16">
        <f>F360-(G360+H360+I360)</f>
        <v/>
      </c>
      <c r="K360" s="16" t="n">
        <v>346.88</v>
      </c>
      <c r="L360" s="16" t="n">
        <v>346.88</v>
      </c>
      <c r="M360" s="16" t="n">
        <v>346.88</v>
      </c>
      <c r="N360" s="16" t="n">
        <v>346.88</v>
      </c>
      <c r="O360" s="16" t="n">
        <v>346.88</v>
      </c>
      <c r="P360" s="16" t="n">
        <v>346.88</v>
      </c>
      <c r="Q360" s="16" t="n">
        <v>346.88</v>
      </c>
      <c r="R360" s="16" t="n">
        <v>346.88</v>
      </c>
      <c r="S360" s="16" t="n">
        <v>346.88</v>
      </c>
      <c r="T360" s="16" t="n">
        <v>346.88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CANON-202511-002228</t>
        </is>
      </c>
      <c r="B361" s="3" t="inlineStr">
        <is>
          <t>2025-11-13</t>
        </is>
      </c>
      <c r="C361" s="3" t="inlineStr">
        <is>
          <t>Sunniva Farkas</t>
        </is>
      </c>
      <c r="D361" s="3" t="inlineStr">
        <is>
          <t>HI</t>
        </is>
      </c>
      <c r="E361" s="14" t="n">
        <v>555000</v>
      </c>
      <c r="F361" s="14" t="n">
        <v>8135.38</v>
      </c>
      <c r="G361" s="14" t="n">
        <v>1016.92</v>
      </c>
      <c r="H361" s="14" t="n">
        <v>1016.92</v>
      </c>
      <c r="I361" s="14">
        <f>SUM(K361:T361)</f>
        <v/>
      </c>
      <c r="J361" s="14">
        <f>F361-(G361+H361+I361)</f>
        <v/>
      </c>
      <c r="K361" s="14" t="n">
        <v>610.15</v>
      </c>
      <c r="L361" s="14" t="n">
        <v>610.15</v>
      </c>
      <c r="M361" s="14" t="n">
        <v>610.15</v>
      </c>
      <c r="N361" s="14" t="n">
        <v>610.15</v>
      </c>
      <c r="O361" s="14" t="n">
        <v>610.15</v>
      </c>
      <c r="P361" s="14" t="n">
        <v>610.15</v>
      </c>
      <c r="Q361" s="14" t="n">
        <v>610.15</v>
      </c>
      <c r="R361" s="14" t="n">
        <v>610.15</v>
      </c>
      <c r="S361" s="14" t="n">
        <v>610.15</v>
      </c>
      <c r="T361" s="14" t="n">
        <v>610.15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CANON-202511-002230</t>
        </is>
      </c>
      <c r="B362" s="15" t="inlineStr">
        <is>
          <t>2025-11-09</t>
        </is>
      </c>
      <c r="C362" s="15" t="inlineStr">
        <is>
          <t>Thaddeus Kingsford</t>
        </is>
      </c>
      <c r="D362" s="15" t="inlineStr">
        <is>
          <t>ND</t>
        </is>
      </c>
      <c r="E362" s="16" t="n">
        <v>470000</v>
      </c>
      <c r="F362" s="16" t="n">
        <v>6237.17</v>
      </c>
      <c r="G362" s="16" t="n">
        <v>779.65</v>
      </c>
      <c r="H362" s="16" t="n">
        <v>779.65</v>
      </c>
      <c r="I362" s="16">
        <f>SUM(K362:T362)</f>
        <v/>
      </c>
      <c r="J362" s="16">
        <f>F362-(G362+H362+I362)</f>
        <v/>
      </c>
      <c r="K362" s="16" t="n">
        <v>467.79</v>
      </c>
      <c r="L362" s="16" t="n">
        <v>467.79</v>
      </c>
      <c r="M362" s="16" t="n">
        <v>467.79</v>
      </c>
      <c r="N362" s="16" t="n">
        <v>467.79</v>
      </c>
      <c r="O362" s="16" t="n">
        <v>467.79</v>
      </c>
      <c r="P362" s="16" t="n">
        <v>467.79</v>
      </c>
      <c r="Q362" s="16" t="n">
        <v>467.79</v>
      </c>
      <c r="R362" s="16" t="n">
        <v>467.79</v>
      </c>
      <c r="S362" s="16" t="n">
        <v>467.79</v>
      </c>
      <c r="T362" s="16" t="n">
        <v>467.79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CANON-202511-002233</t>
        </is>
      </c>
      <c r="B363" s="3" t="inlineStr">
        <is>
          <t>2025-11-17</t>
        </is>
      </c>
      <c r="C363" s="3" t="inlineStr">
        <is>
          <t>Ottilie Delacroix</t>
        </is>
      </c>
      <c r="D363" s="3" t="inlineStr">
        <is>
          <t>NY</t>
        </is>
      </c>
      <c r="E363" s="14" t="n">
        <v>415000</v>
      </c>
      <c r="F363" s="14" t="n">
        <v>3870.22</v>
      </c>
      <c r="G363" s="14" t="n">
        <v>483.78</v>
      </c>
      <c r="H363" s="14" t="n">
        <v>483.78</v>
      </c>
      <c r="I363" s="14">
        <f>SUM(K363:T363)</f>
        <v/>
      </c>
      <c r="J363" s="14">
        <f>F363-(G363+H363+I363)</f>
        <v/>
      </c>
      <c r="K363" s="14" t="n">
        <v>290.27</v>
      </c>
      <c r="L363" s="14" t="n">
        <v>290.27</v>
      </c>
      <c r="M363" s="14" t="n">
        <v>290.27</v>
      </c>
      <c r="N363" s="14" t="n">
        <v>290.27</v>
      </c>
      <c r="O363" s="14" t="n">
        <v>290.27</v>
      </c>
      <c r="P363" s="14" t="n">
        <v>290.27</v>
      </c>
      <c r="Q363" s="14" t="n">
        <v>290.27</v>
      </c>
      <c r="R363" s="14" t="n">
        <v>290.27</v>
      </c>
      <c r="S363" s="14" t="n">
        <v>290.27</v>
      </c>
      <c r="T363" s="14" t="n">
        <v>290.27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CANON-202511-002234</t>
        </is>
      </c>
      <c r="B364" s="15" t="inlineStr">
        <is>
          <t>2025-11-10</t>
        </is>
      </c>
      <c r="C364" s="15" t="inlineStr">
        <is>
          <t>Marisol Ashcombe</t>
        </is>
      </c>
      <c r="D364" s="15" t="inlineStr">
        <is>
          <t>NY</t>
        </is>
      </c>
      <c r="E364" s="16" t="n">
        <v>515000</v>
      </c>
      <c r="F364" s="16" t="n">
        <v>4917.16</v>
      </c>
      <c r="G364" s="16" t="n">
        <v>614.64</v>
      </c>
      <c r="H364" s="16" t="n">
        <v>614.64</v>
      </c>
      <c r="I364" s="16">
        <f>SUM(K364:T364)</f>
        <v/>
      </c>
      <c r="J364" s="16">
        <f>F364-(G364+H364+I364)</f>
        <v/>
      </c>
      <c r="K364" s="16" t="n">
        <v>368.79</v>
      </c>
      <c r="L364" s="16" t="n">
        <v>368.79</v>
      </c>
      <c r="M364" s="16" t="n">
        <v>368.79</v>
      </c>
      <c r="N364" s="16" t="n">
        <v>368.79</v>
      </c>
      <c r="O364" s="16" t="n">
        <v>368.79</v>
      </c>
      <c r="P364" s="16" t="n">
        <v>368.79</v>
      </c>
      <c r="Q364" s="16" t="n">
        <v>368.79</v>
      </c>
      <c r="R364" s="16" t="n">
        <v>368.79</v>
      </c>
      <c r="S364" s="16" t="n">
        <v>368.79</v>
      </c>
      <c r="T364" s="16" t="n">
        <v>368.79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CANON-202511-002235</t>
        </is>
      </c>
      <c r="B365" s="3" t="inlineStr">
        <is>
          <t>2025-11-20</t>
        </is>
      </c>
      <c r="C365" s="3" t="inlineStr">
        <is>
          <t>Fitzgerald Larsson</t>
        </is>
      </c>
      <c r="D365" s="3" t="inlineStr">
        <is>
          <t>IA</t>
        </is>
      </c>
      <c r="E365" s="14" t="n">
        <v>715000</v>
      </c>
      <c r="F365" s="14" t="n">
        <v>8868.299999999999</v>
      </c>
      <c r="G365" s="14" t="n">
        <v>1108.54</v>
      </c>
      <c r="H365" s="14" t="n">
        <v>1108.54</v>
      </c>
      <c r="I365" s="14">
        <f>SUM(K365:T365)</f>
        <v/>
      </c>
      <c r="J365" s="14">
        <f>F365-(G365+H365+I365)</f>
        <v/>
      </c>
      <c r="K365" s="14" t="n">
        <v>665.12</v>
      </c>
      <c r="L365" s="14" t="n">
        <v>665.12</v>
      </c>
      <c r="M365" s="14" t="n">
        <v>665.12</v>
      </c>
      <c r="N365" s="14" t="n">
        <v>665.12</v>
      </c>
      <c r="O365" s="14" t="n">
        <v>665.12</v>
      </c>
      <c r="P365" s="14" t="n">
        <v>665.12</v>
      </c>
      <c r="Q365" s="14" t="n">
        <v>665.12</v>
      </c>
      <c r="R365" s="14" t="n">
        <v>665.12</v>
      </c>
      <c r="S365" s="14" t="n">
        <v>665.12</v>
      </c>
      <c r="T365" s="14" t="n">
        <v>665.12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CANON-202511-002236</t>
        </is>
      </c>
      <c r="B366" s="15" t="inlineStr">
        <is>
          <t>2025-11-12</t>
        </is>
      </c>
      <c r="C366" s="15" t="inlineStr">
        <is>
          <t>Mireille Nakashima</t>
        </is>
      </c>
      <c r="D366" s="15" t="inlineStr">
        <is>
          <t>CO</t>
        </is>
      </c>
      <c r="E366" s="16" t="n">
        <v>520000</v>
      </c>
      <c r="F366" s="16" t="n">
        <v>9426.450000000001</v>
      </c>
      <c r="G366" s="16" t="n">
        <v>1178.31</v>
      </c>
      <c r="H366" s="16" t="n">
        <v>1178.31</v>
      </c>
      <c r="I366" s="16">
        <f>SUM(K366:T366)</f>
        <v/>
      </c>
      <c r="J366" s="16">
        <f>F366-(G366+H366+I366)</f>
        <v/>
      </c>
      <c r="K366" s="16" t="n">
        <v>706.98</v>
      </c>
      <c r="L366" s="16" t="n">
        <v>706.98</v>
      </c>
      <c r="M366" s="16" t="n">
        <v>706.98</v>
      </c>
      <c r="N366" s="16" t="n">
        <v>706.98</v>
      </c>
      <c r="O366" s="16" t="n">
        <v>706.98</v>
      </c>
      <c r="P366" s="16" t="n">
        <v>706.98</v>
      </c>
      <c r="Q366" s="16" t="n">
        <v>706.98</v>
      </c>
      <c r="R366" s="16" t="n">
        <v>706.98</v>
      </c>
      <c r="S366" s="16" t="n">
        <v>706.98</v>
      </c>
      <c r="T366" s="16" t="n">
        <v>706.98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CANON-202511-002237</t>
        </is>
      </c>
      <c r="B367" s="3" t="inlineStr">
        <is>
          <t>2025-11-17</t>
        </is>
      </c>
      <c r="C367" s="3" t="inlineStr">
        <is>
          <t>Priya Chattopadhyay</t>
        </is>
      </c>
      <c r="D367" s="3" t="inlineStr">
        <is>
          <t>CO</t>
        </is>
      </c>
      <c r="E367" s="14" t="n">
        <v>300000</v>
      </c>
      <c r="F367" s="14" t="n">
        <v>4293.42</v>
      </c>
      <c r="G367" s="14" t="n">
        <v>536.6799999999999</v>
      </c>
      <c r="H367" s="14" t="n">
        <v>536.6799999999999</v>
      </c>
      <c r="I367" s="14">
        <f>SUM(K367:T367)</f>
        <v/>
      </c>
      <c r="J367" s="14">
        <f>F367-(G367+H367+I367)</f>
        <v/>
      </c>
      <c r="K367" s="14" t="n">
        <v>322.01</v>
      </c>
      <c r="L367" s="14" t="n">
        <v>322.01</v>
      </c>
      <c r="M367" s="14" t="n">
        <v>322.01</v>
      </c>
      <c r="N367" s="14" t="n">
        <v>322.01</v>
      </c>
      <c r="O367" s="14" t="n">
        <v>322.01</v>
      </c>
      <c r="P367" s="14" t="n">
        <v>322.01</v>
      </c>
      <c r="Q367" s="14" t="n">
        <v>322.01</v>
      </c>
      <c r="R367" s="14" t="n">
        <v>322.01</v>
      </c>
      <c r="S367" s="14" t="n">
        <v>322.01</v>
      </c>
      <c r="T367" s="14" t="n">
        <v>322.01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CANON-202511-002240</t>
        </is>
      </c>
      <c r="B368" s="15" t="inlineStr">
        <is>
          <t>2025-11-05</t>
        </is>
      </c>
      <c r="C368" s="15" t="inlineStr">
        <is>
          <t>Thaddeus Harrington</t>
        </is>
      </c>
      <c r="D368" s="15" t="inlineStr">
        <is>
          <t>IA</t>
        </is>
      </c>
      <c r="E368" s="16" t="n">
        <v>295000</v>
      </c>
      <c r="F368" s="16" t="n">
        <v>2702</v>
      </c>
      <c r="G368" s="16" t="n">
        <v>337.75</v>
      </c>
      <c r="H368" s="16" t="n">
        <v>337.75</v>
      </c>
      <c r="I368" s="16">
        <f>SUM(K368:T368)</f>
        <v/>
      </c>
      <c r="J368" s="16">
        <f>F368-(G368+H368+I368)</f>
        <v/>
      </c>
      <c r="K368" s="16" t="n">
        <v>202.65</v>
      </c>
      <c r="L368" s="16" t="n">
        <v>202.65</v>
      </c>
      <c r="M368" s="16" t="n">
        <v>202.65</v>
      </c>
      <c r="N368" s="16" t="n">
        <v>202.65</v>
      </c>
      <c r="O368" s="16" t="n">
        <v>202.65</v>
      </c>
      <c r="P368" s="16" t="n">
        <v>202.65</v>
      </c>
      <c r="Q368" s="16" t="n">
        <v>202.65</v>
      </c>
      <c r="R368" s="16" t="n">
        <v>202.65</v>
      </c>
      <c r="S368" s="16" t="n">
        <v>202.65</v>
      </c>
      <c r="T368" s="16" t="n">
        <v>202.65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CANON-202511-002241</t>
        </is>
      </c>
      <c r="B369" s="3" t="inlineStr">
        <is>
          <t>2025-11-22</t>
        </is>
      </c>
      <c r="C369" s="3" t="inlineStr">
        <is>
          <t>Wilhelmina Thistlewood</t>
        </is>
      </c>
      <c r="D369" s="3" t="inlineStr">
        <is>
          <t>TX</t>
        </is>
      </c>
      <c r="E369" s="14" t="n">
        <v>265000</v>
      </c>
      <c r="F369" s="14" t="n">
        <v>3964.91</v>
      </c>
      <c r="G369" s="14" t="n">
        <v>495.61</v>
      </c>
      <c r="H369" s="14" t="n">
        <v>495.61</v>
      </c>
      <c r="I369" s="14">
        <f>SUM(K369:T369)</f>
        <v/>
      </c>
      <c r="J369" s="14">
        <f>F369-(G369+H369+I369)</f>
        <v/>
      </c>
      <c r="K369" s="14" t="n">
        <v>297.37</v>
      </c>
      <c r="L369" s="14" t="n">
        <v>297.37</v>
      </c>
      <c r="M369" s="14" t="n">
        <v>297.37</v>
      </c>
      <c r="N369" s="14" t="n">
        <v>297.37</v>
      </c>
      <c r="O369" s="14" t="n">
        <v>297.37</v>
      </c>
      <c r="P369" s="14" t="n">
        <v>297.37</v>
      </c>
      <c r="Q369" s="14" t="n">
        <v>297.37</v>
      </c>
      <c r="R369" s="14" t="n">
        <v>297.37</v>
      </c>
      <c r="S369" s="14" t="n">
        <v>297.37</v>
      </c>
      <c r="T369" s="14" t="n">
        <v>297.37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CANON-202511-002242</t>
        </is>
      </c>
      <c r="B370" s="15" t="inlineStr">
        <is>
          <t>2025-11-13</t>
        </is>
      </c>
      <c r="C370" s="15" t="inlineStr">
        <is>
          <t>Priya Kingsford</t>
        </is>
      </c>
      <c r="D370" s="15" t="inlineStr">
        <is>
          <t>DE</t>
        </is>
      </c>
      <c r="E370" s="16" t="n">
        <v>540000</v>
      </c>
      <c r="F370" s="16" t="n">
        <v>7611.07</v>
      </c>
      <c r="G370" s="16" t="n">
        <v>951.38</v>
      </c>
      <c r="H370" s="16" t="n">
        <v>951.38</v>
      </c>
      <c r="I370" s="16">
        <f>SUM(K370:T370)</f>
        <v/>
      </c>
      <c r="J370" s="16">
        <f>F370-(G370+H370+I370)</f>
        <v/>
      </c>
      <c r="K370" s="16" t="n">
        <v>570.83</v>
      </c>
      <c r="L370" s="16" t="n">
        <v>570.83</v>
      </c>
      <c r="M370" s="16" t="n">
        <v>570.83</v>
      </c>
      <c r="N370" s="16" t="n">
        <v>570.83</v>
      </c>
      <c r="O370" s="16" t="n">
        <v>570.83</v>
      </c>
      <c r="P370" s="16" t="n">
        <v>570.83</v>
      </c>
      <c r="Q370" s="16" t="n">
        <v>570.83</v>
      </c>
      <c r="R370" s="16" t="n">
        <v>570.83</v>
      </c>
      <c r="S370" s="16" t="n">
        <v>570.83</v>
      </c>
      <c r="T370" s="16" t="n">
        <v>570.83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CANON-202511-002244</t>
        </is>
      </c>
      <c r="B371" s="3" t="inlineStr">
        <is>
          <t>2025-11-06</t>
        </is>
      </c>
      <c r="C371" s="3" t="inlineStr">
        <is>
          <t>Cassius Ashcombe</t>
        </is>
      </c>
      <c r="D371" s="3" t="inlineStr">
        <is>
          <t>TX</t>
        </is>
      </c>
      <c r="E371" s="14" t="n">
        <v>720000</v>
      </c>
      <c r="F371" s="14" t="n">
        <v>13645.28</v>
      </c>
      <c r="G371" s="14" t="n">
        <v>1705.66</v>
      </c>
      <c r="H371" s="14" t="n">
        <v>1705.66</v>
      </c>
      <c r="I371" s="14">
        <f>SUM(K371:T371)</f>
        <v/>
      </c>
      <c r="J371" s="14">
        <f>F371-(G371+H371+I371)</f>
        <v/>
      </c>
      <c r="K371" s="14" t="n">
        <v>1023.4</v>
      </c>
      <c r="L371" s="14" t="n">
        <v>1023.4</v>
      </c>
      <c r="M371" s="14" t="n">
        <v>1023.4</v>
      </c>
      <c r="N371" s="14" t="n">
        <v>1023.4</v>
      </c>
      <c r="O371" s="14" t="n">
        <v>1023.4</v>
      </c>
      <c r="P371" s="14" t="n">
        <v>1023.4</v>
      </c>
      <c r="Q371" s="14" t="n">
        <v>1023.4</v>
      </c>
      <c r="R371" s="14" t="n">
        <v>1023.4</v>
      </c>
      <c r="S371" s="14" t="n">
        <v>1023.4</v>
      </c>
      <c r="T371" s="14" t="n">
        <v>1023.4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CANON-202511-002245</t>
        </is>
      </c>
      <c r="B372" s="15" t="inlineStr">
        <is>
          <t>2025-11-25</t>
        </is>
      </c>
      <c r="C372" s="15" t="inlineStr">
        <is>
          <t>Sunniva Thistlewood</t>
        </is>
      </c>
      <c r="D372" s="15" t="inlineStr">
        <is>
          <t>NE</t>
        </is>
      </c>
      <c r="E372" s="16" t="n">
        <v>925000</v>
      </c>
      <c r="F372" s="16" t="n">
        <v>13558.98</v>
      </c>
      <c r="G372" s="16" t="n">
        <v>1694.87</v>
      </c>
      <c r="H372" s="16" t="n">
        <v>1694.87</v>
      </c>
      <c r="I372" s="16">
        <f>SUM(K372:T372)</f>
        <v/>
      </c>
      <c r="J372" s="16">
        <f>F372-(G372+H372+I372)</f>
        <v/>
      </c>
      <c r="K372" s="16" t="n">
        <v>1016.92</v>
      </c>
      <c r="L372" s="16" t="n">
        <v>1016.92</v>
      </c>
      <c r="M372" s="16" t="n">
        <v>1016.92</v>
      </c>
      <c r="N372" s="16" t="n">
        <v>1016.92</v>
      </c>
      <c r="O372" s="16" t="n">
        <v>1016.92</v>
      </c>
      <c r="P372" s="16" t="n">
        <v>1016.92</v>
      </c>
      <c r="Q372" s="16" t="n">
        <v>1016.92</v>
      </c>
      <c r="R372" s="16" t="n">
        <v>1016.92</v>
      </c>
      <c r="S372" s="16" t="n">
        <v>1016.92</v>
      </c>
      <c r="T372" s="16" t="n">
        <v>1016.92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CANON-202511-002247</t>
        </is>
      </c>
      <c r="B373" s="3" t="inlineStr">
        <is>
          <t>2025-11-04</t>
        </is>
      </c>
      <c r="C373" s="3" t="inlineStr">
        <is>
          <t>Aurelio Chattopadhyay</t>
        </is>
      </c>
      <c r="D373" s="3" t="inlineStr">
        <is>
          <t>CA</t>
        </is>
      </c>
      <c r="E373" s="14" t="n">
        <v>895000</v>
      </c>
      <c r="F373" s="14" t="n">
        <v>13623.82</v>
      </c>
      <c r="G373" s="14" t="n">
        <v>1702.98</v>
      </c>
      <c r="H373" s="14" t="n">
        <v>1702.98</v>
      </c>
      <c r="I373" s="14">
        <f>SUM(K373:T373)</f>
        <v/>
      </c>
      <c r="J373" s="14">
        <f>F373-(G373+H373+I373)</f>
        <v/>
      </c>
      <c r="K373" s="14" t="n">
        <v>1021.79</v>
      </c>
      <c r="L373" s="14" t="n">
        <v>1021.79</v>
      </c>
      <c r="M373" s="14" t="n">
        <v>1021.79</v>
      </c>
      <c r="N373" s="14" t="n">
        <v>1021.79</v>
      </c>
      <c r="O373" s="14" t="n">
        <v>1021.79</v>
      </c>
      <c r="P373" s="14" t="n">
        <v>1021.79</v>
      </c>
      <c r="Q373" s="14" t="n">
        <v>1021.79</v>
      </c>
      <c r="R373" s="14" t="n">
        <v>1021.79</v>
      </c>
      <c r="S373" s="14" t="n">
        <v>1021.79</v>
      </c>
      <c r="T373" s="14" t="n">
        <v>1021.79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CANON-202511-002248</t>
        </is>
      </c>
      <c r="B374" s="15" t="inlineStr">
        <is>
          <t>2025-11-29</t>
        </is>
      </c>
      <c r="C374" s="15" t="inlineStr">
        <is>
          <t>Fenwick Vandermeer</t>
        </is>
      </c>
      <c r="D374" s="15" t="inlineStr">
        <is>
          <t>ME</t>
        </is>
      </c>
      <c r="E374" s="16" t="n">
        <v>525000</v>
      </c>
      <c r="F374" s="16" t="n">
        <v>3737.62</v>
      </c>
      <c r="G374" s="16" t="n">
        <v>467.2</v>
      </c>
      <c r="H374" s="16" t="n">
        <v>467.2</v>
      </c>
      <c r="I374" s="16">
        <f>SUM(K374:T374)</f>
        <v/>
      </c>
      <c r="J374" s="16">
        <f>F374-(G374+H374+I374)</f>
        <v/>
      </c>
      <c r="K374" s="16" t="n">
        <v>280.32</v>
      </c>
      <c r="L374" s="16" t="n">
        <v>280.32</v>
      </c>
      <c r="M374" s="16" t="n">
        <v>280.32</v>
      </c>
      <c r="N374" s="16" t="n">
        <v>280.32</v>
      </c>
      <c r="O374" s="16" t="n">
        <v>280.32</v>
      </c>
      <c r="P374" s="16" t="n">
        <v>280.32</v>
      </c>
      <c r="Q374" s="16" t="n">
        <v>280.32</v>
      </c>
      <c r="R374" s="16" t="n">
        <v>280.32</v>
      </c>
      <c r="S374" s="16" t="n">
        <v>280.32</v>
      </c>
      <c r="T374" s="16" t="n">
        <v>280.32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CANON-202511-002249</t>
        </is>
      </c>
      <c r="B375" s="3" t="inlineStr">
        <is>
          <t>2025-11-24</t>
        </is>
      </c>
      <c r="C375" s="3" t="inlineStr">
        <is>
          <t>Priya Kingsford</t>
        </is>
      </c>
      <c r="D375" s="3" t="inlineStr">
        <is>
          <t>ID</t>
        </is>
      </c>
      <c r="E375" s="14" t="n">
        <v>560000</v>
      </c>
      <c r="F375" s="14" t="n">
        <v>7501.47</v>
      </c>
      <c r="G375" s="14" t="n">
        <v>937.6799999999999</v>
      </c>
      <c r="H375" s="14" t="n">
        <v>937.6799999999999</v>
      </c>
      <c r="I375" s="14">
        <f>SUM(K375:T375)</f>
        <v/>
      </c>
      <c r="J375" s="14">
        <f>F375-(G375+H375+I375)</f>
        <v/>
      </c>
      <c r="K375" s="14" t="n">
        <v>562.61</v>
      </c>
      <c r="L375" s="14" t="n">
        <v>562.61</v>
      </c>
      <c r="M375" s="14" t="n">
        <v>562.61</v>
      </c>
      <c r="N375" s="14" t="n">
        <v>562.61</v>
      </c>
      <c r="O375" s="14" t="n">
        <v>562.61</v>
      </c>
      <c r="P375" s="14" t="n">
        <v>562.61</v>
      </c>
      <c r="Q375" s="14" t="n">
        <v>562.61</v>
      </c>
      <c r="R375" s="14" t="n">
        <v>562.61</v>
      </c>
      <c r="S375" s="14" t="n">
        <v>562.61</v>
      </c>
      <c r="T375" s="14" t="n">
        <v>562.61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CANON-202511-002250</t>
        </is>
      </c>
      <c r="B376" s="15" t="inlineStr">
        <is>
          <t>2025-11-11</t>
        </is>
      </c>
      <c r="C376" s="15" t="inlineStr">
        <is>
          <t>Lorenzo Rourke</t>
        </is>
      </c>
      <c r="D376" s="15" t="inlineStr">
        <is>
          <t>HI</t>
        </is>
      </c>
      <c r="E376" s="16" t="n">
        <v>730000</v>
      </c>
      <c r="F376" s="16" t="n">
        <v>7078.86</v>
      </c>
      <c r="G376" s="16" t="n">
        <v>884.86</v>
      </c>
      <c r="H376" s="16" t="n">
        <v>884.86</v>
      </c>
      <c r="I376" s="16">
        <f>SUM(K376:T376)</f>
        <v/>
      </c>
      <c r="J376" s="16">
        <f>F376-(G376+H376+I376)</f>
        <v/>
      </c>
      <c r="K376" s="16" t="n">
        <v>530.91</v>
      </c>
      <c r="L376" s="16" t="n">
        <v>530.91</v>
      </c>
      <c r="M376" s="16" t="n">
        <v>530.91</v>
      </c>
      <c r="N376" s="16" t="n">
        <v>530.91</v>
      </c>
      <c r="O376" s="16" t="n">
        <v>530.91</v>
      </c>
      <c r="P376" s="16" t="n">
        <v>530.91</v>
      </c>
      <c r="Q376" s="16" t="n">
        <v>530.91</v>
      </c>
      <c r="R376" s="16" t="n">
        <v>530.91</v>
      </c>
      <c r="S376" s="16" t="n">
        <v>530.91</v>
      </c>
      <c r="T376" s="16" t="n">
        <v>530.91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CANON-202511-002251</t>
        </is>
      </c>
      <c r="B377" s="3" t="inlineStr">
        <is>
          <t>2025-11-21</t>
        </is>
      </c>
      <c r="C377" s="3" t="inlineStr">
        <is>
          <t>Ramona Whitlock</t>
        </is>
      </c>
      <c r="D377" s="3" t="inlineStr">
        <is>
          <t>UT</t>
        </is>
      </c>
      <c r="E377" s="14" t="n">
        <v>730000</v>
      </c>
      <c r="F377" s="14" t="n">
        <v>16240.85</v>
      </c>
      <c r="G377" s="14" t="n">
        <v>2030.11</v>
      </c>
      <c r="H377" s="14" t="n">
        <v>2030.11</v>
      </c>
      <c r="I377" s="14">
        <f>SUM(K377:T377)</f>
        <v/>
      </c>
      <c r="J377" s="14">
        <f>F377-(G377+H377+I377)</f>
        <v/>
      </c>
      <c r="K377" s="14" t="n">
        <v>1218.06</v>
      </c>
      <c r="L377" s="14" t="n">
        <v>1218.06</v>
      </c>
      <c r="M377" s="14" t="n">
        <v>1218.06</v>
      </c>
      <c r="N377" s="14" t="n">
        <v>1218.06</v>
      </c>
      <c r="O377" s="14" t="n">
        <v>1218.06</v>
      </c>
      <c r="P377" s="14" t="n">
        <v>1218.06</v>
      </c>
      <c r="Q377" s="14" t="n">
        <v>1218.06</v>
      </c>
      <c r="R377" s="14" t="n">
        <v>1218.06</v>
      </c>
      <c r="S377" s="14" t="n">
        <v>1218.06</v>
      </c>
      <c r="T377" s="14" t="n">
        <v>1218.06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CANON-202511-002254</t>
        </is>
      </c>
      <c r="B378" s="15" t="inlineStr">
        <is>
          <t>2025-11-14</t>
        </is>
      </c>
      <c r="C378" s="15" t="inlineStr">
        <is>
          <t>Desmond Vandermeer</t>
        </is>
      </c>
      <c r="D378" s="15" t="inlineStr">
        <is>
          <t>NC</t>
        </is>
      </c>
      <c r="E378" s="16" t="n">
        <v>245000</v>
      </c>
      <c r="F378" s="16" t="n">
        <v>4496.56</v>
      </c>
      <c r="G378" s="16" t="n">
        <v>562.0700000000001</v>
      </c>
      <c r="H378" s="16" t="n">
        <v>562.0700000000001</v>
      </c>
      <c r="I378" s="16">
        <f>SUM(K378:T378)</f>
        <v/>
      </c>
      <c r="J378" s="16">
        <f>F378-(G378+H378+I378)</f>
        <v/>
      </c>
      <c r="K378" s="16" t="n">
        <v>337.24</v>
      </c>
      <c r="L378" s="16" t="n">
        <v>337.24</v>
      </c>
      <c r="M378" s="16" t="n">
        <v>337.24</v>
      </c>
      <c r="N378" s="16" t="n">
        <v>337.24</v>
      </c>
      <c r="O378" s="16" t="n">
        <v>337.24</v>
      </c>
      <c r="P378" s="16" t="n">
        <v>337.24</v>
      </c>
      <c r="Q378" s="16" t="n">
        <v>337.24</v>
      </c>
      <c r="R378" s="16" t="n">
        <v>337.24</v>
      </c>
      <c r="S378" s="16" t="n">
        <v>337.24</v>
      </c>
      <c r="T378" s="16" t="n">
        <v>337.24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CANON-202511-002255</t>
        </is>
      </c>
      <c r="B379" s="3" t="inlineStr">
        <is>
          <t>2025-11-15</t>
        </is>
      </c>
      <c r="C379" s="3" t="inlineStr">
        <is>
          <t>Fitzgerald Vandermeer</t>
        </is>
      </c>
      <c r="D379" s="3" t="inlineStr">
        <is>
          <t>CA</t>
        </is>
      </c>
      <c r="E379" s="14" t="n">
        <v>330000</v>
      </c>
      <c r="F379" s="14" t="n">
        <v>5796.13</v>
      </c>
      <c r="G379" s="14" t="n">
        <v>724.52</v>
      </c>
      <c r="H379" s="14" t="n">
        <v>724.52</v>
      </c>
      <c r="I379" s="14">
        <f>SUM(K379:T379)</f>
        <v/>
      </c>
      <c r="J379" s="14">
        <f>F379-(G379+H379+I379)</f>
        <v/>
      </c>
      <c r="K379" s="14" t="n">
        <v>434.71</v>
      </c>
      <c r="L379" s="14" t="n">
        <v>434.71</v>
      </c>
      <c r="M379" s="14" t="n">
        <v>434.71</v>
      </c>
      <c r="N379" s="14" t="n">
        <v>434.71</v>
      </c>
      <c r="O379" s="14" t="n">
        <v>434.71</v>
      </c>
      <c r="P379" s="14" t="n">
        <v>434.71</v>
      </c>
      <c r="Q379" s="14" t="n">
        <v>434.71</v>
      </c>
      <c r="R379" s="14" t="n">
        <v>434.71</v>
      </c>
      <c r="S379" s="14" t="n">
        <v>434.71</v>
      </c>
      <c r="T379" s="14" t="n">
        <v>434.71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CANON-202511-002258</t>
        </is>
      </c>
      <c r="B380" s="15" t="inlineStr">
        <is>
          <t>2025-11-04</t>
        </is>
      </c>
      <c r="C380" s="15" t="inlineStr">
        <is>
          <t>Mireille Thistlewood</t>
        </is>
      </c>
      <c r="D380" s="15" t="inlineStr">
        <is>
          <t>CT</t>
        </is>
      </c>
      <c r="E380" s="16" t="n">
        <v>1040000</v>
      </c>
      <c r="F380" s="16" t="n">
        <v>16164.79</v>
      </c>
      <c r="G380" s="16" t="n">
        <v>2020.6</v>
      </c>
      <c r="H380" s="16" t="n">
        <v>2020.6</v>
      </c>
      <c r="I380" s="16">
        <f>SUM(K380:T380)</f>
        <v/>
      </c>
      <c r="J380" s="16">
        <f>F380-(G380+H380+I380)</f>
        <v/>
      </c>
      <c r="K380" s="16" t="n">
        <v>1212.36</v>
      </c>
      <c r="L380" s="16" t="n">
        <v>1212.36</v>
      </c>
      <c r="M380" s="16" t="n">
        <v>1212.36</v>
      </c>
      <c r="N380" s="16" t="n">
        <v>1212.36</v>
      </c>
      <c r="O380" s="16" t="n">
        <v>1212.36</v>
      </c>
      <c r="P380" s="16" t="n">
        <v>1212.36</v>
      </c>
      <c r="Q380" s="16" t="n">
        <v>1212.36</v>
      </c>
      <c r="R380" s="16" t="n">
        <v>1212.36</v>
      </c>
      <c r="S380" s="16" t="n">
        <v>1212.36</v>
      </c>
      <c r="T380" s="16" t="n">
        <v>1212.36</v>
      </c>
      <c r="U380" s="16" t="n">
        <v>350</v>
      </c>
      <c r="V380" s="16" t="n">
        <v>250</v>
      </c>
      <c r="W380" s="16">
        <f>U380+V380</f>
        <v/>
      </c>
    </row>
    <row r="381">
      <c r="A381" s="3" t="inlineStr">
        <is>
          <t>CANON-202511-002259</t>
        </is>
      </c>
      <c r="B381" s="3" t="inlineStr">
        <is>
          <t>2025-11-27</t>
        </is>
      </c>
      <c r="C381" s="3" t="inlineStr">
        <is>
          <t>Priya Merriweather</t>
        </is>
      </c>
      <c r="D381" s="3" t="inlineStr">
        <is>
          <t>NJ</t>
        </is>
      </c>
      <c r="E381" s="14" t="n">
        <v>360000</v>
      </c>
      <c r="F381" s="14" t="n">
        <v>4262.2</v>
      </c>
      <c r="G381" s="14" t="n">
        <v>532.77</v>
      </c>
      <c r="H381" s="14" t="n">
        <v>532.77</v>
      </c>
      <c r="I381" s="14">
        <f>SUM(K381:T381)</f>
        <v/>
      </c>
      <c r="J381" s="14">
        <f>F381-(G381+H381+I381)</f>
        <v/>
      </c>
      <c r="K381" s="14" t="n">
        <v>319.66</v>
      </c>
      <c r="L381" s="14" t="n">
        <v>319.66</v>
      </c>
      <c r="M381" s="14" t="n">
        <v>319.66</v>
      </c>
      <c r="N381" s="14" t="n">
        <v>319.66</v>
      </c>
      <c r="O381" s="14" t="n">
        <v>319.66</v>
      </c>
      <c r="P381" s="14" t="n">
        <v>319.66</v>
      </c>
      <c r="Q381" s="14" t="n">
        <v>319.66</v>
      </c>
      <c r="R381" s="14" t="n">
        <v>319.66</v>
      </c>
      <c r="S381" s="14" t="n">
        <v>319.66</v>
      </c>
      <c r="T381" s="14" t="n">
        <v>319.66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CANON-202511-002260</t>
        </is>
      </c>
      <c r="B382" s="15" t="inlineStr">
        <is>
          <t>2025-11-11</t>
        </is>
      </c>
      <c r="C382" s="15" t="inlineStr">
        <is>
          <t>Thaddeus Farkas</t>
        </is>
      </c>
      <c r="D382" s="15" t="inlineStr">
        <is>
          <t>IL</t>
        </is>
      </c>
      <c r="E382" s="16" t="n">
        <v>305000</v>
      </c>
      <c r="F382" s="16" t="n">
        <v>8274.950000000001</v>
      </c>
      <c r="G382" s="16" t="n">
        <v>1034.37</v>
      </c>
      <c r="H382" s="16" t="n">
        <v>1034.37</v>
      </c>
      <c r="I382" s="16">
        <f>SUM(K382:T382)</f>
        <v/>
      </c>
      <c r="J382" s="16">
        <f>F382-(G382+H382+I382)</f>
        <v/>
      </c>
      <c r="K382" s="16" t="n">
        <v>620.62</v>
      </c>
      <c r="L382" s="16" t="n">
        <v>620.62</v>
      </c>
      <c r="M382" s="16" t="n">
        <v>620.62</v>
      </c>
      <c r="N382" s="16" t="n">
        <v>620.62</v>
      </c>
      <c r="O382" s="16" t="n">
        <v>620.62</v>
      </c>
      <c r="P382" s="16" t="n">
        <v>620.62</v>
      </c>
      <c r="Q382" s="16" t="n">
        <v>620.62</v>
      </c>
      <c r="R382" s="16" t="n">
        <v>620.62</v>
      </c>
      <c r="S382" s="16" t="n">
        <v>620.62</v>
      </c>
      <c r="T382" s="16" t="n">
        <v>620.62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CANON-202511-002261</t>
        </is>
      </c>
      <c r="B383" s="3" t="inlineStr">
        <is>
          <t>2025-11-27</t>
        </is>
      </c>
      <c r="C383" s="3" t="inlineStr">
        <is>
          <t>Emiliano Farkas</t>
        </is>
      </c>
      <c r="D383" s="3" t="inlineStr">
        <is>
          <t>OR</t>
        </is>
      </c>
      <c r="E383" s="14" t="n">
        <v>1120000</v>
      </c>
      <c r="F383" s="14" t="n">
        <v>12075.01</v>
      </c>
      <c r="G383" s="14" t="n">
        <v>1509.38</v>
      </c>
      <c r="H383" s="14" t="n">
        <v>1509.38</v>
      </c>
      <c r="I383" s="14">
        <f>SUM(K383:T383)</f>
        <v/>
      </c>
      <c r="J383" s="14">
        <f>F383-(G383+H383+I383)</f>
        <v/>
      </c>
      <c r="K383" s="14" t="n">
        <v>905.63</v>
      </c>
      <c r="L383" s="14" t="n">
        <v>905.63</v>
      </c>
      <c r="M383" s="14" t="n">
        <v>905.63</v>
      </c>
      <c r="N383" s="14" t="n">
        <v>905.63</v>
      </c>
      <c r="O383" s="14" t="n">
        <v>905.63</v>
      </c>
      <c r="P383" s="14" t="n">
        <v>905.63</v>
      </c>
      <c r="Q383" s="14" t="n">
        <v>905.63</v>
      </c>
      <c r="R383" s="14" t="n">
        <v>905.63</v>
      </c>
      <c r="S383" s="14" t="n">
        <v>905.63</v>
      </c>
      <c r="T383" s="14" t="n">
        <v>905.63</v>
      </c>
      <c r="U383" s="14" t="n">
        <v>350</v>
      </c>
      <c r="V383" s="14" t="n">
        <v>250</v>
      </c>
      <c r="W383" s="14">
        <f>U383+V383</f>
        <v/>
      </c>
    </row>
    <row r="384">
      <c r="A384" s="15" t="inlineStr">
        <is>
          <t>CANON-202511-002262</t>
        </is>
      </c>
      <c r="B384" s="15" t="inlineStr">
        <is>
          <t>2025-11-29</t>
        </is>
      </c>
      <c r="C384" s="15" t="inlineStr">
        <is>
          <t>Marisol Farkas</t>
        </is>
      </c>
      <c r="D384" s="15" t="inlineStr">
        <is>
          <t>WV</t>
        </is>
      </c>
      <c r="E384" s="16" t="n">
        <v>895000</v>
      </c>
      <c r="F384" s="16" t="n">
        <v>13421.98</v>
      </c>
      <c r="G384" s="16" t="n">
        <v>1677.75</v>
      </c>
      <c r="H384" s="16" t="n">
        <v>1677.75</v>
      </c>
      <c r="I384" s="16">
        <f>SUM(K384:T384)</f>
        <v/>
      </c>
      <c r="J384" s="16">
        <f>F384-(G384+H384+I384)</f>
        <v/>
      </c>
      <c r="K384" s="16" t="n">
        <v>1006.65</v>
      </c>
      <c r="L384" s="16" t="n">
        <v>1006.65</v>
      </c>
      <c r="M384" s="16" t="n">
        <v>1006.65</v>
      </c>
      <c r="N384" s="16" t="n">
        <v>1006.65</v>
      </c>
      <c r="O384" s="16" t="n">
        <v>1006.65</v>
      </c>
      <c r="P384" s="16" t="n">
        <v>1006.65</v>
      </c>
      <c r="Q384" s="16" t="n">
        <v>1006.65</v>
      </c>
      <c r="R384" s="16" t="n">
        <v>1006.65</v>
      </c>
      <c r="S384" s="16" t="n">
        <v>1006.65</v>
      </c>
      <c r="T384" s="16" t="n">
        <v>1006.65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CANON-202511-002263</t>
        </is>
      </c>
      <c r="B385" s="3" t="inlineStr">
        <is>
          <t>2025-11-17</t>
        </is>
      </c>
      <c r="C385" s="3" t="inlineStr">
        <is>
          <t>Noor Pennington</t>
        </is>
      </c>
      <c r="D385" s="3" t="inlineStr">
        <is>
          <t>MI</t>
        </is>
      </c>
      <c r="E385" s="14" t="n">
        <v>175000</v>
      </c>
      <c r="F385" s="14" t="n">
        <v>4328.99</v>
      </c>
      <c r="G385" s="14" t="n">
        <v>541.12</v>
      </c>
      <c r="H385" s="14" t="n">
        <v>541.12</v>
      </c>
      <c r="I385" s="14">
        <f>SUM(K385:T385)</f>
        <v/>
      </c>
      <c r="J385" s="14">
        <f>F385-(G385+H385+I385)</f>
        <v/>
      </c>
      <c r="K385" s="14" t="n">
        <v>324.67</v>
      </c>
      <c r="L385" s="14" t="n">
        <v>324.67</v>
      </c>
      <c r="M385" s="14" t="n">
        <v>324.67</v>
      </c>
      <c r="N385" s="14" t="n">
        <v>324.67</v>
      </c>
      <c r="O385" s="14" t="n">
        <v>324.67</v>
      </c>
      <c r="P385" s="14" t="n">
        <v>324.67</v>
      </c>
      <c r="Q385" s="14" t="n">
        <v>324.67</v>
      </c>
      <c r="R385" s="14" t="n">
        <v>324.67</v>
      </c>
      <c r="S385" s="14" t="n">
        <v>324.67</v>
      </c>
      <c r="T385" s="14" t="n">
        <v>324.67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CANON-202511-002264</t>
        </is>
      </c>
      <c r="B386" s="15" t="inlineStr">
        <is>
          <t>2025-11-27</t>
        </is>
      </c>
      <c r="C386" s="15" t="inlineStr">
        <is>
          <t>Priya Okonkwo</t>
        </is>
      </c>
      <c r="D386" s="15" t="inlineStr">
        <is>
          <t>MI</t>
        </is>
      </c>
      <c r="E386" s="16" t="n">
        <v>1635000</v>
      </c>
      <c r="F386" s="16" t="n">
        <v>24179.14</v>
      </c>
      <c r="G386" s="16" t="n">
        <v>3022.39</v>
      </c>
      <c r="H386" s="16" t="n">
        <v>3022.39</v>
      </c>
      <c r="I386" s="16">
        <f>SUM(K386:T386)</f>
        <v/>
      </c>
      <c r="J386" s="16">
        <f>F386-(G386+H386+I386)</f>
        <v/>
      </c>
      <c r="K386" s="16" t="n">
        <v>1813.44</v>
      </c>
      <c r="L386" s="16" t="n">
        <v>1813.44</v>
      </c>
      <c r="M386" s="16" t="n">
        <v>1813.44</v>
      </c>
      <c r="N386" s="16" t="n">
        <v>1813.44</v>
      </c>
      <c r="O386" s="16" t="n">
        <v>1813.44</v>
      </c>
      <c r="P386" s="16" t="n">
        <v>1813.44</v>
      </c>
      <c r="Q386" s="16" t="n">
        <v>1813.44</v>
      </c>
      <c r="R386" s="16" t="n">
        <v>1813.44</v>
      </c>
      <c r="S386" s="16" t="n">
        <v>1813.44</v>
      </c>
      <c r="T386" s="16" t="n">
        <v>1813.44</v>
      </c>
      <c r="U386" s="16" t="n">
        <v>350</v>
      </c>
      <c r="V386" s="16" t="n">
        <v>250</v>
      </c>
      <c r="W386" s="16">
        <f>U386+V386</f>
        <v/>
      </c>
    </row>
    <row r="387">
      <c r="A387" s="3" t="inlineStr">
        <is>
          <t>CANON-202511-002265</t>
        </is>
      </c>
      <c r="B387" s="3" t="inlineStr">
        <is>
          <t>2025-11-27</t>
        </is>
      </c>
      <c r="C387" s="3" t="inlineStr">
        <is>
          <t>Ottilie Castellanos</t>
        </is>
      </c>
      <c r="D387" s="3" t="inlineStr">
        <is>
          <t>NJ</t>
        </is>
      </c>
      <c r="E387" s="14" t="n">
        <v>430000</v>
      </c>
      <c r="F387" s="14" t="n">
        <v>7806.14</v>
      </c>
      <c r="G387" s="14" t="n">
        <v>975.77</v>
      </c>
      <c r="H387" s="14" t="n">
        <v>975.77</v>
      </c>
      <c r="I387" s="14">
        <f>SUM(K387:T387)</f>
        <v/>
      </c>
      <c r="J387" s="14">
        <f>F387-(G387+H387+I387)</f>
        <v/>
      </c>
      <c r="K387" s="14" t="n">
        <v>585.46</v>
      </c>
      <c r="L387" s="14" t="n">
        <v>585.46</v>
      </c>
      <c r="M387" s="14" t="n">
        <v>585.46</v>
      </c>
      <c r="N387" s="14" t="n">
        <v>585.46</v>
      </c>
      <c r="O387" s="14" t="n">
        <v>585.46</v>
      </c>
      <c r="P387" s="14" t="n">
        <v>585.46</v>
      </c>
      <c r="Q387" s="14" t="n">
        <v>585.46</v>
      </c>
      <c r="R387" s="14" t="n">
        <v>585.46</v>
      </c>
      <c r="S387" s="14" t="n">
        <v>585.46</v>
      </c>
      <c r="T387" s="14" t="n">
        <v>585.46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CANON-202511-002266</t>
        </is>
      </c>
      <c r="B388" s="15" t="inlineStr">
        <is>
          <t>2025-11-26</t>
        </is>
      </c>
      <c r="C388" s="15" t="inlineStr">
        <is>
          <t>Mireille Nakashima</t>
        </is>
      </c>
      <c r="D388" s="15" t="inlineStr">
        <is>
          <t>ND</t>
        </is>
      </c>
      <c r="E388" s="16" t="n">
        <v>1205000</v>
      </c>
      <c r="F388" s="16" t="n">
        <v>17057.12</v>
      </c>
      <c r="G388" s="16" t="n">
        <v>2132.14</v>
      </c>
      <c r="H388" s="16" t="n">
        <v>2132.14</v>
      </c>
      <c r="I388" s="16">
        <f>SUM(K388:T388)</f>
        <v/>
      </c>
      <c r="J388" s="16">
        <f>F388-(G388+H388+I388)</f>
        <v/>
      </c>
      <c r="K388" s="16" t="n">
        <v>1279.28</v>
      </c>
      <c r="L388" s="16" t="n">
        <v>1279.28</v>
      </c>
      <c r="M388" s="16" t="n">
        <v>1279.28</v>
      </c>
      <c r="N388" s="16" t="n">
        <v>1279.28</v>
      </c>
      <c r="O388" s="16" t="n">
        <v>1279.28</v>
      </c>
      <c r="P388" s="16" t="n">
        <v>1279.28</v>
      </c>
      <c r="Q388" s="16" t="n">
        <v>1279.28</v>
      </c>
      <c r="R388" s="16" t="n">
        <v>1279.28</v>
      </c>
      <c r="S388" s="16" t="n">
        <v>1279.28</v>
      </c>
      <c r="T388" s="16" t="n">
        <v>1279.28</v>
      </c>
      <c r="U388" s="16" t="n">
        <v>350</v>
      </c>
      <c r="V388" s="16" t="n">
        <v>250</v>
      </c>
      <c r="W388" s="16">
        <f>U388+V388</f>
        <v/>
      </c>
    </row>
    <row r="389">
      <c r="A389" s="3" t="inlineStr">
        <is>
          <t>CANON-202511-002268</t>
        </is>
      </c>
      <c r="B389" s="3" t="inlineStr">
        <is>
          <t>2025-11-11</t>
        </is>
      </c>
      <c r="C389" s="3" t="inlineStr">
        <is>
          <t>Lorenzo Rourke</t>
        </is>
      </c>
      <c r="D389" s="3" t="inlineStr">
        <is>
          <t>AR</t>
        </is>
      </c>
      <c r="E389" s="14" t="n">
        <v>875000</v>
      </c>
      <c r="F389" s="14" t="n">
        <v>13615.36</v>
      </c>
      <c r="G389" s="14" t="n">
        <v>1701.92</v>
      </c>
      <c r="H389" s="14" t="n">
        <v>1701.92</v>
      </c>
      <c r="I389" s="14">
        <f>SUM(K389:T389)</f>
        <v/>
      </c>
      <c r="J389" s="14">
        <f>F389-(G389+H389+I389)</f>
        <v/>
      </c>
      <c r="K389" s="14" t="n">
        <v>1021.15</v>
      </c>
      <c r="L389" s="14" t="n">
        <v>1021.15</v>
      </c>
      <c r="M389" s="14" t="n">
        <v>1021.15</v>
      </c>
      <c r="N389" s="14" t="n">
        <v>1021.15</v>
      </c>
      <c r="O389" s="14" t="n">
        <v>1021.15</v>
      </c>
      <c r="P389" s="14" t="n">
        <v>1021.15</v>
      </c>
      <c r="Q389" s="14" t="n">
        <v>1021.15</v>
      </c>
      <c r="R389" s="14" t="n">
        <v>1021.15</v>
      </c>
      <c r="S389" s="14" t="n">
        <v>1021.15</v>
      </c>
      <c r="T389" s="14" t="n">
        <v>1021.15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CANON-202511-002269</t>
        </is>
      </c>
      <c r="B390" s="15" t="inlineStr">
        <is>
          <t>2025-11-19</t>
        </is>
      </c>
      <c r="C390" s="15" t="inlineStr">
        <is>
          <t>Ingrid Chattopadhyay</t>
        </is>
      </c>
      <c r="D390" s="15" t="inlineStr">
        <is>
          <t>WI</t>
        </is>
      </c>
      <c r="E390" s="16" t="n">
        <v>620000</v>
      </c>
      <c r="F390" s="16" t="n">
        <v>8389.09</v>
      </c>
      <c r="G390" s="16" t="n">
        <v>1048.64</v>
      </c>
      <c r="H390" s="16" t="n">
        <v>1048.64</v>
      </c>
      <c r="I390" s="16">
        <f>SUM(K390:T390)</f>
        <v/>
      </c>
      <c r="J390" s="16">
        <f>F390-(G390+H390+I390)</f>
        <v/>
      </c>
      <c r="K390" s="16" t="n">
        <v>629.1799999999999</v>
      </c>
      <c r="L390" s="16" t="n">
        <v>629.1799999999999</v>
      </c>
      <c r="M390" s="16" t="n">
        <v>629.1799999999999</v>
      </c>
      <c r="N390" s="16" t="n">
        <v>629.1799999999999</v>
      </c>
      <c r="O390" s="16" t="n">
        <v>629.1799999999999</v>
      </c>
      <c r="P390" s="16" t="n">
        <v>629.1799999999999</v>
      </c>
      <c r="Q390" s="16" t="n">
        <v>629.1799999999999</v>
      </c>
      <c r="R390" s="16" t="n">
        <v>629.1799999999999</v>
      </c>
      <c r="S390" s="16" t="n">
        <v>629.1799999999999</v>
      </c>
      <c r="T390" s="16" t="n">
        <v>629.1799999999999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CANON-202511-002270</t>
        </is>
      </c>
      <c r="B391" s="3" t="inlineStr">
        <is>
          <t>2025-11-11</t>
        </is>
      </c>
      <c r="C391" s="3" t="inlineStr">
        <is>
          <t>Noor Fairweather</t>
        </is>
      </c>
      <c r="D391" s="3" t="inlineStr">
        <is>
          <t>LA</t>
        </is>
      </c>
      <c r="E391" s="14" t="n">
        <v>1120000</v>
      </c>
      <c r="F391" s="14" t="n">
        <v>15986.04</v>
      </c>
      <c r="G391" s="14" t="n">
        <v>1998.26</v>
      </c>
      <c r="H391" s="14" t="n">
        <v>1998.26</v>
      </c>
      <c r="I391" s="14">
        <f>SUM(K391:T391)</f>
        <v/>
      </c>
      <c r="J391" s="14">
        <f>F391-(G391+H391+I391)</f>
        <v/>
      </c>
      <c r="K391" s="14" t="n">
        <v>1198.95</v>
      </c>
      <c r="L391" s="14" t="n">
        <v>1198.95</v>
      </c>
      <c r="M391" s="14" t="n">
        <v>1198.95</v>
      </c>
      <c r="N391" s="14" t="n">
        <v>1198.95</v>
      </c>
      <c r="O391" s="14" t="n">
        <v>1198.95</v>
      </c>
      <c r="P391" s="14" t="n">
        <v>1198.95</v>
      </c>
      <c r="Q391" s="14" t="n">
        <v>1198.95</v>
      </c>
      <c r="R391" s="14" t="n">
        <v>1198.95</v>
      </c>
      <c r="S391" s="14" t="n">
        <v>1198.95</v>
      </c>
      <c r="T391" s="14" t="n">
        <v>1198.95</v>
      </c>
      <c r="U391" s="14" t="n">
        <v>350</v>
      </c>
      <c r="V391" s="14" t="n">
        <v>250</v>
      </c>
      <c r="W391" s="14">
        <f>U391+V391</f>
        <v/>
      </c>
    </row>
    <row r="392">
      <c r="A392" s="15" t="inlineStr">
        <is>
          <t>CANON-202511-002272</t>
        </is>
      </c>
      <c r="B392" s="15" t="inlineStr">
        <is>
          <t>2025-11-27</t>
        </is>
      </c>
      <c r="C392" s="15" t="inlineStr">
        <is>
          <t>Desmond Delacroix</t>
        </is>
      </c>
      <c r="D392" s="15" t="inlineStr">
        <is>
          <t>ND</t>
        </is>
      </c>
      <c r="E392" s="16" t="n">
        <v>1345000</v>
      </c>
      <c r="F392" s="16" t="n">
        <v>13089.22</v>
      </c>
      <c r="G392" s="16" t="n">
        <v>1636.15</v>
      </c>
      <c r="H392" s="16" t="n">
        <v>1636.15</v>
      </c>
      <c r="I392" s="16">
        <f>SUM(K392:T392)</f>
        <v/>
      </c>
      <c r="J392" s="16">
        <f>F392-(G392+H392+I392)</f>
        <v/>
      </c>
      <c r="K392" s="16" t="n">
        <v>981.6900000000001</v>
      </c>
      <c r="L392" s="16" t="n">
        <v>981.6900000000001</v>
      </c>
      <c r="M392" s="16" t="n">
        <v>981.6900000000001</v>
      </c>
      <c r="N392" s="16" t="n">
        <v>981.6900000000001</v>
      </c>
      <c r="O392" s="16" t="n">
        <v>981.6900000000001</v>
      </c>
      <c r="P392" s="16" t="n">
        <v>981.6900000000001</v>
      </c>
      <c r="Q392" s="16" t="n">
        <v>981.6900000000001</v>
      </c>
      <c r="R392" s="16" t="n">
        <v>981.6900000000001</v>
      </c>
      <c r="S392" s="16" t="n">
        <v>981.6900000000001</v>
      </c>
      <c r="T392" s="16" t="n">
        <v>981.6900000000001</v>
      </c>
      <c r="U392" s="16" t="n">
        <v>350</v>
      </c>
      <c r="V392" s="16" t="n">
        <v>250</v>
      </c>
      <c r="W392" s="16">
        <f>U392+V392</f>
        <v/>
      </c>
    </row>
    <row r="393">
      <c r="A393" s="3" t="inlineStr">
        <is>
          <t>CANON-202511-002273</t>
        </is>
      </c>
      <c r="B393" s="3" t="inlineStr">
        <is>
          <t>2025-11-03</t>
        </is>
      </c>
      <c r="C393" s="3" t="inlineStr">
        <is>
          <t>Fitzgerald Underwood</t>
        </is>
      </c>
      <c r="D393" s="3" t="inlineStr">
        <is>
          <t>OK</t>
        </is>
      </c>
      <c r="E393" s="14" t="n">
        <v>645000</v>
      </c>
      <c r="F393" s="14" t="n">
        <v>5357.26</v>
      </c>
      <c r="G393" s="14" t="n">
        <v>669.66</v>
      </c>
      <c r="H393" s="14" t="n">
        <v>669.66</v>
      </c>
      <c r="I393" s="14">
        <f>SUM(K393:T393)</f>
        <v/>
      </c>
      <c r="J393" s="14">
        <f>F393-(G393+H393+I393)</f>
        <v/>
      </c>
      <c r="K393" s="14" t="n">
        <v>401.79</v>
      </c>
      <c r="L393" s="14" t="n">
        <v>401.79</v>
      </c>
      <c r="M393" s="14" t="n">
        <v>401.79</v>
      </c>
      <c r="N393" s="14" t="n">
        <v>401.79</v>
      </c>
      <c r="O393" s="14" t="n">
        <v>401.79</v>
      </c>
      <c r="P393" s="14" t="n">
        <v>401.79</v>
      </c>
      <c r="Q393" s="14" t="n">
        <v>401.79</v>
      </c>
      <c r="R393" s="14" t="n">
        <v>401.79</v>
      </c>
      <c r="S393" s="14" t="n">
        <v>401.79</v>
      </c>
      <c r="T393" s="14" t="n">
        <v>401.79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CANON-202511-002275</t>
        </is>
      </c>
      <c r="B394" s="15" t="inlineStr">
        <is>
          <t>2025-11-30</t>
        </is>
      </c>
      <c r="C394" s="15" t="inlineStr">
        <is>
          <t>Fenwick Underwood</t>
        </is>
      </c>
      <c r="D394" s="15" t="inlineStr">
        <is>
          <t>NJ</t>
        </is>
      </c>
      <c r="E394" s="16" t="n">
        <v>665000</v>
      </c>
      <c r="F394" s="16" t="n">
        <v>4513.99</v>
      </c>
      <c r="G394" s="16" t="n">
        <v>564.25</v>
      </c>
      <c r="H394" s="16" t="n">
        <v>564.25</v>
      </c>
      <c r="I394" s="16">
        <f>SUM(K394:T394)</f>
        <v/>
      </c>
      <c r="J394" s="16">
        <f>F394-(G394+H394+I394)</f>
        <v/>
      </c>
      <c r="K394" s="16" t="n">
        <v>338.55</v>
      </c>
      <c r="L394" s="16" t="n">
        <v>338.55</v>
      </c>
      <c r="M394" s="16" t="n">
        <v>338.55</v>
      </c>
      <c r="N394" s="16" t="n">
        <v>338.55</v>
      </c>
      <c r="O394" s="16" t="n">
        <v>338.55</v>
      </c>
      <c r="P394" s="16" t="n">
        <v>338.55</v>
      </c>
      <c r="Q394" s="16" t="n">
        <v>338.55</v>
      </c>
      <c r="R394" s="16" t="n">
        <v>338.55</v>
      </c>
      <c r="S394" s="16" t="n">
        <v>338.55</v>
      </c>
      <c r="T394" s="16" t="n">
        <v>338.55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CANON-202511-002276</t>
        </is>
      </c>
      <c r="B395" s="3" t="inlineStr">
        <is>
          <t>2025-11-01</t>
        </is>
      </c>
      <c r="C395" s="3" t="inlineStr">
        <is>
          <t>Ottilie Fairweather</t>
        </is>
      </c>
      <c r="D395" s="3" t="inlineStr">
        <is>
          <t>AL</t>
        </is>
      </c>
      <c r="E395" s="14" t="n">
        <v>300000</v>
      </c>
      <c r="F395" s="14" t="n">
        <v>4956.95</v>
      </c>
      <c r="G395" s="14" t="n">
        <v>619.62</v>
      </c>
      <c r="H395" s="14" t="n">
        <v>619.62</v>
      </c>
      <c r="I395" s="14">
        <f>SUM(K395:T395)</f>
        <v/>
      </c>
      <c r="J395" s="14">
        <f>F395-(G395+H395+I395)</f>
        <v/>
      </c>
      <c r="K395" s="14" t="n">
        <v>371.77</v>
      </c>
      <c r="L395" s="14" t="n">
        <v>371.77</v>
      </c>
      <c r="M395" s="14" t="n">
        <v>371.77</v>
      </c>
      <c r="N395" s="14" t="n">
        <v>371.77</v>
      </c>
      <c r="O395" s="14" t="n">
        <v>371.77</v>
      </c>
      <c r="P395" s="14" t="n">
        <v>371.77</v>
      </c>
      <c r="Q395" s="14" t="n">
        <v>371.77</v>
      </c>
      <c r="R395" s="14" t="n">
        <v>371.77</v>
      </c>
      <c r="S395" s="14" t="n">
        <v>371.77</v>
      </c>
      <c r="T395" s="14" t="n">
        <v>371.77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CANON-202511-002277</t>
        </is>
      </c>
      <c r="B396" s="15" t="inlineStr">
        <is>
          <t>2025-11-08</t>
        </is>
      </c>
      <c r="C396" s="15" t="inlineStr">
        <is>
          <t>Marisol Merriweather</t>
        </is>
      </c>
      <c r="D396" s="15" t="inlineStr">
        <is>
          <t>MA</t>
        </is>
      </c>
      <c r="E396" s="16" t="n">
        <v>385000</v>
      </c>
      <c r="F396" s="16" t="n">
        <v>6261.24</v>
      </c>
      <c r="G396" s="16" t="n">
        <v>782.65</v>
      </c>
      <c r="H396" s="16" t="n">
        <v>782.65</v>
      </c>
      <c r="I396" s="16">
        <f>SUM(K396:T396)</f>
        <v/>
      </c>
      <c r="J396" s="16">
        <f>F396-(G396+H396+I396)</f>
        <v/>
      </c>
      <c r="K396" s="16" t="n">
        <v>469.59</v>
      </c>
      <c r="L396" s="16" t="n">
        <v>469.59</v>
      </c>
      <c r="M396" s="16" t="n">
        <v>469.59</v>
      </c>
      <c r="N396" s="16" t="n">
        <v>469.59</v>
      </c>
      <c r="O396" s="16" t="n">
        <v>469.59</v>
      </c>
      <c r="P396" s="16" t="n">
        <v>469.59</v>
      </c>
      <c r="Q396" s="16" t="n">
        <v>469.59</v>
      </c>
      <c r="R396" s="16" t="n">
        <v>469.59</v>
      </c>
      <c r="S396" s="16" t="n">
        <v>469.59</v>
      </c>
      <c r="T396" s="16" t="n">
        <v>469.59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CANON-202511-002278</t>
        </is>
      </c>
      <c r="B397" s="3" t="inlineStr">
        <is>
          <t>2025-11-21</t>
        </is>
      </c>
      <c r="C397" s="3" t="inlineStr">
        <is>
          <t>Ramona Vandermeer</t>
        </is>
      </c>
      <c r="D397" s="3" t="inlineStr">
        <is>
          <t>OH</t>
        </is>
      </c>
      <c r="E397" s="14" t="n">
        <v>205000</v>
      </c>
      <c r="F397" s="14" t="n">
        <v>4547.63</v>
      </c>
      <c r="G397" s="14" t="n">
        <v>568.45</v>
      </c>
      <c r="H397" s="14" t="n">
        <v>568.45</v>
      </c>
      <c r="I397" s="14">
        <f>SUM(K397:T397)</f>
        <v/>
      </c>
      <c r="J397" s="14">
        <f>F397-(G397+H397+I397)</f>
        <v/>
      </c>
      <c r="K397" s="14" t="n">
        <v>341.07</v>
      </c>
      <c r="L397" s="14" t="n">
        <v>341.07</v>
      </c>
      <c r="M397" s="14" t="n">
        <v>341.07</v>
      </c>
      <c r="N397" s="14" t="n">
        <v>341.07</v>
      </c>
      <c r="O397" s="14" t="n">
        <v>341.07</v>
      </c>
      <c r="P397" s="14" t="n">
        <v>341.07</v>
      </c>
      <c r="Q397" s="14" t="n">
        <v>341.07</v>
      </c>
      <c r="R397" s="14" t="n">
        <v>341.07</v>
      </c>
      <c r="S397" s="14" t="n">
        <v>341.07</v>
      </c>
      <c r="T397" s="14" t="n">
        <v>341.07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CANON-202511-002279</t>
        </is>
      </c>
      <c r="B398" s="15" t="inlineStr">
        <is>
          <t>2025-11-20</t>
        </is>
      </c>
      <c r="C398" s="15" t="inlineStr">
        <is>
          <t>Mireille Castellanos</t>
        </is>
      </c>
      <c r="D398" s="15" t="inlineStr">
        <is>
          <t>MI</t>
        </is>
      </c>
      <c r="E398" s="16" t="n">
        <v>640000</v>
      </c>
      <c r="F398" s="16" t="n">
        <v>16347.97</v>
      </c>
      <c r="G398" s="16" t="n">
        <v>2043.5</v>
      </c>
      <c r="H398" s="16" t="n">
        <v>2043.5</v>
      </c>
      <c r="I398" s="16">
        <f>SUM(K398:T398)</f>
        <v/>
      </c>
      <c r="J398" s="16">
        <f>F398-(G398+H398+I398)</f>
        <v/>
      </c>
      <c r="K398" s="16" t="n">
        <v>1226.1</v>
      </c>
      <c r="L398" s="16" t="n">
        <v>1226.1</v>
      </c>
      <c r="M398" s="16" t="n">
        <v>1226.1</v>
      </c>
      <c r="N398" s="16" t="n">
        <v>1226.1</v>
      </c>
      <c r="O398" s="16" t="n">
        <v>1226.1</v>
      </c>
      <c r="P398" s="16" t="n">
        <v>1226.1</v>
      </c>
      <c r="Q398" s="16" t="n">
        <v>1226.1</v>
      </c>
      <c r="R398" s="16" t="n">
        <v>1226.1</v>
      </c>
      <c r="S398" s="16" t="n">
        <v>1226.1</v>
      </c>
      <c r="T398" s="16" t="n">
        <v>1226.1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CANON-202511-002280</t>
        </is>
      </c>
      <c r="B399" s="3" t="inlineStr">
        <is>
          <t>2025-11-28</t>
        </is>
      </c>
      <c r="C399" s="3" t="inlineStr">
        <is>
          <t>Marisol Castellanos</t>
        </is>
      </c>
      <c r="D399" s="3" t="inlineStr">
        <is>
          <t>FL</t>
        </is>
      </c>
      <c r="E399" s="14" t="n">
        <v>215000</v>
      </c>
      <c r="F399" s="14" t="n">
        <v>3018.78</v>
      </c>
      <c r="G399" s="14" t="n">
        <v>377.35</v>
      </c>
      <c r="H399" s="14" t="n">
        <v>377.35</v>
      </c>
      <c r="I399" s="14">
        <f>SUM(K399:T399)</f>
        <v/>
      </c>
      <c r="J399" s="14">
        <f>F399-(G399+H399+I399)</f>
        <v/>
      </c>
      <c r="K399" s="14" t="n">
        <v>226.41</v>
      </c>
      <c r="L399" s="14" t="n">
        <v>226.41</v>
      </c>
      <c r="M399" s="14" t="n">
        <v>226.41</v>
      </c>
      <c r="N399" s="14" t="n">
        <v>226.41</v>
      </c>
      <c r="O399" s="14" t="n">
        <v>226.41</v>
      </c>
      <c r="P399" s="14" t="n">
        <v>226.41</v>
      </c>
      <c r="Q399" s="14" t="n">
        <v>226.41</v>
      </c>
      <c r="R399" s="14" t="n">
        <v>226.41</v>
      </c>
      <c r="S399" s="14" t="n">
        <v>226.41</v>
      </c>
      <c r="T399" s="14" t="n">
        <v>226.41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CANON-202511-002281</t>
        </is>
      </c>
      <c r="B400" s="15" t="inlineStr">
        <is>
          <t>2025-11-24</t>
        </is>
      </c>
      <c r="C400" s="15" t="inlineStr">
        <is>
          <t>Lorenzo Blackwood</t>
        </is>
      </c>
      <c r="D400" s="15" t="inlineStr">
        <is>
          <t>NJ</t>
        </is>
      </c>
      <c r="E400" s="16" t="n">
        <v>1010000</v>
      </c>
      <c r="F400" s="16" t="n">
        <v>5420.88</v>
      </c>
      <c r="G400" s="16" t="n">
        <v>677.61</v>
      </c>
      <c r="H400" s="16" t="n">
        <v>677.61</v>
      </c>
      <c r="I400" s="16">
        <f>SUM(K400:T400)</f>
        <v/>
      </c>
      <c r="J400" s="16">
        <f>F400-(G400+H400+I400)</f>
        <v/>
      </c>
      <c r="K400" s="16" t="n">
        <v>406.57</v>
      </c>
      <c r="L400" s="16" t="n">
        <v>406.57</v>
      </c>
      <c r="M400" s="16" t="n">
        <v>406.57</v>
      </c>
      <c r="N400" s="16" t="n">
        <v>406.57</v>
      </c>
      <c r="O400" s="16" t="n">
        <v>406.57</v>
      </c>
      <c r="P400" s="16" t="n">
        <v>406.57</v>
      </c>
      <c r="Q400" s="16" t="n">
        <v>406.57</v>
      </c>
      <c r="R400" s="16" t="n">
        <v>406.57</v>
      </c>
      <c r="S400" s="16" t="n">
        <v>406.57</v>
      </c>
      <c r="T400" s="16" t="n">
        <v>406.57</v>
      </c>
      <c r="U400" s="16" t="n">
        <v>350</v>
      </c>
      <c r="V400" s="16" t="n">
        <v>250</v>
      </c>
      <c r="W400" s="16">
        <f>U400+V400</f>
        <v/>
      </c>
    </row>
    <row r="401">
      <c r="A401" s="3" t="inlineStr">
        <is>
          <t>CANON-202511-002283</t>
        </is>
      </c>
      <c r="B401" s="3" t="inlineStr">
        <is>
          <t>2025-11-20</t>
        </is>
      </c>
      <c r="C401" s="3" t="inlineStr">
        <is>
          <t>Fitzgerald Harrington</t>
        </is>
      </c>
      <c r="D401" s="3" t="inlineStr">
        <is>
          <t>WV</t>
        </is>
      </c>
      <c r="E401" s="14" t="n">
        <v>1045000</v>
      </c>
      <c r="F401" s="14" t="n">
        <v>16394.78</v>
      </c>
      <c r="G401" s="14" t="n">
        <v>2049.35</v>
      </c>
      <c r="H401" s="14" t="n">
        <v>2049.35</v>
      </c>
      <c r="I401" s="14">
        <f>SUM(K401:T401)</f>
        <v/>
      </c>
      <c r="J401" s="14">
        <f>F401-(G401+H401+I401)</f>
        <v/>
      </c>
      <c r="K401" s="14" t="n">
        <v>1229.61</v>
      </c>
      <c r="L401" s="14" t="n">
        <v>1229.61</v>
      </c>
      <c r="M401" s="14" t="n">
        <v>1229.61</v>
      </c>
      <c r="N401" s="14" t="n">
        <v>1229.61</v>
      </c>
      <c r="O401" s="14" t="n">
        <v>1229.61</v>
      </c>
      <c r="P401" s="14" t="n">
        <v>1229.61</v>
      </c>
      <c r="Q401" s="14" t="n">
        <v>1229.61</v>
      </c>
      <c r="R401" s="14" t="n">
        <v>1229.61</v>
      </c>
      <c r="S401" s="14" t="n">
        <v>1229.61</v>
      </c>
      <c r="T401" s="14" t="n">
        <v>1229.61</v>
      </c>
      <c r="U401" s="14" t="n">
        <v>350</v>
      </c>
      <c r="V401" s="14" t="n">
        <v>250</v>
      </c>
      <c r="W401" s="14">
        <f>U401+V401</f>
        <v/>
      </c>
    </row>
    <row r="402">
      <c r="A402" s="15" t="inlineStr">
        <is>
          <t>CANON-202511-002284</t>
        </is>
      </c>
      <c r="B402" s="15" t="inlineStr">
        <is>
          <t>2025-11-26</t>
        </is>
      </c>
      <c r="C402" s="15" t="inlineStr">
        <is>
          <t>Beatrix Nakashima</t>
        </is>
      </c>
      <c r="D402" s="15" t="inlineStr">
        <is>
          <t>SD</t>
        </is>
      </c>
      <c r="E402" s="16" t="n">
        <v>860000</v>
      </c>
      <c r="F402" s="16" t="n">
        <v>10763.75</v>
      </c>
      <c r="G402" s="16" t="n">
        <v>1345.47</v>
      </c>
      <c r="H402" s="16" t="n">
        <v>1345.47</v>
      </c>
      <c r="I402" s="16">
        <f>SUM(K402:T402)</f>
        <v/>
      </c>
      <c r="J402" s="16">
        <f>F402-(G402+H402+I402)</f>
        <v/>
      </c>
      <c r="K402" s="16" t="n">
        <v>807.28</v>
      </c>
      <c r="L402" s="16" t="n">
        <v>807.28</v>
      </c>
      <c r="M402" s="16" t="n">
        <v>807.28</v>
      </c>
      <c r="N402" s="16" t="n">
        <v>807.28</v>
      </c>
      <c r="O402" s="16" t="n">
        <v>807.28</v>
      </c>
      <c r="P402" s="16" t="n">
        <v>807.28</v>
      </c>
      <c r="Q402" s="16" t="n">
        <v>807.28</v>
      </c>
      <c r="R402" s="16" t="n">
        <v>807.28</v>
      </c>
      <c r="S402" s="16" t="n">
        <v>807.28</v>
      </c>
      <c r="T402" s="16" t="n">
        <v>807.28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CANON-202511-002285</t>
        </is>
      </c>
      <c r="B403" s="3" t="inlineStr">
        <is>
          <t>2025-11-27</t>
        </is>
      </c>
      <c r="C403" s="3" t="inlineStr">
        <is>
          <t>Fenwick Ashcombe</t>
        </is>
      </c>
      <c r="D403" s="3" t="inlineStr">
        <is>
          <t>SD</t>
        </is>
      </c>
      <c r="E403" s="14" t="n">
        <v>1440000</v>
      </c>
      <c r="F403" s="14" t="n">
        <v>22182.17</v>
      </c>
      <c r="G403" s="14" t="n">
        <v>2772.77</v>
      </c>
      <c r="H403" s="14" t="n">
        <v>2772.77</v>
      </c>
      <c r="I403" s="14">
        <f>SUM(K403:T403)</f>
        <v/>
      </c>
      <c r="J403" s="14">
        <f>F403-(G403+H403+I403)</f>
        <v/>
      </c>
      <c r="K403" s="14" t="n">
        <v>1663.66</v>
      </c>
      <c r="L403" s="14" t="n">
        <v>1663.66</v>
      </c>
      <c r="M403" s="14" t="n">
        <v>1663.66</v>
      </c>
      <c r="N403" s="14" t="n">
        <v>1663.66</v>
      </c>
      <c r="O403" s="14" t="n">
        <v>1663.66</v>
      </c>
      <c r="P403" s="14" t="n">
        <v>1663.66</v>
      </c>
      <c r="Q403" s="14" t="n">
        <v>1663.66</v>
      </c>
      <c r="R403" s="14" t="n">
        <v>1663.66</v>
      </c>
      <c r="S403" s="14" t="n">
        <v>1663.66</v>
      </c>
      <c r="T403" s="14" t="n">
        <v>1663.66</v>
      </c>
      <c r="U403" s="14" t="n">
        <v>350</v>
      </c>
      <c r="V403" s="14" t="n">
        <v>250</v>
      </c>
      <c r="W403" s="14">
        <f>U403+V403</f>
        <v/>
      </c>
    </row>
    <row r="404">
      <c r="A404" s="15" t="inlineStr">
        <is>
          <t>CANON-202511-002286</t>
        </is>
      </c>
      <c r="B404" s="15" t="inlineStr">
        <is>
          <t>2025-11-08</t>
        </is>
      </c>
      <c r="C404" s="15" t="inlineStr">
        <is>
          <t>Marisol Underwood</t>
        </is>
      </c>
      <c r="D404" s="15" t="inlineStr">
        <is>
          <t>NC</t>
        </is>
      </c>
      <c r="E404" s="16" t="n">
        <v>375000</v>
      </c>
      <c r="F404" s="16" t="n">
        <v>8603.110000000001</v>
      </c>
      <c r="G404" s="16" t="n">
        <v>1075.39</v>
      </c>
      <c r="H404" s="16" t="n">
        <v>1075.39</v>
      </c>
      <c r="I404" s="16">
        <f>SUM(K404:T404)</f>
        <v/>
      </c>
      <c r="J404" s="16">
        <f>F404-(G404+H404+I404)</f>
        <v/>
      </c>
      <c r="K404" s="16" t="n">
        <v>645.23</v>
      </c>
      <c r="L404" s="16" t="n">
        <v>645.23</v>
      </c>
      <c r="M404" s="16" t="n">
        <v>645.23</v>
      </c>
      <c r="N404" s="16" t="n">
        <v>645.23</v>
      </c>
      <c r="O404" s="16" t="n">
        <v>645.23</v>
      </c>
      <c r="P404" s="16" t="n">
        <v>645.23</v>
      </c>
      <c r="Q404" s="16" t="n">
        <v>645.23</v>
      </c>
      <c r="R404" s="16" t="n">
        <v>645.23</v>
      </c>
      <c r="S404" s="16" t="n">
        <v>645.23</v>
      </c>
      <c r="T404" s="16" t="n">
        <v>645.23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CANON-202511-002287</t>
        </is>
      </c>
      <c r="B405" s="3" t="inlineStr">
        <is>
          <t>2025-11-05</t>
        </is>
      </c>
      <c r="C405" s="3" t="inlineStr">
        <is>
          <t>Beatrix Larsson</t>
        </is>
      </c>
      <c r="D405" s="3" t="inlineStr">
        <is>
          <t>IL</t>
        </is>
      </c>
      <c r="E405" s="14" t="n">
        <v>505000</v>
      </c>
      <c r="F405" s="14" t="n">
        <v>7744.12</v>
      </c>
      <c r="G405" s="14" t="n">
        <v>968.01</v>
      </c>
      <c r="H405" s="14" t="n">
        <v>968.01</v>
      </c>
      <c r="I405" s="14">
        <f>SUM(K405:T405)</f>
        <v/>
      </c>
      <c r="J405" s="14">
        <f>F405-(G405+H405+I405)</f>
        <v/>
      </c>
      <c r="K405" s="14" t="n">
        <v>580.8099999999999</v>
      </c>
      <c r="L405" s="14" t="n">
        <v>580.8099999999999</v>
      </c>
      <c r="M405" s="14" t="n">
        <v>580.8099999999999</v>
      </c>
      <c r="N405" s="14" t="n">
        <v>580.8099999999999</v>
      </c>
      <c r="O405" s="14" t="n">
        <v>580.8099999999999</v>
      </c>
      <c r="P405" s="14" t="n">
        <v>580.8099999999999</v>
      </c>
      <c r="Q405" s="14" t="n">
        <v>580.8099999999999</v>
      </c>
      <c r="R405" s="14" t="n">
        <v>580.8099999999999</v>
      </c>
      <c r="S405" s="14" t="n">
        <v>580.8099999999999</v>
      </c>
      <c r="T405" s="14" t="n">
        <v>580.8099999999999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CANON-202511-002288</t>
        </is>
      </c>
      <c r="B406" s="15" t="inlineStr">
        <is>
          <t>2025-11-12</t>
        </is>
      </c>
      <c r="C406" s="15" t="inlineStr">
        <is>
          <t>Marisol Farkas</t>
        </is>
      </c>
      <c r="D406" s="15" t="inlineStr">
        <is>
          <t>WY</t>
        </is>
      </c>
      <c r="E406" s="16" t="n">
        <v>445000</v>
      </c>
      <c r="F406" s="16" t="n">
        <v>6194.89</v>
      </c>
      <c r="G406" s="16" t="n">
        <v>774.36</v>
      </c>
      <c r="H406" s="16" t="n">
        <v>774.36</v>
      </c>
      <c r="I406" s="16">
        <f>SUM(K406:T406)</f>
        <v/>
      </c>
      <c r="J406" s="16">
        <f>F406-(G406+H406+I406)</f>
        <v/>
      </c>
      <c r="K406" s="16" t="n">
        <v>464.62</v>
      </c>
      <c r="L406" s="16" t="n">
        <v>464.62</v>
      </c>
      <c r="M406" s="16" t="n">
        <v>464.62</v>
      </c>
      <c r="N406" s="16" t="n">
        <v>464.62</v>
      </c>
      <c r="O406" s="16" t="n">
        <v>464.62</v>
      </c>
      <c r="P406" s="16" t="n">
        <v>464.62</v>
      </c>
      <c r="Q406" s="16" t="n">
        <v>464.62</v>
      </c>
      <c r="R406" s="16" t="n">
        <v>464.62</v>
      </c>
      <c r="S406" s="16" t="n">
        <v>464.62</v>
      </c>
      <c r="T406" s="16" t="n">
        <v>464.62</v>
      </c>
      <c r="U406" s="16" t="n">
        <v>350</v>
      </c>
      <c r="V406" s="16" t="n">
        <v>0</v>
      </c>
      <c r="W406" s="16">
        <f>U406+V406</f>
        <v/>
      </c>
    </row>
    <row r="407">
      <c r="A407" s="3" t="inlineStr">
        <is>
          <t>CANON-202511-002289</t>
        </is>
      </c>
      <c r="B407" s="3" t="inlineStr">
        <is>
          <t>2025-11-07</t>
        </is>
      </c>
      <c r="C407" s="3" t="inlineStr">
        <is>
          <t>Lorenzo Thistlewood</t>
        </is>
      </c>
      <c r="D407" s="3" t="inlineStr">
        <is>
          <t>MA</t>
        </is>
      </c>
      <c r="E407" s="14" t="n">
        <v>625000</v>
      </c>
      <c r="F407" s="14" t="n">
        <v>8809.110000000001</v>
      </c>
      <c r="G407" s="14" t="n">
        <v>1101.14</v>
      </c>
      <c r="H407" s="14" t="n">
        <v>1101.14</v>
      </c>
      <c r="I407" s="14">
        <f>SUM(K407:T407)</f>
        <v/>
      </c>
      <c r="J407" s="14">
        <f>F407-(G407+H407+I407)</f>
        <v/>
      </c>
      <c r="K407" s="14" t="n">
        <v>660.6799999999999</v>
      </c>
      <c r="L407" s="14" t="n">
        <v>660.6799999999999</v>
      </c>
      <c r="M407" s="14" t="n">
        <v>660.6799999999999</v>
      </c>
      <c r="N407" s="14" t="n">
        <v>660.6799999999999</v>
      </c>
      <c r="O407" s="14" t="n">
        <v>660.6799999999999</v>
      </c>
      <c r="P407" s="14" t="n">
        <v>660.6799999999999</v>
      </c>
      <c r="Q407" s="14" t="n">
        <v>660.6799999999999</v>
      </c>
      <c r="R407" s="14" t="n">
        <v>660.6799999999999</v>
      </c>
      <c r="S407" s="14" t="n">
        <v>660.6799999999999</v>
      </c>
      <c r="T407" s="14" t="n">
        <v>660.6799999999999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CANON-202511-002290</t>
        </is>
      </c>
      <c r="B408" s="15" t="inlineStr">
        <is>
          <t>2025-11-20</t>
        </is>
      </c>
      <c r="C408" s="15" t="inlineStr">
        <is>
          <t>Marisol Kingsford</t>
        </is>
      </c>
      <c r="D408" s="15" t="inlineStr">
        <is>
          <t>NY</t>
        </is>
      </c>
      <c r="E408" s="16" t="n">
        <v>1200000</v>
      </c>
      <c r="F408" s="16" t="n">
        <v>18118.77</v>
      </c>
      <c r="G408" s="16" t="n">
        <v>2264.85</v>
      </c>
      <c r="H408" s="16" t="n">
        <v>2264.85</v>
      </c>
      <c r="I408" s="16">
        <f>SUM(K408:T408)</f>
        <v/>
      </c>
      <c r="J408" s="16">
        <f>F408-(G408+H408+I408)</f>
        <v/>
      </c>
      <c r="K408" s="16" t="n">
        <v>1358.91</v>
      </c>
      <c r="L408" s="16" t="n">
        <v>1358.91</v>
      </c>
      <c r="M408" s="16" t="n">
        <v>1358.91</v>
      </c>
      <c r="N408" s="16" t="n">
        <v>1358.91</v>
      </c>
      <c r="O408" s="16" t="n">
        <v>1358.91</v>
      </c>
      <c r="P408" s="16" t="n">
        <v>1358.91</v>
      </c>
      <c r="Q408" s="16" t="n">
        <v>1358.91</v>
      </c>
      <c r="R408" s="16" t="n">
        <v>1358.91</v>
      </c>
      <c r="S408" s="16" t="n">
        <v>1358.91</v>
      </c>
      <c r="T408" s="16" t="n">
        <v>1358.91</v>
      </c>
      <c r="U408" s="16" t="n">
        <v>350</v>
      </c>
      <c r="V408" s="16" t="n">
        <v>250</v>
      </c>
      <c r="W408" s="16">
        <f>U408+V408</f>
        <v/>
      </c>
    </row>
    <row r="409">
      <c r="A409" s="3" t="inlineStr">
        <is>
          <t>CANON-202511-002291</t>
        </is>
      </c>
      <c r="B409" s="3" t="inlineStr">
        <is>
          <t>2025-11-20</t>
        </is>
      </c>
      <c r="C409" s="3" t="inlineStr">
        <is>
          <t>Leopold Blackwood</t>
        </is>
      </c>
      <c r="D409" s="3" t="inlineStr">
        <is>
          <t>MO</t>
        </is>
      </c>
      <c r="E409" s="14" t="n">
        <v>465000</v>
      </c>
      <c r="F409" s="14" t="n">
        <v>7524.37</v>
      </c>
      <c r="G409" s="14" t="n">
        <v>940.55</v>
      </c>
      <c r="H409" s="14" t="n">
        <v>940.55</v>
      </c>
      <c r="I409" s="14">
        <f>SUM(K409:T409)</f>
        <v/>
      </c>
      <c r="J409" s="14">
        <f>F409-(G409+H409+I409)</f>
        <v/>
      </c>
      <c r="K409" s="14" t="n">
        <v>564.33</v>
      </c>
      <c r="L409" s="14" t="n">
        <v>564.33</v>
      </c>
      <c r="M409" s="14" t="n">
        <v>564.33</v>
      </c>
      <c r="N409" s="14" t="n">
        <v>564.33</v>
      </c>
      <c r="O409" s="14" t="n">
        <v>564.33</v>
      </c>
      <c r="P409" s="14" t="n">
        <v>564.33</v>
      </c>
      <c r="Q409" s="14" t="n">
        <v>564.33</v>
      </c>
      <c r="R409" s="14" t="n">
        <v>564.33</v>
      </c>
      <c r="S409" s="14" t="n">
        <v>564.33</v>
      </c>
      <c r="T409" s="14" t="n">
        <v>564.33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CANON-202511-002295</t>
        </is>
      </c>
      <c r="B410" s="15" t="inlineStr">
        <is>
          <t>2025-11-08</t>
        </is>
      </c>
      <c r="C410" s="15" t="inlineStr">
        <is>
          <t>Aurelio Castellanos</t>
        </is>
      </c>
      <c r="D410" s="15" t="inlineStr">
        <is>
          <t>LA</t>
        </is>
      </c>
      <c r="E410" s="16" t="n">
        <v>1445000</v>
      </c>
      <c r="F410" s="16" t="n">
        <v>24264.53</v>
      </c>
      <c r="G410" s="16" t="n">
        <v>3033.07</v>
      </c>
      <c r="H410" s="16" t="n">
        <v>3033.07</v>
      </c>
      <c r="I410" s="16">
        <f>SUM(K410:T410)</f>
        <v/>
      </c>
      <c r="J410" s="16">
        <f>F410-(G410+H410+I410)</f>
        <v/>
      </c>
      <c r="K410" s="16" t="n">
        <v>1819.84</v>
      </c>
      <c r="L410" s="16" t="n">
        <v>1819.84</v>
      </c>
      <c r="M410" s="16" t="n">
        <v>1819.84</v>
      </c>
      <c r="N410" s="16" t="n">
        <v>1819.84</v>
      </c>
      <c r="O410" s="16" t="n">
        <v>1819.84</v>
      </c>
      <c r="P410" s="16" t="n">
        <v>1819.84</v>
      </c>
      <c r="Q410" s="16" t="n">
        <v>1819.84</v>
      </c>
      <c r="R410" s="16" t="n">
        <v>1819.84</v>
      </c>
      <c r="S410" s="16" t="n">
        <v>1819.84</v>
      </c>
      <c r="T410" s="16" t="n">
        <v>1819.84</v>
      </c>
      <c r="U410" s="16" t="n">
        <v>350</v>
      </c>
      <c r="V410" s="16" t="n">
        <v>250</v>
      </c>
      <c r="W410" s="16">
        <f>U410+V410</f>
        <v/>
      </c>
    </row>
    <row r="411">
      <c r="A411" s="3" t="inlineStr">
        <is>
          <t>CANON-202511-002296</t>
        </is>
      </c>
      <c r="B411" s="3" t="inlineStr">
        <is>
          <t>2025-11-15</t>
        </is>
      </c>
      <c r="C411" s="3" t="inlineStr">
        <is>
          <t>Horace Fairweather</t>
        </is>
      </c>
      <c r="D411" s="3" t="inlineStr">
        <is>
          <t>HI</t>
        </is>
      </c>
      <c r="E411" s="14" t="n">
        <v>645000</v>
      </c>
      <c r="F411" s="14" t="n">
        <v>9454.639999999999</v>
      </c>
      <c r="G411" s="14" t="n">
        <v>1181.83</v>
      </c>
      <c r="H411" s="14" t="n">
        <v>1181.83</v>
      </c>
      <c r="I411" s="14">
        <f>SUM(K411:T411)</f>
        <v/>
      </c>
      <c r="J411" s="14">
        <f>F411-(G411+H411+I411)</f>
        <v/>
      </c>
      <c r="K411" s="14" t="n">
        <v>709.1</v>
      </c>
      <c r="L411" s="14" t="n">
        <v>709.1</v>
      </c>
      <c r="M411" s="14" t="n">
        <v>709.1</v>
      </c>
      <c r="N411" s="14" t="n">
        <v>709.1</v>
      </c>
      <c r="O411" s="14" t="n">
        <v>709.1</v>
      </c>
      <c r="P411" s="14" t="n">
        <v>709.1</v>
      </c>
      <c r="Q411" s="14" t="n">
        <v>709.1</v>
      </c>
      <c r="R411" s="14" t="n">
        <v>709.1</v>
      </c>
      <c r="S411" s="14" t="n">
        <v>709.1</v>
      </c>
      <c r="T411" s="14" t="n">
        <v>709.1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CANON-202511-002298</t>
        </is>
      </c>
      <c r="B412" s="15" t="inlineStr">
        <is>
          <t>2025-11-01</t>
        </is>
      </c>
      <c r="C412" s="15" t="inlineStr">
        <is>
          <t>Marisol Underwood</t>
        </is>
      </c>
      <c r="D412" s="15" t="inlineStr">
        <is>
          <t>AR</t>
        </is>
      </c>
      <c r="E412" s="16" t="n">
        <v>410000</v>
      </c>
      <c r="F412" s="16" t="n">
        <v>7361.27</v>
      </c>
      <c r="G412" s="16" t="n">
        <v>920.16</v>
      </c>
      <c r="H412" s="16" t="n">
        <v>920.16</v>
      </c>
      <c r="I412" s="16">
        <f>SUM(K412:T412)</f>
        <v/>
      </c>
      <c r="J412" s="16">
        <f>F412-(G412+H412+I412)</f>
        <v/>
      </c>
      <c r="K412" s="16" t="n">
        <v>552.1</v>
      </c>
      <c r="L412" s="16" t="n">
        <v>552.1</v>
      </c>
      <c r="M412" s="16" t="n">
        <v>552.1</v>
      </c>
      <c r="N412" s="16" t="n">
        <v>552.1</v>
      </c>
      <c r="O412" s="16" t="n">
        <v>552.1</v>
      </c>
      <c r="P412" s="16" t="n">
        <v>552.1</v>
      </c>
      <c r="Q412" s="16" t="n">
        <v>552.1</v>
      </c>
      <c r="R412" s="16" t="n">
        <v>552.1</v>
      </c>
      <c r="S412" s="16" t="n">
        <v>552.1</v>
      </c>
      <c r="T412" s="16" t="n">
        <v>552.1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CANON-202511-002299</t>
        </is>
      </c>
      <c r="B413" s="3" t="inlineStr">
        <is>
          <t>2025-11-02</t>
        </is>
      </c>
      <c r="C413" s="3" t="inlineStr">
        <is>
          <t>Beatrix Delacroix</t>
        </is>
      </c>
      <c r="D413" s="3" t="inlineStr">
        <is>
          <t>MT</t>
        </is>
      </c>
      <c r="E413" s="14" t="n">
        <v>810000</v>
      </c>
      <c r="F413" s="14" t="n">
        <v>8493.950000000001</v>
      </c>
      <c r="G413" s="14" t="n">
        <v>1061.74</v>
      </c>
      <c r="H413" s="14" t="n">
        <v>1061.74</v>
      </c>
      <c r="I413" s="14">
        <f>SUM(K413:T413)</f>
        <v/>
      </c>
      <c r="J413" s="14">
        <f>F413-(G413+H413+I413)</f>
        <v/>
      </c>
      <c r="K413" s="14" t="n">
        <v>637.05</v>
      </c>
      <c r="L413" s="14" t="n">
        <v>637.05</v>
      </c>
      <c r="M413" s="14" t="n">
        <v>637.05</v>
      </c>
      <c r="N413" s="14" t="n">
        <v>637.05</v>
      </c>
      <c r="O413" s="14" t="n">
        <v>637.05</v>
      </c>
      <c r="P413" s="14" t="n">
        <v>637.05</v>
      </c>
      <c r="Q413" s="14" t="n">
        <v>637.05</v>
      </c>
      <c r="R413" s="14" t="n">
        <v>637.05</v>
      </c>
      <c r="S413" s="14" t="n">
        <v>637.05</v>
      </c>
      <c r="T413" s="14" t="n">
        <v>637.05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CANON-202511-002301</t>
        </is>
      </c>
      <c r="B414" s="15" t="inlineStr">
        <is>
          <t>2025-11-14</t>
        </is>
      </c>
      <c r="C414" s="15" t="inlineStr">
        <is>
          <t>Sunniva Whitlock</t>
        </is>
      </c>
      <c r="D414" s="15" t="inlineStr">
        <is>
          <t>NJ</t>
        </is>
      </c>
      <c r="E414" s="16" t="n">
        <v>1950000</v>
      </c>
      <c r="F414" s="16" t="n">
        <v>24626.05</v>
      </c>
      <c r="G414" s="16" t="n">
        <v>3078.26</v>
      </c>
      <c r="H414" s="16" t="n">
        <v>3078.26</v>
      </c>
      <c r="I414" s="16">
        <f>SUM(K414:T414)</f>
        <v/>
      </c>
      <c r="J414" s="16">
        <f>F414-(G414+H414+I414)</f>
        <v/>
      </c>
      <c r="K414" s="16" t="n">
        <v>1846.95</v>
      </c>
      <c r="L414" s="16" t="n">
        <v>1846.95</v>
      </c>
      <c r="M414" s="16" t="n">
        <v>1846.95</v>
      </c>
      <c r="N414" s="16" t="n">
        <v>1846.95</v>
      </c>
      <c r="O414" s="16" t="n">
        <v>1846.95</v>
      </c>
      <c r="P414" s="16" t="n">
        <v>1846.95</v>
      </c>
      <c r="Q414" s="16" t="n">
        <v>1846.95</v>
      </c>
      <c r="R414" s="16" t="n">
        <v>1846.95</v>
      </c>
      <c r="S414" s="16" t="n">
        <v>1846.95</v>
      </c>
      <c r="T414" s="16" t="n">
        <v>1846.95</v>
      </c>
      <c r="U414" s="16" t="n">
        <v>350</v>
      </c>
      <c r="V414" s="16" t="n">
        <v>250</v>
      </c>
      <c r="W414" s="16">
        <f>U414+V414</f>
        <v/>
      </c>
    </row>
    <row r="415">
      <c r="A415" s="3" t="inlineStr">
        <is>
          <t>CANON-202511-002302</t>
        </is>
      </c>
      <c r="B415" s="3" t="inlineStr">
        <is>
          <t>2025-11-26</t>
        </is>
      </c>
      <c r="C415" s="3" t="inlineStr">
        <is>
          <t>Anouk Montoya</t>
        </is>
      </c>
      <c r="D415" s="3" t="inlineStr">
        <is>
          <t>PA</t>
        </is>
      </c>
      <c r="E415" s="14" t="n">
        <v>885000</v>
      </c>
      <c r="F415" s="14" t="n">
        <v>6601.47</v>
      </c>
      <c r="G415" s="14" t="n">
        <v>825.1799999999999</v>
      </c>
      <c r="H415" s="14" t="n">
        <v>825.1799999999999</v>
      </c>
      <c r="I415" s="14">
        <f>SUM(K415:T415)</f>
        <v/>
      </c>
      <c r="J415" s="14">
        <f>F415-(G415+H415+I415)</f>
        <v/>
      </c>
      <c r="K415" s="14" t="n">
        <v>495.11</v>
      </c>
      <c r="L415" s="14" t="n">
        <v>495.11</v>
      </c>
      <c r="M415" s="14" t="n">
        <v>495.11</v>
      </c>
      <c r="N415" s="14" t="n">
        <v>495.11</v>
      </c>
      <c r="O415" s="14" t="n">
        <v>495.11</v>
      </c>
      <c r="P415" s="14" t="n">
        <v>495.11</v>
      </c>
      <c r="Q415" s="14" t="n">
        <v>495.11</v>
      </c>
      <c r="R415" s="14" t="n">
        <v>495.11</v>
      </c>
      <c r="S415" s="14" t="n">
        <v>495.11</v>
      </c>
      <c r="T415" s="14" t="n">
        <v>495.11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CANON-202511-002303</t>
        </is>
      </c>
      <c r="B416" s="15" t="inlineStr">
        <is>
          <t>2025-11-03</t>
        </is>
      </c>
      <c r="C416" s="15" t="inlineStr">
        <is>
          <t>Aurelio Vandermeer</t>
        </is>
      </c>
      <c r="D416" s="15" t="inlineStr">
        <is>
          <t>SD</t>
        </is>
      </c>
      <c r="E416" s="16" t="n">
        <v>1195000</v>
      </c>
      <c r="F416" s="16" t="n">
        <v>12655.59</v>
      </c>
      <c r="G416" s="16" t="n">
        <v>1581.95</v>
      </c>
      <c r="H416" s="16" t="n">
        <v>1581.95</v>
      </c>
      <c r="I416" s="16">
        <f>SUM(K416:T416)</f>
        <v/>
      </c>
      <c r="J416" s="16">
        <f>F416-(G416+H416+I416)</f>
        <v/>
      </c>
      <c r="K416" s="16" t="n">
        <v>949.17</v>
      </c>
      <c r="L416" s="16" t="n">
        <v>949.17</v>
      </c>
      <c r="M416" s="16" t="n">
        <v>949.17</v>
      </c>
      <c r="N416" s="16" t="n">
        <v>949.17</v>
      </c>
      <c r="O416" s="16" t="n">
        <v>949.17</v>
      </c>
      <c r="P416" s="16" t="n">
        <v>949.17</v>
      </c>
      <c r="Q416" s="16" t="n">
        <v>949.17</v>
      </c>
      <c r="R416" s="16" t="n">
        <v>949.17</v>
      </c>
      <c r="S416" s="16" t="n">
        <v>949.17</v>
      </c>
      <c r="T416" s="16" t="n">
        <v>949.17</v>
      </c>
      <c r="U416" s="16" t="n">
        <v>350</v>
      </c>
      <c r="V416" s="16" t="n">
        <v>250</v>
      </c>
      <c r="W416" s="16">
        <f>U416+V416</f>
        <v/>
      </c>
    </row>
    <row r="417">
      <c r="A417" s="3" t="inlineStr">
        <is>
          <t>CANON-202511-002304</t>
        </is>
      </c>
      <c r="B417" s="3" t="inlineStr">
        <is>
          <t>2025-11-11</t>
        </is>
      </c>
      <c r="C417" s="3" t="inlineStr">
        <is>
          <t>Lorenzo Bellandi</t>
        </is>
      </c>
      <c r="D417" s="3" t="inlineStr">
        <is>
          <t>IL</t>
        </is>
      </c>
      <c r="E417" s="14" t="n">
        <v>1025000</v>
      </c>
      <c r="F417" s="14" t="n">
        <v>19345.56</v>
      </c>
      <c r="G417" s="14" t="n">
        <v>2418.2</v>
      </c>
      <c r="H417" s="14" t="n">
        <v>2418.2</v>
      </c>
      <c r="I417" s="14">
        <f>SUM(K417:T417)</f>
        <v/>
      </c>
      <c r="J417" s="14">
        <f>F417-(G417+H417+I417)</f>
        <v/>
      </c>
      <c r="K417" s="14" t="n">
        <v>1450.92</v>
      </c>
      <c r="L417" s="14" t="n">
        <v>1450.92</v>
      </c>
      <c r="M417" s="14" t="n">
        <v>1450.92</v>
      </c>
      <c r="N417" s="14" t="n">
        <v>1450.92</v>
      </c>
      <c r="O417" s="14" t="n">
        <v>1450.92</v>
      </c>
      <c r="P417" s="14" t="n">
        <v>1450.92</v>
      </c>
      <c r="Q417" s="14" t="n">
        <v>1450.92</v>
      </c>
      <c r="R417" s="14" t="n">
        <v>1450.92</v>
      </c>
      <c r="S417" s="14" t="n">
        <v>1450.92</v>
      </c>
      <c r="T417" s="14" t="n">
        <v>1450.92</v>
      </c>
      <c r="U417" s="14" t="n">
        <v>350</v>
      </c>
      <c r="V417" s="14" t="n">
        <v>250</v>
      </c>
      <c r="W417" s="14">
        <f>U417+V417</f>
        <v/>
      </c>
    </row>
    <row r="418">
      <c r="A418" s="15" t="inlineStr">
        <is>
          <t>CANON-202511-002305</t>
        </is>
      </c>
      <c r="B418" s="15" t="inlineStr">
        <is>
          <t>2025-11-03</t>
        </is>
      </c>
      <c r="C418" s="15" t="inlineStr">
        <is>
          <t>Everett Rourke</t>
        </is>
      </c>
      <c r="D418" s="15" t="inlineStr">
        <is>
          <t>WV</t>
        </is>
      </c>
      <c r="E418" s="16" t="n">
        <v>350000</v>
      </c>
      <c r="F418" s="16" t="n">
        <v>6056.33</v>
      </c>
      <c r="G418" s="16" t="n">
        <v>757.04</v>
      </c>
      <c r="H418" s="16" t="n">
        <v>757.04</v>
      </c>
      <c r="I418" s="16">
        <f>SUM(K418:T418)</f>
        <v/>
      </c>
      <c r="J418" s="16">
        <f>F418-(G418+H418+I418)</f>
        <v/>
      </c>
      <c r="K418" s="16" t="n">
        <v>454.22</v>
      </c>
      <c r="L418" s="16" t="n">
        <v>454.22</v>
      </c>
      <c r="M418" s="16" t="n">
        <v>454.22</v>
      </c>
      <c r="N418" s="16" t="n">
        <v>454.22</v>
      </c>
      <c r="O418" s="16" t="n">
        <v>454.22</v>
      </c>
      <c r="P418" s="16" t="n">
        <v>454.22</v>
      </c>
      <c r="Q418" s="16" t="n">
        <v>454.22</v>
      </c>
      <c r="R418" s="16" t="n">
        <v>454.22</v>
      </c>
      <c r="S418" s="16" t="n">
        <v>454.22</v>
      </c>
      <c r="T418" s="16" t="n">
        <v>454.22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CANON-202511-002306</t>
        </is>
      </c>
      <c r="B419" s="3" t="inlineStr">
        <is>
          <t>2025-11-27</t>
        </is>
      </c>
      <c r="C419" s="3" t="inlineStr">
        <is>
          <t>Priya Castellanos</t>
        </is>
      </c>
      <c r="D419" s="3" t="inlineStr">
        <is>
          <t>WI</t>
        </is>
      </c>
      <c r="E419" s="14" t="n">
        <v>410000</v>
      </c>
      <c r="F419" s="14" t="n">
        <v>6401.1</v>
      </c>
      <c r="G419" s="14" t="n">
        <v>800.14</v>
      </c>
      <c r="H419" s="14" t="n">
        <v>800.14</v>
      </c>
      <c r="I419" s="14">
        <f>SUM(K419:T419)</f>
        <v/>
      </c>
      <c r="J419" s="14">
        <f>F419-(G419+H419+I419)</f>
        <v/>
      </c>
      <c r="K419" s="14" t="n">
        <v>480.08</v>
      </c>
      <c r="L419" s="14" t="n">
        <v>480.08</v>
      </c>
      <c r="M419" s="14" t="n">
        <v>480.08</v>
      </c>
      <c r="N419" s="14" t="n">
        <v>480.08</v>
      </c>
      <c r="O419" s="14" t="n">
        <v>480.08</v>
      </c>
      <c r="P419" s="14" t="n">
        <v>480.08</v>
      </c>
      <c r="Q419" s="14" t="n">
        <v>480.08</v>
      </c>
      <c r="R419" s="14" t="n">
        <v>480.08</v>
      </c>
      <c r="S419" s="14" t="n">
        <v>480.08</v>
      </c>
      <c r="T419" s="14" t="n">
        <v>480.08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CANON-202511-002307</t>
        </is>
      </c>
      <c r="B420" s="15" t="inlineStr">
        <is>
          <t>2025-11-13</t>
        </is>
      </c>
      <c r="C420" s="15" t="inlineStr">
        <is>
          <t>Ottilie Chattopadhyay</t>
        </is>
      </c>
      <c r="D420" s="15" t="inlineStr">
        <is>
          <t>WI</t>
        </is>
      </c>
      <c r="E420" s="16" t="n">
        <v>1950000</v>
      </c>
      <c r="F420" s="16" t="n">
        <v>22325.81</v>
      </c>
      <c r="G420" s="16" t="n">
        <v>2790.73</v>
      </c>
      <c r="H420" s="16" t="n">
        <v>2790.73</v>
      </c>
      <c r="I420" s="16">
        <f>SUM(K420:T420)</f>
        <v/>
      </c>
      <c r="J420" s="16">
        <f>F420-(G420+H420+I420)</f>
        <v/>
      </c>
      <c r="K420" s="16" t="n">
        <v>1674.44</v>
      </c>
      <c r="L420" s="16" t="n">
        <v>1674.44</v>
      </c>
      <c r="M420" s="16" t="n">
        <v>1674.44</v>
      </c>
      <c r="N420" s="16" t="n">
        <v>1674.44</v>
      </c>
      <c r="O420" s="16" t="n">
        <v>1674.44</v>
      </c>
      <c r="P420" s="16" t="n">
        <v>1674.44</v>
      </c>
      <c r="Q420" s="16" t="n">
        <v>1674.44</v>
      </c>
      <c r="R420" s="16" t="n">
        <v>1674.44</v>
      </c>
      <c r="S420" s="16" t="n">
        <v>1674.44</v>
      </c>
      <c r="T420" s="16" t="n">
        <v>1674.44</v>
      </c>
      <c r="U420" s="16" t="n">
        <v>350</v>
      </c>
      <c r="V420" s="16" t="n">
        <v>250</v>
      </c>
      <c r="W420" s="16">
        <f>U420+V420</f>
        <v/>
      </c>
    </row>
    <row r="421">
      <c r="A421" s="3" t="inlineStr">
        <is>
          <t>CANON-202511-002309</t>
        </is>
      </c>
      <c r="B421" s="3" t="inlineStr">
        <is>
          <t>2025-11-02</t>
        </is>
      </c>
      <c r="C421" s="3" t="inlineStr">
        <is>
          <t>Cassius Okonkwo</t>
        </is>
      </c>
      <c r="D421" s="3" t="inlineStr">
        <is>
          <t>CO</t>
        </is>
      </c>
      <c r="E421" s="14" t="n">
        <v>1405000</v>
      </c>
      <c r="F421" s="14" t="n">
        <v>14745.53</v>
      </c>
      <c r="G421" s="14" t="n">
        <v>1843.19</v>
      </c>
      <c r="H421" s="14" t="n">
        <v>1843.19</v>
      </c>
      <c r="I421" s="14">
        <f>SUM(K421:T421)</f>
        <v/>
      </c>
      <c r="J421" s="14">
        <f>F421-(G421+H421+I421)</f>
        <v/>
      </c>
      <c r="K421" s="14" t="n">
        <v>1105.91</v>
      </c>
      <c r="L421" s="14" t="n">
        <v>1105.91</v>
      </c>
      <c r="M421" s="14" t="n">
        <v>1105.91</v>
      </c>
      <c r="N421" s="14" t="n">
        <v>1105.91</v>
      </c>
      <c r="O421" s="14" t="n">
        <v>1105.91</v>
      </c>
      <c r="P421" s="14" t="n">
        <v>1105.91</v>
      </c>
      <c r="Q421" s="14" t="n">
        <v>1105.91</v>
      </c>
      <c r="R421" s="14" t="n">
        <v>1105.91</v>
      </c>
      <c r="S421" s="14" t="n">
        <v>1105.91</v>
      </c>
      <c r="T421" s="14" t="n">
        <v>1105.91</v>
      </c>
      <c r="U421" s="14" t="n">
        <v>350</v>
      </c>
      <c r="V421" s="14" t="n">
        <v>250</v>
      </c>
      <c r="W421" s="14">
        <f>U421+V421</f>
        <v/>
      </c>
    </row>
    <row r="422">
      <c r="A422" s="15" t="inlineStr">
        <is>
          <t>CANON-202511-002310</t>
        </is>
      </c>
      <c r="B422" s="15" t="inlineStr">
        <is>
          <t>2025-11-26</t>
        </is>
      </c>
      <c r="C422" s="15" t="inlineStr">
        <is>
          <t>Wilhelmina Rourke</t>
        </is>
      </c>
      <c r="D422" s="15" t="inlineStr">
        <is>
          <t>WA</t>
        </is>
      </c>
      <c r="E422" s="16" t="n">
        <v>1675000</v>
      </c>
      <c r="F422" s="16" t="n">
        <v>15341.83</v>
      </c>
      <c r="G422" s="16" t="n">
        <v>1917.73</v>
      </c>
      <c r="H422" s="16" t="n">
        <v>1917.73</v>
      </c>
      <c r="I422" s="16">
        <f>SUM(K422:T422)</f>
        <v/>
      </c>
      <c r="J422" s="16">
        <f>F422-(G422+H422+I422)</f>
        <v/>
      </c>
      <c r="K422" s="16" t="n">
        <v>1150.64</v>
      </c>
      <c r="L422" s="16" t="n">
        <v>1150.64</v>
      </c>
      <c r="M422" s="16" t="n">
        <v>1150.64</v>
      </c>
      <c r="N422" s="16" t="n">
        <v>1150.64</v>
      </c>
      <c r="O422" s="16" t="n">
        <v>1150.64</v>
      </c>
      <c r="P422" s="16" t="n">
        <v>1150.64</v>
      </c>
      <c r="Q422" s="16" t="n">
        <v>1150.64</v>
      </c>
      <c r="R422" s="16" t="n">
        <v>1150.64</v>
      </c>
      <c r="S422" s="16" t="n">
        <v>1150.64</v>
      </c>
      <c r="T422" s="16" t="n">
        <v>1150.64</v>
      </c>
      <c r="U422" s="16" t="n">
        <v>350</v>
      </c>
      <c r="V422" s="16" t="n">
        <v>250</v>
      </c>
      <c r="W422" s="16">
        <f>U422+V422</f>
        <v/>
      </c>
    </row>
    <row r="423">
      <c r="A423" s="3" t="inlineStr">
        <is>
          <t>CANON-202511-002311</t>
        </is>
      </c>
      <c r="B423" s="3" t="inlineStr">
        <is>
          <t>2025-11-10</t>
        </is>
      </c>
      <c r="C423" s="3" t="inlineStr">
        <is>
          <t>Anouk Underwood</t>
        </is>
      </c>
      <c r="D423" s="3" t="inlineStr">
        <is>
          <t>IL</t>
        </is>
      </c>
      <c r="E423" s="14" t="n">
        <v>450000</v>
      </c>
      <c r="F423" s="14" t="n">
        <v>7962.35</v>
      </c>
      <c r="G423" s="14" t="n">
        <v>995.29</v>
      </c>
      <c r="H423" s="14" t="n">
        <v>995.29</v>
      </c>
      <c r="I423" s="14">
        <f>SUM(K423:T423)</f>
        <v/>
      </c>
      <c r="J423" s="14">
        <f>F423-(G423+H423+I423)</f>
        <v/>
      </c>
      <c r="K423" s="14" t="n">
        <v>597.1799999999999</v>
      </c>
      <c r="L423" s="14" t="n">
        <v>597.1799999999999</v>
      </c>
      <c r="M423" s="14" t="n">
        <v>597.1799999999999</v>
      </c>
      <c r="N423" s="14" t="n">
        <v>597.1799999999999</v>
      </c>
      <c r="O423" s="14" t="n">
        <v>597.1799999999999</v>
      </c>
      <c r="P423" s="14" t="n">
        <v>597.1799999999999</v>
      </c>
      <c r="Q423" s="14" t="n">
        <v>597.1799999999999</v>
      </c>
      <c r="R423" s="14" t="n">
        <v>597.1799999999999</v>
      </c>
      <c r="S423" s="14" t="n">
        <v>597.1799999999999</v>
      </c>
      <c r="T423" s="14" t="n">
        <v>597.1799999999999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CANON-202511-002312</t>
        </is>
      </c>
      <c r="B424" s="15" t="inlineStr">
        <is>
          <t>2025-11-26</t>
        </is>
      </c>
      <c r="C424" s="15" t="inlineStr">
        <is>
          <t>Beatrix Farkas</t>
        </is>
      </c>
      <c r="D424" s="15" t="inlineStr">
        <is>
          <t>AR</t>
        </is>
      </c>
      <c r="E424" s="16" t="n">
        <v>660000</v>
      </c>
      <c r="F424" s="16" t="n">
        <v>6793.92</v>
      </c>
      <c r="G424" s="16" t="n">
        <v>849.24</v>
      </c>
      <c r="H424" s="16" t="n">
        <v>849.24</v>
      </c>
      <c r="I424" s="16">
        <f>SUM(K424:T424)</f>
        <v/>
      </c>
      <c r="J424" s="16">
        <f>F424-(G424+H424+I424)</f>
        <v/>
      </c>
      <c r="K424" s="16" t="n">
        <v>509.54</v>
      </c>
      <c r="L424" s="16" t="n">
        <v>509.54</v>
      </c>
      <c r="M424" s="16" t="n">
        <v>509.54</v>
      </c>
      <c r="N424" s="16" t="n">
        <v>509.54</v>
      </c>
      <c r="O424" s="16" t="n">
        <v>509.54</v>
      </c>
      <c r="P424" s="16" t="n">
        <v>509.54</v>
      </c>
      <c r="Q424" s="16" t="n">
        <v>509.54</v>
      </c>
      <c r="R424" s="16" t="n">
        <v>509.54</v>
      </c>
      <c r="S424" s="16" t="n">
        <v>509.54</v>
      </c>
      <c r="T424" s="16" t="n">
        <v>509.54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CANON-202511-002314</t>
        </is>
      </c>
      <c r="B425" s="3" t="inlineStr">
        <is>
          <t>2025-11-01</t>
        </is>
      </c>
      <c r="C425" s="3" t="inlineStr">
        <is>
          <t>Thaddeus Delacroix</t>
        </is>
      </c>
      <c r="D425" s="3" t="inlineStr">
        <is>
          <t>WY</t>
        </is>
      </c>
      <c r="E425" s="14" t="n">
        <v>400000</v>
      </c>
      <c r="F425" s="14" t="n">
        <v>5568.44</v>
      </c>
      <c r="G425" s="14" t="n">
        <v>696.05</v>
      </c>
      <c r="H425" s="14" t="n">
        <v>696.05</v>
      </c>
      <c r="I425" s="14">
        <f>SUM(K425:T425)</f>
        <v/>
      </c>
      <c r="J425" s="14">
        <f>F425-(G425+H425+I425)</f>
        <v/>
      </c>
      <c r="K425" s="14" t="n">
        <v>417.63</v>
      </c>
      <c r="L425" s="14" t="n">
        <v>417.63</v>
      </c>
      <c r="M425" s="14" t="n">
        <v>417.63</v>
      </c>
      <c r="N425" s="14" t="n">
        <v>417.63</v>
      </c>
      <c r="O425" s="14" t="n">
        <v>417.63</v>
      </c>
      <c r="P425" s="14" t="n">
        <v>417.63</v>
      </c>
      <c r="Q425" s="14" t="n">
        <v>417.63</v>
      </c>
      <c r="R425" s="14" t="n">
        <v>417.63</v>
      </c>
      <c r="S425" s="14" t="n">
        <v>417.63</v>
      </c>
      <c r="T425" s="14" t="n">
        <v>417.63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CANON-202511-002315</t>
        </is>
      </c>
      <c r="B426" s="15" t="inlineStr">
        <is>
          <t>2025-11-27</t>
        </is>
      </c>
      <c r="C426" s="15" t="inlineStr">
        <is>
          <t>Ingrid Blackwood</t>
        </is>
      </c>
      <c r="D426" s="15" t="inlineStr">
        <is>
          <t>FL</t>
        </is>
      </c>
      <c r="E426" s="16" t="n">
        <v>780000</v>
      </c>
      <c r="F426" s="16" t="n">
        <v>18253.04</v>
      </c>
      <c r="G426" s="16" t="n">
        <v>2281.63</v>
      </c>
      <c r="H426" s="16" t="n">
        <v>2281.63</v>
      </c>
      <c r="I426" s="16">
        <f>SUM(K426:T426)</f>
        <v/>
      </c>
      <c r="J426" s="16">
        <f>F426-(G426+H426+I426)</f>
        <v/>
      </c>
      <c r="K426" s="16" t="n">
        <v>1368.98</v>
      </c>
      <c r="L426" s="16" t="n">
        <v>1368.98</v>
      </c>
      <c r="M426" s="16" t="n">
        <v>1368.98</v>
      </c>
      <c r="N426" s="16" t="n">
        <v>1368.98</v>
      </c>
      <c r="O426" s="16" t="n">
        <v>1368.98</v>
      </c>
      <c r="P426" s="16" t="n">
        <v>1368.98</v>
      </c>
      <c r="Q426" s="16" t="n">
        <v>1368.98</v>
      </c>
      <c r="R426" s="16" t="n">
        <v>1368.98</v>
      </c>
      <c r="S426" s="16" t="n">
        <v>1368.98</v>
      </c>
      <c r="T426" s="16" t="n">
        <v>1368.98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CANON-202511-002316</t>
        </is>
      </c>
      <c r="B427" s="3" t="inlineStr">
        <is>
          <t>2025-11-11</t>
        </is>
      </c>
      <c r="C427" s="3" t="inlineStr">
        <is>
          <t>Ingrid Larsson</t>
        </is>
      </c>
      <c r="D427" s="3" t="inlineStr">
        <is>
          <t>OR</t>
        </is>
      </c>
      <c r="E427" s="14" t="n">
        <v>370000</v>
      </c>
      <c r="F427" s="14" t="n">
        <v>5439.64</v>
      </c>
      <c r="G427" s="14" t="n">
        <v>679.96</v>
      </c>
      <c r="H427" s="14" t="n">
        <v>679.96</v>
      </c>
      <c r="I427" s="14">
        <f>SUM(K427:T427)</f>
        <v/>
      </c>
      <c r="J427" s="14">
        <f>F427-(G427+H427+I427)</f>
        <v/>
      </c>
      <c r="K427" s="14" t="n">
        <v>407.97</v>
      </c>
      <c r="L427" s="14" t="n">
        <v>407.97</v>
      </c>
      <c r="M427" s="14" t="n">
        <v>407.97</v>
      </c>
      <c r="N427" s="14" t="n">
        <v>407.97</v>
      </c>
      <c r="O427" s="14" t="n">
        <v>407.97</v>
      </c>
      <c r="P427" s="14" t="n">
        <v>407.97</v>
      </c>
      <c r="Q427" s="14" t="n">
        <v>407.97</v>
      </c>
      <c r="R427" s="14" t="n">
        <v>407.97</v>
      </c>
      <c r="S427" s="14" t="n">
        <v>407.97</v>
      </c>
      <c r="T427" s="14" t="n">
        <v>407.97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CANON-202511-002317</t>
        </is>
      </c>
      <c r="B428" s="15" t="inlineStr">
        <is>
          <t>2025-11-09</t>
        </is>
      </c>
      <c r="C428" s="15" t="inlineStr">
        <is>
          <t>Anouk Pennington</t>
        </is>
      </c>
      <c r="D428" s="15" t="inlineStr">
        <is>
          <t>ND</t>
        </is>
      </c>
      <c r="E428" s="16" t="n">
        <v>620000</v>
      </c>
      <c r="F428" s="16" t="n">
        <v>7130.73</v>
      </c>
      <c r="G428" s="16" t="n">
        <v>891.34</v>
      </c>
      <c r="H428" s="16" t="n">
        <v>891.34</v>
      </c>
      <c r="I428" s="16">
        <f>SUM(K428:T428)</f>
        <v/>
      </c>
      <c r="J428" s="16">
        <f>F428-(G428+H428+I428)</f>
        <v/>
      </c>
      <c r="K428" s="16" t="n">
        <v>534.8</v>
      </c>
      <c r="L428" s="16" t="n">
        <v>534.8</v>
      </c>
      <c r="M428" s="16" t="n">
        <v>534.8</v>
      </c>
      <c r="N428" s="16" t="n">
        <v>534.8</v>
      </c>
      <c r="O428" s="16" t="n">
        <v>534.8</v>
      </c>
      <c r="P428" s="16" t="n">
        <v>534.8</v>
      </c>
      <c r="Q428" s="16" t="n">
        <v>534.8</v>
      </c>
      <c r="R428" s="16" t="n">
        <v>534.8</v>
      </c>
      <c r="S428" s="16" t="n">
        <v>534.8</v>
      </c>
      <c r="T428" s="16" t="n">
        <v>534.8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CANON-202511-002318</t>
        </is>
      </c>
      <c r="B429" s="3" t="inlineStr">
        <is>
          <t>2025-11-02</t>
        </is>
      </c>
      <c r="C429" s="3" t="inlineStr">
        <is>
          <t>Aurelio Kingsford</t>
        </is>
      </c>
      <c r="D429" s="3" t="inlineStr">
        <is>
          <t>AR</t>
        </is>
      </c>
      <c r="E429" s="14" t="n">
        <v>1200000</v>
      </c>
      <c r="F429" s="14" t="n">
        <v>15799.81</v>
      </c>
      <c r="G429" s="14" t="n">
        <v>1974.98</v>
      </c>
      <c r="H429" s="14" t="n">
        <v>1974.98</v>
      </c>
      <c r="I429" s="14">
        <f>SUM(K429:T429)</f>
        <v/>
      </c>
      <c r="J429" s="14">
        <f>F429-(G429+H429+I429)</f>
        <v/>
      </c>
      <c r="K429" s="14" t="n">
        <v>1184.99</v>
      </c>
      <c r="L429" s="14" t="n">
        <v>1184.99</v>
      </c>
      <c r="M429" s="14" t="n">
        <v>1184.99</v>
      </c>
      <c r="N429" s="14" t="n">
        <v>1184.99</v>
      </c>
      <c r="O429" s="14" t="n">
        <v>1184.99</v>
      </c>
      <c r="P429" s="14" t="n">
        <v>1184.99</v>
      </c>
      <c r="Q429" s="14" t="n">
        <v>1184.99</v>
      </c>
      <c r="R429" s="14" t="n">
        <v>1184.99</v>
      </c>
      <c r="S429" s="14" t="n">
        <v>1184.99</v>
      </c>
      <c r="T429" s="14" t="n">
        <v>1184.99</v>
      </c>
      <c r="U429" s="14" t="n">
        <v>350</v>
      </c>
      <c r="V429" s="14" t="n">
        <v>250</v>
      </c>
      <c r="W429" s="14">
        <f>U429+V429</f>
        <v/>
      </c>
    </row>
    <row r="430">
      <c r="A430" s="15" t="inlineStr">
        <is>
          <t>CANON-202511-002319</t>
        </is>
      </c>
      <c r="B430" s="15" t="inlineStr">
        <is>
          <t>2025-11-27</t>
        </is>
      </c>
      <c r="C430" s="15" t="inlineStr">
        <is>
          <t>Emiliano Whitlock</t>
        </is>
      </c>
      <c r="D430" s="15" t="inlineStr">
        <is>
          <t>AZ</t>
        </is>
      </c>
      <c r="E430" s="16" t="n">
        <v>455000</v>
      </c>
      <c r="F430" s="16" t="n">
        <v>9167.68</v>
      </c>
      <c r="G430" s="16" t="n">
        <v>1145.96</v>
      </c>
      <c r="H430" s="16" t="n">
        <v>1145.96</v>
      </c>
      <c r="I430" s="16">
        <f>SUM(K430:T430)</f>
        <v/>
      </c>
      <c r="J430" s="16">
        <f>F430-(G430+H430+I430)</f>
        <v/>
      </c>
      <c r="K430" s="16" t="n">
        <v>687.58</v>
      </c>
      <c r="L430" s="16" t="n">
        <v>687.58</v>
      </c>
      <c r="M430" s="16" t="n">
        <v>687.58</v>
      </c>
      <c r="N430" s="16" t="n">
        <v>687.58</v>
      </c>
      <c r="O430" s="16" t="n">
        <v>687.58</v>
      </c>
      <c r="P430" s="16" t="n">
        <v>687.58</v>
      </c>
      <c r="Q430" s="16" t="n">
        <v>687.58</v>
      </c>
      <c r="R430" s="16" t="n">
        <v>687.58</v>
      </c>
      <c r="S430" s="16" t="n">
        <v>687.58</v>
      </c>
      <c r="T430" s="16" t="n">
        <v>687.58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CANON-202511-002321</t>
        </is>
      </c>
      <c r="B431" s="3" t="inlineStr">
        <is>
          <t>2025-11-28</t>
        </is>
      </c>
      <c r="C431" s="3" t="inlineStr">
        <is>
          <t>Desmond Pennington</t>
        </is>
      </c>
      <c r="D431" s="3" t="inlineStr">
        <is>
          <t>LA</t>
        </is>
      </c>
      <c r="E431" s="14" t="n">
        <v>1180000</v>
      </c>
      <c r="F431" s="14" t="n">
        <v>9411.950000000001</v>
      </c>
      <c r="G431" s="14" t="n">
        <v>1176.49</v>
      </c>
      <c r="H431" s="14" t="n">
        <v>1176.49</v>
      </c>
      <c r="I431" s="14">
        <f>SUM(K431:T431)</f>
        <v/>
      </c>
      <c r="J431" s="14">
        <f>F431-(G431+H431+I431)</f>
        <v/>
      </c>
      <c r="K431" s="14" t="n">
        <v>705.9</v>
      </c>
      <c r="L431" s="14" t="n">
        <v>705.9</v>
      </c>
      <c r="M431" s="14" t="n">
        <v>705.9</v>
      </c>
      <c r="N431" s="14" t="n">
        <v>705.9</v>
      </c>
      <c r="O431" s="14" t="n">
        <v>705.9</v>
      </c>
      <c r="P431" s="14" t="n">
        <v>705.9</v>
      </c>
      <c r="Q431" s="14" t="n">
        <v>705.9</v>
      </c>
      <c r="R431" s="14" t="n">
        <v>705.9</v>
      </c>
      <c r="S431" s="14" t="n">
        <v>705.9</v>
      </c>
      <c r="T431" s="14" t="n">
        <v>705.9</v>
      </c>
      <c r="U431" s="14" t="n">
        <v>350</v>
      </c>
      <c r="V431" s="14" t="n">
        <v>250</v>
      </c>
      <c r="W431" s="14">
        <f>U431+V431</f>
        <v/>
      </c>
    </row>
    <row r="432">
      <c r="A432" s="15" t="inlineStr">
        <is>
          <t>CANON-202511-002322</t>
        </is>
      </c>
      <c r="B432" s="15" t="inlineStr">
        <is>
          <t>2025-11-28</t>
        </is>
      </c>
      <c r="C432" s="15" t="inlineStr">
        <is>
          <t>Callum Castellanos</t>
        </is>
      </c>
      <c r="D432" s="15" t="inlineStr">
        <is>
          <t>NC</t>
        </is>
      </c>
      <c r="E432" s="16" t="n">
        <v>940000</v>
      </c>
      <c r="F432" s="16" t="n">
        <v>12188.99</v>
      </c>
      <c r="G432" s="16" t="n">
        <v>1523.62</v>
      </c>
      <c r="H432" s="16" t="n">
        <v>1523.62</v>
      </c>
      <c r="I432" s="16">
        <f>SUM(K432:T432)</f>
        <v/>
      </c>
      <c r="J432" s="16">
        <f>F432-(G432+H432+I432)</f>
        <v/>
      </c>
      <c r="K432" s="16" t="n">
        <v>914.17</v>
      </c>
      <c r="L432" s="16" t="n">
        <v>914.17</v>
      </c>
      <c r="M432" s="16" t="n">
        <v>914.17</v>
      </c>
      <c r="N432" s="16" t="n">
        <v>914.17</v>
      </c>
      <c r="O432" s="16" t="n">
        <v>914.17</v>
      </c>
      <c r="P432" s="16" t="n">
        <v>914.17</v>
      </c>
      <c r="Q432" s="16" t="n">
        <v>914.17</v>
      </c>
      <c r="R432" s="16" t="n">
        <v>914.17</v>
      </c>
      <c r="S432" s="16" t="n">
        <v>914.17</v>
      </c>
      <c r="T432" s="16" t="n">
        <v>914.17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CANON-202511-002323</t>
        </is>
      </c>
      <c r="B433" s="3" t="inlineStr">
        <is>
          <t>2025-11-15</t>
        </is>
      </c>
      <c r="C433" s="3" t="inlineStr">
        <is>
          <t>Fitzgerald Whitlock</t>
        </is>
      </c>
      <c r="D433" s="3" t="inlineStr">
        <is>
          <t>IL</t>
        </is>
      </c>
      <c r="E433" s="14" t="n">
        <v>440000</v>
      </c>
      <c r="F433" s="14" t="n">
        <v>4982.66</v>
      </c>
      <c r="G433" s="14" t="n">
        <v>622.83</v>
      </c>
      <c r="H433" s="14" t="n">
        <v>622.83</v>
      </c>
      <c r="I433" s="14">
        <f>SUM(K433:T433)</f>
        <v/>
      </c>
      <c r="J433" s="14">
        <f>F433-(G433+H433+I433)</f>
        <v/>
      </c>
      <c r="K433" s="14" t="n">
        <v>373.7</v>
      </c>
      <c r="L433" s="14" t="n">
        <v>373.7</v>
      </c>
      <c r="M433" s="14" t="n">
        <v>373.7</v>
      </c>
      <c r="N433" s="14" t="n">
        <v>373.7</v>
      </c>
      <c r="O433" s="14" t="n">
        <v>373.7</v>
      </c>
      <c r="P433" s="14" t="n">
        <v>373.7</v>
      </c>
      <c r="Q433" s="14" t="n">
        <v>373.7</v>
      </c>
      <c r="R433" s="14" t="n">
        <v>373.7</v>
      </c>
      <c r="S433" s="14" t="n">
        <v>373.7</v>
      </c>
      <c r="T433" s="14" t="n">
        <v>373.7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CANON-202511-002324</t>
        </is>
      </c>
      <c r="B434" s="15" t="inlineStr">
        <is>
          <t>2025-11-05</t>
        </is>
      </c>
      <c r="C434" s="15" t="inlineStr">
        <is>
          <t>Leopold Rourke</t>
        </is>
      </c>
      <c r="D434" s="15" t="inlineStr">
        <is>
          <t>ND</t>
        </is>
      </c>
      <c r="E434" s="16" t="n">
        <v>885000</v>
      </c>
      <c r="F434" s="16" t="n">
        <v>10178.54</v>
      </c>
      <c r="G434" s="16" t="n">
        <v>1272.32</v>
      </c>
      <c r="H434" s="16" t="n">
        <v>1272.32</v>
      </c>
      <c r="I434" s="16">
        <f>SUM(K434:T434)</f>
        <v/>
      </c>
      <c r="J434" s="16">
        <f>F434-(G434+H434+I434)</f>
        <v/>
      </c>
      <c r="K434" s="16" t="n">
        <v>763.39</v>
      </c>
      <c r="L434" s="16" t="n">
        <v>763.39</v>
      </c>
      <c r="M434" s="16" t="n">
        <v>763.39</v>
      </c>
      <c r="N434" s="16" t="n">
        <v>763.39</v>
      </c>
      <c r="O434" s="16" t="n">
        <v>763.39</v>
      </c>
      <c r="P434" s="16" t="n">
        <v>763.39</v>
      </c>
      <c r="Q434" s="16" t="n">
        <v>763.39</v>
      </c>
      <c r="R434" s="16" t="n">
        <v>763.39</v>
      </c>
      <c r="S434" s="16" t="n">
        <v>763.39</v>
      </c>
      <c r="T434" s="16" t="n">
        <v>763.39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CANON-202511-002326</t>
        </is>
      </c>
      <c r="B435" s="3" t="inlineStr">
        <is>
          <t>2025-11-01</t>
        </is>
      </c>
      <c r="C435" s="3" t="inlineStr">
        <is>
          <t>Delphine Nakashima</t>
        </is>
      </c>
      <c r="D435" s="3" t="inlineStr">
        <is>
          <t>WV</t>
        </is>
      </c>
      <c r="E435" s="14" t="n">
        <v>490000</v>
      </c>
      <c r="F435" s="14" t="n">
        <v>8478.860000000001</v>
      </c>
      <c r="G435" s="14" t="n">
        <v>1059.86</v>
      </c>
      <c r="H435" s="14" t="n">
        <v>1059.86</v>
      </c>
      <c r="I435" s="14">
        <f>SUM(K435:T435)</f>
        <v/>
      </c>
      <c r="J435" s="14">
        <f>F435-(G435+H435+I435)</f>
        <v/>
      </c>
      <c r="K435" s="14" t="n">
        <v>635.91</v>
      </c>
      <c r="L435" s="14" t="n">
        <v>635.91</v>
      </c>
      <c r="M435" s="14" t="n">
        <v>635.91</v>
      </c>
      <c r="N435" s="14" t="n">
        <v>635.91</v>
      </c>
      <c r="O435" s="14" t="n">
        <v>635.91</v>
      </c>
      <c r="P435" s="14" t="n">
        <v>635.91</v>
      </c>
      <c r="Q435" s="14" t="n">
        <v>635.91</v>
      </c>
      <c r="R435" s="14" t="n">
        <v>635.91</v>
      </c>
      <c r="S435" s="14" t="n">
        <v>635.91</v>
      </c>
      <c r="T435" s="14" t="n">
        <v>635.91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CANON-202511-002327</t>
        </is>
      </c>
      <c r="B436" s="15" t="inlineStr">
        <is>
          <t>2025-11-02</t>
        </is>
      </c>
      <c r="C436" s="15" t="inlineStr">
        <is>
          <t>Mireille Castellanos</t>
        </is>
      </c>
      <c r="D436" s="15" t="inlineStr">
        <is>
          <t>NE</t>
        </is>
      </c>
      <c r="E436" s="16" t="n">
        <v>200000</v>
      </c>
      <c r="F436" s="16" t="n">
        <v>2570.85</v>
      </c>
      <c r="G436" s="16" t="n">
        <v>321.36</v>
      </c>
      <c r="H436" s="16" t="n">
        <v>321.36</v>
      </c>
      <c r="I436" s="16">
        <f>SUM(K436:T436)</f>
        <v/>
      </c>
      <c r="J436" s="16">
        <f>F436-(G436+H436+I436)</f>
        <v/>
      </c>
      <c r="K436" s="16" t="n">
        <v>192.81</v>
      </c>
      <c r="L436" s="16" t="n">
        <v>192.81</v>
      </c>
      <c r="M436" s="16" t="n">
        <v>192.81</v>
      </c>
      <c r="N436" s="16" t="n">
        <v>192.81</v>
      </c>
      <c r="O436" s="16" t="n">
        <v>192.81</v>
      </c>
      <c r="P436" s="16" t="n">
        <v>192.81</v>
      </c>
      <c r="Q436" s="16" t="n">
        <v>192.81</v>
      </c>
      <c r="R436" s="16" t="n">
        <v>192.81</v>
      </c>
      <c r="S436" s="16" t="n">
        <v>192.81</v>
      </c>
      <c r="T436" s="16" t="n">
        <v>192.81</v>
      </c>
      <c r="U436" s="16" t="n">
        <v>350</v>
      </c>
      <c r="V436" s="16" t="n">
        <v>0</v>
      </c>
      <c r="W436" s="16">
        <f>U436+V436</f>
        <v/>
      </c>
    </row>
    <row r="437">
      <c r="A437" s="3" t="inlineStr">
        <is>
          <t>CANON-202511-002331</t>
        </is>
      </c>
      <c r="B437" s="3" t="inlineStr">
        <is>
          <t>2025-11-06</t>
        </is>
      </c>
      <c r="C437" s="3" t="inlineStr">
        <is>
          <t>Cassius Ashcombe</t>
        </is>
      </c>
      <c r="D437" s="3" t="inlineStr">
        <is>
          <t>ME</t>
        </is>
      </c>
      <c r="E437" s="14" t="n">
        <v>790000</v>
      </c>
      <c r="F437" s="14" t="n">
        <v>14060.58</v>
      </c>
      <c r="G437" s="14" t="n">
        <v>1757.57</v>
      </c>
      <c r="H437" s="14" t="n">
        <v>1757.57</v>
      </c>
      <c r="I437" s="14">
        <f>SUM(K437:T437)</f>
        <v/>
      </c>
      <c r="J437" s="14">
        <f>F437-(G437+H437+I437)</f>
        <v/>
      </c>
      <c r="K437" s="14" t="n">
        <v>1054.54</v>
      </c>
      <c r="L437" s="14" t="n">
        <v>1054.54</v>
      </c>
      <c r="M437" s="14" t="n">
        <v>1054.54</v>
      </c>
      <c r="N437" s="14" t="n">
        <v>1054.54</v>
      </c>
      <c r="O437" s="14" t="n">
        <v>1054.54</v>
      </c>
      <c r="P437" s="14" t="n">
        <v>1054.54</v>
      </c>
      <c r="Q437" s="14" t="n">
        <v>1054.54</v>
      </c>
      <c r="R437" s="14" t="n">
        <v>1054.54</v>
      </c>
      <c r="S437" s="14" t="n">
        <v>1054.54</v>
      </c>
      <c r="T437" s="14" t="n">
        <v>1054.54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CANON-202511-002333</t>
        </is>
      </c>
      <c r="B438" s="15" t="inlineStr">
        <is>
          <t>2025-11-22</t>
        </is>
      </c>
      <c r="C438" s="15" t="inlineStr">
        <is>
          <t>Ottilie Nakashima</t>
        </is>
      </c>
      <c r="D438" s="15" t="inlineStr">
        <is>
          <t>HI</t>
        </is>
      </c>
      <c r="E438" s="16" t="n">
        <v>690000</v>
      </c>
      <c r="F438" s="16" t="n">
        <v>12137.12</v>
      </c>
      <c r="G438" s="16" t="n">
        <v>1517.14</v>
      </c>
      <c r="H438" s="16" t="n">
        <v>1517.14</v>
      </c>
      <c r="I438" s="16">
        <f>SUM(K438:T438)</f>
        <v/>
      </c>
      <c r="J438" s="16">
        <f>F438-(G438+H438+I438)</f>
        <v/>
      </c>
      <c r="K438" s="16" t="n">
        <v>910.28</v>
      </c>
      <c r="L438" s="16" t="n">
        <v>910.28</v>
      </c>
      <c r="M438" s="16" t="n">
        <v>910.28</v>
      </c>
      <c r="N438" s="16" t="n">
        <v>910.28</v>
      </c>
      <c r="O438" s="16" t="n">
        <v>910.28</v>
      </c>
      <c r="P438" s="16" t="n">
        <v>910.28</v>
      </c>
      <c r="Q438" s="16" t="n">
        <v>910.28</v>
      </c>
      <c r="R438" s="16" t="n">
        <v>910.28</v>
      </c>
      <c r="S438" s="16" t="n">
        <v>910.28</v>
      </c>
      <c r="T438" s="16" t="n">
        <v>910.28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CANON-202511-002334</t>
        </is>
      </c>
      <c r="B439" s="3" t="inlineStr">
        <is>
          <t>2025-11-12</t>
        </is>
      </c>
      <c r="C439" s="3" t="inlineStr">
        <is>
          <t>Delphine Bellandi</t>
        </is>
      </c>
      <c r="D439" s="3" t="inlineStr">
        <is>
          <t>KS</t>
        </is>
      </c>
      <c r="E439" s="14" t="n">
        <v>1950000</v>
      </c>
      <c r="F439" s="14" t="n">
        <v>26249.73</v>
      </c>
      <c r="G439" s="14" t="n">
        <v>3281.22</v>
      </c>
      <c r="H439" s="14" t="n">
        <v>3281.22</v>
      </c>
      <c r="I439" s="14">
        <f>SUM(K439:T439)</f>
        <v/>
      </c>
      <c r="J439" s="14">
        <f>F439-(G439+H439+I439)</f>
        <v/>
      </c>
      <c r="K439" s="14" t="n">
        <v>1968.73</v>
      </c>
      <c r="L439" s="14" t="n">
        <v>1968.73</v>
      </c>
      <c r="M439" s="14" t="n">
        <v>1968.73</v>
      </c>
      <c r="N439" s="14" t="n">
        <v>1968.73</v>
      </c>
      <c r="O439" s="14" t="n">
        <v>1968.73</v>
      </c>
      <c r="P439" s="14" t="n">
        <v>1968.73</v>
      </c>
      <c r="Q439" s="14" t="n">
        <v>1968.73</v>
      </c>
      <c r="R439" s="14" t="n">
        <v>1968.73</v>
      </c>
      <c r="S439" s="14" t="n">
        <v>1968.73</v>
      </c>
      <c r="T439" s="14" t="n">
        <v>1968.73</v>
      </c>
      <c r="U439" s="14" t="n">
        <v>350</v>
      </c>
      <c r="V439" s="14" t="n">
        <v>250</v>
      </c>
      <c r="W439" s="14">
        <f>U439+V439</f>
        <v/>
      </c>
    </row>
    <row r="440">
      <c r="A440" s="15" t="inlineStr">
        <is>
          <t>CANON-202511-002337</t>
        </is>
      </c>
      <c r="B440" s="15" t="inlineStr">
        <is>
          <t>2025-11-08</t>
        </is>
      </c>
      <c r="C440" s="15" t="inlineStr">
        <is>
          <t>Sunniva Okonkwo</t>
        </is>
      </c>
      <c r="D440" s="15" t="inlineStr">
        <is>
          <t>CA</t>
        </is>
      </c>
      <c r="E440" s="16" t="n">
        <v>595000</v>
      </c>
      <c r="F440" s="16" t="n">
        <v>9057.17</v>
      </c>
      <c r="G440" s="16" t="n">
        <v>1132.15</v>
      </c>
      <c r="H440" s="16" t="n">
        <v>1132.15</v>
      </c>
      <c r="I440" s="16">
        <f>SUM(K440:T440)</f>
        <v/>
      </c>
      <c r="J440" s="16">
        <f>F440-(G440+H440+I440)</f>
        <v/>
      </c>
      <c r="K440" s="16" t="n">
        <v>679.29</v>
      </c>
      <c r="L440" s="16" t="n">
        <v>679.29</v>
      </c>
      <c r="M440" s="16" t="n">
        <v>679.29</v>
      </c>
      <c r="N440" s="16" t="n">
        <v>679.29</v>
      </c>
      <c r="O440" s="16" t="n">
        <v>679.29</v>
      </c>
      <c r="P440" s="16" t="n">
        <v>679.29</v>
      </c>
      <c r="Q440" s="16" t="n">
        <v>679.29</v>
      </c>
      <c r="R440" s="16" t="n">
        <v>679.29</v>
      </c>
      <c r="S440" s="16" t="n">
        <v>679.29</v>
      </c>
      <c r="T440" s="16" t="n">
        <v>679.29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CANON-202511-002338</t>
        </is>
      </c>
      <c r="B441" s="3" t="inlineStr">
        <is>
          <t>2025-11-13</t>
        </is>
      </c>
      <c r="C441" s="3" t="inlineStr">
        <is>
          <t>Callum Pennington</t>
        </is>
      </c>
      <c r="D441" s="3" t="inlineStr">
        <is>
          <t>NE</t>
        </is>
      </c>
      <c r="E441" s="14" t="n">
        <v>465000</v>
      </c>
      <c r="F441" s="14" t="n">
        <v>7864.78</v>
      </c>
      <c r="G441" s="14" t="n">
        <v>983.1</v>
      </c>
      <c r="H441" s="14" t="n">
        <v>983.1</v>
      </c>
      <c r="I441" s="14">
        <f>SUM(K441:T441)</f>
        <v/>
      </c>
      <c r="J441" s="14">
        <f>F441-(G441+H441+I441)</f>
        <v/>
      </c>
      <c r="K441" s="14" t="n">
        <v>589.86</v>
      </c>
      <c r="L441" s="14" t="n">
        <v>589.86</v>
      </c>
      <c r="M441" s="14" t="n">
        <v>589.86</v>
      </c>
      <c r="N441" s="14" t="n">
        <v>589.86</v>
      </c>
      <c r="O441" s="14" t="n">
        <v>589.86</v>
      </c>
      <c r="P441" s="14" t="n">
        <v>589.86</v>
      </c>
      <c r="Q441" s="14" t="n">
        <v>589.86</v>
      </c>
      <c r="R441" s="14" t="n">
        <v>589.86</v>
      </c>
      <c r="S441" s="14" t="n">
        <v>589.86</v>
      </c>
      <c r="T441" s="14" t="n">
        <v>589.86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CANON-202511-002339</t>
        </is>
      </c>
      <c r="B442" s="15" t="inlineStr">
        <is>
          <t>2025-11-12</t>
        </is>
      </c>
      <c r="C442" s="15" t="inlineStr">
        <is>
          <t>Anouk Thistlewood</t>
        </is>
      </c>
      <c r="D442" s="15" t="inlineStr">
        <is>
          <t>WA</t>
        </is>
      </c>
      <c r="E442" s="16" t="n">
        <v>1050000</v>
      </c>
      <c r="F442" s="16" t="n">
        <v>5945.23</v>
      </c>
      <c r="G442" s="16" t="n">
        <v>743.15</v>
      </c>
      <c r="H442" s="16" t="n">
        <v>743.15</v>
      </c>
      <c r="I442" s="16">
        <f>SUM(K442:T442)</f>
        <v/>
      </c>
      <c r="J442" s="16">
        <f>F442-(G442+H442+I442)</f>
        <v/>
      </c>
      <c r="K442" s="16" t="n">
        <v>445.89</v>
      </c>
      <c r="L442" s="16" t="n">
        <v>445.89</v>
      </c>
      <c r="M442" s="16" t="n">
        <v>445.89</v>
      </c>
      <c r="N442" s="16" t="n">
        <v>445.89</v>
      </c>
      <c r="O442" s="16" t="n">
        <v>445.89</v>
      </c>
      <c r="P442" s="16" t="n">
        <v>445.89</v>
      </c>
      <c r="Q442" s="16" t="n">
        <v>445.89</v>
      </c>
      <c r="R442" s="16" t="n">
        <v>445.89</v>
      </c>
      <c r="S442" s="16" t="n">
        <v>445.89</v>
      </c>
      <c r="T442" s="16" t="n">
        <v>445.89</v>
      </c>
      <c r="U442" s="16" t="n">
        <v>350</v>
      </c>
      <c r="V442" s="16" t="n">
        <v>250</v>
      </c>
      <c r="W442" s="16">
        <f>U442+V442</f>
        <v/>
      </c>
    </row>
    <row r="443">
      <c r="A443" s="3" t="inlineStr">
        <is>
          <t>CANON-202511-002340</t>
        </is>
      </c>
      <c r="B443" s="3" t="inlineStr">
        <is>
          <t>2025-11-07</t>
        </is>
      </c>
      <c r="C443" s="3" t="inlineStr">
        <is>
          <t>Callum Vandermeer</t>
        </is>
      </c>
      <c r="D443" s="3" t="inlineStr">
        <is>
          <t>WY</t>
        </is>
      </c>
      <c r="E443" s="14" t="n">
        <v>740000</v>
      </c>
      <c r="F443" s="14" t="n">
        <v>5906.26</v>
      </c>
      <c r="G443" s="14" t="n">
        <v>738.28</v>
      </c>
      <c r="H443" s="14" t="n">
        <v>738.28</v>
      </c>
      <c r="I443" s="14">
        <f>SUM(K443:T443)</f>
        <v/>
      </c>
      <c r="J443" s="14">
        <f>F443-(G443+H443+I443)</f>
        <v/>
      </c>
      <c r="K443" s="14" t="n">
        <v>442.97</v>
      </c>
      <c r="L443" s="14" t="n">
        <v>442.97</v>
      </c>
      <c r="M443" s="14" t="n">
        <v>442.97</v>
      </c>
      <c r="N443" s="14" t="n">
        <v>442.97</v>
      </c>
      <c r="O443" s="14" t="n">
        <v>442.97</v>
      </c>
      <c r="P443" s="14" t="n">
        <v>442.97</v>
      </c>
      <c r="Q443" s="14" t="n">
        <v>442.97</v>
      </c>
      <c r="R443" s="14" t="n">
        <v>442.97</v>
      </c>
      <c r="S443" s="14" t="n">
        <v>442.97</v>
      </c>
      <c r="T443" s="14" t="n">
        <v>442.97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CANON-202511-002341</t>
        </is>
      </c>
      <c r="B444" s="15" t="inlineStr">
        <is>
          <t>2025-11-15</t>
        </is>
      </c>
      <c r="C444" s="15" t="inlineStr">
        <is>
          <t>Fenwick Bellandi</t>
        </is>
      </c>
      <c r="D444" s="15" t="inlineStr">
        <is>
          <t>MA</t>
        </is>
      </c>
      <c r="E444" s="16" t="n">
        <v>1605000</v>
      </c>
      <c r="F444" s="16" t="n">
        <v>19141.52</v>
      </c>
      <c r="G444" s="16" t="n">
        <v>2392.69</v>
      </c>
      <c r="H444" s="16" t="n">
        <v>2392.69</v>
      </c>
      <c r="I444" s="16">
        <f>SUM(K444:T444)</f>
        <v/>
      </c>
      <c r="J444" s="16">
        <f>F444-(G444+H444+I444)</f>
        <v/>
      </c>
      <c r="K444" s="16" t="n">
        <v>1435.61</v>
      </c>
      <c r="L444" s="16" t="n">
        <v>1435.61</v>
      </c>
      <c r="M444" s="16" t="n">
        <v>1435.61</v>
      </c>
      <c r="N444" s="16" t="n">
        <v>1435.61</v>
      </c>
      <c r="O444" s="16" t="n">
        <v>1435.61</v>
      </c>
      <c r="P444" s="16" t="n">
        <v>1435.61</v>
      </c>
      <c r="Q444" s="16" t="n">
        <v>1435.61</v>
      </c>
      <c r="R444" s="16" t="n">
        <v>1435.61</v>
      </c>
      <c r="S444" s="16" t="n">
        <v>1435.61</v>
      </c>
      <c r="T444" s="16" t="n">
        <v>1435.61</v>
      </c>
      <c r="U444" s="16" t="n">
        <v>350</v>
      </c>
      <c r="V444" s="16" t="n">
        <v>250</v>
      </c>
      <c r="W444" s="16">
        <f>U444+V444</f>
        <v/>
      </c>
    </row>
    <row r="445">
      <c r="A445" s="3" t="inlineStr">
        <is>
          <t>CANON-202511-002342</t>
        </is>
      </c>
      <c r="B445" s="3" t="inlineStr">
        <is>
          <t>2025-11-04</t>
        </is>
      </c>
      <c r="C445" s="3" t="inlineStr">
        <is>
          <t>Wilhelmina Harrington</t>
        </is>
      </c>
      <c r="D445" s="3" t="inlineStr">
        <is>
          <t>WY</t>
        </is>
      </c>
      <c r="E445" s="14" t="n">
        <v>290000</v>
      </c>
      <c r="F445" s="14" t="n">
        <v>4037.12</v>
      </c>
      <c r="G445" s="14" t="n">
        <v>504.64</v>
      </c>
      <c r="H445" s="14" t="n">
        <v>504.64</v>
      </c>
      <c r="I445" s="14">
        <f>SUM(K445:T445)</f>
        <v/>
      </c>
      <c r="J445" s="14">
        <f>F445-(G445+H445+I445)</f>
        <v/>
      </c>
      <c r="K445" s="14" t="n">
        <v>302.78</v>
      </c>
      <c r="L445" s="14" t="n">
        <v>302.78</v>
      </c>
      <c r="M445" s="14" t="n">
        <v>302.78</v>
      </c>
      <c r="N445" s="14" t="n">
        <v>302.78</v>
      </c>
      <c r="O445" s="14" t="n">
        <v>302.78</v>
      </c>
      <c r="P445" s="14" t="n">
        <v>302.78</v>
      </c>
      <c r="Q445" s="14" t="n">
        <v>302.78</v>
      </c>
      <c r="R445" s="14" t="n">
        <v>302.78</v>
      </c>
      <c r="S445" s="14" t="n">
        <v>302.78</v>
      </c>
      <c r="T445" s="14" t="n">
        <v>302.78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CANON-202511-002343</t>
        </is>
      </c>
      <c r="B446" s="15" t="inlineStr">
        <is>
          <t>2025-11-08</t>
        </is>
      </c>
      <c r="C446" s="15" t="inlineStr">
        <is>
          <t>Beatrix Delacroix</t>
        </is>
      </c>
      <c r="D446" s="15" t="inlineStr">
        <is>
          <t>UT</t>
        </is>
      </c>
      <c r="E446" s="16" t="n">
        <v>450000</v>
      </c>
      <c r="F446" s="16" t="n">
        <v>7903.81</v>
      </c>
      <c r="G446" s="16" t="n">
        <v>987.98</v>
      </c>
      <c r="H446" s="16" t="n">
        <v>987.98</v>
      </c>
      <c r="I446" s="16">
        <f>SUM(K446:T446)</f>
        <v/>
      </c>
      <c r="J446" s="16">
        <f>F446-(G446+H446+I446)</f>
        <v/>
      </c>
      <c r="K446" s="16" t="n">
        <v>592.79</v>
      </c>
      <c r="L446" s="16" t="n">
        <v>592.79</v>
      </c>
      <c r="M446" s="16" t="n">
        <v>592.79</v>
      </c>
      <c r="N446" s="16" t="n">
        <v>592.79</v>
      </c>
      <c r="O446" s="16" t="n">
        <v>592.79</v>
      </c>
      <c r="P446" s="16" t="n">
        <v>592.79</v>
      </c>
      <c r="Q446" s="16" t="n">
        <v>592.79</v>
      </c>
      <c r="R446" s="16" t="n">
        <v>592.79</v>
      </c>
      <c r="S446" s="16" t="n">
        <v>592.79</v>
      </c>
      <c r="T446" s="16" t="n">
        <v>592.79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CANON-202511-002344</t>
        </is>
      </c>
      <c r="B447" s="3" t="inlineStr">
        <is>
          <t>2025-11-04</t>
        </is>
      </c>
      <c r="C447" s="3" t="inlineStr">
        <is>
          <t>Saoirse Farkas</t>
        </is>
      </c>
      <c r="D447" s="3" t="inlineStr">
        <is>
          <t>MO</t>
        </is>
      </c>
      <c r="E447" s="14" t="n">
        <v>490000</v>
      </c>
      <c r="F447" s="14" t="n">
        <v>6757.59</v>
      </c>
      <c r="G447" s="14" t="n">
        <v>844.7</v>
      </c>
      <c r="H447" s="14" t="n">
        <v>844.7</v>
      </c>
      <c r="I447" s="14">
        <f>SUM(K447:T447)</f>
        <v/>
      </c>
      <c r="J447" s="14">
        <f>F447-(G447+H447+I447)</f>
        <v/>
      </c>
      <c r="K447" s="14" t="n">
        <v>506.82</v>
      </c>
      <c r="L447" s="14" t="n">
        <v>506.82</v>
      </c>
      <c r="M447" s="14" t="n">
        <v>506.82</v>
      </c>
      <c r="N447" s="14" t="n">
        <v>506.82</v>
      </c>
      <c r="O447" s="14" t="n">
        <v>506.82</v>
      </c>
      <c r="P447" s="14" t="n">
        <v>506.82</v>
      </c>
      <c r="Q447" s="14" t="n">
        <v>506.82</v>
      </c>
      <c r="R447" s="14" t="n">
        <v>506.82</v>
      </c>
      <c r="S447" s="14" t="n">
        <v>506.82</v>
      </c>
      <c r="T447" s="14" t="n">
        <v>506.82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CANON-202511-002346</t>
        </is>
      </c>
      <c r="B448" s="15" t="inlineStr">
        <is>
          <t>2025-11-28</t>
        </is>
      </c>
      <c r="C448" s="15" t="inlineStr">
        <is>
          <t>Fitzgerald Nakashima</t>
        </is>
      </c>
      <c r="D448" s="15" t="inlineStr">
        <is>
          <t>MN</t>
        </is>
      </c>
      <c r="E448" s="16" t="n">
        <v>145000</v>
      </c>
      <c r="F448" s="16" t="n">
        <v>3054.63</v>
      </c>
      <c r="G448" s="16" t="n">
        <v>381.83</v>
      </c>
      <c r="H448" s="16" t="n">
        <v>381.83</v>
      </c>
      <c r="I448" s="16">
        <f>SUM(K448:T448)</f>
        <v/>
      </c>
      <c r="J448" s="16">
        <f>F448-(G448+H448+I448)</f>
        <v/>
      </c>
      <c r="K448" s="16" t="n">
        <v>229.1</v>
      </c>
      <c r="L448" s="16" t="n">
        <v>229.1</v>
      </c>
      <c r="M448" s="16" t="n">
        <v>229.1</v>
      </c>
      <c r="N448" s="16" t="n">
        <v>229.1</v>
      </c>
      <c r="O448" s="16" t="n">
        <v>229.1</v>
      </c>
      <c r="P448" s="16" t="n">
        <v>229.1</v>
      </c>
      <c r="Q448" s="16" t="n">
        <v>229.1</v>
      </c>
      <c r="R448" s="16" t="n">
        <v>229.1</v>
      </c>
      <c r="S448" s="16" t="n">
        <v>229.1</v>
      </c>
      <c r="T448" s="16" t="n">
        <v>229.1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CANON-202511-002347</t>
        </is>
      </c>
      <c r="B449" s="3" t="inlineStr">
        <is>
          <t>2025-11-24</t>
        </is>
      </c>
      <c r="C449" s="3" t="inlineStr">
        <is>
          <t>Lorenzo Thistlewood</t>
        </is>
      </c>
      <c r="D449" s="3" t="inlineStr">
        <is>
          <t>NY</t>
        </is>
      </c>
      <c r="E449" s="14" t="n">
        <v>345000</v>
      </c>
      <c r="F449" s="14" t="n">
        <v>5745.39</v>
      </c>
      <c r="G449" s="14" t="n">
        <v>718.17</v>
      </c>
      <c r="H449" s="14" t="n">
        <v>718.17</v>
      </c>
      <c r="I449" s="14">
        <f>SUM(K449:T449)</f>
        <v/>
      </c>
      <c r="J449" s="14">
        <f>F449-(G449+H449+I449)</f>
        <v/>
      </c>
      <c r="K449" s="14" t="n">
        <v>430.9</v>
      </c>
      <c r="L449" s="14" t="n">
        <v>430.9</v>
      </c>
      <c r="M449" s="14" t="n">
        <v>430.9</v>
      </c>
      <c r="N449" s="14" t="n">
        <v>430.9</v>
      </c>
      <c r="O449" s="14" t="n">
        <v>430.9</v>
      </c>
      <c r="P449" s="14" t="n">
        <v>430.9</v>
      </c>
      <c r="Q449" s="14" t="n">
        <v>430.9</v>
      </c>
      <c r="R449" s="14" t="n">
        <v>430.9</v>
      </c>
      <c r="S449" s="14" t="n">
        <v>430.9</v>
      </c>
      <c r="T449" s="14" t="n">
        <v>430.9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CANON-202511-002348</t>
        </is>
      </c>
      <c r="B450" s="15" t="inlineStr">
        <is>
          <t>2025-11-09</t>
        </is>
      </c>
      <c r="C450" s="15" t="inlineStr">
        <is>
          <t>Thaddeus Castellanos</t>
        </is>
      </c>
      <c r="D450" s="15" t="inlineStr">
        <is>
          <t>CA</t>
        </is>
      </c>
      <c r="E450" s="16" t="n">
        <v>580000</v>
      </c>
      <c r="F450" s="16" t="n">
        <v>12903.7</v>
      </c>
      <c r="G450" s="16" t="n">
        <v>1612.96</v>
      </c>
      <c r="H450" s="16" t="n">
        <v>1612.96</v>
      </c>
      <c r="I450" s="16">
        <f>SUM(K450:T450)</f>
        <v/>
      </c>
      <c r="J450" s="16">
        <f>F450-(G450+H450+I450)</f>
        <v/>
      </c>
      <c r="K450" s="16" t="n">
        <v>967.78</v>
      </c>
      <c r="L450" s="16" t="n">
        <v>967.78</v>
      </c>
      <c r="M450" s="16" t="n">
        <v>967.78</v>
      </c>
      <c r="N450" s="16" t="n">
        <v>967.78</v>
      </c>
      <c r="O450" s="16" t="n">
        <v>967.78</v>
      </c>
      <c r="P450" s="16" t="n">
        <v>967.78</v>
      </c>
      <c r="Q450" s="16" t="n">
        <v>967.78</v>
      </c>
      <c r="R450" s="16" t="n">
        <v>967.78</v>
      </c>
      <c r="S450" s="16" t="n">
        <v>967.78</v>
      </c>
      <c r="T450" s="16" t="n">
        <v>967.78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CANON-202511-002351</t>
        </is>
      </c>
      <c r="B451" s="3" t="inlineStr">
        <is>
          <t>2025-11-03</t>
        </is>
      </c>
      <c r="C451" s="3" t="inlineStr">
        <is>
          <t>Leopold Thistlewood</t>
        </is>
      </c>
      <c r="D451" s="3" t="inlineStr">
        <is>
          <t>PA</t>
        </is>
      </c>
      <c r="E451" s="14" t="n">
        <v>515000</v>
      </c>
      <c r="F451" s="14" t="n">
        <v>5806.97</v>
      </c>
      <c r="G451" s="14" t="n">
        <v>725.87</v>
      </c>
      <c r="H451" s="14" t="n">
        <v>725.87</v>
      </c>
      <c r="I451" s="14">
        <f>SUM(K451:T451)</f>
        <v/>
      </c>
      <c r="J451" s="14">
        <f>F451-(G451+H451+I451)</f>
        <v/>
      </c>
      <c r="K451" s="14" t="n">
        <v>435.52</v>
      </c>
      <c r="L451" s="14" t="n">
        <v>435.52</v>
      </c>
      <c r="M451" s="14" t="n">
        <v>435.52</v>
      </c>
      <c r="N451" s="14" t="n">
        <v>435.52</v>
      </c>
      <c r="O451" s="14" t="n">
        <v>435.52</v>
      </c>
      <c r="P451" s="14" t="n">
        <v>435.52</v>
      </c>
      <c r="Q451" s="14" t="n">
        <v>435.52</v>
      </c>
      <c r="R451" s="14" t="n">
        <v>435.52</v>
      </c>
      <c r="S451" s="14" t="n">
        <v>435.52</v>
      </c>
      <c r="T451" s="14" t="n">
        <v>435.52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CANON-202511-002354</t>
        </is>
      </c>
      <c r="B452" s="15" t="inlineStr">
        <is>
          <t>2025-11-23</t>
        </is>
      </c>
      <c r="C452" s="15" t="inlineStr">
        <is>
          <t>Wilhelmina Montoya</t>
        </is>
      </c>
      <c r="D452" s="15" t="inlineStr">
        <is>
          <t>CA</t>
        </is>
      </c>
      <c r="E452" s="16" t="n">
        <v>415000</v>
      </c>
      <c r="F452" s="16" t="n">
        <v>7289.07</v>
      </c>
      <c r="G452" s="16" t="n">
        <v>911.13</v>
      </c>
      <c r="H452" s="16" t="n">
        <v>911.13</v>
      </c>
      <c r="I452" s="16">
        <f>SUM(K452:T452)</f>
        <v/>
      </c>
      <c r="J452" s="16">
        <f>F452-(G452+H452+I452)</f>
        <v/>
      </c>
      <c r="K452" s="16" t="n">
        <v>546.6799999999999</v>
      </c>
      <c r="L452" s="16" t="n">
        <v>546.6799999999999</v>
      </c>
      <c r="M452" s="16" t="n">
        <v>546.6799999999999</v>
      </c>
      <c r="N452" s="16" t="n">
        <v>546.6799999999999</v>
      </c>
      <c r="O452" s="16" t="n">
        <v>546.6799999999999</v>
      </c>
      <c r="P452" s="16" t="n">
        <v>546.6799999999999</v>
      </c>
      <c r="Q452" s="16" t="n">
        <v>546.6799999999999</v>
      </c>
      <c r="R452" s="16" t="n">
        <v>546.6799999999999</v>
      </c>
      <c r="S452" s="16" t="n">
        <v>546.6799999999999</v>
      </c>
      <c r="T452" s="16" t="n">
        <v>546.6799999999999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CANON-202511-002355</t>
        </is>
      </c>
      <c r="B453" s="3" t="inlineStr">
        <is>
          <t>2025-11-26</t>
        </is>
      </c>
      <c r="C453" s="3" t="inlineStr">
        <is>
          <t>Beatrix Okonkwo</t>
        </is>
      </c>
      <c r="D453" s="3" t="inlineStr">
        <is>
          <t>MD</t>
        </is>
      </c>
      <c r="E453" s="14" t="n">
        <v>1950000</v>
      </c>
      <c r="F453" s="14" t="n">
        <v>10926.11</v>
      </c>
      <c r="G453" s="14" t="n">
        <v>1365.76</v>
      </c>
      <c r="H453" s="14" t="n">
        <v>1365.76</v>
      </c>
      <c r="I453" s="14">
        <f>SUM(K453:T453)</f>
        <v/>
      </c>
      <c r="J453" s="14">
        <f>F453-(G453+H453+I453)</f>
        <v/>
      </c>
      <c r="K453" s="14" t="n">
        <v>819.46</v>
      </c>
      <c r="L453" s="14" t="n">
        <v>819.46</v>
      </c>
      <c r="M453" s="14" t="n">
        <v>819.46</v>
      </c>
      <c r="N453" s="14" t="n">
        <v>819.46</v>
      </c>
      <c r="O453" s="14" t="n">
        <v>819.46</v>
      </c>
      <c r="P453" s="14" t="n">
        <v>819.46</v>
      </c>
      <c r="Q453" s="14" t="n">
        <v>819.46</v>
      </c>
      <c r="R453" s="14" t="n">
        <v>819.46</v>
      </c>
      <c r="S453" s="14" t="n">
        <v>819.46</v>
      </c>
      <c r="T453" s="14" t="n">
        <v>819.46</v>
      </c>
      <c r="U453" s="14" t="n">
        <v>350</v>
      </c>
      <c r="V453" s="14" t="n">
        <v>250</v>
      </c>
      <c r="W453" s="14">
        <f>U453+V453</f>
        <v/>
      </c>
    </row>
    <row r="454">
      <c r="A454" s="15" t="inlineStr">
        <is>
          <t>CANON-202511-002358</t>
        </is>
      </c>
      <c r="B454" s="15" t="inlineStr">
        <is>
          <t>2025-11-22</t>
        </is>
      </c>
      <c r="C454" s="15" t="inlineStr">
        <is>
          <t>Lorenzo Ashcombe</t>
        </is>
      </c>
      <c r="D454" s="15" t="inlineStr">
        <is>
          <t>PA</t>
        </is>
      </c>
      <c r="E454" s="16" t="n">
        <v>855000</v>
      </c>
      <c r="F454" s="16" t="n">
        <v>9640.690000000001</v>
      </c>
      <c r="G454" s="16" t="n">
        <v>1205.09</v>
      </c>
      <c r="H454" s="16" t="n">
        <v>1205.09</v>
      </c>
      <c r="I454" s="16">
        <f>SUM(K454:T454)</f>
        <v/>
      </c>
      <c r="J454" s="16">
        <f>F454-(G454+H454+I454)</f>
        <v/>
      </c>
      <c r="K454" s="16" t="n">
        <v>723.05</v>
      </c>
      <c r="L454" s="16" t="n">
        <v>723.05</v>
      </c>
      <c r="M454" s="16" t="n">
        <v>723.05</v>
      </c>
      <c r="N454" s="16" t="n">
        <v>723.05</v>
      </c>
      <c r="O454" s="16" t="n">
        <v>723.05</v>
      </c>
      <c r="P454" s="16" t="n">
        <v>723.05</v>
      </c>
      <c r="Q454" s="16" t="n">
        <v>723.05</v>
      </c>
      <c r="R454" s="16" t="n">
        <v>723.05</v>
      </c>
      <c r="S454" s="16" t="n">
        <v>723.05</v>
      </c>
      <c r="T454" s="16" t="n">
        <v>723.05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CANON-202511-002359</t>
        </is>
      </c>
      <c r="B455" s="3" t="inlineStr">
        <is>
          <t>2025-11-22</t>
        </is>
      </c>
      <c r="C455" s="3" t="inlineStr">
        <is>
          <t>Saoirse Vasquez</t>
        </is>
      </c>
      <c r="D455" s="3" t="inlineStr">
        <is>
          <t>NV</t>
        </is>
      </c>
      <c r="E455" s="14" t="n">
        <v>800000</v>
      </c>
      <c r="F455" s="14" t="n">
        <v>10554.02</v>
      </c>
      <c r="G455" s="14" t="n">
        <v>1319.25</v>
      </c>
      <c r="H455" s="14" t="n">
        <v>1319.25</v>
      </c>
      <c r="I455" s="14">
        <f>SUM(K455:T455)</f>
        <v/>
      </c>
      <c r="J455" s="14">
        <f>F455-(G455+H455+I455)</f>
        <v/>
      </c>
      <c r="K455" s="14" t="n">
        <v>791.55</v>
      </c>
      <c r="L455" s="14" t="n">
        <v>791.55</v>
      </c>
      <c r="M455" s="14" t="n">
        <v>791.55</v>
      </c>
      <c r="N455" s="14" t="n">
        <v>791.55</v>
      </c>
      <c r="O455" s="14" t="n">
        <v>791.55</v>
      </c>
      <c r="P455" s="14" t="n">
        <v>791.55</v>
      </c>
      <c r="Q455" s="14" t="n">
        <v>791.55</v>
      </c>
      <c r="R455" s="14" t="n">
        <v>791.55</v>
      </c>
      <c r="S455" s="14" t="n">
        <v>791.55</v>
      </c>
      <c r="T455" s="14" t="n">
        <v>791.55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CANON-202511-002360</t>
        </is>
      </c>
      <c r="B456" s="15" t="inlineStr">
        <is>
          <t>2025-11-17</t>
        </is>
      </c>
      <c r="C456" s="15" t="inlineStr">
        <is>
          <t>Thaddeus Harrington</t>
        </is>
      </c>
      <c r="D456" s="15" t="inlineStr">
        <is>
          <t>NE</t>
        </is>
      </c>
      <c r="E456" s="16" t="n">
        <v>1115000</v>
      </c>
      <c r="F456" s="16" t="n">
        <v>13829.6</v>
      </c>
      <c r="G456" s="16" t="n">
        <v>1728.7</v>
      </c>
      <c r="H456" s="16" t="n">
        <v>1728.7</v>
      </c>
      <c r="I456" s="16">
        <f>SUM(K456:T456)</f>
        <v/>
      </c>
      <c r="J456" s="16">
        <f>F456-(G456+H456+I456)</f>
        <v/>
      </c>
      <c r="K456" s="16" t="n">
        <v>1037.22</v>
      </c>
      <c r="L456" s="16" t="n">
        <v>1037.22</v>
      </c>
      <c r="M456" s="16" t="n">
        <v>1037.22</v>
      </c>
      <c r="N456" s="16" t="n">
        <v>1037.22</v>
      </c>
      <c r="O456" s="16" t="n">
        <v>1037.22</v>
      </c>
      <c r="P456" s="16" t="n">
        <v>1037.22</v>
      </c>
      <c r="Q456" s="16" t="n">
        <v>1037.22</v>
      </c>
      <c r="R456" s="16" t="n">
        <v>1037.22</v>
      </c>
      <c r="S456" s="16" t="n">
        <v>1037.22</v>
      </c>
      <c r="T456" s="16" t="n">
        <v>1037.22</v>
      </c>
      <c r="U456" s="16" t="n">
        <v>350</v>
      </c>
      <c r="V456" s="16" t="n">
        <v>250</v>
      </c>
      <c r="W456" s="16">
        <f>U456+V456</f>
        <v/>
      </c>
    </row>
    <row r="457">
      <c r="A457" s="3" t="inlineStr">
        <is>
          <t>CANON-202511-002361</t>
        </is>
      </c>
      <c r="B457" s="3" t="inlineStr">
        <is>
          <t>2025-11-06</t>
        </is>
      </c>
      <c r="C457" s="3" t="inlineStr">
        <is>
          <t>Noor Thistlewood</t>
        </is>
      </c>
      <c r="D457" s="3" t="inlineStr">
        <is>
          <t>KS</t>
        </is>
      </c>
      <c r="E457" s="14" t="n">
        <v>450000</v>
      </c>
      <c r="F457" s="14" t="n">
        <v>5679.03</v>
      </c>
      <c r="G457" s="14" t="n">
        <v>709.88</v>
      </c>
      <c r="H457" s="14" t="n">
        <v>709.88</v>
      </c>
      <c r="I457" s="14">
        <f>SUM(K457:T457)</f>
        <v/>
      </c>
      <c r="J457" s="14">
        <f>F457-(G457+H457+I457)</f>
        <v/>
      </c>
      <c r="K457" s="14" t="n">
        <v>425.93</v>
      </c>
      <c r="L457" s="14" t="n">
        <v>425.93</v>
      </c>
      <c r="M457" s="14" t="n">
        <v>425.93</v>
      </c>
      <c r="N457" s="14" t="n">
        <v>425.93</v>
      </c>
      <c r="O457" s="14" t="n">
        <v>425.93</v>
      </c>
      <c r="P457" s="14" t="n">
        <v>425.93</v>
      </c>
      <c r="Q457" s="14" t="n">
        <v>425.93</v>
      </c>
      <c r="R457" s="14" t="n">
        <v>425.93</v>
      </c>
      <c r="S457" s="14" t="n">
        <v>425.93</v>
      </c>
      <c r="T457" s="14" t="n">
        <v>425.93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CANON-202511-002362</t>
        </is>
      </c>
      <c r="B458" s="15" t="inlineStr">
        <is>
          <t>2025-11-27</t>
        </is>
      </c>
      <c r="C458" s="15" t="inlineStr">
        <is>
          <t>Marisol Delacroix</t>
        </is>
      </c>
      <c r="D458" s="15" t="inlineStr">
        <is>
          <t>TX</t>
        </is>
      </c>
      <c r="E458" s="16" t="n">
        <v>1950000</v>
      </c>
      <c r="F458" s="16" t="n">
        <v>14782.39</v>
      </c>
      <c r="G458" s="16" t="n">
        <v>1847.8</v>
      </c>
      <c r="H458" s="16" t="n">
        <v>1847.8</v>
      </c>
      <c r="I458" s="16">
        <f>SUM(K458:T458)</f>
        <v/>
      </c>
      <c r="J458" s="16">
        <f>F458-(G458+H458+I458)</f>
        <v/>
      </c>
      <c r="K458" s="16" t="n">
        <v>1108.68</v>
      </c>
      <c r="L458" s="16" t="n">
        <v>1108.68</v>
      </c>
      <c r="M458" s="16" t="n">
        <v>1108.68</v>
      </c>
      <c r="N458" s="16" t="n">
        <v>1108.68</v>
      </c>
      <c r="O458" s="16" t="n">
        <v>1108.68</v>
      </c>
      <c r="P458" s="16" t="n">
        <v>1108.68</v>
      </c>
      <c r="Q458" s="16" t="n">
        <v>1108.68</v>
      </c>
      <c r="R458" s="16" t="n">
        <v>1108.68</v>
      </c>
      <c r="S458" s="16" t="n">
        <v>1108.68</v>
      </c>
      <c r="T458" s="16" t="n">
        <v>1108.68</v>
      </c>
      <c r="U458" s="16" t="n">
        <v>350</v>
      </c>
      <c r="V458" s="16" t="n">
        <v>250</v>
      </c>
      <c r="W458" s="16">
        <f>U458+V458</f>
        <v/>
      </c>
    </row>
    <row r="459">
      <c r="A459" s="3" t="inlineStr">
        <is>
          <t>CANON-202511-002365</t>
        </is>
      </c>
      <c r="B459" s="3" t="inlineStr">
        <is>
          <t>2025-11-17</t>
        </is>
      </c>
      <c r="C459" s="3" t="inlineStr">
        <is>
          <t>Noor Merriweather</t>
        </is>
      </c>
      <c r="D459" s="3" t="inlineStr">
        <is>
          <t>TX</t>
        </is>
      </c>
      <c r="E459" s="14" t="n">
        <v>205000</v>
      </c>
      <c r="F459" s="14" t="n">
        <v>5807.22</v>
      </c>
      <c r="G459" s="14" t="n">
        <v>725.9</v>
      </c>
      <c r="H459" s="14" t="n">
        <v>725.9</v>
      </c>
      <c r="I459" s="14">
        <f>SUM(K459:T459)</f>
        <v/>
      </c>
      <c r="J459" s="14">
        <f>F459-(G459+H459+I459)</f>
        <v/>
      </c>
      <c r="K459" s="14" t="n">
        <v>435.54</v>
      </c>
      <c r="L459" s="14" t="n">
        <v>435.54</v>
      </c>
      <c r="M459" s="14" t="n">
        <v>435.54</v>
      </c>
      <c r="N459" s="14" t="n">
        <v>435.54</v>
      </c>
      <c r="O459" s="14" t="n">
        <v>435.54</v>
      </c>
      <c r="P459" s="14" t="n">
        <v>435.54</v>
      </c>
      <c r="Q459" s="14" t="n">
        <v>435.54</v>
      </c>
      <c r="R459" s="14" t="n">
        <v>435.54</v>
      </c>
      <c r="S459" s="14" t="n">
        <v>435.54</v>
      </c>
      <c r="T459" s="14" t="n">
        <v>435.54</v>
      </c>
      <c r="U459" s="14" t="n">
        <v>350</v>
      </c>
      <c r="V459" s="14" t="n">
        <v>0</v>
      </c>
      <c r="W459" s="14">
        <f>U459+V459</f>
        <v/>
      </c>
    </row>
    <row r="460">
      <c r="A460" s="9" t="inlineStr">
        <is>
          <t>TOTAL</t>
        </is>
      </c>
      <c r="E460" s="10">
        <f>SUM(E5:E459)</f>
        <v/>
      </c>
      <c r="F460" s="10">
        <f>SUM(F5:F459)</f>
        <v/>
      </c>
      <c r="G460" s="10">
        <f>SUM(G5:G459)</f>
        <v/>
      </c>
      <c r="H460" s="10">
        <f>SUM(H5:H459)</f>
        <v/>
      </c>
      <c r="I460" s="10">
        <f>SUM(I5:I459)</f>
        <v/>
      </c>
      <c r="J460" s="10">
        <f>SUM(J5:J459)</f>
        <v/>
      </c>
      <c r="K460" s="10">
        <f>SUM(K5:K459)</f>
        <v/>
      </c>
      <c r="L460" s="10">
        <f>SUM(L5:L459)</f>
        <v/>
      </c>
      <c r="M460" s="10">
        <f>SUM(M5:M459)</f>
        <v/>
      </c>
      <c r="N460" s="10">
        <f>SUM(N5:N459)</f>
        <v/>
      </c>
      <c r="O460" s="10">
        <f>SUM(O5:O459)</f>
        <v/>
      </c>
      <c r="P460" s="10">
        <f>SUM(P5:P459)</f>
        <v/>
      </c>
      <c r="Q460" s="10">
        <f>SUM(Q5:Q459)</f>
        <v/>
      </c>
      <c r="R460" s="10">
        <f>SUM(R5:R459)</f>
        <v/>
      </c>
      <c r="S460" s="10">
        <f>SUM(S5:S459)</f>
        <v/>
      </c>
      <c r="T460" s="10">
        <f>SUM(T5:T459)</f>
        <v/>
      </c>
      <c r="U460" s="10">
        <f>SUM(U5:U459)</f>
        <v/>
      </c>
      <c r="V460" s="10">
        <f>SUM(V5:V459)</f>
        <v/>
      </c>
      <c r="W460" s="10">
        <f>SUM(W5:W459)</f>
        <v/>
      </c>
    </row>
    <row r="461">
      <c r="A461" s="5" t="inlineStr">
        <is>
          <t>Foot check: Premium − (B+T+M+Resid)</t>
        </is>
      </c>
      <c r="F461" s="17">
        <f>F460-(G460+H460+I460+J460)</f>
        <v/>
      </c>
    </row>
    <row r="462">
      <c r="A462" s="5" t="inlineStr">
        <is>
          <t>Foot check: Markets − Σ(10 syndicates)</t>
        </is>
      </c>
      <c r="I462" s="17">
        <f>I460-SUM(K460:T460)</f>
        <v/>
      </c>
    </row>
  </sheetData>
  <autoFilter ref="A4:W459"/>
  <mergeCells count="2">
    <mergeCell ref="A2:W2"/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W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2025-12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CANON-202512-002366</t>
        </is>
      </c>
      <c r="B5" s="3" t="inlineStr">
        <is>
          <t>2025-12-12</t>
        </is>
      </c>
      <c r="C5" s="3" t="inlineStr">
        <is>
          <t>Everett Whitlock</t>
        </is>
      </c>
      <c r="D5" s="3" t="inlineStr">
        <is>
          <t>RI</t>
        </is>
      </c>
      <c r="E5" s="14" t="n">
        <v>805000</v>
      </c>
      <c r="F5" s="14" t="n">
        <v>12398.84</v>
      </c>
      <c r="G5" s="14" t="n">
        <v>1549.86</v>
      </c>
      <c r="H5" s="14" t="n">
        <v>1549.86</v>
      </c>
      <c r="I5" s="14">
        <f>SUM(K5:T5)</f>
        <v/>
      </c>
      <c r="J5" s="14">
        <f>F5-(G5+H5+I5)</f>
        <v/>
      </c>
      <c r="K5" s="14" t="n">
        <v>929.91</v>
      </c>
      <c r="L5" s="14" t="n">
        <v>929.91</v>
      </c>
      <c r="M5" s="14" t="n">
        <v>929.91</v>
      </c>
      <c r="N5" s="14" t="n">
        <v>929.91</v>
      </c>
      <c r="O5" s="14" t="n">
        <v>929.91</v>
      </c>
      <c r="P5" s="14" t="n">
        <v>929.91</v>
      </c>
      <c r="Q5" s="14" t="n">
        <v>929.91</v>
      </c>
      <c r="R5" s="14" t="n">
        <v>929.91</v>
      </c>
      <c r="S5" s="14" t="n">
        <v>929.91</v>
      </c>
      <c r="T5" s="14" t="n">
        <v>929.91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CANON-202512-002368</t>
        </is>
      </c>
      <c r="B6" s="15" t="inlineStr">
        <is>
          <t>2025-12-19</t>
        </is>
      </c>
      <c r="C6" s="15" t="inlineStr">
        <is>
          <t>Horace Farkas</t>
        </is>
      </c>
      <c r="D6" s="15" t="inlineStr">
        <is>
          <t>NE</t>
        </is>
      </c>
      <c r="E6" s="16" t="n">
        <v>910000</v>
      </c>
      <c r="F6" s="16" t="n">
        <v>8798.41</v>
      </c>
      <c r="G6" s="16" t="n">
        <v>1099.8</v>
      </c>
      <c r="H6" s="16" t="n">
        <v>1099.8</v>
      </c>
      <c r="I6" s="16">
        <f>SUM(K6:T6)</f>
        <v/>
      </c>
      <c r="J6" s="16">
        <f>F6-(G6+H6+I6)</f>
        <v/>
      </c>
      <c r="K6" s="16" t="n">
        <v>659.88</v>
      </c>
      <c r="L6" s="16" t="n">
        <v>659.88</v>
      </c>
      <c r="M6" s="16" t="n">
        <v>659.88</v>
      </c>
      <c r="N6" s="16" t="n">
        <v>659.88</v>
      </c>
      <c r="O6" s="16" t="n">
        <v>659.88</v>
      </c>
      <c r="P6" s="16" t="n">
        <v>659.88</v>
      </c>
      <c r="Q6" s="16" t="n">
        <v>659.88</v>
      </c>
      <c r="R6" s="16" t="n">
        <v>659.88</v>
      </c>
      <c r="S6" s="16" t="n">
        <v>659.88</v>
      </c>
      <c r="T6" s="16" t="n">
        <v>659.88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CANON-202512-002370</t>
        </is>
      </c>
      <c r="B7" s="3" t="inlineStr">
        <is>
          <t>2025-12-07</t>
        </is>
      </c>
      <c r="C7" s="3" t="inlineStr">
        <is>
          <t>Ottilie Larsson</t>
        </is>
      </c>
      <c r="D7" s="3" t="inlineStr">
        <is>
          <t>AL</t>
        </is>
      </c>
      <c r="E7" s="14" t="n">
        <v>440000</v>
      </c>
      <c r="F7" s="14" t="n">
        <v>7248.85</v>
      </c>
      <c r="G7" s="14" t="n">
        <v>906.11</v>
      </c>
      <c r="H7" s="14" t="n">
        <v>906.11</v>
      </c>
      <c r="I7" s="14">
        <f>SUM(K7:T7)</f>
        <v/>
      </c>
      <c r="J7" s="14">
        <f>F7-(G7+H7+I7)</f>
        <v/>
      </c>
      <c r="K7" s="14" t="n">
        <v>543.66</v>
      </c>
      <c r="L7" s="14" t="n">
        <v>543.66</v>
      </c>
      <c r="M7" s="14" t="n">
        <v>543.66</v>
      </c>
      <c r="N7" s="14" t="n">
        <v>543.66</v>
      </c>
      <c r="O7" s="14" t="n">
        <v>543.66</v>
      </c>
      <c r="P7" s="14" t="n">
        <v>543.66</v>
      </c>
      <c r="Q7" s="14" t="n">
        <v>543.66</v>
      </c>
      <c r="R7" s="14" t="n">
        <v>543.66</v>
      </c>
      <c r="S7" s="14" t="n">
        <v>543.66</v>
      </c>
      <c r="T7" s="14" t="n">
        <v>543.66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CANON-202512-002373</t>
        </is>
      </c>
      <c r="B8" s="15" t="inlineStr">
        <is>
          <t>2025-12-03</t>
        </is>
      </c>
      <c r="C8" s="15" t="inlineStr">
        <is>
          <t>Everett Chattopadhyay</t>
        </is>
      </c>
      <c r="D8" s="15" t="inlineStr">
        <is>
          <t>WA</t>
        </is>
      </c>
      <c r="E8" s="16" t="n">
        <v>445000</v>
      </c>
      <c r="F8" s="16" t="n">
        <v>5541.71</v>
      </c>
      <c r="G8" s="16" t="n">
        <v>692.71</v>
      </c>
      <c r="H8" s="16" t="n">
        <v>692.71</v>
      </c>
      <c r="I8" s="16">
        <f>SUM(K8:T8)</f>
        <v/>
      </c>
      <c r="J8" s="16">
        <f>F8-(G8+H8+I8)</f>
        <v/>
      </c>
      <c r="K8" s="16" t="n">
        <v>415.63</v>
      </c>
      <c r="L8" s="16" t="n">
        <v>415.63</v>
      </c>
      <c r="M8" s="16" t="n">
        <v>415.63</v>
      </c>
      <c r="N8" s="16" t="n">
        <v>415.63</v>
      </c>
      <c r="O8" s="16" t="n">
        <v>415.63</v>
      </c>
      <c r="P8" s="16" t="n">
        <v>415.63</v>
      </c>
      <c r="Q8" s="16" t="n">
        <v>415.63</v>
      </c>
      <c r="R8" s="16" t="n">
        <v>415.63</v>
      </c>
      <c r="S8" s="16" t="n">
        <v>415.63</v>
      </c>
      <c r="T8" s="16" t="n">
        <v>415.63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CANON-202512-002374</t>
        </is>
      </c>
      <c r="B9" s="3" t="inlineStr">
        <is>
          <t>2025-12-07</t>
        </is>
      </c>
      <c r="C9" s="3" t="inlineStr">
        <is>
          <t>Priya Okonkwo</t>
        </is>
      </c>
      <c r="D9" s="3" t="inlineStr">
        <is>
          <t>SD</t>
        </is>
      </c>
      <c r="E9" s="14" t="n">
        <v>320000</v>
      </c>
      <c r="F9" s="14" t="n">
        <v>7065.16</v>
      </c>
      <c r="G9" s="14" t="n">
        <v>883.14</v>
      </c>
      <c r="H9" s="14" t="n">
        <v>883.14</v>
      </c>
      <c r="I9" s="14">
        <f>SUM(K9:T9)</f>
        <v/>
      </c>
      <c r="J9" s="14">
        <f>F9-(G9+H9+I9)</f>
        <v/>
      </c>
      <c r="K9" s="14" t="n">
        <v>529.89</v>
      </c>
      <c r="L9" s="14" t="n">
        <v>529.89</v>
      </c>
      <c r="M9" s="14" t="n">
        <v>529.89</v>
      </c>
      <c r="N9" s="14" t="n">
        <v>529.89</v>
      </c>
      <c r="O9" s="14" t="n">
        <v>529.89</v>
      </c>
      <c r="P9" s="14" t="n">
        <v>529.89</v>
      </c>
      <c r="Q9" s="14" t="n">
        <v>529.89</v>
      </c>
      <c r="R9" s="14" t="n">
        <v>529.89</v>
      </c>
      <c r="S9" s="14" t="n">
        <v>529.89</v>
      </c>
      <c r="T9" s="14" t="n">
        <v>529.89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CANON-202512-002380</t>
        </is>
      </c>
      <c r="B10" s="15" t="inlineStr">
        <is>
          <t>2025-12-25</t>
        </is>
      </c>
      <c r="C10" s="15" t="inlineStr">
        <is>
          <t>Horace Chattopadhyay</t>
        </is>
      </c>
      <c r="D10" s="15" t="inlineStr">
        <is>
          <t>NM</t>
        </is>
      </c>
      <c r="E10" s="16" t="n">
        <v>600000</v>
      </c>
      <c r="F10" s="16" t="n">
        <v>8634.280000000001</v>
      </c>
      <c r="G10" s="16" t="n">
        <v>1079.29</v>
      </c>
      <c r="H10" s="16" t="n">
        <v>1079.29</v>
      </c>
      <c r="I10" s="16">
        <f>SUM(K10:T10)</f>
        <v/>
      </c>
      <c r="J10" s="16">
        <f>F10-(G10+H10+I10)</f>
        <v/>
      </c>
      <c r="K10" s="16" t="n">
        <v>647.5700000000001</v>
      </c>
      <c r="L10" s="16" t="n">
        <v>647.5700000000001</v>
      </c>
      <c r="M10" s="16" t="n">
        <v>647.5700000000001</v>
      </c>
      <c r="N10" s="16" t="n">
        <v>647.5700000000001</v>
      </c>
      <c r="O10" s="16" t="n">
        <v>647.5700000000001</v>
      </c>
      <c r="P10" s="16" t="n">
        <v>647.5700000000001</v>
      </c>
      <c r="Q10" s="16" t="n">
        <v>647.5700000000001</v>
      </c>
      <c r="R10" s="16" t="n">
        <v>647.5700000000001</v>
      </c>
      <c r="S10" s="16" t="n">
        <v>647.5700000000001</v>
      </c>
      <c r="T10" s="16" t="n">
        <v>647.5700000000001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CANON-202512-002381</t>
        </is>
      </c>
      <c r="B11" s="3" t="inlineStr">
        <is>
          <t>2025-12-26</t>
        </is>
      </c>
      <c r="C11" s="3" t="inlineStr">
        <is>
          <t>Aurelio Fairweather</t>
        </is>
      </c>
      <c r="D11" s="3" t="inlineStr">
        <is>
          <t>NY</t>
        </is>
      </c>
      <c r="E11" s="14" t="n">
        <v>600000</v>
      </c>
      <c r="F11" s="14" t="n">
        <v>5047.74</v>
      </c>
      <c r="G11" s="14" t="n">
        <v>630.97</v>
      </c>
      <c r="H11" s="14" t="n">
        <v>630.97</v>
      </c>
      <c r="I11" s="14">
        <f>SUM(K11:T11)</f>
        <v/>
      </c>
      <c r="J11" s="14">
        <f>F11-(G11+H11+I11)</f>
        <v/>
      </c>
      <c r="K11" s="14" t="n">
        <v>378.58</v>
      </c>
      <c r="L11" s="14" t="n">
        <v>378.58</v>
      </c>
      <c r="M11" s="14" t="n">
        <v>378.58</v>
      </c>
      <c r="N11" s="14" t="n">
        <v>378.58</v>
      </c>
      <c r="O11" s="14" t="n">
        <v>378.58</v>
      </c>
      <c r="P11" s="14" t="n">
        <v>378.58</v>
      </c>
      <c r="Q11" s="14" t="n">
        <v>378.58</v>
      </c>
      <c r="R11" s="14" t="n">
        <v>378.58</v>
      </c>
      <c r="S11" s="14" t="n">
        <v>378.58</v>
      </c>
      <c r="T11" s="14" t="n">
        <v>378.58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CANON-202512-002382</t>
        </is>
      </c>
      <c r="B12" s="15" t="inlineStr">
        <is>
          <t>2025-12-24</t>
        </is>
      </c>
      <c r="C12" s="15" t="inlineStr">
        <is>
          <t>Mireille Blackwood</t>
        </is>
      </c>
      <c r="D12" s="15" t="inlineStr">
        <is>
          <t>WY</t>
        </is>
      </c>
      <c r="E12" s="16" t="n">
        <v>315000</v>
      </c>
      <c r="F12" s="16" t="n">
        <v>4372.27</v>
      </c>
      <c r="G12" s="16" t="n">
        <v>546.53</v>
      </c>
      <c r="H12" s="16" t="n">
        <v>546.53</v>
      </c>
      <c r="I12" s="16">
        <f>SUM(K12:T12)</f>
        <v/>
      </c>
      <c r="J12" s="16">
        <f>F12-(G12+H12+I12)</f>
        <v/>
      </c>
      <c r="K12" s="16" t="n">
        <v>327.92</v>
      </c>
      <c r="L12" s="16" t="n">
        <v>327.92</v>
      </c>
      <c r="M12" s="16" t="n">
        <v>327.92</v>
      </c>
      <c r="N12" s="16" t="n">
        <v>327.92</v>
      </c>
      <c r="O12" s="16" t="n">
        <v>327.92</v>
      </c>
      <c r="P12" s="16" t="n">
        <v>327.92</v>
      </c>
      <c r="Q12" s="16" t="n">
        <v>327.92</v>
      </c>
      <c r="R12" s="16" t="n">
        <v>327.92</v>
      </c>
      <c r="S12" s="16" t="n">
        <v>327.92</v>
      </c>
      <c r="T12" s="16" t="n">
        <v>327.92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CANON-202512-002383</t>
        </is>
      </c>
      <c r="B13" s="3" t="inlineStr">
        <is>
          <t>2025-12-18</t>
        </is>
      </c>
      <c r="C13" s="3" t="inlineStr">
        <is>
          <t>Noor Vasquez</t>
        </is>
      </c>
      <c r="D13" s="3" t="inlineStr">
        <is>
          <t>WY</t>
        </is>
      </c>
      <c r="E13" s="14" t="n">
        <v>1090000</v>
      </c>
      <c r="F13" s="14" t="n">
        <v>11094.92</v>
      </c>
      <c r="G13" s="14" t="n">
        <v>1386.87</v>
      </c>
      <c r="H13" s="14" t="n">
        <v>1386.87</v>
      </c>
      <c r="I13" s="14">
        <f>SUM(K13:T13)</f>
        <v/>
      </c>
      <c r="J13" s="14">
        <f>F13-(G13+H13+I13)</f>
        <v/>
      </c>
      <c r="K13" s="14" t="n">
        <v>832.12</v>
      </c>
      <c r="L13" s="14" t="n">
        <v>832.12</v>
      </c>
      <c r="M13" s="14" t="n">
        <v>832.12</v>
      </c>
      <c r="N13" s="14" t="n">
        <v>832.12</v>
      </c>
      <c r="O13" s="14" t="n">
        <v>832.12</v>
      </c>
      <c r="P13" s="14" t="n">
        <v>832.12</v>
      </c>
      <c r="Q13" s="14" t="n">
        <v>832.12</v>
      </c>
      <c r="R13" s="14" t="n">
        <v>832.12</v>
      </c>
      <c r="S13" s="14" t="n">
        <v>832.12</v>
      </c>
      <c r="T13" s="14" t="n">
        <v>832.12</v>
      </c>
      <c r="U13" s="14" t="n">
        <v>350</v>
      </c>
      <c r="V13" s="14" t="n">
        <v>250</v>
      </c>
      <c r="W13" s="14">
        <f>U13+V13</f>
        <v/>
      </c>
    </row>
    <row r="14">
      <c r="A14" s="15" t="inlineStr">
        <is>
          <t>CANON-202512-002385</t>
        </is>
      </c>
      <c r="B14" s="15" t="inlineStr">
        <is>
          <t>2025-12-05</t>
        </is>
      </c>
      <c r="C14" s="15" t="inlineStr">
        <is>
          <t>Fenwick Farkas</t>
        </is>
      </c>
      <c r="D14" s="15" t="inlineStr">
        <is>
          <t>AR</t>
        </is>
      </c>
      <c r="E14" s="16" t="n">
        <v>220000</v>
      </c>
      <c r="F14" s="16" t="n">
        <v>4831.05</v>
      </c>
      <c r="G14" s="16" t="n">
        <v>603.88</v>
      </c>
      <c r="H14" s="16" t="n">
        <v>603.88</v>
      </c>
      <c r="I14" s="16">
        <f>SUM(K14:T14)</f>
        <v/>
      </c>
      <c r="J14" s="16">
        <f>F14-(G14+H14+I14)</f>
        <v/>
      </c>
      <c r="K14" s="16" t="n">
        <v>362.33</v>
      </c>
      <c r="L14" s="16" t="n">
        <v>362.33</v>
      </c>
      <c r="M14" s="16" t="n">
        <v>362.33</v>
      </c>
      <c r="N14" s="16" t="n">
        <v>362.33</v>
      </c>
      <c r="O14" s="16" t="n">
        <v>362.33</v>
      </c>
      <c r="P14" s="16" t="n">
        <v>362.33</v>
      </c>
      <c r="Q14" s="16" t="n">
        <v>362.33</v>
      </c>
      <c r="R14" s="16" t="n">
        <v>362.33</v>
      </c>
      <c r="S14" s="16" t="n">
        <v>362.33</v>
      </c>
      <c r="T14" s="16" t="n">
        <v>362.33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CANON-202512-002387</t>
        </is>
      </c>
      <c r="B15" s="3" t="inlineStr">
        <is>
          <t>2025-12-04</t>
        </is>
      </c>
      <c r="C15" s="3" t="inlineStr">
        <is>
          <t>Callum Underwood</t>
        </is>
      </c>
      <c r="D15" s="3" t="inlineStr">
        <is>
          <t>PA</t>
        </is>
      </c>
      <c r="E15" s="14" t="n">
        <v>480000</v>
      </c>
      <c r="F15" s="14" t="n">
        <v>7305.92</v>
      </c>
      <c r="G15" s="14" t="n">
        <v>913.24</v>
      </c>
      <c r="H15" s="14" t="n">
        <v>913.24</v>
      </c>
      <c r="I15" s="14">
        <f>SUM(K15:T15)</f>
        <v/>
      </c>
      <c r="J15" s="14">
        <f>F15-(G15+H15+I15)</f>
        <v/>
      </c>
      <c r="K15" s="14" t="n">
        <v>547.9400000000001</v>
      </c>
      <c r="L15" s="14" t="n">
        <v>547.9400000000001</v>
      </c>
      <c r="M15" s="14" t="n">
        <v>547.9400000000001</v>
      </c>
      <c r="N15" s="14" t="n">
        <v>547.9400000000001</v>
      </c>
      <c r="O15" s="14" t="n">
        <v>547.9400000000001</v>
      </c>
      <c r="P15" s="14" t="n">
        <v>547.9400000000001</v>
      </c>
      <c r="Q15" s="14" t="n">
        <v>547.9400000000001</v>
      </c>
      <c r="R15" s="14" t="n">
        <v>547.9400000000001</v>
      </c>
      <c r="S15" s="14" t="n">
        <v>547.9400000000001</v>
      </c>
      <c r="T15" s="14" t="n">
        <v>547.9400000000001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CANON-202512-002388</t>
        </is>
      </c>
      <c r="B16" s="15" t="inlineStr">
        <is>
          <t>2025-12-30</t>
        </is>
      </c>
      <c r="C16" s="15" t="inlineStr">
        <is>
          <t>Everett Bellandi</t>
        </is>
      </c>
      <c r="D16" s="15" t="inlineStr">
        <is>
          <t>ND</t>
        </is>
      </c>
      <c r="E16" s="16" t="n">
        <v>1070000</v>
      </c>
      <c r="F16" s="16" t="n">
        <v>7173.3</v>
      </c>
      <c r="G16" s="16" t="n">
        <v>896.66</v>
      </c>
      <c r="H16" s="16" t="n">
        <v>896.66</v>
      </c>
      <c r="I16" s="16">
        <f>SUM(K16:T16)</f>
        <v/>
      </c>
      <c r="J16" s="16">
        <f>F16-(G16+H16+I16)</f>
        <v/>
      </c>
      <c r="K16" s="16" t="n">
        <v>538</v>
      </c>
      <c r="L16" s="16" t="n">
        <v>538</v>
      </c>
      <c r="M16" s="16" t="n">
        <v>538</v>
      </c>
      <c r="N16" s="16" t="n">
        <v>538</v>
      </c>
      <c r="O16" s="16" t="n">
        <v>538</v>
      </c>
      <c r="P16" s="16" t="n">
        <v>538</v>
      </c>
      <c r="Q16" s="16" t="n">
        <v>538</v>
      </c>
      <c r="R16" s="16" t="n">
        <v>538</v>
      </c>
      <c r="S16" s="16" t="n">
        <v>538</v>
      </c>
      <c r="T16" s="16" t="n">
        <v>538</v>
      </c>
      <c r="U16" s="16" t="n">
        <v>350</v>
      </c>
      <c r="V16" s="16" t="n">
        <v>250</v>
      </c>
      <c r="W16" s="16">
        <f>U16+V16</f>
        <v/>
      </c>
    </row>
    <row r="17">
      <c r="A17" s="3" t="inlineStr">
        <is>
          <t>CANON-202512-002389</t>
        </is>
      </c>
      <c r="B17" s="3" t="inlineStr">
        <is>
          <t>2025-12-14</t>
        </is>
      </c>
      <c r="C17" s="3" t="inlineStr">
        <is>
          <t>Delphine Thistlewood</t>
        </is>
      </c>
      <c r="D17" s="3" t="inlineStr">
        <is>
          <t>CA</t>
        </is>
      </c>
      <c r="E17" s="14" t="n">
        <v>1060000</v>
      </c>
      <c r="F17" s="14" t="n">
        <v>13612.99</v>
      </c>
      <c r="G17" s="14" t="n">
        <v>1701.62</v>
      </c>
      <c r="H17" s="14" t="n">
        <v>1701.62</v>
      </c>
      <c r="I17" s="14">
        <f>SUM(K17:T17)</f>
        <v/>
      </c>
      <c r="J17" s="14">
        <f>F17-(G17+H17+I17)</f>
        <v/>
      </c>
      <c r="K17" s="14" t="n">
        <v>1020.97</v>
      </c>
      <c r="L17" s="14" t="n">
        <v>1020.97</v>
      </c>
      <c r="M17" s="14" t="n">
        <v>1020.97</v>
      </c>
      <c r="N17" s="14" t="n">
        <v>1020.97</v>
      </c>
      <c r="O17" s="14" t="n">
        <v>1020.97</v>
      </c>
      <c r="P17" s="14" t="n">
        <v>1020.97</v>
      </c>
      <c r="Q17" s="14" t="n">
        <v>1020.97</v>
      </c>
      <c r="R17" s="14" t="n">
        <v>1020.97</v>
      </c>
      <c r="S17" s="14" t="n">
        <v>1020.97</v>
      </c>
      <c r="T17" s="14" t="n">
        <v>1020.97</v>
      </c>
      <c r="U17" s="14" t="n">
        <v>350</v>
      </c>
      <c r="V17" s="14" t="n">
        <v>250</v>
      </c>
      <c r="W17" s="14">
        <f>U17+V17</f>
        <v/>
      </c>
    </row>
    <row r="18">
      <c r="A18" s="15" t="inlineStr">
        <is>
          <t>CANON-202512-002390</t>
        </is>
      </c>
      <c r="B18" s="15" t="inlineStr">
        <is>
          <t>2025-12-26</t>
        </is>
      </c>
      <c r="C18" s="15" t="inlineStr">
        <is>
          <t>Thaddeus Pennington</t>
        </is>
      </c>
      <c r="D18" s="15" t="inlineStr">
        <is>
          <t>TX</t>
        </is>
      </c>
      <c r="E18" s="16" t="n">
        <v>1950000</v>
      </c>
      <c r="F18" s="16" t="n">
        <v>13187.51</v>
      </c>
      <c r="G18" s="16" t="n">
        <v>1648.44</v>
      </c>
      <c r="H18" s="16" t="n">
        <v>1648.44</v>
      </c>
      <c r="I18" s="16">
        <f>SUM(K18:T18)</f>
        <v/>
      </c>
      <c r="J18" s="16">
        <f>F18-(G18+H18+I18)</f>
        <v/>
      </c>
      <c r="K18" s="16" t="n">
        <v>989.0599999999999</v>
      </c>
      <c r="L18" s="16" t="n">
        <v>989.0599999999999</v>
      </c>
      <c r="M18" s="16" t="n">
        <v>989.0599999999999</v>
      </c>
      <c r="N18" s="16" t="n">
        <v>989.0599999999999</v>
      </c>
      <c r="O18" s="16" t="n">
        <v>989.0599999999999</v>
      </c>
      <c r="P18" s="16" t="n">
        <v>989.0599999999999</v>
      </c>
      <c r="Q18" s="16" t="n">
        <v>989.0599999999999</v>
      </c>
      <c r="R18" s="16" t="n">
        <v>989.0599999999999</v>
      </c>
      <c r="S18" s="16" t="n">
        <v>989.0599999999999</v>
      </c>
      <c r="T18" s="16" t="n">
        <v>989.0599999999999</v>
      </c>
      <c r="U18" s="16" t="n">
        <v>350</v>
      </c>
      <c r="V18" s="16" t="n">
        <v>250</v>
      </c>
      <c r="W18" s="16">
        <f>U18+V18</f>
        <v/>
      </c>
    </row>
    <row r="19">
      <c r="A19" s="3" t="inlineStr">
        <is>
          <t>CANON-202512-002391</t>
        </is>
      </c>
      <c r="B19" s="3" t="inlineStr">
        <is>
          <t>2025-12-21</t>
        </is>
      </c>
      <c r="C19" s="3" t="inlineStr">
        <is>
          <t>Ingrid Harrington</t>
        </is>
      </c>
      <c r="D19" s="3" t="inlineStr">
        <is>
          <t>CA</t>
        </is>
      </c>
      <c r="E19" s="14" t="n">
        <v>1070000</v>
      </c>
      <c r="F19" s="14" t="n">
        <v>13741.42</v>
      </c>
      <c r="G19" s="14" t="n">
        <v>1717.68</v>
      </c>
      <c r="H19" s="14" t="n">
        <v>1717.68</v>
      </c>
      <c r="I19" s="14">
        <f>SUM(K19:T19)</f>
        <v/>
      </c>
      <c r="J19" s="14">
        <f>F19-(G19+H19+I19)</f>
        <v/>
      </c>
      <c r="K19" s="14" t="n">
        <v>1030.61</v>
      </c>
      <c r="L19" s="14" t="n">
        <v>1030.61</v>
      </c>
      <c r="M19" s="14" t="n">
        <v>1030.61</v>
      </c>
      <c r="N19" s="14" t="n">
        <v>1030.61</v>
      </c>
      <c r="O19" s="14" t="n">
        <v>1030.61</v>
      </c>
      <c r="P19" s="14" t="n">
        <v>1030.61</v>
      </c>
      <c r="Q19" s="14" t="n">
        <v>1030.61</v>
      </c>
      <c r="R19" s="14" t="n">
        <v>1030.61</v>
      </c>
      <c r="S19" s="14" t="n">
        <v>1030.61</v>
      </c>
      <c r="T19" s="14" t="n">
        <v>1030.61</v>
      </c>
      <c r="U19" s="14" t="n">
        <v>350</v>
      </c>
      <c r="V19" s="14" t="n">
        <v>250</v>
      </c>
      <c r="W19" s="14">
        <f>U19+V19</f>
        <v/>
      </c>
    </row>
    <row r="20">
      <c r="A20" s="15" t="inlineStr">
        <is>
          <t>CANON-202512-002393</t>
        </is>
      </c>
      <c r="B20" s="15" t="inlineStr">
        <is>
          <t>2025-12-20</t>
        </is>
      </c>
      <c r="C20" s="15" t="inlineStr">
        <is>
          <t>Cassius Nakashima</t>
        </is>
      </c>
      <c r="D20" s="15" t="inlineStr">
        <is>
          <t>CA</t>
        </is>
      </c>
      <c r="E20" s="16" t="n">
        <v>355000</v>
      </c>
      <c r="F20" s="16" t="n">
        <v>6216.91</v>
      </c>
      <c r="G20" s="16" t="n">
        <v>777.11</v>
      </c>
      <c r="H20" s="16" t="n">
        <v>777.11</v>
      </c>
      <c r="I20" s="16">
        <f>SUM(K20:T20)</f>
        <v/>
      </c>
      <c r="J20" s="16">
        <f>F20-(G20+H20+I20)</f>
        <v/>
      </c>
      <c r="K20" s="16" t="n">
        <v>466.27</v>
      </c>
      <c r="L20" s="16" t="n">
        <v>466.27</v>
      </c>
      <c r="M20" s="16" t="n">
        <v>466.27</v>
      </c>
      <c r="N20" s="16" t="n">
        <v>466.27</v>
      </c>
      <c r="O20" s="16" t="n">
        <v>466.27</v>
      </c>
      <c r="P20" s="16" t="n">
        <v>466.27</v>
      </c>
      <c r="Q20" s="16" t="n">
        <v>466.27</v>
      </c>
      <c r="R20" s="16" t="n">
        <v>466.27</v>
      </c>
      <c r="S20" s="16" t="n">
        <v>466.27</v>
      </c>
      <c r="T20" s="16" t="n">
        <v>466.27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CANON-202512-002394</t>
        </is>
      </c>
      <c r="B21" s="3" t="inlineStr">
        <is>
          <t>2025-12-08</t>
        </is>
      </c>
      <c r="C21" s="3" t="inlineStr">
        <is>
          <t>Lorenzo Thistlewood</t>
        </is>
      </c>
      <c r="D21" s="3" t="inlineStr">
        <is>
          <t>NM</t>
        </is>
      </c>
      <c r="E21" s="14" t="n">
        <v>1150000</v>
      </c>
      <c r="F21" s="14" t="n">
        <v>20368.04</v>
      </c>
      <c r="G21" s="14" t="n">
        <v>2546.01</v>
      </c>
      <c r="H21" s="14" t="n">
        <v>2546.01</v>
      </c>
      <c r="I21" s="14">
        <f>SUM(K21:T21)</f>
        <v/>
      </c>
      <c r="J21" s="14">
        <f>F21-(G21+H21+I21)</f>
        <v/>
      </c>
      <c r="K21" s="14" t="n">
        <v>1527.6</v>
      </c>
      <c r="L21" s="14" t="n">
        <v>1527.6</v>
      </c>
      <c r="M21" s="14" t="n">
        <v>1527.6</v>
      </c>
      <c r="N21" s="14" t="n">
        <v>1527.6</v>
      </c>
      <c r="O21" s="14" t="n">
        <v>1527.6</v>
      </c>
      <c r="P21" s="14" t="n">
        <v>1527.6</v>
      </c>
      <c r="Q21" s="14" t="n">
        <v>1527.6</v>
      </c>
      <c r="R21" s="14" t="n">
        <v>1527.6</v>
      </c>
      <c r="S21" s="14" t="n">
        <v>1527.6</v>
      </c>
      <c r="T21" s="14" t="n">
        <v>1527.6</v>
      </c>
      <c r="U21" s="14" t="n">
        <v>350</v>
      </c>
      <c r="V21" s="14" t="n">
        <v>250</v>
      </c>
      <c r="W21" s="14">
        <f>U21+V21</f>
        <v/>
      </c>
    </row>
    <row r="22">
      <c r="A22" s="15" t="inlineStr">
        <is>
          <t>CANON-202512-002395</t>
        </is>
      </c>
      <c r="B22" s="15" t="inlineStr">
        <is>
          <t>2025-12-24</t>
        </is>
      </c>
      <c r="C22" s="15" t="inlineStr">
        <is>
          <t>Ottilie Larsson</t>
        </is>
      </c>
      <c r="D22" s="15" t="inlineStr">
        <is>
          <t>MD</t>
        </is>
      </c>
      <c r="E22" s="16" t="n">
        <v>205000</v>
      </c>
      <c r="F22" s="16" t="n">
        <v>3098.97</v>
      </c>
      <c r="G22" s="16" t="n">
        <v>387.37</v>
      </c>
      <c r="H22" s="16" t="n">
        <v>387.37</v>
      </c>
      <c r="I22" s="16">
        <f>SUM(K22:T22)</f>
        <v/>
      </c>
      <c r="J22" s="16">
        <f>F22-(G22+H22+I22)</f>
        <v/>
      </c>
      <c r="K22" s="16" t="n">
        <v>232.42</v>
      </c>
      <c r="L22" s="16" t="n">
        <v>232.42</v>
      </c>
      <c r="M22" s="16" t="n">
        <v>232.42</v>
      </c>
      <c r="N22" s="16" t="n">
        <v>232.42</v>
      </c>
      <c r="O22" s="16" t="n">
        <v>232.42</v>
      </c>
      <c r="P22" s="16" t="n">
        <v>232.42</v>
      </c>
      <c r="Q22" s="16" t="n">
        <v>232.42</v>
      </c>
      <c r="R22" s="16" t="n">
        <v>232.42</v>
      </c>
      <c r="S22" s="16" t="n">
        <v>232.42</v>
      </c>
      <c r="T22" s="16" t="n">
        <v>232.42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CANON-202512-002397</t>
        </is>
      </c>
      <c r="B23" s="3" t="inlineStr">
        <is>
          <t>2025-12-07</t>
        </is>
      </c>
      <c r="C23" s="3" t="inlineStr">
        <is>
          <t>Everett Montoya</t>
        </is>
      </c>
      <c r="D23" s="3" t="inlineStr">
        <is>
          <t>OH</t>
        </is>
      </c>
      <c r="E23" s="14" t="n">
        <v>650000</v>
      </c>
      <c r="F23" s="14" t="n">
        <v>14845.78</v>
      </c>
      <c r="G23" s="14" t="n">
        <v>1855.72</v>
      </c>
      <c r="H23" s="14" t="n">
        <v>1855.72</v>
      </c>
      <c r="I23" s="14">
        <f>SUM(K23:T23)</f>
        <v/>
      </c>
      <c r="J23" s="14">
        <f>F23-(G23+H23+I23)</f>
        <v/>
      </c>
      <c r="K23" s="14" t="n">
        <v>1113.43</v>
      </c>
      <c r="L23" s="14" t="n">
        <v>1113.43</v>
      </c>
      <c r="M23" s="14" t="n">
        <v>1113.43</v>
      </c>
      <c r="N23" s="14" t="n">
        <v>1113.43</v>
      </c>
      <c r="O23" s="14" t="n">
        <v>1113.43</v>
      </c>
      <c r="P23" s="14" t="n">
        <v>1113.43</v>
      </c>
      <c r="Q23" s="14" t="n">
        <v>1113.43</v>
      </c>
      <c r="R23" s="14" t="n">
        <v>1113.43</v>
      </c>
      <c r="S23" s="14" t="n">
        <v>1113.43</v>
      </c>
      <c r="T23" s="14" t="n">
        <v>1113.43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CANON-202512-002398</t>
        </is>
      </c>
      <c r="B24" s="15" t="inlineStr">
        <is>
          <t>2025-12-25</t>
        </is>
      </c>
      <c r="C24" s="15" t="inlineStr">
        <is>
          <t>Emiliano Vandermeer</t>
        </is>
      </c>
      <c r="D24" s="15" t="inlineStr">
        <is>
          <t>WY</t>
        </is>
      </c>
      <c r="E24" s="16" t="n">
        <v>240000</v>
      </c>
      <c r="F24" s="16" t="n">
        <v>4086.34</v>
      </c>
      <c r="G24" s="16" t="n">
        <v>510.79</v>
      </c>
      <c r="H24" s="16" t="n">
        <v>510.79</v>
      </c>
      <c r="I24" s="16">
        <f>SUM(K24:T24)</f>
        <v/>
      </c>
      <c r="J24" s="16">
        <f>F24-(G24+H24+I24)</f>
        <v/>
      </c>
      <c r="K24" s="16" t="n">
        <v>306.48</v>
      </c>
      <c r="L24" s="16" t="n">
        <v>306.48</v>
      </c>
      <c r="M24" s="16" t="n">
        <v>306.48</v>
      </c>
      <c r="N24" s="16" t="n">
        <v>306.48</v>
      </c>
      <c r="O24" s="16" t="n">
        <v>306.48</v>
      </c>
      <c r="P24" s="16" t="n">
        <v>306.48</v>
      </c>
      <c r="Q24" s="16" t="n">
        <v>306.48</v>
      </c>
      <c r="R24" s="16" t="n">
        <v>306.48</v>
      </c>
      <c r="S24" s="16" t="n">
        <v>306.48</v>
      </c>
      <c r="T24" s="16" t="n">
        <v>306.48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CANON-202512-002399</t>
        </is>
      </c>
      <c r="B25" s="3" t="inlineStr">
        <is>
          <t>2025-12-04</t>
        </is>
      </c>
      <c r="C25" s="3" t="inlineStr">
        <is>
          <t>Fenwick Pennington</t>
        </is>
      </c>
      <c r="D25" s="3" t="inlineStr">
        <is>
          <t>NY</t>
        </is>
      </c>
      <c r="E25" s="14" t="n">
        <v>220000</v>
      </c>
      <c r="F25" s="14" t="n">
        <v>4480.97</v>
      </c>
      <c r="G25" s="14" t="n">
        <v>560.12</v>
      </c>
      <c r="H25" s="14" t="n">
        <v>560.12</v>
      </c>
      <c r="I25" s="14">
        <f>SUM(K25:T25)</f>
        <v/>
      </c>
      <c r="J25" s="14">
        <f>F25-(G25+H25+I25)</f>
        <v/>
      </c>
      <c r="K25" s="14" t="n">
        <v>336.07</v>
      </c>
      <c r="L25" s="14" t="n">
        <v>336.07</v>
      </c>
      <c r="M25" s="14" t="n">
        <v>336.07</v>
      </c>
      <c r="N25" s="14" t="n">
        <v>336.07</v>
      </c>
      <c r="O25" s="14" t="n">
        <v>336.07</v>
      </c>
      <c r="P25" s="14" t="n">
        <v>336.07</v>
      </c>
      <c r="Q25" s="14" t="n">
        <v>336.07</v>
      </c>
      <c r="R25" s="14" t="n">
        <v>336.07</v>
      </c>
      <c r="S25" s="14" t="n">
        <v>336.07</v>
      </c>
      <c r="T25" s="14" t="n">
        <v>336.07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CANON-202512-002401</t>
        </is>
      </c>
      <c r="B26" s="15" t="inlineStr">
        <is>
          <t>2025-12-21</t>
        </is>
      </c>
      <c r="C26" s="15" t="inlineStr">
        <is>
          <t>Wilhelmina Underwood</t>
        </is>
      </c>
      <c r="D26" s="15" t="inlineStr">
        <is>
          <t>PA</t>
        </is>
      </c>
      <c r="E26" s="16" t="n">
        <v>520000</v>
      </c>
      <c r="F26" s="16" t="n">
        <v>5846.13</v>
      </c>
      <c r="G26" s="16" t="n">
        <v>730.77</v>
      </c>
      <c r="H26" s="16" t="n">
        <v>730.77</v>
      </c>
      <c r="I26" s="16">
        <f>SUM(K26:T26)</f>
        <v/>
      </c>
      <c r="J26" s="16">
        <f>F26-(G26+H26+I26)</f>
        <v/>
      </c>
      <c r="K26" s="16" t="n">
        <v>438.46</v>
      </c>
      <c r="L26" s="16" t="n">
        <v>438.46</v>
      </c>
      <c r="M26" s="16" t="n">
        <v>438.46</v>
      </c>
      <c r="N26" s="16" t="n">
        <v>438.46</v>
      </c>
      <c r="O26" s="16" t="n">
        <v>438.46</v>
      </c>
      <c r="P26" s="16" t="n">
        <v>438.46</v>
      </c>
      <c r="Q26" s="16" t="n">
        <v>438.46</v>
      </c>
      <c r="R26" s="16" t="n">
        <v>438.46</v>
      </c>
      <c r="S26" s="16" t="n">
        <v>438.46</v>
      </c>
      <c r="T26" s="16" t="n">
        <v>438.46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CANON-202512-002403</t>
        </is>
      </c>
      <c r="B27" s="3" t="inlineStr">
        <is>
          <t>2025-12-14</t>
        </is>
      </c>
      <c r="C27" s="3" t="inlineStr">
        <is>
          <t>Saoirse Blackwood</t>
        </is>
      </c>
      <c r="D27" s="3" t="inlineStr">
        <is>
          <t>RI</t>
        </is>
      </c>
      <c r="E27" s="14" t="n">
        <v>280000</v>
      </c>
      <c r="F27" s="14" t="n">
        <v>5838.65</v>
      </c>
      <c r="G27" s="14" t="n">
        <v>729.83</v>
      </c>
      <c r="H27" s="14" t="n">
        <v>729.83</v>
      </c>
      <c r="I27" s="14">
        <f>SUM(K27:T27)</f>
        <v/>
      </c>
      <c r="J27" s="14">
        <f>F27-(G27+H27+I27)</f>
        <v/>
      </c>
      <c r="K27" s="14" t="n">
        <v>437.9</v>
      </c>
      <c r="L27" s="14" t="n">
        <v>437.9</v>
      </c>
      <c r="M27" s="14" t="n">
        <v>437.9</v>
      </c>
      <c r="N27" s="14" t="n">
        <v>437.9</v>
      </c>
      <c r="O27" s="14" t="n">
        <v>437.9</v>
      </c>
      <c r="P27" s="14" t="n">
        <v>437.9</v>
      </c>
      <c r="Q27" s="14" t="n">
        <v>437.9</v>
      </c>
      <c r="R27" s="14" t="n">
        <v>437.9</v>
      </c>
      <c r="S27" s="14" t="n">
        <v>437.9</v>
      </c>
      <c r="T27" s="14" t="n">
        <v>437.9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CANON-202512-002404</t>
        </is>
      </c>
      <c r="B28" s="15" t="inlineStr">
        <is>
          <t>2025-12-29</t>
        </is>
      </c>
      <c r="C28" s="15" t="inlineStr">
        <is>
          <t>Delphine Nakashima</t>
        </is>
      </c>
      <c r="D28" s="15" t="inlineStr">
        <is>
          <t>KY</t>
        </is>
      </c>
      <c r="E28" s="16" t="n">
        <v>750000</v>
      </c>
      <c r="F28" s="16" t="n">
        <v>11298.76</v>
      </c>
      <c r="G28" s="16" t="n">
        <v>1412.35</v>
      </c>
      <c r="H28" s="16" t="n">
        <v>1412.35</v>
      </c>
      <c r="I28" s="16">
        <f>SUM(K28:T28)</f>
        <v/>
      </c>
      <c r="J28" s="16">
        <f>F28-(G28+H28+I28)</f>
        <v/>
      </c>
      <c r="K28" s="16" t="n">
        <v>847.41</v>
      </c>
      <c r="L28" s="16" t="n">
        <v>847.41</v>
      </c>
      <c r="M28" s="16" t="n">
        <v>847.41</v>
      </c>
      <c r="N28" s="16" t="n">
        <v>847.41</v>
      </c>
      <c r="O28" s="16" t="n">
        <v>847.41</v>
      </c>
      <c r="P28" s="16" t="n">
        <v>847.41</v>
      </c>
      <c r="Q28" s="16" t="n">
        <v>847.41</v>
      </c>
      <c r="R28" s="16" t="n">
        <v>847.41</v>
      </c>
      <c r="S28" s="16" t="n">
        <v>847.41</v>
      </c>
      <c r="T28" s="16" t="n">
        <v>847.41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CANON-202512-002405</t>
        </is>
      </c>
      <c r="B29" s="3" t="inlineStr">
        <is>
          <t>2025-12-22</t>
        </is>
      </c>
      <c r="C29" s="3" t="inlineStr">
        <is>
          <t>Fitzgerald Ashcombe</t>
        </is>
      </c>
      <c r="D29" s="3" t="inlineStr">
        <is>
          <t>LA</t>
        </is>
      </c>
      <c r="E29" s="14" t="n">
        <v>215000</v>
      </c>
      <c r="F29" s="14" t="n">
        <v>4139.64</v>
      </c>
      <c r="G29" s="14" t="n">
        <v>517.46</v>
      </c>
      <c r="H29" s="14" t="n">
        <v>517.46</v>
      </c>
      <c r="I29" s="14">
        <f>SUM(K29:T29)</f>
        <v/>
      </c>
      <c r="J29" s="14">
        <f>F29-(G29+H29+I29)</f>
        <v/>
      </c>
      <c r="K29" s="14" t="n">
        <v>310.47</v>
      </c>
      <c r="L29" s="14" t="n">
        <v>310.47</v>
      </c>
      <c r="M29" s="14" t="n">
        <v>310.47</v>
      </c>
      <c r="N29" s="14" t="n">
        <v>310.47</v>
      </c>
      <c r="O29" s="14" t="n">
        <v>310.47</v>
      </c>
      <c r="P29" s="14" t="n">
        <v>310.47</v>
      </c>
      <c r="Q29" s="14" t="n">
        <v>310.47</v>
      </c>
      <c r="R29" s="14" t="n">
        <v>310.47</v>
      </c>
      <c r="S29" s="14" t="n">
        <v>310.47</v>
      </c>
      <c r="T29" s="14" t="n">
        <v>310.47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CANON-202512-002406</t>
        </is>
      </c>
      <c r="B30" s="15" t="inlineStr">
        <is>
          <t>2025-12-22</t>
        </is>
      </c>
      <c r="C30" s="15" t="inlineStr">
        <is>
          <t>Wilhelmina Fairweather</t>
        </is>
      </c>
      <c r="D30" s="15" t="inlineStr">
        <is>
          <t>GA</t>
        </is>
      </c>
      <c r="E30" s="16" t="n">
        <v>380000</v>
      </c>
      <c r="F30" s="16" t="n">
        <v>3533.41</v>
      </c>
      <c r="G30" s="16" t="n">
        <v>441.68</v>
      </c>
      <c r="H30" s="16" t="n">
        <v>441.68</v>
      </c>
      <c r="I30" s="16">
        <f>SUM(K30:T30)</f>
        <v/>
      </c>
      <c r="J30" s="16">
        <f>F30-(G30+H30+I30)</f>
        <v/>
      </c>
      <c r="K30" s="16" t="n">
        <v>265.01</v>
      </c>
      <c r="L30" s="16" t="n">
        <v>265.01</v>
      </c>
      <c r="M30" s="16" t="n">
        <v>265.01</v>
      </c>
      <c r="N30" s="16" t="n">
        <v>265.01</v>
      </c>
      <c r="O30" s="16" t="n">
        <v>265.01</v>
      </c>
      <c r="P30" s="16" t="n">
        <v>265.01</v>
      </c>
      <c r="Q30" s="16" t="n">
        <v>265.01</v>
      </c>
      <c r="R30" s="16" t="n">
        <v>265.01</v>
      </c>
      <c r="S30" s="16" t="n">
        <v>265.01</v>
      </c>
      <c r="T30" s="16" t="n">
        <v>265.01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CANON-202512-002407</t>
        </is>
      </c>
      <c r="B31" s="3" t="inlineStr">
        <is>
          <t>2025-12-13</t>
        </is>
      </c>
      <c r="C31" s="3" t="inlineStr">
        <is>
          <t>Ottilie Merriweather</t>
        </is>
      </c>
      <c r="D31" s="3" t="inlineStr">
        <is>
          <t>TX</t>
        </is>
      </c>
      <c r="E31" s="14" t="n">
        <v>250000</v>
      </c>
      <c r="F31" s="14" t="n">
        <v>3729.5</v>
      </c>
      <c r="G31" s="14" t="n">
        <v>466.19</v>
      </c>
      <c r="H31" s="14" t="n">
        <v>466.19</v>
      </c>
      <c r="I31" s="14">
        <f>SUM(K31:T31)</f>
        <v/>
      </c>
      <c r="J31" s="14">
        <f>F31-(G31+H31+I31)</f>
        <v/>
      </c>
      <c r="K31" s="14" t="n">
        <v>279.71</v>
      </c>
      <c r="L31" s="14" t="n">
        <v>279.71</v>
      </c>
      <c r="M31" s="14" t="n">
        <v>279.71</v>
      </c>
      <c r="N31" s="14" t="n">
        <v>279.71</v>
      </c>
      <c r="O31" s="14" t="n">
        <v>279.71</v>
      </c>
      <c r="P31" s="14" t="n">
        <v>279.71</v>
      </c>
      <c r="Q31" s="14" t="n">
        <v>279.71</v>
      </c>
      <c r="R31" s="14" t="n">
        <v>279.71</v>
      </c>
      <c r="S31" s="14" t="n">
        <v>279.71</v>
      </c>
      <c r="T31" s="14" t="n">
        <v>279.71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CANON-202512-002410</t>
        </is>
      </c>
      <c r="B32" s="15" t="inlineStr">
        <is>
          <t>2025-12-03</t>
        </is>
      </c>
      <c r="C32" s="15" t="inlineStr">
        <is>
          <t>Leopold Blackwood</t>
        </is>
      </c>
      <c r="D32" s="15" t="inlineStr">
        <is>
          <t>CO</t>
        </is>
      </c>
      <c r="E32" s="16" t="n">
        <v>810000</v>
      </c>
      <c r="F32" s="16" t="n">
        <v>10017.11</v>
      </c>
      <c r="G32" s="16" t="n">
        <v>1252.14</v>
      </c>
      <c r="H32" s="16" t="n">
        <v>1252.14</v>
      </c>
      <c r="I32" s="16">
        <f>SUM(K32:T32)</f>
        <v/>
      </c>
      <c r="J32" s="16">
        <f>F32-(G32+H32+I32)</f>
        <v/>
      </c>
      <c r="K32" s="16" t="n">
        <v>751.28</v>
      </c>
      <c r="L32" s="16" t="n">
        <v>751.28</v>
      </c>
      <c r="M32" s="16" t="n">
        <v>751.28</v>
      </c>
      <c r="N32" s="16" t="n">
        <v>751.28</v>
      </c>
      <c r="O32" s="16" t="n">
        <v>751.28</v>
      </c>
      <c r="P32" s="16" t="n">
        <v>751.28</v>
      </c>
      <c r="Q32" s="16" t="n">
        <v>751.28</v>
      </c>
      <c r="R32" s="16" t="n">
        <v>751.28</v>
      </c>
      <c r="S32" s="16" t="n">
        <v>751.28</v>
      </c>
      <c r="T32" s="16" t="n">
        <v>751.28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CANON-202512-002411</t>
        </is>
      </c>
      <c r="B33" s="3" t="inlineStr">
        <is>
          <t>2025-12-30</t>
        </is>
      </c>
      <c r="C33" s="3" t="inlineStr">
        <is>
          <t>Wilhelmina Vandermeer</t>
        </is>
      </c>
      <c r="D33" s="3" t="inlineStr">
        <is>
          <t>AK</t>
        </is>
      </c>
      <c r="E33" s="14" t="n">
        <v>545000</v>
      </c>
      <c r="F33" s="14" t="n">
        <v>6985</v>
      </c>
      <c r="G33" s="14" t="n">
        <v>873.12</v>
      </c>
      <c r="H33" s="14" t="n">
        <v>873.12</v>
      </c>
      <c r="I33" s="14">
        <f>SUM(K33:T33)</f>
        <v/>
      </c>
      <c r="J33" s="14">
        <f>F33-(G33+H33+I33)</f>
        <v/>
      </c>
      <c r="K33" s="14" t="n">
        <v>523.88</v>
      </c>
      <c r="L33" s="14" t="n">
        <v>523.88</v>
      </c>
      <c r="M33" s="14" t="n">
        <v>523.88</v>
      </c>
      <c r="N33" s="14" t="n">
        <v>523.88</v>
      </c>
      <c r="O33" s="14" t="n">
        <v>523.88</v>
      </c>
      <c r="P33" s="14" t="n">
        <v>523.88</v>
      </c>
      <c r="Q33" s="14" t="n">
        <v>523.88</v>
      </c>
      <c r="R33" s="14" t="n">
        <v>523.88</v>
      </c>
      <c r="S33" s="14" t="n">
        <v>523.88</v>
      </c>
      <c r="T33" s="14" t="n">
        <v>523.88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CANON-202512-002414</t>
        </is>
      </c>
      <c r="B34" s="15" t="inlineStr">
        <is>
          <t>2025-12-31</t>
        </is>
      </c>
      <c r="C34" s="15" t="inlineStr">
        <is>
          <t>Everett Underwood</t>
        </is>
      </c>
      <c r="D34" s="15" t="inlineStr">
        <is>
          <t>SC</t>
        </is>
      </c>
      <c r="E34" s="16" t="n">
        <v>720000</v>
      </c>
      <c r="F34" s="16" t="n">
        <v>10037.34</v>
      </c>
      <c r="G34" s="16" t="n">
        <v>1254.67</v>
      </c>
      <c r="H34" s="16" t="n">
        <v>1254.67</v>
      </c>
      <c r="I34" s="16">
        <f>SUM(K34:T34)</f>
        <v/>
      </c>
      <c r="J34" s="16">
        <f>F34-(G34+H34+I34)</f>
        <v/>
      </c>
      <c r="K34" s="16" t="n">
        <v>752.8</v>
      </c>
      <c r="L34" s="16" t="n">
        <v>752.8</v>
      </c>
      <c r="M34" s="16" t="n">
        <v>752.8</v>
      </c>
      <c r="N34" s="16" t="n">
        <v>752.8</v>
      </c>
      <c r="O34" s="16" t="n">
        <v>752.8</v>
      </c>
      <c r="P34" s="16" t="n">
        <v>752.8</v>
      </c>
      <c r="Q34" s="16" t="n">
        <v>752.8</v>
      </c>
      <c r="R34" s="16" t="n">
        <v>752.8</v>
      </c>
      <c r="S34" s="16" t="n">
        <v>752.8</v>
      </c>
      <c r="T34" s="16" t="n">
        <v>752.8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CANON-202512-002417</t>
        </is>
      </c>
      <c r="B35" s="3" t="inlineStr">
        <is>
          <t>2025-12-26</t>
        </is>
      </c>
      <c r="C35" s="3" t="inlineStr">
        <is>
          <t>Thaddeus Larsson</t>
        </is>
      </c>
      <c r="D35" s="3" t="inlineStr">
        <is>
          <t>FL</t>
        </is>
      </c>
      <c r="E35" s="14" t="n">
        <v>425000</v>
      </c>
      <c r="F35" s="14" t="n">
        <v>7828.7</v>
      </c>
      <c r="G35" s="14" t="n">
        <v>978.59</v>
      </c>
      <c r="H35" s="14" t="n">
        <v>978.59</v>
      </c>
      <c r="I35" s="14">
        <f>SUM(K35:T35)</f>
        <v/>
      </c>
      <c r="J35" s="14">
        <f>F35-(G35+H35+I35)</f>
        <v/>
      </c>
      <c r="K35" s="14" t="n">
        <v>587.15</v>
      </c>
      <c r="L35" s="14" t="n">
        <v>587.15</v>
      </c>
      <c r="M35" s="14" t="n">
        <v>587.15</v>
      </c>
      <c r="N35" s="14" t="n">
        <v>587.15</v>
      </c>
      <c r="O35" s="14" t="n">
        <v>587.15</v>
      </c>
      <c r="P35" s="14" t="n">
        <v>587.15</v>
      </c>
      <c r="Q35" s="14" t="n">
        <v>587.15</v>
      </c>
      <c r="R35" s="14" t="n">
        <v>587.15</v>
      </c>
      <c r="S35" s="14" t="n">
        <v>587.15</v>
      </c>
      <c r="T35" s="14" t="n">
        <v>587.15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CANON-202512-002418</t>
        </is>
      </c>
      <c r="B36" s="15" t="inlineStr">
        <is>
          <t>2025-12-16</t>
        </is>
      </c>
      <c r="C36" s="15" t="inlineStr">
        <is>
          <t>Everett Vandermeer</t>
        </is>
      </c>
      <c r="D36" s="15" t="inlineStr">
        <is>
          <t>NE</t>
        </is>
      </c>
      <c r="E36" s="16" t="n">
        <v>635000</v>
      </c>
      <c r="F36" s="16" t="n">
        <v>9280.73</v>
      </c>
      <c r="G36" s="16" t="n">
        <v>1160.09</v>
      </c>
      <c r="H36" s="16" t="n">
        <v>1160.09</v>
      </c>
      <c r="I36" s="16">
        <f>SUM(K36:T36)</f>
        <v/>
      </c>
      <c r="J36" s="16">
        <f>F36-(G36+H36+I36)</f>
        <v/>
      </c>
      <c r="K36" s="16" t="n">
        <v>696.05</v>
      </c>
      <c r="L36" s="16" t="n">
        <v>696.05</v>
      </c>
      <c r="M36" s="16" t="n">
        <v>696.05</v>
      </c>
      <c r="N36" s="16" t="n">
        <v>696.05</v>
      </c>
      <c r="O36" s="16" t="n">
        <v>696.05</v>
      </c>
      <c r="P36" s="16" t="n">
        <v>696.05</v>
      </c>
      <c r="Q36" s="16" t="n">
        <v>696.05</v>
      </c>
      <c r="R36" s="16" t="n">
        <v>696.05</v>
      </c>
      <c r="S36" s="16" t="n">
        <v>696.05</v>
      </c>
      <c r="T36" s="16" t="n">
        <v>696.05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CANON-202512-002419</t>
        </is>
      </c>
      <c r="B37" s="3" t="inlineStr">
        <is>
          <t>2025-12-05</t>
        </is>
      </c>
      <c r="C37" s="3" t="inlineStr">
        <is>
          <t>Lorenzo Pennington</t>
        </is>
      </c>
      <c r="D37" s="3" t="inlineStr">
        <is>
          <t>FL</t>
        </is>
      </c>
      <c r="E37" s="14" t="n">
        <v>515000</v>
      </c>
      <c r="F37" s="14" t="n">
        <v>8221.67</v>
      </c>
      <c r="G37" s="14" t="n">
        <v>1027.71</v>
      </c>
      <c r="H37" s="14" t="n">
        <v>1027.71</v>
      </c>
      <c r="I37" s="14">
        <f>SUM(K37:T37)</f>
        <v/>
      </c>
      <c r="J37" s="14">
        <f>F37-(G37+H37+I37)</f>
        <v/>
      </c>
      <c r="K37" s="14" t="n">
        <v>616.63</v>
      </c>
      <c r="L37" s="14" t="n">
        <v>616.63</v>
      </c>
      <c r="M37" s="14" t="n">
        <v>616.63</v>
      </c>
      <c r="N37" s="14" t="n">
        <v>616.63</v>
      </c>
      <c r="O37" s="14" t="n">
        <v>616.63</v>
      </c>
      <c r="P37" s="14" t="n">
        <v>616.63</v>
      </c>
      <c r="Q37" s="14" t="n">
        <v>616.63</v>
      </c>
      <c r="R37" s="14" t="n">
        <v>616.63</v>
      </c>
      <c r="S37" s="14" t="n">
        <v>616.63</v>
      </c>
      <c r="T37" s="14" t="n">
        <v>616.63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CANON-202512-002420</t>
        </is>
      </c>
      <c r="B38" s="15" t="inlineStr">
        <is>
          <t>2025-12-10</t>
        </is>
      </c>
      <c r="C38" s="15" t="inlineStr">
        <is>
          <t>Beatrix Vandermeer</t>
        </is>
      </c>
      <c r="D38" s="15" t="inlineStr">
        <is>
          <t>FL</t>
        </is>
      </c>
      <c r="E38" s="16" t="n">
        <v>380000</v>
      </c>
      <c r="F38" s="16" t="n">
        <v>6999.78</v>
      </c>
      <c r="G38" s="16" t="n">
        <v>874.97</v>
      </c>
      <c r="H38" s="16" t="n">
        <v>874.97</v>
      </c>
      <c r="I38" s="16">
        <f>SUM(K38:T38)</f>
        <v/>
      </c>
      <c r="J38" s="16">
        <f>F38-(G38+H38+I38)</f>
        <v/>
      </c>
      <c r="K38" s="16" t="n">
        <v>524.98</v>
      </c>
      <c r="L38" s="16" t="n">
        <v>524.98</v>
      </c>
      <c r="M38" s="16" t="n">
        <v>524.98</v>
      </c>
      <c r="N38" s="16" t="n">
        <v>524.98</v>
      </c>
      <c r="O38" s="16" t="n">
        <v>524.98</v>
      </c>
      <c r="P38" s="16" t="n">
        <v>524.98</v>
      </c>
      <c r="Q38" s="16" t="n">
        <v>524.98</v>
      </c>
      <c r="R38" s="16" t="n">
        <v>524.98</v>
      </c>
      <c r="S38" s="16" t="n">
        <v>524.98</v>
      </c>
      <c r="T38" s="16" t="n">
        <v>524.98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CANON-202512-002421</t>
        </is>
      </c>
      <c r="B39" s="3" t="inlineStr">
        <is>
          <t>2025-12-16</t>
        </is>
      </c>
      <c r="C39" s="3" t="inlineStr">
        <is>
          <t>Anouk Fairweather</t>
        </is>
      </c>
      <c r="D39" s="3" t="inlineStr">
        <is>
          <t>IN</t>
        </is>
      </c>
      <c r="E39" s="14" t="n">
        <v>710000</v>
      </c>
      <c r="F39" s="14" t="n">
        <v>9818.110000000001</v>
      </c>
      <c r="G39" s="14" t="n">
        <v>1227.26</v>
      </c>
      <c r="H39" s="14" t="n">
        <v>1227.26</v>
      </c>
      <c r="I39" s="14">
        <f>SUM(K39:T39)</f>
        <v/>
      </c>
      <c r="J39" s="14">
        <f>F39-(G39+H39+I39)</f>
        <v/>
      </c>
      <c r="K39" s="14" t="n">
        <v>736.36</v>
      </c>
      <c r="L39" s="14" t="n">
        <v>736.36</v>
      </c>
      <c r="M39" s="14" t="n">
        <v>736.36</v>
      </c>
      <c r="N39" s="14" t="n">
        <v>736.36</v>
      </c>
      <c r="O39" s="14" t="n">
        <v>736.36</v>
      </c>
      <c r="P39" s="14" t="n">
        <v>736.36</v>
      </c>
      <c r="Q39" s="14" t="n">
        <v>736.36</v>
      </c>
      <c r="R39" s="14" t="n">
        <v>736.36</v>
      </c>
      <c r="S39" s="14" t="n">
        <v>736.36</v>
      </c>
      <c r="T39" s="14" t="n">
        <v>736.36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CANON-202512-002422</t>
        </is>
      </c>
      <c r="B40" s="15" t="inlineStr">
        <is>
          <t>2025-12-03</t>
        </is>
      </c>
      <c r="C40" s="15" t="inlineStr">
        <is>
          <t>Marisol Okonkwo</t>
        </is>
      </c>
      <c r="D40" s="15" t="inlineStr">
        <is>
          <t>MA</t>
        </is>
      </c>
      <c r="E40" s="16" t="n">
        <v>375000</v>
      </c>
      <c r="F40" s="16" t="n">
        <v>6080.7</v>
      </c>
      <c r="G40" s="16" t="n">
        <v>760.09</v>
      </c>
      <c r="H40" s="16" t="n">
        <v>760.09</v>
      </c>
      <c r="I40" s="16">
        <f>SUM(K40:T40)</f>
        <v/>
      </c>
      <c r="J40" s="16">
        <f>F40-(G40+H40+I40)</f>
        <v/>
      </c>
      <c r="K40" s="16" t="n">
        <v>456.05</v>
      </c>
      <c r="L40" s="16" t="n">
        <v>456.05</v>
      </c>
      <c r="M40" s="16" t="n">
        <v>456.05</v>
      </c>
      <c r="N40" s="16" t="n">
        <v>456.05</v>
      </c>
      <c r="O40" s="16" t="n">
        <v>456.05</v>
      </c>
      <c r="P40" s="16" t="n">
        <v>456.05</v>
      </c>
      <c r="Q40" s="16" t="n">
        <v>456.05</v>
      </c>
      <c r="R40" s="16" t="n">
        <v>456.05</v>
      </c>
      <c r="S40" s="16" t="n">
        <v>456.05</v>
      </c>
      <c r="T40" s="16" t="n">
        <v>456.05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CANON-202512-002424</t>
        </is>
      </c>
      <c r="B41" s="3" t="inlineStr">
        <is>
          <t>2025-12-05</t>
        </is>
      </c>
      <c r="C41" s="3" t="inlineStr">
        <is>
          <t>Beatrix Vandermeer</t>
        </is>
      </c>
      <c r="D41" s="3" t="inlineStr">
        <is>
          <t>TX</t>
        </is>
      </c>
      <c r="E41" s="14" t="n">
        <v>350000</v>
      </c>
      <c r="F41" s="14" t="n">
        <v>5221.29</v>
      </c>
      <c r="G41" s="14" t="n">
        <v>652.66</v>
      </c>
      <c r="H41" s="14" t="n">
        <v>652.66</v>
      </c>
      <c r="I41" s="14">
        <f>SUM(K41:T41)</f>
        <v/>
      </c>
      <c r="J41" s="14">
        <f>F41-(G41+H41+I41)</f>
        <v/>
      </c>
      <c r="K41" s="14" t="n">
        <v>391.6</v>
      </c>
      <c r="L41" s="14" t="n">
        <v>391.6</v>
      </c>
      <c r="M41" s="14" t="n">
        <v>391.6</v>
      </c>
      <c r="N41" s="14" t="n">
        <v>391.6</v>
      </c>
      <c r="O41" s="14" t="n">
        <v>391.6</v>
      </c>
      <c r="P41" s="14" t="n">
        <v>391.6</v>
      </c>
      <c r="Q41" s="14" t="n">
        <v>391.6</v>
      </c>
      <c r="R41" s="14" t="n">
        <v>391.6</v>
      </c>
      <c r="S41" s="14" t="n">
        <v>391.6</v>
      </c>
      <c r="T41" s="14" t="n">
        <v>391.6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CANON-202512-002425</t>
        </is>
      </c>
      <c r="B42" s="15" t="inlineStr">
        <is>
          <t>2025-12-04</t>
        </is>
      </c>
      <c r="C42" s="15" t="inlineStr">
        <is>
          <t>Aurelio Fairweather</t>
        </is>
      </c>
      <c r="D42" s="15" t="inlineStr">
        <is>
          <t>AZ</t>
        </is>
      </c>
      <c r="E42" s="16" t="n">
        <v>660000</v>
      </c>
      <c r="F42" s="16" t="n">
        <v>4957.75</v>
      </c>
      <c r="G42" s="16" t="n">
        <v>619.72</v>
      </c>
      <c r="H42" s="16" t="n">
        <v>619.72</v>
      </c>
      <c r="I42" s="16">
        <f>SUM(K42:T42)</f>
        <v/>
      </c>
      <c r="J42" s="16">
        <f>F42-(G42+H42+I42)</f>
        <v/>
      </c>
      <c r="K42" s="16" t="n">
        <v>371.83</v>
      </c>
      <c r="L42" s="16" t="n">
        <v>371.83</v>
      </c>
      <c r="M42" s="16" t="n">
        <v>371.83</v>
      </c>
      <c r="N42" s="16" t="n">
        <v>371.83</v>
      </c>
      <c r="O42" s="16" t="n">
        <v>371.83</v>
      </c>
      <c r="P42" s="16" t="n">
        <v>371.83</v>
      </c>
      <c r="Q42" s="16" t="n">
        <v>371.83</v>
      </c>
      <c r="R42" s="16" t="n">
        <v>371.83</v>
      </c>
      <c r="S42" s="16" t="n">
        <v>371.83</v>
      </c>
      <c r="T42" s="16" t="n">
        <v>371.83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CANON-202512-002426</t>
        </is>
      </c>
      <c r="B43" s="3" t="inlineStr">
        <is>
          <t>2025-12-16</t>
        </is>
      </c>
      <c r="C43" s="3" t="inlineStr">
        <is>
          <t>Priya Larsson</t>
        </is>
      </c>
      <c r="D43" s="3" t="inlineStr">
        <is>
          <t>LA</t>
        </is>
      </c>
      <c r="E43" s="14" t="n">
        <v>230000</v>
      </c>
      <c r="F43" s="14" t="n">
        <v>4428.46</v>
      </c>
      <c r="G43" s="14" t="n">
        <v>553.5599999999999</v>
      </c>
      <c r="H43" s="14" t="n">
        <v>553.5599999999999</v>
      </c>
      <c r="I43" s="14">
        <f>SUM(K43:T43)</f>
        <v/>
      </c>
      <c r="J43" s="14">
        <f>F43-(G43+H43+I43)</f>
        <v/>
      </c>
      <c r="K43" s="14" t="n">
        <v>332.13</v>
      </c>
      <c r="L43" s="14" t="n">
        <v>332.13</v>
      </c>
      <c r="M43" s="14" t="n">
        <v>332.13</v>
      </c>
      <c r="N43" s="14" t="n">
        <v>332.13</v>
      </c>
      <c r="O43" s="14" t="n">
        <v>332.13</v>
      </c>
      <c r="P43" s="14" t="n">
        <v>332.13</v>
      </c>
      <c r="Q43" s="14" t="n">
        <v>332.13</v>
      </c>
      <c r="R43" s="14" t="n">
        <v>332.13</v>
      </c>
      <c r="S43" s="14" t="n">
        <v>332.13</v>
      </c>
      <c r="T43" s="14" t="n">
        <v>332.13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CANON-202512-002428</t>
        </is>
      </c>
      <c r="B44" s="15" t="inlineStr">
        <is>
          <t>2025-12-13</t>
        </is>
      </c>
      <c r="C44" s="15" t="inlineStr">
        <is>
          <t>Aurelio Blackwood</t>
        </is>
      </c>
      <c r="D44" s="15" t="inlineStr">
        <is>
          <t>IN</t>
        </is>
      </c>
      <c r="E44" s="16" t="n">
        <v>555000</v>
      </c>
      <c r="F44" s="16" t="n">
        <v>11216.91</v>
      </c>
      <c r="G44" s="16" t="n">
        <v>1402.11</v>
      </c>
      <c r="H44" s="16" t="n">
        <v>1402.11</v>
      </c>
      <c r="I44" s="16">
        <f>SUM(K44:T44)</f>
        <v/>
      </c>
      <c r="J44" s="16">
        <f>F44-(G44+H44+I44)</f>
        <v/>
      </c>
      <c r="K44" s="16" t="n">
        <v>841.27</v>
      </c>
      <c r="L44" s="16" t="n">
        <v>841.27</v>
      </c>
      <c r="M44" s="16" t="n">
        <v>841.27</v>
      </c>
      <c r="N44" s="16" t="n">
        <v>841.27</v>
      </c>
      <c r="O44" s="16" t="n">
        <v>841.27</v>
      </c>
      <c r="P44" s="16" t="n">
        <v>841.27</v>
      </c>
      <c r="Q44" s="16" t="n">
        <v>841.27</v>
      </c>
      <c r="R44" s="16" t="n">
        <v>841.27</v>
      </c>
      <c r="S44" s="16" t="n">
        <v>841.27</v>
      </c>
      <c r="T44" s="16" t="n">
        <v>841.27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CANON-202512-002429</t>
        </is>
      </c>
      <c r="B45" s="3" t="inlineStr">
        <is>
          <t>2025-12-24</t>
        </is>
      </c>
      <c r="C45" s="3" t="inlineStr">
        <is>
          <t>Noor Nakashima</t>
        </is>
      </c>
      <c r="D45" s="3" t="inlineStr">
        <is>
          <t>VA</t>
        </is>
      </c>
      <c r="E45" s="14" t="n">
        <v>395000</v>
      </c>
      <c r="F45" s="14" t="n">
        <v>5585.17</v>
      </c>
      <c r="G45" s="14" t="n">
        <v>698.15</v>
      </c>
      <c r="H45" s="14" t="n">
        <v>698.15</v>
      </c>
      <c r="I45" s="14">
        <f>SUM(K45:T45)</f>
        <v/>
      </c>
      <c r="J45" s="14">
        <f>F45-(G45+H45+I45)</f>
        <v/>
      </c>
      <c r="K45" s="14" t="n">
        <v>418.89</v>
      </c>
      <c r="L45" s="14" t="n">
        <v>418.89</v>
      </c>
      <c r="M45" s="14" t="n">
        <v>418.89</v>
      </c>
      <c r="N45" s="14" t="n">
        <v>418.89</v>
      </c>
      <c r="O45" s="14" t="n">
        <v>418.89</v>
      </c>
      <c r="P45" s="14" t="n">
        <v>418.89</v>
      </c>
      <c r="Q45" s="14" t="n">
        <v>418.89</v>
      </c>
      <c r="R45" s="14" t="n">
        <v>418.89</v>
      </c>
      <c r="S45" s="14" t="n">
        <v>418.89</v>
      </c>
      <c r="T45" s="14" t="n">
        <v>418.89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CANON-202512-002431</t>
        </is>
      </c>
      <c r="B46" s="15" t="inlineStr">
        <is>
          <t>2025-12-27</t>
        </is>
      </c>
      <c r="C46" s="15" t="inlineStr">
        <is>
          <t>Fitzgerald Larsson</t>
        </is>
      </c>
      <c r="D46" s="15" t="inlineStr">
        <is>
          <t>CA</t>
        </is>
      </c>
      <c r="E46" s="16" t="n">
        <v>870000</v>
      </c>
      <c r="F46" s="16" t="n">
        <v>8735.200000000001</v>
      </c>
      <c r="G46" s="16" t="n">
        <v>1091.9</v>
      </c>
      <c r="H46" s="16" t="n">
        <v>1091.9</v>
      </c>
      <c r="I46" s="16">
        <f>SUM(K46:T46)</f>
        <v/>
      </c>
      <c r="J46" s="16">
        <f>F46-(G46+H46+I46)</f>
        <v/>
      </c>
      <c r="K46" s="16" t="n">
        <v>655.14</v>
      </c>
      <c r="L46" s="16" t="n">
        <v>655.14</v>
      </c>
      <c r="M46" s="16" t="n">
        <v>655.14</v>
      </c>
      <c r="N46" s="16" t="n">
        <v>655.14</v>
      </c>
      <c r="O46" s="16" t="n">
        <v>655.14</v>
      </c>
      <c r="P46" s="16" t="n">
        <v>655.14</v>
      </c>
      <c r="Q46" s="16" t="n">
        <v>655.14</v>
      </c>
      <c r="R46" s="16" t="n">
        <v>655.14</v>
      </c>
      <c r="S46" s="16" t="n">
        <v>655.14</v>
      </c>
      <c r="T46" s="16" t="n">
        <v>655.14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CANON-202512-002432</t>
        </is>
      </c>
      <c r="B47" s="3" t="inlineStr">
        <is>
          <t>2025-12-16</t>
        </is>
      </c>
      <c r="C47" s="3" t="inlineStr">
        <is>
          <t>Callum Farkas</t>
        </is>
      </c>
      <c r="D47" s="3" t="inlineStr">
        <is>
          <t>OK</t>
        </is>
      </c>
      <c r="E47" s="14" t="n">
        <v>995000</v>
      </c>
      <c r="F47" s="14" t="n">
        <v>9324.24</v>
      </c>
      <c r="G47" s="14" t="n">
        <v>1165.53</v>
      </c>
      <c r="H47" s="14" t="n">
        <v>1165.53</v>
      </c>
      <c r="I47" s="14">
        <f>SUM(K47:T47)</f>
        <v/>
      </c>
      <c r="J47" s="14">
        <f>F47-(G47+H47+I47)</f>
        <v/>
      </c>
      <c r="K47" s="14" t="n">
        <v>699.3200000000001</v>
      </c>
      <c r="L47" s="14" t="n">
        <v>699.3200000000001</v>
      </c>
      <c r="M47" s="14" t="n">
        <v>699.3200000000001</v>
      </c>
      <c r="N47" s="14" t="n">
        <v>699.3200000000001</v>
      </c>
      <c r="O47" s="14" t="n">
        <v>699.3200000000001</v>
      </c>
      <c r="P47" s="14" t="n">
        <v>699.3200000000001</v>
      </c>
      <c r="Q47" s="14" t="n">
        <v>699.3200000000001</v>
      </c>
      <c r="R47" s="14" t="n">
        <v>699.3200000000001</v>
      </c>
      <c r="S47" s="14" t="n">
        <v>699.3200000000001</v>
      </c>
      <c r="T47" s="14" t="n">
        <v>699.3200000000001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CANON-202512-002433</t>
        </is>
      </c>
      <c r="B48" s="15" t="inlineStr">
        <is>
          <t>2025-12-17</t>
        </is>
      </c>
      <c r="C48" s="15" t="inlineStr">
        <is>
          <t>Saoirse Thistlewood</t>
        </is>
      </c>
      <c r="D48" s="15" t="inlineStr">
        <is>
          <t>NE</t>
        </is>
      </c>
      <c r="E48" s="16" t="n">
        <v>635000</v>
      </c>
      <c r="F48" s="16" t="n">
        <v>9280.73</v>
      </c>
      <c r="G48" s="16" t="n">
        <v>1160.09</v>
      </c>
      <c r="H48" s="16" t="n">
        <v>1160.09</v>
      </c>
      <c r="I48" s="16">
        <f>SUM(K48:T48)</f>
        <v/>
      </c>
      <c r="J48" s="16">
        <f>F48-(G48+H48+I48)</f>
        <v/>
      </c>
      <c r="K48" s="16" t="n">
        <v>696.05</v>
      </c>
      <c r="L48" s="16" t="n">
        <v>696.05</v>
      </c>
      <c r="M48" s="16" t="n">
        <v>696.05</v>
      </c>
      <c r="N48" s="16" t="n">
        <v>696.05</v>
      </c>
      <c r="O48" s="16" t="n">
        <v>696.05</v>
      </c>
      <c r="P48" s="16" t="n">
        <v>696.05</v>
      </c>
      <c r="Q48" s="16" t="n">
        <v>696.05</v>
      </c>
      <c r="R48" s="16" t="n">
        <v>696.05</v>
      </c>
      <c r="S48" s="16" t="n">
        <v>696.05</v>
      </c>
      <c r="T48" s="16" t="n">
        <v>696.05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CANON-202512-002434</t>
        </is>
      </c>
      <c r="B49" s="3" t="inlineStr">
        <is>
          <t>2025-12-16</t>
        </is>
      </c>
      <c r="C49" s="3" t="inlineStr">
        <is>
          <t>Everett Fairweather</t>
        </is>
      </c>
      <c r="D49" s="3" t="inlineStr">
        <is>
          <t>MO</t>
        </is>
      </c>
      <c r="E49" s="14" t="n">
        <v>610000</v>
      </c>
      <c r="F49" s="14" t="n">
        <v>4809.01</v>
      </c>
      <c r="G49" s="14" t="n">
        <v>601.13</v>
      </c>
      <c r="H49" s="14" t="n">
        <v>601.13</v>
      </c>
      <c r="I49" s="14">
        <f>SUM(K49:T49)</f>
        <v/>
      </c>
      <c r="J49" s="14">
        <f>F49-(G49+H49+I49)</f>
        <v/>
      </c>
      <c r="K49" s="14" t="n">
        <v>360.68</v>
      </c>
      <c r="L49" s="14" t="n">
        <v>360.68</v>
      </c>
      <c r="M49" s="14" t="n">
        <v>360.68</v>
      </c>
      <c r="N49" s="14" t="n">
        <v>360.68</v>
      </c>
      <c r="O49" s="14" t="n">
        <v>360.68</v>
      </c>
      <c r="P49" s="14" t="n">
        <v>360.68</v>
      </c>
      <c r="Q49" s="14" t="n">
        <v>360.68</v>
      </c>
      <c r="R49" s="14" t="n">
        <v>360.68</v>
      </c>
      <c r="S49" s="14" t="n">
        <v>360.68</v>
      </c>
      <c r="T49" s="14" t="n">
        <v>360.68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CANON-202512-002435</t>
        </is>
      </c>
      <c r="B50" s="15" t="inlineStr">
        <is>
          <t>2025-12-13</t>
        </is>
      </c>
      <c r="C50" s="15" t="inlineStr">
        <is>
          <t>Lorenzo Chattopadhyay</t>
        </is>
      </c>
      <c r="D50" s="15" t="inlineStr">
        <is>
          <t>CO</t>
        </is>
      </c>
      <c r="E50" s="16" t="n">
        <v>400000</v>
      </c>
      <c r="F50" s="16" t="n">
        <v>5707.76</v>
      </c>
      <c r="G50" s="16" t="n">
        <v>713.47</v>
      </c>
      <c r="H50" s="16" t="n">
        <v>713.47</v>
      </c>
      <c r="I50" s="16">
        <f>SUM(K50:T50)</f>
        <v/>
      </c>
      <c r="J50" s="16">
        <f>F50-(G50+H50+I50)</f>
        <v/>
      </c>
      <c r="K50" s="16" t="n">
        <v>428.08</v>
      </c>
      <c r="L50" s="16" t="n">
        <v>428.08</v>
      </c>
      <c r="M50" s="16" t="n">
        <v>428.08</v>
      </c>
      <c r="N50" s="16" t="n">
        <v>428.08</v>
      </c>
      <c r="O50" s="16" t="n">
        <v>428.08</v>
      </c>
      <c r="P50" s="16" t="n">
        <v>428.08</v>
      </c>
      <c r="Q50" s="16" t="n">
        <v>428.08</v>
      </c>
      <c r="R50" s="16" t="n">
        <v>428.08</v>
      </c>
      <c r="S50" s="16" t="n">
        <v>428.08</v>
      </c>
      <c r="T50" s="16" t="n">
        <v>428.08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CANON-202512-002439</t>
        </is>
      </c>
      <c r="B51" s="3" t="inlineStr">
        <is>
          <t>2025-12-18</t>
        </is>
      </c>
      <c r="C51" s="3" t="inlineStr">
        <is>
          <t>Lorenzo Blackwood</t>
        </is>
      </c>
      <c r="D51" s="3" t="inlineStr">
        <is>
          <t>MS</t>
        </is>
      </c>
      <c r="E51" s="14" t="n">
        <v>1270000</v>
      </c>
      <c r="F51" s="14" t="n">
        <v>9933.120000000001</v>
      </c>
      <c r="G51" s="14" t="n">
        <v>1241.64</v>
      </c>
      <c r="H51" s="14" t="n">
        <v>1241.64</v>
      </c>
      <c r="I51" s="14">
        <f>SUM(K51:T51)</f>
        <v/>
      </c>
      <c r="J51" s="14">
        <f>F51-(G51+H51+I51)</f>
        <v/>
      </c>
      <c r="K51" s="14" t="n">
        <v>744.98</v>
      </c>
      <c r="L51" s="14" t="n">
        <v>744.98</v>
      </c>
      <c r="M51" s="14" t="n">
        <v>744.98</v>
      </c>
      <c r="N51" s="14" t="n">
        <v>744.98</v>
      </c>
      <c r="O51" s="14" t="n">
        <v>744.98</v>
      </c>
      <c r="P51" s="14" t="n">
        <v>744.98</v>
      </c>
      <c r="Q51" s="14" t="n">
        <v>744.98</v>
      </c>
      <c r="R51" s="14" t="n">
        <v>744.98</v>
      </c>
      <c r="S51" s="14" t="n">
        <v>744.98</v>
      </c>
      <c r="T51" s="14" t="n">
        <v>744.98</v>
      </c>
      <c r="U51" s="14" t="n">
        <v>350</v>
      </c>
      <c r="V51" s="14" t="n">
        <v>250</v>
      </c>
      <c r="W51" s="14">
        <f>U51+V51</f>
        <v/>
      </c>
    </row>
    <row r="52">
      <c r="A52" s="15" t="inlineStr">
        <is>
          <t>CANON-202512-002441</t>
        </is>
      </c>
      <c r="B52" s="15" t="inlineStr">
        <is>
          <t>2025-12-24</t>
        </is>
      </c>
      <c r="C52" s="15" t="inlineStr">
        <is>
          <t>Aurelio Fairweather</t>
        </is>
      </c>
      <c r="D52" s="15" t="inlineStr">
        <is>
          <t>AR</t>
        </is>
      </c>
      <c r="E52" s="16" t="n">
        <v>1485000</v>
      </c>
      <c r="F52" s="16" t="n">
        <v>28356.13</v>
      </c>
      <c r="G52" s="16" t="n">
        <v>3544.52</v>
      </c>
      <c r="H52" s="16" t="n">
        <v>3544.52</v>
      </c>
      <c r="I52" s="16">
        <f>SUM(K52:T52)</f>
        <v/>
      </c>
      <c r="J52" s="16">
        <f>F52-(G52+H52+I52)</f>
        <v/>
      </c>
      <c r="K52" s="16" t="n">
        <v>2126.71</v>
      </c>
      <c r="L52" s="16" t="n">
        <v>2126.71</v>
      </c>
      <c r="M52" s="16" t="n">
        <v>2126.71</v>
      </c>
      <c r="N52" s="16" t="n">
        <v>2126.71</v>
      </c>
      <c r="O52" s="16" t="n">
        <v>2126.71</v>
      </c>
      <c r="P52" s="16" t="n">
        <v>2126.71</v>
      </c>
      <c r="Q52" s="16" t="n">
        <v>2126.71</v>
      </c>
      <c r="R52" s="16" t="n">
        <v>2126.71</v>
      </c>
      <c r="S52" s="16" t="n">
        <v>2126.71</v>
      </c>
      <c r="T52" s="16" t="n">
        <v>2126.71</v>
      </c>
      <c r="U52" s="16" t="n">
        <v>350</v>
      </c>
      <c r="V52" s="16" t="n">
        <v>250</v>
      </c>
      <c r="W52" s="16">
        <f>U52+V52</f>
        <v/>
      </c>
    </row>
    <row r="53">
      <c r="A53" s="3" t="inlineStr">
        <is>
          <t>CANON-202512-002443</t>
        </is>
      </c>
      <c r="B53" s="3" t="inlineStr">
        <is>
          <t>2025-12-17</t>
        </is>
      </c>
      <c r="C53" s="3" t="inlineStr">
        <is>
          <t>Fenwick Vandermeer</t>
        </is>
      </c>
      <c r="D53" s="3" t="inlineStr">
        <is>
          <t>MS</t>
        </is>
      </c>
      <c r="E53" s="14" t="n">
        <v>835000</v>
      </c>
      <c r="F53" s="14" t="n">
        <v>11171.15</v>
      </c>
      <c r="G53" s="14" t="n">
        <v>1396.39</v>
      </c>
      <c r="H53" s="14" t="n">
        <v>1396.39</v>
      </c>
      <c r="I53" s="14">
        <f>SUM(K53:T53)</f>
        <v/>
      </c>
      <c r="J53" s="14">
        <f>F53-(G53+H53+I53)</f>
        <v/>
      </c>
      <c r="K53" s="14" t="n">
        <v>837.84</v>
      </c>
      <c r="L53" s="14" t="n">
        <v>837.84</v>
      </c>
      <c r="M53" s="14" t="n">
        <v>837.84</v>
      </c>
      <c r="N53" s="14" t="n">
        <v>837.84</v>
      </c>
      <c r="O53" s="14" t="n">
        <v>837.84</v>
      </c>
      <c r="P53" s="14" t="n">
        <v>837.84</v>
      </c>
      <c r="Q53" s="14" t="n">
        <v>837.84</v>
      </c>
      <c r="R53" s="14" t="n">
        <v>837.84</v>
      </c>
      <c r="S53" s="14" t="n">
        <v>837.84</v>
      </c>
      <c r="T53" s="14" t="n">
        <v>837.84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CANON-202512-002444</t>
        </is>
      </c>
      <c r="B54" s="15" t="inlineStr">
        <is>
          <t>2025-12-16</t>
        </is>
      </c>
      <c r="C54" s="15" t="inlineStr">
        <is>
          <t>Ingrid Whitlock</t>
        </is>
      </c>
      <c r="D54" s="15" t="inlineStr">
        <is>
          <t>GA</t>
        </is>
      </c>
      <c r="E54" s="16" t="n">
        <v>465000</v>
      </c>
      <c r="F54" s="16" t="n">
        <v>6755.9</v>
      </c>
      <c r="G54" s="16" t="n">
        <v>844.49</v>
      </c>
      <c r="H54" s="16" t="n">
        <v>844.49</v>
      </c>
      <c r="I54" s="16">
        <f>SUM(K54:T54)</f>
        <v/>
      </c>
      <c r="J54" s="16">
        <f>F54-(G54+H54+I54)</f>
        <v/>
      </c>
      <c r="K54" s="16" t="n">
        <v>506.69</v>
      </c>
      <c r="L54" s="16" t="n">
        <v>506.69</v>
      </c>
      <c r="M54" s="16" t="n">
        <v>506.69</v>
      </c>
      <c r="N54" s="16" t="n">
        <v>506.69</v>
      </c>
      <c r="O54" s="16" t="n">
        <v>506.69</v>
      </c>
      <c r="P54" s="16" t="n">
        <v>506.69</v>
      </c>
      <c r="Q54" s="16" t="n">
        <v>506.69</v>
      </c>
      <c r="R54" s="16" t="n">
        <v>506.69</v>
      </c>
      <c r="S54" s="16" t="n">
        <v>506.69</v>
      </c>
      <c r="T54" s="16" t="n">
        <v>506.69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CANON-202512-002445</t>
        </is>
      </c>
      <c r="B55" s="3" t="inlineStr">
        <is>
          <t>2025-12-17</t>
        </is>
      </c>
      <c r="C55" s="3" t="inlineStr">
        <is>
          <t>Emiliano Nakashima</t>
        </is>
      </c>
      <c r="D55" s="3" t="inlineStr">
        <is>
          <t>IA</t>
        </is>
      </c>
      <c r="E55" s="14" t="n">
        <v>360000</v>
      </c>
      <c r="F55" s="14" t="n">
        <v>5136.98</v>
      </c>
      <c r="G55" s="14" t="n">
        <v>642.12</v>
      </c>
      <c r="H55" s="14" t="n">
        <v>642.12</v>
      </c>
      <c r="I55" s="14">
        <f>SUM(K55:T55)</f>
        <v/>
      </c>
      <c r="J55" s="14">
        <f>F55-(G55+H55+I55)</f>
        <v/>
      </c>
      <c r="K55" s="14" t="n">
        <v>385.27</v>
      </c>
      <c r="L55" s="14" t="n">
        <v>385.27</v>
      </c>
      <c r="M55" s="14" t="n">
        <v>385.27</v>
      </c>
      <c r="N55" s="14" t="n">
        <v>385.27</v>
      </c>
      <c r="O55" s="14" t="n">
        <v>385.27</v>
      </c>
      <c r="P55" s="14" t="n">
        <v>385.27</v>
      </c>
      <c r="Q55" s="14" t="n">
        <v>385.27</v>
      </c>
      <c r="R55" s="14" t="n">
        <v>385.27</v>
      </c>
      <c r="S55" s="14" t="n">
        <v>385.27</v>
      </c>
      <c r="T55" s="14" t="n">
        <v>385.27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CANON-202512-002446</t>
        </is>
      </c>
      <c r="B56" s="15" t="inlineStr">
        <is>
          <t>2025-12-15</t>
        </is>
      </c>
      <c r="C56" s="15" t="inlineStr">
        <is>
          <t>Emiliano Montoya</t>
        </is>
      </c>
      <c r="D56" s="15" t="inlineStr">
        <is>
          <t>ME</t>
        </is>
      </c>
      <c r="E56" s="16" t="n">
        <v>675000</v>
      </c>
      <c r="F56" s="16" t="n">
        <v>9834.98</v>
      </c>
      <c r="G56" s="16" t="n">
        <v>1229.37</v>
      </c>
      <c r="H56" s="16" t="n">
        <v>1229.37</v>
      </c>
      <c r="I56" s="16">
        <f>SUM(K56:T56)</f>
        <v/>
      </c>
      <c r="J56" s="16">
        <f>F56-(G56+H56+I56)</f>
        <v/>
      </c>
      <c r="K56" s="16" t="n">
        <v>737.62</v>
      </c>
      <c r="L56" s="16" t="n">
        <v>737.62</v>
      </c>
      <c r="M56" s="16" t="n">
        <v>737.62</v>
      </c>
      <c r="N56" s="16" t="n">
        <v>737.62</v>
      </c>
      <c r="O56" s="16" t="n">
        <v>737.62</v>
      </c>
      <c r="P56" s="16" t="n">
        <v>737.62</v>
      </c>
      <c r="Q56" s="16" t="n">
        <v>737.62</v>
      </c>
      <c r="R56" s="16" t="n">
        <v>737.62</v>
      </c>
      <c r="S56" s="16" t="n">
        <v>737.62</v>
      </c>
      <c r="T56" s="16" t="n">
        <v>737.62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CANON-202512-002447</t>
        </is>
      </c>
      <c r="B57" s="3" t="inlineStr">
        <is>
          <t>2025-12-01</t>
        </is>
      </c>
      <c r="C57" s="3" t="inlineStr">
        <is>
          <t>Emiliano Thistlewood</t>
        </is>
      </c>
      <c r="D57" s="3" t="inlineStr">
        <is>
          <t>WA</t>
        </is>
      </c>
      <c r="E57" s="14" t="n">
        <v>205000</v>
      </c>
      <c r="F57" s="14" t="n">
        <v>3131.58</v>
      </c>
      <c r="G57" s="14" t="n">
        <v>391.45</v>
      </c>
      <c r="H57" s="14" t="n">
        <v>391.45</v>
      </c>
      <c r="I57" s="14">
        <f>SUM(K57:T57)</f>
        <v/>
      </c>
      <c r="J57" s="14">
        <f>F57-(G57+H57+I57)</f>
        <v/>
      </c>
      <c r="K57" s="14" t="n">
        <v>234.87</v>
      </c>
      <c r="L57" s="14" t="n">
        <v>234.87</v>
      </c>
      <c r="M57" s="14" t="n">
        <v>234.87</v>
      </c>
      <c r="N57" s="14" t="n">
        <v>234.87</v>
      </c>
      <c r="O57" s="14" t="n">
        <v>234.87</v>
      </c>
      <c r="P57" s="14" t="n">
        <v>234.87</v>
      </c>
      <c r="Q57" s="14" t="n">
        <v>234.87</v>
      </c>
      <c r="R57" s="14" t="n">
        <v>234.87</v>
      </c>
      <c r="S57" s="14" t="n">
        <v>234.87</v>
      </c>
      <c r="T57" s="14" t="n">
        <v>234.87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CANON-202512-002448</t>
        </is>
      </c>
      <c r="B58" s="15" t="inlineStr">
        <is>
          <t>2025-12-31</t>
        </is>
      </c>
      <c r="C58" s="15" t="inlineStr">
        <is>
          <t>Aurelio Vandermeer</t>
        </is>
      </c>
      <c r="D58" s="15" t="inlineStr">
        <is>
          <t>NE</t>
        </is>
      </c>
      <c r="E58" s="16" t="n">
        <v>245000</v>
      </c>
      <c r="F58" s="16" t="n">
        <v>5068.14</v>
      </c>
      <c r="G58" s="16" t="n">
        <v>633.52</v>
      </c>
      <c r="H58" s="16" t="n">
        <v>633.52</v>
      </c>
      <c r="I58" s="16">
        <f>SUM(K58:T58)</f>
        <v/>
      </c>
      <c r="J58" s="16">
        <f>F58-(G58+H58+I58)</f>
        <v/>
      </c>
      <c r="K58" s="16" t="n">
        <v>380.11</v>
      </c>
      <c r="L58" s="16" t="n">
        <v>380.11</v>
      </c>
      <c r="M58" s="16" t="n">
        <v>380.11</v>
      </c>
      <c r="N58" s="16" t="n">
        <v>380.11</v>
      </c>
      <c r="O58" s="16" t="n">
        <v>380.11</v>
      </c>
      <c r="P58" s="16" t="n">
        <v>380.11</v>
      </c>
      <c r="Q58" s="16" t="n">
        <v>380.11</v>
      </c>
      <c r="R58" s="16" t="n">
        <v>380.11</v>
      </c>
      <c r="S58" s="16" t="n">
        <v>380.11</v>
      </c>
      <c r="T58" s="16" t="n">
        <v>380.11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CANON-202512-002450</t>
        </is>
      </c>
      <c r="B59" s="3" t="inlineStr">
        <is>
          <t>2025-12-08</t>
        </is>
      </c>
      <c r="C59" s="3" t="inlineStr">
        <is>
          <t>Leopold Fairweather</t>
        </is>
      </c>
      <c r="D59" s="3" t="inlineStr">
        <is>
          <t>SD</t>
        </is>
      </c>
      <c r="E59" s="14" t="n">
        <v>1280000</v>
      </c>
      <c r="F59" s="14" t="n">
        <v>19659.58</v>
      </c>
      <c r="G59" s="14" t="n">
        <v>2457.45</v>
      </c>
      <c r="H59" s="14" t="n">
        <v>2457.45</v>
      </c>
      <c r="I59" s="14">
        <f>SUM(K59:T59)</f>
        <v/>
      </c>
      <c r="J59" s="14">
        <f>F59-(G59+H59+I59)</f>
        <v/>
      </c>
      <c r="K59" s="14" t="n">
        <v>1474.47</v>
      </c>
      <c r="L59" s="14" t="n">
        <v>1474.47</v>
      </c>
      <c r="M59" s="14" t="n">
        <v>1474.47</v>
      </c>
      <c r="N59" s="14" t="n">
        <v>1474.47</v>
      </c>
      <c r="O59" s="14" t="n">
        <v>1474.47</v>
      </c>
      <c r="P59" s="14" t="n">
        <v>1474.47</v>
      </c>
      <c r="Q59" s="14" t="n">
        <v>1474.47</v>
      </c>
      <c r="R59" s="14" t="n">
        <v>1474.47</v>
      </c>
      <c r="S59" s="14" t="n">
        <v>1474.47</v>
      </c>
      <c r="T59" s="14" t="n">
        <v>1474.47</v>
      </c>
      <c r="U59" s="14" t="n">
        <v>350</v>
      </c>
      <c r="V59" s="14" t="n">
        <v>250</v>
      </c>
      <c r="W59" s="14">
        <f>U59+V59</f>
        <v/>
      </c>
    </row>
    <row r="60">
      <c r="A60" s="15" t="inlineStr">
        <is>
          <t>CANON-202512-002451</t>
        </is>
      </c>
      <c r="B60" s="15" t="inlineStr">
        <is>
          <t>2025-12-31</t>
        </is>
      </c>
      <c r="C60" s="15" t="inlineStr">
        <is>
          <t>Ottilie Montoya</t>
        </is>
      </c>
      <c r="D60" s="15" t="inlineStr">
        <is>
          <t>MO</t>
        </is>
      </c>
      <c r="E60" s="16" t="n">
        <v>1740000</v>
      </c>
      <c r="F60" s="16" t="n">
        <v>17545.64</v>
      </c>
      <c r="G60" s="16" t="n">
        <v>2193.2</v>
      </c>
      <c r="H60" s="16" t="n">
        <v>2193.2</v>
      </c>
      <c r="I60" s="16">
        <f>SUM(K60:T60)</f>
        <v/>
      </c>
      <c r="J60" s="16">
        <f>F60-(G60+H60+I60)</f>
        <v/>
      </c>
      <c r="K60" s="16" t="n">
        <v>1315.92</v>
      </c>
      <c r="L60" s="16" t="n">
        <v>1315.92</v>
      </c>
      <c r="M60" s="16" t="n">
        <v>1315.92</v>
      </c>
      <c r="N60" s="16" t="n">
        <v>1315.92</v>
      </c>
      <c r="O60" s="16" t="n">
        <v>1315.92</v>
      </c>
      <c r="P60" s="16" t="n">
        <v>1315.92</v>
      </c>
      <c r="Q60" s="16" t="n">
        <v>1315.92</v>
      </c>
      <c r="R60" s="16" t="n">
        <v>1315.92</v>
      </c>
      <c r="S60" s="16" t="n">
        <v>1315.92</v>
      </c>
      <c r="T60" s="16" t="n">
        <v>1315.92</v>
      </c>
      <c r="U60" s="16" t="n">
        <v>350</v>
      </c>
      <c r="V60" s="16" t="n">
        <v>250</v>
      </c>
      <c r="W60" s="16">
        <f>U60+V60</f>
        <v/>
      </c>
    </row>
    <row r="61">
      <c r="A61" s="3" t="inlineStr">
        <is>
          <t>CANON-202512-002453</t>
        </is>
      </c>
      <c r="B61" s="3" t="inlineStr">
        <is>
          <t>2025-12-16</t>
        </is>
      </c>
      <c r="C61" s="3" t="inlineStr">
        <is>
          <t>Everett Merriweather</t>
        </is>
      </c>
      <c r="D61" s="3" t="inlineStr">
        <is>
          <t>UT</t>
        </is>
      </c>
      <c r="E61" s="14" t="n">
        <v>610000</v>
      </c>
      <c r="F61" s="14" t="n">
        <v>13531.27</v>
      </c>
      <c r="G61" s="14" t="n">
        <v>1691.41</v>
      </c>
      <c r="H61" s="14" t="n">
        <v>1691.41</v>
      </c>
      <c r="I61" s="14">
        <f>SUM(K61:T61)</f>
        <v/>
      </c>
      <c r="J61" s="14">
        <f>F61-(G61+H61+I61)</f>
        <v/>
      </c>
      <c r="K61" s="14" t="n">
        <v>1014.85</v>
      </c>
      <c r="L61" s="14" t="n">
        <v>1014.85</v>
      </c>
      <c r="M61" s="14" t="n">
        <v>1014.85</v>
      </c>
      <c r="N61" s="14" t="n">
        <v>1014.85</v>
      </c>
      <c r="O61" s="14" t="n">
        <v>1014.85</v>
      </c>
      <c r="P61" s="14" t="n">
        <v>1014.85</v>
      </c>
      <c r="Q61" s="14" t="n">
        <v>1014.85</v>
      </c>
      <c r="R61" s="14" t="n">
        <v>1014.85</v>
      </c>
      <c r="S61" s="14" t="n">
        <v>1014.85</v>
      </c>
      <c r="T61" s="14" t="n">
        <v>1014.85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CANON-202512-002454</t>
        </is>
      </c>
      <c r="B62" s="15" t="inlineStr">
        <is>
          <t>2025-12-08</t>
        </is>
      </c>
      <c r="C62" s="15" t="inlineStr">
        <is>
          <t>Lorenzo Blackwood</t>
        </is>
      </c>
      <c r="D62" s="15" t="inlineStr">
        <is>
          <t>AZ</t>
        </is>
      </c>
      <c r="E62" s="16" t="n">
        <v>605000</v>
      </c>
      <c r="F62" s="16" t="n">
        <v>8243.709999999999</v>
      </c>
      <c r="G62" s="16" t="n">
        <v>1030.46</v>
      </c>
      <c r="H62" s="16" t="n">
        <v>1030.46</v>
      </c>
      <c r="I62" s="16">
        <f>SUM(K62:T62)</f>
        <v/>
      </c>
      <c r="J62" s="16">
        <f>F62-(G62+H62+I62)</f>
        <v/>
      </c>
      <c r="K62" s="16" t="n">
        <v>618.28</v>
      </c>
      <c r="L62" s="16" t="n">
        <v>618.28</v>
      </c>
      <c r="M62" s="16" t="n">
        <v>618.28</v>
      </c>
      <c r="N62" s="16" t="n">
        <v>618.28</v>
      </c>
      <c r="O62" s="16" t="n">
        <v>618.28</v>
      </c>
      <c r="P62" s="16" t="n">
        <v>618.28</v>
      </c>
      <c r="Q62" s="16" t="n">
        <v>618.28</v>
      </c>
      <c r="R62" s="16" t="n">
        <v>618.28</v>
      </c>
      <c r="S62" s="16" t="n">
        <v>618.28</v>
      </c>
      <c r="T62" s="16" t="n">
        <v>618.28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CANON-202512-002455</t>
        </is>
      </c>
      <c r="B63" s="3" t="inlineStr">
        <is>
          <t>2025-12-16</t>
        </is>
      </c>
      <c r="C63" s="3" t="inlineStr">
        <is>
          <t>Aurelio Thistlewood</t>
        </is>
      </c>
      <c r="D63" s="3" t="inlineStr">
        <is>
          <t>AR</t>
        </is>
      </c>
      <c r="E63" s="14" t="n">
        <v>1205000</v>
      </c>
      <c r="F63" s="14" t="n">
        <v>10929.52</v>
      </c>
      <c r="G63" s="14" t="n">
        <v>1366.19</v>
      </c>
      <c r="H63" s="14" t="n">
        <v>1366.19</v>
      </c>
      <c r="I63" s="14">
        <f>SUM(K63:T63)</f>
        <v/>
      </c>
      <c r="J63" s="14">
        <f>F63-(G63+H63+I63)</f>
        <v/>
      </c>
      <c r="K63" s="14" t="n">
        <v>819.71</v>
      </c>
      <c r="L63" s="14" t="n">
        <v>819.71</v>
      </c>
      <c r="M63" s="14" t="n">
        <v>819.71</v>
      </c>
      <c r="N63" s="14" t="n">
        <v>819.71</v>
      </c>
      <c r="O63" s="14" t="n">
        <v>819.71</v>
      </c>
      <c r="P63" s="14" t="n">
        <v>819.71</v>
      </c>
      <c r="Q63" s="14" t="n">
        <v>819.71</v>
      </c>
      <c r="R63" s="14" t="n">
        <v>819.71</v>
      </c>
      <c r="S63" s="14" t="n">
        <v>819.71</v>
      </c>
      <c r="T63" s="14" t="n">
        <v>819.71</v>
      </c>
      <c r="U63" s="14" t="n">
        <v>350</v>
      </c>
      <c r="V63" s="14" t="n">
        <v>250</v>
      </c>
      <c r="W63" s="14">
        <f>U63+V63</f>
        <v/>
      </c>
    </row>
    <row r="64">
      <c r="A64" s="15" t="inlineStr">
        <is>
          <t>CANON-202512-002456</t>
        </is>
      </c>
      <c r="B64" s="15" t="inlineStr">
        <is>
          <t>2025-12-26</t>
        </is>
      </c>
      <c r="C64" s="15" t="inlineStr">
        <is>
          <t>Callum Vandermeer</t>
        </is>
      </c>
      <c r="D64" s="15" t="inlineStr">
        <is>
          <t>AR</t>
        </is>
      </c>
      <c r="E64" s="16" t="n">
        <v>195000</v>
      </c>
      <c r="F64" s="16" t="n">
        <v>4887.14</v>
      </c>
      <c r="G64" s="16" t="n">
        <v>610.89</v>
      </c>
      <c r="H64" s="16" t="n">
        <v>610.89</v>
      </c>
      <c r="I64" s="16">
        <f>SUM(K64:T64)</f>
        <v/>
      </c>
      <c r="J64" s="16">
        <f>F64-(G64+H64+I64)</f>
        <v/>
      </c>
      <c r="K64" s="16" t="n">
        <v>366.54</v>
      </c>
      <c r="L64" s="16" t="n">
        <v>366.54</v>
      </c>
      <c r="M64" s="16" t="n">
        <v>366.54</v>
      </c>
      <c r="N64" s="16" t="n">
        <v>366.54</v>
      </c>
      <c r="O64" s="16" t="n">
        <v>366.54</v>
      </c>
      <c r="P64" s="16" t="n">
        <v>366.54</v>
      </c>
      <c r="Q64" s="16" t="n">
        <v>366.54</v>
      </c>
      <c r="R64" s="16" t="n">
        <v>366.54</v>
      </c>
      <c r="S64" s="16" t="n">
        <v>366.54</v>
      </c>
      <c r="T64" s="16" t="n">
        <v>366.54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CANON-202512-002457</t>
        </is>
      </c>
      <c r="B65" s="3" t="inlineStr">
        <is>
          <t>2025-12-02</t>
        </is>
      </c>
      <c r="C65" s="3" t="inlineStr">
        <is>
          <t>Noor Fairweather</t>
        </is>
      </c>
      <c r="D65" s="3" t="inlineStr">
        <is>
          <t>NY</t>
        </is>
      </c>
      <c r="E65" s="14" t="n">
        <v>355000</v>
      </c>
      <c r="F65" s="14" t="n">
        <v>9038.309999999999</v>
      </c>
      <c r="G65" s="14" t="n">
        <v>1129.79</v>
      </c>
      <c r="H65" s="14" t="n">
        <v>1129.79</v>
      </c>
      <c r="I65" s="14">
        <f>SUM(K65:T65)</f>
        <v/>
      </c>
      <c r="J65" s="14">
        <f>F65-(G65+H65+I65)</f>
        <v/>
      </c>
      <c r="K65" s="14" t="n">
        <v>677.87</v>
      </c>
      <c r="L65" s="14" t="n">
        <v>677.87</v>
      </c>
      <c r="M65" s="14" t="n">
        <v>677.87</v>
      </c>
      <c r="N65" s="14" t="n">
        <v>677.87</v>
      </c>
      <c r="O65" s="14" t="n">
        <v>677.87</v>
      </c>
      <c r="P65" s="14" t="n">
        <v>677.87</v>
      </c>
      <c r="Q65" s="14" t="n">
        <v>677.87</v>
      </c>
      <c r="R65" s="14" t="n">
        <v>677.87</v>
      </c>
      <c r="S65" s="14" t="n">
        <v>677.87</v>
      </c>
      <c r="T65" s="14" t="n">
        <v>677.87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CANON-202512-002458</t>
        </is>
      </c>
      <c r="B66" s="15" t="inlineStr">
        <is>
          <t>2025-12-11</t>
        </is>
      </c>
      <c r="C66" s="15" t="inlineStr">
        <is>
          <t>Ottilie Nakashima</t>
        </is>
      </c>
      <c r="D66" s="15" t="inlineStr">
        <is>
          <t>NH</t>
        </is>
      </c>
      <c r="E66" s="16" t="n">
        <v>935000</v>
      </c>
      <c r="F66" s="16" t="n">
        <v>7232.1</v>
      </c>
      <c r="G66" s="16" t="n">
        <v>904.01</v>
      </c>
      <c r="H66" s="16" t="n">
        <v>904.01</v>
      </c>
      <c r="I66" s="16">
        <f>SUM(K66:T66)</f>
        <v/>
      </c>
      <c r="J66" s="16">
        <f>F66-(G66+H66+I66)</f>
        <v/>
      </c>
      <c r="K66" s="16" t="n">
        <v>542.41</v>
      </c>
      <c r="L66" s="16" t="n">
        <v>542.41</v>
      </c>
      <c r="M66" s="16" t="n">
        <v>542.41</v>
      </c>
      <c r="N66" s="16" t="n">
        <v>542.41</v>
      </c>
      <c r="O66" s="16" t="n">
        <v>542.41</v>
      </c>
      <c r="P66" s="16" t="n">
        <v>542.41</v>
      </c>
      <c r="Q66" s="16" t="n">
        <v>542.41</v>
      </c>
      <c r="R66" s="16" t="n">
        <v>542.41</v>
      </c>
      <c r="S66" s="16" t="n">
        <v>542.41</v>
      </c>
      <c r="T66" s="16" t="n">
        <v>542.41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CANON-202512-002459</t>
        </is>
      </c>
      <c r="B67" s="3" t="inlineStr">
        <is>
          <t>2025-12-03</t>
        </is>
      </c>
      <c r="C67" s="3" t="inlineStr">
        <is>
          <t>Desmond Montoya</t>
        </is>
      </c>
      <c r="D67" s="3" t="inlineStr">
        <is>
          <t>MN</t>
        </is>
      </c>
      <c r="E67" s="14" t="n">
        <v>230000</v>
      </c>
      <c r="F67" s="14" t="n">
        <v>4831.05</v>
      </c>
      <c r="G67" s="14" t="n">
        <v>603.88</v>
      </c>
      <c r="H67" s="14" t="n">
        <v>603.88</v>
      </c>
      <c r="I67" s="14">
        <f>SUM(K67:T67)</f>
        <v/>
      </c>
      <c r="J67" s="14">
        <f>F67-(G67+H67+I67)</f>
        <v/>
      </c>
      <c r="K67" s="14" t="n">
        <v>362.33</v>
      </c>
      <c r="L67" s="14" t="n">
        <v>362.33</v>
      </c>
      <c r="M67" s="14" t="n">
        <v>362.33</v>
      </c>
      <c r="N67" s="14" t="n">
        <v>362.33</v>
      </c>
      <c r="O67" s="14" t="n">
        <v>362.33</v>
      </c>
      <c r="P67" s="14" t="n">
        <v>362.33</v>
      </c>
      <c r="Q67" s="14" t="n">
        <v>362.33</v>
      </c>
      <c r="R67" s="14" t="n">
        <v>362.33</v>
      </c>
      <c r="S67" s="14" t="n">
        <v>362.33</v>
      </c>
      <c r="T67" s="14" t="n">
        <v>362.33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CANON-202512-002461</t>
        </is>
      </c>
      <c r="B68" s="15" t="inlineStr">
        <is>
          <t>2025-12-10</t>
        </is>
      </c>
      <c r="C68" s="15" t="inlineStr">
        <is>
          <t>Wilhelmina Underwood</t>
        </is>
      </c>
      <c r="D68" s="15" t="inlineStr">
        <is>
          <t>SD</t>
        </is>
      </c>
      <c r="E68" s="16" t="n">
        <v>460000</v>
      </c>
      <c r="F68" s="16" t="n">
        <v>6623.59</v>
      </c>
      <c r="G68" s="16" t="n">
        <v>827.95</v>
      </c>
      <c r="H68" s="16" t="n">
        <v>827.95</v>
      </c>
      <c r="I68" s="16">
        <f>SUM(K68:T68)</f>
        <v/>
      </c>
      <c r="J68" s="16">
        <f>F68-(G68+H68+I68)</f>
        <v/>
      </c>
      <c r="K68" s="16" t="n">
        <v>496.77</v>
      </c>
      <c r="L68" s="16" t="n">
        <v>496.77</v>
      </c>
      <c r="M68" s="16" t="n">
        <v>496.77</v>
      </c>
      <c r="N68" s="16" t="n">
        <v>496.77</v>
      </c>
      <c r="O68" s="16" t="n">
        <v>496.77</v>
      </c>
      <c r="P68" s="16" t="n">
        <v>496.77</v>
      </c>
      <c r="Q68" s="16" t="n">
        <v>496.77</v>
      </c>
      <c r="R68" s="16" t="n">
        <v>496.77</v>
      </c>
      <c r="S68" s="16" t="n">
        <v>496.77</v>
      </c>
      <c r="T68" s="16" t="n">
        <v>496.77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CANON-202512-002464</t>
        </is>
      </c>
      <c r="B69" s="3" t="inlineStr">
        <is>
          <t>2025-12-17</t>
        </is>
      </c>
      <c r="C69" s="3" t="inlineStr">
        <is>
          <t>Aurelio Delacroix</t>
        </is>
      </c>
      <c r="D69" s="3" t="inlineStr">
        <is>
          <t>CA</t>
        </is>
      </c>
      <c r="E69" s="14" t="n">
        <v>1100000</v>
      </c>
      <c r="F69" s="14" t="n">
        <v>20547.91</v>
      </c>
      <c r="G69" s="14" t="n">
        <v>2568.49</v>
      </c>
      <c r="H69" s="14" t="n">
        <v>2568.49</v>
      </c>
      <c r="I69" s="14">
        <f>SUM(K69:T69)</f>
        <v/>
      </c>
      <c r="J69" s="14">
        <f>F69-(G69+H69+I69)</f>
        <v/>
      </c>
      <c r="K69" s="14" t="n">
        <v>1541.09</v>
      </c>
      <c r="L69" s="14" t="n">
        <v>1541.09</v>
      </c>
      <c r="M69" s="14" t="n">
        <v>1541.09</v>
      </c>
      <c r="N69" s="14" t="n">
        <v>1541.09</v>
      </c>
      <c r="O69" s="14" t="n">
        <v>1541.09</v>
      </c>
      <c r="P69" s="14" t="n">
        <v>1541.09</v>
      </c>
      <c r="Q69" s="14" t="n">
        <v>1541.09</v>
      </c>
      <c r="R69" s="14" t="n">
        <v>1541.09</v>
      </c>
      <c r="S69" s="14" t="n">
        <v>1541.09</v>
      </c>
      <c r="T69" s="14" t="n">
        <v>1541.09</v>
      </c>
      <c r="U69" s="14" t="n">
        <v>350</v>
      </c>
      <c r="V69" s="14" t="n">
        <v>250</v>
      </c>
      <c r="W69" s="14">
        <f>U69+V69</f>
        <v/>
      </c>
    </row>
    <row r="70">
      <c r="A70" s="15" t="inlineStr">
        <is>
          <t>CANON-202512-002465</t>
        </is>
      </c>
      <c r="B70" s="15" t="inlineStr">
        <is>
          <t>2025-12-11</t>
        </is>
      </c>
      <c r="C70" s="15" t="inlineStr">
        <is>
          <t>Ramona Montoya</t>
        </is>
      </c>
      <c r="D70" s="15" t="inlineStr">
        <is>
          <t>OK</t>
        </is>
      </c>
      <c r="E70" s="16" t="n">
        <v>900000</v>
      </c>
      <c r="F70" s="16" t="n">
        <v>12749.05</v>
      </c>
      <c r="G70" s="16" t="n">
        <v>1593.63</v>
      </c>
      <c r="H70" s="16" t="n">
        <v>1593.63</v>
      </c>
      <c r="I70" s="16">
        <f>SUM(K70:T70)</f>
        <v/>
      </c>
      <c r="J70" s="16">
        <f>F70-(G70+H70+I70)</f>
        <v/>
      </c>
      <c r="K70" s="16" t="n">
        <v>956.1799999999999</v>
      </c>
      <c r="L70" s="16" t="n">
        <v>956.1799999999999</v>
      </c>
      <c r="M70" s="16" t="n">
        <v>956.1799999999999</v>
      </c>
      <c r="N70" s="16" t="n">
        <v>956.1799999999999</v>
      </c>
      <c r="O70" s="16" t="n">
        <v>956.1799999999999</v>
      </c>
      <c r="P70" s="16" t="n">
        <v>956.1799999999999</v>
      </c>
      <c r="Q70" s="16" t="n">
        <v>956.1799999999999</v>
      </c>
      <c r="R70" s="16" t="n">
        <v>956.1799999999999</v>
      </c>
      <c r="S70" s="16" t="n">
        <v>956.1799999999999</v>
      </c>
      <c r="T70" s="16" t="n">
        <v>956.1799999999999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CANON-202512-002466</t>
        </is>
      </c>
      <c r="B71" s="3" t="inlineStr">
        <is>
          <t>2025-12-20</t>
        </is>
      </c>
      <c r="C71" s="3" t="inlineStr">
        <is>
          <t>Wilhelmina Harrington</t>
        </is>
      </c>
      <c r="D71" s="3" t="inlineStr">
        <is>
          <t>WY</t>
        </is>
      </c>
      <c r="E71" s="14" t="n">
        <v>260000</v>
      </c>
      <c r="F71" s="14" t="n">
        <v>3608.86</v>
      </c>
      <c r="G71" s="14" t="n">
        <v>451.11</v>
      </c>
      <c r="H71" s="14" t="n">
        <v>451.11</v>
      </c>
      <c r="I71" s="14">
        <f>SUM(K71:T71)</f>
        <v/>
      </c>
      <c r="J71" s="14">
        <f>F71-(G71+H71+I71)</f>
        <v/>
      </c>
      <c r="K71" s="14" t="n">
        <v>270.66</v>
      </c>
      <c r="L71" s="14" t="n">
        <v>270.66</v>
      </c>
      <c r="M71" s="14" t="n">
        <v>270.66</v>
      </c>
      <c r="N71" s="14" t="n">
        <v>270.66</v>
      </c>
      <c r="O71" s="14" t="n">
        <v>270.66</v>
      </c>
      <c r="P71" s="14" t="n">
        <v>270.66</v>
      </c>
      <c r="Q71" s="14" t="n">
        <v>270.66</v>
      </c>
      <c r="R71" s="14" t="n">
        <v>270.66</v>
      </c>
      <c r="S71" s="14" t="n">
        <v>270.66</v>
      </c>
      <c r="T71" s="14" t="n">
        <v>270.66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CANON-202512-002467</t>
        </is>
      </c>
      <c r="B72" s="15" t="inlineStr">
        <is>
          <t>2025-12-26</t>
        </is>
      </c>
      <c r="C72" s="15" t="inlineStr">
        <is>
          <t>Lorenzo Merriweather</t>
        </is>
      </c>
      <c r="D72" s="15" t="inlineStr">
        <is>
          <t>KS</t>
        </is>
      </c>
      <c r="E72" s="16" t="n">
        <v>1950000</v>
      </c>
      <c r="F72" s="16" t="n">
        <v>26172.65</v>
      </c>
      <c r="G72" s="16" t="n">
        <v>3271.58</v>
      </c>
      <c r="H72" s="16" t="n">
        <v>3271.58</v>
      </c>
      <c r="I72" s="16">
        <f>SUM(K72:T72)</f>
        <v/>
      </c>
      <c r="J72" s="16">
        <f>F72-(G72+H72+I72)</f>
        <v/>
      </c>
      <c r="K72" s="16" t="n">
        <v>1962.95</v>
      </c>
      <c r="L72" s="16" t="n">
        <v>1962.95</v>
      </c>
      <c r="M72" s="16" t="n">
        <v>1962.95</v>
      </c>
      <c r="N72" s="16" t="n">
        <v>1962.95</v>
      </c>
      <c r="O72" s="16" t="n">
        <v>1962.95</v>
      </c>
      <c r="P72" s="16" t="n">
        <v>1962.95</v>
      </c>
      <c r="Q72" s="16" t="n">
        <v>1962.95</v>
      </c>
      <c r="R72" s="16" t="n">
        <v>1962.95</v>
      </c>
      <c r="S72" s="16" t="n">
        <v>1962.95</v>
      </c>
      <c r="T72" s="16" t="n">
        <v>1962.95</v>
      </c>
      <c r="U72" s="16" t="n">
        <v>350</v>
      </c>
      <c r="V72" s="16" t="n">
        <v>250</v>
      </c>
      <c r="W72" s="16">
        <f>U72+V72</f>
        <v/>
      </c>
    </row>
    <row r="73">
      <c r="A73" s="3" t="inlineStr">
        <is>
          <t>CANON-202512-002469</t>
        </is>
      </c>
      <c r="B73" s="3" t="inlineStr">
        <is>
          <t>2025-12-02</t>
        </is>
      </c>
      <c r="C73" s="3" t="inlineStr">
        <is>
          <t>Mireille Harrington</t>
        </is>
      </c>
      <c r="D73" s="3" t="inlineStr">
        <is>
          <t>NY</t>
        </is>
      </c>
      <c r="E73" s="14" t="n">
        <v>320000</v>
      </c>
      <c r="F73" s="14" t="n">
        <v>5313.4</v>
      </c>
      <c r="G73" s="14" t="n">
        <v>664.17</v>
      </c>
      <c r="H73" s="14" t="n">
        <v>664.17</v>
      </c>
      <c r="I73" s="14">
        <f>SUM(K73:T73)</f>
        <v/>
      </c>
      <c r="J73" s="14">
        <f>F73-(G73+H73+I73)</f>
        <v/>
      </c>
      <c r="K73" s="14" t="n">
        <v>398.5</v>
      </c>
      <c r="L73" s="14" t="n">
        <v>398.5</v>
      </c>
      <c r="M73" s="14" t="n">
        <v>398.5</v>
      </c>
      <c r="N73" s="14" t="n">
        <v>398.5</v>
      </c>
      <c r="O73" s="14" t="n">
        <v>398.5</v>
      </c>
      <c r="P73" s="14" t="n">
        <v>398.5</v>
      </c>
      <c r="Q73" s="14" t="n">
        <v>398.5</v>
      </c>
      <c r="R73" s="14" t="n">
        <v>398.5</v>
      </c>
      <c r="S73" s="14" t="n">
        <v>398.5</v>
      </c>
      <c r="T73" s="14" t="n">
        <v>398.5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CANON-202512-002470</t>
        </is>
      </c>
      <c r="B74" s="15" t="inlineStr">
        <is>
          <t>2025-12-05</t>
        </is>
      </c>
      <c r="C74" s="15" t="inlineStr">
        <is>
          <t>Ottilie Nakashima</t>
        </is>
      </c>
      <c r="D74" s="15" t="inlineStr">
        <is>
          <t>GA</t>
        </is>
      </c>
      <c r="E74" s="16" t="n">
        <v>1050000</v>
      </c>
      <c r="F74" s="16" t="n">
        <v>11187.2</v>
      </c>
      <c r="G74" s="16" t="n">
        <v>1398.4</v>
      </c>
      <c r="H74" s="16" t="n">
        <v>1398.4</v>
      </c>
      <c r="I74" s="16">
        <f>SUM(K74:T74)</f>
        <v/>
      </c>
      <c r="J74" s="16">
        <f>F74-(G74+H74+I74)</f>
        <v/>
      </c>
      <c r="K74" s="16" t="n">
        <v>839.04</v>
      </c>
      <c r="L74" s="16" t="n">
        <v>839.04</v>
      </c>
      <c r="M74" s="16" t="n">
        <v>839.04</v>
      </c>
      <c r="N74" s="16" t="n">
        <v>839.04</v>
      </c>
      <c r="O74" s="16" t="n">
        <v>839.04</v>
      </c>
      <c r="P74" s="16" t="n">
        <v>839.04</v>
      </c>
      <c r="Q74" s="16" t="n">
        <v>839.04</v>
      </c>
      <c r="R74" s="16" t="n">
        <v>839.04</v>
      </c>
      <c r="S74" s="16" t="n">
        <v>839.04</v>
      </c>
      <c r="T74" s="16" t="n">
        <v>839.04</v>
      </c>
      <c r="U74" s="16" t="n">
        <v>350</v>
      </c>
      <c r="V74" s="16" t="n">
        <v>250</v>
      </c>
      <c r="W74" s="16">
        <f>U74+V74</f>
        <v/>
      </c>
    </row>
    <row r="75">
      <c r="A75" s="3" t="inlineStr">
        <is>
          <t>CANON-202512-002471</t>
        </is>
      </c>
      <c r="B75" s="3" t="inlineStr">
        <is>
          <t>2025-12-09</t>
        </is>
      </c>
      <c r="C75" s="3" t="inlineStr">
        <is>
          <t>Delphine Larsson</t>
        </is>
      </c>
      <c r="D75" s="3" t="inlineStr">
        <is>
          <t>WV</t>
        </is>
      </c>
      <c r="E75" s="14" t="n">
        <v>205000</v>
      </c>
      <c r="F75" s="14" t="n">
        <v>4338.55</v>
      </c>
      <c r="G75" s="14" t="n">
        <v>542.3200000000001</v>
      </c>
      <c r="H75" s="14" t="n">
        <v>542.3200000000001</v>
      </c>
      <c r="I75" s="14">
        <f>SUM(K75:T75)</f>
        <v/>
      </c>
      <c r="J75" s="14">
        <f>F75-(G75+H75+I75)</f>
        <v/>
      </c>
      <c r="K75" s="14" t="n">
        <v>325.39</v>
      </c>
      <c r="L75" s="14" t="n">
        <v>325.39</v>
      </c>
      <c r="M75" s="14" t="n">
        <v>325.39</v>
      </c>
      <c r="N75" s="14" t="n">
        <v>325.39</v>
      </c>
      <c r="O75" s="14" t="n">
        <v>325.39</v>
      </c>
      <c r="P75" s="14" t="n">
        <v>325.39</v>
      </c>
      <c r="Q75" s="14" t="n">
        <v>325.39</v>
      </c>
      <c r="R75" s="14" t="n">
        <v>325.39</v>
      </c>
      <c r="S75" s="14" t="n">
        <v>325.39</v>
      </c>
      <c r="T75" s="14" t="n">
        <v>325.39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CANON-202512-002472</t>
        </is>
      </c>
      <c r="B76" s="15" t="inlineStr">
        <is>
          <t>2025-12-30</t>
        </is>
      </c>
      <c r="C76" s="15" t="inlineStr">
        <is>
          <t>Anouk Larsson</t>
        </is>
      </c>
      <c r="D76" s="15" t="inlineStr">
        <is>
          <t>IL</t>
        </is>
      </c>
      <c r="E76" s="16" t="n">
        <v>1180000</v>
      </c>
      <c r="F76" s="16" t="n">
        <v>10547.65</v>
      </c>
      <c r="G76" s="16" t="n">
        <v>1318.46</v>
      </c>
      <c r="H76" s="16" t="n">
        <v>1318.46</v>
      </c>
      <c r="I76" s="16">
        <f>SUM(K76:T76)</f>
        <v/>
      </c>
      <c r="J76" s="16">
        <f>F76-(G76+H76+I76)</f>
        <v/>
      </c>
      <c r="K76" s="16" t="n">
        <v>791.0700000000001</v>
      </c>
      <c r="L76" s="16" t="n">
        <v>791.0700000000001</v>
      </c>
      <c r="M76" s="16" t="n">
        <v>791.0700000000001</v>
      </c>
      <c r="N76" s="16" t="n">
        <v>791.0700000000001</v>
      </c>
      <c r="O76" s="16" t="n">
        <v>791.0700000000001</v>
      </c>
      <c r="P76" s="16" t="n">
        <v>791.0700000000001</v>
      </c>
      <c r="Q76" s="16" t="n">
        <v>791.0700000000001</v>
      </c>
      <c r="R76" s="16" t="n">
        <v>791.0700000000001</v>
      </c>
      <c r="S76" s="16" t="n">
        <v>791.0700000000001</v>
      </c>
      <c r="T76" s="16" t="n">
        <v>791.0700000000001</v>
      </c>
      <c r="U76" s="16" t="n">
        <v>350</v>
      </c>
      <c r="V76" s="16" t="n">
        <v>250</v>
      </c>
      <c r="W76" s="16">
        <f>U76+V76</f>
        <v/>
      </c>
    </row>
    <row r="77">
      <c r="A77" s="3" t="inlineStr">
        <is>
          <t>CANON-202512-002473</t>
        </is>
      </c>
      <c r="B77" s="3" t="inlineStr">
        <is>
          <t>2025-12-18</t>
        </is>
      </c>
      <c r="C77" s="3" t="inlineStr">
        <is>
          <t>Wilhelmina Nakashima</t>
        </is>
      </c>
      <c r="D77" s="3" t="inlineStr">
        <is>
          <t>PA</t>
        </is>
      </c>
      <c r="E77" s="14" t="n">
        <v>310000</v>
      </c>
      <c r="F77" s="14" t="n">
        <v>4021.37</v>
      </c>
      <c r="G77" s="14" t="n">
        <v>502.67</v>
      </c>
      <c r="H77" s="14" t="n">
        <v>502.67</v>
      </c>
      <c r="I77" s="14">
        <f>SUM(K77:T77)</f>
        <v/>
      </c>
      <c r="J77" s="14">
        <f>F77-(G77+H77+I77)</f>
        <v/>
      </c>
      <c r="K77" s="14" t="n">
        <v>301.6</v>
      </c>
      <c r="L77" s="14" t="n">
        <v>301.6</v>
      </c>
      <c r="M77" s="14" t="n">
        <v>301.6</v>
      </c>
      <c r="N77" s="14" t="n">
        <v>301.6</v>
      </c>
      <c r="O77" s="14" t="n">
        <v>301.6</v>
      </c>
      <c r="P77" s="14" t="n">
        <v>301.6</v>
      </c>
      <c r="Q77" s="14" t="n">
        <v>301.6</v>
      </c>
      <c r="R77" s="14" t="n">
        <v>301.6</v>
      </c>
      <c r="S77" s="14" t="n">
        <v>301.6</v>
      </c>
      <c r="T77" s="14" t="n">
        <v>301.6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CANON-202512-002474</t>
        </is>
      </c>
      <c r="B78" s="15" t="inlineStr">
        <is>
          <t>2025-12-22</t>
        </is>
      </c>
      <c r="C78" s="15" t="inlineStr">
        <is>
          <t>Everett Whitlock</t>
        </is>
      </c>
      <c r="D78" s="15" t="inlineStr">
        <is>
          <t>TN</t>
        </is>
      </c>
      <c r="E78" s="16" t="n">
        <v>320000</v>
      </c>
      <c r="F78" s="16" t="n">
        <v>4068.08</v>
      </c>
      <c r="G78" s="16" t="n">
        <v>508.51</v>
      </c>
      <c r="H78" s="16" t="n">
        <v>508.51</v>
      </c>
      <c r="I78" s="16">
        <f>SUM(K78:T78)</f>
        <v/>
      </c>
      <c r="J78" s="16">
        <f>F78-(G78+H78+I78)</f>
        <v/>
      </c>
      <c r="K78" s="16" t="n">
        <v>305.11</v>
      </c>
      <c r="L78" s="16" t="n">
        <v>305.11</v>
      </c>
      <c r="M78" s="16" t="n">
        <v>305.11</v>
      </c>
      <c r="N78" s="16" t="n">
        <v>305.11</v>
      </c>
      <c r="O78" s="16" t="n">
        <v>305.11</v>
      </c>
      <c r="P78" s="16" t="n">
        <v>305.11</v>
      </c>
      <c r="Q78" s="16" t="n">
        <v>305.11</v>
      </c>
      <c r="R78" s="16" t="n">
        <v>305.11</v>
      </c>
      <c r="S78" s="16" t="n">
        <v>305.11</v>
      </c>
      <c r="T78" s="16" t="n">
        <v>305.11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CANON-202512-002475</t>
        </is>
      </c>
      <c r="B79" s="3" t="inlineStr">
        <is>
          <t>2025-12-25</t>
        </is>
      </c>
      <c r="C79" s="3" t="inlineStr">
        <is>
          <t>Thaddeus Castellanos</t>
        </is>
      </c>
      <c r="D79" s="3" t="inlineStr">
        <is>
          <t>NJ</t>
        </is>
      </c>
      <c r="E79" s="14" t="n">
        <v>390000</v>
      </c>
      <c r="F79" s="14" t="n">
        <v>4603.82</v>
      </c>
      <c r="G79" s="14" t="n">
        <v>575.48</v>
      </c>
      <c r="H79" s="14" t="n">
        <v>575.48</v>
      </c>
      <c r="I79" s="14">
        <f>SUM(K79:T79)</f>
        <v/>
      </c>
      <c r="J79" s="14">
        <f>F79-(G79+H79+I79)</f>
        <v/>
      </c>
      <c r="K79" s="14" t="n">
        <v>345.29</v>
      </c>
      <c r="L79" s="14" t="n">
        <v>345.29</v>
      </c>
      <c r="M79" s="14" t="n">
        <v>345.29</v>
      </c>
      <c r="N79" s="14" t="n">
        <v>345.29</v>
      </c>
      <c r="O79" s="14" t="n">
        <v>345.29</v>
      </c>
      <c r="P79" s="14" t="n">
        <v>345.29</v>
      </c>
      <c r="Q79" s="14" t="n">
        <v>345.29</v>
      </c>
      <c r="R79" s="14" t="n">
        <v>345.29</v>
      </c>
      <c r="S79" s="14" t="n">
        <v>345.29</v>
      </c>
      <c r="T79" s="14" t="n">
        <v>345.29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CANON-202512-002476</t>
        </is>
      </c>
      <c r="B80" s="15" t="inlineStr">
        <is>
          <t>2025-12-27</t>
        </is>
      </c>
      <c r="C80" s="15" t="inlineStr">
        <is>
          <t>Ottilie Fairweather</t>
        </is>
      </c>
      <c r="D80" s="15" t="inlineStr">
        <is>
          <t>WY</t>
        </is>
      </c>
      <c r="E80" s="16" t="n">
        <v>555000</v>
      </c>
      <c r="F80" s="16" t="n">
        <v>6676.39</v>
      </c>
      <c r="G80" s="16" t="n">
        <v>834.55</v>
      </c>
      <c r="H80" s="16" t="n">
        <v>834.55</v>
      </c>
      <c r="I80" s="16">
        <f>SUM(K80:T80)</f>
        <v/>
      </c>
      <c r="J80" s="16">
        <f>F80-(G80+H80+I80)</f>
        <v/>
      </c>
      <c r="K80" s="16" t="n">
        <v>500.73</v>
      </c>
      <c r="L80" s="16" t="n">
        <v>500.73</v>
      </c>
      <c r="M80" s="16" t="n">
        <v>500.73</v>
      </c>
      <c r="N80" s="16" t="n">
        <v>500.73</v>
      </c>
      <c r="O80" s="16" t="n">
        <v>500.73</v>
      </c>
      <c r="P80" s="16" t="n">
        <v>500.73</v>
      </c>
      <c r="Q80" s="16" t="n">
        <v>500.73</v>
      </c>
      <c r="R80" s="16" t="n">
        <v>500.73</v>
      </c>
      <c r="S80" s="16" t="n">
        <v>500.73</v>
      </c>
      <c r="T80" s="16" t="n">
        <v>500.73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CANON-202512-002477</t>
        </is>
      </c>
      <c r="B81" s="3" t="inlineStr">
        <is>
          <t>2025-12-15</t>
        </is>
      </c>
      <c r="C81" s="3" t="inlineStr">
        <is>
          <t>Marisol Delacroix</t>
        </is>
      </c>
      <c r="D81" s="3" t="inlineStr">
        <is>
          <t>TX</t>
        </is>
      </c>
      <c r="E81" s="14" t="n">
        <v>255000</v>
      </c>
      <c r="F81" s="14" t="n">
        <v>2434.62</v>
      </c>
      <c r="G81" s="14" t="n">
        <v>304.33</v>
      </c>
      <c r="H81" s="14" t="n">
        <v>304.33</v>
      </c>
      <c r="I81" s="14">
        <f>SUM(K81:T81)</f>
        <v/>
      </c>
      <c r="J81" s="14">
        <f>F81-(G81+H81+I81)</f>
        <v/>
      </c>
      <c r="K81" s="14" t="n">
        <v>182.6</v>
      </c>
      <c r="L81" s="14" t="n">
        <v>182.6</v>
      </c>
      <c r="M81" s="14" t="n">
        <v>182.6</v>
      </c>
      <c r="N81" s="14" t="n">
        <v>182.6</v>
      </c>
      <c r="O81" s="14" t="n">
        <v>182.6</v>
      </c>
      <c r="P81" s="14" t="n">
        <v>182.6</v>
      </c>
      <c r="Q81" s="14" t="n">
        <v>182.6</v>
      </c>
      <c r="R81" s="14" t="n">
        <v>182.6</v>
      </c>
      <c r="S81" s="14" t="n">
        <v>182.6</v>
      </c>
      <c r="T81" s="14" t="n">
        <v>182.6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CANON-202512-002478</t>
        </is>
      </c>
      <c r="B82" s="15" t="inlineStr">
        <is>
          <t>2025-12-02</t>
        </is>
      </c>
      <c r="C82" s="15" t="inlineStr">
        <is>
          <t>Leopold Thistlewood</t>
        </is>
      </c>
      <c r="D82" s="15" t="inlineStr">
        <is>
          <t>NM</t>
        </is>
      </c>
      <c r="E82" s="16" t="n">
        <v>230000</v>
      </c>
      <c r="F82" s="16" t="n">
        <v>7230.65</v>
      </c>
      <c r="G82" s="16" t="n">
        <v>903.83</v>
      </c>
      <c r="H82" s="16" t="n">
        <v>903.83</v>
      </c>
      <c r="I82" s="16">
        <f>SUM(K82:T82)</f>
        <v/>
      </c>
      <c r="J82" s="16">
        <f>F82-(G82+H82+I82)</f>
        <v/>
      </c>
      <c r="K82" s="16" t="n">
        <v>542.3</v>
      </c>
      <c r="L82" s="16" t="n">
        <v>542.3</v>
      </c>
      <c r="M82" s="16" t="n">
        <v>542.3</v>
      </c>
      <c r="N82" s="16" t="n">
        <v>542.3</v>
      </c>
      <c r="O82" s="16" t="n">
        <v>542.3</v>
      </c>
      <c r="P82" s="16" t="n">
        <v>542.3</v>
      </c>
      <c r="Q82" s="16" t="n">
        <v>542.3</v>
      </c>
      <c r="R82" s="16" t="n">
        <v>542.3</v>
      </c>
      <c r="S82" s="16" t="n">
        <v>542.3</v>
      </c>
      <c r="T82" s="16" t="n">
        <v>542.3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CANON-202512-002479</t>
        </is>
      </c>
      <c r="B83" s="3" t="inlineStr">
        <is>
          <t>2025-12-12</t>
        </is>
      </c>
      <c r="C83" s="3" t="inlineStr">
        <is>
          <t>Lorenzo Rourke</t>
        </is>
      </c>
      <c r="D83" s="3" t="inlineStr">
        <is>
          <t>MD</t>
        </is>
      </c>
      <c r="E83" s="14" t="n">
        <v>345000</v>
      </c>
      <c r="F83" s="14" t="n">
        <v>4251.63</v>
      </c>
      <c r="G83" s="14" t="n">
        <v>531.45</v>
      </c>
      <c r="H83" s="14" t="n">
        <v>531.45</v>
      </c>
      <c r="I83" s="14">
        <f>SUM(K83:T83)</f>
        <v/>
      </c>
      <c r="J83" s="14">
        <f>F83-(G83+H83+I83)</f>
        <v/>
      </c>
      <c r="K83" s="14" t="n">
        <v>318.87</v>
      </c>
      <c r="L83" s="14" t="n">
        <v>318.87</v>
      </c>
      <c r="M83" s="14" t="n">
        <v>318.87</v>
      </c>
      <c r="N83" s="14" t="n">
        <v>318.87</v>
      </c>
      <c r="O83" s="14" t="n">
        <v>318.87</v>
      </c>
      <c r="P83" s="14" t="n">
        <v>318.87</v>
      </c>
      <c r="Q83" s="14" t="n">
        <v>318.87</v>
      </c>
      <c r="R83" s="14" t="n">
        <v>318.87</v>
      </c>
      <c r="S83" s="14" t="n">
        <v>318.87</v>
      </c>
      <c r="T83" s="14" t="n">
        <v>318.87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CANON-202512-002480</t>
        </is>
      </c>
      <c r="B84" s="15" t="inlineStr">
        <is>
          <t>2025-12-12</t>
        </is>
      </c>
      <c r="C84" s="15" t="inlineStr">
        <is>
          <t>Fitzgerald Pennington</t>
        </is>
      </c>
      <c r="D84" s="15" t="inlineStr">
        <is>
          <t>WI</t>
        </is>
      </c>
      <c r="E84" s="16" t="n">
        <v>1290000</v>
      </c>
      <c r="F84" s="16" t="n">
        <v>14726.01</v>
      </c>
      <c r="G84" s="16" t="n">
        <v>1840.75</v>
      </c>
      <c r="H84" s="16" t="n">
        <v>1840.75</v>
      </c>
      <c r="I84" s="16">
        <f>SUM(K84:T84)</f>
        <v/>
      </c>
      <c r="J84" s="16">
        <f>F84-(G84+H84+I84)</f>
        <v/>
      </c>
      <c r="K84" s="16" t="n">
        <v>1104.45</v>
      </c>
      <c r="L84" s="16" t="n">
        <v>1104.45</v>
      </c>
      <c r="M84" s="16" t="n">
        <v>1104.45</v>
      </c>
      <c r="N84" s="16" t="n">
        <v>1104.45</v>
      </c>
      <c r="O84" s="16" t="n">
        <v>1104.45</v>
      </c>
      <c r="P84" s="16" t="n">
        <v>1104.45</v>
      </c>
      <c r="Q84" s="16" t="n">
        <v>1104.45</v>
      </c>
      <c r="R84" s="16" t="n">
        <v>1104.45</v>
      </c>
      <c r="S84" s="16" t="n">
        <v>1104.45</v>
      </c>
      <c r="T84" s="16" t="n">
        <v>1104.45</v>
      </c>
      <c r="U84" s="16" t="n">
        <v>350</v>
      </c>
      <c r="V84" s="16" t="n">
        <v>250</v>
      </c>
      <c r="W84" s="16">
        <f>U84+V84</f>
        <v/>
      </c>
    </row>
    <row r="85">
      <c r="A85" s="3" t="inlineStr">
        <is>
          <t>CANON-202512-002482</t>
        </is>
      </c>
      <c r="B85" s="3" t="inlineStr">
        <is>
          <t>2025-12-22</t>
        </is>
      </c>
      <c r="C85" s="3" t="inlineStr">
        <is>
          <t>Ramona Merriweather</t>
        </is>
      </c>
      <c r="D85" s="3" t="inlineStr">
        <is>
          <t>NH</t>
        </is>
      </c>
      <c r="E85" s="14" t="n">
        <v>1415000</v>
      </c>
      <c r="F85" s="14" t="n">
        <v>20362.5</v>
      </c>
      <c r="G85" s="14" t="n">
        <v>2545.31</v>
      </c>
      <c r="H85" s="14" t="n">
        <v>2545.31</v>
      </c>
      <c r="I85" s="14">
        <f>SUM(K85:T85)</f>
        <v/>
      </c>
      <c r="J85" s="14">
        <f>F85-(G85+H85+I85)</f>
        <v/>
      </c>
      <c r="K85" s="14" t="n">
        <v>1527.19</v>
      </c>
      <c r="L85" s="14" t="n">
        <v>1527.19</v>
      </c>
      <c r="M85" s="14" t="n">
        <v>1527.19</v>
      </c>
      <c r="N85" s="14" t="n">
        <v>1527.19</v>
      </c>
      <c r="O85" s="14" t="n">
        <v>1527.19</v>
      </c>
      <c r="P85" s="14" t="n">
        <v>1527.19</v>
      </c>
      <c r="Q85" s="14" t="n">
        <v>1527.19</v>
      </c>
      <c r="R85" s="14" t="n">
        <v>1527.19</v>
      </c>
      <c r="S85" s="14" t="n">
        <v>1527.19</v>
      </c>
      <c r="T85" s="14" t="n">
        <v>1527.19</v>
      </c>
      <c r="U85" s="14" t="n">
        <v>350</v>
      </c>
      <c r="V85" s="14" t="n">
        <v>250</v>
      </c>
      <c r="W85" s="14">
        <f>U85+V85</f>
        <v/>
      </c>
    </row>
    <row r="86">
      <c r="A86" s="15" t="inlineStr">
        <is>
          <t>CANON-202512-002484</t>
        </is>
      </c>
      <c r="B86" s="15" t="inlineStr">
        <is>
          <t>2025-12-25</t>
        </is>
      </c>
      <c r="C86" s="15" t="inlineStr">
        <is>
          <t>Leopold Blackwood</t>
        </is>
      </c>
      <c r="D86" s="15" t="inlineStr">
        <is>
          <t>OK</t>
        </is>
      </c>
      <c r="E86" s="16" t="n">
        <v>750000</v>
      </c>
      <c r="F86" s="16" t="n">
        <v>10624.2</v>
      </c>
      <c r="G86" s="16" t="n">
        <v>1328.03</v>
      </c>
      <c r="H86" s="16" t="n">
        <v>1328.03</v>
      </c>
      <c r="I86" s="16">
        <f>SUM(K86:T86)</f>
        <v/>
      </c>
      <c r="J86" s="16">
        <f>F86-(G86+H86+I86)</f>
        <v/>
      </c>
      <c r="K86" s="16" t="n">
        <v>796.8200000000001</v>
      </c>
      <c r="L86" s="16" t="n">
        <v>796.8200000000001</v>
      </c>
      <c r="M86" s="16" t="n">
        <v>796.8200000000001</v>
      </c>
      <c r="N86" s="16" t="n">
        <v>796.8200000000001</v>
      </c>
      <c r="O86" s="16" t="n">
        <v>796.8200000000001</v>
      </c>
      <c r="P86" s="16" t="n">
        <v>796.8200000000001</v>
      </c>
      <c r="Q86" s="16" t="n">
        <v>796.8200000000001</v>
      </c>
      <c r="R86" s="16" t="n">
        <v>796.8200000000001</v>
      </c>
      <c r="S86" s="16" t="n">
        <v>796.8200000000001</v>
      </c>
      <c r="T86" s="16" t="n">
        <v>796.8200000000001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CANON-202512-002485</t>
        </is>
      </c>
      <c r="B87" s="3" t="inlineStr">
        <is>
          <t>2025-12-16</t>
        </is>
      </c>
      <c r="C87" s="3" t="inlineStr">
        <is>
          <t>Noor Farkas</t>
        </is>
      </c>
      <c r="D87" s="3" t="inlineStr">
        <is>
          <t>NH</t>
        </is>
      </c>
      <c r="E87" s="14" t="n">
        <v>455000</v>
      </c>
      <c r="F87" s="14" t="n">
        <v>6138.43</v>
      </c>
      <c r="G87" s="14" t="n">
        <v>767.3</v>
      </c>
      <c r="H87" s="14" t="n">
        <v>767.3</v>
      </c>
      <c r="I87" s="14">
        <f>SUM(K87:T87)</f>
        <v/>
      </c>
      <c r="J87" s="14">
        <f>F87-(G87+H87+I87)</f>
        <v/>
      </c>
      <c r="K87" s="14" t="n">
        <v>460.38</v>
      </c>
      <c r="L87" s="14" t="n">
        <v>460.38</v>
      </c>
      <c r="M87" s="14" t="n">
        <v>460.38</v>
      </c>
      <c r="N87" s="14" t="n">
        <v>460.38</v>
      </c>
      <c r="O87" s="14" t="n">
        <v>460.38</v>
      </c>
      <c r="P87" s="14" t="n">
        <v>460.38</v>
      </c>
      <c r="Q87" s="14" t="n">
        <v>460.38</v>
      </c>
      <c r="R87" s="14" t="n">
        <v>460.38</v>
      </c>
      <c r="S87" s="14" t="n">
        <v>460.38</v>
      </c>
      <c r="T87" s="14" t="n">
        <v>460.38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CANON-202512-002486</t>
        </is>
      </c>
      <c r="B88" s="15" t="inlineStr">
        <is>
          <t>2025-12-19</t>
        </is>
      </c>
      <c r="C88" s="15" t="inlineStr">
        <is>
          <t>Ramona Harrington</t>
        </is>
      </c>
      <c r="D88" s="15" t="inlineStr">
        <is>
          <t>FL</t>
        </is>
      </c>
      <c r="E88" s="16" t="n">
        <v>1020000</v>
      </c>
      <c r="F88" s="16" t="n">
        <v>20041.48</v>
      </c>
      <c r="G88" s="16" t="n">
        <v>2505.18</v>
      </c>
      <c r="H88" s="16" t="n">
        <v>2505.18</v>
      </c>
      <c r="I88" s="16">
        <f>SUM(K88:T88)</f>
        <v/>
      </c>
      <c r="J88" s="16">
        <f>F88-(G88+H88+I88)</f>
        <v/>
      </c>
      <c r="K88" s="16" t="n">
        <v>1503.11</v>
      </c>
      <c r="L88" s="16" t="n">
        <v>1503.11</v>
      </c>
      <c r="M88" s="16" t="n">
        <v>1503.11</v>
      </c>
      <c r="N88" s="16" t="n">
        <v>1503.11</v>
      </c>
      <c r="O88" s="16" t="n">
        <v>1503.11</v>
      </c>
      <c r="P88" s="16" t="n">
        <v>1503.11</v>
      </c>
      <c r="Q88" s="16" t="n">
        <v>1503.11</v>
      </c>
      <c r="R88" s="16" t="n">
        <v>1503.11</v>
      </c>
      <c r="S88" s="16" t="n">
        <v>1503.11</v>
      </c>
      <c r="T88" s="16" t="n">
        <v>1503.11</v>
      </c>
      <c r="U88" s="16" t="n">
        <v>350</v>
      </c>
      <c r="V88" s="16" t="n">
        <v>250</v>
      </c>
      <c r="W88" s="16">
        <f>U88+V88</f>
        <v/>
      </c>
    </row>
    <row r="89">
      <c r="A89" s="3" t="inlineStr">
        <is>
          <t>CANON-202512-002487</t>
        </is>
      </c>
      <c r="B89" s="3" t="inlineStr">
        <is>
          <t>2025-12-20</t>
        </is>
      </c>
      <c r="C89" s="3" t="inlineStr">
        <is>
          <t>Leopold Bellandi</t>
        </is>
      </c>
      <c r="D89" s="3" t="inlineStr">
        <is>
          <t>CT</t>
        </is>
      </c>
      <c r="E89" s="14" t="n">
        <v>325000</v>
      </c>
      <c r="F89" s="14" t="n">
        <v>4721.87</v>
      </c>
      <c r="G89" s="14" t="n">
        <v>590.23</v>
      </c>
      <c r="H89" s="14" t="n">
        <v>590.23</v>
      </c>
      <c r="I89" s="14">
        <f>SUM(K89:T89)</f>
        <v/>
      </c>
      <c r="J89" s="14">
        <f>F89-(G89+H89+I89)</f>
        <v/>
      </c>
      <c r="K89" s="14" t="n">
        <v>354.14</v>
      </c>
      <c r="L89" s="14" t="n">
        <v>354.14</v>
      </c>
      <c r="M89" s="14" t="n">
        <v>354.14</v>
      </c>
      <c r="N89" s="14" t="n">
        <v>354.14</v>
      </c>
      <c r="O89" s="14" t="n">
        <v>354.14</v>
      </c>
      <c r="P89" s="14" t="n">
        <v>354.14</v>
      </c>
      <c r="Q89" s="14" t="n">
        <v>354.14</v>
      </c>
      <c r="R89" s="14" t="n">
        <v>354.14</v>
      </c>
      <c r="S89" s="14" t="n">
        <v>354.14</v>
      </c>
      <c r="T89" s="14" t="n">
        <v>354.14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CANON-202512-002488</t>
        </is>
      </c>
      <c r="B90" s="15" t="inlineStr">
        <is>
          <t>2025-12-29</t>
        </is>
      </c>
      <c r="C90" s="15" t="inlineStr">
        <is>
          <t>Lorenzo Okonkwo</t>
        </is>
      </c>
      <c r="D90" s="15" t="inlineStr">
        <is>
          <t>AR</t>
        </is>
      </c>
      <c r="E90" s="16" t="n">
        <v>905000</v>
      </c>
      <c r="F90" s="16" t="n">
        <v>14040.82</v>
      </c>
      <c r="G90" s="16" t="n">
        <v>1755.1</v>
      </c>
      <c r="H90" s="16" t="n">
        <v>1755.1</v>
      </c>
      <c r="I90" s="16">
        <f>SUM(K90:T90)</f>
        <v/>
      </c>
      <c r="J90" s="16">
        <f>F90-(G90+H90+I90)</f>
        <v/>
      </c>
      <c r="K90" s="16" t="n">
        <v>1053.06</v>
      </c>
      <c r="L90" s="16" t="n">
        <v>1053.06</v>
      </c>
      <c r="M90" s="16" t="n">
        <v>1053.06</v>
      </c>
      <c r="N90" s="16" t="n">
        <v>1053.06</v>
      </c>
      <c r="O90" s="16" t="n">
        <v>1053.06</v>
      </c>
      <c r="P90" s="16" t="n">
        <v>1053.06</v>
      </c>
      <c r="Q90" s="16" t="n">
        <v>1053.06</v>
      </c>
      <c r="R90" s="16" t="n">
        <v>1053.06</v>
      </c>
      <c r="S90" s="16" t="n">
        <v>1053.06</v>
      </c>
      <c r="T90" s="16" t="n">
        <v>1053.06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CANON-202512-002489</t>
        </is>
      </c>
      <c r="B91" s="3" t="inlineStr">
        <is>
          <t>2025-12-13</t>
        </is>
      </c>
      <c r="C91" s="3" t="inlineStr">
        <is>
          <t>Ottilie Vasquez</t>
        </is>
      </c>
      <c r="D91" s="3" t="inlineStr">
        <is>
          <t>LA</t>
        </is>
      </c>
      <c r="E91" s="14" t="n">
        <v>1950000</v>
      </c>
      <c r="F91" s="14" t="n">
        <v>32648.35</v>
      </c>
      <c r="G91" s="14" t="n">
        <v>4081.04</v>
      </c>
      <c r="H91" s="14" t="n">
        <v>4081.04</v>
      </c>
      <c r="I91" s="14">
        <f>SUM(K91:T91)</f>
        <v/>
      </c>
      <c r="J91" s="14">
        <f>F91-(G91+H91+I91)</f>
        <v/>
      </c>
      <c r="K91" s="14" t="n">
        <v>2448.63</v>
      </c>
      <c r="L91" s="14" t="n">
        <v>2448.63</v>
      </c>
      <c r="M91" s="14" t="n">
        <v>2448.63</v>
      </c>
      <c r="N91" s="14" t="n">
        <v>2448.63</v>
      </c>
      <c r="O91" s="14" t="n">
        <v>2448.63</v>
      </c>
      <c r="P91" s="14" t="n">
        <v>2448.63</v>
      </c>
      <c r="Q91" s="14" t="n">
        <v>2448.63</v>
      </c>
      <c r="R91" s="14" t="n">
        <v>2448.63</v>
      </c>
      <c r="S91" s="14" t="n">
        <v>2448.63</v>
      </c>
      <c r="T91" s="14" t="n">
        <v>2448.63</v>
      </c>
      <c r="U91" s="14" t="n">
        <v>350</v>
      </c>
      <c r="V91" s="14" t="n">
        <v>250</v>
      </c>
      <c r="W91" s="14">
        <f>U91+V91</f>
        <v/>
      </c>
    </row>
    <row r="92">
      <c r="A92" s="15" t="inlineStr">
        <is>
          <t>CANON-202512-002490</t>
        </is>
      </c>
      <c r="B92" s="15" t="inlineStr">
        <is>
          <t>2025-12-02</t>
        </is>
      </c>
      <c r="C92" s="15" t="inlineStr">
        <is>
          <t>Ottilie Harrington</t>
        </is>
      </c>
      <c r="D92" s="15" t="inlineStr">
        <is>
          <t>NY</t>
        </is>
      </c>
      <c r="E92" s="16" t="n">
        <v>835000</v>
      </c>
      <c r="F92" s="16" t="n">
        <v>17561.9</v>
      </c>
      <c r="G92" s="16" t="n">
        <v>2195.24</v>
      </c>
      <c r="H92" s="16" t="n">
        <v>2195.24</v>
      </c>
      <c r="I92" s="16">
        <f>SUM(K92:T92)</f>
        <v/>
      </c>
      <c r="J92" s="16">
        <f>F92-(G92+H92+I92)</f>
        <v/>
      </c>
      <c r="K92" s="16" t="n">
        <v>1317.14</v>
      </c>
      <c r="L92" s="16" t="n">
        <v>1317.14</v>
      </c>
      <c r="M92" s="16" t="n">
        <v>1317.14</v>
      </c>
      <c r="N92" s="16" t="n">
        <v>1317.14</v>
      </c>
      <c r="O92" s="16" t="n">
        <v>1317.14</v>
      </c>
      <c r="P92" s="16" t="n">
        <v>1317.14</v>
      </c>
      <c r="Q92" s="16" t="n">
        <v>1317.14</v>
      </c>
      <c r="R92" s="16" t="n">
        <v>1317.14</v>
      </c>
      <c r="S92" s="16" t="n">
        <v>1317.14</v>
      </c>
      <c r="T92" s="16" t="n">
        <v>1317.14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CANON-202512-002491</t>
        </is>
      </c>
      <c r="B93" s="3" t="inlineStr">
        <is>
          <t>2025-12-08</t>
        </is>
      </c>
      <c r="C93" s="3" t="inlineStr">
        <is>
          <t>Noor Whitlock</t>
        </is>
      </c>
      <c r="D93" s="3" t="inlineStr">
        <is>
          <t>IA</t>
        </is>
      </c>
      <c r="E93" s="14" t="n">
        <v>820000</v>
      </c>
      <c r="F93" s="14" t="n">
        <v>6708.51</v>
      </c>
      <c r="G93" s="14" t="n">
        <v>838.5599999999999</v>
      </c>
      <c r="H93" s="14" t="n">
        <v>838.5599999999999</v>
      </c>
      <c r="I93" s="14">
        <f>SUM(K93:T93)</f>
        <v/>
      </c>
      <c r="J93" s="14">
        <f>F93-(G93+H93+I93)</f>
        <v/>
      </c>
      <c r="K93" s="14" t="n">
        <v>503.14</v>
      </c>
      <c r="L93" s="14" t="n">
        <v>503.14</v>
      </c>
      <c r="M93" s="14" t="n">
        <v>503.14</v>
      </c>
      <c r="N93" s="14" t="n">
        <v>503.14</v>
      </c>
      <c r="O93" s="14" t="n">
        <v>503.14</v>
      </c>
      <c r="P93" s="14" t="n">
        <v>503.14</v>
      </c>
      <c r="Q93" s="14" t="n">
        <v>503.14</v>
      </c>
      <c r="R93" s="14" t="n">
        <v>503.14</v>
      </c>
      <c r="S93" s="14" t="n">
        <v>503.14</v>
      </c>
      <c r="T93" s="14" t="n">
        <v>503.14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CANON-202512-002492</t>
        </is>
      </c>
      <c r="B94" s="15" t="inlineStr">
        <is>
          <t>2025-12-03</t>
        </is>
      </c>
      <c r="C94" s="15" t="inlineStr">
        <is>
          <t>Marisol Pennington</t>
        </is>
      </c>
      <c r="D94" s="15" t="inlineStr">
        <is>
          <t>ME</t>
        </is>
      </c>
      <c r="E94" s="16" t="n">
        <v>495000</v>
      </c>
      <c r="F94" s="16" t="n">
        <v>6934.92</v>
      </c>
      <c r="G94" s="16" t="n">
        <v>866.87</v>
      </c>
      <c r="H94" s="16" t="n">
        <v>866.87</v>
      </c>
      <c r="I94" s="16">
        <f>SUM(K94:T94)</f>
        <v/>
      </c>
      <c r="J94" s="16">
        <f>F94-(G94+H94+I94)</f>
        <v/>
      </c>
      <c r="K94" s="16" t="n">
        <v>520.12</v>
      </c>
      <c r="L94" s="16" t="n">
        <v>520.12</v>
      </c>
      <c r="M94" s="16" t="n">
        <v>520.12</v>
      </c>
      <c r="N94" s="16" t="n">
        <v>520.12</v>
      </c>
      <c r="O94" s="16" t="n">
        <v>520.12</v>
      </c>
      <c r="P94" s="16" t="n">
        <v>520.12</v>
      </c>
      <c r="Q94" s="16" t="n">
        <v>520.12</v>
      </c>
      <c r="R94" s="16" t="n">
        <v>520.12</v>
      </c>
      <c r="S94" s="16" t="n">
        <v>520.12</v>
      </c>
      <c r="T94" s="16" t="n">
        <v>520.12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CANON-202512-002493</t>
        </is>
      </c>
      <c r="B95" s="3" t="inlineStr">
        <is>
          <t>2025-12-14</t>
        </is>
      </c>
      <c r="C95" s="3" t="inlineStr">
        <is>
          <t>Anouk Castellanos</t>
        </is>
      </c>
      <c r="D95" s="3" t="inlineStr">
        <is>
          <t>CO</t>
        </is>
      </c>
      <c r="E95" s="14" t="n">
        <v>535000</v>
      </c>
      <c r="F95" s="14" t="n">
        <v>4376.89</v>
      </c>
      <c r="G95" s="14" t="n">
        <v>547.11</v>
      </c>
      <c r="H95" s="14" t="n">
        <v>547.11</v>
      </c>
      <c r="I95" s="14">
        <f>SUM(K95:T95)</f>
        <v/>
      </c>
      <c r="J95" s="14">
        <f>F95-(G95+H95+I95)</f>
        <v/>
      </c>
      <c r="K95" s="14" t="n">
        <v>328.27</v>
      </c>
      <c r="L95" s="14" t="n">
        <v>328.27</v>
      </c>
      <c r="M95" s="14" t="n">
        <v>328.27</v>
      </c>
      <c r="N95" s="14" t="n">
        <v>328.27</v>
      </c>
      <c r="O95" s="14" t="n">
        <v>328.27</v>
      </c>
      <c r="P95" s="14" t="n">
        <v>328.27</v>
      </c>
      <c r="Q95" s="14" t="n">
        <v>328.27</v>
      </c>
      <c r="R95" s="14" t="n">
        <v>328.27</v>
      </c>
      <c r="S95" s="14" t="n">
        <v>328.27</v>
      </c>
      <c r="T95" s="14" t="n">
        <v>328.27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CANON-202512-002495</t>
        </is>
      </c>
      <c r="B96" s="15" t="inlineStr">
        <is>
          <t>2025-12-01</t>
        </is>
      </c>
      <c r="C96" s="15" t="inlineStr">
        <is>
          <t>Fenwick Nakashima</t>
        </is>
      </c>
      <c r="D96" s="15" t="inlineStr">
        <is>
          <t>DE</t>
        </is>
      </c>
      <c r="E96" s="16" t="n">
        <v>410000</v>
      </c>
      <c r="F96" s="16" t="n">
        <v>6648.24</v>
      </c>
      <c r="G96" s="16" t="n">
        <v>831.03</v>
      </c>
      <c r="H96" s="16" t="n">
        <v>831.03</v>
      </c>
      <c r="I96" s="16">
        <f>SUM(K96:T96)</f>
        <v/>
      </c>
      <c r="J96" s="16">
        <f>F96-(G96+H96+I96)</f>
        <v/>
      </c>
      <c r="K96" s="16" t="n">
        <v>498.62</v>
      </c>
      <c r="L96" s="16" t="n">
        <v>498.62</v>
      </c>
      <c r="M96" s="16" t="n">
        <v>498.62</v>
      </c>
      <c r="N96" s="16" t="n">
        <v>498.62</v>
      </c>
      <c r="O96" s="16" t="n">
        <v>498.62</v>
      </c>
      <c r="P96" s="16" t="n">
        <v>498.62</v>
      </c>
      <c r="Q96" s="16" t="n">
        <v>498.62</v>
      </c>
      <c r="R96" s="16" t="n">
        <v>498.62</v>
      </c>
      <c r="S96" s="16" t="n">
        <v>498.62</v>
      </c>
      <c r="T96" s="16" t="n">
        <v>498.62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CANON-202512-002496</t>
        </is>
      </c>
      <c r="B97" s="3" t="inlineStr">
        <is>
          <t>2025-12-26</t>
        </is>
      </c>
      <c r="C97" s="3" t="inlineStr">
        <is>
          <t>Cassius Harrington</t>
        </is>
      </c>
      <c r="D97" s="3" t="inlineStr">
        <is>
          <t>OH</t>
        </is>
      </c>
      <c r="E97" s="14" t="n">
        <v>475000</v>
      </c>
      <c r="F97" s="14" t="n">
        <v>13132.81</v>
      </c>
      <c r="G97" s="14" t="n">
        <v>1641.6</v>
      </c>
      <c r="H97" s="14" t="n">
        <v>1641.6</v>
      </c>
      <c r="I97" s="14">
        <f>SUM(K97:T97)</f>
        <v/>
      </c>
      <c r="J97" s="14">
        <f>F97-(G97+H97+I97)</f>
        <v/>
      </c>
      <c r="K97" s="14" t="n">
        <v>984.96</v>
      </c>
      <c r="L97" s="14" t="n">
        <v>984.96</v>
      </c>
      <c r="M97" s="14" t="n">
        <v>984.96</v>
      </c>
      <c r="N97" s="14" t="n">
        <v>984.96</v>
      </c>
      <c r="O97" s="14" t="n">
        <v>984.96</v>
      </c>
      <c r="P97" s="14" t="n">
        <v>984.96</v>
      </c>
      <c r="Q97" s="14" t="n">
        <v>984.96</v>
      </c>
      <c r="R97" s="14" t="n">
        <v>984.96</v>
      </c>
      <c r="S97" s="14" t="n">
        <v>984.96</v>
      </c>
      <c r="T97" s="14" t="n">
        <v>984.96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CANON-202512-002497</t>
        </is>
      </c>
      <c r="B98" s="15" t="inlineStr">
        <is>
          <t>2025-12-21</t>
        </is>
      </c>
      <c r="C98" s="15" t="inlineStr">
        <is>
          <t>Sunniva Fairweather</t>
        </is>
      </c>
      <c r="D98" s="15" t="inlineStr">
        <is>
          <t>WA</t>
        </is>
      </c>
      <c r="E98" s="16" t="n">
        <v>310000</v>
      </c>
      <c r="F98" s="16" t="n">
        <v>3860.52</v>
      </c>
      <c r="G98" s="16" t="n">
        <v>482.56</v>
      </c>
      <c r="H98" s="16" t="n">
        <v>482.56</v>
      </c>
      <c r="I98" s="16">
        <f>SUM(K98:T98)</f>
        <v/>
      </c>
      <c r="J98" s="16">
        <f>F98-(G98+H98+I98)</f>
        <v/>
      </c>
      <c r="K98" s="16" t="n">
        <v>289.54</v>
      </c>
      <c r="L98" s="16" t="n">
        <v>289.54</v>
      </c>
      <c r="M98" s="16" t="n">
        <v>289.54</v>
      </c>
      <c r="N98" s="16" t="n">
        <v>289.54</v>
      </c>
      <c r="O98" s="16" t="n">
        <v>289.54</v>
      </c>
      <c r="P98" s="16" t="n">
        <v>289.54</v>
      </c>
      <c r="Q98" s="16" t="n">
        <v>289.54</v>
      </c>
      <c r="R98" s="16" t="n">
        <v>289.54</v>
      </c>
      <c r="S98" s="16" t="n">
        <v>289.54</v>
      </c>
      <c r="T98" s="16" t="n">
        <v>289.54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CANON-202512-002498</t>
        </is>
      </c>
      <c r="B99" s="3" t="inlineStr">
        <is>
          <t>2025-12-09</t>
        </is>
      </c>
      <c r="C99" s="3" t="inlineStr">
        <is>
          <t>Beatrix Larsson</t>
        </is>
      </c>
      <c r="D99" s="3" t="inlineStr">
        <is>
          <t>DE</t>
        </is>
      </c>
      <c r="E99" s="14" t="n">
        <v>425000</v>
      </c>
      <c r="F99" s="14" t="n">
        <v>6891.47</v>
      </c>
      <c r="G99" s="14" t="n">
        <v>861.4299999999999</v>
      </c>
      <c r="H99" s="14" t="n">
        <v>861.4299999999999</v>
      </c>
      <c r="I99" s="14">
        <f>SUM(K99:T99)</f>
        <v/>
      </c>
      <c r="J99" s="14">
        <f>F99-(G99+H99+I99)</f>
        <v/>
      </c>
      <c r="K99" s="14" t="n">
        <v>516.86</v>
      </c>
      <c r="L99" s="14" t="n">
        <v>516.86</v>
      </c>
      <c r="M99" s="14" t="n">
        <v>516.86</v>
      </c>
      <c r="N99" s="14" t="n">
        <v>516.86</v>
      </c>
      <c r="O99" s="14" t="n">
        <v>516.86</v>
      </c>
      <c r="P99" s="14" t="n">
        <v>516.86</v>
      </c>
      <c r="Q99" s="14" t="n">
        <v>516.86</v>
      </c>
      <c r="R99" s="14" t="n">
        <v>516.86</v>
      </c>
      <c r="S99" s="14" t="n">
        <v>516.86</v>
      </c>
      <c r="T99" s="14" t="n">
        <v>516.86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CANON-202512-002499</t>
        </is>
      </c>
      <c r="B100" s="15" t="inlineStr">
        <is>
          <t>2025-12-21</t>
        </is>
      </c>
      <c r="C100" s="15" t="inlineStr">
        <is>
          <t>Leopold Ashcombe</t>
        </is>
      </c>
      <c r="D100" s="15" t="inlineStr">
        <is>
          <t>MA</t>
        </is>
      </c>
      <c r="E100" s="16" t="n">
        <v>1105000</v>
      </c>
      <c r="F100" s="16" t="n">
        <v>19112.33</v>
      </c>
      <c r="G100" s="16" t="n">
        <v>2389.04</v>
      </c>
      <c r="H100" s="16" t="n">
        <v>2389.04</v>
      </c>
      <c r="I100" s="16">
        <f>SUM(K100:T100)</f>
        <v/>
      </c>
      <c r="J100" s="16">
        <f>F100-(G100+H100+I100)</f>
        <v/>
      </c>
      <c r="K100" s="16" t="n">
        <v>1433.42</v>
      </c>
      <c r="L100" s="16" t="n">
        <v>1433.42</v>
      </c>
      <c r="M100" s="16" t="n">
        <v>1433.42</v>
      </c>
      <c r="N100" s="16" t="n">
        <v>1433.42</v>
      </c>
      <c r="O100" s="16" t="n">
        <v>1433.42</v>
      </c>
      <c r="P100" s="16" t="n">
        <v>1433.42</v>
      </c>
      <c r="Q100" s="16" t="n">
        <v>1433.42</v>
      </c>
      <c r="R100" s="16" t="n">
        <v>1433.42</v>
      </c>
      <c r="S100" s="16" t="n">
        <v>1433.42</v>
      </c>
      <c r="T100" s="16" t="n">
        <v>1433.42</v>
      </c>
      <c r="U100" s="16" t="n">
        <v>350</v>
      </c>
      <c r="V100" s="16" t="n">
        <v>250</v>
      </c>
      <c r="W100" s="16">
        <f>U100+V100</f>
        <v/>
      </c>
    </row>
    <row r="101">
      <c r="A101" s="3" t="inlineStr">
        <is>
          <t>CANON-202512-002502</t>
        </is>
      </c>
      <c r="B101" s="3" t="inlineStr">
        <is>
          <t>2025-12-22</t>
        </is>
      </c>
      <c r="C101" s="3" t="inlineStr">
        <is>
          <t>Mireille Bellandi</t>
        </is>
      </c>
      <c r="D101" s="3" t="inlineStr">
        <is>
          <t>SC</t>
        </is>
      </c>
      <c r="E101" s="14" t="n">
        <v>1200000</v>
      </c>
      <c r="F101" s="14" t="n">
        <v>20589.43</v>
      </c>
      <c r="G101" s="14" t="n">
        <v>2573.68</v>
      </c>
      <c r="H101" s="14" t="n">
        <v>2573.68</v>
      </c>
      <c r="I101" s="14">
        <f>SUM(K101:T101)</f>
        <v/>
      </c>
      <c r="J101" s="14">
        <f>F101-(G101+H101+I101)</f>
        <v/>
      </c>
      <c r="K101" s="14" t="n">
        <v>1544.21</v>
      </c>
      <c r="L101" s="14" t="n">
        <v>1544.21</v>
      </c>
      <c r="M101" s="14" t="n">
        <v>1544.21</v>
      </c>
      <c r="N101" s="14" t="n">
        <v>1544.21</v>
      </c>
      <c r="O101" s="14" t="n">
        <v>1544.21</v>
      </c>
      <c r="P101" s="14" t="n">
        <v>1544.21</v>
      </c>
      <c r="Q101" s="14" t="n">
        <v>1544.21</v>
      </c>
      <c r="R101" s="14" t="n">
        <v>1544.21</v>
      </c>
      <c r="S101" s="14" t="n">
        <v>1544.21</v>
      </c>
      <c r="T101" s="14" t="n">
        <v>1544.21</v>
      </c>
      <c r="U101" s="14" t="n">
        <v>350</v>
      </c>
      <c r="V101" s="14" t="n">
        <v>250</v>
      </c>
      <c r="W101" s="14">
        <f>U101+V101</f>
        <v/>
      </c>
    </row>
    <row r="102">
      <c r="A102" s="15" t="inlineStr">
        <is>
          <t>CANON-202512-002503</t>
        </is>
      </c>
      <c r="B102" s="15" t="inlineStr">
        <is>
          <t>2025-12-19</t>
        </is>
      </c>
      <c r="C102" s="15" t="inlineStr">
        <is>
          <t>Horace Castellanos</t>
        </is>
      </c>
      <c r="D102" s="15" t="inlineStr">
        <is>
          <t>AZ</t>
        </is>
      </c>
      <c r="E102" s="16" t="n">
        <v>1950000</v>
      </c>
      <c r="F102" s="16" t="n">
        <v>11582.07</v>
      </c>
      <c r="G102" s="16" t="n">
        <v>1447.76</v>
      </c>
      <c r="H102" s="16" t="n">
        <v>1447.76</v>
      </c>
      <c r="I102" s="16">
        <f>SUM(K102:T102)</f>
        <v/>
      </c>
      <c r="J102" s="16">
        <f>F102-(G102+H102+I102)</f>
        <v/>
      </c>
      <c r="K102" s="16" t="n">
        <v>868.66</v>
      </c>
      <c r="L102" s="16" t="n">
        <v>868.66</v>
      </c>
      <c r="M102" s="16" t="n">
        <v>868.66</v>
      </c>
      <c r="N102" s="16" t="n">
        <v>868.66</v>
      </c>
      <c r="O102" s="16" t="n">
        <v>868.66</v>
      </c>
      <c r="P102" s="16" t="n">
        <v>868.66</v>
      </c>
      <c r="Q102" s="16" t="n">
        <v>868.66</v>
      </c>
      <c r="R102" s="16" t="n">
        <v>868.66</v>
      </c>
      <c r="S102" s="16" t="n">
        <v>868.66</v>
      </c>
      <c r="T102" s="16" t="n">
        <v>868.66</v>
      </c>
      <c r="U102" s="16" t="n">
        <v>350</v>
      </c>
      <c r="V102" s="16" t="n">
        <v>250</v>
      </c>
      <c r="W102" s="16">
        <f>U102+V102</f>
        <v/>
      </c>
    </row>
    <row r="103">
      <c r="A103" s="3" t="inlineStr">
        <is>
          <t>CANON-202512-002505</t>
        </is>
      </c>
      <c r="B103" s="3" t="inlineStr">
        <is>
          <t>2025-12-22</t>
        </is>
      </c>
      <c r="C103" s="3" t="inlineStr">
        <is>
          <t>Beatrix Castellanos</t>
        </is>
      </c>
      <c r="D103" s="3" t="inlineStr">
        <is>
          <t>FL</t>
        </is>
      </c>
      <c r="E103" s="14" t="n">
        <v>1215000</v>
      </c>
      <c r="F103" s="14" t="n">
        <v>16412.65</v>
      </c>
      <c r="G103" s="14" t="n">
        <v>2051.58</v>
      </c>
      <c r="H103" s="14" t="n">
        <v>2051.58</v>
      </c>
      <c r="I103" s="14">
        <f>SUM(K103:T103)</f>
        <v/>
      </c>
      <c r="J103" s="14">
        <f>F103-(G103+H103+I103)</f>
        <v/>
      </c>
      <c r="K103" s="14" t="n">
        <v>1230.95</v>
      </c>
      <c r="L103" s="14" t="n">
        <v>1230.95</v>
      </c>
      <c r="M103" s="14" t="n">
        <v>1230.95</v>
      </c>
      <c r="N103" s="14" t="n">
        <v>1230.95</v>
      </c>
      <c r="O103" s="14" t="n">
        <v>1230.95</v>
      </c>
      <c r="P103" s="14" t="n">
        <v>1230.95</v>
      </c>
      <c r="Q103" s="14" t="n">
        <v>1230.95</v>
      </c>
      <c r="R103" s="14" t="n">
        <v>1230.95</v>
      </c>
      <c r="S103" s="14" t="n">
        <v>1230.95</v>
      </c>
      <c r="T103" s="14" t="n">
        <v>1230.95</v>
      </c>
      <c r="U103" s="14" t="n">
        <v>350</v>
      </c>
      <c r="V103" s="14" t="n">
        <v>250</v>
      </c>
      <c r="W103" s="14">
        <f>U103+V103</f>
        <v/>
      </c>
    </row>
    <row r="104">
      <c r="A104" s="15" t="inlineStr">
        <is>
          <t>CANON-202512-002506</t>
        </is>
      </c>
      <c r="B104" s="15" t="inlineStr">
        <is>
          <t>2025-12-18</t>
        </is>
      </c>
      <c r="C104" s="15" t="inlineStr">
        <is>
          <t>Cassius Merriweather</t>
        </is>
      </c>
      <c r="D104" s="15" t="inlineStr">
        <is>
          <t>CA</t>
        </is>
      </c>
      <c r="E104" s="16" t="n">
        <v>520000</v>
      </c>
      <c r="F104" s="16" t="n">
        <v>11534.85</v>
      </c>
      <c r="G104" s="16" t="n">
        <v>1441.86</v>
      </c>
      <c r="H104" s="16" t="n">
        <v>1441.86</v>
      </c>
      <c r="I104" s="16">
        <f>SUM(K104:T104)</f>
        <v/>
      </c>
      <c r="J104" s="16">
        <f>F104-(G104+H104+I104)</f>
        <v/>
      </c>
      <c r="K104" s="16" t="n">
        <v>865.11</v>
      </c>
      <c r="L104" s="16" t="n">
        <v>865.11</v>
      </c>
      <c r="M104" s="16" t="n">
        <v>865.11</v>
      </c>
      <c r="N104" s="16" t="n">
        <v>865.11</v>
      </c>
      <c r="O104" s="16" t="n">
        <v>865.11</v>
      </c>
      <c r="P104" s="16" t="n">
        <v>865.11</v>
      </c>
      <c r="Q104" s="16" t="n">
        <v>865.11</v>
      </c>
      <c r="R104" s="16" t="n">
        <v>865.11</v>
      </c>
      <c r="S104" s="16" t="n">
        <v>865.11</v>
      </c>
      <c r="T104" s="16" t="n">
        <v>865.11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CANON-202512-002507</t>
        </is>
      </c>
      <c r="B105" s="3" t="inlineStr">
        <is>
          <t>2025-12-16</t>
        </is>
      </c>
      <c r="C105" s="3" t="inlineStr">
        <is>
          <t>Anouk Okonkwo</t>
        </is>
      </c>
      <c r="D105" s="3" t="inlineStr">
        <is>
          <t>OK</t>
        </is>
      </c>
      <c r="E105" s="14" t="n">
        <v>950000</v>
      </c>
      <c r="F105" s="14" t="n">
        <v>13457.33</v>
      </c>
      <c r="G105" s="14" t="n">
        <v>1682.17</v>
      </c>
      <c r="H105" s="14" t="n">
        <v>1682.17</v>
      </c>
      <c r="I105" s="14">
        <f>SUM(K105:T105)</f>
        <v/>
      </c>
      <c r="J105" s="14">
        <f>F105-(G105+H105+I105)</f>
        <v/>
      </c>
      <c r="K105" s="14" t="n">
        <v>1009.3</v>
      </c>
      <c r="L105" s="14" t="n">
        <v>1009.3</v>
      </c>
      <c r="M105" s="14" t="n">
        <v>1009.3</v>
      </c>
      <c r="N105" s="14" t="n">
        <v>1009.3</v>
      </c>
      <c r="O105" s="14" t="n">
        <v>1009.3</v>
      </c>
      <c r="P105" s="14" t="n">
        <v>1009.3</v>
      </c>
      <c r="Q105" s="14" t="n">
        <v>1009.3</v>
      </c>
      <c r="R105" s="14" t="n">
        <v>1009.3</v>
      </c>
      <c r="S105" s="14" t="n">
        <v>1009.3</v>
      </c>
      <c r="T105" s="14" t="n">
        <v>1009.3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CANON-202512-002509</t>
        </is>
      </c>
      <c r="B106" s="15" t="inlineStr">
        <is>
          <t>2025-12-25</t>
        </is>
      </c>
      <c r="C106" s="15" t="inlineStr">
        <is>
          <t>Ottilie Whitlock</t>
        </is>
      </c>
      <c r="D106" s="15" t="inlineStr">
        <is>
          <t>ME</t>
        </is>
      </c>
      <c r="E106" s="16" t="n">
        <v>190000</v>
      </c>
      <c r="F106" s="16" t="n">
        <v>3265.25</v>
      </c>
      <c r="G106" s="16" t="n">
        <v>408.16</v>
      </c>
      <c r="H106" s="16" t="n">
        <v>408.16</v>
      </c>
      <c r="I106" s="16">
        <f>SUM(K106:T106)</f>
        <v/>
      </c>
      <c r="J106" s="16">
        <f>F106-(G106+H106+I106)</f>
        <v/>
      </c>
      <c r="K106" s="16" t="n">
        <v>244.89</v>
      </c>
      <c r="L106" s="16" t="n">
        <v>244.89</v>
      </c>
      <c r="M106" s="16" t="n">
        <v>244.89</v>
      </c>
      <c r="N106" s="16" t="n">
        <v>244.89</v>
      </c>
      <c r="O106" s="16" t="n">
        <v>244.89</v>
      </c>
      <c r="P106" s="16" t="n">
        <v>244.89</v>
      </c>
      <c r="Q106" s="16" t="n">
        <v>244.89</v>
      </c>
      <c r="R106" s="16" t="n">
        <v>244.89</v>
      </c>
      <c r="S106" s="16" t="n">
        <v>244.89</v>
      </c>
      <c r="T106" s="16" t="n">
        <v>244.89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CANON-202512-002510</t>
        </is>
      </c>
      <c r="B107" s="3" t="inlineStr">
        <is>
          <t>2025-12-02</t>
        </is>
      </c>
      <c r="C107" s="3" t="inlineStr">
        <is>
          <t>Mireille Underwood</t>
        </is>
      </c>
      <c r="D107" s="3" t="inlineStr">
        <is>
          <t>WV</t>
        </is>
      </c>
      <c r="E107" s="14" t="n">
        <v>415000</v>
      </c>
      <c r="F107" s="14" t="n">
        <v>4582.39</v>
      </c>
      <c r="G107" s="14" t="n">
        <v>572.8</v>
      </c>
      <c r="H107" s="14" t="n">
        <v>572.8</v>
      </c>
      <c r="I107" s="14">
        <f>SUM(K107:T107)</f>
        <v/>
      </c>
      <c r="J107" s="14">
        <f>F107-(G107+H107+I107)</f>
        <v/>
      </c>
      <c r="K107" s="14" t="n">
        <v>343.68</v>
      </c>
      <c r="L107" s="14" t="n">
        <v>343.68</v>
      </c>
      <c r="M107" s="14" t="n">
        <v>343.68</v>
      </c>
      <c r="N107" s="14" t="n">
        <v>343.68</v>
      </c>
      <c r="O107" s="14" t="n">
        <v>343.68</v>
      </c>
      <c r="P107" s="14" t="n">
        <v>343.68</v>
      </c>
      <c r="Q107" s="14" t="n">
        <v>343.68</v>
      </c>
      <c r="R107" s="14" t="n">
        <v>343.68</v>
      </c>
      <c r="S107" s="14" t="n">
        <v>343.68</v>
      </c>
      <c r="T107" s="14" t="n">
        <v>343.68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CANON-202512-002511</t>
        </is>
      </c>
      <c r="B108" s="15" t="inlineStr">
        <is>
          <t>2025-12-05</t>
        </is>
      </c>
      <c r="C108" s="15" t="inlineStr">
        <is>
          <t>Cassius Bellandi</t>
        </is>
      </c>
      <c r="D108" s="15" t="inlineStr">
        <is>
          <t>PA</t>
        </is>
      </c>
      <c r="E108" s="16" t="n">
        <v>645000</v>
      </c>
      <c r="F108" s="16" t="n">
        <v>7251.45</v>
      </c>
      <c r="G108" s="16" t="n">
        <v>906.4299999999999</v>
      </c>
      <c r="H108" s="16" t="n">
        <v>906.4299999999999</v>
      </c>
      <c r="I108" s="16">
        <f>SUM(K108:T108)</f>
        <v/>
      </c>
      <c r="J108" s="16">
        <f>F108-(G108+H108+I108)</f>
        <v/>
      </c>
      <c r="K108" s="16" t="n">
        <v>543.86</v>
      </c>
      <c r="L108" s="16" t="n">
        <v>543.86</v>
      </c>
      <c r="M108" s="16" t="n">
        <v>543.86</v>
      </c>
      <c r="N108" s="16" t="n">
        <v>543.86</v>
      </c>
      <c r="O108" s="16" t="n">
        <v>543.86</v>
      </c>
      <c r="P108" s="16" t="n">
        <v>543.86</v>
      </c>
      <c r="Q108" s="16" t="n">
        <v>543.86</v>
      </c>
      <c r="R108" s="16" t="n">
        <v>543.86</v>
      </c>
      <c r="S108" s="16" t="n">
        <v>543.86</v>
      </c>
      <c r="T108" s="16" t="n">
        <v>543.86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CANON-202512-002512</t>
        </is>
      </c>
      <c r="B109" s="3" t="inlineStr">
        <is>
          <t>2025-12-28</t>
        </is>
      </c>
      <c r="C109" s="3" t="inlineStr">
        <is>
          <t>Fenwick Underwood</t>
        </is>
      </c>
      <c r="D109" s="3" t="inlineStr">
        <is>
          <t>MT</t>
        </is>
      </c>
      <c r="E109" s="14" t="n">
        <v>440000</v>
      </c>
      <c r="F109" s="14" t="n">
        <v>5308.22</v>
      </c>
      <c r="G109" s="14" t="n">
        <v>663.53</v>
      </c>
      <c r="H109" s="14" t="n">
        <v>663.53</v>
      </c>
      <c r="I109" s="14">
        <f>SUM(K109:T109)</f>
        <v/>
      </c>
      <c r="J109" s="14">
        <f>F109-(G109+H109+I109)</f>
        <v/>
      </c>
      <c r="K109" s="14" t="n">
        <v>398.12</v>
      </c>
      <c r="L109" s="14" t="n">
        <v>398.12</v>
      </c>
      <c r="M109" s="14" t="n">
        <v>398.12</v>
      </c>
      <c r="N109" s="14" t="n">
        <v>398.12</v>
      </c>
      <c r="O109" s="14" t="n">
        <v>398.12</v>
      </c>
      <c r="P109" s="14" t="n">
        <v>398.12</v>
      </c>
      <c r="Q109" s="14" t="n">
        <v>398.12</v>
      </c>
      <c r="R109" s="14" t="n">
        <v>398.12</v>
      </c>
      <c r="S109" s="14" t="n">
        <v>398.12</v>
      </c>
      <c r="T109" s="14" t="n">
        <v>398.12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CANON-202512-002513</t>
        </is>
      </c>
      <c r="B110" s="15" t="inlineStr">
        <is>
          <t>2025-12-11</t>
        </is>
      </c>
      <c r="C110" s="15" t="inlineStr">
        <is>
          <t>Everett Farkas</t>
        </is>
      </c>
      <c r="D110" s="15" t="inlineStr">
        <is>
          <t>TX</t>
        </is>
      </c>
      <c r="E110" s="16" t="n">
        <v>475000</v>
      </c>
      <c r="F110" s="16" t="n">
        <v>8314.290000000001</v>
      </c>
      <c r="G110" s="16" t="n">
        <v>1039.29</v>
      </c>
      <c r="H110" s="16" t="n">
        <v>1039.29</v>
      </c>
      <c r="I110" s="16">
        <f>SUM(K110:T110)</f>
        <v/>
      </c>
      <c r="J110" s="16">
        <f>F110-(G110+H110+I110)</f>
        <v/>
      </c>
      <c r="K110" s="16" t="n">
        <v>623.5700000000001</v>
      </c>
      <c r="L110" s="16" t="n">
        <v>623.5700000000001</v>
      </c>
      <c r="M110" s="16" t="n">
        <v>623.5700000000001</v>
      </c>
      <c r="N110" s="16" t="n">
        <v>623.5700000000001</v>
      </c>
      <c r="O110" s="16" t="n">
        <v>623.5700000000001</v>
      </c>
      <c r="P110" s="16" t="n">
        <v>623.5700000000001</v>
      </c>
      <c r="Q110" s="16" t="n">
        <v>623.5700000000001</v>
      </c>
      <c r="R110" s="16" t="n">
        <v>623.5700000000001</v>
      </c>
      <c r="S110" s="16" t="n">
        <v>623.5700000000001</v>
      </c>
      <c r="T110" s="16" t="n">
        <v>623.5700000000001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CANON-202512-002517</t>
        </is>
      </c>
      <c r="B111" s="3" t="inlineStr">
        <is>
          <t>2025-12-20</t>
        </is>
      </c>
      <c r="C111" s="3" t="inlineStr">
        <is>
          <t>Fitzgerald Vasquez</t>
        </is>
      </c>
      <c r="D111" s="3" t="inlineStr">
        <is>
          <t>WA</t>
        </is>
      </c>
      <c r="E111" s="14" t="n">
        <v>1950000</v>
      </c>
      <c r="F111" s="14" t="n">
        <v>25902.83</v>
      </c>
      <c r="G111" s="14" t="n">
        <v>3237.85</v>
      </c>
      <c r="H111" s="14" t="n">
        <v>3237.85</v>
      </c>
      <c r="I111" s="14">
        <f>SUM(K111:T111)</f>
        <v/>
      </c>
      <c r="J111" s="14">
        <f>F111-(G111+H111+I111)</f>
        <v/>
      </c>
      <c r="K111" s="14" t="n">
        <v>1942.71</v>
      </c>
      <c r="L111" s="14" t="n">
        <v>1942.71</v>
      </c>
      <c r="M111" s="14" t="n">
        <v>1942.71</v>
      </c>
      <c r="N111" s="14" t="n">
        <v>1942.71</v>
      </c>
      <c r="O111" s="14" t="n">
        <v>1942.71</v>
      </c>
      <c r="P111" s="14" t="n">
        <v>1942.71</v>
      </c>
      <c r="Q111" s="14" t="n">
        <v>1942.71</v>
      </c>
      <c r="R111" s="14" t="n">
        <v>1942.71</v>
      </c>
      <c r="S111" s="14" t="n">
        <v>1942.71</v>
      </c>
      <c r="T111" s="14" t="n">
        <v>1942.71</v>
      </c>
      <c r="U111" s="14" t="n">
        <v>350</v>
      </c>
      <c r="V111" s="14" t="n">
        <v>250</v>
      </c>
      <c r="W111" s="14">
        <f>U111+V111</f>
        <v/>
      </c>
    </row>
    <row r="112">
      <c r="A112" s="15" t="inlineStr">
        <is>
          <t>CANON-202512-002518</t>
        </is>
      </c>
      <c r="B112" s="15" t="inlineStr">
        <is>
          <t>2025-12-03</t>
        </is>
      </c>
      <c r="C112" s="15" t="inlineStr">
        <is>
          <t>Mireille Chattopadhyay</t>
        </is>
      </c>
      <c r="D112" s="15" t="inlineStr">
        <is>
          <t>MS</t>
        </is>
      </c>
      <c r="E112" s="16" t="n">
        <v>275000</v>
      </c>
      <c r="F112" s="16" t="n">
        <v>4245.15</v>
      </c>
      <c r="G112" s="16" t="n">
        <v>530.64</v>
      </c>
      <c r="H112" s="16" t="n">
        <v>530.64</v>
      </c>
      <c r="I112" s="16">
        <f>SUM(K112:T112)</f>
        <v/>
      </c>
      <c r="J112" s="16">
        <f>F112-(G112+H112+I112)</f>
        <v/>
      </c>
      <c r="K112" s="16" t="n">
        <v>318.39</v>
      </c>
      <c r="L112" s="16" t="n">
        <v>318.39</v>
      </c>
      <c r="M112" s="16" t="n">
        <v>318.39</v>
      </c>
      <c r="N112" s="16" t="n">
        <v>318.39</v>
      </c>
      <c r="O112" s="16" t="n">
        <v>318.39</v>
      </c>
      <c r="P112" s="16" t="n">
        <v>318.39</v>
      </c>
      <c r="Q112" s="16" t="n">
        <v>318.39</v>
      </c>
      <c r="R112" s="16" t="n">
        <v>318.39</v>
      </c>
      <c r="S112" s="16" t="n">
        <v>318.39</v>
      </c>
      <c r="T112" s="16" t="n">
        <v>318.39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CANON-202512-002519</t>
        </is>
      </c>
      <c r="B113" s="3" t="inlineStr">
        <is>
          <t>2025-12-28</t>
        </is>
      </c>
      <c r="C113" s="3" t="inlineStr">
        <is>
          <t>Ingrid Okonkwo</t>
        </is>
      </c>
      <c r="D113" s="3" t="inlineStr">
        <is>
          <t>TN</t>
        </is>
      </c>
      <c r="E113" s="14" t="n">
        <v>645000</v>
      </c>
      <c r="F113" s="14" t="n">
        <v>7106.41</v>
      </c>
      <c r="G113" s="14" t="n">
        <v>888.3</v>
      </c>
      <c r="H113" s="14" t="n">
        <v>888.3</v>
      </c>
      <c r="I113" s="14">
        <f>SUM(K113:T113)</f>
        <v/>
      </c>
      <c r="J113" s="14">
        <f>F113-(G113+H113+I113)</f>
        <v/>
      </c>
      <c r="K113" s="14" t="n">
        <v>532.98</v>
      </c>
      <c r="L113" s="14" t="n">
        <v>532.98</v>
      </c>
      <c r="M113" s="14" t="n">
        <v>532.98</v>
      </c>
      <c r="N113" s="14" t="n">
        <v>532.98</v>
      </c>
      <c r="O113" s="14" t="n">
        <v>532.98</v>
      </c>
      <c r="P113" s="14" t="n">
        <v>532.98</v>
      </c>
      <c r="Q113" s="14" t="n">
        <v>532.98</v>
      </c>
      <c r="R113" s="14" t="n">
        <v>532.98</v>
      </c>
      <c r="S113" s="14" t="n">
        <v>532.98</v>
      </c>
      <c r="T113" s="14" t="n">
        <v>532.98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CANON-202512-002521</t>
        </is>
      </c>
      <c r="B114" s="15" t="inlineStr">
        <is>
          <t>2025-12-03</t>
        </is>
      </c>
      <c r="C114" s="15" t="inlineStr">
        <is>
          <t>Wilhelmina Underwood</t>
        </is>
      </c>
      <c r="D114" s="15" t="inlineStr">
        <is>
          <t>NJ</t>
        </is>
      </c>
      <c r="E114" s="16" t="n">
        <v>470000</v>
      </c>
      <c r="F114" s="16" t="n">
        <v>3550.85</v>
      </c>
      <c r="G114" s="16" t="n">
        <v>443.86</v>
      </c>
      <c r="H114" s="16" t="n">
        <v>443.86</v>
      </c>
      <c r="I114" s="16">
        <f>SUM(K114:T114)</f>
        <v/>
      </c>
      <c r="J114" s="16">
        <f>F114-(G114+H114+I114)</f>
        <v/>
      </c>
      <c r="K114" s="16" t="n">
        <v>266.31</v>
      </c>
      <c r="L114" s="16" t="n">
        <v>266.31</v>
      </c>
      <c r="M114" s="16" t="n">
        <v>266.31</v>
      </c>
      <c r="N114" s="16" t="n">
        <v>266.31</v>
      </c>
      <c r="O114" s="16" t="n">
        <v>266.31</v>
      </c>
      <c r="P114" s="16" t="n">
        <v>266.31</v>
      </c>
      <c r="Q114" s="16" t="n">
        <v>266.31</v>
      </c>
      <c r="R114" s="16" t="n">
        <v>266.31</v>
      </c>
      <c r="S114" s="16" t="n">
        <v>266.31</v>
      </c>
      <c r="T114" s="16" t="n">
        <v>266.31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CANON-202512-002522</t>
        </is>
      </c>
      <c r="B115" s="3" t="inlineStr">
        <is>
          <t>2025-12-13</t>
        </is>
      </c>
      <c r="C115" s="3" t="inlineStr">
        <is>
          <t>Saoirse Okonkwo</t>
        </is>
      </c>
      <c r="D115" s="3" t="inlineStr">
        <is>
          <t>CO</t>
        </is>
      </c>
      <c r="E115" s="14" t="n">
        <v>490000</v>
      </c>
      <c r="F115" s="14" t="n">
        <v>6992</v>
      </c>
      <c r="G115" s="14" t="n">
        <v>874</v>
      </c>
      <c r="H115" s="14" t="n">
        <v>874</v>
      </c>
      <c r="I115" s="14">
        <f>SUM(K115:T115)</f>
        <v/>
      </c>
      <c r="J115" s="14">
        <f>F115-(G115+H115+I115)</f>
        <v/>
      </c>
      <c r="K115" s="14" t="n">
        <v>524.4</v>
      </c>
      <c r="L115" s="14" t="n">
        <v>524.4</v>
      </c>
      <c r="M115" s="14" t="n">
        <v>524.4</v>
      </c>
      <c r="N115" s="14" t="n">
        <v>524.4</v>
      </c>
      <c r="O115" s="14" t="n">
        <v>524.4</v>
      </c>
      <c r="P115" s="14" t="n">
        <v>524.4</v>
      </c>
      <c r="Q115" s="14" t="n">
        <v>524.4</v>
      </c>
      <c r="R115" s="14" t="n">
        <v>524.4</v>
      </c>
      <c r="S115" s="14" t="n">
        <v>524.4</v>
      </c>
      <c r="T115" s="14" t="n">
        <v>524.4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CANON-202512-002524</t>
        </is>
      </c>
      <c r="B116" s="15" t="inlineStr">
        <is>
          <t>2025-12-30</t>
        </is>
      </c>
      <c r="C116" s="15" t="inlineStr">
        <is>
          <t>Saoirse Kingsford</t>
        </is>
      </c>
      <c r="D116" s="15" t="inlineStr">
        <is>
          <t>AK</t>
        </is>
      </c>
      <c r="E116" s="16" t="n">
        <v>1260000</v>
      </c>
      <c r="F116" s="16" t="n">
        <v>9440.84</v>
      </c>
      <c r="G116" s="16" t="n">
        <v>1180.11</v>
      </c>
      <c r="H116" s="16" t="n">
        <v>1180.11</v>
      </c>
      <c r="I116" s="16">
        <f>SUM(K116:T116)</f>
        <v/>
      </c>
      <c r="J116" s="16">
        <f>F116-(G116+H116+I116)</f>
        <v/>
      </c>
      <c r="K116" s="16" t="n">
        <v>708.0599999999999</v>
      </c>
      <c r="L116" s="16" t="n">
        <v>708.0599999999999</v>
      </c>
      <c r="M116" s="16" t="n">
        <v>708.0599999999999</v>
      </c>
      <c r="N116" s="16" t="n">
        <v>708.0599999999999</v>
      </c>
      <c r="O116" s="16" t="n">
        <v>708.0599999999999</v>
      </c>
      <c r="P116" s="16" t="n">
        <v>708.0599999999999</v>
      </c>
      <c r="Q116" s="16" t="n">
        <v>708.0599999999999</v>
      </c>
      <c r="R116" s="16" t="n">
        <v>708.0599999999999</v>
      </c>
      <c r="S116" s="16" t="n">
        <v>708.0599999999999</v>
      </c>
      <c r="T116" s="16" t="n">
        <v>708.0599999999999</v>
      </c>
      <c r="U116" s="16" t="n">
        <v>350</v>
      </c>
      <c r="V116" s="16" t="n">
        <v>250</v>
      </c>
      <c r="W116" s="16">
        <f>U116+V116</f>
        <v/>
      </c>
    </row>
    <row r="117">
      <c r="A117" s="3" t="inlineStr">
        <is>
          <t>CANON-202512-002525</t>
        </is>
      </c>
      <c r="B117" s="3" t="inlineStr">
        <is>
          <t>2025-12-01</t>
        </is>
      </c>
      <c r="C117" s="3" t="inlineStr">
        <is>
          <t>Ottilie Delacroix</t>
        </is>
      </c>
      <c r="D117" s="3" t="inlineStr">
        <is>
          <t>IN</t>
        </is>
      </c>
      <c r="E117" s="14" t="n">
        <v>290000</v>
      </c>
      <c r="F117" s="14" t="n">
        <v>4627.17</v>
      </c>
      <c r="G117" s="14" t="n">
        <v>578.4</v>
      </c>
      <c r="H117" s="14" t="n">
        <v>578.4</v>
      </c>
      <c r="I117" s="14">
        <f>SUM(K117:T117)</f>
        <v/>
      </c>
      <c r="J117" s="14">
        <f>F117-(G117+H117+I117)</f>
        <v/>
      </c>
      <c r="K117" s="14" t="n">
        <v>347.04</v>
      </c>
      <c r="L117" s="14" t="n">
        <v>347.04</v>
      </c>
      <c r="M117" s="14" t="n">
        <v>347.04</v>
      </c>
      <c r="N117" s="14" t="n">
        <v>347.04</v>
      </c>
      <c r="O117" s="14" t="n">
        <v>347.04</v>
      </c>
      <c r="P117" s="14" t="n">
        <v>347.04</v>
      </c>
      <c r="Q117" s="14" t="n">
        <v>347.04</v>
      </c>
      <c r="R117" s="14" t="n">
        <v>347.04</v>
      </c>
      <c r="S117" s="14" t="n">
        <v>347.04</v>
      </c>
      <c r="T117" s="14" t="n">
        <v>347.04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CANON-202512-002526</t>
        </is>
      </c>
      <c r="B118" s="15" t="inlineStr">
        <is>
          <t>2025-12-04</t>
        </is>
      </c>
      <c r="C118" s="15" t="inlineStr">
        <is>
          <t>Sunniva Pennington</t>
        </is>
      </c>
      <c r="D118" s="15" t="inlineStr">
        <is>
          <t>NY</t>
        </is>
      </c>
      <c r="E118" s="16" t="n">
        <v>740000</v>
      </c>
      <c r="F118" s="16" t="n">
        <v>10648.94</v>
      </c>
      <c r="G118" s="16" t="n">
        <v>1331.12</v>
      </c>
      <c r="H118" s="16" t="n">
        <v>1331.12</v>
      </c>
      <c r="I118" s="16">
        <f>SUM(K118:T118)</f>
        <v/>
      </c>
      <c r="J118" s="16">
        <f>F118-(G118+H118+I118)</f>
        <v/>
      </c>
      <c r="K118" s="16" t="n">
        <v>798.67</v>
      </c>
      <c r="L118" s="16" t="n">
        <v>798.67</v>
      </c>
      <c r="M118" s="16" t="n">
        <v>798.67</v>
      </c>
      <c r="N118" s="16" t="n">
        <v>798.67</v>
      </c>
      <c r="O118" s="16" t="n">
        <v>798.67</v>
      </c>
      <c r="P118" s="16" t="n">
        <v>798.67</v>
      </c>
      <c r="Q118" s="16" t="n">
        <v>798.67</v>
      </c>
      <c r="R118" s="16" t="n">
        <v>798.67</v>
      </c>
      <c r="S118" s="16" t="n">
        <v>798.67</v>
      </c>
      <c r="T118" s="16" t="n">
        <v>798.67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CANON-202512-002527</t>
        </is>
      </c>
      <c r="B119" s="3" t="inlineStr">
        <is>
          <t>2025-12-17</t>
        </is>
      </c>
      <c r="C119" s="3" t="inlineStr">
        <is>
          <t>Marisol Kingsford</t>
        </is>
      </c>
      <c r="D119" s="3" t="inlineStr">
        <is>
          <t>VA</t>
        </is>
      </c>
      <c r="E119" s="14" t="n">
        <v>240000</v>
      </c>
      <c r="F119" s="14" t="n">
        <v>4162.72</v>
      </c>
      <c r="G119" s="14" t="n">
        <v>520.34</v>
      </c>
      <c r="H119" s="14" t="n">
        <v>520.34</v>
      </c>
      <c r="I119" s="14">
        <f>SUM(K119:T119)</f>
        <v/>
      </c>
      <c r="J119" s="14">
        <f>F119-(G119+H119+I119)</f>
        <v/>
      </c>
      <c r="K119" s="14" t="n">
        <v>312.2</v>
      </c>
      <c r="L119" s="14" t="n">
        <v>312.2</v>
      </c>
      <c r="M119" s="14" t="n">
        <v>312.2</v>
      </c>
      <c r="N119" s="14" t="n">
        <v>312.2</v>
      </c>
      <c r="O119" s="14" t="n">
        <v>312.2</v>
      </c>
      <c r="P119" s="14" t="n">
        <v>312.2</v>
      </c>
      <c r="Q119" s="14" t="n">
        <v>312.2</v>
      </c>
      <c r="R119" s="14" t="n">
        <v>312.2</v>
      </c>
      <c r="S119" s="14" t="n">
        <v>312.2</v>
      </c>
      <c r="T119" s="14" t="n">
        <v>312.2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CANON-202512-002529</t>
        </is>
      </c>
      <c r="B120" s="15" t="inlineStr">
        <is>
          <t>2025-12-17</t>
        </is>
      </c>
      <c r="C120" s="15" t="inlineStr">
        <is>
          <t>Beatrix Chattopadhyay</t>
        </is>
      </c>
      <c r="D120" s="15" t="inlineStr">
        <is>
          <t>WA</t>
        </is>
      </c>
      <c r="E120" s="16" t="n">
        <v>290000</v>
      </c>
      <c r="F120" s="16" t="n">
        <v>3611.45</v>
      </c>
      <c r="G120" s="16" t="n">
        <v>451.43</v>
      </c>
      <c r="H120" s="16" t="n">
        <v>451.43</v>
      </c>
      <c r="I120" s="16">
        <f>SUM(K120:T120)</f>
        <v/>
      </c>
      <c r="J120" s="16">
        <f>F120-(G120+H120+I120)</f>
        <v/>
      </c>
      <c r="K120" s="16" t="n">
        <v>270.86</v>
      </c>
      <c r="L120" s="16" t="n">
        <v>270.86</v>
      </c>
      <c r="M120" s="16" t="n">
        <v>270.86</v>
      </c>
      <c r="N120" s="16" t="n">
        <v>270.86</v>
      </c>
      <c r="O120" s="16" t="n">
        <v>270.86</v>
      </c>
      <c r="P120" s="16" t="n">
        <v>270.86</v>
      </c>
      <c r="Q120" s="16" t="n">
        <v>270.86</v>
      </c>
      <c r="R120" s="16" t="n">
        <v>270.86</v>
      </c>
      <c r="S120" s="16" t="n">
        <v>270.86</v>
      </c>
      <c r="T120" s="16" t="n">
        <v>270.86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CANON-202512-002530</t>
        </is>
      </c>
      <c r="B121" s="3" t="inlineStr">
        <is>
          <t>2025-12-21</t>
        </is>
      </c>
      <c r="C121" s="3" t="inlineStr">
        <is>
          <t>Ottilie Nakashima</t>
        </is>
      </c>
      <c r="D121" s="3" t="inlineStr">
        <is>
          <t>WA</t>
        </is>
      </c>
      <c r="E121" s="14" t="n">
        <v>500000</v>
      </c>
      <c r="F121" s="14" t="n">
        <v>7887.08</v>
      </c>
      <c r="G121" s="14" t="n">
        <v>985.88</v>
      </c>
      <c r="H121" s="14" t="n">
        <v>985.88</v>
      </c>
      <c r="I121" s="14">
        <f>SUM(K121:T121)</f>
        <v/>
      </c>
      <c r="J121" s="14">
        <f>F121-(G121+H121+I121)</f>
        <v/>
      </c>
      <c r="K121" s="14" t="n">
        <v>591.53</v>
      </c>
      <c r="L121" s="14" t="n">
        <v>591.53</v>
      </c>
      <c r="M121" s="14" t="n">
        <v>591.53</v>
      </c>
      <c r="N121" s="14" t="n">
        <v>591.53</v>
      </c>
      <c r="O121" s="14" t="n">
        <v>591.53</v>
      </c>
      <c r="P121" s="14" t="n">
        <v>591.53</v>
      </c>
      <c r="Q121" s="14" t="n">
        <v>591.53</v>
      </c>
      <c r="R121" s="14" t="n">
        <v>591.53</v>
      </c>
      <c r="S121" s="14" t="n">
        <v>591.53</v>
      </c>
      <c r="T121" s="14" t="n">
        <v>591.53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CANON-202512-002534</t>
        </is>
      </c>
      <c r="B122" s="15" t="inlineStr">
        <is>
          <t>2025-12-08</t>
        </is>
      </c>
      <c r="C122" s="15" t="inlineStr">
        <is>
          <t>Horace Montoya</t>
        </is>
      </c>
      <c r="D122" s="15" t="inlineStr">
        <is>
          <t>KS</t>
        </is>
      </c>
      <c r="E122" s="16" t="n">
        <v>1530000</v>
      </c>
      <c r="F122" s="16" t="n">
        <v>14118.13</v>
      </c>
      <c r="G122" s="16" t="n">
        <v>1764.77</v>
      </c>
      <c r="H122" s="16" t="n">
        <v>1764.77</v>
      </c>
      <c r="I122" s="16">
        <f>SUM(K122:T122)</f>
        <v/>
      </c>
      <c r="J122" s="16">
        <f>F122-(G122+H122+I122)</f>
        <v/>
      </c>
      <c r="K122" s="16" t="n">
        <v>1058.86</v>
      </c>
      <c r="L122" s="16" t="n">
        <v>1058.86</v>
      </c>
      <c r="M122" s="16" t="n">
        <v>1058.86</v>
      </c>
      <c r="N122" s="16" t="n">
        <v>1058.86</v>
      </c>
      <c r="O122" s="16" t="n">
        <v>1058.86</v>
      </c>
      <c r="P122" s="16" t="n">
        <v>1058.86</v>
      </c>
      <c r="Q122" s="16" t="n">
        <v>1058.86</v>
      </c>
      <c r="R122" s="16" t="n">
        <v>1058.86</v>
      </c>
      <c r="S122" s="16" t="n">
        <v>1058.86</v>
      </c>
      <c r="T122" s="16" t="n">
        <v>1058.86</v>
      </c>
      <c r="U122" s="16" t="n">
        <v>350</v>
      </c>
      <c r="V122" s="16" t="n">
        <v>250</v>
      </c>
      <c r="W122" s="16">
        <f>U122+V122</f>
        <v/>
      </c>
    </row>
    <row r="123">
      <c r="A123" s="3" t="inlineStr">
        <is>
          <t>CANON-202512-002535</t>
        </is>
      </c>
      <c r="B123" s="3" t="inlineStr">
        <is>
          <t>2025-12-30</t>
        </is>
      </c>
      <c r="C123" s="3" t="inlineStr">
        <is>
          <t>Desmond Bellandi</t>
        </is>
      </c>
      <c r="D123" s="3" t="inlineStr">
        <is>
          <t>MN</t>
        </is>
      </c>
      <c r="E123" s="14" t="n">
        <v>235000</v>
      </c>
      <c r="F123" s="14" t="n">
        <v>4936.06</v>
      </c>
      <c r="G123" s="14" t="n">
        <v>617.01</v>
      </c>
      <c r="H123" s="14" t="n">
        <v>617.01</v>
      </c>
      <c r="I123" s="14">
        <f>SUM(K123:T123)</f>
        <v/>
      </c>
      <c r="J123" s="14">
        <f>F123-(G123+H123+I123)</f>
        <v/>
      </c>
      <c r="K123" s="14" t="n">
        <v>370.2</v>
      </c>
      <c r="L123" s="14" t="n">
        <v>370.2</v>
      </c>
      <c r="M123" s="14" t="n">
        <v>370.2</v>
      </c>
      <c r="N123" s="14" t="n">
        <v>370.2</v>
      </c>
      <c r="O123" s="14" t="n">
        <v>370.2</v>
      </c>
      <c r="P123" s="14" t="n">
        <v>370.2</v>
      </c>
      <c r="Q123" s="14" t="n">
        <v>370.2</v>
      </c>
      <c r="R123" s="14" t="n">
        <v>370.2</v>
      </c>
      <c r="S123" s="14" t="n">
        <v>370.2</v>
      </c>
      <c r="T123" s="14" t="n">
        <v>370.2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CANON-202512-002536</t>
        </is>
      </c>
      <c r="B124" s="15" t="inlineStr">
        <is>
          <t>2025-12-20</t>
        </is>
      </c>
      <c r="C124" s="15" t="inlineStr">
        <is>
          <t>Fitzgerald Vandermeer</t>
        </is>
      </c>
      <c r="D124" s="15" t="inlineStr">
        <is>
          <t>NJ</t>
        </is>
      </c>
      <c r="E124" s="16" t="n">
        <v>410000</v>
      </c>
      <c r="F124" s="16" t="n">
        <v>4839.92</v>
      </c>
      <c r="G124" s="16" t="n">
        <v>604.99</v>
      </c>
      <c r="H124" s="16" t="n">
        <v>604.99</v>
      </c>
      <c r="I124" s="16">
        <f>SUM(K124:T124)</f>
        <v/>
      </c>
      <c r="J124" s="16">
        <f>F124-(G124+H124+I124)</f>
        <v/>
      </c>
      <c r="K124" s="16" t="n">
        <v>362.99</v>
      </c>
      <c r="L124" s="16" t="n">
        <v>362.99</v>
      </c>
      <c r="M124" s="16" t="n">
        <v>362.99</v>
      </c>
      <c r="N124" s="16" t="n">
        <v>362.99</v>
      </c>
      <c r="O124" s="16" t="n">
        <v>362.99</v>
      </c>
      <c r="P124" s="16" t="n">
        <v>362.99</v>
      </c>
      <c r="Q124" s="16" t="n">
        <v>362.99</v>
      </c>
      <c r="R124" s="16" t="n">
        <v>362.99</v>
      </c>
      <c r="S124" s="16" t="n">
        <v>362.99</v>
      </c>
      <c r="T124" s="16" t="n">
        <v>362.99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CANON-202512-002537</t>
        </is>
      </c>
      <c r="B125" s="3" t="inlineStr">
        <is>
          <t>2025-12-08</t>
        </is>
      </c>
      <c r="C125" s="3" t="inlineStr">
        <is>
          <t>Beatrix Nakashima</t>
        </is>
      </c>
      <c r="D125" s="3" t="inlineStr">
        <is>
          <t>MA</t>
        </is>
      </c>
      <c r="E125" s="14" t="n">
        <v>970000</v>
      </c>
      <c r="F125" s="14" t="n">
        <v>13631.59</v>
      </c>
      <c r="G125" s="14" t="n">
        <v>1703.95</v>
      </c>
      <c r="H125" s="14" t="n">
        <v>1703.95</v>
      </c>
      <c r="I125" s="14">
        <f>SUM(K125:T125)</f>
        <v/>
      </c>
      <c r="J125" s="14">
        <f>F125-(G125+H125+I125)</f>
        <v/>
      </c>
      <c r="K125" s="14" t="n">
        <v>1022.37</v>
      </c>
      <c r="L125" s="14" t="n">
        <v>1022.37</v>
      </c>
      <c r="M125" s="14" t="n">
        <v>1022.37</v>
      </c>
      <c r="N125" s="14" t="n">
        <v>1022.37</v>
      </c>
      <c r="O125" s="14" t="n">
        <v>1022.37</v>
      </c>
      <c r="P125" s="14" t="n">
        <v>1022.37</v>
      </c>
      <c r="Q125" s="14" t="n">
        <v>1022.37</v>
      </c>
      <c r="R125" s="14" t="n">
        <v>1022.37</v>
      </c>
      <c r="S125" s="14" t="n">
        <v>1022.37</v>
      </c>
      <c r="T125" s="14" t="n">
        <v>1022.37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CANON-202512-002538</t>
        </is>
      </c>
      <c r="B126" s="15" t="inlineStr">
        <is>
          <t>2025-12-19</t>
        </is>
      </c>
      <c r="C126" s="15" t="inlineStr">
        <is>
          <t>Saoirse Chattopadhyay</t>
        </is>
      </c>
      <c r="D126" s="15" t="inlineStr">
        <is>
          <t>VT</t>
        </is>
      </c>
      <c r="E126" s="16" t="n">
        <v>265000</v>
      </c>
      <c r="F126" s="16" t="n">
        <v>4193.9</v>
      </c>
      <c r="G126" s="16" t="n">
        <v>524.24</v>
      </c>
      <c r="H126" s="16" t="n">
        <v>524.24</v>
      </c>
      <c r="I126" s="16">
        <f>SUM(K126:T126)</f>
        <v/>
      </c>
      <c r="J126" s="16">
        <f>F126-(G126+H126+I126)</f>
        <v/>
      </c>
      <c r="K126" s="16" t="n">
        <v>314.54</v>
      </c>
      <c r="L126" s="16" t="n">
        <v>314.54</v>
      </c>
      <c r="M126" s="16" t="n">
        <v>314.54</v>
      </c>
      <c r="N126" s="16" t="n">
        <v>314.54</v>
      </c>
      <c r="O126" s="16" t="n">
        <v>314.54</v>
      </c>
      <c r="P126" s="16" t="n">
        <v>314.54</v>
      </c>
      <c r="Q126" s="16" t="n">
        <v>314.54</v>
      </c>
      <c r="R126" s="16" t="n">
        <v>314.54</v>
      </c>
      <c r="S126" s="16" t="n">
        <v>314.54</v>
      </c>
      <c r="T126" s="16" t="n">
        <v>314.54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CANON-202512-002542</t>
        </is>
      </c>
      <c r="B127" s="3" t="inlineStr">
        <is>
          <t>2025-12-26</t>
        </is>
      </c>
      <c r="C127" s="3" t="inlineStr">
        <is>
          <t>Ramona Delacroix</t>
        </is>
      </c>
      <c r="D127" s="3" t="inlineStr">
        <is>
          <t>MD</t>
        </is>
      </c>
      <c r="E127" s="14" t="n">
        <v>805000</v>
      </c>
      <c r="F127" s="14" t="n">
        <v>8597.74</v>
      </c>
      <c r="G127" s="14" t="n">
        <v>1074.72</v>
      </c>
      <c r="H127" s="14" t="n">
        <v>1074.72</v>
      </c>
      <c r="I127" s="14">
        <f>SUM(K127:T127)</f>
        <v/>
      </c>
      <c r="J127" s="14">
        <f>F127-(G127+H127+I127)</f>
        <v/>
      </c>
      <c r="K127" s="14" t="n">
        <v>644.83</v>
      </c>
      <c r="L127" s="14" t="n">
        <v>644.83</v>
      </c>
      <c r="M127" s="14" t="n">
        <v>644.83</v>
      </c>
      <c r="N127" s="14" t="n">
        <v>644.83</v>
      </c>
      <c r="O127" s="14" t="n">
        <v>644.83</v>
      </c>
      <c r="P127" s="14" t="n">
        <v>644.83</v>
      </c>
      <c r="Q127" s="14" t="n">
        <v>644.83</v>
      </c>
      <c r="R127" s="14" t="n">
        <v>644.83</v>
      </c>
      <c r="S127" s="14" t="n">
        <v>644.83</v>
      </c>
      <c r="T127" s="14" t="n">
        <v>644.83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CANON-202512-002543</t>
        </is>
      </c>
      <c r="B128" s="15" t="inlineStr">
        <is>
          <t>2025-12-19</t>
        </is>
      </c>
      <c r="C128" s="15" t="inlineStr">
        <is>
          <t>Ottilie Ashcombe</t>
        </is>
      </c>
      <c r="D128" s="15" t="inlineStr">
        <is>
          <t>WV</t>
        </is>
      </c>
      <c r="E128" s="16" t="n">
        <v>1215000</v>
      </c>
      <c r="F128" s="16" t="n">
        <v>22359.87</v>
      </c>
      <c r="G128" s="16" t="n">
        <v>2794.98</v>
      </c>
      <c r="H128" s="16" t="n">
        <v>2794.98</v>
      </c>
      <c r="I128" s="16">
        <f>SUM(K128:T128)</f>
        <v/>
      </c>
      <c r="J128" s="16">
        <f>F128-(G128+H128+I128)</f>
        <v/>
      </c>
      <c r="K128" s="16" t="n">
        <v>1676.99</v>
      </c>
      <c r="L128" s="16" t="n">
        <v>1676.99</v>
      </c>
      <c r="M128" s="16" t="n">
        <v>1676.99</v>
      </c>
      <c r="N128" s="16" t="n">
        <v>1676.99</v>
      </c>
      <c r="O128" s="16" t="n">
        <v>1676.99</v>
      </c>
      <c r="P128" s="16" t="n">
        <v>1676.99</v>
      </c>
      <c r="Q128" s="16" t="n">
        <v>1676.99</v>
      </c>
      <c r="R128" s="16" t="n">
        <v>1676.99</v>
      </c>
      <c r="S128" s="16" t="n">
        <v>1676.99</v>
      </c>
      <c r="T128" s="16" t="n">
        <v>1676.99</v>
      </c>
      <c r="U128" s="16" t="n">
        <v>350</v>
      </c>
      <c r="V128" s="16" t="n">
        <v>250</v>
      </c>
      <c r="W128" s="16">
        <f>U128+V128</f>
        <v/>
      </c>
    </row>
    <row r="129">
      <c r="A129" s="3" t="inlineStr">
        <is>
          <t>CANON-202512-002545</t>
        </is>
      </c>
      <c r="B129" s="3" t="inlineStr">
        <is>
          <t>2025-12-14</t>
        </is>
      </c>
      <c r="C129" s="3" t="inlineStr">
        <is>
          <t>Noor Vandermeer</t>
        </is>
      </c>
      <c r="D129" s="3" t="inlineStr">
        <is>
          <t>PA</t>
        </is>
      </c>
      <c r="E129" s="14" t="n">
        <v>490000</v>
      </c>
      <c r="F129" s="14" t="n">
        <v>6356.36</v>
      </c>
      <c r="G129" s="14" t="n">
        <v>794.54</v>
      </c>
      <c r="H129" s="14" t="n">
        <v>794.54</v>
      </c>
      <c r="I129" s="14">
        <f>SUM(K129:T129)</f>
        <v/>
      </c>
      <c r="J129" s="14">
        <f>F129-(G129+H129+I129)</f>
        <v/>
      </c>
      <c r="K129" s="14" t="n">
        <v>476.73</v>
      </c>
      <c r="L129" s="14" t="n">
        <v>476.73</v>
      </c>
      <c r="M129" s="14" t="n">
        <v>476.73</v>
      </c>
      <c r="N129" s="14" t="n">
        <v>476.73</v>
      </c>
      <c r="O129" s="14" t="n">
        <v>476.73</v>
      </c>
      <c r="P129" s="14" t="n">
        <v>476.73</v>
      </c>
      <c r="Q129" s="14" t="n">
        <v>476.73</v>
      </c>
      <c r="R129" s="14" t="n">
        <v>476.73</v>
      </c>
      <c r="S129" s="14" t="n">
        <v>476.73</v>
      </c>
      <c r="T129" s="14" t="n">
        <v>476.73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CANON-202512-002546</t>
        </is>
      </c>
      <c r="B130" s="15" t="inlineStr">
        <is>
          <t>2025-12-02</t>
        </is>
      </c>
      <c r="C130" s="15" t="inlineStr">
        <is>
          <t>Ramona Nakashima</t>
        </is>
      </c>
      <c r="D130" s="15" t="inlineStr">
        <is>
          <t>MA</t>
        </is>
      </c>
      <c r="E130" s="16" t="n">
        <v>390000</v>
      </c>
      <c r="F130" s="16" t="n">
        <v>6323.93</v>
      </c>
      <c r="G130" s="16" t="n">
        <v>790.49</v>
      </c>
      <c r="H130" s="16" t="n">
        <v>790.49</v>
      </c>
      <c r="I130" s="16">
        <f>SUM(K130:T130)</f>
        <v/>
      </c>
      <c r="J130" s="16">
        <f>F130-(G130+H130+I130)</f>
        <v/>
      </c>
      <c r="K130" s="16" t="n">
        <v>474.29</v>
      </c>
      <c r="L130" s="16" t="n">
        <v>474.29</v>
      </c>
      <c r="M130" s="16" t="n">
        <v>474.29</v>
      </c>
      <c r="N130" s="16" t="n">
        <v>474.29</v>
      </c>
      <c r="O130" s="16" t="n">
        <v>474.29</v>
      </c>
      <c r="P130" s="16" t="n">
        <v>474.29</v>
      </c>
      <c r="Q130" s="16" t="n">
        <v>474.29</v>
      </c>
      <c r="R130" s="16" t="n">
        <v>474.29</v>
      </c>
      <c r="S130" s="16" t="n">
        <v>474.29</v>
      </c>
      <c r="T130" s="16" t="n">
        <v>474.29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CANON-202512-002549</t>
        </is>
      </c>
      <c r="B131" s="3" t="inlineStr">
        <is>
          <t>2025-12-26</t>
        </is>
      </c>
      <c r="C131" s="3" t="inlineStr">
        <is>
          <t>Everett Fairweather</t>
        </is>
      </c>
      <c r="D131" s="3" t="inlineStr">
        <is>
          <t>AL</t>
        </is>
      </c>
      <c r="E131" s="14" t="n">
        <v>715000</v>
      </c>
      <c r="F131" s="14" t="n">
        <v>10208.79</v>
      </c>
      <c r="G131" s="14" t="n">
        <v>1276.1</v>
      </c>
      <c r="H131" s="14" t="n">
        <v>1276.1</v>
      </c>
      <c r="I131" s="14">
        <f>SUM(K131:T131)</f>
        <v/>
      </c>
      <c r="J131" s="14">
        <f>F131-(G131+H131+I131)</f>
        <v/>
      </c>
      <c r="K131" s="14" t="n">
        <v>765.66</v>
      </c>
      <c r="L131" s="14" t="n">
        <v>765.66</v>
      </c>
      <c r="M131" s="14" t="n">
        <v>765.66</v>
      </c>
      <c r="N131" s="14" t="n">
        <v>765.66</v>
      </c>
      <c r="O131" s="14" t="n">
        <v>765.66</v>
      </c>
      <c r="P131" s="14" t="n">
        <v>765.66</v>
      </c>
      <c r="Q131" s="14" t="n">
        <v>765.66</v>
      </c>
      <c r="R131" s="14" t="n">
        <v>765.66</v>
      </c>
      <c r="S131" s="14" t="n">
        <v>765.66</v>
      </c>
      <c r="T131" s="14" t="n">
        <v>765.66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CANON-202512-002550</t>
        </is>
      </c>
      <c r="B132" s="15" t="inlineStr">
        <is>
          <t>2025-12-20</t>
        </is>
      </c>
      <c r="C132" s="15" t="inlineStr">
        <is>
          <t>Anouk Pennington</t>
        </is>
      </c>
      <c r="D132" s="15" t="inlineStr">
        <is>
          <t>ID</t>
        </is>
      </c>
      <c r="E132" s="16" t="n">
        <v>365000</v>
      </c>
      <c r="F132" s="16" t="n">
        <v>4687.49</v>
      </c>
      <c r="G132" s="16" t="n">
        <v>585.9400000000001</v>
      </c>
      <c r="H132" s="16" t="n">
        <v>585.9400000000001</v>
      </c>
      <c r="I132" s="16">
        <f>SUM(K132:T132)</f>
        <v/>
      </c>
      <c r="J132" s="16">
        <f>F132-(G132+H132+I132)</f>
        <v/>
      </c>
      <c r="K132" s="16" t="n">
        <v>351.56</v>
      </c>
      <c r="L132" s="16" t="n">
        <v>351.56</v>
      </c>
      <c r="M132" s="16" t="n">
        <v>351.56</v>
      </c>
      <c r="N132" s="16" t="n">
        <v>351.56</v>
      </c>
      <c r="O132" s="16" t="n">
        <v>351.56</v>
      </c>
      <c r="P132" s="16" t="n">
        <v>351.56</v>
      </c>
      <c r="Q132" s="16" t="n">
        <v>351.56</v>
      </c>
      <c r="R132" s="16" t="n">
        <v>351.56</v>
      </c>
      <c r="S132" s="16" t="n">
        <v>351.56</v>
      </c>
      <c r="T132" s="16" t="n">
        <v>351.56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CANON-202512-002552</t>
        </is>
      </c>
      <c r="B133" s="3" t="inlineStr">
        <is>
          <t>2025-12-30</t>
        </is>
      </c>
      <c r="C133" s="3" t="inlineStr">
        <is>
          <t>Ingrid Kingsford</t>
        </is>
      </c>
      <c r="D133" s="3" t="inlineStr">
        <is>
          <t>IL</t>
        </is>
      </c>
      <c r="E133" s="14" t="n">
        <v>460000</v>
      </c>
      <c r="F133" s="14" t="n">
        <v>8115.39</v>
      </c>
      <c r="G133" s="14" t="n">
        <v>1014.42</v>
      </c>
      <c r="H133" s="14" t="n">
        <v>1014.42</v>
      </c>
      <c r="I133" s="14">
        <f>SUM(K133:T133)</f>
        <v/>
      </c>
      <c r="J133" s="14">
        <f>F133-(G133+H133+I133)</f>
        <v/>
      </c>
      <c r="K133" s="14" t="n">
        <v>608.65</v>
      </c>
      <c r="L133" s="14" t="n">
        <v>608.65</v>
      </c>
      <c r="M133" s="14" t="n">
        <v>608.65</v>
      </c>
      <c r="N133" s="14" t="n">
        <v>608.65</v>
      </c>
      <c r="O133" s="14" t="n">
        <v>608.65</v>
      </c>
      <c r="P133" s="14" t="n">
        <v>608.65</v>
      </c>
      <c r="Q133" s="14" t="n">
        <v>608.65</v>
      </c>
      <c r="R133" s="14" t="n">
        <v>608.65</v>
      </c>
      <c r="S133" s="14" t="n">
        <v>608.65</v>
      </c>
      <c r="T133" s="14" t="n">
        <v>608.65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CANON-202512-002553</t>
        </is>
      </c>
      <c r="B134" s="15" t="inlineStr">
        <is>
          <t>2025-12-30</t>
        </is>
      </c>
      <c r="C134" s="15" t="inlineStr">
        <is>
          <t>Lorenzo Chattopadhyay</t>
        </is>
      </c>
      <c r="D134" s="15" t="inlineStr">
        <is>
          <t>NC</t>
        </is>
      </c>
      <c r="E134" s="16" t="n">
        <v>480000</v>
      </c>
      <c r="F134" s="16" t="n">
        <v>7160.64</v>
      </c>
      <c r="G134" s="16" t="n">
        <v>895.08</v>
      </c>
      <c r="H134" s="16" t="n">
        <v>895.08</v>
      </c>
      <c r="I134" s="16">
        <f>SUM(K134:T134)</f>
        <v/>
      </c>
      <c r="J134" s="16">
        <f>F134-(G134+H134+I134)</f>
        <v/>
      </c>
      <c r="K134" s="16" t="n">
        <v>537.05</v>
      </c>
      <c r="L134" s="16" t="n">
        <v>537.05</v>
      </c>
      <c r="M134" s="16" t="n">
        <v>537.05</v>
      </c>
      <c r="N134" s="16" t="n">
        <v>537.05</v>
      </c>
      <c r="O134" s="16" t="n">
        <v>537.05</v>
      </c>
      <c r="P134" s="16" t="n">
        <v>537.05</v>
      </c>
      <c r="Q134" s="16" t="n">
        <v>537.05</v>
      </c>
      <c r="R134" s="16" t="n">
        <v>537.05</v>
      </c>
      <c r="S134" s="16" t="n">
        <v>537.05</v>
      </c>
      <c r="T134" s="16" t="n">
        <v>537.05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CANON-202512-002555</t>
        </is>
      </c>
      <c r="B135" s="3" t="inlineStr">
        <is>
          <t>2025-12-13</t>
        </is>
      </c>
      <c r="C135" s="3" t="inlineStr">
        <is>
          <t>Delphine Fairweather</t>
        </is>
      </c>
      <c r="D135" s="3" t="inlineStr">
        <is>
          <t>MO</t>
        </is>
      </c>
      <c r="E135" s="14" t="n">
        <v>365000</v>
      </c>
      <c r="F135" s="14" t="n">
        <v>5018.93</v>
      </c>
      <c r="G135" s="14" t="n">
        <v>627.37</v>
      </c>
      <c r="H135" s="14" t="n">
        <v>627.37</v>
      </c>
      <c r="I135" s="14">
        <f>SUM(K135:T135)</f>
        <v/>
      </c>
      <c r="J135" s="14">
        <f>F135-(G135+H135+I135)</f>
        <v/>
      </c>
      <c r="K135" s="14" t="n">
        <v>376.42</v>
      </c>
      <c r="L135" s="14" t="n">
        <v>376.42</v>
      </c>
      <c r="M135" s="14" t="n">
        <v>376.42</v>
      </c>
      <c r="N135" s="14" t="n">
        <v>376.42</v>
      </c>
      <c r="O135" s="14" t="n">
        <v>376.42</v>
      </c>
      <c r="P135" s="14" t="n">
        <v>376.42</v>
      </c>
      <c r="Q135" s="14" t="n">
        <v>376.42</v>
      </c>
      <c r="R135" s="14" t="n">
        <v>376.42</v>
      </c>
      <c r="S135" s="14" t="n">
        <v>376.42</v>
      </c>
      <c r="T135" s="14" t="n">
        <v>376.42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CANON-202512-002556</t>
        </is>
      </c>
      <c r="B136" s="15" t="inlineStr">
        <is>
          <t>2025-12-17</t>
        </is>
      </c>
      <c r="C136" s="15" t="inlineStr">
        <is>
          <t>Fenwick Chattopadhyay</t>
        </is>
      </c>
      <c r="D136" s="15" t="inlineStr">
        <is>
          <t>MA</t>
        </is>
      </c>
      <c r="E136" s="16" t="n">
        <v>190000</v>
      </c>
      <c r="F136" s="16" t="n">
        <v>3779.22</v>
      </c>
      <c r="G136" s="16" t="n">
        <v>472.4</v>
      </c>
      <c r="H136" s="16" t="n">
        <v>472.4</v>
      </c>
      <c r="I136" s="16">
        <f>SUM(K136:T136)</f>
        <v/>
      </c>
      <c r="J136" s="16">
        <f>F136-(G136+H136+I136)</f>
        <v/>
      </c>
      <c r="K136" s="16" t="n">
        <v>283.44</v>
      </c>
      <c r="L136" s="16" t="n">
        <v>283.44</v>
      </c>
      <c r="M136" s="16" t="n">
        <v>283.44</v>
      </c>
      <c r="N136" s="16" t="n">
        <v>283.44</v>
      </c>
      <c r="O136" s="16" t="n">
        <v>283.44</v>
      </c>
      <c r="P136" s="16" t="n">
        <v>283.44</v>
      </c>
      <c r="Q136" s="16" t="n">
        <v>283.44</v>
      </c>
      <c r="R136" s="16" t="n">
        <v>283.44</v>
      </c>
      <c r="S136" s="16" t="n">
        <v>283.44</v>
      </c>
      <c r="T136" s="16" t="n">
        <v>283.44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CANON-202512-002558</t>
        </is>
      </c>
      <c r="B137" s="3" t="inlineStr">
        <is>
          <t>2025-12-08</t>
        </is>
      </c>
      <c r="C137" s="3" t="inlineStr">
        <is>
          <t>Cassius Blackwood</t>
        </is>
      </c>
      <c r="D137" s="3" t="inlineStr">
        <is>
          <t>MI</t>
        </is>
      </c>
      <c r="E137" s="14" t="n">
        <v>1385000</v>
      </c>
      <c r="F137" s="14" t="n">
        <v>20421.87</v>
      </c>
      <c r="G137" s="14" t="n">
        <v>2552.73</v>
      </c>
      <c r="H137" s="14" t="n">
        <v>2552.73</v>
      </c>
      <c r="I137" s="14">
        <f>SUM(K137:T137)</f>
        <v/>
      </c>
      <c r="J137" s="14">
        <f>F137-(G137+H137+I137)</f>
        <v/>
      </c>
      <c r="K137" s="14" t="n">
        <v>1531.64</v>
      </c>
      <c r="L137" s="14" t="n">
        <v>1531.64</v>
      </c>
      <c r="M137" s="14" t="n">
        <v>1531.64</v>
      </c>
      <c r="N137" s="14" t="n">
        <v>1531.64</v>
      </c>
      <c r="O137" s="14" t="n">
        <v>1531.64</v>
      </c>
      <c r="P137" s="14" t="n">
        <v>1531.64</v>
      </c>
      <c r="Q137" s="14" t="n">
        <v>1531.64</v>
      </c>
      <c r="R137" s="14" t="n">
        <v>1531.64</v>
      </c>
      <c r="S137" s="14" t="n">
        <v>1531.64</v>
      </c>
      <c r="T137" s="14" t="n">
        <v>1531.64</v>
      </c>
      <c r="U137" s="14" t="n">
        <v>350</v>
      </c>
      <c r="V137" s="14" t="n">
        <v>250</v>
      </c>
      <c r="W137" s="14">
        <f>U137+V137</f>
        <v/>
      </c>
    </row>
    <row r="138">
      <c r="A138" s="15" t="inlineStr">
        <is>
          <t>CANON-202512-002560</t>
        </is>
      </c>
      <c r="B138" s="15" t="inlineStr">
        <is>
          <t>2025-12-09</t>
        </is>
      </c>
      <c r="C138" s="15" t="inlineStr">
        <is>
          <t>Ottilie Delacroix</t>
        </is>
      </c>
      <c r="D138" s="15" t="inlineStr">
        <is>
          <t>GA</t>
        </is>
      </c>
      <c r="E138" s="16" t="n">
        <v>610000</v>
      </c>
      <c r="F138" s="16" t="n">
        <v>7680.91</v>
      </c>
      <c r="G138" s="16" t="n">
        <v>960.11</v>
      </c>
      <c r="H138" s="16" t="n">
        <v>960.11</v>
      </c>
      <c r="I138" s="16">
        <f>SUM(K138:T138)</f>
        <v/>
      </c>
      <c r="J138" s="16">
        <f>F138-(G138+H138+I138)</f>
        <v/>
      </c>
      <c r="K138" s="16" t="n">
        <v>576.0700000000001</v>
      </c>
      <c r="L138" s="16" t="n">
        <v>576.0700000000001</v>
      </c>
      <c r="M138" s="16" t="n">
        <v>576.0700000000001</v>
      </c>
      <c r="N138" s="16" t="n">
        <v>576.0700000000001</v>
      </c>
      <c r="O138" s="16" t="n">
        <v>576.0700000000001</v>
      </c>
      <c r="P138" s="16" t="n">
        <v>576.0700000000001</v>
      </c>
      <c r="Q138" s="16" t="n">
        <v>576.0700000000001</v>
      </c>
      <c r="R138" s="16" t="n">
        <v>576.0700000000001</v>
      </c>
      <c r="S138" s="16" t="n">
        <v>576.0700000000001</v>
      </c>
      <c r="T138" s="16" t="n">
        <v>576.0700000000001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CANON-202512-002561</t>
        </is>
      </c>
      <c r="B139" s="3" t="inlineStr">
        <is>
          <t>2025-12-23</t>
        </is>
      </c>
      <c r="C139" s="3" t="inlineStr">
        <is>
          <t>Ottilie Vandermeer</t>
        </is>
      </c>
      <c r="D139" s="3" t="inlineStr">
        <is>
          <t>RI</t>
        </is>
      </c>
      <c r="E139" s="14" t="n">
        <v>370000</v>
      </c>
      <c r="F139" s="14" t="n">
        <v>6575.59</v>
      </c>
      <c r="G139" s="14" t="n">
        <v>821.95</v>
      </c>
      <c r="H139" s="14" t="n">
        <v>821.95</v>
      </c>
      <c r="I139" s="14">
        <f>SUM(K139:T139)</f>
        <v/>
      </c>
      <c r="J139" s="14">
        <f>F139-(G139+H139+I139)</f>
        <v/>
      </c>
      <c r="K139" s="14" t="n">
        <v>493.17</v>
      </c>
      <c r="L139" s="14" t="n">
        <v>493.17</v>
      </c>
      <c r="M139" s="14" t="n">
        <v>493.17</v>
      </c>
      <c r="N139" s="14" t="n">
        <v>493.17</v>
      </c>
      <c r="O139" s="14" t="n">
        <v>493.17</v>
      </c>
      <c r="P139" s="14" t="n">
        <v>493.17</v>
      </c>
      <c r="Q139" s="14" t="n">
        <v>493.17</v>
      </c>
      <c r="R139" s="14" t="n">
        <v>493.17</v>
      </c>
      <c r="S139" s="14" t="n">
        <v>493.17</v>
      </c>
      <c r="T139" s="14" t="n">
        <v>493.17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CANON-202512-002563</t>
        </is>
      </c>
      <c r="B140" s="15" t="inlineStr">
        <is>
          <t>2025-12-23</t>
        </is>
      </c>
      <c r="C140" s="15" t="inlineStr">
        <is>
          <t>Cassius Merriweather</t>
        </is>
      </c>
      <c r="D140" s="15" t="inlineStr">
        <is>
          <t>HI</t>
        </is>
      </c>
      <c r="E140" s="16" t="n">
        <v>1330000</v>
      </c>
      <c r="F140" s="16" t="n">
        <v>23924.14</v>
      </c>
      <c r="G140" s="16" t="n">
        <v>2990.52</v>
      </c>
      <c r="H140" s="16" t="n">
        <v>2990.52</v>
      </c>
      <c r="I140" s="16">
        <f>SUM(K140:T140)</f>
        <v/>
      </c>
      <c r="J140" s="16">
        <f>F140-(G140+H140+I140)</f>
        <v/>
      </c>
      <c r="K140" s="16" t="n">
        <v>1794.31</v>
      </c>
      <c r="L140" s="16" t="n">
        <v>1794.31</v>
      </c>
      <c r="M140" s="16" t="n">
        <v>1794.31</v>
      </c>
      <c r="N140" s="16" t="n">
        <v>1794.31</v>
      </c>
      <c r="O140" s="16" t="n">
        <v>1794.31</v>
      </c>
      <c r="P140" s="16" t="n">
        <v>1794.31</v>
      </c>
      <c r="Q140" s="16" t="n">
        <v>1794.31</v>
      </c>
      <c r="R140" s="16" t="n">
        <v>1794.31</v>
      </c>
      <c r="S140" s="16" t="n">
        <v>1794.31</v>
      </c>
      <c r="T140" s="16" t="n">
        <v>1794.31</v>
      </c>
      <c r="U140" s="16" t="n">
        <v>350</v>
      </c>
      <c r="V140" s="16" t="n">
        <v>250</v>
      </c>
      <c r="W140" s="16">
        <f>U140+V140</f>
        <v/>
      </c>
    </row>
    <row r="141">
      <c r="A141" s="3" t="inlineStr">
        <is>
          <t>CANON-202512-002564</t>
        </is>
      </c>
      <c r="B141" s="3" t="inlineStr">
        <is>
          <t>2025-12-23</t>
        </is>
      </c>
      <c r="C141" s="3" t="inlineStr">
        <is>
          <t>Horace Larsson</t>
        </is>
      </c>
      <c r="D141" s="3" t="inlineStr">
        <is>
          <t>MS</t>
        </is>
      </c>
      <c r="E141" s="14" t="n">
        <v>280000</v>
      </c>
      <c r="F141" s="14" t="n">
        <v>4322.32</v>
      </c>
      <c r="G141" s="14" t="n">
        <v>540.29</v>
      </c>
      <c r="H141" s="14" t="n">
        <v>540.29</v>
      </c>
      <c r="I141" s="14">
        <f>SUM(K141:T141)</f>
        <v/>
      </c>
      <c r="J141" s="14">
        <f>F141-(G141+H141+I141)</f>
        <v/>
      </c>
      <c r="K141" s="14" t="n">
        <v>324.17</v>
      </c>
      <c r="L141" s="14" t="n">
        <v>324.17</v>
      </c>
      <c r="M141" s="14" t="n">
        <v>324.17</v>
      </c>
      <c r="N141" s="14" t="n">
        <v>324.17</v>
      </c>
      <c r="O141" s="14" t="n">
        <v>324.17</v>
      </c>
      <c r="P141" s="14" t="n">
        <v>324.17</v>
      </c>
      <c r="Q141" s="14" t="n">
        <v>324.17</v>
      </c>
      <c r="R141" s="14" t="n">
        <v>324.17</v>
      </c>
      <c r="S141" s="14" t="n">
        <v>324.17</v>
      </c>
      <c r="T141" s="14" t="n">
        <v>324.17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CANON-202512-002565</t>
        </is>
      </c>
      <c r="B142" s="15" t="inlineStr">
        <is>
          <t>2025-12-07</t>
        </is>
      </c>
      <c r="C142" s="15" t="inlineStr">
        <is>
          <t>Delphine Chattopadhyay</t>
        </is>
      </c>
      <c r="D142" s="15" t="inlineStr">
        <is>
          <t>SC</t>
        </is>
      </c>
      <c r="E142" s="16" t="n">
        <v>960000</v>
      </c>
      <c r="F142" s="16" t="n">
        <v>13383.13</v>
      </c>
      <c r="G142" s="16" t="n">
        <v>1672.89</v>
      </c>
      <c r="H142" s="16" t="n">
        <v>1672.89</v>
      </c>
      <c r="I142" s="16">
        <f>SUM(K142:T142)</f>
        <v/>
      </c>
      <c r="J142" s="16">
        <f>F142-(G142+H142+I142)</f>
        <v/>
      </c>
      <c r="K142" s="16" t="n">
        <v>1003.73</v>
      </c>
      <c r="L142" s="16" t="n">
        <v>1003.73</v>
      </c>
      <c r="M142" s="16" t="n">
        <v>1003.73</v>
      </c>
      <c r="N142" s="16" t="n">
        <v>1003.73</v>
      </c>
      <c r="O142" s="16" t="n">
        <v>1003.73</v>
      </c>
      <c r="P142" s="16" t="n">
        <v>1003.73</v>
      </c>
      <c r="Q142" s="16" t="n">
        <v>1003.73</v>
      </c>
      <c r="R142" s="16" t="n">
        <v>1003.73</v>
      </c>
      <c r="S142" s="16" t="n">
        <v>1003.73</v>
      </c>
      <c r="T142" s="16" t="n">
        <v>1003.73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CANON-202512-002566</t>
        </is>
      </c>
      <c r="B143" s="3" t="inlineStr">
        <is>
          <t>2025-12-17</t>
        </is>
      </c>
      <c r="C143" s="3" t="inlineStr">
        <is>
          <t>Saoirse Fairweather</t>
        </is>
      </c>
      <c r="D143" s="3" t="inlineStr">
        <is>
          <t>MI</t>
        </is>
      </c>
      <c r="E143" s="14" t="n">
        <v>310000</v>
      </c>
      <c r="F143" s="14" t="n">
        <v>6233.13</v>
      </c>
      <c r="G143" s="14" t="n">
        <v>779.14</v>
      </c>
      <c r="H143" s="14" t="n">
        <v>779.14</v>
      </c>
      <c r="I143" s="14">
        <f>SUM(K143:T143)</f>
        <v/>
      </c>
      <c r="J143" s="14">
        <f>F143-(G143+H143+I143)</f>
        <v/>
      </c>
      <c r="K143" s="14" t="n">
        <v>467.48</v>
      </c>
      <c r="L143" s="14" t="n">
        <v>467.48</v>
      </c>
      <c r="M143" s="14" t="n">
        <v>467.48</v>
      </c>
      <c r="N143" s="14" t="n">
        <v>467.48</v>
      </c>
      <c r="O143" s="14" t="n">
        <v>467.48</v>
      </c>
      <c r="P143" s="14" t="n">
        <v>467.48</v>
      </c>
      <c r="Q143" s="14" t="n">
        <v>467.48</v>
      </c>
      <c r="R143" s="14" t="n">
        <v>467.48</v>
      </c>
      <c r="S143" s="14" t="n">
        <v>467.48</v>
      </c>
      <c r="T143" s="14" t="n">
        <v>467.48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CANON-202512-002569</t>
        </is>
      </c>
      <c r="B144" s="15" t="inlineStr">
        <is>
          <t>2025-12-12</t>
        </is>
      </c>
      <c r="C144" s="15" t="inlineStr">
        <is>
          <t>Desmond Pennington</t>
        </is>
      </c>
      <c r="D144" s="15" t="inlineStr">
        <is>
          <t>SD</t>
        </is>
      </c>
      <c r="E144" s="16" t="n">
        <v>305000</v>
      </c>
      <c r="F144" s="16" t="n">
        <v>6733.99</v>
      </c>
      <c r="G144" s="16" t="n">
        <v>841.75</v>
      </c>
      <c r="H144" s="16" t="n">
        <v>841.75</v>
      </c>
      <c r="I144" s="16">
        <f>SUM(K144:T144)</f>
        <v/>
      </c>
      <c r="J144" s="16">
        <f>F144-(G144+H144+I144)</f>
        <v/>
      </c>
      <c r="K144" s="16" t="n">
        <v>505.05</v>
      </c>
      <c r="L144" s="16" t="n">
        <v>505.05</v>
      </c>
      <c r="M144" s="16" t="n">
        <v>505.05</v>
      </c>
      <c r="N144" s="16" t="n">
        <v>505.05</v>
      </c>
      <c r="O144" s="16" t="n">
        <v>505.05</v>
      </c>
      <c r="P144" s="16" t="n">
        <v>505.05</v>
      </c>
      <c r="Q144" s="16" t="n">
        <v>505.05</v>
      </c>
      <c r="R144" s="16" t="n">
        <v>505.05</v>
      </c>
      <c r="S144" s="16" t="n">
        <v>505.05</v>
      </c>
      <c r="T144" s="16" t="n">
        <v>505.05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CANON-202512-002570</t>
        </is>
      </c>
      <c r="B145" s="3" t="inlineStr">
        <is>
          <t>2025-12-17</t>
        </is>
      </c>
      <c r="C145" s="3" t="inlineStr">
        <is>
          <t>Callum Underwood</t>
        </is>
      </c>
      <c r="D145" s="3" t="inlineStr">
        <is>
          <t>NM</t>
        </is>
      </c>
      <c r="E145" s="14" t="n">
        <v>1135000</v>
      </c>
      <c r="F145" s="14" t="n">
        <v>9548.620000000001</v>
      </c>
      <c r="G145" s="14" t="n">
        <v>1193.58</v>
      </c>
      <c r="H145" s="14" t="n">
        <v>1193.58</v>
      </c>
      <c r="I145" s="14">
        <f>SUM(K145:T145)</f>
        <v/>
      </c>
      <c r="J145" s="14">
        <f>F145-(G145+H145+I145)</f>
        <v/>
      </c>
      <c r="K145" s="14" t="n">
        <v>716.15</v>
      </c>
      <c r="L145" s="14" t="n">
        <v>716.15</v>
      </c>
      <c r="M145" s="14" t="n">
        <v>716.15</v>
      </c>
      <c r="N145" s="14" t="n">
        <v>716.15</v>
      </c>
      <c r="O145" s="14" t="n">
        <v>716.15</v>
      </c>
      <c r="P145" s="14" t="n">
        <v>716.15</v>
      </c>
      <c r="Q145" s="14" t="n">
        <v>716.15</v>
      </c>
      <c r="R145" s="14" t="n">
        <v>716.15</v>
      </c>
      <c r="S145" s="14" t="n">
        <v>716.15</v>
      </c>
      <c r="T145" s="14" t="n">
        <v>716.15</v>
      </c>
      <c r="U145" s="14" t="n">
        <v>350</v>
      </c>
      <c r="V145" s="14" t="n">
        <v>250</v>
      </c>
      <c r="W145" s="14">
        <f>U145+V145</f>
        <v/>
      </c>
    </row>
    <row r="146">
      <c r="A146" s="15" t="inlineStr">
        <is>
          <t>CANON-202512-002572</t>
        </is>
      </c>
      <c r="B146" s="15" t="inlineStr">
        <is>
          <t>2025-12-04</t>
        </is>
      </c>
      <c r="C146" s="15" t="inlineStr">
        <is>
          <t>Ottilie Kingsford</t>
        </is>
      </c>
      <c r="D146" s="15" t="inlineStr">
        <is>
          <t>TX</t>
        </is>
      </c>
      <c r="E146" s="16" t="n">
        <v>625000</v>
      </c>
      <c r="F146" s="16" t="n">
        <v>8080.58</v>
      </c>
      <c r="G146" s="16" t="n">
        <v>1010.07</v>
      </c>
      <c r="H146" s="16" t="n">
        <v>1010.07</v>
      </c>
      <c r="I146" s="16">
        <f>SUM(K146:T146)</f>
        <v/>
      </c>
      <c r="J146" s="16">
        <f>F146-(G146+H146+I146)</f>
        <v/>
      </c>
      <c r="K146" s="16" t="n">
        <v>606.04</v>
      </c>
      <c r="L146" s="16" t="n">
        <v>606.04</v>
      </c>
      <c r="M146" s="16" t="n">
        <v>606.04</v>
      </c>
      <c r="N146" s="16" t="n">
        <v>606.04</v>
      </c>
      <c r="O146" s="16" t="n">
        <v>606.04</v>
      </c>
      <c r="P146" s="16" t="n">
        <v>606.04</v>
      </c>
      <c r="Q146" s="16" t="n">
        <v>606.04</v>
      </c>
      <c r="R146" s="16" t="n">
        <v>606.04</v>
      </c>
      <c r="S146" s="16" t="n">
        <v>606.04</v>
      </c>
      <c r="T146" s="16" t="n">
        <v>606.04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CANON-202512-002573</t>
        </is>
      </c>
      <c r="B147" s="3" t="inlineStr">
        <is>
          <t>2025-12-24</t>
        </is>
      </c>
      <c r="C147" s="3" t="inlineStr">
        <is>
          <t>Cassius Blackwood</t>
        </is>
      </c>
      <c r="D147" s="3" t="inlineStr">
        <is>
          <t>MI</t>
        </is>
      </c>
      <c r="E147" s="14" t="n">
        <v>930000</v>
      </c>
      <c r="F147" s="14" t="n">
        <v>16206.13</v>
      </c>
      <c r="G147" s="14" t="n">
        <v>2025.77</v>
      </c>
      <c r="H147" s="14" t="n">
        <v>2025.77</v>
      </c>
      <c r="I147" s="14">
        <f>SUM(K147:T147)</f>
        <v/>
      </c>
      <c r="J147" s="14">
        <f>F147-(G147+H147+I147)</f>
        <v/>
      </c>
      <c r="K147" s="14" t="n">
        <v>1215.46</v>
      </c>
      <c r="L147" s="14" t="n">
        <v>1215.46</v>
      </c>
      <c r="M147" s="14" t="n">
        <v>1215.46</v>
      </c>
      <c r="N147" s="14" t="n">
        <v>1215.46</v>
      </c>
      <c r="O147" s="14" t="n">
        <v>1215.46</v>
      </c>
      <c r="P147" s="14" t="n">
        <v>1215.46</v>
      </c>
      <c r="Q147" s="14" t="n">
        <v>1215.46</v>
      </c>
      <c r="R147" s="14" t="n">
        <v>1215.46</v>
      </c>
      <c r="S147" s="14" t="n">
        <v>1215.46</v>
      </c>
      <c r="T147" s="14" t="n">
        <v>1215.46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CANON-202512-002574</t>
        </is>
      </c>
      <c r="B148" s="15" t="inlineStr">
        <is>
          <t>2025-12-31</t>
        </is>
      </c>
      <c r="C148" s="15" t="inlineStr">
        <is>
          <t>Thaddeus Nakashima</t>
        </is>
      </c>
      <c r="D148" s="15" t="inlineStr">
        <is>
          <t>CA</t>
        </is>
      </c>
      <c r="E148" s="16" t="n">
        <v>985000</v>
      </c>
      <c r="F148" s="16" t="n">
        <v>14949.77</v>
      </c>
      <c r="G148" s="16" t="n">
        <v>1868.72</v>
      </c>
      <c r="H148" s="16" t="n">
        <v>1868.72</v>
      </c>
      <c r="I148" s="16">
        <f>SUM(K148:T148)</f>
        <v/>
      </c>
      <c r="J148" s="16">
        <f>F148-(G148+H148+I148)</f>
        <v/>
      </c>
      <c r="K148" s="16" t="n">
        <v>1121.23</v>
      </c>
      <c r="L148" s="16" t="n">
        <v>1121.23</v>
      </c>
      <c r="M148" s="16" t="n">
        <v>1121.23</v>
      </c>
      <c r="N148" s="16" t="n">
        <v>1121.23</v>
      </c>
      <c r="O148" s="16" t="n">
        <v>1121.23</v>
      </c>
      <c r="P148" s="16" t="n">
        <v>1121.23</v>
      </c>
      <c r="Q148" s="16" t="n">
        <v>1121.23</v>
      </c>
      <c r="R148" s="16" t="n">
        <v>1121.23</v>
      </c>
      <c r="S148" s="16" t="n">
        <v>1121.23</v>
      </c>
      <c r="T148" s="16" t="n">
        <v>1121.23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CANON-202512-002576</t>
        </is>
      </c>
      <c r="B149" s="3" t="inlineStr">
        <is>
          <t>2025-12-08</t>
        </is>
      </c>
      <c r="C149" s="3" t="inlineStr">
        <is>
          <t>Aurelio Montoya</t>
        </is>
      </c>
      <c r="D149" s="3" t="inlineStr">
        <is>
          <t>NJ</t>
        </is>
      </c>
      <c r="E149" s="14" t="n">
        <v>190000</v>
      </c>
      <c r="F149" s="14" t="n">
        <v>1704.59</v>
      </c>
      <c r="G149" s="14" t="n">
        <v>213.07</v>
      </c>
      <c r="H149" s="14" t="n">
        <v>213.07</v>
      </c>
      <c r="I149" s="14">
        <f>SUM(K149:T149)</f>
        <v/>
      </c>
      <c r="J149" s="14">
        <f>F149-(G149+H149+I149)</f>
        <v/>
      </c>
      <c r="K149" s="14" t="n">
        <v>127.84</v>
      </c>
      <c r="L149" s="14" t="n">
        <v>127.84</v>
      </c>
      <c r="M149" s="14" t="n">
        <v>127.84</v>
      </c>
      <c r="N149" s="14" t="n">
        <v>127.84</v>
      </c>
      <c r="O149" s="14" t="n">
        <v>127.84</v>
      </c>
      <c r="P149" s="14" t="n">
        <v>127.84</v>
      </c>
      <c r="Q149" s="14" t="n">
        <v>127.84</v>
      </c>
      <c r="R149" s="14" t="n">
        <v>127.84</v>
      </c>
      <c r="S149" s="14" t="n">
        <v>127.84</v>
      </c>
      <c r="T149" s="14" t="n">
        <v>127.84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CANON-202512-002578</t>
        </is>
      </c>
      <c r="B150" s="15" t="inlineStr">
        <is>
          <t>2025-12-24</t>
        </is>
      </c>
      <c r="C150" s="15" t="inlineStr">
        <is>
          <t>Priya Kingsford</t>
        </is>
      </c>
      <c r="D150" s="15" t="inlineStr">
        <is>
          <t>NE</t>
        </is>
      </c>
      <c r="E150" s="16" t="n">
        <v>485000</v>
      </c>
      <c r="F150" s="16" t="n">
        <v>8178.95</v>
      </c>
      <c r="G150" s="16" t="n">
        <v>1022.37</v>
      </c>
      <c r="H150" s="16" t="n">
        <v>1022.37</v>
      </c>
      <c r="I150" s="16">
        <f>SUM(K150:T150)</f>
        <v/>
      </c>
      <c r="J150" s="16">
        <f>F150-(G150+H150+I150)</f>
        <v/>
      </c>
      <c r="K150" s="16" t="n">
        <v>613.42</v>
      </c>
      <c r="L150" s="16" t="n">
        <v>613.42</v>
      </c>
      <c r="M150" s="16" t="n">
        <v>613.42</v>
      </c>
      <c r="N150" s="16" t="n">
        <v>613.42</v>
      </c>
      <c r="O150" s="16" t="n">
        <v>613.42</v>
      </c>
      <c r="P150" s="16" t="n">
        <v>613.42</v>
      </c>
      <c r="Q150" s="16" t="n">
        <v>613.42</v>
      </c>
      <c r="R150" s="16" t="n">
        <v>613.42</v>
      </c>
      <c r="S150" s="16" t="n">
        <v>613.42</v>
      </c>
      <c r="T150" s="16" t="n">
        <v>613.42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CANON-202512-002579</t>
        </is>
      </c>
      <c r="B151" s="3" t="inlineStr">
        <is>
          <t>2025-12-23</t>
        </is>
      </c>
      <c r="C151" s="3" t="inlineStr">
        <is>
          <t>Cassius Harrington</t>
        </is>
      </c>
      <c r="D151" s="3" t="inlineStr">
        <is>
          <t>NE</t>
        </is>
      </c>
      <c r="E151" s="14" t="n">
        <v>575000</v>
      </c>
      <c r="F151" s="14" t="n">
        <v>12282.48</v>
      </c>
      <c r="G151" s="14" t="n">
        <v>1535.31</v>
      </c>
      <c r="H151" s="14" t="n">
        <v>1535.31</v>
      </c>
      <c r="I151" s="14">
        <f>SUM(K151:T151)</f>
        <v/>
      </c>
      <c r="J151" s="14">
        <f>F151-(G151+H151+I151)</f>
        <v/>
      </c>
      <c r="K151" s="14" t="n">
        <v>921.1900000000001</v>
      </c>
      <c r="L151" s="14" t="n">
        <v>921.1900000000001</v>
      </c>
      <c r="M151" s="14" t="n">
        <v>921.1900000000001</v>
      </c>
      <c r="N151" s="14" t="n">
        <v>921.1900000000001</v>
      </c>
      <c r="O151" s="14" t="n">
        <v>921.1900000000001</v>
      </c>
      <c r="P151" s="14" t="n">
        <v>921.1900000000001</v>
      </c>
      <c r="Q151" s="14" t="n">
        <v>921.1900000000001</v>
      </c>
      <c r="R151" s="14" t="n">
        <v>921.1900000000001</v>
      </c>
      <c r="S151" s="14" t="n">
        <v>921.1900000000001</v>
      </c>
      <c r="T151" s="14" t="n">
        <v>921.1900000000001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CANON-202512-002580</t>
        </is>
      </c>
      <c r="B152" s="15" t="inlineStr">
        <is>
          <t>2025-12-01</t>
        </is>
      </c>
      <c r="C152" s="15" t="inlineStr">
        <is>
          <t>Emiliano Harrington</t>
        </is>
      </c>
      <c r="D152" s="15" t="inlineStr">
        <is>
          <t>MA</t>
        </is>
      </c>
      <c r="E152" s="16" t="n">
        <v>665000</v>
      </c>
      <c r="F152" s="16" t="n">
        <v>9345.370000000001</v>
      </c>
      <c r="G152" s="16" t="n">
        <v>1168.17</v>
      </c>
      <c r="H152" s="16" t="n">
        <v>1168.17</v>
      </c>
      <c r="I152" s="16">
        <f>SUM(K152:T152)</f>
        <v/>
      </c>
      <c r="J152" s="16">
        <f>F152-(G152+H152+I152)</f>
        <v/>
      </c>
      <c r="K152" s="16" t="n">
        <v>700.9</v>
      </c>
      <c r="L152" s="16" t="n">
        <v>700.9</v>
      </c>
      <c r="M152" s="16" t="n">
        <v>700.9</v>
      </c>
      <c r="N152" s="16" t="n">
        <v>700.9</v>
      </c>
      <c r="O152" s="16" t="n">
        <v>700.9</v>
      </c>
      <c r="P152" s="16" t="n">
        <v>700.9</v>
      </c>
      <c r="Q152" s="16" t="n">
        <v>700.9</v>
      </c>
      <c r="R152" s="16" t="n">
        <v>700.9</v>
      </c>
      <c r="S152" s="16" t="n">
        <v>700.9</v>
      </c>
      <c r="T152" s="16" t="n">
        <v>700.9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CANON-202512-002582</t>
        </is>
      </c>
      <c r="B153" s="3" t="inlineStr">
        <is>
          <t>2025-12-22</t>
        </is>
      </c>
      <c r="C153" s="3" t="inlineStr">
        <is>
          <t>Horace Nakashima</t>
        </is>
      </c>
      <c r="D153" s="3" t="inlineStr">
        <is>
          <t>MS</t>
        </is>
      </c>
      <c r="E153" s="14" t="n">
        <v>695000</v>
      </c>
      <c r="F153" s="14" t="n">
        <v>13589.6</v>
      </c>
      <c r="G153" s="14" t="n">
        <v>1698.7</v>
      </c>
      <c r="H153" s="14" t="n">
        <v>1698.7</v>
      </c>
      <c r="I153" s="14">
        <f>SUM(K153:T153)</f>
        <v/>
      </c>
      <c r="J153" s="14">
        <f>F153-(G153+H153+I153)</f>
        <v/>
      </c>
      <c r="K153" s="14" t="n">
        <v>1019.22</v>
      </c>
      <c r="L153" s="14" t="n">
        <v>1019.22</v>
      </c>
      <c r="M153" s="14" t="n">
        <v>1019.22</v>
      </c>
      <c r="N153" s="14" t="n">
        <v>1019.22</v>
      </c>
      <c r="O153" s="14" t="n">
        <v>1019.22</v>
      </c>
      <c r="P153" s="14" t="n">
        <v>1019.22</v>
      </c>
      <c r="Q153" s="14" t="n">
        <v>1019.22</v>
      </c>
      <c r="R153" s="14" t="n">
        <v>1019.22</v>
      </c>
      <c r="S153" s="14" t="n">
        <v>1019.22</v>
      </c>
      <c r="T153" s="14" t="n">
        <v>1019.22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CANON-202512-002584</t>
        </is>
      </c>
      <c r="B154" s="15" t="inlineStr">
        <is>
          <t>2025-12-01</t>
        </is>
      </c>
      <c r="C154" s="15" t="inlineStr">
        <is>
          <t>Priya Farkas</t>
        </is>
      </c>
      <c r="D154" s="15" t="inlineStr">
        <is>
          <t>OH</t>
        </is>
      </c>
      <c r="E154" s="16" t="n">
        <v>495000</v>
      </c>
      <c r="F154" s="16" t="n">
        <v>13685.77</v>
      </c>
      <c r="G154" s="16" t="n">
        <v>1710.72</v>
      </c>
      <c r="H154" s="16" t="n">
        <v>1710.72</v>
      </c>
      <c r="I154" s="16">
        <f>SUM(K154:T154)</f>
        <v/>
      </c>
      <c r="J154" s="16">
        <f>F154-(G154+H154+I154)</f>
        <v/>
      </c>
      <c r="K154" s="16" t="n">
        <v>1026.43</v>
      </c>
      <c r="L154" s="16" t="n">
        <v>1026.43</v>
      </c>
      <c r="M154" s="16" t="n">
        <v>1026.43</v>
      </c>
      <c r="N154" s="16" t="n">
        <v>1026.43</v>
      </c>
      <c r="O154" s="16" t="n">
        <v>1026.43</v>
      </c>
      <c r="P154" s="16" t="n">
        <v>1026.43</v>
      </c>
      <c r="Q154" s="16" t="n">
        <v>1026.43</v>
      </c>
      <c r="R154" s="16" t="n">
        <v>1026.43</v>
      </c>
      <c r="S154" s="16" t="n">
        <v>1026.43</v>
      </c>
      <c r="T154" s="16" t="n">
        <v>1026.43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CANON-202512-002587</t>
        </is>
      </c>
      <c r="B155" s="3" t="inlineStr">
        <is>
          <t>2025-12-20</t>
        </is>
      </c>
      <c r="C155" s="3" t="inlineStr">
        <is>
          <t>Cassius Vandermeer</t>
        </is>
      </c>
      <c r="D155" s="3" t="inlineStr">
        <is>
          <t>WA</t>
        </is>
      </c>
      <c r="E155" s="14" t="n">
        <v>310000</v>
      </c>
      <c r="F155" s="14" t="n">
        <v>3860.52</v>
      </c>
      <c r="G155" s="14" t="n">
        <v>482.56</v>
      </c>
      <c r="H155" s="14" t="n">
        <v>482.56</v>
      </c>
      <c r="I155" s="14">
        <f>SUM(K155:T155)</f>
        <v/>
      </c>
      <c r="J155" s="14">
        <f>F155-(G155+H155+I155)</f>
        <v/>
      </c>
      <c r="K155" s="14" t="n">
        <v>289.54</v>
      </c>
      <c r="L155" s="14" t="n">
        <v>289.54</v>
      </c>
      <c r="M155" s="14" t="n">
        <v>289.54</v>
      </c>
      <c r="N155" s="14" t="n">
        <v>289.54</v>
      </c>
      <c r="O155" s="14" t="n">
        <v>289.54</v>
      </c>
      <c r="P155" s="14" t="n">
        <v>289.54</v>
      </c>
      <c r="Q155" s="14" t="n">
        <v>289.54</v>
      </c>
      <c r="R155" s="14" t="n">
        <v>289.54</v>
      </c>
      <c r="S155" s="14" t="n">
        <v>289.54</v>
      </c>
      <c r="T155" s="14" t="n">
        <v>289.54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CANON-202512-002588</t>
        </is>
      </c>
      <c r="B156" s="15" t="inlineStr">
        <is>
          <t>2025-12-12</t>
        </is>
      </c>
      <c r="C156" s="15" t="inlineStr">
        <is>
          <t>Lorenzo Chattopadhyay</t>
        </is>
      </c>
      <c r="D156" s="15" t="inlineStr">
        <is>
          <t>MI</t>
        </is>
      </c>
      <c r="E156" s="16" t="n">
        <v>1925000</v>
      </c>
      <c r="F156" s="16" t="n">
        <v>41286.1</v>
      </c>
      <c r="G156" s="16" t="n">
        <v>5160.76</v>
      </c>
      <c r="H156" s="16" t="n">
        <v>5160.76</v>
      </c>
      <c r="I156" s="16">
        <f>SUM(K156:T156)</f>
        <v/>
      </c>
      <c r="J156" s="16">
        <f>F156-(G156+H156+I156)</f>
        <v/>
      </c>
      <c r="K156" s="16" t="n">
        <v>3096.46</v>
      </c>
      <c r="L156" s="16" t="n">
        <v>3096.46</v>
      </c>
      <c r="M156" s="16" t="n">
        <v>3096.46</v>
      </c>
      <c r="N156" s="16" t="n">
        <v>3096.46</v>
      </c>
      <c r="O156" s="16" t="n">
        <v>3096.46</v>
      </c>
      <c r="P156" s="16" t="n">
        <v>3096.46</v>
      </c>
      <c r="Q156" s="16" t="n">
        <v>3096.46</v>
      </c>
      <c r="R156" s="16" t="n">
        <v>3096.46</v>
      </c>
      <c r="S156" s="16" t="n">
        <v>3096.46</v>
      </c>
      <c r="T156" s="16" t="n">
        <v>3096.46</v>
      </c>
      <c r="U156" s="16" t="n">
        <v>350</v>
      </c>
      <c r="V156" s="16" t="n">
        <v>250</v>
      </c>
      <c r="W156" s="16">
        <f>U156+V156</f>
        <v/>
      </c>
    </row>
    <row r="157">
      <c r="A157" s="3" t="inlineStr">
        <is>
          <t>CANON-202512-002589</t>
        </is>
      </c>
      <c r="B157" s="3" t="inlineStr">
        <is>
          <t>2025-12-18</t>
        </is>
      </c>
      <c r="C157" s="3" t="inlineStr">
        <is>
          <t>Desmond Thistlewood</t>
        </is>
      </c>
      <c r="D157" s="3" t="inlineStr">
        <is>
          <t>OK</t>
        </is>
      </c>
      <c r="E157" s="14" t="n">
        <v>840000</v>
      </c>
      <c r="F157" s="14" t="n">
        <v>11899.11</v>
      </c>
      <c r="G157" s="14" t="n">
        <v>1487.39</v>
      </c>
      <c r="H157" s="14" t="n">
        <v>1487.39</v>
      </c>
      <c r="I157" s="14">
        <f>SUM(K157:T157)</f>
        <v/>
      </c>
      <c r="J157" s="14">
        <f>F157-(G157+H157+I157)</f>
        <v/>
      </c>
      <c r="K157" s="14" t="n">
        <v>892.4299999999999</v>
      </c>
      <c r="L157" s="14" t="n">
        <v>892.4299999999999</v>
      </c>
      <c r="M157" s="14" t="n">
        <v>892.4299999999999</v>
      </c>
      <c r="N157" s="14" t="n">
        <v>892.4299999999999</v>
      </c>
      <c r="O157" s="14" t="n">
        <v>892.4299999999999</v>
      </c>
      <c r="P157" s="14" t="n">
        <v>892.4299999999999</v>
      </c>
      <c r="Q157" s="14" t="n">
        <v>892.4299999999999</v>
      </c>
      <c r="R157" s="14" t="n">
        <v>892.4299999999999</v>
      </c>
      <c r="S157" s="14" t="n">
        <v>892.4299999999999</v>
      </c>
      <c r="T157" s="14" t="n">
        <v>892.4299999999999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CANON-202512-002591</t>
        </is>
      </c>
      <c r="B158" s="15" t="inlineStr">
        <is>
          <t>2025-12-25</t>
        </is>
      </c>
      <c r="C158" s="15" t="inlineStr">
        <is>
          <t>Noor Bellandi</t>
        </is>
      </c>
      <c r="D158" s="15" t="inlineStr">
        <is>
          <t>OK</t>
        </is>
      </c>
      <c r="E158" s="16" t="n">
        <v>1640000</v>
      </c>
      <c r="F158" s="16" t="n">
        <v>12151.91</v>
      </c>
      <c r="G158" s="16" t="n">
        <v>1518.99</v>
      </c>
      <c r="H158" s="16" t="n">
        <v>1518.99</v>
      </c>
      <c r="I158" s="16">
        <f>SUM(K158:T158)</f>
        <v/>
      </c>
      <c r="J158" s="16">
        <f>F158-(G158+H158+I158)</f>
        <v/>
      </c>
      <c r="K158" s="16" t="n">
        <v>911.39</v>
      </c>
      <c r="L158" s="16" t="n">
        <v>911.39</v>
      </c>
      <c r="M158" s="16" t="n">
        <v>911.39</v>
      </c>
      <c r="N158" s="16" t="n">
        <v>911.39</v>
      </c>
      <c r="O158" s="16" t="n">
        <v>911.39</v>
      </c>
      <c r="P158" s="16" t="n">
        <v>911.39</v>
      </c>
      <c r="Q158" s="16" t="n">
        <v>911.39</v>
      </c>
      <c r="R158" s="16" t="n">
        <v>911.39</v>
      </c>
      <c r="S158" s="16" t="n">
        <v>911.39</v>
      </c>
      <c r="T158" s="16" t="n">
        <v>911.39</v>
      </c>
      <c r="U158" s="16" t="n">
        <v>350</v>
      </c>
      <c r="V158" s="16" t="n">
        <v>250</v>
      </c>
      <c r="W158" s="16">
        <f>U158+V158</f>
        <v/>
      </c>
    </row>
    <row r="159">
      <c r="A159" s="3" t="inlineStr">
        <is>
          <t>CANON-202512-002592</t>
        </is>
      </c>
      <c r="B159" s="3" t="inlineStr">
        <is>
          <t>2025-12-09</t>
        </is>
      </c>
      <c r="C159" s="3" t="inlineStr">
        <is>
          <t>Sunniva Whitlock</t>
        </is>
      </c>
      <c r="D159" s="3" t="inlineStr">
        <is>
          <t>KY</t>
        </is>
      </c>
      <c r="E159" s="14" t="n">
        <v>870000</v>
      </c>
      <c r="F159" s="14" t="n">
        <v>19155.75</v>
      </c>
      <c r="G159" s="14" t="n">
        <v>2394.47</v>
      </c>
      <c r="H159" s="14" t="n">
        <v>2394.47</v>
      </c>
      <c r="I159" s="14">
        <f>SUM(K159:T159)</f>
        <v/>
      </c>
      <c r="J159" s="14">
        <f>F159-(G159+H159+I159)</f>
        <v/>
      </c>
      <c r="K159" s="14" t="n">
        <v>1436.68</v>
      </c>
      <c r="L159" s="14" t="n">
        <v>1436.68</v>
      </c>
      <c r="M159" s="14" t="n">
        <v>1436.68</v>
      </c>
      <c r="N159" s="14" t="n">
        <v>1436.68</v>
      </c>
      <c r="O159" s="14" t="n">
        <v>1436.68</v>
      </c>
      <c r="P159" s="14" t="n">
        <v>1436.68</v>
      </c>
      <c r="Q159" s="14" t="n">
        <v>1436.68</v>
      </c>
      <c r="R159" s="14" t="n">
        <v>1436.68</v>
      </c>
      <c r="S159" s="14" t="n">
        <v>1436.68</v>
      </c>
      <c r="T159" s="14" t="n">
        <v>1436.68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CANON-202512-002593</t>
        </is>
      </c>
      <c r="B160" s="15" t="inlineStr">
        <is>
          <t>2025-12-13</t>
        </is>
      </c>
      <c r="C160" s="15" t="inlineStr">
        <is>
          <t>Delphine Vasquez</t>
        </is>
      </c>
      <c r="D160" s="15" t="inlineStr">
        <is>
          <t>GA</t>
        </is>
      </c>
      <c r="E160" s="16" t="n">
        <v>810000</v>
      </c>
      <c r="F160" s="16" t="n">
        <v>10199.24</v>
      </c>
      <c r="G160" s="16" t="n">
        <v>1274.9</v>
      </c>
      <c r="H160" s="16" t="n">
        <v>1274.9</v>
      </c>
      <c r="I160" s="16">
        <f>SUM(K160:T160)</f>
        <v/>
      </c>
      <c r="J160" s="16">
        <f>F160-(G160+H160+I160)</f>
        <v/>
      </c>
      <c r="K160" s="16" t="n">
        <v>764.9400000000001</v>
      </c>
      <c r="L160" s="16" t="n">
        <v>764.9400000000001</v>
      </c>
      <c r="M160" s="16" t="n">
        <v>764.9400000000001</v>
      </c>
      <c r="N160" s="16" t="n">
        <v>764.9400000000001</v>
      </c>
      <c r="O160" s="16" t="n">
        <v>764.9400000000001</v>
      </c>
      <c r="P160" s="16" t="n">
        <v>764.9400000000001</v>
      </c>
      <c r="Q160" s="16" t="n">
        <v>764.9400000000001</v>
      </c>
      <c r="R160" s="16" t="n">
        <v>764.9400000000001</v>
      </c>
      <c r="S160" s="16" t="n">
        <v>764.9400000000001</v>
      </c>
      <c r="T160" s="16" t="n">
        <v>764.9400000000001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CANON-202512-002594</t>
        </is>
      </c>
      <c r="B161" s="3" t="inlineStr">
        <is>
          <t>2025-12-02</t>
        </is>
      </c>
      <c r="C161" s="3" t="inlineStr">
        <is>
          <t>Desmond Harrington</t>
        </is>
      </c>
      <c r="D161" s="3" t="inlineStr">
        <is>
          <t>VT</t>
        </is>
      </c>
      <c r="E161" s="14" t="n">
        <v>1095000</v>
      </c>
      <c r="F161" s="14" t="n">
        <v>12708.31</v>
      </c>
      <c r="G161" s="14" t="n">
        <v>1588.54</v>
      </c>
      <c r="H161" s="14" t="n">
        <v>1588.54</v>
      </c>
      <c r="I161" s="14">
        <f>SUM(K161:T161)</f>
        <v/>
      </c>
      <c r="J161" s="14">
        <f>F161-(G161+H161+I161)</f>
        <v/>
      </c>
      <c r="K161" s="14" t="n">
        <v>953.12</v>
      </c>
      <c r="L161" s="14" t="n">
        <v>953.12</v>
      </c>
      <c r="M161" s="14" t="n">
        <v>953.12</v>
      </c>
      <c r="N161" s="14" t="n">
        <v>953.12</v>
      </c>
      <c r="O161" s="14" t="n">
        <v>953.12</v>
      </c>
      <c r="P161" s="14" t="n">
        <v>953.12</v>
      </c>
      <c r="Q161" s="14" t="n">
        <v>953.12</v>
      </c>
      <c r="R161" s="14" t="n">
        <v>953.12</v>
      </c>
      <c r="S161" s="14" t="n">
        <v>953.12</v>
      </c>
      <c r="T161" s="14" t="n">
        <v>953.12</v>
      </c>
      <c r="U161" s="14" t="n">
        <v>350</v>
      </c>
      <c r="V161" s="14" t="n">
        <v>250</v>
      </c>
      <c r="W161" s="14">
        <f>U161+V161</f>
        <v/>
      </c>
    </row>
    <row r="162">
      <c r="A162" s="15" t="inlineStr">
        <is>
          <t>CANON-202512-002595</t>
        </is>
      </c>
      <c r="B162" s="15" t="inlineStr">
        <is>
          <t>2025-12-23</t>
        </is>
      </c>
      <c r="C162" s="15" t="inlineStr">
        <is>
          <t>Ottilie Chattopadhyay</t>
        </is>
      </c>
      <c r="D162" s="15" t="inlineStr">
        <is>
          <t>RI</t>
        </is>
      </c>
      <c r="E162" s="16" t="n">
        <v>360000</v>
      </c>
      <c r="F162" s="16" t="n">
        <v>6397.88</v>
      </c>
      <c r="G162" s="16" t="n">
        <v>799.74</v>
      </c>
      <c r="H162" s="16" t="n">
        <v>799.74</v>
      </c>
      <c r="I162" s="16">
        <f>SUM(K162:T162)</f>
        <v/>
      </c>
      <c r="J162" s="16">
        <f>F162-(G162+H162+I162)</f>
        <v/>
      </c>
      <c r="K162" s="16" t="n">
        <v>479.84</v>
      </c>
      <c r="L162" s="16" t="n">
        <v>479.84</v>
      </c>
      <c r="M162" s="16" t="n">
        <v>479.84</v>
      </c>
      <c r="N162" s="16" t="n">
        <v>479.84</v>
      </c>
      <c r="O162" s="16" t="n">
        <v>479.84</v>
      </c>
      <c r="P162" s="16" t="n">
        <v>479.84</v>
      </c>
      <c r="Q162" s="16" t="n">
        <v>479.84</v>
      </c>
      <c r="R162" s="16" t="n">
        <v>479.84</v>
      </c>
      <c r="S162" s="16" t="n">
        <v>479.84</v>
      </c>
      <c r="T162" s="16" t="n">
        <v>479.84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CANON-202512-002597</t>
        </is>
      </c>
      <c r="B163" s="3" t="inlineStr">
        <is>
          <t>2025-12-12</t>
        </is>
      </c>
      <c r="C163" s="3" t="inlineStr">
        <is>
          <t>Priya Farkas</t>
        </is>
      </c>
      <c r="D163" s="3" t="inlineStr">
        <is>
          <t>MT</t>
        </is>
      </c>
      <c r="E163" s="14" t="n">
        <v>795000</v>
      </c>
      <c r="F163" s="14" t="n">
        <v>9974.610000000001</v>
      </c>
      <c r="G163" s="14" t="n">
        <v>1246.83</v>
      </c>
      <c r="H163" s="14" t="n">
        <v>1246.83</v>
      </c>
      <c r="I163" s="14">
        <f>SUM(K163:T163)</f>
        <v/>
      </c>
      <c r="J163" s="14">
        <f>F163-(G163+H163+I163)</f>
        <v/>
      </c>
      <c r="K163" s="14" t="n">
        <v>748.1</v>
      </c>
      <c r="L163" s="14" t="n">
        <v>748.1</v>
      </c>
      <c r="M163" s="14" t="n">
        <v>748.1</v>
      </c>
      <c r="N163" s="14" t="n">
        <v>748.1</v>
      </c>
      <c r="O163" s="14" t="n">
        <v>748.1</v>
      </c>
      <c r="P163" s="14" t="n">
        <v>748.1</v>
      </c>
      <c r="Q163" s="14" t="n">
        <v>748.1</v>
      </c>
      <c r="R163" s="14" t="n">
        <v>748.1</v>
      </c>
      <c r="S163" s="14" t="n">
        <v>748.1</v>
      </c>
      <c r="T163" s="14" t="n">
        <v>748.1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CANON-202512-002599</t>
        </is>
      </c>
      <c r="B164" s="15" t="inlineStr">
        <is>
          <t>2025-12-21</t>
        </is>
      </c>
      <c r="C164" s="15" t="inlineStr">
        <is>
          <t>Noor Chattopadhyay</t>
        </is>
      </c>
      <c r="D164" s="15" t="inlineStr">
        <is>
          <t>TX</t>
        </is>
      </c>
      <c r="E164" s="16" t="n">
        <v>365000</v>
      </c>
      <c r="F164" s="16" t="n">
        <v>5445.07</v>
      </c>
      <c r="G164" s="16" t="n">
        <v>680.63</v>
      </c>
      <c r="H164" s="16" t="n">
        <v>680.63</v>
      </c>
      <c r="I164" s="16">
        <f>SUM(K164:T164)</f>
        <v/>
      </c>
      <c r="J164" s="16">
        <f>F164-(G164+H164+I164)</f>
        <v/>
      </c>
      <c r="K164" s="16" t="n">
        <v>408.38</v>
      </c>
      <c r="L164" s="16" t="n">
        <v>408.38</v>
      </c>
      <c r="M164" s="16" t="n">
        <v>408.38</v>
      </c>
      <c r="N164" s="16" t="n">
        <v>408.38</v>
      </c>
      <c r="O164" s="16" t="n">
        <v>408.38</v>
      </c>
      <c r="P164" s="16" t="n">
        <v>408.38</v>
      </c>
      <c r="Q164" s="16" t="n">
        <v>408.38</v>
      </c>
      <c r="R164" s="16" t="n">
        <v>408.38</v>
      </c>
      <c r="S164" s="16" t="n">
        <v>408.38</v>
      </c>
      <c r="T164" s="16" t="n">
        <v>408.38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CANON-202512-002600</t>
        </is>
      </c>
      <c r="B165" s="3" t="inlineStr">
        <is>
          <t>2025-12-26</t>
        </is>
      </c>
      <c r="C165" s="3" t="inlineStr">
        <is>
          <t>Emiliano Thistlewood</t>
        </is>
      </c>
      <c r="D165" s="3" t="inlineStr">
        <is>
          <t>MI</t>
        </is>
      </c>
      <c r="E165" s="14" t="n">
        <v>365000</v>
      </c>
      <c r="F165" s="14" t="n">
        <v>7339.01</v>
      </c>
      <c r="G165" s="14" t="n">
        <v>917.38</v>
      </c>
      <c r="H165" s="14" t="n">
        <v>917.38</v>
      </c>
      <c r="I165" s="14">
        <f>SUM(K165:T165)</f>
        <v/>
      </c>
      <c r="J165" s="14">
        <f>F165-(G165+H165+I165)</f>
        <v/>
      </c>
      <c r="K165" s="14" t="n">
        <v>550.4299999999999</v>
      </c>
      <c r="L165" s="14" t="n">
        <v>550.4299999999999</v>
      </c>
      <c r="M165" s="14" t="n">
        <v>550.4299999999999</v>
      </c>
      <c r="N165" s="14" t="n">
        <v>550.4299999999999</v>
      </c>
      <c r="O165" s="14" t="n">
        <v>550.4299999999999</v>
      </c>
      <c r="P165" s="14" t="n">
        <v>550.4299999999999</v>
      </c>
      <c r="Q165" s="14" t="n">
        <v>550.4299999999999</v>
      </c>
      <c r="R165" s="14" t="n">
        <v>550.4299999999999</v>
      </c>
      <c r="S165" s="14" t="n">
        <v>550.4299999999999</v>
      </c>
      <c r="T165" s="14" t="n">
        <v>550.4299999999999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CANON-202512-002601</t>
        </is>
      </c>
      <c r="B166" s="15" t="inlineStr">
        <is>
          <t>2025-12-06</t>
        </is>
      </c>
      <c r="C166" s="15" t="inlineStr">
        <is>
          <t>Fenwick Okonkwo</t>
        </is>
      </c>
      <c r="D166" s="15" t="inlineStr">
        <is>
          <t>MI</t>
        </is>
      </c>
      <c r="E166" s="16" t="n">
        <v>610000</v>
      </c>
      <c r="F166" s="16" t="n">
        <v>10629.82</v>
      </c>
      <c r="G166" s="16" t="n">
        <v>1328.73</v>
      </c>
      <c r="H166" s="16" t="n">
        <v>1328.73</v>
      </c>
      <c r="I166" s="16">
        <f>SUM(K166:T166)</f>
        <v/>
      </c>
      <c r="J166" s="16">
        <f>F166-(G166+H166+I166)</f>
        <v/>
      </c>
      <c r="K166" s="16" t="n">
        <v>797.24</v>
      </c>
      <c r="L166" s="16" t="n">
        <v>797.24</v>
      </c>
      <c r="M166" s="16" t="n">
        <v>797.24</v>
      </c>
      <c r="N166" s="16" t="n">
        <v>797.24</v>
      </c>
      <c r="O166" s="16" t="n">
        <v>797.24</v>
      </c>
      <c r="P166" s="16" t="n">
        <v>797.24</v>
      </c>
      <c r="Q166" s="16" t="n">
        <v>797.24</v>
      </c>
      <c r="R166" s="16" t="n">
        <v>797.24</v>
      </c>
      <c r="S166" s="16" t="n">
        <v>797.24</v>
      </c>
      <c r="T166" s="16" t="n">
        <v>797.24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CANON-202512-002602</t>
        </is>
      </c>
      <c r="B167" s="3" t="inlineStr">
        <is>
          <t>2025-12-09</t>
        </is>
      </c>
      <c r="C167" s="3" t="inlineStr">
        <is>
          <t>Marisol Merriweather</t>
        </is>
      </c>
      <c r="D167" s="3" t="inlineStr">
        <is>
          <t>IA</t>
        </is>
      </c>
      <c r="E167" s="14" t="n">
        <v>1765000</v>
      </c>
      <c r="F167" s="14" t="n">
        <v>18469.34</v>
      </c>
      <c r="G167" s="14" t="n">
        <v>2308.67</v>
      </c>
      <c r="H167" s="14" t="n">
        <v>2308.67</v>
      </c>
      <c r="I167" s="14">
        <f>SUM(K167:T167)</f>
        <v/>
      </c>
      <c r="J167" s="14">
        <f>F167-(G167+H167+I167)</f>
        <v/>
      </c>
      <c r="K167" s="14" t="n">
        <v>1385.2</v>
      </c>
      <c r="L167" s="14" t="n">
        <v>1385.2</v>
      </c>
      <c r="M167" s="14" t="n">
        <v>1385.2</v>
      </c>
      <c r="N167" s="14" t="n">
        <v>1385.2</v>
      </c>
      <c r="O167" s="14" t="n">
        <v>1385.2</v>
      </c>
      <c r="P167" s="14" t="n">
        <v>1385.2</v>
      </c>
      <c r="Q167" s="14" t="n">
        <v>1385.2</v>
      </c>
      <c r="R167" s="14" t="n">
        <v>1385.2</v>
      </c>
      <c r="S167" s="14" t="n">
        <v>1385.2</v>
      </c>
      <c r="T167" s="14" t="n">
        <v>1385.2</v>
      </c>
      <c r="U167" s="14" t="n">
        <v>350</v>
      </c>
      <c r="V167" s="14" t="n">
        <v>250</v>
      </c>
      <c r="W167" s="14">
        <f>U167+V167</f>
        <v/>
      </c>
    </row>
    <row r="168">
      <c r="A168" s="15" t="inlineStr">
        <is>
          <t>CANON-202512-002603</t>
        </is>
      </c>
      <c r="B168" s="15" t="inlineStr">
        <is>
          <t>2025-12-22</t>
        </is>
      </c>
      <c r="C168" s="15" t="inlineStr">
        <is>
          <t>Ingrid Kingsford</t>
        </is>
      </c>
      <c r="D168" s="15" t="inlineStr">
        <is>
          <t>NE</t>
        </is>
      </c>
      <c r="E168" s="16" t="n">
        <v>460000</v>
      </c>
      <c r="F168" s="16" t="n">
        <v>7757.35</v>
      </c>
      <c r="G168" s="16" t="n">
        <v>969.67</v>
      </c>
      <c r="H168" s="16" t="n">
        <v>969.67</v>
      </c>
      <c r="I168" s="16">
        <f>SUM(K168:T168)</f>
        <v/>
      </c>
      <c r="J168" s="16">
        <f>F168-(G168+H168+I168)</f>
        <v/>
      </c>
      <c r="K168" s="16" t="n">
        <v>581.8</v>
      </c>
      <c r="L168" s="16" t="n">
        <v>581.8</v>
      </c>
      <c r="M168" s="16" t="n">
        <v>581.8</v>
      </c>
      <c r="N168" s="16" t="n">
        <v>581.8</v>
      </c>
      <c r="O168" s="16" t="n">
        <v>581.8</v>
      </c>
      <c r="P168" s="16" t="n">
        <v>581.8</v>
      </c>
      <c r="Q168" s="16" t="n">
        <v>581.8</v>
      </c>
      <c r="R168" s="16" t="n">
        <v>581.8</v>
      </c>
      <c r="S168" s="16" t="n">
        <v>581.8</v>
      </c>
      <c r="T168" s="16" t="n">
        <v>581.8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CANON-202512-002605</t>
        </is>
      </c>
      <c r="B169" s="3" t="inlineStr">
        <is>
          <t>2025-12-13</t>
        </is>
      </c>
      <c r="C169" s="3" t="inlineStr">
        <is>
          <t>Ottilie Chattopadhyay</t>
        </is>
      </c>
      <c r="D169" s="3" t="inlineStr">
        <is>
          <t>TX</t>
        </is>
      </c>
      <c r="E169" s="14" t="n">
        <v>795000</v>
      </c>
      <c r="F169" s="14" t="n">
        <v>10278.5</v>
      </c>
      <c r="G169" s="14" t="n">
        <v>1284.81</v>
      </c>
      <c r="H169" s="14" t="n">
        <v>1284.81</v>
      </c>
      <c r="I169" s="14">
        <f>SUM(K169:T169)</f>
        <v/>
      </c>
      <c r="J169" s="14">
        <f>F169-(G169+H169+I169)</f>
        <v/>
      </c>
      <c r="K169" s="14" t="n">
        <v>770.89</v>
      </c>
      <c r="L169" s="14" t="n">
        <v>770.89</v>
      </c>
      <c r="M169" s="14" t="n">
        <v>770.89</v>
      </c>
      <c r="N169" s="14" t="n">
        <v>770.89</v>
      </c>
      <c r="O169" s="14" t="n">
        <v>770.89</v>
      </c>
      <c r="P169" s="14" t="n">
        <v>770.89</v>
      </c>
      <c r="Q169" s="14" t="n">
        <v>770.89</v>
      </c>
      <c r="R169" s="14" t="n">
        <v>770.89</v>
      </c>
      <c r="S169" s="14" t="n">
        <v>770.89</v>
      </c>
      <c r="T169" s="14" t="n">
        <v>770.89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CANON-202512-002606</t>
        </is>
      </c>
      <c r="B170" s="15" t="inlineStr">
        <is>
          <t>2025-12-13</t>
        </is>
      </c>
      <c r="C170" s="15" t="inlineStr">
        <is>
          <t>Priya Larsson</t>
        </is>
      </c>
      <c r="D170" s="15" t="inlineStr">
        <is>
          <t>IL</t>
        </is>
      </c>
      <c r="E170" s="16" t="n">
        <v>900000</v>
      </c>
      <c r="F170" s="16" t="n">
        <v>13760.88</v>
      </c>
      <c r="G170" s="16" t="n">
        <v>1720.11</v>
      </c>
      <c r="H170" s="16" t="n">
        <v>1720.11</v>
      </c>
      <c r="I170" s="16">
        <f>SUM(K170:T170)</f>
        <v/>
      </c>
      <c r="J170" s="16">
        <f>F170-(G170+H170+I170)</f>
        <v/>
      </c>
      <c r="K170" s="16" t="n">
        <v>1032.07</v>
      </c>
      <c r="L170" s="16" t="n">
        <v>1032.07</v>
      </c>
      <c r="M170" s="16" t="n">
        <v>1032.07</v>
      </c>
      <c r="N170" s="16" t="n">
        <v>1032.07</v>
      </c>
      <c r="O170" s="16" t="n">
        <v>1032.07</v>
      </c>
      <c r="P170" s="16" t="n">
        <v>1032.07</v>
      </c>
      <c r="Q170" s="16" t="n">
        <v>1032.07</v>
      </c>
      <c r="R170" s="16" t="n">
        <v>1032.07</v>
      </c>
      <c r="S170" s="16" t="n">
        <v>1032.07</v>
      </c>
      <c r="T170" s="16" t="n">
        <v>1032.07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CANON-202512-002607</t>
        </is>
      </c>
      <c r="B171" s="3" t="inlineStr">
        <is>
          <t>2025-12-26</t>
        </is>
      </c>
      <c r="C171" s="3" t="inlineStr">
        <is>
          <t>Wilhelmina Blackwood</t>
        </is>
      </c>
      <c r="D171" s="3" t="inlineStr">
        <is>
          <t>MI</t>
        </is>
      </c>
      <c r="E171" s="14" t="n">
        <v>850000</v>
      </c>
      <c r="F171" s="14" t="n">
        <v>21648.39</v>
      </c>
      <c r="G171" s="14" t="n">
        <v>2706.05</v>
      </c>
      <c r="H171" s="14" t="n">
        <v>2706.05</v>
      </c>
      <c r="I171" s="14">
        <f>SUM(K171:T171)</f>
        <v/>
      </c>
      <c r="J171" s="14">
        <f>F171-(G171+H171+I171)</f>
        <v/>
      </c>
      <c r="K171" s="14" t="n">
        <v>1623.63</v>
      </c>
      <c r="L171" s="14" t="n">
        <v>1623.63</v>
      </c>
      <c r="M171" s="14" t="n">
        <v>1623.63</v>
      </c>
      <c r="N171" s="14" t="n">
        <v>1623.63</v>
      </c>
      <c r="O171" s="14" t="n">
        <v>1623.63</v>
      </c>
      <c r="P171" s="14" t="n">
        <v>1623.63</v>
      </c>
      <c r="Q171" s="14" t="n">
        <v>1623.63</v>
      </c>
      <c r="R171" s="14" t="n">
        <v>1623.63</v>
      </c>
      <c r="S171" s="14" t="n">
        <v>1623.63</v>
      </c>
      <c r="T171" s="14" t="n">
        <v>1623.63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CANON-202512-002608</t>
        </is>
      </c>
      <c r="B172" s="15" t="inlineStr">
        <is>
          <t>2025-12-05</t>
        </is>
      </c>
      <c r="C172" s="15" t="inlineStr">
        <is>
          <t>Callum Kingsford</t>
        </is>
      </c>
      <c r="D172" s="15" t="inlineStr">
        <is>
          <t>OH</t>
        </is>
      </c>
      <c r="E172" s="16" t="n">
        <v>455000</v>
      </c>
      <c r="F172" s="16" t="n">
        <v>8204.24</v>
      </c>
      <c r="G172" s="16" t="n">
        <v>1025.53</v>
      </c>
      <c r="H172" s="16" t="n">
        <v>1025.53</v>
      </c>
      <c r="I172" s="16">
        <f>SUM(K172:T172)</f>
        <v/>
      </c>
      <c r="J172" s="16">
        <f>F172-(G172+H172+I172)</f>
        <v/>
      </c>
      <c r="K172" s="16" t="n">
        <v>615.3200000000001</v>
      </c>
      <c r="L172" s="16" t="n">
        <v>615.3200000000001</v>
      </c>
      <c r="M172" s="16" t="n">
        <v>615.3200000000001</v>
      </c>
      <c r="N172" s="16" t="n">
        <v>615.3200000000001</v>
      </c>
      <c r="O172" s="16" t="n">
        <v>615.3200000000001</v>
      </c>
      <c r="P172" s="16" t="n">
        <v>615.3200000000001</v>
      </c>
      <c r="Q172" s="16" t="n">
        <v>615.3200000000001</v>
      </c>
      <c r="R172" s="16" t="n">
        <v>615.3200000000001</v>
      </c>
      <c r="S172" s="16" t="n">
        <v>615.3200000000001</v>
      </c>
      <c r="T172" s="16" t="n">
        <v>615.3200000000001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CANON-202512-002609</t>
        </is>
      </c>
      <c r="B173" s="3" t="inlineStr">
        <is>
          <t>2025-12-13</t>
        </is>
      </c>
      <c r="C173" s="3" t="inlineStr">
        <is>
          <t>Sunniva Kingsford</t>
        </is>
      </c>
      <c r="D173" s="3" t="inlineStr">
        <is>
          <t>NY</t>
        </is>
      </c>
      <c r="E173" s="14" t="n">
        <v>565000</v>
      </c>
      <c r="F173" s="14" t="n">
        <v>5378.71</v>
      </c>
      <c r="G173" s="14" t="n">
        <v>672.34</v>
      </c>
      <c r="H173" s="14" t="n">
        <v>672.34</v>
      </c>
      <c r="I173" s="14">
        <f>SUM(K173:T173)</f>
        <v/>
      </c>
      <c r="J173" s="14">
        <f>F173-(G173+H173+I173)</f>
        <v/>
      </c>
      <c r="K173" s="14" t="n">
        <v>403.4</v>
      </c>
      <c r="L173" s="14" t="n">
        <v>403.4</v>
      </c>
      <c r="M173" s="14" t="n">
        <v>403.4</v>
      </c>
      <c r="N173" s="14" t="n">
        <v>403.4</v>
      </c>
      <c r="O173" s="14" t="n">
        <v>403.4</v>
      </c>
      <c r="P173" s="14" t="n">
        <v>403.4</v>
      </c>
      <c r="Q173" s="14" t="n">
        <v>403.4</v>
      </c>
      <c r="R173" s="14" t="n">
        <v>403.4</v>
      </c>
      <c r="S173" s="14" t="n">
        <v>403.4</v>
      </c>
      <c r="T173" s="14" t="n">
        <v>403.4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CANON-202512-002612</t>
        </is>
      </c>
      <c r="B174" s="15" t="inlineStr">
        <is>
          <t>2025-12-07</t>
        </is>
      </c>
      <c r="C174" s="15" t="inlineStr">
        <is>
          <t>Anouk Farkas</t>
        </is>
      </c>
      <c r="D174" s="15" t="inlineStr">
        <is>
          <t>NC</t>
        </is>
      </c>
      <c r="E174" s="16" t="n">
        <v>990000</v>
      </c>
      <c r="F174" s="16" t="n">
        <v>18707.17</v>
      </c>
      <c r="G174" s="16" t="n">
        <v>2338.4</v>
      </c>
      <c r="H174" s="16" t="n">
        <v>2338.4</v>
      </c>
      <c r="I174" s="16">
        <f>SUM(K174:T174)</f>
        <v/>
      </c>
      <c r="J174" s="16">
        <f>F174-(G174+H174+I174)</f>
        <v/>
      </c>
      <c r="K174" s="16" t="n">
        <v>1403.04</v>
      </c>
      <c r="L174" s="16" t="n">
        <v>1403.04</v>
      </c>
      <c r="M174" s="16" t="n">
        <v>1403.04</v>
      </c>
      <c r="N174" s="16" t="n">
        <v>1403.04</v>
      </c>
      <c r="O174" s="16" t="n">
        <v>1403.04</v>
      </c>
      <c r="P174" s="16" t="n">
        <v>1403.04</v>
      </c>
      <c r="Q174" s="16" t="n">
        <v>1403.04</v>
      </c>
      <c r="R174" s="16" t="n">
        <v>1403.04</v>
      </c>
      <c r="S174" s="16" t="n">
        <v>1403.04</v>
      </c>
      <c r="T174" s="16" t="n">
        <v>1403.04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CANON-202512-002614</t>
        </is>
      </c>
      <c r="B175" s="3" t="inlineStr">
        <is>
          <t>2025-12-23</t>
        </is>
      </c>
      <c r="C175" s="3" t="inlineStr">
        <is>
          <t>Beatrix Delacroix</t>
        </is>
      </c>
      <c r="D175" s="3" t="inlineStr">
        <is>
          <t>SC</t>
        </is>
      </c>
      <c r="E175" s="14" t="n">
        <v>145000</v>
      </c>
      <c r="F175" s="14" t="n">
        <v>1772.62</v>
      </c>
      <c r="G175" s="14" t="n">
        <v>221.58</v>
      </c>
      <c r="H175" s="14" t="n">
        <v>221.58</v>
      </c>
      <c r="I175" s="14">
        <f>SUM(K175:T175)</f>
        <v/>
      </c>
      <c r="J175" s="14">
        <f>F175-(G175+H175+I175)</f>
        <v/>
      </c>
      <c r="K175" s="14" t="n">
        <v>132.95</v>
      </c>
      <c r="L175" s="14" t="n">
        <v>132.95</v>
      </c>
      <c r="M175" s="14" t="n">
        <v>132.95</v>
      </c>
      <c r="N175" s="14" t="n">
        <v>132.95</v>
      </c>
      <c r="O175" s="14" t="n">
        <v>132.95</v>
      </c>
      <c r="P175" s="14" t="n">
        <v>132.95</v>
      </c>
      <c r="Q175" s="14" t="n">
        <v>132.95</v>
      </c>
      <c r="R175" s="14" t="n">
        <v>132.95</v>
      </c>
      <c r="S175" s="14" t="n">
        <v>132.95</v>
      </c>
      <c r="T175" s="14" t="n">
        <v>132.95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CANON-202512-002615</t>
        </is>
      </c>
      <c r="B176" s="15" t="inlineStr">
        <is>
          <t>2025-12-22</t>
        </is>
      </c>
      <c r="C176" s="15" t="inlineStr">
        <is>
          <t>Wilhelmina Larsson</t>
        </is>
      </c>
      <c r="D176" s="15" t="inlineStr">
        <is>
          <t>IA</t>
        </is>
      </c>
      <c r="E176" s="16" t="n">
        <v>360000</v>
      </c>
      <c r="F176" s="16" t="n">
        <v>5136.98</v>
      </c>
      <c r="G176" s="16" t="n">
        <v>642.12</v>
      </c>
      <c r="H176" s="16" t="n">
        <v>642.12</v>
      </c>
      <c r="I176" s="16">
        <f>SUM(K176:T176)</f>
        <v/>
      </c>
      <c r="J176" s="16">
        <f>F176-(G176+H176+I176)</f>
        <v/>
      </c>
      <c r="K176" s="16" t="n">
        <v>385.27</v>
      </c>
      <c r="L176" s="16" t="n">
        <v>385.27</v>
      </c>
      <c r="M176" s="16" t="n">
        <v>385.27</v>
      </c>
      <c r="N176" s="16" t="n">
        <v>385.27</v>
      </c>
      <c r="O176" s="16" t="n">
        <v>385.27</v>
      </c>
      <c r="P176" s="16" t="n">
        <v>385.27</v>
      </c>
      <c r="Q176" s="16" t="n">
        <v>385.27</v>
      </c>
      <c r="R176" s="16" t="n">
        <v>385.27</v>
      </c>
      <c r="S176" s="16" t="n">
        <v>385.27</v>
      </c>
      <c r="T176" s="16" t="n">
        <v>385.27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CANON-202512-002616</t>
        </is>
      </c>
      <c r="B177" s="3" t="inlineStr">
        <is>
          <t>2025-12-14</t>
        </is>
      </c>
      <c r="C177" s="3" t="inlineStr">
        <is>
          <t>Beatrix Chattopadhyay</t>
        </is>
      </c>
      <c r="D177" s="3" t="inlineStr">
        <is>
          <t>MD</t>
        </is>
      </c>
      <c r="E177" s="14" t="n">
        <v>365000</v>
      </c>
      <c r="F177" s="14" t="n">
        <v>4498.1</v>
      </c>
      <c r="G177" s="14" t="n">
        <v>562.26</v>
      </c>
      <c r="H177" s="14" t="n">
        <v>562.26</v>
      </c>
      <c r="I177" s="14">
        <f>SUM(K177:T177)</f>
        <v/>
      </c>
      <c r="J177" s="14">
        <f>F177-(G177+H177+I177)</f>
        <v/>
      </c>
      <c r="K177" s="14" t="n">
        <v>337.36</v>
      </c>
      <c r="L177" s="14" t="n">
        <v>337.36</v>
      </c>
      <c r="M177" s="14" t="n">
        <v>337.36</v>
      </c>
      <c r="N177" s="14" t="n">
        <v>337.36</v>
      </c>
      <c r="O177" s="14" t="n">
        <v>337.36</v>
      </c>
      <c r="P177" s="14" t="n">
        <v>337.36</v>
      </c>
      <c r="Q177" s="14" t="n">
        <v>337.36</v>
      </c>
      <c r="R177" s="14" t="n">
        <v>337.36</v>
      </c>
      <c r="S177" s="14" t="n">
        <v>337.36</v>
      </c>
      <c r="T177" s="14" t="n">
        <v>337.36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CANON-202512-002617</t>
        </is>
      </c>
      <c r="B178" s="15" t="inlineStr">
        <is>
          <t>2025-12-05</t>
        </is>
      </c>
      <c r="C178" s="15" t="inlineStr">
        <is>
          <t>Lorenzo Underwood</t>
        </is>
      </c>
      <c r="D178" s="15" t="inlineStr">
        <is>
          <t>TX</t>
        </is>
      </c>
      <c r="E178" s="16" t="n">
        <v>140000</v>
      </c>
      <c r="F178" s="16" t="n">
        <v>2561.92</v>
      </c>
      <c r="G178" s="16" t="n">
        <v>320.24</v>
      </c>
      <c r="H178" s="16" t="n">
        <v>320.24</v>
      </c>
      <c r="I178" s="16">
        <f>SUM(K178:T178)</f>
        <v/>
      </c>
      <c r="J178" s="16">
        <f>F178-(G178+H178+I178)</f>
        <v/>
      </c>
      <c r="K178" s="16" t="n">
        <v>192.14</v>
      </c>
      <c r="L178" s="16" t="n">
        <v>192.14</v>
      </c>
      <c r="M178" s="16" t="n">
        <v>192.14</v>
      </c>
      <c r="N178" s="16" t="n">
        <v>192.14</v>
      </c>
      <c r="O178" s="16" t="n">
        <v>192.14</v>
      </c>
      <c r="P178" s="16" t="n">
        <v>192.14</v>
      </c>
      <c r="Q178" s="16" t="n">
        <v>192.14</v>
      </c>
      <c r="R178" s="16" t="n">
        <v>192.14</v>
      </c>
      <c r="S178" s="16" t="n">
        <v>192.14</v>
      </c>
      <c r="T178" s="16" t="n">
        <v>192.14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CANON-202512-002618</t>
        </is>
      </c>
      <c r="B179" s="3" t="inlineStr">
        <is>
          <t>2025-12-21</t>
        </is>
      </c>
      <c r="C179" s="3" t="inlineStr">
        <is>
          <t>Priya Farkas</t>
        </is>
      </c>
      <c r="D179" s="3" t="inlineStr">
        <is>
          <t>RI</t>
        </is>
      </c>
      <c r="E179" s="14" t="n">
        <v>590000</v>
      </c>
      <c r="F179" s="14" t="n">
        <v>6011.64</v>
      </c>
      <c r="G179" s="14" t="n">
        <v>751.46</v>
      </c>
      <c r="H179" s="14" t="n">
        <v>751.46</v>
      </c>
      <c r="I179" s="14">
        <f>SUM(K179:T179)</f>
        <v/>
      </c>
      <c r="J179" s="14">
        <f>F179-(G179+H179+I179)</f>
        <v/>
      </c>
      <c r="K179" s="14" t="n">
        <v>450.87</v>
      </c>
      <c r="L179" s="14" t="n">
        <v>450.87</v>
      </c>
      <c r="M179" s="14" t="n">
        <v>450.87</v>
      </c>
      <c r="N179" s="14" t="n">
        <v>450.87</v>
      </c>
      <c r="O179" s="14" t="n">
        <v>450.87</v>
      </c>
      <c r="P179" s="14" t="n">
        <v>450.87</v>
      </c>
      <c r="Q179" s="14" t="n">
        <v>450.87</v>
      </c>
      <c r="R179" s="14" t="n">
        <v>450.87</v>
      </c>
      <c r="S179" s="14" t="n">
        <v>450.87</v>
      </c>
      <c r="T179" s="14" t="n">
        <v>450.87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CANON-202512-002620</t>
        </is>
      </c>
      <c r="B180" s="15" t="inlineStr">
        <is>
          <t>2025-12-25</t>
        </is>
      </c>
      <c r="C180" s="15" t="inlineStr">
        <is>
          <t>Saoirse Montoya</t>
        </is>
      </c>
      <c r="D180" s="15" t="inlineStr">
        <is>
          <t>WV</t>
        </is>
      </c>
      <c r="E180" s="16" t="n">
        <v>680000</v>
      </c>
      <c r="F180" s="16" t="n">
        <v>10167.76</v>
      </c>
      <c r="G180" s="16" t="n">
        <v>1270.97</v>
      </c>
      <c r="H180" s="16" t="n">
        <v>1270.97</v>
      </c>
      <c r="I180" s="16">
        <f>SUM(K180:T180)</f>
        <v/>
      </c>
      <c r="J180" s="16">
        <f>F180-(G180+H180+I180)</f>
        <v/>
      </c>
      <c r="K180" s="16" t="n">
        <v>762.58</v>
      </c>
      <c r="L180" s="16" t="n">
        <v>762.58</v>
      </c>
      <c r="M180" s="16" t="n">
        <v>762.58</v>
      </c>
      <c r="N180" s="16" t="n">
        <v>762.58</v>
      </c>
      <c r="O180" s="16" t="n">
        <v>762.58</v>
      </c>
      <c r="P180" s="16" t="n">
        <v>762.58</v>
      </c>
      <c r="Q180" s="16" t="n">
        <v>762.58</v>
      </c>
      <c r="R180" s="16" t="n">
        <v>762.58</v>
      </c>
      <c r="S180" s="16" t="n">
        <v>762.58</v>
      </c>
      <c r="T180" s="16" t="n">
        <v>762.58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CANON-202512-002622</t>
        </is>
      </c>
      <c r="B181" s="3" t="inlineStr">
        <is>
          <t>2025-12-26</t>
        </is>
      </c>
      <c r="C181" s="3" t="inlineStr">
        <is>
          <t>Ramona Vasquez</t>
        </is>
      </c>
      <c r="D181" s="3" t="inlineStr">
        <is>
          <t>MI</t>
        </is>
      </c>
      <c r="E181" s="14" t="n">
        <v>555000</v>
      </c>
      <c r="F181" s="14" t="n">
        <v>6398.01</v>
      </c>
      <c r="G181" s="14" t="n">
        <v>799.75</v>
      </c>
      <c r="H181" s="14" t="n">
        <v>799.75</v>
      </c>
      <c r="I181" s="14">
        <f>SUM(K181:T181)</f>
        <v/>
      </c>
      <c r="J181" s="14">
        <f>F181-(G181+H181+I181)</f>
        <v/>
      </c>
      <c r="K181" s="14" t="n">
        <v>479.85</v>
      </c>
      <c r="L181" s="14" t="n">
        <v>479.85</v>
      </c>
      <c r="M181" s="14" t="n">
        <v>479.85</v>
      </c>
      <c r="N181" s="14" t="n">
        <v>479.85</v>
      </c>
      <c r="O181" s="14" t="n">
        <v>479.85</v>
      </c>
      <c r="P181" s="14" t="n">
        <v>479.85</v>
      </c>
      <c r="Q181" s="14" t="n">
        <v>479.85</v>
      </c>
      <c r="R181" s="14" t="n">
        <v>479.85</v>
      </c>
      <c r="S181" s="14" t="n">
        <v>479.85</v>
      </c>
      <c r="T181" s="14" t="n">
        <v>479.85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CANON-202512-002625</t>
        </is>
      </c>
      <c r="B182" s="15" t="inlineStr">
        <is>
          <t>2025-12-25</t>
        </is>
      </c>
      <c r="C182" s="15" t="inlineStr">
        <is>
          <t>Leopold Larsson</t>
        </is>
      </c>
      <c r="D182" s="15" t="inlineStr">
        <is>
          <t>TX</t>
        </is>
      </c>
      <c r="E182" s="16" t="n">
        <v>1270000</v>
      </c>
      <c r="F182" s="16" t="n">
        <v>20208.91</v>
      </c>
      <c r="G182" s="16" t="n">
        <v>2526.11</v>
      </c>
      <c r="H182" s="16" t="n">
        <v>2526.11</v>
      </c>
      <c r="I182" s="16">
        <f>SUM(K182:T182)</f>
        <v/>
      </c>
      <c r="J182" s="16">
        <f>F182-(G182+H182+I182)</f>
        <v/>
      </c>
      <c r="K182" s="16" t="n">
        <v>1515.67</v>
      </c>
      <c r="L182" s="16" t="n">
        <v>1515.67</v>
      </c>
      <c r="M182" s="16" t="n">
        <v>1515.67</v>
      </c>
      <c r="N182" s="16" t="n">
        <v>1515.67</v>
      </c>
      <c r="O182" s="16" t="n">
        <v>1515.67</v>
      </c>
      <c r="P182" s="16" t="n">
        <v>1515.67</v>
      </c>
      <c r="Q182" s="16" t="n">
        <v>1515.67</v>
      </c>
      <c r="R182" s="16" t="n">
        <v>1515.67</v>
      </c>
      <c r="S182" s="16" t="n">
        <v>1515.67</v>
      </c>
      <c r="T182" s="16" t="n">
        <v>1515.67</v>
      </c>
      <c r="U182" s="16" t="n">
        <v>350</v>
      </c>
      <c r="V182" s="16" t="n">
        <v>250</v>
      </c>
      <c r="W182" s="16">
        <f>U182+V182</f>
        <v/>
      </c>
    </row>
    <row r="183">
      <c r="A183" s="3" t="inlineStr">
        <is>
          <t>CANON-202512-002626</t>
        </is>
      </c>
      <c r="B183" s="3" t="inlineStr">
        <is>
          <t>2025-12-05</t>
        </is>
      </c>
      <c r="C183" s="3" t="inlineStr">
        <is>
          <t>Leopold Bellandi</t>
        </is>
      </c>
      <c r="D183" s="3" t="inlineStr">
        <is>
          <t>IL</t>
        </is>
      </c>
      <c r="E183" s="14" t="n">
        <v>360000</v>
      </c>
      <c r="F183" s="14" t="n">
        <v>6351.17</v>
      </c>
      <c r="G183" s="14" t="n">
        <v>793.9</v>
      </c>
      <c r="H183" s="14" t="n">
        <v>793.9</v>
      </c>
      <c r="I183" s="14">
        <f>SUM(K183:T183)</f>
        <v/>
      </c>
      <c r="J183" s="14">
        <f>F183-(G183+H183+I183)</f>
        <v/>
      </c>
      <c r="K183" s="14" t="n">
        <v>476.34</v>
      </c>
      <c r="L183" s="14" t="n">
        <v>476.34</v>
      </c>
      <c r="M183" s="14" t="n">
        <v>476.34</v>
      </c>
      <c r="N183" s="14" t="n">
        <v>476.34</v>
      </c>
      <c r="O183" s="14" t="n">
        <v>476.34</v>
      </c>
      <c r="P183" s="14" t="n">
        <v>476.34</v>
      </c>
      <c r="Q183" s="14" t="n">
        <v>476.34</v>
      </c>
      <c r="R183" s="14" t="n">
        <v>476.34</v>
      </c>
      <c r="S183" s="14" t="n">
        <v>476.34</v>
      </c>
      <c r="T183" s="14" t="n">
        <v>476.34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CANON-202512-002627</t>
        </is>
      </c>
      <c r="B184" s="15" t="inlineStr">
        <is>
          <t>2025-12-14</t>
        </is>
      </c>
      <c r="C184" s="15" t="inlineStr">
        <is>
          <t>Noor Vandermeer</t>
        </is>
      </c>
      <c r="D184" s="15" t="inlineStr">
        <is>
          <t>PA</t>
        </is>
      </c>
      <c r="E184" s="16" t="n">
        <v>675000</v>
      </c>
      <c r="F184" s="16" t="n">
        <v>5020.23</v>
      </c>
      <c r="G184" s="16" t="n">
        <v>627.53</v>
      </c>
      <c r="H184" s="16" t="n">
        <v>627.53</v>
      </c>
      <c r="I184" s="16">
        <f>SUM(K184:T184)</f>
        <v/>
      </c>
      <c r="J184" s="16">
        <f>F184-(G184+H184+I184)</f>
        <v/>
      </c>
      <c r="K184" s="16" t="n">
        <v>376.52</v>
      </c>
      <c r="L184" s="16" t="n">
        <v>376.52</v>
      </c>
      <c r="M184" s="16" t="n">
        <v>376.52</v>
      </c>
      <c r="N184" s="16" t="n">
        <v>376.52</v>
      </c>
      <c r="O184" s="16" t="n">
        <v>376.52</v>
      </c>
      <c r="P184" s="16" t="n">
        <v>376.52</v>
      </c>
      <c r="Q184" s="16" t="n">
        <v>376.52</v>
      </c>
      <c r="R184" s="16" t="n">
        <v>376.52</v>
      </c>
      <c r="S184" s="16" t="n">
        <v>376.52</v>
      </c>
      <c r="T184" s="16" t="n">
        <v>376.52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CANON-202512-002628</t>
        </is>
      </c>
      <c r="B185" s="3" t="inlineStr">
        <is>
          <t>2025-12-04</t>
        </is>
      </c>
      <c r="C185" s="3" t="inlineStr">
        <is>
          <t>Horace Kingsford</t>
        </is>
      </c>
      <c r="D185" s="3" t="inlineStr">
        <is>
          <t>MT</t>
        </is>
      </c>
      <c r="E185" s="14" t="n">
        <v>1275000</v>
      </c>
      <c r="F185" s="14" t="n">
        <v>11279.95</v>
      </c>
      <c r="G185" s="14" t="n">
        <v>1409.99</v>
      </c>
      <c r="H185" s="14" t="n">
        <v>1409.99</v>
      </c>
      <c r="I185" s="14">
        <f>SUM(K185:T185)</f>
        <v/>
      </c>
      <c r="J185" s="14">
        <f>F185-(G185+H185+I185)</f>
        <v/>
      </c>
      <c r="K185" s="14" t="n">
        <v>846</v>
      </c>
      <c r="L185" s="14" t="n">
        <v>846</v>
      </c>
      <c r="M185" s="14" t="n">
        <v>846</v>
      </c>
      <c r="N185" s="14" t="n">
        <v>846</v>
      </c>
      <c r="O185" s="14" t="n">
        <v>846</v>
      </c>
      <c r="P185" s="14" t="n">
        <v>846</v>
      </c>
      <c r="Q185" s="14" t="n">
        <v>846</v>
      </c>
      <c r="R185" s="14" t="n">
        <v>846</v>
      </c>
      <c r="S185" s="14" t="n">
        <v>846</v>
      </c>
      <c r="T185" s="14" t="n">
        <v>846</v>
      </c>
      <c r="U185" s="14" t="n">
        <v>350</v>
      </c>
      <c r="V185" s="14" t="n">
        <v>250</v>
      </c>
      <c r="W185" s="14">
        <f>U185+V185</f>
        <v/>
      </c>
    </row>
    <row r="186">
      <c r="A186" s="15" t="inlineStr">
        <is>
          <t>CANON-202512-002629</t>
        </is>
      </c>
      <c r="B186" s="15" t="inlineStr">
        <is>
          <t>2025-12-05</t>
        </is>
      </c>
      <c r="C186" s="15" t="inlineStr">
        <is>
          <t>Ottilie Fairweather</t>
        </is>
      </c>
      <c r="D186" s="15" t="inlineStr">
        <is>
          <t>WV</t>
        </is>
      </c>
      <c r="E186" s="16" t="n">
        <v>410000</v>
      </c>
      <c r="F186" s="16" t="n">
        <v>10846.38</v>
      </c>
      <c r="G186" s="16" t="n">
        <v>1355.8</v>
      </c>
      <c r="H186" s="16" t="n">
        <v>1355.8</v>
      </c>
      <c r="I186" s="16">
        <f>SUM(K186:T186)</f>
        <v/>
      </c>
      <c r="J186" s="16">
        <f>F186-(G186+H186+I186)</f>
        <v/>
      </c>
      <c r="K186" s="16" t="n">
        <v>813.48</v>
      </c>
      <c r="L186" s="16" t="n">
        <v>813.48</v>
      </c>
      <c r="M186" s="16" t="n">
        <v>813.48</v>
      </c>
      <c r="N186" s="16" t="n">
        <v>813.48</v>
      </c>
      <c r="O186" s="16" t="n">
        <v>813.48</v>
      </c>
      <c r="P186" s="16" t="n">
        <v>813.48</v>
      </c>
      <c r="Q186" s="16" t="n">
        <v>813.48</v>
      </c>
      <c r="R186" s="16" t="n">
        <v>813.48</v>
      </c>
      <c r="S186" s="16" t="n">
        <v>813.48</v>
      </c>
      <c r="T186" s="16" t="n">
        <v>813.48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CANON-202512-002630</t>
        </is>
      </c>
      <c r="B187" s="3" t="inlineStr">
        <is>
          <t>2025-12-20</t>
        </is>
      </c>
      <c r="C187" s="3" t="inlineStr">
        <is>
          <t>Fenwick Rourke</t>
        </is>
      </c>
      <c r="D187" s="3" t="inlineStr">
        <is>
          <t>CT</t>
        </is>
      </c>
      <c r="E187" s="14" t="n">
        <v>310000</v>
      </c>
      <c r="F187" s="14" t="n">
        <v>4503.94</v>
      </c>
      <c r="G187" s="14" t="n">
        <v>562.99</v>
      </c>
      <c r="H187" s="14" t="n">
        <v>562.99</v>
      </c>
      <c r="I187" s="14">
        <f>SUM(K187:T187)</f>
        <v/>
      </c>
      <c r="J187" s="14">
        <f>F187-(G187+H187+I187)</f>
        <v/>
      </c>
      <c r="K187" s="14" t="n">
        <v>337.8</v>
      </c>
      <c r="L187" s="14" t="n">
        <v>337.8</v>
      </c>
      <c r="M187" s="14" t="n">
        <v>337.8</v>
      </c>
      <c r="N187" s="14" t="n">
        <v>337.8</v>
      </c>
      <c r="O187" s="14" t="n">
        <v>337.8</v>
      </c>
      <c r="P187" s="14" t="n">
        <v>337.8</v>
      </c>
      <c r="Q187" s="14" t="n">
        <v>337.8</v>
      </c>
      <c r="R187" s="14" t="n">
        <v>337.8</v>
      </c>
      <c r="S187" s="14" t="n">
        <v>337.8</v>
      </c>
      <c r="T187" s="14" t="n">
        <v>337.8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CANON-202512-002631</t>
        </is>
      </c>
      <c r="B188" s="15" t="inlineStr">
        <is>
          <t>2025-12-14</t>
        </is>
      </c>
      <c r="C188" s="15" t="inlineStr">
        <is>
          <t>Mireille Farkas</t>
        </is>
      </c>
      <c r="D188" s="15" t="inlineStr">
        <is>
          <t>PA</t>
        </is>
      </c>
      <c r="E188" s="16" t="n">
        <v>980000</v>
      </c>
      <c r="F188" s="16" t="n">
        <v>11017.7</v>
      </c>
      <c r="G188" s="16" t="n">
        <v>1377.21</v>
      </c>
      <c r="H188" s="16" t="n">
        <v>1377.21</v>
      </c>
      <c r="I188" s="16">
        <f>SUM(K188:T188)</f>
        <v/>
      </c>
      <c r="J188" s="16">
        <f>F188-(G188+H188+I188)</f>
        <v/>
      </c>
      <c r="K188" s="16" t="n">
        <v>826.33</v>
      </c>
      <c r="L188" s="16" t="n">
        <v>826.33</v>
      </c>
      <c r="M188" s="16" t="n">
        <v>826.33</v>
      </c>
      <c r="N188" s="16" t="n">
        <v>826.33</v>
      </c>
      <c r="O188" s="16" t="n">
        <v>826.33</v>
      </c>
      <c r="P188" s="16" t="n">
        <v>826.33</v>
      </c>
      <c r="Q188" s="16" t="n">
        <v>826.33</v>
      </c>
      <c r="R188" s="16" t="n">
        <v>826.33</v>
      </c>
      <c r="S188" s="16" t="n">
        <v>826.33</v>
      </c>
      <c r="T188" s="16" t="n">
        <v>826.33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CANON-202512-002632</t>
        </is>
      </c>
      <c r="B189" s="3" t="inlineStr">
        <is>
          <t>2025-12-04</t>
        </is>
      </c>
      <c r="C189" s="3" t="inlineStr">
        <is>
          <t>Everett Merriweather</t>
        </is>
      </c>
      <c r="D189" s="3" t="inlineStr">
        <is>
          <t>CA</t>
        </is>
      </c>
      <c r="E189" s="14" t="n">
        <v>470000</v>
      </c>
      <c r="F189" s="14" t="n">
        <v>5267.74</v>
      </c>
      <c r="G189" s="14" t="n">
        <v>658.47</v>
      </c>
      <c r="H189" s="14" t="n">
        <v>658.47</v>
      </c>
      <c r="I189" s="14">
        <f>SUM(K189:T189)</f>
        <v/>
      </c>
      <c r="J189" s="14">
        <f>F189-(G189+H189+I189)</f>
        <v/>
      </c>
      <c r="K189" s="14" t="n">
        <v>395.08</v>
      </c>
      <c r="L189" s="14" t="n">
        <v>395.08</v>
      </c>
      <c r="M189" s="14" t="n">
        <v>395.08</v>
      </c>
      <c r="N189" s="14" t="n">
        <v>395.08</v>
      </c>
      <c r="O189" s="14" t="n">
        <v>395.08</v>
      </c>
      <c r="P189" s="14" t="n">
        <v>395.08</v>
      </c>
      <c r="Q189" s="14" t="n">
        <v>395.08</v>
      </c>
      <c r="R189" s="14" t="n">
        <v>395.08</v>
      </c>
      <c r="S189" s="14" t="n">
        <v>395.08</v>
      </c>
      <c r="T189" s="14" t="n">
        <v>395.08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CANON-202512-002634</t>
        </is>
      </c>
      <c r="B190" s="15" t="inlineStr">
        <is>
          <t>2025-12-06</t>
        </is>
      </c>
      <c r="C190" s="15" t="inlineStr">
        <is>
          <t>Delphine Nakashima</t>
        </is>
      </c>
      <c r="D190" s="15" t="inlineStr">
        <is>
          <t>PA</t>
        </is>
      </c>
      <c r="E190" s="16" t="n">
        <v>1135000</v>
      </c>
      <c r="F190" s="16" t="n">
        <v>15704.98</v>
      </c>
      <c r="G190" s="16" t="n">
        <v>1963.12</v>
      </c>
      <c r="H190" s="16" t="n">
        <v>1963.12</v>
      </c>
      <c r="I190" s="16">
        <f>SUM(K190:T190)</f>
        <v/>
      </c>
      <c r="J190" s="16">
        <f>F190-(G190+H190+I190)</f>
        <v/>
      </c>
      <c r="K190" s="16" t="n">
        <v>1177.87</v>
      </c>
      <c r="L190" s="16" t="n">
        <v>1177.87</v>
      </c>
      <c r="M190" s="16" t="n">
        <v>1177.87</v>
      </c>
      <c r="N190" s="16" t="n">
        <v>1177.87</v>
      </c>
      <c r="O190" s="16" t="n">
        <v>1177.87</v>
      </c>
      <c r="P190" s="16" t="n">
        <v>1177.87</v>
      </c>
      <c r="Q190" s="16" t="n">
        <v>1177.87</v>
      </c>
      <c r="R190" s="16" t="n">
        <v>1177.87</v>
      </c>
      <c r="S190" s="16" t="n">
        <v>1177.87</v>
      </c>
      <c r="T190" s="16" t="n">
        <v>1177.87</v>
      </c>
      <c r="U190" s="16" t="n">
        <v>350</v>
      </c>
      <c r="V190" s="16" t="n">
        <v>250</v>
      </c>
      <c r="W190" s="16">
        <f>U190+V190</f>
        <v/>
      </c>
    </row>
    <row r="191">
      <c r="A191" s="3" t="inlineStr">
        <is>
          <t>CANON-202512-002635</t>
        </is>
      </c>
      <c r="B191" s="3" t="inlineStr">
        <is>
          <t>2025-12-04</t>
        </is>
      </c>
      <c r="C191" s="3" t="inlineStr">
        <is>
          <t>Marisol Fairweather</t>
        </is>
      </c>
      <c r="D191" s="3" t="inlineStr">
        <is>
          <t>FL</t>
        </is>
      </c>
      <c r="E191" s="14" t="n">
        <v>1825000</v>
      </c>
      <c r="F191" s="14" t="n">
        <v>24652.74</v>
      </c>
      <c r="G191" s="14" t="n">
        <v>3081.59</v>
      </c>
      <c r="H191" s="14" t="n">
        <v>3081.59</v>
      </c>
      <c r="I191" s="14">
        <f>SUM(K191:T191)</f>
        <v/>
      </c>
      <c r="J191" s="14">
        <f>F191-(G191+H191+I191)</f>
        <v/>
      </c>
      <c r="K191" s="14" t="n">
        <v>1848.96</v>
      </c>
      <c r="L191" s="14" t="n">
        <v>1848.96</v>
      </c>
      <c r="M191" s="14" t="n">
        <v>1848.96</v>
      </c>
      <c r="N191" s="14" t="n">
        <v>1848.96</v>
      </c>
      <c r="O191" s="14" t="n">
        <v>1848.96</v>
      </c>
      <c r="P191" s="14" t="n">
        <v>1848.96</v>
      </c>
      <c r="Q191" s="14" t="n">
        <v>1848.96</v>
      </c>
      <c r="R191" s="14" t="n">
        <v>1848.96</v>
      </c>
      <c r="S191" s="14" t="n">
        <v>1848.96</v>
      </c>
      <c r="T191" s="14" t="n">
        <v>1848.96</v>
      </c>
      <c r="U191" s="14" t="n">
        <v>350</v>
      </c>
      <c r="V191" s="14" t="n">
        <v>250</v>
      </c>
      <c r="W191" s="14">
        <f>U191+V191</f>
        <v/>
      </c>
    </row>
    <row r="192">
      <c r="A192" s="15" t="inlineStr">
        <is>
          <t>CANON-202512-002636</t>
        </is>
      </c>
      <c r="B192" s="15" t="inlineStr">
        <is>
          <t>2025-12-13</t>
        </is>
      </c>
      <c r="C192" s="15" t="inlineStr">
        <is>
          <t>Aurelio Nakashima</t>
        </is>
      </c>
      <c r="D192" s="15" t="inlineStr">
        <is>
          <t>ID</t>
        </is>
      </c>
      <c r="E192" s="16" t="n">
        <v>910000</v>
      </c>
      <c r="F192" s="16" t="n">
        <v>10128.41</v>
      </c>
      <c r="G192" s="16" t="n">
        <v>1266.05</v>
      </c>
      <c r="H192" s="16" t="n">
        <v>1266.05</v>
      </c>
      <c r="I192" s="16">
        <f>SUM(K192:T192)</f>
        <v/>
      </c>
      <c r="J192" s="16">
        <f>F192-(G192+H192+I192)</f>
        <v/>
      </c>
      <c r="K192" s="16" t="n">
        <v>759.63</v>
      </c>
      <c r="L192" s="16" t="n">
        <v>759.63</v>
      </c>
      <c r="M192" s="16" t="n">
        <v>759.63</v>
      </c>
      <c r="N192" s="16" t="n">
        <v>759.63</v>
      </c>
      <c r="O192" s="16" t="n">
        <v>759.63</v>
      </c>
      <c r="P192" s="16" t="n">
        <v>759.63</v>
      </c>
      <c r="Q192" s="16" t="n">
        <v>759.63</v>
      </c>
      <c r="R192" s="16" t="n">
        <v>759.63</v>
      </c>
      <c r="S192" s="16" t="n">
        <v>759.63</v>
      </c>
      <c r="T192" s="16" t="n">
        <v>759.63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CANON-202512-002638</t>
        </is>
      </c>
      <c r="B193" s="3" t="inlineStr">
        <is>
          <t>2025-12-01</t>
        </is>
      </c>
      <c r="C193" s="3" t="inlineStr">
        <is>
          <t>Aurelio Vasquez</t>
        </is>
      </c>
      <c r="D193" s="3" t="inlineStr">
        <is>
          <t>NY</t>
        </is>
      </c>
      <c r="E193" s="14" t="n">
        <v>1160000</v>
      </c>
      <c r="F193" s="14" t="n">
        <v>14124.79</v>
      </c>
      <c r="G193" s="14" t="n">
        <v>1765.6</v>
      </c>
      <c r="H193" s="14" t="n">
        <v>1765.6</v>
      </c>
      <c r="I193" s="14">
        <f>SUM(K193:T193)</f>
        <v/>
      </c>
      <c r="J193" s="14">
        <f>F193-(G193+H193+I193)</f>
        <v/>
      </c>
      <c r="K193" s="14" t="n">
        <v>1059.36</v>
      </c>
      <c r="L193" s="14" t="n">
        <v>1059.36</v>
      </c>
      <c r="M193" s="14" t="n">
        <v>1059.36</v>
      </c>
      <c r="N193" s="14" t="n">
        <v>1059.36</v>
      </c>
      <c r="O193" s="14" t="n">
        <v>1059.36</v>
      </c>
      <c r="P193" s="14" t="n">
        <v>1059.36</v>
      </c>
      <c r="Q193" s="14" t="n">
        <v>1059.36</v>
      </c>
      <c r="R193" s="14" t="n">
        <v>1059.36</v>
      </c>
      <c r="S193" s="14" t="n">
        <v>1059.36</v>
      </c>
      <c r="T193" s="14" t="n">
        <v>1059.36</v>
      </c>
      <c r="U193" s="14" t="n">
        <v>350</v>
      </c>
      <c r="V193" s="14" t="n">
        <v>250</v>
      </c>
      <c r="W193" s="14">
        <f>U193+V193</f>
        <v/>
      </c>
    </row>
    <row r="194">
      <c r="A194" s="15" t="inlineStr">
        <is>
          <t>CANON-202512-002639</t>
        </is>
      </c>
      <c r="B194" s="15" t="inlineStr">
        <is>
          <t>2025-12-28</t>
        </is>
      </c>
      <c r="C194" s="15" t="inlineStr">
        <is>
          <t>Leopold Harrington</t>
        </is>
      </c>
      <c r="D194" s="15" t="inlineStr">
        <is>
          <t>KS</t>
        </is>
      </c>
      <c r="E194" s="16" t="n">
        <v>860000</v>
      </c>
      <c r="F194" s="16" t="n">
        <v>9378.530000000001</v>
      </c>
      <c r="G194" s="16" t="n">
        <v>1172.32</v>
      </c>
      <c r="H194" s="16" t="n">
        <v>1172.32</v>
      </c>
      <c r="I194" s="16">
        <f>SUM(K194:T194)</f>
        <v/>
      </c>
      <c r="J194" s="16">
        <f>F194-(G194+H194+I194)</f>
        <v/>
      </c>
      <c r="K194" s="16" t="n">
        <v>703.39</v>
      </c>
      <c r="L194" s="16" t="n">
        <v>703.39</v>
      </c>
      <c r="M194" s="16" t="n">
        <v>703.39</v>
      </c>
      <c r="N194" s="16" t="n">
        <v>703.39</v>
      </c>
      <c r="O194" s="16" t="n">
        <v>703.39</v>
      </c>
      <c r="P194" s="16" t="n">
        <v>703.39</v>
      </c>
      <c r="Q194" s="16" t="n">
        <v>703.39</v>
      </c>
      <c r="R194" s="16" t="n">
        <v>703.39</v>
      </c>
      <c r="S194" s="16" t="n">
        <v>703.39</v>
      </c>
      <c r="T194" s="16" t="n">
        <v>703.39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CANON-202512-002640</t>
        </is>
      </c>
      <c r="B195" s="3" t="inlineStr">
        <is>
          <t>2025-12-03</t>
        </is>
      </c>
      <c r="C195" s="3" t="inlineStr">
        <is>
          <t>Noor Vandermeer</t>
        </is>
      </c>
      <c r="D195" s="3" t="inlineStr">
        <is>
          <t>KY</t>
        </is>
      </c>
      <c r="E195" s="14" t="n">
        <v>535000</v>
      </c>
      <c r="F195" s="14" t="n">
        <v>8059.78</v>
      </c>
      <c r="G195" s="14" t="n">
        <v>1007.47</v>
      </c>
      <c r="H195" s="14" t="n">
        <v>1007.47</v>
      </c>
      <c r="I195" s="14">
        <f>SUM(K195:T195)</f>
        <v/>
      </c>
      <c r="J195" s="14">
        <f>F195-(G195+H195+I195)</f>
        <v/>
      </c>
      <c r="K195" s="14" t="n">
        <v>604.48</v>
      </c>
      <c r="L195" s="14" t="n">
        <v>604.48</v>
      </c>
      <c r="M195" s="14" t="n">
        <v>604.48</v>
      </c>
      <c r="N195" s="14" t="n">
        <v>604.48</v>
      </c>
      <c r="O195" s="14" t="n">
        <v>604.48</v>
      </c>
      <c r="P195" s="14" t="n">
        <v>604.48</v>
      </c>
      <c r="Q195" s="14" t="n">
        <v>604.48</v>
      </c>
      <c r="R195" s="14" t="n">
        <v>604.48</v>
      </c>
      <c r="S195" s="14" t="n">
        <v>604.48</v>
      </c>
      <c r="T195" s="14" t="n">
        <v>604.48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CANON-202512-002641</t>
        </is>
      </c>
      <c r="B196" s="15" t="inlineStr">
        <is>
          <t>2025-12-15</t>
        </is>
      </c>
      <c r="C196" s="15" t="inlineStr">
        <is>
          <t>Fitzgerald Harrington</t>
        </is>
      </c>
      <c r="D196" s="15" t="inlineStr">
        <is>
          <t>CO</t>
        </is>
      </c>
      <c r="E196" s="16" t="n">
        <v>645000</v>
      </c>
      <c r="F196" s="16" t="n">
        <v>7976.59</v>
      </c>
      <c r="G196" s="16" t="n">
        <v>997.0700000000001</v>
      </c>
      <c r="H196" s="16" t="n">
        <v>997.0700000000001</v>
      </c>
      <c r="I196" s="16">
        <f>SUM(K196:T196)</f>
        <v/>
      </c>
      <c r="J196" s="16">
        <f>F196-(G196+H196+I196)</f>
        <v/>
      </c>
      <c r="K196" s="16" t="n">
        <v>598.24</v>
      </c>
      <c r="L196" s="16" t="n">
        <v>598.24</v>
      </c>
      <c r="M196" s="16" t="n">
        <v>598.24</v>
      </c>
      <c r="N196" s="16" t="n">
        <v>598.24</v>
      </c>
      <c r="O196" s="16" t="n">
        <v>598.24</v>
      </c>
      <c r="P196" s="16" t="n">
        <v>598.24</v>
      </c>
      <c r="Q196" s="16" t="n">
        <v>598.24</v>
      </c>
      <c r="R196" s="16" t="n">
        <v>598.24</v>
      </c>
      <c r="S196" s="16" t="n">
        <v>598.24</v>
      </c>
      <c r="T196" s="16" t="n">
        <v>598.24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CANON-202512-002642</t>
        </is>
      </c>
      <c r="B197" s="3" t="inlineStr">
        <is>
          <t>2025-12-04</t>
        </is>
      </c>
      <c r="C197" s="3" t="inlineStr">
        <is>
          <t>Ottilie Vasquez</t>
        </is>
      </c>
      <c r="D197" s="3" t="inlineStr">
        <is>
          <t>MI</t>
        </is>
      </c>
      <c r="E197" s="14" t="n">
        <v>1730000</v>
      </c>
      <c r="F197" s="14" t="n">
        <v>37103.86</v>
      </c>
      <c r="G197" s="14" t="n">
        <v>4637.98</v>
      </c>
      <c r="H197" s="14" t="n">
        <v>4637.98</v>
      </c>
      <c r="I197" s="14">
        <f>SUM(K197:T197)</f>
        <v/>
      </c>
      <c r="J197" s="14">
        <f>F197-(G197+H197+I197)</f>
        <v/>
      </c>
      <c r="K197" s="14" t="n">
        <v>2782.79</v>
      </c>
      <c r="L197" s="14" t="n">
        <v>2782.79</v>
      </c>
      <c r="M197" s="14" t="n">
        <v>2782.79</v>
      </c>
      <c r="N197" s="14" t="n">
        <v>2782.79</v>
      </c>
      <c r="O197" s="14" t="n">
        <v>2782.79</v>
      </c>
      <c r="P197" s="14" t="n">
        <v>2782.79</v>
      </c>
      <c r="Q197" s="14" t="n">
        <v>2782.79</v>
      </c>
      <c r="R197" s="14" t="n">
        <v>2782.79</v>
      </c>
      <c r="S197" s="14" t="n">
        <v>2782.79</v>
      </c>
      <c r="T197" s="14" t="n">
        <v>2782.79</v>
      </c>
      <c r="U197" s="14" t="n">
        <v>350</v>
      </c>
      <c r="V197" s="14" t="n">
        <v>250</v>
      </c>
      <c r="W197" s="14">
        <f>U197+V197</f>
        <v/>
      </c>
    </row>
    <row r="198">
      <c r="A198" s="15" t="inlineStr">
        <is>
          <t>CANON-202512-002643</t>
        </is>
      </c>
      <c r="B198" s="15" t="inlineStr">
        <is>
          <t>2025-12-04</t>
        </is>
      </c>
      <c r="C198" s="15" t="inlineStr">
        <is>
          <t>Priya Montoya</t>
        </is>
      </c>
      <c r="D198" s="15" t="inlineStr">
        <is>
          <t>AK</t>
        </is>
      </c>
      <c r="E198" s="16" t="n">
        <v>565000</v>
      </c>
      <c r="F198" s="16" t="n">
        <v>7241.32</v>
      </c>
      <c r="G198" s="16" t="n">
        <v>905.16</v>
      </c>
      <c r="H198" s="16" t="n">
        <v>905.16</v>
      </c>
      <c r="I198" s="16">
        <f>SUM(K198:T198)</f>
        <v/>
      </c>
      <c r="J198" s="16">
        <f>F198-(G198+H198+I198)</f>
        <v/>
      </c>
      <c r="K198" s="16" t="n">
        <v>543.1</v>
      </c>
      <c r="L198" s="16" t="n">
        <v>543.1</v>
      </c>
      <c r="M198" s="16" t="n">
        <v>543.1</v>
      </c>
      <c r="N198" s="16" t="n">
        <v>543.1</v>
      </c>
      <c r="O198" s="16" t="n">
        <v>543.1</v>
      </c>
      <c r="P198" s="16" t="n">
        <v>543.1</v>
      </c>
      <c r="Q198" s="16" t="n">
        <v>543.1</v>
      </c>
      <c r="R198" s="16" t="n">
        <v>543.1</v>
      </c>
      <c r="S198" s="16" t="n">
        <v>543.1</v>
      </c>
      <c r="T198" s="16" t="n">
        <v>543.1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CANON-202512-002645</t>
        </is>
      </c>
      <c r="B199" s="3" t="inlineStr">
        <is>
          <t>2025-12-02</t>
        </is>
      </c>
      <c r="C199" s="3" t="inlineStr">
        <is>
          <t>Marisol Nakashima</t>
        </is>
      </c>
      <c r="D199" s="3" t="inlineStr">
        <is>
          <t>MD</t>
        </is>
      </c>
      <c r="E199" s="14" t="n">
        <v>1310000</v>
      </c>
      <c r="F199" s="14" t="n">
        <v>11838.83</v>
      </c>
      <c r="G199" s="14" t="n">
        <v>1479.85</v>
      </c>
      <c r="H199" s="14" t="n">
        <v>1479.85</v>
      </c>
      <c r="I199" s="14">
        <f>SUM(K199:T199)</f>
        <v/>
      </c>
      <c r="J199" s="14">
        <f>F199-(G199+H199+I199)</f>
        <v/>
      </c>
      <c r="K199" s="14" t="n">
        <v>887.91</v>
      </c>
      <c r="L199" s="14" t="n">
        <v>887.91</v>
      </c>
      <c r="M199" s="14" t="n">
        <v>887.91</v>
      </c>
      <c r="N199" s="14" t="n">
        <v>887.91</v>
      </c>
      <c r="O199" s="14" t="n">
        <v>887.91</v>
      </c>
      <c r="P199" s="14" t="n">
        <v>887.91</v>
      </c>
      <c r="Q199" s="14" t="n">
        <v>887.91</v>
      </c>
      <c r="R199" s="14" t="n">
        <v>887.91</v>
      </c>
      <c r="S199" s="14" t="n">
        <v>887.91</v>
      </c>
      <c r="T199" s="14" t="n">
        <v>887.91</v>
      </c>
      <c r="U199" s="14" t="n">
        <v>350</v>
      </c>
      <c r="V199" s="14" t="n">
        <v>250</v>
      </c>
      <c r="W199" s="14">
        <f>U199+V199</f>
        <v/>
      </c>
    </row>
    <row r="200">
      <c r="A200" s="15" t="inlineStr">
        <is>
          <t>CANON-202512-002647</t>
        </is>
      </c>
      <c r="B200" s="15" t="inlineStr">
        <is>
          <t>2025-12-27</t>
        </is>
      </c>
      <c r="C200" s="15" t="inlineStr">
        <is>
          <t>Marisol Larsson</t>
        </is>
      </c>
      <c r="D200" s="15" t="inlineStr">
        <is>
          <t>OR</t>
        </is>
      </c>
      <c r="E200" s="16" t="n">
        <v>505000</v>
      </c>
      <c r="F200" s="16" t="n">
        <v>6415.56</v>
      </c>
      <c r="G200" s="16" t="n">
        <v>801.95</v>
      </c>
      <c r="H200" s="16" t="n">
        <v>801.95</v>
      </c>
      <c r="I200" s="16">
        <f>SUM(K200:T200)</f>
        <v/>
      </c>
      <c r="J200" s="16">
        <f>F200-(G200+H200+I200)</f>
        <v/>
      </c>
      <c r="K200" s="16" t="n">
        <v>481.17</v>
      </c>
      <c r="L200" s="16" t="n">
        <v>481.17</v>
      </c>
      <c r="M200" s="16" t="n">
        <v>481.17</v>
      </c>
      <c r="N200" s="16" t="n">
        <v>481.17</v>
      </c>
      <c r="O200" s="16" t="n">
        <v>481.17</v>
      </c>
      <c r="P200" s="16" t="n">
        <v>481.17</v>
      </c>
      <c r="Q200" s="16" t="n">
        <v>481.17</v>
      </c>
      <c r="R200" s="16" t="n">
        <v>481.17</v>
      </c>
      <c r="S200" s="16" t="n">
        <v>481.17</v>
      </c>
      <c r="T200" s="16" t="n">
        <v>481.17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CANON-202512-002648</t>
        </is>
      </c>
      <c r="B201" s="3" t="inlineStr">
        <is>
          <t>2025-12-29</t>
        </is>
      </c>
      <c r="C201" s="3" t="inlineStr">
        <is>
          <t>Fitzgerald Fairweather</t>
        </is>
      </c>
      <c r="D201" s="3" t="inlineStr">
        <is>
          <t>TX</t>
        </is>
      </c>
      <c r="E201" s="14" t="n">
        <v>335000</v>
      </c>
      <c r="F201" s="14" t="n">
        <v>4997.53</v>
      </c>
      <c r="G201" s="14" t="n">
        <v>624.6900000000001</v>
      </c>
      <c r="H201" s="14" t="n">
        <v>624.6900000000001</v>
      </c>
      <c r="I201" s="14">
        <f>SUM(K201:T201)</f>
        <v/>
      </c>
      <c r="J201" s="14">
        <f>F201-(G201+H201+I201)</f>
        <v/>
      </c>
      <c r="K201" s="14" t="n">
        <v>374.81</v>
      </c>
      <c r="L201" s="14" t="n">
        <v>374.81</v>
      </c>
      <c r="M201" s="14" t="n">
        <v>374.81</v>
      </c>
      <c r="N201" s="14" t="n">
        <v>374.81</v>
      </c>
      <c r="O201" s="14" t="n">
        <v>374.81</v>
      </c>
      <c r="P201" s="14" t="n">
        <v>374.81</v>
      </c>
      <c r="Q201" s="14" t="n">
        <v>374.81</v>
      </c>
      <c r="R201" s="14" t="n">
        <v>374.81</v>
      </c>
      <c r="S201" s="14" t="n">
        <v>374.81</v>
      </c>
      <c r="T201" s="14" t="n">
        <v>374.81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CANON-202512-002649</t>
        </is>
      </c>
      <c r="B202" s="15" t="inlineStr">
        <is>
          <t>2025-12-15</t>
        </is>
      </c>
      <c r="C202" s="15" t="inlineStr">
        <is>
          <t>Fitzgerald Chattopadhyay</t>
        </is>
      </c>
      <c r="D202" s="15" t="inlineStr">
        <is>
          <t>WA</t>
        </is>
      </c>
      <c r="E202" s="16" t="n">
        <v>1950000</v>
      </c>
      <c r="F202" s="16" t="n">
        <v>25902.83</v>
      </c>
      <c r="G202" s="16" t="n">
        <v>3237.85</v>
      </c>
      <c r="H202" s="16" t="n">
        <v>3237.85</v>
      </c>
      <c r="I202" s="16">
        <f>SUM(K202:T202)</f>
        <v/>
      </c>
      <c r="J202" s="16">
        <f>F202-(G202+H202+I202)</f>
        <v/>
      </c>
      <c r="K202" s="16" t="n">
        <v>1942.71</v>
      </c>
      <c r="L202" s="16" t="n">
        <v>1942.71</v>
      </c>
      <c r="M202" s="16" t="n">
        <v>1942.71</v>
      </c>
      <c r="N202" s="16" t="n">
        <v>1942.71</v>
      </c>
      <c r="O202" s="16" t="n">
        <v>1942.71</v>
      </c>
      <c r="P202" s="16" t="n">
        <v>1942.71</v>
      </c>
      <c r="Q202" s="16" t="n">
        <v>1942.71</v>
      </c>
      <c r="R202" s="16" t="n">
        <v>1942.71</v>
      </c>
      <c r="S202" s="16" t="n">
        <v>1942.71</v>
      </c>
      <c r="T202" s="16" t="n">
        <v>1942.71</v>
      </c>
      <c r="U202" s="16" t="n">
        <v>350</v>
      </c>
      <c r="V202" s="16" t="n">
        <v>250</v>
      </c>
      <c r="W202" s="16">
        <f>U202+V202</f>
        <v/>
      </c>
    </row>
    <row r="203">
      <c r="A203" s="3" t="inlineStr">
        <is>
          <t>CANON-202512-002650</t>
        </is>
      </c>
      <c r="B203" s="3" t="inlineStr">
        <is>
          <t>2025-12-27</t>
        </is>
      </c>
      <c r="C203" s="3" t="inlineStr">
        <is>
          <t>Thaddeus Blackwood</t>
        </is>
      </c>
      <c r="D203" s="3" t="inlineStr">
        <is>
          <t>KY</t>
        </is>
      </c>
      <c r="E203" s="14" t="n">
        <v>535000</v>
      </c>
      <c r="F203" s="14" t="n">
        <v>8059.78</v>
      </c>
      <c r="G203" s="14" t="n">
        <v>1007.47</v>
      </c>
      <c r="H203" s="14" t="n">
        <v>1007.47</v>
      </c>
      <c r="I203" s="14">
        <f>SUM(K203:T203)</f>
        <v/>
      </c>
      <c r="J203" s="14">
        <f>F203-(G203+H203+I203)</f>
        <v/>
      </c>
      <c r="K203" s="14" t="n">
        <v>604.48</v>
      </c>
      <c r="L203" s="14" t="n">
        <v>604.48</v>
      </c>
      <c r="M203" s="14" t="n">
        <v>604.48</v>
      </c>
      <c r="N203" s="14" t="n">
        <v>604.48</v>
      </c>
      <c r="O203" s="14" t="n">
        <v>604.48</v>
      </c>
      <c r="P203" s="14" t="n">
        <v>604.48</v>
      </c>
      <c r="Q203" s="14" t="n">
        <v>604.48</v>
      </c>
      <c r="R203" s="14" t="n">
        <v>604.48</v>
      </c>
      <c r="S203" s="14" t="n">
        <v>604.48</v>
      </c>
      <c r="T203" s="14" t="n">
        <v>604.48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CANON-202512-002651</t>
        </is>
      </c>
      <c r="B204" s="15" t="inlineStr">
        <is>
          <t>2025-12-06</t>
        </is>
      </c>
      <c r="C204" s="15" t="inlineStr">
        <is>
          <t>Fenwick Okonkwo</t>
        </is>
      </c>
      <c r="D204" s="15" t="inlineStr">
        <is>
          <t>LA</t>
        </is>
      </c>
      <c r="E204" s="16" t="n">
        <v>220000</v>
      </c>
      <c r="F204" s="16" t="n">
        <v>4834.46</v>
      </c>
      <c r="G204" s="16" t="n">
        <v>604.3099999999999</v>
      </c>
      <c r="H204" s="16" t="n">
        <v>604.3099999999999</v>
      </c>
      <c r="I204" s="16">
        <f>SUM(K204:T204)</f>
        <v/>
      </c>
      <c r="J204" s="16">
        <f>F204-(G204+H204+I204)</f>
        <v/>
      </c>
      <c r="K204" s="16" t="n">
        <v>362.58</v>
      </c>
      <c r="L204" s="16" t="n">
        <v>362.58</v>
      </c>
      <c r="M204" s="16" t="n">
        <v>362.58</v>
      </c>
      <c r="N204" s="16" t="n">
        <v>362.58</v>
      </c>
      <c r="O204" s="16" t="n">
        <v>362.58</v>
      </c>
      <c r="P204" s="16" t="n">
        <v>362.58</v>
      </c>
      <c r="Q204" s="16" t="n">
        <v>362.58</v>
      </c>
      <c r="R204" s="16" t="n">
        <v>362.58</v>
      </c>
      <c r="S204" s="16" t="n">
        <v>362.58</v>
      </c>
      <c r="T204" s="16" t="n">
        <v>362.58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CANON-202512-002652</t>
        </is>
      </c>
      <c r="B205" s="3" t="inlineStr">
        <is>
          <t>2025-12-25</t>
        </is>
      </c>
      <c r="C205" s="3" t="inlineStr">
        <is>
          <t>Ramona Thistlewood</t>
        </is>
      </c>
      <c r="D205" s="3" t="inlineStr">
        <is>
          <t>AK</t>
        </is>
      </c>
      <c r="E205" s="14" t="n">
        <v>395000</v>
      </c>
      <c r="F205" s="14" t="n">
        <v>5841.37</v>
      </c>
      <c r="G205" s="14" t="n">
        <v>730.17</v>
      </c>
      <c r="H205" s="14" t="n">
        <v>730.17</v>
      </c>
      <c r="I205" s="14">
        <f>SUM(K205:T205)</f>
        <v/>
      </c>
      <c r="J205" s="14">
        <f>F205-(G205+H205+I205)</f>
        <v/>
      </c>
      <c r="K205" s="14" t="n">
        <v>438.1</v>
      </c>
      <c r="L205" s="14" t="n">
        <v>438.1</v>
      </c>
      <c r="M205" s="14" t="n">
        <v>438.1</v>
      </c>
      <c r="N205" s="14" t="n">
        <v>438.1</v>
      </c>
      <c r="O205" s="14" t="n">
        <v>438.1</v>
      </c>
      <c r="P205" s="14" t="n">
        <v>438.1</v>
      </c>
      <c r="Q205" s="14" t="n">
        <v>438.1</v>
      </c>
      <c r="R205" s="14" t="n">
        <v>438.1</v>
      </c>
      <c r="S205" s="14" t="n">
        <v>438.1</v>
      </c>
      <c r="T205" s="14" t="n">
        <v>438.1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CANON-202512-002654</t>
        </is>
      </c>
      <c r="B206" s="15" t="inlineStr">
        <is>
          <t>2025-12-18</t>
        </is>
      </c>
      <c r="C206" s="15" t="inlineStr">
        <is>
          <t>Sunniva Vandermeer</t>
        </is>
      </c>
      <c r="D206" s="15" t="inlineStr">
        <is>
          <t>ME</t>
        </is>
      </c>
      <c r="E206" s="16" t="n">
        <v>1265000</v>
      </c>
      <c r="F206" s="16" t="n">
        <v>16068.47</v>
      </c>
      <c r="G206" s="16" t="n">
        <v>2008.56</v>
      </c>
      <c r="H206" s="16" t="n">
        <v>2008.56</v>
      </c>
      <c r="I206" s="16">
        <f>SUM(K206:T206)</f>
        <v/>
      </c>
      <c r="J206" s="16">
        <f>F206-(G206+H206+I206)</f>
        <v/>
      </c>
      <c r="K206" s="16" t="n">
        <v>1205.14</v>
      </c>
      <c r="L206" s="16" t="n">
        <v>1205.14</v>
      </c>
      <c r="M206" s="16" t="n">
        <v>1205.14</v>
      </c>
      <c r="N206" s="16" t="n">
        <v>1205.14</v>
      </c>
      <c r="O206" s="16" t="n">
        <v>1205.14</v>
      </c>
      <c r="P206" s="16" t="n">
        <v>1205.14</v>
      </c>
      <c r="Q206" s="16" t="n">
        <v>1205.14</v>
      </c>
      <c r="R206" s="16" t="n">
        <v>1205.14</v>
      </c>
      <c r="S206" s="16" t="n">
        <v>1205.14</v>
      </c>
      <c r="T206" s="16" t="n">
        <v>1205.14</v>
      </c>
      <c r="U206" s="16" t="n">
        <v>350</v>
      </c>
      <c r="V206" s="16" t="n">
        <v>250</v>
      </c>
      <c r="W206" s="16">
        <f>U206+V206</f>
        <v/>
      </c>
    </row>
    <row r="207">
      <c r="A207" s="3" t="inlineStr">
        <is>
          <t>CANON-202512-002655</t>
        </is>
      </c>
      <c r="B207" s="3" t="inlineStr">
        <is>
          <t>2025-12-23</t>
        </is>
      </c>
      <c r="C207" s="3" t="inlineStr">
        <is>
          <t>Ramona Fairweather</t>
        </is>
      </c>
      <c r="D207" s="3" t="inlineStr">
        <is>
          <t>NM</t>
        </is>
      </c>
      <c r="E207" s="14" t="n">
        <v>570000</v>
      </c>
      <c r="F207" s="14" t="n">
        <v>8202.559999999999</v>
      </c>
      <c r="G207" s="14" t="n">
        <v>1025.32</v>
      </c>
      <c r="H207" s="14" t="n">
        <v>1025.32</v>
      </c>
      <c r="I207" s="14">
        <f>SUM(K207:T207)</f>
        <v/>
      </c>
      <c r="J207" s="14">
        <f>F207-(G207+H207+I207)</f>
        <v/>
      </c>
      <c r="K207" s="14" t="n">
        <v>615.1900000000001</v>
      </c>
      <c r="L207" s="14" t="n">
        <v>615.1900000000001</v>
      </c>
      <c r="M207" s="14" t="n">
        <v>615.1900000000001</v>
      </c>
      <c r="N207" s="14" t="n">
        <v>615.1900000000001</v>
      </c>
      <c r="O207" s="14" t="n">
        <v>615.1900000000001</v>
      </c>
      <c r="P207" s="14" t="n">
        <v>615.1900000000001</v>
      </c>
      <c r="Q207" s="14" t="n">
        <v>615.1900000000001</v>
      </c>
      <c r="R207" s="14" t="n">
        <v>615.1900000000001</v>
      </c>
      <c r="S207" s="14" t="n">
        <v>615.1900000000001</v>
      </c>
      <c r="T207" s="14" t="n">
        <v>615.1900000000001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CANON-202512-002657</t>
        </is>
      </c>
      <c r="B208" s="15" t="inlineStr">
        <is>
          <t>2025-12-12</t>
        </is>
      </c>
      <c r="C208" s="15" t="inlineStr">
        <is>
          <t>Ramona Fairweather</t>
        </is>
      </c>
      <c r="D208" s="15" t="inlineStr">
        <is>
          <t>VT</t>
        </is>
      </c>
      <c r="E208" s="16" t="n">
        <v>545000</v>
      </c>
      <c r="F208" s="16" t="n">
        <v>7475.17</v>
      </c>
      <c r="G208" s="16" t="n">
        <v>934.4</v>
      </c>
      <c r="H208" s="16" t="n">
        <v>934.4</v>
      </c>
      <c r="I208" s="16">
        <f>SUM(K208:T208)</f>
        <v/>
      </c>
      <c r="J208" s="16">
        <f>F208-(G208+H208+I208)</f>
        <v/>
      </c>
      <c r="K208" s="16" t="n">
        <v>560.64</v>
      </c>
      <c r="L208" s="16" t="n">
        <v>560.64</v>
      </c>
      <c r="M208" s="16" t="n">
        <v>560.64</v>
      </c>
      <c r="N208" s="16" t="n">
        <v>560.64</v>
      </c>
      <c r="O208" s="16" t="n">
        <v>560.64</v>
      </c>
      <c r="P208" s="16" t="n">
        <v>560.64</v>
      </c>
      <c r="Q208" s="16" t="n">
        <v>560.64</v>
      </c>
      <c r="R208" s="16" t="n">
        <v>560.64</v>
      </c>
      <c r="S208" s="16" t="n">
        <v>560.64</v>
      </c>
      <c r="T208" s="16" t="n">
        <v>560.64</v>
      </c>
      <c r="U208" s="16" t="n">
        <v>350</v>
      </c>
      <c r="V208" s="16" t="n">
        <v>0</v>
      </c>
      <c r="W208" s="16">
        <f>U208+V208</f>
        <v/>
      </c>
    </row>
    <row r="209">
      <c r="A209" s="3" t="inlineStr">
        <is>
          <t>CANON-202512-002658</t>
        </is>
      </c>
      <c r="B209" s="3" t="inlineStr">
        <is>
          <t>2025-12-03</t>
        </is>
      </c>
      <c r="C209" s="3" t="inlineStr">
        <is>
          <t>Fitzgerald Ashcombe</t>
        </is>
      </c>
      <c r="D209" s="3" t="inlineStr">
        <is>
          <t>FL</t>
        </is>
      </c>
      <c r="E209" s="14" t="n">
        <v>1035000</v>
      </c>
      <c r="F209" s="14" t="n">
        <v>20336.21</v>
      </c>
      <c r="G209" s="14" t="n">
        <v>2542.03</v>
      </c>
      <c r="H209" s="14" t="n">
        <v>2542.03</v>
      </c>
      <c r="I209" s="14">
        <f>SUM(K209:T209)</f>
        <v/>
      </c>
      <c r="J209" s="14">
        <f>F209-(G209+H209+I209)</f>
        <v/>
      </c>
      <c r="K209" s="14" t="n">
        <v>1525.22</v>
      </c>
      <c r="L209" s="14" t="n">
        <v>1525.22</v>
      </c>
      <c r="M209" s="14" t="n">
        <v>1525.22</v>
      </c>
      <c r="N209" s="14" t="n">
        <v>1525.22</v>
      </c>
      <c r="O209" s="14" t="n">
        <v>1525.22</v>
      </c>
      <c r="P209" s="14" t="n">
        <v>1525.22</v>
      </c>
      <c r="Q209" s="14" t="n">
        <v>1525.22</v>
      </c>
      <c r="R209" s="14" t="n">
        <v>1525.22</v>
      </c>
      <c r="S209" s="14" t="n">
        <v>1525.22</v>
      </c>
      <c r="T209" s="14" t="n">
        <v>1525.22</v>
      </c>
      <c r="U209" s="14" t="n">
        <v>350</v>
      </c>
      <c r="V209" s="14" t="n">
        <v>250</v>
      </c>
      <c r="W209" s="14">
        <f>U209+V209</f>
        <v/>
      </c>
    </row>
    <row r="210">
      <c r="A210" s="15" t="inlineStr">
        <is>
          <t>CANON-202512-002659</t>
        </is>
      </c>
      <c r="B210" s="15" t="inlineStr">
        <is>
          <t>2025-12-20</t>
        </is>
      </c>
      <c r="C210" s="15" t="inlineStr">
        <is>
          <t>Ingrid Merriweather</t>
        </is>
      </c>
      <c r="D210" s="15" t="inlineStr">
        <is>
          <t>KY</t>
        </is>
      </c>
      <c r="E210" s="16" t="n">
        <v>685000</v>
      </c>
      <c r="F210" s="16" t="n">
        <v>10319.53</v>
      </c>
      <c r="G210" s="16" t="n">
        <v>1289.94</v>
      </c>
      <c r="H210" s="16" t="n">
        <v>1289.94</v>
      </c>
      <c r="I210" s="16">
        <f>SUM(K210:T210)</f>
        <v/>
      </c>
      <c r="J210" s="16">
        <f>F210-(G210+H210+I210)</f>
        <v/>
      </c>
      <c r="K210" s="16" t="n">
        <v>773.96</v>
      </c>
      <c r="L210" s="16" t="n">
        <v>773.96</v>
      </c>
      <c r="M210" s="16" t="n">
        <v>773.96</v>
      </c>
      <c r="N210" s="16" t="n">
        <v>773.96</v>
      </c>
      <c r="O210" s="16" t="n">
        <v>773.96</v>
      </c>
      <c r="P210" s="16" t="n">
        <v>773.96</v>
      </c>
      <c r="Q210" s="16" t="n">
        <v>773.96</v>
      </c>
      <c r="R210" s="16" t="n">
        <v>773.96</v>
      </c>
      <c r="S210" s="16" t="n">
        <v>773.96</v>
      </c>
      <c r="T210" s="16" t="n">
        <v>773.96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CANON-202512-002661</t>
        </is>
      </c>
      <c r="B211" s="3" t="inlineStr">
        <is>
          <t>2025-12-09</t>
        </is>
      </c>
      <c r="C211" s="3" t="inlineStr">
        <is>
          <t>Saoirse Delacroix</t>
        </is>
      </c>
      <c r="D211" s="3" t="inlineStr">
        <is>
          <t>IL</t>
        </is>
      </c>
      <c r="E211" s="14" t="n">
        <v>520000</v>
      </c>
      <c r="F211" s="14" t="n">
        <v>7950.73</v>
      </c>
      <c r="G211" s="14" t="n">
        <v>993.84</v>
      </c>
      <c r="H211" s="14" t="n">
        <v>993.84</v>
      </c>
      <c r="I211" s="14">
        <f>SUM(K211:T211)</f>
        <v/>
      </c>
      <c r="J211" s="14">
        <f>F211-(G211+H211+I211)</f>
        <v/>
      </c>
      <c r="K211" s="14" t="n">
        <v>596.3</v>
      </c>
      <c r="L211" s="14" t="n">
        <v>596.3</v>
      </c>
      <c r="M211" s="14" t="n">
        <v>596.3</v>
      </c>
      <c r="N211" s="14" t="n">
        <v>596.3</v>
      </c>
      <c r="O211" s="14" t="n">
        <v>596.3</v>
      </c>
      <c r="P211" s="14" t="n">
        <v>596.3</v>
      </c>
      <c r="Q211" s="14" t="n">
        <v>596.3</v>
      </c>
      <c r="R211" s="14" t="n">
        <v>596.3</v>
      </c>
      <c r="S211" s="14" t="n">
        <v>596.3</v>
      </c>
      <c r="T211" s="14" t="n">
        <v>596.3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CANON-202512-002662</t>
        </is>
      </c>
      <c r="B212" s="15" t="inlineStr">
        <is>
          <t>2025-12-09</t>
        </is>
      </c>
      <c r="C212" s="15" t="inlineStr">
        <is>
          <t>Cassius Fairweather</t>
        </is>
      </c>
      <c r="D212" s="15" t="inlineStr">
        <is>
          <t>IL</t>
        </is>
      </c>
      <c r="E212" s="16" t="n">
        <v>1560000</v>
      </c>
      <c r="F212" s="16" t="n">
        <v>20182.62</v>
      </c>
      <c r="G212" s="16" t="n">
        <v>2522.83</v>
      </c>
      <c r="H212" s="16" t="n">
        <v>2522.83</v>
      </c>
      <c r="I212" s="16">
        <f>SUM(K212:T212)</f>
        <v/>
      </c>
      <c r="J212" s="16">
        <f>F212-(G212+H212+I212)</f>
        <v/>
      </c>
      <c r="K212" s="16" t="n">
        <v>1513.7</v>
      </c>
      <c r="L212" s="16" t="n">
        <v>1513.7</v>
      </c>
      <c r="M212" s="16" t="n">
        <v>1513.7</v>
      </c>
      <c r="N212" s="16" t="n">
        <v>1513.7</v>
      </c>
      <c r="O212" s="16" t="n">
        <v>1513.7</v>
      </c>
      <c r="P212" s="16" t="n">
        <v>1513.7</v>
      </c>
      <c r="Q212" s="16" t="n">
        <v>1513.7</v>
      </c>
      <c r="R212" s="16" t="n">
        <v>1513.7</v>
      </c>
      <c r="S212" s="16" t="n">
        <v>1513.7</v>
      </c>
      <c r="T212" s="16" t="n">
        <v>1513.7</v>
      </c>
      <c r="U212" s="16" t="n">
        <v>350</v>
      </c>
      <c r="V212" s="16" t="n">
        <v>250</v>
      </c>
      <c r="W212" s="16">
        <f>U212+V212</f>
        <v/>
      </c>
    </row>
    <row r="213">
      <c r="A213" s="3" t="inlineStr">
        <is>
          <t>CANON-202512-002663</t>
        </is>
      </c>
      <c r="B213" s="3" t="inlineStr">
        <is>
          <t>2025-12-16</t>
        </is>
      </c>
      <c r="C213" s="3" t="inlineStr">
        <is>
          <t>Horace Bellandi</t>
        </is>
      </c>
      <c r="D213" s="3" t="inlineStr">
        <is>
          <t>OH</t>
        </is>
      </c>
      <c r="E213" s="14" t="n">
        <v>555000</v>
      </c>
      <c r="F213" s="14" t="n">
        <v>8673.059999999999</v>
      </c>
      <c r="G213" s="14" t="n">
        <v>1084.13</v>
      </c>
      <c r="H213" s="14" t="n">
        <v>1084.13</v>
      </c>
      <c r="I213" s="14">
        <f>SUM(K213:T213)</f>
        <v/>
      </c>
      <c r="J213" s="14">
        <f>F213-(G213+H213+I213)</f>
        <v/>
      </c>
      <c r="K213" s="14" t="n">
        <v>650.48</v>
      </c>
      <c r="L213" s="14" t="n">
        <v>650.48</v>
      </c>
      <c r="M213" s="14" t="n">
        <v>650.48</v>
      </c>
      <c r="N213" s="14" t="n">
        <v>650.48</v>
      </c>
      <c r="O213" s="14" t="n">
        <v>650.48</v>
      </c>
      <c r="P213" s="14" t="n">
        <v>650.48</v>
      </c>
      <c r="Q213" s="14" t="n">
        <v>650.48</v>
      </c>
      <c r="R213" s="14" t="n">
        <v>650.48</v>
      </c>
      <c r="S213" s="14" t="n">
        <v>650.48</v>
      </c>
      <c r="T213" s="14" t="n">
        <v>650.48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CANON-202512-002665</t>
        </is>
      </c>
      <c r="B214" s="15" t="inlineStr">
        <is>
          <t>2025-12-22</t>
        </is>
      </c>
      <c r="C214" s="15" t="inlineStr">
        <is>
          <t>Callum Farkas</t>
        </is>
      </c>
      <c r="D214" s="15" t="inlineStr">
        <is>
          <t>NH</t>
        </is>
      </c>
      <c r="E214" s="16" t="n">
        <v>435000</v>
      </c>
      <c r="F214" s="16" t="n">
        <v>3755.91</v>
      </c>
      <c r="G214" s="16" t="n">
        <v>469.49</v>
      </c>
      <c r="H214" s="16" t="n">
        <v>469.49</v>
      </c>
      <c r="I214" s="16">
        <f>SUM(K214:T214)</f>
        <v/>
      </c>
      <c r="J214" s="16">
        <f>F214-(G214+H214+I214)</f>
        <v/>
      </c>
      <c r="K214" s="16" t="n">
        <v>281.69</v>
      </c>
      <c r="L214" s="16" t="n">
        <v>281.69</v>
      </c>
      <c r="M214" s="16" t="n">
        <v>281.69</v>
      </c>
      <c r="N214" s="16" t="n">
        <v>281.69</v>
      </c>
      <c r="O214" s="16" t="n">
        <v>281.69</v>
      </c>
      <c r="P214" s="16" t="n">
        <v>281.69</v>
      </c>
      <c r="Q214" s="16" t="n">
        <v>281.69</v>
      </c>
      <c r="R214" s="16" t="n">
        <v>281.69</v>
      </c>
      <c r="S214" s="16" t="n">
        <v>281.69</v>
      </c>
      <c r="T214" s="16" t="n">
        <v>281.69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CANON-202512-002666</t>
        </is>
      </c>
      <c r="B215" s="3" t="inlineStr">
        <is>
          <t>2025-12-10</t>
        </is>
      </c>
      <c r="C215" s="3" t="inlineStr">
        <is>
          <t>Priya Underwood</t>
        </is>
      </c>
      <c r="D215" s="3" t="inlineStr">
        <is>
          <t>NY</t>
        </is>
      </c>
      <c r="E215" s="14" t="n">
        <v>645000</v>
      </c>
      <c r="F215" s="14" t="n">
        <v>6140.29</v>
      </c>
      <c r="G215" s="14" t="n">
        <v>767.54</v>
      </c>
      <c r="H215" s="14" t="n">
        <v>767.54</v>
      </c>
      <c r="I215" s="14">
        <f>SUM(K215:T215)</f>
        <v/>
      </c>
      <c r="J215" s="14">
        <f>F215-(G215+H215+I215)</f>
        <v/>
      </c>
      <c r="K215" s="14" t="n">
        <v>460.52</v>
      </c>
      <c r="L215" s="14" t="n">
        <v>460.52</v>
      </c>
      <c r="M215" s="14" t="n">
        <v>460.52</v>
      </c>
      <c r="N215" s="14" t="n">
        <v>460.52</v>
      </c>
      <c r="O215" s="14" t="n">
        <v>460.52</v>
      </c>
      <c r="P215" s="14" t="n">
        <v>460.52</v>
      </c>
      <c r="Q215" s="14" t="n">
        <v>460.52</v>
      </c>
      <c r="R215" s="14" t="n">
        <v>460.52</v>
      </c>
      <c r="S215" s="14" t="n">
        <v>460.52</v>
      </c>
      <c r="T215" s="14" t="n">
        <v>460.52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CANON-202512-002667</t>
        </is>
      </c>
      <c r="B216" s="15" t="inlineStr">
        <is>
          <t>2025-12-14</t>
        </is>
      </c>
      <c r="C216" s="15" t="inlineStr">
        <is>
          <t>Priya Castellanos</t>
        </is>
      </c>
      <c r="D216" s="15" t="inlineStr">
        <is>
          <t>OH</t>
        </is>
      </c>
      <c r="E216" s="16" t="n">
        <v>345000</v>
      </c>
      <c r="F216" s="16" t="n">
        <v>6220.8</v>
      </c>
      <c r="G216" s="16" t="n">
        <v>777.6</v>
      </c>
      <c r="H216" s="16" t="n">
        <v>777.6</v>
      </c>
      <c r="I216" s="16">
        <f>SUM(K216:T216)</f>
        <v/>
      </c>
      <c r="J216" s="16">
        <f>F216-(G216+H216+I216)</f>
        <v/>
      </c>
      <c r="K216" s="16" t="n">
        <v>466.56</v>
      </c>
      <c r="L216" s="16" t="n">
        <v>466.56</v>
      </c>
      <c r="M216" s="16" t="n">
        <v>466.56</v>
      </c>
      <c r="N216" s="16" t="n">
        <v>466.56</v>
      </c>
      <c r="O216" s="16" t="n">
        <v>466.56</v>
      </c>
      <c r="P216" s="16" t="n">
        <v>466.56</v>
      </c>
      <c r="Q216" s="16" t="n">
        <v>466.56</v>
      </c>
      <c r="R216" s="16" t="n">
        <v>466.56</v>
      </c>
      <c r="S216" s="16" t="n">
        <v>466.56</v>
      </c>
      <c r="T216" s="16" t="n">
        <v>466.56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CANON-202512-002668</t>
        </is>
      </c>
      <c r="B217" s="3" t="inlineStr">
        <is>
          <t>2025-12-17</t>
        </is>
      </c>
      <c r="C217" s="3" t="inlineStr">
        <is>
          <t>Saoirse Castellanos</t>
        </is>
      </c>
      <c r="D217" s="3" t="inlineStr">
        <is>
          <t>ID</t>
        </is>
      </c>
      <c r="E217" s="14" t="n">
        <v>275000</v>
      </c>
      <c r="F217" s="14" t="n">
        <v>3531.67</v>
      </c>
      <c r="G217" s="14" t="n">
        <v>441.46</v>
      </c>
      <c r="H217" s="14" t="n">
        <v>441.46</v>
      </c>
      <c r="I217" s="14">
        <f>SUM(K217:T217)</f>
        <v/>
      </c>
      <c r="J217" s="14">
        <f>F217-(G217+H217+I217)</f>
        <v/>
      </c>
      <c r="K217" s="14" t="n">
        <v>264.88</v>
      </c>
      <c r="L217" s="14" t="n">
        <v>264.88</v>
      </c>
      <c r="M217" s="14" t="n">
        <v>264.88</v>
      </c>
      <c r="N217" s="14" t="n">
        <v>264.88</v>
      </c>
      <c r="O217" s="14" t="n">
        <v>264.88</v>
      </c>
      <c r="P217" s="14" t="n">
        <v>264.88</v>
      </c>
      <c r="Q217" s="14" t="n">
        <v>264.88</v>
      </c>
      <c r="R217" s="14" t="n">
        <v>264.88</v>
      </c>
      <c r="S217" s="14" t="n">
        <v>264.88</v>
      </c>
      <c r="T217" s="14" t="n">
        <v>264.88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CANON-202512-002669</t>
        </is>
      </c>
      <c r="B218" s="15" t="inlineStr">
        <is>
          <t>2025-12-07</t>
        </is>
      </c>
      <c r="C218" s="15" t="inlineStr">
        <is>
          <t>Mireille Castellanos</t>
        </is>
      </c>
      <c r="D218" s="15" t="inlineStr">
        <is>
          <t>NJ</t>
        </is>
      </c>
      <c r="E218" s="16" t="n">
        <v>365000</v>
      </c>
      <c r="F218" s="16" t="n">
        <v>4308.71</v>
      </c>
      <c r="G218" s="16" t="n">
        <v>538.59</v>
      </c>
      <c r="H218" s="16" t="n">
        <v>538.59</v>
      </c>
      <c r="I218" s="16">
        <f>SUM(K218:T218)</f>
        <v/>
      </c>
      <c r="J218" s="16">
        <f>F218-(G218+H218+I218)</f>
        <v/>
      </c>
      <c r="K218" s="16" t="n">
        <v>323.15</v>
      </c>
      <c r="L218" s="16" t="n">
        <v>323.15</v>
      </c>
      <c r="M218" s="16" t="n">
        <v>323.15</v>
      </c>
      <c r="N218" s="16" t="n">
        <v>323.15</v>
      </c>
      <c r="O218" s="16" t="n">
        <v>323.15</v>
      </c>
      <c r="P218" s="16" t="n">
        <v>323.15</v>
      </c>
      <c r="Q218" s="16" t="n">
        <v>323.15</v>
      </c>
      <c r="R218" s="16" t="n">
        <v>323.15</v>
      </c>
      <c r="S218" s="16" t="n">
        <v>323.15</v>
      </c>
      <c r="T218" s="16" t="n">
        <v>323.15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CANON-202512-002670</t>
        </is>
      </c>
      <c r="B219" s="3" t="inlineStr">
        <is>
          <t>2025-12-06</t>
        </is>
      </c>
      <c r="C219" s="3" t="inlineStr">
        <is>
          <t>Priya Whitlock</t>
        </is>
      </c>
      <c r="D219" s="3" t="inlineStr">
        <is>
          <t>NY</t>
        </is>
      </c>
      <c r="E219" s="14" t="n">
        <v>815000</v>
      </c>
      <c r="F219" s="14" t="n">
        <v>11728.22</v>
      </c>
      <c r="G219" s="14" t="n">
        <v>1466.03</v>
      </c>
      <c r="H219" s="14" t="n">
        <v>1466.03</v>
      </c>
      <c r="I219" s="14">
        <f>SUM(K219:T219)</f>
        <v/>
      </c>
      <c r="J219" s="14">
        <f>F219-(G219+H219+I219)</f>
        <v/>
      </c>
      <c r="K219" s="14" t="n">
        <v>879.62</v>
      </c>
      <c r="L219" s="14" t="n">
        <v>879.62</v>
      </c>
      <c r="M219" s="14" t="n">
        <v>879.62</v>
      </c>
      <c r="N219" s="14" t="n">
        <v>879.62</v>
      </c>
      <c r="O219" s="14" t="n">
        <v>879.62</v>
      </c>
      <c r="P219" s="14" t="n">
        <v>879.62</v>
      </c>
      <c r="Q219" s="14" t="n">
        <v>879.62</v>
      </c>
      <c r="R219" s="14" t="n">
        <v>879.62</v>
      </c>
      <c r="S219" s="14" t="n">
        <v>879.62</v>
      </c>
      <c r="T219" s="14" t="n">
        <v>879.62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CANON-202512-002672</t>
        </is>
      </c>
      <c r="B220" s="15" t="inlineStr">
        <is>
          <t>2025-12-27</t>
        </is>
      </c>
      <c r="C220" s="15" t="inlineStr">
        <is>
          <t>Saoirse Nakashima</t>
        </is>
      </c>
      <c r="D220" s="15" t="inlineStr">
        <is>
          <t>NE</t>
        </is>
      </c>
      <c r="E220" s="16" t="n">
        <v>520000</v>
      </c>
      <c r="F220" s="16" t="n">
        <v>7599.97</v>
      </c>
      <c r="G220" s="16" t="n">
        <v>950</v>
      </c>
      <c r="H220" s="16" t="n">
        <v>950</v>
      </c>
      <c r="I220" s="16">
        <f>SUM(K220:T220)</f>
        <v/>
      </c>
      <c r="J220" s="16">
        <f>F220-(G220+H220+I220)</f>
        <v/>
      </c>
      <c r="K220" s="16" t="n">
        <v>570</v>
      </c>
      <c r="L220" s="16" t="n">
        <v>570</v>
      </c>
      <c r="M220" s="16" t="n">
        <v>570</v>
      </c>
      <c r="N220" s="16" t="n">
        <v>570</v>
      </c>
      <c r="O220" s="16" t="n">
        <v>570</v>
      </c>
      <c r="P220" s="16" t="n">
        <v>570</v>
      </c>
      <c r="Q220" s="16" t="n">
        <v>570</v>
      </c>
      <c r="R220" s="16" t="n">
        <v>570</v>
      </c>
      <c r="S220" s="16" t="n">
        <v>570</v>
      </c>
      <c r="T220" s="16" t="n">
        <v>570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CANON-202512-002673</t>
        </is>
      </c>
      <c r="B221" s="3" t="inlineStr">
        <is>
          <t>2025-12-06</t>
        </is>
      </c>
      <c r="C221" s="3" t="inlineStr">
        <is>
          <t>Cassius Merriweather</t>
        </is>
      </c>
      <c r="D221" s="3" t="inlineStr">
        <is>
          <t>WA</t>
        </is>
      </c>
      <c r="E221" s="14" t="n">
        <v>1950000</v>
      </c>
      <c r="F221" s="14" t="n">
        <v>17808.2</v>
      </c>
      <c r="G221" s="14" t="n">
        <v>2226.03</v>
      </c>
      <c r="H221" s="14" t="n">
        <v>2226.03</v>
      </c>
      <c r="I221" s="14">
        <f>SUM(K221:T221)</f>
        <v/>
      </c>
      <c r="J221" s="14">
        <f>F221-(G221+H221+I221)</f>
        <v/>
      </c>
      <c r="K221" s="14" t="n">
        <v>1335.62</v>
      </c>
      <c r="L221" s="14" t="n">
        <v>1335.62</v>
      </c>
      <c r="M221" s="14" t="n">
        <v>1335.62</v>
      </c>
      <c r="N221" s="14" t="n">
        <v>1335.62</v>
      </c>
      <c r="O221" s="14" t="n">
        <v>1335.62</v>
      </c>
      <c r="P221" s="14" t="n">
        <v>1335.62</v>
      </c>
      <c r="Q221" s="14" t="n">
        <v>1335.62</v>
      </c>
      <c r="R221" s="14" t="n">
        <v>1335.62</v>
      </c>
      <c r="S221" s="14" t="n">
        <v>1335.62</v>
      </c>
      <c r="T221" s="14" t="n">
        <v>1335.62</v>
      </c>
      <c r="U221" s="14" t="n">
        <v>350</v>
      </c>
      <c r="V221" s="14" t="n">
        <v>250</v>
      </c>
      <c r="W221" s="14">
        <f>U221+V221</f>
        <v/>
      </c>
    </row>
    <row r="222">
      <c r="A222" s="15" t="inlineStr">
        <is>
          <t>CANON-202512-002674</t>
        </is>
      </c>
      <c r="B222" s="15" t="inlineStr">
        <is>
          <t>2025-12-08</t>
        </is>
      </c>
      <c r="C222" s="15" t="inlineStr">
        <is>
          <t>Emiliano Farkas</t>
        </is>
      </c>
      <c r="D222" s="15" t="inlineStr">
        <is>
          <t>HI</t>
        </is>
      </c>
      <c r="E222" s="16" t="n">
        <v>395000</v>
      </c>
      <c r="F222" s="16" t="n">
        <v>10213.85</v>
      </c>
      <c r="G222" s="16" t="n">
        <v>1276.73</v>
      </c>
      <c r="H222" s="16" t="n">
        <v>1276.73</v>
      </c>
      <c r="I222" s="16">
        <f>SUM(K222:T222)</f>
        <v/>
      </c>
      <c r="J222" s="16">
        <f>F222-(G222+H222+I222)</f>
        <v/>
      </c>
      <c r="K222" s="16" t="n">
        <v>766.04</v>
      </c>
      <c r="L222" s="16" t="n">
        <v>766.04</v>
      </c>
      <c r="M222" s="16" t="n">
        <v>766.04</v>
      </c>
      <c r="N222" s="16" t="n">
        <v>766.04</v>
      </c>
      <c r="O222" s="16" t="n">
        <v>766.04</v>
      </c>
      <c r="P222" s="16" t="n">
        <v>766.04</v>
      </c>
      <c r="Q222" s="16" t="n">
        <v>766.04</v>
      </c>
      <c r="R222" s="16" t="n">
        <v>766.04</v>
      </c>
      <c r="S222" s="16" t="n">
        <v>766.04</v>
      </c>
      <c r="T222" s="16" t="n">
        <v>766.04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CANON-202512-002675</t>
        </is>
      </c>
      <c r="B223" s="3" t="inlineStr">
        <is>
          <t>2025-12-19</t>
        </is>
      </c>
      <c r="C223" s="3" t="inlineStr">
        <is>
          <t>Noor Bellandi</t>
        </is>
      </c>
      <c r="D223" s="3" t="inlineStr">
        <is>
          <t>ID</t>
        </is>
      </c>
      <c r="E223" s="14" t="n">
        <v>385000</v>
      </c>
      <c r="F223" s="14" t="n">
        <v>4944.34</v>
      </c>
      <c r="G223" s="14" t="n">
        <v>618.04</v>
      </c>
      <c r="H223" s="14" t="n">
        <v>618.04</v>
      </c>
      <c r="I223" s="14">
        <f>SUM(K223:T223)</f>
        <v/>
      </c>
      <c r="J223" s="14">
        <f>F223-(G223+H223+I223)</f>
        <v/>
      </c>
      <c r="K223" s="14" t="n">
        <v>370.83</v>
      </c>
      <c r="L223" s="14" t="n">
        <v>370.83</v>
      </c>
      <c r="M223" s="14" t="n">
        <v>370.83</v>
      </c>
      <c r="N223" s="14" t="n">
        <v>370.83</v>
      </c>
      <c r="O223" s="14" t="n">
        <v>370.83</v>
      </c>
      <c r="P223" s="14" t="n">
        <v>370.83</v>
      </c>
      <c r="Q223" s="14" t="n">
        <v>370.83</v>
      </c>
      <c r="R223" s="14" t="n">
        <v>370.83</v>
      </c>
      <c r="S223" s="14" t="n">
        <v>370.83</v>
      </c>
      <c r="T223" s="14" t="n">
        <v>370.83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CANON-202512-002679</t>
        </is>
      </c>
      <c r="B224" s="15" t="inlineStr">
        <is>
          <t>2025-12-07</t>
        </is>
      </c>
      <c r="C224" s="15" t="inlineStr">
        <is>
          <t>Cassius Whitlock</t>
        </is>
      </c>
      <c r="D224" s="15" t="inlineStr">
        <is>
          <t>FL</t>
        </is>
      </c>
      <c r="E224" s="16" t="n">
        <v>380000</v>
      </c>
      <c r="F224" s="16" t="n">
        <v>4479.86</v>
      </c>
      <c r="G224" s="16" t="n">
        <v>559.98</v>
      </c>
      <c r="H224" s="16" t="n">
        <v>559.98</v>
      </c>
      <c r="I224" s="16">
        <f>SUM(K224:T224)</f>
        <v/>
      </c>
      <c r="J224" s="16">
        <f>F224-(G224+H224+I224)</f>
        <v/>
      </c>
      <c r="K224" s="16" t="n">
        <v>335.99</v>
      </c>
      <c r="L224" s="16" t="n">
        <v>335.99</v>
      </c>
      <c r="M224" s="16" t="n">
        <v>335.99</v>
      </c>
      <c r="N224" s="16" t="n">
        <v>335.99</v>
      </c>
      <c r="O224" s="16" t="n">
        <v>335.99</v>
      </c>
      <c r="P224" s="16" t="n">
        <v>335.99</v>
      </c>
      <c r="Q224" s="16" t="n">
        <v>335.99</v>
      </c>
      <c r="R224" s="16" t="n">
        <v>335.99</v>
      </c>
      <c r="S224" s="16" t="n">
        <v>335.99</v>
      </c>
      <c r="T224" s="16" t="n">
        <v>335.99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CANON-202512-002683</t>
        </is>
      </c>
      <c r="B225" s="3" t="inlineStr">
        <is>
          <t>2025-12-13</t>
        </is>
      </c>
      <c r="C225" s="3" t="inlineStr">
        <is>
          <t>Everett Kingsford</t>
        </is>
      </c>
      <c r="D225" s="3" t="inlineStr">
        <is>
          <t>AK</t>
        </is>
      </c>
      <c r="E225" s="14" t="n">
        <v>775000</v>
      </c>
      <c r="F225" s="14" t="n">
        <v>9932.790000000001</v>
      </c>
      <c r="G225" s="14" t="n">
        <v>1241.6</v>
      </c>
      <c r="H225" s="14" t="n">
        <v>1241.6</v>
      </c>
      <c r="I225" s="14">
        <f>SUM(K225:T225)</f>
        <v/>
      </c>
      <c r="J225" s="14">
        <f>F225-(G225+H225+I225)</f>
        <v/>
      </c>
      <c r="K225" s="14" t="n">
        <v>744.96</v>
      </c>
      <c r="L225" s="14" t="n">
        <v>744.96</v>
      </c>
      <c r="M225" s="14" t="n">
        <v>744.96</v>
      </c>
      <c r="N225" s="14" t="n">
        <v>744.96</v>
      </c>
      <c r="O225" s="14" t="n">
        <v>744.96</v>
      </c>
      <c r="P225" s="14" t="n">
        <v>744.96</v>
      </c>
      <c r="Q225" s="14" t="n">
        <v>744.96</v>
      </c>
      <c r="R225" s="14" t="n">
        <v>744.96</v>
      </c>
      <c r="S225" s="14" t="n">
        <v>744.96</v>
      </c>
      <c r="T225" s="14" t="n">
        <v>744.96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CANON-202512-002684</t>
        </is>
      </c>
      <c r="B226" s="15" t="inlineStr">
        <is>
          <t>2025-12-08</t>
        </is>
      </c>
      <c r="C226" s="15" t="inlineStr">
        <is>
          <t>Wilhelmina Chattopadhyay</t>
        </is>
      </c>
      <c r="D226" s="15" t="inlineStr">
        <is>
          <t>IA</t>
        </is>
      </c>
      <c r="E226" s="16" t="n">
        <v>280000</v>
      </c>
      <c r="F226" s="16" t="n">
        <v>3995.43</v>
      </c>
      <c r="G226" s="16" t="n">
        <v>499.43</v>
      </c>
      <c r="H226" s="16" t="n">
        <v>499.43</v>
      </c>
      <c r="I226" s="16">
        <f>SUM(K226:T226)</f>
        <v/>
      </c>
      <c r="J226" s="16">
        <f>F226-(G226+H226+I226)</f>
        <v/>
      </c>
      <c r="K226" s="16" t="n">
        <v>299.66</v>
      </c>
      <c r="L226" s="16" t="n">
        <v>299.66</v>
      </c>
      <c r="M226" s="16" t="n">
        <v>299.66</v>
      </c>
      <c r="N226" s="16" t="n">
        <v>299.66</v>
      </c>
      <c r="O226" s="16" t="n">
        <v>299.66</v>
      </c>
      <c r="P226" s="16" t="n">
        <v>299.66</v>
      </c>
      <c r="Q226" s="16" t="n">
        <v>299.66</v>
      </c>
      <c r="R226" s="16" t="n">
        <v>299.66</v>
      </c>
      <c r="S226" s="16" t="n">
        <v>299.66</v>
      </c>
      <c r="T226" s="16" t="n">
        <v>299.66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CANON-202512-002685</t>
        </is>
      </c>
      <c r="B227" s="3" t="inlineStr">
        <is>
          <t>2025-12-03</t>
        </is>
      </c>
      <c r="C227" s="3" t="inlineStr">
        <is>
          <t>Leopold Nakashima</t>
        </is>
      </c>
      <c r="D227" s="3" t="inlineStr">
        <is>
          <t>MS</t>
        </is>
      </c>
      <c r="E227" s="14" t="n">
        <v>945000</v>
      </c>
      <c r="F227" s="14" t="n">
        <v>7391.18</v>
      </c>
      <c r="G227" s="14" t="n">
        <v>923.9</v>
      </c>
      <c r="H227" s="14" t="n">
        <v>923.9</v>
      </c>
      <c r="I227" s="14">
        <f>SUM(K227:T227)</f>
        <v/>
      </c>
      <c r="J227" s="14">
        <f>F227-(G227+H227+I227)</f>
        <v/>
      </c>
      <c r="K227" s="14" t="n">
        <v>554.34</v>
      </c>
      <c r="L227" s="14" t="n">
        <v>554.34</v>
      </c>
      <c r="M227" s="14" t="n">
        <v>554.34</v>
      </c>
      <c r="N227" s="14" t="n">
        <v>554.34</v>
      </c>
      <c r="O227" s="14" t="n">
        <v>554.34</v>
      </c>
      <c r="P227" s="14" t="n">
        <v>554.34</v>
      </c>
      <c r="Q227" s="14" t="n">
        <v>554.34</v>
      </c>
      <c r="R227" s="14" t="n">
        <v>554.34</v>
      </c>
      <c r="S227" s="14" t="n">
        <v>554.34</v>
      </c>
      <c r="T227" s="14" t="n">
        <v>554.34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CANON-202512-002687</t>
        </is>
      </c>
      <c r="B228" s="15" t="inlineStr">
        <is>
          <t>2025-12-13</t>
        </is>
      </c>
      <c r="C228" s="15" t="inlineStr">
        <is>
          <t>Everett Underwood</t>
        </is>
      </c>
      <c r="D228" s="15" t="inlineStr">
        <is>
          <t>DE</t>
        </is>
      </c>
      <c r="E228" s="16" t="n">
        <v>1110000</v>
      </c>
      <c r="F228" s="16" t="n">
        <v>19198.81</v>
      </c>
      <c r="G228" s="16" t="n">
        <v>2399.85</v>
      </c>
      <c r="H228" s="16" t="n">
        <v>2399.85</v>
      </c>
      <c r="I228" s="16">
        <f>SUM(K228:T228)</f>
        <v/>
      </c>
      <c r="J228" s="16">
        <f>F228-(G228+H228+I228)</f>
        <v/>
      </c>
      <c r="K228" s="16" t="n">
        <v>1439.91</v>
      </c>
      <c r="L228" s="16" t="n">
        <v>1439.91</v>
      </c>
      <c r="M228" s="16" t="n">
        <v>1439.91</v>
      </c>
      <c r="N228" s="16" t="n">
        <v>1439.91</v>
      </c>
      <c r="O228" s="16" t="n">
        <v>1439.91</v>
      </c>
      <c r="P228" s="16" t="n">
        <v>1439.91</v>
      </c>
      <c r="Q228" s="16" t="n">
        <v>1439.91</v>
      </c>
      <c r="R228" s="16" t="n">
        <v>1439.91</v>
      </c>
      <c r="S228" s="16" t="n">
        <v>1439.91</v>
      </c>
      <c r="T228" s="16" t="n">
        <v>1439.91</v>
      </c>
      <c r="U228" s="16" t="n">
        <v>350</v>
      </c>
      <c r="V228" s="16" t="n">
        <v>250</v>
      </c>
      <c r="W228" s="16">
        <f>U228+V228</f>
        <v/>
      </c>
    </row>
    <row r="229">
      <c r="A229" s="3" t="inlineStr">
        <is>
          <t>CANON-202512-002688</t>
        </is>
      </c>
      <c r="B229" s="3" t="inlineStr">
        <is>
          <t>2025-12-10</t>
        </is>
      </c>
      <c r="C229" s="3" t="inlineStr">
        <is>
          <t>Priya Fairweather</t>
        </is>
      </c>
      <c r="D229" s="3" t="inlineStr">
        <is>
          <t>PA</t>
        </is>
      </c>
      <c r="E229" s="14" t="n">
        <v>710000</v>
      </c>
      <c r="F229" s="14" t="n">
        <v>7982.21</v>
      </c>
      <c r="G229" s="14" t="n">
        <v>997.78</v>
      </c>
      <c r="H229" s="14" t="n">
        <v>997.78</v>
      </c>
      <c r="I229" s="14">
        <f>SUM(K229:T229)</f>
        <v/>
      </c>
      <c r="J229" s="14">
        <f>F229-(G229+H229+I229)</f>
        <v/>
      </c>
      <c r="K229" s="14" t="n">
        <v>598.67</v>
      </c>
      <c r="L229" s="14" t="n">
        <v>598.67</v>
      </c>
      <c r="M229" s="14" t="n">
        <v>598.67</v>
      </c>
      <c r="N229" s="14" t="n">
        <v>598.67</v>
      </c>
      <c r="O229" s="14" t="n">
        <v>598.67</v>
      </c>
      <c r="P229" s="14" t="n">
        <v>598.67</v>
      </c>
      <c r="Q229" s="14" t="n">
        <v>598.67</v>
      </c>
      <c r="R229" s="14" t="n">
        <v>598.67</v>
      </c>
      <c r="S229" s="14" t="n">
        <v>598.67</v>
      </c>
      <c r="T229" s="14" t="n">
        <v>598.67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CANON-202512-002689</t>
        </is>
      </c>
      <c r="B230" s="15" t="inlineStr">
        <is>
          <t>2025-12-26</t>
        </is>
      </c>
      <c r="C230" s="15" t="inlineStr">
        <is>
          <t>Aurelio Delacroix</t>
        </is>
      </c>
      <c r="D230" s="15" t="inlineStr">
        <is>
          <t>WI</t>
        </is>
      </c>
      <c r="E230" s="16" t="n">
        <v>650000</v>
      </c>
      <c r="F230" s="16" t="n">
        <v>12816.5</v>
      </c>
      <c r="G230" s="16" t="n">
        <v>1602.06</v>
      </c>
      <c r="H230" s="16" t="n">
        <v>1602.06</v>
      </c>
      <c r="I230" s="16">
        <f>SUM(K230:T230)</f>
        <v/>
      </c>
      <c r="J230" s="16">
        <f>F230-(G230+H230+I230)</f>
        <v/>
      </c>
      <c r="K230" s="16" t="n">
        <v>961.24</v>
      </c>
      <c r="L230" s="16" t="n">
        <v>961.24</v>
      </c>
      <c r="M230" s="16" t="n">
        <v>961.24</v>
      </c>
      <c r="N230" s="16" t="n">
        <v>961.24</v>
      </c>
      <c r="O230" s="16" t="n">
        <v>961.24</v>
      </c>
      <c r="P230" s="16" t="n">
        <v>961.24</v>
      </c>
      <c r="Q230" s="16" t="n">
        <v>961.24</v>
      </c>
      <c r="R230" s="16" t="n">
        <v>961.24</v>
      </c>
      <c r="S230" s="16" t="n">
        <v>961.24</v>
      </c>
      <c r="T230" s="16" t="n">
        <v>961.24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CANON-202512-002691</t>
        </is>
      </c>
      <c r="B231" s="3" t="inlineStr">
        <is>
          <t>2025-12-16</t>
        </is>
      </c>
      <c r="C231" s="3" t="inlineStr">
        <is>
          <t>Emiliano Pennington</t>
        </is>
      </c>
      <c r="D231" s="3" t="inlineStr">
        <is>
          <t>CA</t>
        </is>
      </c>
      <c r="E231" s="14" t="n">
        <v>315000</v>
      </c>
      <c r="F231" s="14" t="n">
        <v>3089.2</v>
      </c>
      <c r="G231" s="14" t="n">
        <v>386.15</v>
      </c>
      <c r="H231" s="14" t="n">
        <v>386.15</v>
      </c>
      <c r="I231" s="14">
        <f>SUM(K231:T231)</f>
        <v/>
      </c>
      <c r="J231" s="14">
        <f>F231-(G231+H231+I231)</f>
        <v/>
      </c>
      <c r="K231" s="14" t="n">
        <v>231.69</v>
      </c>
      <c r="L231" s="14" t="n">
        <v>231.69</v>
      </c>
      <c r="M231" s="14" t="n">
        <v>231.69</v>
      </c>
      <c r="N231" s="14" t="n">
        <v>231.69</v>
      </c>
      <c r="O231" s="14" t="n">
        <v>231.69</v>
      </c>
      <c r="P231" s="14" t="n">
        <v>231.69</v>
      </c>
      <c r="Q231" s="14" t="n">
        <v>231.69</v>
      </c>
      <c r="R231" s="14" t="n">
        <v>231.69</v>
      </c>
      <c r="S231" s="14" t="n">
        <v>231.69</v>
      </c>
      <c r="T231" s="14" t="n">
        <v>231.69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CANON-202512-002692</t>
        </is>
      </c>
      <c r="B232" s="15" t="inlineStr">
        <is>
          <t>2025-12-15</t>
        </is>
      </c>
      <c r="C232" s="15" t="inlineStr">
        <is>
          <t>Leopold Merriweather</t>
        </is>
      </c>
      <c r="D232" s="15" t="inlineStr">
        <is>
          <t>PA</t>
        </is>
      </c>
      <c r="E232" s="16" t="n">
        <v>310000</v>
      </c>
      <c r="F232" s="16" t="n">
        <v>4021.37</v>
      </c>
      <c r="G232" s="16" t="n">
        <v>502.67</v>
      </c>
      <c r="H232" s="16" t="n">
        <v>502.67</v>
      </c>
      <c r="I232" s="16">
        <f>SUM(K232:T232)</f>
        <v/>
      </c>
      <c r="J232" s="16">
        <f>F232-(G232+H232+I232)</f>
        <v/>
      </c>
      <c r="K232" s="16" t="n">
        <v>301.6</v>
      </c>
      <c r="L232" s="16" t="n">
        <v>301.6</v>
      </c>
      <c r="M232" s="16" t="n">
        <v>301.6</v>
      </c>
      <c r="N232" s="16" t="n">
        <v>301.6</v>
      </c>
      <c r="O232" s="16" t="n">
        <v>301.6</v>
      </c>
      <c r="P232" s="16" t="n">
        <v>301.6</v>
      </c>
      <c r="Q232" s="16" t="n">
        <v>301.6</v>
      </c>
      <c r="R232" s="16" t="n">
        <v>301.6</v>
      </c>
      <c r="S232" s="16" t="n">
        <v>301.6</v>
      </c>
      <c r="T232" s="16" t="n">
        <v>301.6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CANON-202512-002693</t>
        </is>
      </c>
      <c r="B233" s="3" t="inlineStr">
        <is>
          <t>2025-12-15</t>
        </is>
      </c>
      <c r="C233" s="3" t="inlineStr">
        <is>
          <t>Anouk Thistlewood</t>
        </is>
      </c>
      <c r="D233" s="3" t="inlineStr">
        <is>
          <t>NC</t>
        </is>
      </c>
      <c r="E233" s="14" t="n">
        <v>630000</v>
      </c>
      <c r="F233" s="14" t="n">
        <v>8145.23</v>
      </c>
      <c r="G233" s="14" t="n">
        <v>1018.15</v>
      </c>
      <c r="H233" s="14" t="n">
        <v>1018.15</v>
      </c>
      <c r="I233" s="14">
        <f>SUM(K233:T233)</f>
        <v/>
      </c>
      <c r="J233" s="14">
        <f>F233-(G233+H233+I233)</f>
        <v/>
      </c>
      <c r="K233" s="14" t="n">
        <v>610.89</v>
      </c>
      <c r="L233" s="14" t="n">
        <v>610.89</v>
      </c>
      <c r="M233" s="14" t="n">
        <v>610.89</v>
      </c>
      <c r="N233" s="14" t="n">
        <v>610.89</v>
      </c>
      <c r="O233" s="14" t="n">
        <v>610.89</v>
      </c>
      <c r="P233" s="14" t="n">
        <v>610.89</v>
      </c>
      <c r="Q233" s="14" t="n">
        <v>610.89</v>
      </c>
      <c r="R233" s="14" t="n">
        <v>610.89</v>
      </c>
      <c r="S233" s="14" t="n">
        <v>610.89</v>
      </c>
      <c r="T233" s="14" t="n">
        <v>610.89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CANON-202512-002694</t>
        </is>
      </c>
      <c r="B234" s="15" t="inlineStr">
        <is>
          <t>2025-12-28</t>
        </is>
      </c>
      <c r="C234" s="15" t="inlineStr">
        <is>
          <t>Callum Underwood</t>
        </is>
      </c>
      <c r="D234" s="15" t="inlineStr">
        <is>
          <t>MS</t>
        </is>
      </c>
      <c r="E234" s="16" t="n">
        <v>235000</v>
      </c>
      <c r="F234" s="16" t="n">
        <v>4449.94</v>
      </c>
      <c r="G234" s="16" t="n">
        <v>556.24</v>
      </c>
      <c r="H234" s="16" t="n">
        <v>556.24</v>
      </c>
      <c r="I234" s="16">
        <f>SUM(K234:T234)</f>
        <v/>
      </c>
      <c r="J234" s="16">
        <f>F234-(G234+H234+I234)</f>
        <v/>
      </c>
      <c r="K234" s="16" t="n">
        <v>333.75</v>
      </c>
      <c r="L234" s="16" t="n">
        <v>333.75</v>
      </c>
      <c r="M234" s="16" t="n">
        <v>333.75</v>
      </c>
      <c r="N234" s="16" t="n">
        <v>333.75</v>
      </c>
      <c r="O234" s="16" t="n">
        <v>333.75</v>
      </c>
      <c r="P234" s="16" t="n">
        <v>333.75</v>
      </c>
      <c r="Q234" s="16" t="n">
        <v>333.75</v>
      </c>
      <c r="R234" s="16" t="n">
        <v>333.75</v>
      </c>
      <c r="S234" s="16" t="n">
        <v>333.75</v>
      </c>
      <c r="T234" s="16" t="n">
        <v>333.75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CANON-202512-002698</t>
        </is>
      </c>
      <c r="B235" s="3" t="inlineStr">
        <is>
          <t>2025-12-07</t>
        </is>
      </c>
      <c r="C235" s="3" t="inlineStr">
        <is>
          <t>Desmond Whitlock</t>
        </is>
      </c>
      <c r="D235" s="3" t="inlineStr">
        <is>
          <t>MT</t>
        </is>
      </c>
      <c r="E235" s="14" t="n">
        <v>930000</v>
      </c>
      <c r="F235" s="14" t="n">
        <v>14211.53</v>
      </c>
      <c r="G235" s="14" t="n">
        <v>1776.44</v>
      </c>
      <c r="H235" s="14" t="n">
        <v>1776.44</v>
      </c>
      <c r="I235" s="14">
        <f>SUM(K235:T235)</f>
        <v/>
      </c>
      <c r="J235" s="14">
        <f>F235-(G235+H235+I235)</f>
        <v/>
      </c>
      <c r="K235" s="14" t="n">
        <v>1065.86</v>
      </c>
      <c r="L235" s="14" t="n">
        <v>1065.86</v>
      </c>
      <c r="M235" s="14" t="n">
        <v>1065.86</v>
      </c>
      <c r="N235" s="14" t="n">
        <v>1065.86</v>
      </c>
      <c r="O235" s="14" t="n">
        <v>1065.86</v>
      </c>
      <c r="P235" s="14" t="n">
        <v>1065.86</v>
      </c>
      <c r="Q235" s="14" t="n">
        <v>1065.86</v>
      </c>
      <c r="R235" s="14" t="n">
        <v>1065.86</v>
      </c>
      <c r="S235" s="14" t="n">
        <v>1065.86</v>
      </c>
      <c r="T235" s="14" t="n">
        <v>1065.86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CANON-202512-002701</t>
        </is>
      </c>
      <c r="B236" s="15" t="inlineStr">
        <is>
          <t>2025-12-11</t>
        </is>
      </c>
      <c r="C236" s="15" t="inlineStr">
        <is>
          <t>Thaddeus Blackwood</t>
        </is>
      </c>
      <c r="D236" s="15" t="inlineStr">
        <is>
          <t>TN</t>
        </is>
      </c>
      <c r="E236" s="16" t="n">
        <v>1250000</v>
      </c>
      <c r="F236" s="16" t="n">
        <v>16950.31</v>
      </c>
      <c r="G236" s="16" t="n">
        <v>2118.79</v>
      </c>
      <c r="H236" s="16" t="n">
        <v>2118.79</v>
      </c>
      <c r="I236" s="16">
        <f>SUM(K236:T236)</f>
        <v/>
      </c>
      <c r="J236" s="16">
        <f>F236-(G236+H236+I236)</f>
        <v/>
      </c>
      <c r="K236" s="16" t="n">
        <v>1271.27</v>
      </c>
      <c r="L236" s="16" t="n">
        <v>1271.27</v>
      </c>
      <c r="M236" s="16" t="n">
        <v>1271.27</v>
      </c>
      <c r="N236" s="16" t="n">
        <v>1271.27</v>
      </c>
      <c r="O236" s="16" t="n">
        <v>1271.27</v>
      </c>
      <c r="P236" s="16" t="n">
        <v>1271.27</v>
      </c>
      <c r="Q236" s="16" t="n">
        <v>1271.27</v>
      </c>
      <c r="R236" s="16" t="n">
        <v>1271.27</v>
      </c>
      <c r="S236" s="16" t="n">
        <v>1271.27</v>
      </c>
      <c r="T236" s="16" t="n">
        <v>1271.27</v>
      </c>
      <c r="U236" s="16" t="n">
        <v>350</v>
      </c>
      <c r="V236" s="16" t="n">
        <v>250</v>
      </c>
      <c r="W236" s="16">
        <f>U236+V236</f>
        <v/>
      </c>
    </row>
    <row r="237">
      <c r="A237" s="3" t="inlineStr">
        <is>
          <t>CANON-202512-002702</t>
        </is>
      </c>
      <c r="B237" s="3" t="inlineStr">
        <is>
          <t>2025-12-13</t>
        </is>
      </c>
      <c r="C237" s="3" t="inlineStr">
        <is>
          <t>Callum Merriweather</t>
        </is>
      </c>
      <c r="D237" s="3" t="inlineStr">
        <is>
          <t>MT</t>
        </is>
      </c>
      <c r="E237" s="14" t="n">
        <v>305000</v>
      </c>
      <c r="F237" s="14" t="n">
        <v>3679.56</v>
      </c>
      <c r="G237" s="14" t="n">
        <v>459.94</v>
      </c>
      <c r="H237" s="14" t="n">
        <v>459.94</v>
      </c>
      <c r="I237" s="14">
        <f>SUM(K237:T237)</f>
        <v/>
      </c>
      <c r="J237" s="14">
        <f>F237-(G237+H237+I237)</f>
        <v/>
      </c>
      <c r="K237" s="14" t="n">
        <v>275.97</v>
      </c>
      <c r="L237" s="14" t="n">
        <v>275.97</v>
      </c>
      <c r="M237" s="14" t="n">
        <v>275.97</v>
      </c>
      <c r="N237" s="14" t="n">
        <v>275.97</v>
      </c>
      <c r="O237" s="14" t="n">
        <v>275.97</v>
      </c>
      <c r="P237" s="14" t="n">
        <v>275.97</v>
      </c>
      <c r="Q237" s="14" t="n">
        <v>275.97</v>
      </c>
      <c r="R237" s="14" t="n">
        <v>275.97</v>
      </c>
      <c r="S237" s="14" t="n">
        <v>275.97</v>
      </c>
      <c r="T237" s="14" t="n">
        <v>275.97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CANON-202512-002703</t>
        </is>
      </c>
      <c r="B238" s="15" t="inlineStr">
        <is>
          <t>2025-12-22</t>
        </is>
      </c>
      <c r="C238" s="15" t="inlineStr">
        <is>
          <t>Delphine Thistlewood</t>
        </is>
      </c>
      <c r="D238" s="15" t="inlineStr">
        <is>
          <t>IL</t>
        </is>
      </c>
      <c r="E238" s="16" t="n">
        <v>480000</v>
      </c>
      <c r="F238" s="16" t="n">
        <v>8468.24</v>
      </c>
      <c r="G238" s="16" t="n">
        <v>1058.53</v>
      </c>
      <c r="H238" s="16" t="n">
        <v>1058.53</v>
      </c>
      <c r="I238" s="16">
        <f>SUM(K238:T238)</f>
        <v/>
      </c>
      <c r="J238" s="16">
        <f>F238-(G238+H238+I238)</f>
        <v/>
      </c>
      <c r="K238" s="16" t="n">
        <v>635.12</v>
      </c>
      <c r="L238" s="16" t="n">
        <v>635.12</v>
      </c>
      <c r="M238" s="16" t="n">
        <v>635.12</v>
      </c>
      <c r="N238" s="16" t="n">
        <v>635.12</v>
      </c>
      <c r="O238" s="16" t="n">
        <v>635.12</v>
      </c>
      <c r="P238" s="16" t="n">
        <v>635.12</v>
      </c>
      <c r="Q238" s="16" t="n">
        <v>635.12</v>
      </c>
      <c r="R238" s="16" t="n">
        <v>635.12</v>
      </c>
      <c r="S238" s="16" t="n">
        <v>635.12</v>
      </c>
      <c r="T238" s="16" t="n">
        <v>635.12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CANON-202512-002704</t>
        </is>
      </c>
      <c r="B239" s="3" t="inlineStr">
        <is>
          <t>2025-12-19</t>
        </is>
      </c>
      <c r="C239" s="3" t="inlineStr">
        <is>
          <t>Mireille Thistlewood</t>
        </is>
      </c>
      <c r="D239" s="3" t="inlineStr">
        <is>
          <t>IN</t>
        </is>
      </c>
      <c r="E239" s="14" t="n">
        <v>620000</v>
      </c>
      <c r="F239" s="14" t="n">
        <v>8573.57</v>
      </c>
      <c r="G239" s="14" t="n">
        <v>1071.7</v>
      </c>
      <c r="H239" s="14" t="n">
        <v>1071.7</v>
      </c>
      <c r="I239" s="14">
        <f>SUM(K239:T239)</f>
        <v/>
      </c>
      <c r="J239" s="14">
        <f>F239-(G239+H239+I239)</f>
        <v/>
      </c>
      <c r="K239" s="14" t="n">
        <v>643.02</v>
      </c>
      <c r="L239" s="14" t="n">
        <v>643.02</v>
      </c>
      <c r="M239" s="14" t="n">
        <v>643.02</v>
      </c>
      <c r="N239" s="14" t="n">
        <v>643.02</v>
      </c>
      <c r="O239" s="14" t="n">
        <v>643.02</v>
      </c>
      <c r="P239" s="14" t="n">
        <v>643.02</v>
      </c>
      <c r="Q239" s="14" t="n">
        <v>643.02</v>
      </c>
      <c r="R239" s="14" t="n">
        <v>643.02</v>
      </c>
      <c r="S239" s="14" t="n">
        <v>643.02</v>
      </c>
      <c r="T239" s="14" t="n">
        <v>643.02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CANON-202512-002705</t>
        </is>
      </c>
      <c r="B240" s="15" t="inlineStr">
        <is>
          <t>2025-12-17</t>
        </is>
      </c>
      <c r="C240" s="15" t="inlineStr">
        <is>
          <t>Fenwick Blackwood</t>
        </is>
      </c>
      <c r="D240" s="15" t="inlineStr">
        <is>
          <t>TN</t>
        </is>
      </c>
      <c r="E240" s="16" t="n">
        <v>1950000</v>
      </c>
      <c r="F240" s="16" t="n">
        <v>18179.2</v>
      </c>
      <c r="G240" s="16" t="n">
        <v>2272.4</v>
      </c>
      <c r="H240" s="16" t="n">
        <v>2272.4</v>
      </c>
      <c r="I240" s="16">
        <f>SUM(K240:T240)</f>
        <v/>
      </c>
      <c r="J240" s="16">
        <f>F240-(G240+H240+I240)</f>
        <v/>
      </c>
      <c r="K240" s="16" t="n">
        <v>1363.44</v>
      </c>
      <c r="L240" s="16" t="n">
        <v>1363.44</v>
      </c>
      <c r="M240" s="16" t="n">
        <v>1363.44</v>
      </c>
      <c r="N240" s="16" t="n">
        <v>1363.44</v>
      </c>
      <c r="O240" s="16" t="n">
        <v>1363.44</v>
      </c>
      <c r="P240" s="16" t="n">
        <v>1363.44</v>
      </c>
      <c r="Q240" s="16" t="n">
        <v>1363.44</v>
      </c>
      <c r="R240" s="16" t="n">
        <v>1363.44</v>
      </c>
      <c r="S240" s="16" t="n">
        <v>1363.44</v>
      </c>
      <c r="T240" s="16" t="n">
        <v>1363.44</v>
      </c>
      <c r="U240" s="16" t="n">
        <v>350</v>
      </c>
      <c r="V240" s="16" t="n">
        <v>250</v>
      </c>
      <c r="W240" s="16">
        <f>U240+V240</f>
        <v/>
      </c>
    </row>
    <row r="241">
      <c r="A241" s="3" t="inlineStr">
        <is>
          <t>CANON-202512-002706</t>
        </is>
      </c>
      <c r="B241" s="3" t="inlineStr">
        <is>
          <t>2025-12-10</t>
        </is>
      </c>
      <c r="C241" s="3" t="inlineStr">
        <is>
          <t>Saoirse Chattopadhyay</t>
        </is>
      </c>
      <c r="D241" s="3" t="inlineStr">
        <is>
          <t>MI</t>
        </is>
      </c>
      <c r="E241" s="14" t="n">
        <v>1585000</v>
      </c>
      <c r="F241" s="14" t="n">
        <v>23370.88</v>
      </c>
      <c r="G241" s="14" t="n">
        <v>2921.36</v>
      </c>
      <c r="H241" s="14" t="n">
        <v>2921.36</v>
      </c>
      <c r="I241" s="14">
        <f>SUM(K241:T241)</f>
        <v/>
      </c>
      <c r="J241" s="14">
        <f>F241-(G241+H241+I241)</f>
        <v/>
      </c>
      <c r="K241" s="14" t="n">
        <v>1752.82</v>
      </c>
      <c r="L241" s="14" t="n">
        <v>1752.82</v>
      </c>
      <c r="M241" s="14" t="n">
        <v>1752.82</v>
      </c>
      <c r="N241" s="14" t="n">
        <v>1752.82</v>
      </c>
      <c r="O241" s="14" t="n">
        <v>1752.82</v>
      </c>
      <c r="P241" s="14" t="n">
        <v>1752.82</v>
      </c>
      <c r="Q241" s="14" t="n">
        <v>1752.82</v>
      </c>
      <c r="R241" s="14" t="n">
        <v>1752.82</v>
      </c>
      <c r="S241" s="14" t="n">
        <v>1752.82</v>
      </c>
      <c r="T241" s="14" t="n">
        <v>1752.82</v>
      </c>
      <c r="U241" s="14" t="n">
        <v>350</v>
      </c>
      <c r="V241" s="14" t="n">
        <v>250</v>
      </c>
      <c r="W241" s="14">
        <f>U241+V241</f>
        <v/>
      </c>
    </row>
    <row r="242">
      <c r="A242" s="15" t="inlineStr">
        <is>
          <t>CANON-202512-002707</t>
        </is>
      </c>
      <c r="B242" s="15" t="inlineStr">
        <is>
          <t>2025-12-28</t>
        </is>
      </c>
      <c r="C242" s="15" t="inlineStr">
        <is>
          <t>Anouk Okonkwo</t>
        </is>
      </c>
      <c r="D242" s="15" t="inlineStr">
        <is>
          <t>DE</t>
        </is>
      </c>
      <c r="E242" s="16" t="n">
        <v>1410000</v>
      </c>
      <c r="F242" s="16" t="n">
        <v>16766.53</v>
      </c>
      <c r="G242" s="16" t="n">
        <v>2095.82</v>
      </c>
      <c r="H242" s="16" t="n">
        <v>2095.82</v>
      </c>
      <c r="I242" s="16">
        <f>SUM(K242:T242)</f>
        <v/>
      </c>
      <c r="J242" s="16">
        <f>F242-(G242+H242+I242)</f>
        <v/>
      </c>
      <c r="K242" s="16" t="n">
        <v>1257.49</v>
      </c>
      <c r="L242" s="16" t="n">
        <v>1257.49</v>
      </c>
      <c r="M242" s="16" t="n">
        <v>1257.49</v>
      </c>
      <c r="N242" s="16" t="n">
        <v>1257.49</v>
      </c>
      <c r="O242" s="16" t="n">
        <v>1257.49</v>
      </c>
      <c r="P242" s="16" t="n">
        <v>1257.49</v>
      </c>
      <c r="Q242" s="16" t="n">
        <v>1257.49</v>
      </c>
      <c r="R242" s="16" t="n">
        <v>1257.49</v>
      </c>
      <c r="S242" s="16" t="n">
        <v>1257.49</v>
      </c>
      <c r="T242" s="16" t="n">
        <v>1257.49</v>
      </c>
      <c r="U242" s="16" t="n">
        <v>350</v>
      </c>
      <c r="V242" s="16" t="n">
        <v>250</v>
      </c>
      <c r="W242" s="16">
        <f>U242+V242</f>
        <v/>
      </c>
    </row>
    <row r="243">
      <c r="A243" s="3" t="inlineStr">
        <is>
          <t>CANON-202512-002708</t>
        </is>
      </c>
      <c r="B243" s="3" t="inlineStr">
        <is>
          <t>2025-12-07</t>
        </is>
      </c>
      <c r="C243" s="3" t="inlineStr">
        <is>
          <t>Emiliano Fairweather</t>
        </is>
      </c>
      <c r="D243" s="3" t="inlineStr">
        <is>
          <t>PA</t>
        </is>
      </c>
      <c r="E243" s="14" t="n">
        <v>285000</v>
      </c>
      <c r="F243" s="14" t="n">
        <v>3697.07</v>
      </c>
      <c r="G243" s="14" t="n">
        <v>462.13</v>
      </c>
      <c r="H243" s="14" t="n">
        <v>462.13</v>
      </c>
      <c r="I243" s="14">
        <f>SUM(K243:T243)</f>
        <v/>
      </c>
      <c r="J243" s="14">
        <f>F243-(G243+H243+I243)</f>
        <v/>
      </c>
      <c r="K243" s="14" t="n">
        <v>277.28</v>
      </c>
      <c r="L243" s="14" t="n">
        <v>277.28</v>
      </c>
      <c r="M243" s="14" t="n">
        <v>277.28</v>
      </c>
      <c r="N243" s="14" t="n">
        <v>277.28</v>
      </c>
      <c r="O243" s="14" t="n">
        <v>277.28</v>
      </c>
      <c r="P243" s="14" t="n">
        <v>277.28</v>
      </c>
      <c r="Q243" s="14" t="n">
        <v>277.28</v>
      </c>
      <c r="R243" s="14" t="n">
        <v>277.28</v>
      </c>
      <c r="S243" s="14" t="n">
        <v>277.28</v>
      </c>
      <c r="T243" s="14" t="n">
        <v>277.28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CANON-202512-002709</t>
        </is>
      </c>
      <c r="B244" s="15" t="inlineStr">
        <is>
          <t>2025-12-14</t>
        </is>
      </c>
      <c r="C244" s="15" t="inlineStr">
        <is>
          <t>Horace Castellanos</t>
        </is>
      </c>
      <c r="D244" s="15" t="inlineStr">
        <is>
          <t>NJ</t>
        </is>
      </c>
      <c r="E244" s="16" t="n">
        <v>1380000</v>
      </c>
      <c r="F244" s="16" t="n">
        <v>17376.48</v>
      </c>
      <c r="G244" s="16" t="n">
        <v>2172.06</v>
      </c>
      <c r="H244" s="16" t="n">
        <v>2172.06</v>
      </c>
      <c r="I244" s="16">
        <f>SUM(K244:T244)</f>
        <v/>
      </c>
      <c r="J244" s="16">
        <f>F244-(G244+H244+I244)</f>
        <v/>
      </c>
      <c r="K244" s="16" t="n">
        <v>1303.24</v>
      </c>
      <c r="L244" s="16" t="n">
        <v>1303.24</v>
      </c>
      <c r="M244" s="16" t="n">
        <v>1303.24</v>
      </c>
      <c r="N244" s="16" t="n">
        <v>1303.24</v>
      </c>
      <c r="O244" s="16" t="n">
        <v>1303.24</v>
      </c>
      <c r="P244" s="16" t="n">
        <v>1303.24</v>
      </c>
      <c r="Q244" s="16" t="n">
        <v>1303.24</v>
      </c>
      <c r="R244" s="16" t="n">
        <v>1303.24</v>
      </c>
      <c r="S244" s="16" t="n">
        <v>1303.24</v>
      </c>
      <c r="T244" s="16" t="n">
        <v>1303.24</v>
      </c>
      <c r="U244" s="16" t="n">
        <v>350</v>
      </c>
      <c r="V244" s="16" t="n">
        <v>250</v>
      </c>
      <c r="W244" s="16">
        <f>U244+V244</f>
        <v/>
      </c>
    </row>
    <row r="245">
      <c r="A245" s="3" t="inlineStr">
        <is>
          <t>CANON-202512-002710</t>
        </is>
      </c>
      <c r="B245" s="3" t="inlineStr">
        <is>
          <t>2025-12-07</t>
        </is>
      </c>
      <c r="C245" s="3" t="inlineStr">
        <is>
          <t>Callum Delacroix</t>
        </is>
      </c>
      <c r="D245" s="3" t="inlineStr">
        <is>
          <t>WY</t>
        </is>
      </c>
      <c r="E245" s="14" t="n">
        <v>245000</v>
      </c>
      <c r="F245" s="14" t="n">
        <v>4171.47</v>
      </c>
      <c r="G245" s="14" t="n">
        <v>521.4299999999999</v>
      </c>
      <c r="H245" s="14" t="n">
        <v>521.4299999999999</v>
      </c>
      <c r="I245" s="14">
        <f>SUM(K245:T245)</f>
        <v/>
      </c>
      <c r="J245" s="14">
        <f>F245-(G245+H245+I245)</f>
        <v/>
      </c>
      <c r="K245" s="14" t="n">
        <v>312.86</v>
      </c>
      <c r="L245" s="14" t="n">
        <v>312.86</v>
      </c>
      <c r="M245" s="14" t="n">
        <v>312.86</v>
      </c>
      <c r="N245" s="14" t="n">
        <v>312.86</v>
      </c>
      <c r="O245" s="14" t="n">
        <v>312.86</v>
      </c>
      <c r="P245" s="14" t="n">
        <v>312.86</v>
      </c>
      <c r="Q245" s="14" t="n">
        <v>312.86</v>
      </c>
      <c r="R245" s="14" t="n">
        <v>312.86</v>
      </c>
      <c r="S245" s="14" t="n">
        <v>312.86</v>
      </c>
      <c r="T245" s="14" t="n">
        <v>312.86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CANON-202512-002711</t>
        </is>
      </c>
      <c r="B246" s="15" t="inlineStr">
        <is>
          <t>2025-12-09</t>
        </is>
      </c>
      <c r="C246" s="15" t="inlineStr">
        <is>
          <t>Delphine Bellandi</t>
        </is>
      </c>
      <c r="D246" s="15" t="inlineStr">
        <is>
          <t>CO</t>
        </is>
      </c>
      <c r="E246" s="16" t="n">
        <v>965000</v>
      </c>
      <c r="F246" s="16" t="n">
        <v>11933.97</v>
      </c>
      <c r="G246" s="16" t="n">
        <v>1491.75</v>
      </c>
      <c r="H246" s="16" t="n">
        <v>1491.75</v>
      </c>
      <c r="I246" s="16">
        <f>SUM(K246:T246)</f>
        <v/>
      </c>
      <c r="J246" s="16">
        <f>F246-(G246+H246+I246)</f>
        <v/>
      </c>
      <c r="K246" s="16" t="n">
        <v>895.05</v>
      </c>
      <c r="L246" s="16" t="n">
        <v>895.05</v>
      </c>
      <c r="M246" s="16" t="n">
        <v>895.05</v>
      </c>
      <c r="N246" s="16" t="n">
        <v>895.05</v>
      </c>
      <c r="O246" s="16" t="n">
        <v>895.05</v>
      </c>
      <c r="P246" s="16" t="n">
        <v>895.05</v>
      </c>
      <c r="Q246" s="16" t="n">
        <v>895.05</v>
      </c>
      <c r="R246" s="16" t="n">
        <v>895.05</v>
      </c>
      <c r="S246" s="16" t="n">
        <v>895.05</v>
      </c>
      <c r="T246" s="16" t="n">
        <v>895.05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CANON-202512-002712</t>
        </is>
      </c>
      <c r="B247" s="3" t="inlineStr">
        <is>
          <t>2025-12-06</t>
        </is>
      </c>
      <c r="C247" s="3" t="inlineStr">
        <is>
          <t>Emiliano Vasquez</t>
        </is>
      </c>
      <c r="D247" s="3" t="inlineStr">
        <is>
          <t>OK</t>
        </is>
      </c>
      <c r="E247" s="14" t="n">
        <v>215000</v>
      </c>
      <c r="F247" s="14" t="n">
        <v>4310.71</v>
      </c>
      <c r="G247" s="14" t="n">
        <v>538.84</v>
      </c>
      <c r="H247" s="14" t="n">
        <v>538.84</v>
      </c>
      <c r="I247" s="14">
        <f>SUM(K247:T247)</f>
        <v/>
      </c>
      <c r="J247" s="14">
        <f>F247-(G247+H247+I247)</f>
        <v/>
      </c>
      <c r="K247" s="14" t="n">
        <v>323.3</v>
      </c>
      <c r="L247" s="14" t="n">
        <v>323.3</v>
      </c>
      <c r="M247" s="14" t="n">
        <v>323.3</v>
      </c>
      <c r="N247" s="14" t="n">
        <v>323.3</v>
      </c>
      <c r="O247" s="14" t="n">
        <v>323.3</v>
      </c>
      <c r="P247" s="14" t="n">
        <v>323.3</v>
      </c>
      <c r="Q247" s="14" t="n">
        <v>323.3</v>
      </c>
      <c r="R247" s="14" t="n">
        <v>323.3</v>
      </c>
      <c r="S247" s="14" t="n">
        <v>323.3</v>
      </c>
      <c r="T247" s="14" t="n">
        <v>323.3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CANON-202512-002713</t>
        </is>
      </c>
      <c r="B248" s="15" t="inlineStr">
        <is>
          <t>2025-12-06</t>
        </is>
      </c>
      <c r="C248" s="15" t="inlineStr">
        <is>
          <t>Aurelio Nakashima</t>
        </is>
      </c>
      <c r="D248" s="15" t="inlineStr">
        <is>
          <t>NJ</t>
        </is>
      </c>
      <c r="E248" s="16" t="n">
        <v>410000</v>
      </c>
      <c r="F248" s="16" t="n">
        <v>4839.92</v>
      </c>
      <c r="G248" s="16" t="n">
        <v>604.99</v>
      </c>
      <c r="H248" s="16" t="n">
        <v>604.99</v>
      </c>
      <c r="I248" s="16">
        <f>SUM(K248:T248)</f>
        <v/>
      </c>
      <c r="J248" s="16">
        <f>F248-(G248+H248+I248)</f>
        <v/>
      </c>
      <c r="K248" s="16" t="n">
        <v>362.99</v>
      </c>
      <c r="L248" s="16" t="n">
        <v>362.99</v>
      </c>
      <c r="M248" s="16" t="n">
        <v>362.99</v>
      </c>
      <c r="N248" s="16" t="n">
        <v>362.99</v>
      </c>
      <c r="O248" s="16" t="n">
        <v>362.99</v>
      </c>
      <c r="P248" s="16" t="n">
        <v>362.99</v>
      </c>
      <c r="Q248" s="16" t="n">
        <v>362.99</v>
      </c>
      <c r="R248" s="16" t="n">
        <v>362.99</v>
      </c>
      <c r="S248" s="16" t="n">
        <v>362.99</v>
      </c>
      <c r="T248" s="16" t="n">
        <v>362.99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CANON-202512-002714</t>
        </is>
      </c>
      <c r="B249" s="3" t="inlineStr">
        <is>
          <t>2025-12-08</t>
        </is>
      </c>
      <c r="C249" s="3" t="inlineStr">
        <is>
          <t>Fenwick Harrington</t>
        </is>
      </c>
      <c r="D249" s="3" t="inlineStr">
        <is>
          <t>WI</t>
        </is>
      </c>
      <c r="E249" s="14" t="n">
        <v>540000</v>
      </c>
      <c r="F249" s="14" t="n">
        <v>7285.17</v>
      </c>
      <c r="G249" s="14" t="n">
        <v>910.65</v>
      </c>
      <c r="H249" s="14" t="n">
        <v>910.65</v>
      </c>
      <c r="I249" s="14">
        <f>SUM(K249:T249)</f>
        <v/>
      </c>
      <c r="J249" s="14">
        <f>F249-(G249+H249+I249)</f>
        <v/>
      </c>
      <c r="K249" s="14" t="n">
        <v>546.39</v>
      </c>
      <c r="L249" s="14" t="n">
        <v>546.39</v>
      </c>
      <c r="M249" s="14" t="n">
        <v>546.39</v>
      </c>
      <c r="N249" s="14" t="n">
        <v>546.39</v>
      </c>
      <c r="O249" s="14" t="n">
        <v>546.39</v>
      </c>
      <c r="P249" s="14" t="n">
        <v>546.39</v>
      </c>
      <c r="Q249" s="14" t="n">
        <v>546.39</v>
      </c>
      <c r="R249" s="14" t="n">
        <v>546.39</v>
      </c>
      <c r="S249" s="14" t="n">
        <v>546.39</v>
      </c>
      <c r="T249" s="14" t="n">
        <v>546.39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CANON-202512-002715</t>
        </is>
      </c>
      <c r="B250" s="15" t="inlineStr">
        <is>
          <t>2025-12-09</t>
        </is>
      </c>
      <c r="C250" s="15" t="inlineStr">
        <is>
          <t>Aurelio Montoya</t>
        </is>
      </c>
      <c r="D250" s="15" t="inlineStr">
        <is>
          <t>UT</t>
        </is>
      </c>
      <c r="E250" s="16" t="n">
        <v>490000</v>
      </c>
      <c r="F250" s="16" t="n">
        <v>8581.09</v>
      </c>
      <c r="G250" s="16" t="n">
        <v>1072.64</v>
      </c>
      <c r="H250" s="16" t="n">
        <v>1072.64</v>
      </c>
      <c r="I250" s="16">
        <f>SUM(K250:T250)</f>
        <v/>
      </c>
      <c r="J250" s="16">
        <f>F250-(G250+H250+I250)</f>
        <v/>
      </c>
      <c r="K250" s="16" t="n">
        <v>643.58</v>
      </c>
      <c r="L250" s="16" t="n">
        <v>643.58</v>
      </c>
      <c r="M250" s="16" t="n">
        <v>643.58</v>
      </c>
      <c r="N250" s="16" t="n">
        <v>643.58</v>
      </c>
      <c r="O250" s="16" t="n">
        <v>643.58</v>
      </c>
      <c r="P250" s="16" t="n">
        <v>643.58</v>
      </c>
      <c r="Q250" s="16" t="n">
        <v>643.58</v>
      </c>
      <c r="R250" s="16" t="n">
        <v>643.58</v>
      </c>
      <c r="S250" s="16" t="n">
        <v>643.58</v>
      </c>
      <c r="T250" s="16" t="n">
        <v>643.58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CANON-202512-002716</t>
        </is>
      </c>
      <c r="B251" s="3" t="inlineStr">
        <is>
          <t>2025-12-21</t>
        </is>
      </c>
      <c r="C251" s="3" t="inlineStr">
        <is>
          <t>Horace Blackwood</t>
        </is>
      </c>
      <c r="D251" s="3" t="inlineStr">
        <is>
          <t>GA</t>
        </is>
      </c>
      <c r="E251" s="14" t="n">
        <v>1640000</v>
      </c>
      <c r="F251" s="14" t="n">
        <v>12072.49</v>
      </c>
      <c r="G251" s="14" t="n">
        <v>1509.06</v>
      </c>
      <c r="H251" s="14" t="n">
        <v>1509.06</v>
      </c>
      <c r="I251" s="14">
        <f>SUM(K251:T251)</f>
        <v/>
      </c>
      <c r="J251" s="14">
        <f>F251-(G251+H251+I251)</f>
        <v/>
      </c>
      <c r="K251" s="14" t="n">
        <v>905.4400000000001</v>
      </c>
      <c r="L251" s="14" t="n">
        <v>905.4400000000001</v>
      </c>
      <c r="M251" s="14" t="n">
        <v>905.4400000000001</v>
      </c>
      <c r="N251" s="14" t="n">
        <v>905.4400000000001</v>
      </c>
      <c r="O251" s="14" t="n">
        <v>905.4400000000001</v>
      </c>
      <c r="P251" s="14" t="n">
        <v>905.4400000000001</v>
      </c>
      <c r="Q251" s="14" t="n">
        <v>905.4400000000001</v>
      </c>
      <c r="R251" s="14" t="n">
        <v>905.4400000000001</v>
      </c>
      <c r="S251" s="14" t="n">
        <v>905.4400000000001</v>
      </c>
      <c r="T251" s="14" t="n">
        <v>905.4400000000001</v>
      </c>
      <c r="U251" s="14" t="n">
        <v>350</v>
      </c>
      <c r="V251" s="14" t="n">
        <v>250</v>
      </c>
      <c r="W251" s="14">
        <f>U251+V251</f>
        <v/>
      </c>
    </row>
    <row r="252">
      <c r="A252" s="15" t="inlineStr">
        <is>
          <t>CANON-202512-002719</t>
        </is>
      </c>
      <c r="B252" s="15" t="inlineStr">
        <is>
          <t>2025-12-20</t>
        </is>
      </c>
      <c r="C252" s="15" t="inlineStr">
        <is>
          <t>Saoirse Ashcombe</t>
        </is>
      </c>
      <c r="D252" s="15" t="inlineStr">
        <is>
          <t>VT</t>
        </is>
      </c>
      <c r="E252" s="16" t="n">
        <v>630000</v>
      </c>
      <c r="F252" s="16" t="n">
        <v>8641.030000000001</v>
      </c>
      <c r="G252" s="16" t="n">
        <v>1080.13</v>
      </c>
      <c r="H252" s="16" t="n">
        <v>1080.13</v>
      </c>
      <c r="I252" s="16">
        <f>SUM(K252:T252)</f>
        <v/>
      </c>
      <c r="J252" s="16">
        <f>F252-(G252+H252+I252)</f>
        <v/>
      </c>
      <c r="K252" s="16" t="n">
        <v>648.08</v>
      </c>
      <c r="L252" s="16" t="n">
        <v>648.08</v>
      </c>
      <c r="M252" s="16" t="n">
        <v>648.08</v>
      </c>
      <c r="N252" s="16" t="n">
        <v>648.08</v>
      </c>
      <c r="O252" s="16" t="n">
        <v>648.08</v>
      </c>
      <c r="P252" s="16" t="n">
        <v>648.08</v>
      </c>
      <c r="Q252" s="16" t="n">
        <v>648.08</v>
      </c>
      <c r="R252" s="16" t="n">
        <v>648.08</v>
      </c>
      <c r="S252" s="16" t="n">
        <v>648.08</v>
      </c>
      <c r="T252" s="16" t="n">
        <v>648.08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CANON-202512-002720</t>
        </is>
      </c>
      <c r="B253" s="3" t="inlineStr">
        <is>
          <t>2025-12-05</t>
        </is>
      </c>
      <c r="C253" s="3" t="inlineStr">
        <is>
          <t>Desmond Nakashima</t>
        </is>
      </c>
      <c r="D253" s="3" t="inlineStr">
        <is>
          <t>MI</t>
        </is>
      </c>
      <c r="E253" s="14" t="n">
        <v>445000</v>
      </c>
      <c r="F253" s="14" t="n">
        <v>5726.43</v>
      </c>
      <c r="G253" s="14" t="n">
        <v>715.8</v>
      </c>
      <c r="H253" s="14" t="n">
        <v>715.8</v>
      </c>
      <c r="I253" s="14">
        <f>SUM(K253:T253)</f>
        <v/>
      </c>
      <c r="J253" s="14">
        <f>F253-(G253+H253+I253)</f>
        <v/>
      </c>
      <c r="K253" s="14" t="n">
        <v>429.48</v>
      </c>
      <c r="L253" s="14" t="n">
        <v>429.48</v>
      </c>
      <c r="M253" s="14" t="n">
        <v>429.48</v>
      </c>
      <c r="N253" s="14" t="n">
        <v>429.48</v>
      </c>
      <c r="O253" s="14" t="n">
        <v>429.48</v>
      </c>
      <c r="P253" s="14" t="n">
        <v>429.48</v>
      </c>
      <c r="Q253" s="14" t="n">
        <v>429.48</v>
      </c>
      <c r="R253" s="14" t="n">
        <v>429.48</v>
      </c>
      <c r="S253" s="14" t="n">
        <v>429.48</v>
      </c>
      <c r="T253" s="14" t="n">
        <v>429.48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CANON-202512-002721</t>
        </is>
      </c>
      <c r="B254" s="15" t="inlineStr">
        <is>
          <t>2025-12-31</t>
        </is>
      </c>
      <c r="C254" s="15" t="inlineStr">
        <is>
          <t>Callum Blackwood</t>
        </is>
      </c>
      <c r="D254" s="15" t="inlineStr">
        <is>
          <t>NC</t>
        </is>
      </c>
      <c r="E254" s="16" t="n">
        <v>845000</v>
      </c>
      <c r="F254" s="16" t="n">
        <v>10924.95</v>
      </c>
      <c r="G254" s="16" t="n">
        <v>1365.62</v>
      </c>
      <c r="H254" s="16" t="n">
        <v>1365.62</v>
      </c>
      <c r="I254" s="16">
        <f>SUM(K254:T254)</f>
        <v/>
      </c>
      <c r="J254" s="16">
        <f>F254-(G254+H254+I254)</f>
        <v/>
      </c>
      <c r="K254" s="16" t="n">
        <v>819.37</v>
      </c>
      <c r="L254" s="16" t="n">
        <v>819.37</v>
      </c>
      <c r="M254" s="16" t="n">
        <v>819.37</v>
      </c>
      <c r="N254" s="16" t="n">
        <v>819.37</v>
      </c>
      <c r="O254" s="16" t="n">
        <v>819.37</v>
      </c>
      <c r="P254" s="16" t="n">
        <v>819.37</v>
      </c>
      <c r="Q254" s="16" t="n">
        <v>819.37</v>
      </c>
      <c r="R254" s="16" t="n">
        <v>819.37</v>
      </c>
      <c r="S254" s="16" t="n">
        <v>819.37</v>
      </c>
      <c r="T254" s="16" t="n">
        <v>819.37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CANON-202512-002722</t>
        </is>
      </c>
      <c r="B255" s="3" t="inlineStr">
        <is>
          <t>2025-12-31</t>
        </is>
      </c>
      <c r="C255" s="3" t="inlineStr">
        <is>
          <t>Ramona Ashcombe</t>
        </is>
      </c>
      <c r="D255" s="3" t="inlineStr">
        <is>
          <t>CA</t>
        </is>
      </c>
      <c r="E255" s="14" t="n">
        <v>430000</v>
      </c>
      <c r="F255" s="14" t="n">
        <v>7530.34</v>
      </c>
      <c r="G255" s="14" t="n">
        <v>941.29</v>
      </c>
      <c r="H255" s="14" t="n">
        <v>941.29</v>
      </c>
      <c r="I255" s="14">
        <f>SUM(K255:T255)</f>
        <v/>
      </c>
      <c r="J255" s="14">
        <f>F255-(G255+H255+I255)</f>
        <v/>
      </c>
      <c r="K255" s="14" t="n">
        <v>564.78</v>
      </c>
      <c r="L255" s="14" t="n">
        <v>564.78</v>
      </c>
      <c r="M255" s="14" t="n">
        <v>564.78</v>
      </c>
      <c r="N255" s="14" t="n">
        <v>564.78</v>
      </c>
      <c r="O255" s="14" t="n">
        <v>564.78</v>
      </c>
      <c r="P255" s="14" t="n">
        <v>564.78</v>
      </c>
      <c r="Q255" s="14" t="n">
        <v>564.78</v>
      </c>
      <c r="R255" s="14" t="n">
        <v>564.78</v>
      </c>
      <c r="S255" s="14" t="n">
        <v>564.78</v>
      </c>
      <c r="T255" s="14" t="n">
        <v>564.78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CANON-202512-002724</t>
        </is>
      </c>
      <c r="B256" s="15" t="inlineStr">
        <is>
          <t>2025-12-14</t>
        </is>
      </c>
      <c r="C256" s="15" t="inlineStr">
        <is>
          <t>Horace Underwood</t>
        </is>
      </c>
      <c r="D256" s="15" t="inlineStr">
        <is>
          <t>KS</t>
        </is>
      </c>
      <c r="E256" s="16" t="n">
        <v>805000</v>
      </c>
      <c r="F256" s="16" t="n">
        <v>8778.74</v>
      </c>
      <c r="G256" s="16" t="n">
        <v>1097.34</v>
      </c>
      <c r="H256" s="16" t="n">
        <v>1097.34</v>
      </c>
      <c r="I256" s="16">
        <f>SUM(K256:T256)</f>
        <v/>
      </c>
      <c r="J256" s="16">
        <f>F256-(G256+H256+I256)</f>
        <v/>
      </c>
      <c r="K256" s="16" t="n">
        <v>658.41</v>
      </c>
      <c r="L256" s="16" t="n">
        <v>658.41</v>
      </c>
      <c r="M256" s="16" t="n">
        <v>658.41</v>
      </c>
      <c r="N256" s="16" t="n">
        <v>658.41</v>
      </c>
      <c r="O256" s="16" t="n">
        <v>658.41</v>
      </c>
      <c r="P256" s="16" t="n">
        <v>658.41</v>
      </c>
      <c r="Q256" s="16" t="n">
        <v>658.41</v>
      </c>
      <c r="R256" s="16" t="n">
        <v>658.41</v>
      </c>
      <c r="S256" s="16" t="n">
        <v>658.41</v>
      </c>
      <c r="T256" s="16" t="n">
        <v>658.41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CANON-202512-002725</t>
        </is>
      </c>
      <c r="B257" s="3" t="inlineStr">
        <is>
          <t>2025-12-23</t>
        </is>
      </c>
      <c r="C257" s="3" t="inlineStr">
        <is>
          <t>Ingrid Blackwood</t>
        </is>
      </c>
      <c r="D257" s="3" t="inlineStr">
        <is>
          <t>ME</t>
        </is>
      </c>
      <c r="E257" s="14" t="n">
        <v>555000</v>
      </c>
      <c r="F257" s="14" t="n">
        <v>6738.78</v>
      </c>
      <c r="G257" s="14" t="n">
        <v>842.35</v>
      </c>
      <c r="H257" s="14" t="n">
        <v>842.35</v>
      </c>
      <c r="I257" s="14">
        <f>SUM(K257:T257)</f>
        <v/>
      </c>
      <c r="J257" s="14">
        <f>F257-(G257+H257+I257)</f>
        <v/>
      </c>
      <c r="K257" s="14" t="n">
        <v>505.41</v>
      </c>
      <c r="L257" s="14" t="n">
        <v>505.41</v>
      </c>
      <c r="M257" s="14" t="n">
        <v>505.41</v>
      </c>
      <c r="N257" s="14" t="n">
        <v>505.41</v>
      </c>
      <c r="O257" s="14" t="n">
        <v>505.41</v>
      </c>
      <c r="P257" s="14" t="n">
        <v>505.41</v>
      </c>
      <c r="Q257" s="14" t="n">
        <v>505.41</v>
      </c>
      <c r="R257" s="14" t="n">
        <v>505.41</v>
      </c>
      <c r="S257" s="14" t="n">
        <v>505.41</v>
      </c>
      <c r="T257" s="14" t="n">
        <v>505.41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CANON-202512-002726</t>
        </is>
      </c>
      <c r="B258" s="15" t="inlineStr">
        <is>
          <t>2025-12-31</t>
        </is>
      </c>
      <c r="C258" s="15" t="inlineStr">
        <is>
          <t>Wilhelmina Kingsford</t>
        </is>
      </c>
      <c r="D258" s="15" t="inlineStr">
        <is>
          <t>NJ</t>
        </is>
      </c>
      <c r="E258" s="16" t="n">
        <v>365000</v>
      </c>
      <c r="F258" s="16" t="n">
        <v>4308.71</v>
      </c>
      <c r="G258" s="16" t="n">
        <v>538.59</v>
      </c>
      <c r="H258" s="16" t="n">
        <v>538.59</v>
      </c>
      <c r="I258" s="16">
        <f>SUM(K258:T258)</f>
        <v/>
      </c>
      <c r="J258" s="16">
        <f>F258-(G258+H258+I258)</f>
        <v/>
      </c>
      <c r="K258" s="16" t="n">
        <v>323.15</v>
      </c>
      <c r="L258" s="16" t="n">
        <v>323.15</v>
      </c>
      <c r="M258" s="16" t="n">
        <v>323.15</v>
      </c>
      <c r="N258" s="16" t="n">
        <v>323.15</v>
      </c>
      <c r="O258" s="16" t="n">
        <v>323.15</v>
      </c>
      <c r="P258" s="16" t="n">
        <v>323.15</v>
      </c>
      <c r="Q258" s="16" t="n">
        <v>323.15</v>
      </c>
      <c r="R258" s="16" t="n">
        <v>323.15</v>
      </c>
      <c r="S258" s="16" t="n">
        <v>323.15</v>
      </c>
      <c r="T258" s="16" t="n">
        <v>323.15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CANON-202512-002729</t>
        </is>
      </c>
      <c r="B259" s="3" t="inlineStr">
        <is>
          <t>2025-12-10</t>
        </is>
      </c>
      <c r="C259" s="3" t="inlineStr">
        <is>
          <t>Lorenzo Ashcombe</t>
        </is>
      </c>
      <c r="D259" s="3" t="inlineStr">
        <is>
          <t>SC</t>
        </is>
      </c>
      <c r="E259" s="14" t="n">
        <v>265000</v>
      </c>
      <c r="F259" s="14" t="n">
        <v>4262.65</v>
      </c>
      <c r="G259" s="14" t="n">
        <v>532.83</v>
      </c>
      <c r="H259" s="14" t="n">
        <v>532.83</v>
      </c>
      <c r="I259" s="14">
        <f>SUM(K259:T259)</f>
        <v/>
      </c>
      <c r="J259" s="14">
        <f>F259-(G259+H259+I259)</f>
        <v/>
      </c>
      <c r="K259" s="14" t="n">
        <v>319.7</v>
      </c>
      <c r="L259" s="14" t="n">
        <v>319.7</v>
      </c>
      <c r="M259" s="14" t="n">
        <v>319.7</v>
      </c>
      <c r="N259" s="14" t="n">
        <v>319.7</v>
      </c>
      <c r="O259" s="14" t="n">
        <v>319.7</v>
      </c>
      <c r="P259" s="14" t="n">
        <v>319.7</v>
      </c>
      <c r="Q259" s="14" t="n">
        <v>319.7</v>
      </c>
      <c r="R259" s="14" t="n">
        <v>319.7</v>
      </c>
      <c r="S259" s="14" t="n">
        <v>319.7</v>
      </c>
      <c r="T259" s="14" t="n">
        <v>319.7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CANON-202512-002730</t>
        </is>
      </c>
      <c r="B260" s="15" t="inlineStr">
        <is>
          <t>2025-12-08</t>
        </is>
      </c>
      <c r="C260" s="15" t="inlineStr">
        <is>
          <t>Thaddeus Fairweather</t>
        </is>
      </c>
      <c r="D260" s="15" t="inlineStr">
        <is>
          <t>OH</t>
        </is>
      </c>
      <c r="E260" s="16" t="n">
        <v>755000</v>
      </c>
      <c r="F260" s="16" t="n">
        <v>11798.49</v>
      </c>
      <c r="G260" s="16" t="n">
        <v>1474.81</v>
      </c>
      <c r="H260" s="16" t="n">
        <v>1474.81</v>
      </c>
      <c r="I260" s="16">
        <f>SUM(K260:T260)</f>
        <v/>
      </c>
      <c r="J260" s="16">
        <f>F260-(G260+H260+I260)</f>
        <v/>
      </c>
      <c r="K260" s="16" t="n">
        <v>884.89</v>
      </c>
      <c r="L260" s="16" t="n">
        <v>884.89</v>
      </c>
      <c r="M260" s="16" t="n">
        <v>884.89</v>
      </c>
      <c r="N260" s="16" t="n">
        <v>884.89</v>
      </c>
      <c r="O260" s="16" t="n">
        <v>884.89</v>
      </c>
      <c r="P260" s="16" t="n">
        <v>884.89</v>
      </c>
      <c r="Q260" s="16" t="n">
        <v>884.89</v>
      </c>
      <c r="R260" s="16" t="n">
        <v>884.89</v>
      </c>
      <c r="S260" s="16" t="n">
        <v>884.89</v>
      </c>
      <c r="T260" s="16" t="n">
        <v>884.89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CANON-202512-002732</t>
        </is>
      </c>
      <c r="B261" s="3" t="inlineStr">
        <is>
          <t>2025-12-18</t>
        </is>
      </c>
      <c r="C261" s="3" t="inlineStr">
        <is>
          <t>Horace Bellandi</t>
        </is>
      </c>
      <c r="D261" s="3" t="inlineStr">
        <is>
          <t>LA</t>
        </is>
      </c>
      <c r="E261" s="14" t="n">
        <v>105000</v>
      </c>
      <c r="F261" s="14" t="n">
        <v>2021.69</v>
      </c>
      <c r="G261" s="14" t="n">
        <v>252.71</v>
      </c>
      <c r="H261" s="14" t="n">
        <v>252.71</v>
      </c>
      <c r="I261" s="14">
        <f>SUM(K261:T261)</f>
        <v/>
      </c>
      <c r="J261" s="14">
        <f>F261-(G261+H261+I261)</f>
        <v/>
      </c>
      <c r="K261" s="14" t="n">
        <v>151.63</v>
      </c>
      <c r="L261" s="14" t="n">
        <v>151.63</v>
      </c>
      <c r="M261" s="14" t="n">
        <v>151.63</v>
      </c>
      <c r="N261" s="14" t="n">
        <v>151.63</v>
      </c>
      <c r="O261" s="14" t="n">
        <v>151.63</v>
      </c>
      <c r="P261" s="14" t="n">
        <v>151.63</v>
      </c>
      <c r="Q261" s="14" t="n">
        <v>151.63</v>
      </c>
      <c r="R261" s="14" t="n">
        <v>151.63</v>
      </c>
      <c r="S261" s="14" t="n">
        <v>151.63</v>
      </c>
      <c r="T261" s="14" t="n">
        <v>151.63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CANON-202512-002733</t>
        </is>
      </c>
      <c r="B262" s="15" t="inlineStr">
        <is>
          <t>2025-12-21</t>
        </is>
      </c>
      <c r="C262" s="15" t="inlineStr">
        <is>
          <t>Saoirse Thistlewood</t>
        </is>
      </c>
      <c r="D262" s="15" t="inlineStr">
        <is>
          <t>VA</t>
        </is>
      </c>
      <c r="E262" s="16" t="n">
        <v>350000</v>
      </c>
      <c r="F262" s="16" t="n">
        <v>4948.88</v>
      </c>
      <c r="G262" s="16" t="n">
        <v>618.61</v>
      </c>
      <c r="H262" s="16" t="n">
        <v>618.61</v>
      </c>
      <c r="I262" s="16">
        <f>SUM(K262:T262)</f>
        <v/>
      </c>
      <c r="J262" s="16">
        <f>F262-(G262+H262+I262)</f>
        <v/>
      </c>
      <c r="K262" s="16" t="n">
        <v>371.17</v>
      </c>
      <c r="L262" s="16" t="n">
        <v>371.17</v>
      </c>
      <c r="M262" s="16" t="n">
        <v>371.17</v>
      </c>
      <c r="N262" s="16" t="n">
        <v>371.17</v>
      </c>
      <c r="O262" s="16" t="n">
        <v>371.17</v>
      </c>
      <c r="P262" s="16" t="n">
        <v>371.17</v>
      </c>
      <c r="Q262" s="16" t="n">
        <v>371.17</v>
      </c>
      <c r="R262" s="16" t="n">
        <v>371.17</v>
      </c>
      <c r="S262" s="16" t="n">
        <v>371.17</v>
      </c>
      <c r="T262" s="16" t="n">
        <v>371.17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CANON-202512-002735</t>
        </is>
      </c>
      <c r="B263" s="3" t="inlineStr">
        <is>
          <t>2025-12-19</t>
        </is>
      </c>
      <c r="C263" s="3" t="inlineStr">
        <is>
          <t>Emiliano Merriweather</t>
        </is>
      </c>
      <c r="D263" s="3" t="inlineStr">
        <is>
          <t>NM</t>
        </is>
      </c>
      <c r="E263" s="14" t="n">
        <v>800000</v>
      </c>
      <c r="F263" s="14" t="n">
        <v>11512.37</v>
      </c>
      <c r="G263" s="14" t="n">
        <v>1439.05</v>
      </c>
      <c r="H263" s="14" t="n">
        <v>1439.05</v>
      </c>
      <c r="I263" s="14">
        <f>SUM(K263:T263)</f>
        <v/>
      </c>
      <c r="J263" s="14">
        <f>F263-(G263+H263+I263)</f>
        <v/>
      </c>
      <c r="K263" s="14" t="n">
        <v>863.4299999999999</v>
      </c>
      <c r="L263" s="14" t="n">
        <v>863.4299999999999</v>
      </c>
      <c r="M263" s="14" t="n">
        <v>863.4299999999999</v>
      </c>
      <c r="N263" s="14" t="n">
        <v>863.4299999999999</v>
      </c>
      <c r="O263" s="14" t="n">
        <v>863.4299999999999</v>
      </c>
      <c r="P263" s="14" t="n">
        <v>863.4299999999999</v>
      </c>
      <c r="Q263" s="14" t="n">
        <v>863.4299999999999</v>
      </c>
      <c r="R263" s="14" t="n">
        <v>863.4299999999999</v>
      </c>
      <c r="S263" s="14" t="n">
        <v>863.4299999999999</v>
      </c>
      <c r="T263" s="14" t="n">
        <v>863.4299999999999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CANON-202512-002736</t>
        </is>
      </c>
      <c r="B264" s="15" t="inlineStr">
        <is>
          <t>2025-12-04</t>
        </is>
      </c>
      <c r="C264" s="15" t="inlineStr">
        <is>
          <t>Beatrix Underwood</t>
        </is>
      </c>
      <c r="D264" s="15" t="inlineStr">
        <is>
          <t>KS</t>
        </is>
      </c>
      <c r="E264" s="16" t="n">
        <v>285000</v>
      </c>
      <c r="F264" s="16" t="n">
        <v>3586.16</v>
      </c>
      <c r="G264" s="16" t="n">
        <v>448.27</v>
      </c>
      <c r="H264" s="16" t="n">
        <v>448.27</v>
      </c>
      <c r="I264" s="16">
        <f>SUM(K264:T264)</f>
        <v/>
      </c>
      <c r="J264" s="16">
        <f>F264-(G264+H264+I264)</f>
        <v/>
      </c>
      <c r="K264" s="16" t="n">
        <v>268.96</v>
      </c>
      <c r="L264" s="16" t="n">
        <v>268.96</v>
      </c>
      <c r="M264" s="16" t="n">
        <v>268.96</v>
      </c>
      <c r="N264" s="16" t="n">
        <v>268.96</v>
      </c>
      <c r="O264" s="16" t="n">
        <v>268.96</v>
      </c>
      <c r="P264" s="16" t="n">
        <v>268.96</v>
      </c>
      <c r="Q264" s="16" t="n">
        <v>268.96</v>
      </c>
      <c r="R264" s="16" t="n">
        <v>268.96</v>
      </c>
      <c r="S264" s="16" t="n">
        <v>268.96</v>
      </c>
      <c r="T264" s="16" t="n">
        <v>268.96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CANON-202512-002737</t>
        </is>
      </c>
      <c r="B265" s="3" t="inlineStr">
        <is>
          <t>2025-12-14</t>
        </is>
      </c>
      <c r="C265" s="3" t="inlineStr">
        <is>
          <t>Emiliano Farkas</t>
        </is>
      </c>
      <c r="D265" s="3" t="inlineStr">
        <is>
          <t>ND</t>
        </is>
      </c>
      <c r="E265" s="14" t="n">
        <v>245000</v>
      </c>
      <c r="F265" s="14" t="n">
        <v>3976.54</v>
      </c>
      <c r="G265" s="14" t="n">
        <v>497.07</v>
      </c>
      <c r="H265" s="14" t="n">
        <v>497.07</v>
      </c>
      <c r="I265" s="14">
        <f>SUM(K265:T265)</f>
        <v/>
      </c>
      <c r="J265" s="14">
        <f>F265-(G265+H265+I265)</f>
        <v/>
      </c>
      <c r="K265" s="14" t="n">
        <v>298.24</v>
      </c>
      <c r="L265" s="14" t="n">
        <v>298.24</v>
      </c>
      <c r="M265" s="14" t="n">
        <v>298.24</v>
      </c>
      <c r="N265" s="14" t="n">
        <v>298.24</v>
      </c>
      <c r="O265" s="14" t="n">
        <v>298.24</v>
      </c>
      <c r="P265" s="14" t="n">
        <v>298.24</v>
      </c>
      <c r="Q265" s="14" t="n">
        <v>298.24</v>
      </c>
      <c r="R265" s="14" t="n">
        <v>298.24</v>
      </c>
      <c r="S265" s="14" t="n">
        <v>298.24</v>
      </c>
      <c r="T265" s="14" t="n">
        <v>298.24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CANON-202512-002738</t>
        </is>
      </c>
      <c r="B266" s="15" t="inlineStr">
        <is>
          <t>2025-12-11</t>
        </is>
      </c>
      <c r="C266" s="15" t="inlineStr">
        <is>
          <t>Priya Blackwood</t>
        </is>
      </c>
      <c r="D266" s="15" t="inlineStr">
        <is>
          <t>FL</t>
        </is>
      </c>
      <c r="E266" s="16" t="n">
        <v>1235000</v>
      </c>
      <c r="F266" s="16" t="n">
        <v>16682.81</v>
      </c>
      <c r="G266" s="16" t="n">
        <v>2085.35</v>
      </c>
      <c r="H266" s="16" t="n">
        <v>2085.35</v>
      </c>
      <c r="I266" s="16">
        <f>SUM(K266:T266)</f>
        <v/>
      </c>
      <c r="J266" s="16">
        <f>F266-(G266+H266+I266)</f>
        <v/>
      </c>
      <c r="K266" s="16" t="n">
        <v>1251.21</v>
      </c>
      <c r="L266" s="16" t="n">
        <v>1251.21</v>
      </c>
      <c r="M266" s="16" t="n">
        <v>1251.21</v>
      </c>
      <c r="N266" s="16" t="n">
        <v>1251.21</v>
      </c>
      <c r="O266" s="16" t="n">
        <v>1251.21</v>
      </c>
      <c r="P266" s="16" t="n">
        <v>1251.21</v>
      </c>
      <c r="Q266" s="16" t="n">
        <v>1251.21</v>
      </c>
      <c r="R266" s="16" t="n">
        <v>1251.21</v>
      </c>
      <c r="S266" s="16" t="n">
        <v>1251.21</v>
      </c>
      <c r="T266" s="16" t="n">
        <v>1251.21</v>
      </c>
      <c r="U266" s="16" t="n">
        <v>350</v>
      </c>
      <c r="V266" s="16" t="n">
        <v>250</v>
      </c>
      <c r="W266" s="16">
        <f>U266+V266</f>
        <v/>
      </c>
    </row>
    <row r="267">
      <c r="A267" s="3" t="inlineStr">
        <is>
          <t>CANON-202512-002740</t>
        </is>
      </c>
      <c r="B267" s="3" t="inlineStr">
        <is>
          <t>2025-12-28</t>
        </is>
      </c>
      <c r="C267" s="3" t="inlineStr">
        <is>
          <t>Sunniva Castellanos</t>
        </is>
      </c>
      <c r="D267" s="3" t="inlineStr">
        <is>
          <t>NV</t>
        </is>
      </c>
      <c r="E267" s="14" t="n">
        <v>1245000</v>
      </c>
      <c r="F267" s="14" t="n">
        <v>13857</v>
      </c>
      <c r="G267" s="14" t="n">
        <v>1732.12</v>
      </c>
      <c r="H267" s="14" t="n">
        <v>1732.12</v>
      </c>
      <c r="I267" s="14">
        <f>SUM(K267:T267)</f>
        <v/>
      </c>
      <c r="J267" s="14">
        <f>F267-(G267+H267+I267)</f>
        <v/>
      </c>
      <c r="K267" s="14" t="n">
        <v>1039.27</v>
      </c>
      <c r="L267" s="14" t="n">
        <v>1039.27</v>
      </c>
      <c r="M267" s="14" t="n">
        <v>1039.27</v>
      </c>
      <c r="N267" s="14" t="n">
        <v>1039.27</v>
      </c>
      <c r="O267" s="14" t="n">
        <v>1039.27</v>
      </c>
      <c r="P267" s="14" t="n">
        <v>1039.27</v>
      </c>
      <c r="Q267" s="14" t="n">
        <v>1039.27</v>
      </c>
      <c r="R267" s="14" t="n">
        <v>1039.27</v>
      </c>
      <c r="S267" s="14" t="n">
        <v>1039.27</v>
      </c>
      <c r="T267" s="14" t="n">
        <v>1039.27</v>
      </c>
      <c r="U267" s="14" t="n">
        <v>350</v>
      </c>
      <c r="V267" s="14" t="n">
        <v>250</v>
      </c>
      <c r="W267" s="14">
        <f>U267+V267</f>
        <v/>
      </c>
    </row>
    <row r="268">
      <c r="A268" s="15" t="inlineStr">
        <is>
          <t>CANON-202512-002741</t>
        </is>
      </c>
      <c r="B268" s="15" t="inlineStr">
        <is>
          <t>2025-12-23</t>
        </is>
      </c>
      <c r="C268" s="15" t="inlineStr">
        <is>
          <t>Everett Vandermeer</t>
        </is>
      </c>
      <c r="D268" s="15" t="inlineStr">
        <is>
          <t>VT</t>
        </is>
      </c>
      <c r="E268" s="16" t="n">
        <v>335000</v>
      </c>
      <c r="F268" s="16" t="n">
        <v>5301.73</v>
      </c>
      <c r="G268" s="16" t="n">
        <v>662.72</v>
      </c>
      <c r="H268" s="16" t="n">
        <v>662.72</v>
      </c>
      <c r="I268" s="16">
        <f>SUM(K268:T268)</f>
        <v/>
      </c>
      <c r="J268" s="16">
        <f>F268-(G268+H268+I268)</f>
        <v/>
      </c>
      <c r="K268" s="16" t="n">
        <v>397.63</v>
      </c>
      <c r="L268" s="16" t="n">
        <v>397.63</v>
      </c>
      <c r="M268" s="16" t="n">
        <v>397.63</v>
      </c>
      <c r="N268" s="16" t="n">
        <v>397.63</v>
      </c>
      <c r="O268" s="16" t="n">
        <v>397.63</v>
      </c>
      <c r="P268" s="16" t="n">
        <v>397.63</v>
      </c>
      <c r="Q268" s="16" t="n">
        <v>397.63</v>
      </c>
      <c r="R268" s="16" t="n">
        <v>397.63</v>
      </c>
      <c r="S268" s="16" t="n">
        <v>397.63</v>
      </c>
      <c r="T268" s="16" t="n">
        <v>397.63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CANON-202512-002742</t>
        </is>
      </c>
      <c r="B269" s="3" t="inlineStr">
        <is>
          <t>2025-12-17</t>
        </is>
      </c>
      <c r="C269" s="3" t="inlineStr">
        <is>
          <t>Priya Vandermeer</t>
        </is>
      </c>
      <c r="D269" s="3" t="inlineStr">
        <is>
          <t>IL</t>
        </is>
      </c>
      <c r="E269" s="14" t="n">
        <v>920000</v>
      </c>
      <c r="F269" s="14" t="n">
        <v>14066.68</v>
      </c>
      <c r="G269" s="14" t="n">
        <v>1758.34</v>
      </c>
      <c r="H269" s="14" t="n">
        <v>1758.34</v>
      </c>
      <c r="I269" s="14">
        <f>SUM(K269:T269)</f>
        <v/>
      </c>
      <c r="J269" s="14">
        <f>F269-(G269+H269+I269)</f>
        <v/>
      </c>
      <c r="K269" s="14" t="n">
        <v>1055</v>
      </c>
      <c r="L269" s="14" t="n">
        <v>1055</v>
      </c>
      <c r="M269" s="14" t="n">
        <v>1055</v>
      </c>
      <c r="N269" s="14" t="n">
        <v>1055</v>
      </c>
      <c r="O269" s="14" t="n">
        <v>1055</v>
      </c>
      <c r="P269" s="14" t="n">
        <v>1055</v>
      </c>
      <c r="Q269" s="14" t="n">
        <v>1055</v>
      </c>
      <c r="R269" s="14" t="n">
        <v>1055</v>
      </c>
      <c r="S269" s="14" t="n">
        <v>1055</v>
      </c>
      <c r="T269" s="14" t="n">
        <v>1055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CANON-202512-002743</t>
        </is>
      </c>
      <c r="B270" s="15" t="inlineStr">
        <is>
          <t>2025-12-21</t>
        </is>
      </c>
      <c r="C270" s="15" t="inlineStr">
        <is>
          <t>Horace Whitlock</t>
        </is>
      </c>
      <c r="D270" s="15" t="inlineStr">
        <is>
          <t>MO</t>
        </is>
      </c>
      <c r="E270" s="16" t="n">
        <v>1370000</v>
      </c>
      <c r="F270" s="16" t="n">
        <v>9544.68</v>
      </c>
      <c r="G270" s="16" t="n">
        <v>1193.09</v>
      </c>
      <c r="H270" s="16" t="n">
        <v>1193.09</v>
      </c>
      <c r="I270" s="16">
        <f>SUM(K270:T270)</f>
        <v/>
      </c>
      <c r="J270" s="16">
        <f>F270-(G270+H270+I270)</f>
        <v/>
      </c>
      <c r="K270" s="16" t="n">
        <v>715.85</v>
      </c>
      <c r="L270" s="16" t="n">
        <v>715.85</v>
      </c>
      <c r="M270" s="16" t="n">
        <v>715.85</v>
      </c>
      <c r="N270" s="16" t="n">
        <v>715.85</v>
      </c>
      <c r="O270" s="16" t="n">
        <v>715.85</v>
      </c>
      <c r="P270" s="16" t="n">
        <v>715.85</v>
      </c>
      <c r="Q270" s="16" t="n">
        <v>715.85</v>
      </c>
      <c r="R270" s="16" t="n">
        <v>715.85</v>
      </c>
      <c r="S270" s="16" t="n">
        <v>715.85</v>
      </c>
      <c r="T270" s="16" t="n">
        <v>715.85</v>
      </c>
      <c r="U270" s="16" t="n">
        <v>350</v>
      </c>
      <c r="V270" s="16" t="n">
        <v>250</v>
      </c>
      <c r="W270" s="16">
        <f>U270+V270</f>
        <v/>
      </c>
    </row>
    <row r="271">
      <c r="A271" s="3" t="inlineStr">
        <is>
          <t>CANON-202512-002744</t>
        </is>
      </c>
      <c r="B271" s="3" t="inlineStr">
        <is>
          <t>2025-12-14</t>
        </is>
      </c>
      <c r="C271" s="3" t="inlineStr">
        <is>
          <t>Marisol Castellanos</t>
        </is>
      </c>
      <c r="D271" s="3" t="inlineStr">
        <is>
          <t>WA</t>
        </is>
      </c>
      <c r="E271" s="14" t="n">
        <v>265000</v>
      </c>
      <c r="F271" s="14" t="n">
        <v>3300.12</v>
      </c>
      <c r="G271" s="14" t="n">
        <v>412.51</v>
      </c>
      <c r="H271" s="14" t="n">
        <v>412.51</v>
      </c>
      <c r="I271" s="14">
        <f>SUM(K271:T271)</f>
        <v/>
      </c>
      <c r="J271" s="14">
        <f>F271-(G271+H271+I271)</f>
        <v/>
      </c>
      <c r="K271" s="14" t="n">
        <v>247.51</v>
      </c>
      <c r="L271" s="14" t="n">
        <v>247.51</v>
      </c>
      <c r="M271" s="14" t="n">
        <v>247.51</v>
      </c>
      <c r="N271" s="14" t="n">
        <v>247.51</v>
      </c>
      <c r="O271" s="14" t="n">
        <v>247.51</v>
      </c>
      <c r="P271" s="14" t="n">
        <v>247.51</v>
      </c>
      <c r="Q271" s="14" t="n">
        <v>247.51</v>
      </c>
      <c r="R271" s="14" t="n">
        <v>247.51</v>
      </c>
      <c r="S271" s="14" t="n">
        <v>247.51</v>
      </c>
      <c r="T271" s="14" t="n">
        <v>247.51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CANON-202512-002745</t>
        </is>
      </c>
      <c r="B272" s="15" t="inlineStr">
        <is>
          <t>2025-12-30</t>
        </is>
      </c>
      <c r="C272" s="15" t="inlineStr">
        <is>
          <t>Beatrix Okonkwo</t>
        </is>
      </c>
      <c r="D272" s="15" t="inlineStr">
        <is>
          <t>MA</t>
        </is>
      </c>
      <c r="E272" s="16" t="n">
        <v>285000</v>
      </c>
      <c r="F272" s="16" t="n">
        <v>4621.33</v>
      </c>
      <c r="G272" s="16" t="n">
        <v>577.67</v>
      </c>
      <c r="H272" s="16" t="n">
        <v>577.67</v>
      </c>
      <c r="I272" s="16">
        <f>SUM(K272:T272)</f>
        <v/>
      </c>
      <c r="J272" s="16">
        <f>F272-(G272+H272+I272)</f>
        <v/>
      </c>
      <c r="K272" s="16" t="n">
        <v>346.6</v>
      </c>
      <c r="L272" s="16" t="n">
        <v>346.6</v>
      </c>
      <c r="M272" s="16" t="n">
        <v>346.6</v>
      </c>
      <c r="N272" s="16" t="n">
        <v>346.6</v>
      </c>
      <c r="O272" s="16" t="n">
        <v>346.6</v>
      </c>
      <c r="P272" s="16" t="n">
        <v>346.6</v>
      </c>
      <c r="Q272" s="16" t="n">
        <v>346.6</v>
      </c>
      <c r="R272" s="16" t="n">
        <v>346.6</v>
      </c>
      <c r="S272" s="16" t="n">
        <v>346.6</v>
      </c>
      <c r="T272" s="16" t="n">
        <v>346.6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CANON-202512-002746</t>
        </is>
      </c>
      <c r="B273" s="3" t="inlineStr">
        <is>
          <t>2025-12-15</t>
        </is>
      </c>
      <c r="C273" s="3" t="inlineStr">
        <is>
          <t>Ottilie Nakashima</t>
        </is>
      </c>
      <c r="D273" s="3" t="inlineStr">
        <is>
          <t>NY</t>
        </is>
      </c>
      <c r="E273" s="14" t="n">
        <v>890000</v>
      </c>
      <c r="F273" s="14" t="n">
        <v>12807.51</v>
      </c>
      <c r="G273" s="14" t="n">
        <v>1600.94</v>
      </c>
      <c r="H273" s="14" t="n">
        <v>1600.94</v>
      </c>
      <c r="I273" s="14">
        <f>SUM(K273:T273)</f>
        <v/>
      </c>
      <c r="J273" s="14">
        <f>F273-(G273+H273+I273)</f>
        <v/>
      </c>
      <c r="K273" s="14" t="n">
        <v>960.5599999999999</v>
      </c>
      <c r="L273" s="14" t="n">
        <v>960.5599999999999</v>
      </c>
      <c r="M273" s="14" t="n">
        <v>960.5599999999999</v>
      </c>
      <c r="N273" s="14" t="n">
        <v>960.5599999999999</v>
      </c>
      <c r="O273" s="14" t="n">
        <v>960.5599999999999</v>
      </c>
      <c r="P273" s="14" t="n">
        <v>960.5599999999999</v>
      </c>
      <c r="Q273" s="14" t="n">
        <v>960.5599999999999</v>
      </c>
      <c r="R273" s="14" t="n">
        <v>960.5599999999999</v>
      </c>
      <c r="S273" s="14" t="n">
        <v>960.5599999999999</v>
      </c>
      <c r="T273" s="14" t="n">
        <v>960.5599999999999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CANON-202512-002747</t>
        </is>
      </c>
      <c r="B274" s="15" t="inlineStr">
        <is>
          <t>2025-12-09</t>
        </is>
      </c>
      <c r="C274" s="15" t="inlineStr">
        <is>
          <t>Aurelio Larsson</t>
        </is>
      </c>
      <c r="D274" s="15" t="inlineStr">
        <is>
          <t>WA</t>
        </is>
      </c>
      <c r="E274" s="16" t="n">
        <v>835000</v>
      </c>
      <c r="F274" s="16" t="n">
        <v>9012.02</v>
      </c>
      <c r="G274" s="16" t="n">
        <v>1126.5</v>
      </c>
      <c r="H274" s="16" t="n">
        <v>1126.5</v>
      </c>
      <c r="I274" s="16">
        <f>SUM(K274:T274)</f>
        <v/>
      </c>
      <c r="J274" s="16">
        <f>F274-(G274+H274+I274)</f>
        <v/>
      </c>
      <c r="K274" s="16" t="n">
        <v>675.9</v>
      </c>
      <c r="L274" s="16" t="n">
        <v>675.9</v>
      </c>
      <c r="M274" s="16" t="n">
        <v>675.9</v>
      </c>
      <c r="N274" s="16" t="n">
        <v>675.9</v>
      </c>
      <c r="O274" s="16" t="n">
        <v>675.9</v>
      </c>
      <c r="P274" s="16" t="n">
        <v>675.9</v>
      </c>
      <c r="Q274" s="16" t="n">
        <v>675.9</v>
      </c>
      <c r="R274" s="16" t="n">
        <v>675.9</v>
      </c>
      <c r="S274" s="16" t="n">
        <v>675.9</v>
      </c>
      <c r="T274" s="16" t="n">
        <v>675.9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CANON-202512-002749</t>
        </is>
      </c>
      <c r="B275" s="3" t="inlineStr">
        <is>
          <t>2025-12-12</t>
        </is>
      </c>
      <c r="C275" s="3" t="inlineStr">
        <is>
          <t>Desmond Ashcombe</t>
        </is>
      </c>
      <c r="D275" s="3" t="inlineStr">
        <is>
          <t>WA</t>
        </is>
      </c>
      <c r="E275" s="14" t="n">
        <v>595000</v>
      </c>
      <c r="F275" s="14" t="n">
        <v>9385.620000000001</v>
      </c>
      <c r="G275" s="14" t="n">
        <v>1173.2</v>
      </c>
      <c r="H275" s="14" t="n">
        <v>1173.2</v>
      </c>
      <c r="I275" s="14">
        <f>SUM(K275:T275)</f>
        <v/>
      </c>
      <c r="J275" s="14">
        <f>F275-(G275+H275+I275)</f>
        <v/>
      </c>
      <c r="K275" s="14" t="n">
        <v>703.92</v>
      </c>
      <c r="L275" s="14" t="n">
        <v>703.92</v>
      </c>
      <c r="M275" s="14" t="n">
        <v>703.92</v>
      </c>
      <c r="N275" s="14" t="n">
        <v>703.92</v>
      </c>
      <c r="O275" s="14" t="n">
        <v>703.92</v>
      </c>
      <c r="P275" s="14" t="n">
        <v>703.92</v>
      </c>
      <c r="Q275" s="14" t="n">
        <v>703.92</v>
      </c>
      <c r="R275" s="14" t="n">
        <v>703.92</v>
      </c>
      <c r="S275" s="14" t="n">
        <v>703.92</v>
      </c>
      <c r="T275" s="14" t="n">
        <v>703.92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CANON-202512-002750</t>
        </is>
      </c>
      <c r="B276" s="15" t="inlineStr">
        <is>
          <t>2025-12-27</t>
        </is>
      </c>
      <c r="C276" s="15" t="inlineStr">
        <is>
          <t>Ottilie Pennington</t>
        </is>
      </c>
      <c r="D276" s="15" t="inlineStr">
        <is>
          <t>PA</t>
        </is>
      </c>
      <c r="E276" s="16" t="n">
        <v>885000</v>
      </c>
      <c r="F276" s="16" t="n">
        <v>14541.8</v>
      </c>
      <c r="G276" s="16" t="n">
        <v>1817.72</v>
      </c>
      <c r="H276" s="16" t="n">
        <v>1817.72</v>
      </c>
      <c r="I276" s="16">
        <f>SUM(K276:T276)</f>
        <v/>
      </c>
      <c r="J276" s="16">
        <f>F276-(G276+H276+I276)</f>
        <v/>
      </c>
      <c r="K276" s="16" t="n">
        <v>1090.63</v>
      </c>
      <c r="L276" s="16" t="n">
        <v>1090.63</v>
      </c>
      <c r="M276" s="16" t="n">
        <v>1090.63</v>
      </c>
      <c r="N276" s="16" t="n">
        <v>1090.63</v>
      </c>
      <c r="O276" s="16" t="n">
        <v>1090.63</v>
      </c>
      <c r="P276" s="16" t="n">
        <v>1090.63</v>
      </c>
      <c r="Q276" s="16" t="n">
        <v>1090.63</v>
      </c>
      <c r="R276" s="16" t="n">
        <v>1090.63</v>
      </c>
      <c r="S276" s="16" t="n">
        <v>1090.63</v>
      </c>
      <c r="T276" s="16" t="n">
        <v>1090.63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CANON-202512-002751</t>
        </is>
      </c>
      <c r="B277" s="3" t="inlineStr">
        <is>
          <t>2025-12-24</t>
        </is>
      </c>
      <c r="C277" s="3" t="inlineStr">
        <is>
          <t>Beatrix Chattopadhyay</t>
        </is>
      </c>
      <c r="D277" s="3" t="inlineStr">
        <is>
          <t>OH</t>
        </is>
      </c>
      <c r="E277" s="14" t="n">
        <v>270000</v>
      </c>
      <c r="F277" s="14" t="n">
        <v>4868.46</v>
      </c>
      <c r="G277" s="14" t="n">
        <v>608.5599999999999</v>
      </c>
      <c r="H277" s="14" t="n">
        <v>608.5599999999999</v>
      </c>
      <c r="I277" s="14">
        <f>SUM(K277:T277)</f>
        <v/>
      </c>
      <c r="J277" s="14">
        <f>F277-(G277+H277+I277)</f>
        <v/>
      </c>
      <c r="K277" s="14" t="n">
        <v>365.13</v>
      </c>
      <c r="L277" s="14" t="n">
        <v>365.13</v>
      </c>
      <c r="M277" s="14" t="n">
        <v>365.13</v>
      </c>
      <c r="N277" s="14" t="n">
        <v>365.13</v>
      </c>
      <c r="O277" s="14" t="n">
        <v>365.13</v>
      </c>
      <c r="P277" s="14" t="n">
        <v>365.13</v>
      </c>
      <c r="Q277" s="14" t="n">
        <v>365.13</v>
      </c>
      <c r="R277" s="14" t="n">
        <v>365.13</v>
      </c>
      <c r="S277" s="14" t="n">
        <v>365.13</v>
      </c>
      <c r="T277" s="14" t="n">
        <v>365.13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CANON-202512-002752</t>
        </is>
      </c>
      <c r="B278" s="15" t="inlineStr">
        <is>
          <t>2025-12-01</t>
        </is>
      </c>
      <c r="C278" s="15" t="inlineStr">
        <is>
          <t>Thaddeus Thistlewood</t>
        </is>
      </c>
      <c r="D278" s="15" t="inlineStr">
        <is>
          <t>CT</t>
        </is>
      </c>
      <c r="E278" s="16" t="n">
        <v>400000</v>
      </c>
      <c r="F278" s="16" t="n">
        <v>3719.38</v>
      </c>
      <c r="G278" s="16" t="n">
        <v>464.92</v>
      </c>
      <c r="H278" s="16" t="n">
        <v>464.92</v>
      </c>
      <c r="I278" s="16">
        <f>SUM(K278:T278)</f>
        <v/>
      </c>
      <c r="J278" s="16">
        <f>F278-(G278+H278+I278)</f>
        <v/>
      </c>
      <c r="K278" s="16" t="n">
        <v>278.95</v>
      </c>
      <c r="L278" s="16" t="n">
        <v>278.95</v>
      </c>
      <c r="M278" s="16" t="n">
        <v>278.95</v>
      </c>
      <c r="N278" s="16" t="n">
        <v>278.95</v>
      </c>
      <c r="O278" s="16" t="n">
        <v>278.95</v>
      </c>
      <c r="P278" s="16" t="n">
        <v>278.95</v>
      </c>
      <c r="Q278" s="16" t="n">
        <v>278.95</v>
      </c>
      <c r="R278" s="16" t="n">
        <v>278.95</v>
      </c>
      <c r="S278" s="16" t="n">
        <v>278.95</v>
      </c>
      <c r="T278" s="16" t="n">
        <v>278.95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CANON-202512-002753</t>
        </is>
      </c>
      <c r="B279" s="3" t="inlineStr">
        <is>
          <t>2025-12-17</t>
        </is>
      </c>
      <c r="C279" s="3" t="inlineStr">
        <is>
          <t>Ingrid Harrington</t>
        </is>
      </c>
      <c r="D279" s="3" t="inlineStr">
        <is>
          <t>HI</t>
        </is>
      </c>
      <c r="E279" s="14" t="n">
        <v>1950000</v>
      </c>
      <c r="F279" s="14" t="n">
        <v>14907.61</v>
      </c>
      <c r="G279" s="14" t="n">
        <v>1863.45</v>
      </c>
      <c r="H279" s="14" t="n">
        <v>1863.45</v>
      </c>
      <c r="I279" s="14">
        <f>SUM(K279:T279)</f>
        <v/>
      </c>
      <c r="J279" s="14">
        <f>F279-(G279+H279+I279)</f>
        <v/>
      </c>
      <c r="K279" s="14" t="n">
        <v>1118.07</v>
      </c>
      <c r="L279" s="14" t="n">
        <v>1118.07</v>
      </c>
      <c r="M279" s="14" t="n">
        <v>1118.07</v>
      </c>
      <c r="N279" s="14" t="n">
        <v>1118.07</v>
      </c>
      <c r="O279" s="14" t="n">
        <v>1118.07</v>
      </c>
      <c r="P279" s="14" t="n">
        <v>1118.07</v>
      </c>
      <c r="Q279" s="14" t="n">
        <v>1118.07</v>
      </c>
      <c r="R279" s="14" t="n">
        <v>1118.07</v>
      </c>
      <c r="S279" s="14" t="n">
        <v>1118.07</v>
      </c>
      <c r="T279" s="14" t="n">
        <v>1118.07</v>
      </c>
      <c r="U279" s="14" t="n">
        <v>350</v>
      </c>
      <c r="V279" s="14" t="n">
        <v>250</v>
      </c>
      <c r="W279" s="14">
        <f>U279+V279</f>
        <v/>
      </c>
    </row>
    <row r="280">
      <c r="A280" s="15" t="inlineStr">
        <is>
          <t>CANON-202512-002755</t>
        </is>
      </c>
      <c r="B280" s="15" t="inlineStr">
        <is>
          <t>2025-12-08</t>
        </is>
      </c>
      <c r="C280" s="15" t="inlineStr">
        <is>
          <t>Beatrix Harrington</t>
        </is>
      </c>
      <c r="D280" s="15" t="inlineStr">
        <is>
          <t>AR</t>
        </is>
      </c>
      <c r="E280" s="16" t="n">
        <v>490000</v>
      </c>
      <c r="F280" s="16" t="n">
        <v>8771.780000000001</v>
      </c>
      <c r="G280" s="16" t="n">
        <v>1096.47</v>
      </c>
      <c r="H280" s="16" t="n">
        <v>1096.47</v>
      </c>
      <c r="I280" s="16">
        <f>SUM(K280:T280)</f>
        <v/>
      </c>
      <c r="J280" s="16">
        <f>F280-(G280+H280+I280)</f>
        <v/>
      </c>
      <c r="K280" s="16" t="n">
        <v>657.88</v>
      </c>
      <c r="L280" s="16" t="n">
        <v>657.88</v>
      </c>
      <c r="M280" s="16" t="n">
        <v>657.88</v>
      </c>
      <c r="N280" s="16" t="n">
        <v>657.88</v>
      </c>
      <c r="O280" s="16" t="n">
        <v>657.88</v>
      </c>
      <c r="P280" s="16" t="n">
        <v>657.88</v>
      </c>
      <c r="Q280" s="16" t="n">
        <v>657.88</v>
      </c>
      <c r="R280" s="16" t="n">
        <v>657.88</v>
      </c>
      <c r="S280" s="16" t="n">
        <v>657.88</v>
      </c>
      <c r="T280" s="16" t="n">
        <v>657.88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CANON-202512-002756</t>
        </is>
      </c>
      <c r="B281" s="3" t="inlineStr">
        <is>
          <t>2025-12-25</t>
        </is>
      </c>
      <c r="C281" s="3" t="inlineStr">
        <is>
          <t>Ottilie Okonkwo</t>
        </is>
      </c>
      <c r="D281" s="3" t="inlineStr">
        <is>
          <t>NC</t>
        </is>
      </c>
      <c r="E281" s="14" t="n">
        <v>355000</v>
      </c>
      <c r="F281" s="14" t="n">
        <v>8120.36</v>
      </c>
      <c r="G281" s="14" t="n">
        <v>1015.04</v>
      </c>
      <c r="H281" s="14" t="n">
        <v>1015.04</v>
      </c>
      <c r="I281" s="14">
        <f>SUM(K281:T281)</f>
        <v/>
      </c>
      <c r="J281" s="14">
        <f>F281-(G281+H281+I281)</f>
        <v/>
      </c>
      <c r="K281" s="14" t="n">
        <v>609.03</v>
      </c>
      <c r="L281" s="14" t="n">
        <v>609.03</v>
      </c>
      <c r="M281" s="14" t="n">
        <v>609.03</v>
      </c>
      <c r="N281" s="14" t="n">
        <v>609.03</v>
      </c>
      <c r="O281" s="14" t="n">
        <v>609.03</v>
      </c>
      <c r="P281" s="14" t="n">
        <v>609.03</v>
      </c>
      <c r="Q281" s="14" t="n">
        <v>609.03</v>
      </c>
      <c r="R281" s="14" t="n">
        <v>609.03</v>
      </c>
      <c r="S281" s="14" t="n">
        <v>609.03</v>
      </c>
      <c r="T281" s="14" t="n">
        <v>609.03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CANON-202512-002757</t>
        </is>
      </c>
      <c r="B282" s="15" t="inlineStr">
        <is>
          <t>2025-12-26</t>
        </is>
      </c>
      <c r="C282" s="15" t="inlineStr">
        <is>
          <t>Horace Whitlock</t>
        </is>
      </c>
      <c r="D282" s="15" t="inlineStr">
        <is>
          <t>TX</t>
        </is>
      </c>
      <c r="E282" s="16" t="n">
        <v>800000</v>
      </c>
      <c r="F282" s="16" t="n">
        <v>10343.14</v>
      </c>
      <c r="G282" s="16" t="n">
        <v>1292.89</v>
      </c>
      <c r="H282" s="16" t="n">
        <v>1292.89</v>
      </c>
      <c r="I282" s="16">
        <f>SUM(K282:T282)</f>
        <v/>
      </c>
      <c r="J282" s="16">
        <f>F282-(G282+H282+I282)</f>
        <v/>
      </c>
      <c r="K282" s="16" t="n">
        <v>775.74</v>
      </c>
      <c r="L282" s="16" t="n">
        <v>775.74</v>
      </c>
      <c r="M282" s="16" t="n">
        <v>775.74</v>
      </c>
      <c r="N282" s="16" t="n">
        <v>775.74</v>
      </c>
      <c r="O282" s="16" t="n">
        <v>775.74</v>
      </c>
      <c r="P282" s="16" t="n">
        <v>775.74</v>
      </c>
      <c r="Q282" s="16" t="n">
        <v>775.74</v>
      </c>
      <c r="R282" s="16" t="n">
        <v>775.74</v>
      </c>
      <c r="S282" s="16" t="n">
        <v>775.74</v>
      </c>
      <c r="T282" s="16" t="n">
        <v>775.74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CANON-202512-002758</t>
        </is>
      </c>
      <c r="B283" s="3" t="inlineStr">
        <is>
          <t>2025-12-07</t>
        </is>
      </c>
      <c r="C283" s="3" t="inlineStr">
        <is>
          <t>Priya Blackwood</t>
        </is>
      </c>
      <c r="D283" s="3" t="inlineStr">
        <is>
          <t>MN</t>
        </is>
      </c>
      <c r="E283" s="14" t="n">
        <v>905000</v>
      </c>
      <c r="F283" s="14" t="n">
        <v>19628.97</v>
      </c>
      <c r="G283" s="14" t="n">
        <v>2453.62</v>
      </c>
      <c r="H283" s="14" t="n">
        <v>2453.62</v>
      </c>
      <c r="I283" s="14">
        <f>SUM(K283:T283)</f>
        <v/>
      </c>
      <c r="J283" s="14">
        <f>F283-(G283+H283+I283)</f>
        <v/>
      </c>
      <c r="K283" s="14" t="n">
        <v>1472.17</v>
      </c>
      <c r="L283" s="14" t="n">
        <v>1472.17</v>
      </c>
      <c r="M283" s="14" t="n">
        <v>1472.17</v>
      </c>
      <c r="N283" s="14" t="n">
        <v>1472.17</v>
      </c>
      <c r="O283" s="14" t="n">
        <v>1472.17</v>
      </c>
      <c r="P283" s="14" t="n">
        <v>1472.17</v>
      </c>
      <c r="Q283" s="14" t="n">
        <v>1472.17</v>
      </c>
      <c r="R283" s="14" t="n">
        <v>1472.17</v>
      </c>
      <c r="S283" s="14" t="n">
        <v>1472.17</v>
      </c>
      <c r="T283" s="14" t="n">
        <v>1472.17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CANON-202512-002759</t>
        </is>
      </c>
      <c r="B284" s="15" t="inlineStr">
        <is>
          <t>2025-12-16</t>
        </is>
      </c>
      <c r="C284" s="15" t="inlineStr">
        <is>
          <t>Everett Harrington</t>
        </is>
      </c>
      <c r="D284" s="15" t="inlineStr">
        <is>
          <t>PA</t>
        </is>
      </c>
      <c r="E284" s="16" t="n">
        <v>1950000</v>
      </c>
      <c r="F284" s="16" t="n">
        <v>26982.11</v>
      </c>
      <c r="G284" s="16" t="n">
        <v>3372.76</v>
      </c>
      <c r="H284" s="16" t="n">
        <v>3372.76</v>
      </c>
      <c r="I284" s="16">
        <f>SUM(K284:T284)</f>
        <v/>
      </c>
      <c r="J284" s="16">
        <f>F284-(G284+H284+I284)</f>
        <v/>
      </c>
      <c r="K284" s="16" t="n">
        <v>2023.66</v>
      </c>
      <c r="L284" s="16" t="n">
        <v>2023.66</v>
      </c>
      <c r="M284" s="16" t="n">
        <v>2023.66</v>
      </c>
      <c r="N284" s="16" t="n">
        <v>2023.66</v>
      </c>
      <c r="O284" s="16" t="n">
        <v>2023.66</v>
      </c>
      <c r="P284" s="16" t="n">
        <v>2023.66</v>
      </c>
      <c r="Q284" s="16" t="n">
        <v>2023.66</v>
      </c>
      <c r="R284" s="16" t="n">
        <v>2023.66</v>
      </c>
      <c r="S284" s="16" t="n">
        <v>2023.66</v>
      </c>
      <c r="T284" s="16" t="n">
        <v>2023.66</v>
      </c>
      <c r="U284" s="16" t="n">
        <v>350</v>
      </c>
      <c r="V284" s="16" t="n">
        <v>250</v>
      </c>
      <c r="W284" s="16">
        <f>U284+V284</f>
        <v/>
      </c>
    </row>
    <row r="285">
      <c r="A285" s="3" t="inlineStr">
        <is>
          <t>CANON-202512-002760</t>
        </is>
      </c>
      <c r="B285" s="3" t="inlineStr">
        <is>
          <t>2025-12-31</t>
        </is>
      </c>
      <c r="C285" s="3" t="inlineStr">
        <is>
          <t>Emiliano Harrington</t>
        </is>
      </c>
      <c r="D285" s="3" t="inlineStr">
        <is>
          <t>NY</t>
        </is>
      </c>
      <c r="E285" s="14" t="n">
        <v>835000</v>
      </c>
      <c r="F285" s="14" t="n">
        <v>17561.9</v>
      </c>
      <c r="G285" s="14" t="n">
        <v>2195.24</v>
      </c>
      <c r="H285" s="14" t="n">
        <v>2195.24</v>
      </c>
      <c r="I285" s="14">
        <f>SUM(K285:T285)</f>
        <v/>
      </c>
      <c r="J285" s="14">
        <f>F285-(G285+H285+I285)</f>
        <v/>
      </c>
      <c r="K285" s="14" t="n">
        <v>1317.14</v>
      </c>
      <c r="L285" s="14" t="n">
        <v>1317.14</v>
      </c>
      <c r="M285" s="14" t="n">
        <v>1317.14</v>
      </c>
      <c r="N285" s="14" t="n">
        <v>1317.14</v>
      </c>
      <c r="O285" s="14" t="n">
        <v>1317.14</v>
      </c>
      <c r="P285" s="14" t="n">
        <v>1317.14</v>
      </c>
      <c r="Q285" s="14" t="n">
        <v>1317.14</v>
      </c>
      <c r="R285" s="14" t="n">
        <v>1317.14</v>
      </c>
      <c r="S285" s="14" t="n">
        <v>1317.14</v>
      </c>
      <c r="T285" s="14" t="n">
        <v>1317.14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CANON-202512-002761</t>
        </is>
      </c>
      <c r="B286" s="15" t="inlineStr">
        <is>
          <t>2025-12-09</t>
        </is>
      </c>
      <c r="C286" s="15" t="inlineStr">
        <is>
          <t>Mireille Delacroix</t>
        </is>
      </c>
      <c r="D286" s="15" t="inlineStr">
        <is>
          <t>KY</t>
        </is>
      </c>
      <c r="E286" s="16" t="n">
        <v>310000</v>
      </c>
      <c r="F286" s="16" t="n">
        <v>5388.64</v>
      </c>
      <c r="G286" s="16" t="n">
        <v>673.58</v>
      </c>
      <c r="H286" s="16" t="n">
        <v>673.58</v>
      </c>
      <c r="I286" s="16">
        <f>SUM(K286:T286)</f>
        <v/>
      </c>
      <c r="J286" s="16">
        <f>F286-(G286+H286+I286)</f>
        <v/>
      </c>
      <c r="K286" s="16" t="n">
        <v>404.15</v>
      </c>
      <c r="L286" s="16" t="n">
        <v>404.15</v>
      </c>
      <c r="M286" s="16" t="n">
        <v>404.15</v>
      </c>
      <c r="N286" s="16" t="n">
        <v>404.15</v>
      </c>
      <c r="O286" s="16" t="n">
        <v>404.15</v>
      </c>
      <c r="P286" s="16" t="n">
        <v>404.15</v>
      </c>
      <c r="Q286" s="16" t="n">
        <v>404.15</v>
      </c>
      <c r="R286" s="16" t="n">
        <v>404.15</v>
      </c>
      <c r="S286" s="16" t="n">
        <v>404.15</v>
      </c>
      <c r="T286" s="16" t="n">
        <v>404.15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CANON-202512-002765</t>
        </is>
      </c>
      <c r="B287" s="3" t="inlineStr">
        <is>
          <t>2025-12-03</t>
        </is>
      </c>
      <c r="C287" s="3" t="inlineStr">
        <is>
          <t>Marisol Larsson</t>
        </is>
      </c>
      <c r="D287" s="3" t="inlineStr">
        <is>
          <t>CT</t>
        </is>
      </c>
      <c r="E287" s="14" t="n">
        <v>1005000</v>
      </c>
      <c r="F287" s="14" t="n">
        <v>7398.08</v>
      </c>
      <c r="G287" s="14" t="n">
        <v>924.76</v>
      </c>
      <c r="H287" s="14" t="n">
        <v>924.76</v>
      </c>
      <c r="I287" s="14">
        <f>SUM(K287:T287)</f>
        <v/>
      </c>
      <c r="J287" s="14">
        <f>F287-(G287+H287+I287)</f>
        <v/>
      </c>
      <c r="K287" s="14" t="n">
        <v>554.86</v>
      </c>
      <c r="L287" s="14" t="n">
        <v>554.86</v>
      </c>
      <c r="M287" s="14" t="n">
        <v>554.86</v>
      </c>
      <c r="N287" s="14" t="n">
        <v>554.86</v>
      </c>
      <c r="O287" s="14" t="n">
        <v>554.86</v>
      </c>
      <c r="P287" s="14" t="n">
        <v>554.86</v>
      </c>
      <c r="Q287" s="14" t="n">
        <v>554.86</v>
      </c>
      <c r="R287" s="14" t="n">
        <v>554.86</v>
      </c>
      <c r="S287" s="14" t="n">
        <v>554.86</v>
      </c>
      <c r="T287" s="14" t="n">
        <v>554.86</v>
      </c>
      <c r="U287" s="14" t="n">
        <v>350</v>
      </c>
      <c r="V287" s="14" t="n">
        <v>250</v>
      </c>
      <c r="W287" s="14">
        <f>U287+V287</f>
        <v/>
      </c>
    </row>
    <row r="288">
      <c r="A288" s="15" t="inlineStr">
        <is>
          <t>CANON-202512-002766</t>
        </is>
      </c>
      <c r="B288" s="15" t="inlineStr">
        <is>
          <t>2025-12-21</t>
        </is>
      </c>
      <c r="C288" s="15" t="inlineStr">
        <is>
          <t>Everett Vandermeer</t>
        </is>
      </c>
      <c r="D288" s="15" t="inlineStr">
        <is>
          <t>ID</t>
        </is>
      </c>
      <c r="E288" s="16" t="n">
        <v>375000</v>
      </c>
      <c r="F288" s="16" t="n">
        <v>4815.92</v>
      </c>
      <c r="G288" s="16" t="n">
        <v>601.99</v>
      </c>
      <c r="H288" s="16" t="n">
        <v>601.99</v>
      </c>
      <c r="I288" s="16">
        <f>SUM(K288:T288)</f>
        <v/>
      </c>
      <c r="J288" s="16">
        <f>F288-(G288+H288+I288)</f>
        <v/>
      </c>
      <c r="K288" s="16" t="n">
        <v>361.19</v>
      </c>
      <c r="L288" s="16" t="n">
        <v>361.19</v>
      </c>
      <c r="M288" s="16" t="n">
        <v>361.19</v>
      </c>
      <c r="N288" s="16" t="n">
        <v>361.19</v>
      </c>
      <c r="O288" s="16" t="n">
        <v>361.19</v>
      </c>
      <c r="P288" s="16" t="n">
        <v>361.19</v>
      </c>
      <c r="Q288" s="16" t="n">
        <v>361.19</v>
      </c>
      <c r="R288" s="16" t="n">
        <v>361.19</v>
      </c>
      <c r="S288" s="16" t="n">
        <v>361.19</v>
      </c>
      <c r="T288" s="16" t="n">
        <v>361.19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CANON-202512-002768</t>
        </is>
      </c>
      <c r="B289" s="3" t="inlineStr">
        <is>
          <t>2025-12-15</t>
        </is>
      </c>
      <c r="C289" s="3" t="inlineStr">
        <is>
          <t>Saoirse Chattopadhyay</t>
        </is>
      </c>
      <c r="D289" s="3" t="inlineStr">
        <is>
          <t>WA</t>
        </is>
      </c>
      <c r="E289" s="14" t="n">
        <v>755000</v>
      </c>
      <c r="F289" s="14" t="n">
        <v>8148.6</v>
      </c>
      <c r="G289" s="14" t="n">
        <v>1018.58</v>
      </c>
      <c r="H289" s="14" t="n">
        <v>1018.58</v>
      </c>
      <c r="I289" s="14">
        <f>SUM(K289:T289)</f>
        <v/>
      </c>
      <c r="J289" s="14">
        <f>F289-(G289+H289+I289)</f>
        <v/>
      </c>
      <c r="K289" s="14" t="n">
        <v>611.14</v>
      </c>
      <c r="L289" s="14" t="n">
        <v>611.14</v>
      </c>
      <c r="M289" s="14" t="n">
        <v>611.14</v>
      </c>
      <c r="N289" s="14" t="n">
        <v>611.14</v>
      </c>
      <c r="O289" s="14" t="n">
        <v>611.14</v>
      </c>
      <c r="P289" s="14" t="n">
        <v>611.14</v>
      </c>
      <c r="Q289" s="14" t="n">
        <v>611.14</v>
      </c>
      <c r="R289" s="14" t="n">
        <v>611.14</v>
      </c>
      <c r="S289" s="14" t="n">
        <v>611.14</v>
      </c>
      <c r="T289" s="14" t="n">
        <v>611.14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CANON-202512-002769</t>
        </is>
      </c>
      <c r="B290" s="15" t="inlineStr">
        <is>
          <t>2025-12-28</t>
        </is>
      </c>
      <c r="C290" s="15" t="inlineStr">
        <is>
          <t>Lorenzo Thistlewood</t>
        </is>
      </c>
      <c r="D290" s="15" t="inlineStr">
        <is>
          <t>VA</t>
        </is>
      </c>
      <c r="E290" s="16" t="n">
        <v>1130000</v>
      </c>
      <c r="F290" s="16" t="n">
        <v>11717.07</v>
      </c>
      <c r="G290" s="16" t="n">
        <v>1464.63</v>
      </c>
      <c r="H290" s="16" t="n">
        <v>1464.63</v>
      </c>
      <c r="I290" s="16">
        <f>SUM(K290:T290)</f>
        <v/>
      </c>
      <c r="J290" s="16">
        <f>F290-(G290+H290+I290)</f>
        <v/>
      </c>
      <c r="K290" s="16" t="n">
        <v>878.78</v>
      </c>
      <c r="L290" s="16" t="n">
        <v>878.78</v>
      </c>
      <c r="M290" s="16" t="n">
        <v>878.78</v>
      </c>
      <c r="N290" s="16" t="n">
        <v>878.78</v>
      </c>
      <c r="O290" s="16" t="n">
        <v>878.78</v>
      </c>
      <c r="P290" s="16" t="n">
        <v>878.78</v>
      </c>
      <c r="Q290" s="16" t="n">
        <v>878.78</v>
      </c>
      <c r="R290" s="16" t="n">
        <v>878.78</v>
      </c>
      <c r="S290" s="16" t="n">
        <v>878.78</v>
      </c>
      <c r="T290" s="16" t="n">
        <v>878.78</v>
      </c>
      <c r="U290" s="16" t="n">
        <v>350</v>
      </c>
      <c r="V290" s="16" t="n">
        <v>250</v>
      </c>
      <c r="W290" s="16">
        <f>U290+V290</f>
        <v/>
      </c>
    </row>
    <row r="291">
      <c r="A291" s="3" t="inlineStr">
        <is>
          <t>CANON-202512-002770</t>
        </is>
      </c>
      <c r="B291" s="3" t="inlineStr">
        <is>
          <t>2025-12-01</t>
        </is>
      </c>
      <c r="C291" s="3" t="inlineStr">
        <is>
          <t>Sunniva Nakashima</t>
        </is>
      </c>
      <c r="D291" s="3" t="inlineStr">
        <is>
          <t>CO</t>
        </is>
      </c>
      <c r="E291" s="14" t="n">
        <v>715000</v>
      </c>
      <c r="F291" s="14" t="n">
        <v>12923.31</v>
      </c>
      <c r="G291" s="14" t="n">
        <v>1615.41</v>
      </c>
      <c r="H291" s="14" t="n">
        <v>1615.41</v>
      </c>
      <c r="I291" s="14">
        <f>SUM(K291:T291)</f>
        <v/>
      </c>
      <c r="J291" s="14">
        <f>F291-(G291+H291+I291)</f>
        <v/>
      </c>
      <c r="K291" s="14" t="n">
        <v>969.25</v>
      </c>
      <c r="L291" s="14" t="n">
        <v>969.25</v>
      </c>
      <c r="M291" s="14" t="n">
        <v>969.25</v>
      </c>
      <c r="N291" s="14" t="n">
        <v>969.25</v>
      </c>
      <c r="O291" s="14" t="n">
        <v>969.25</v>
      </c>
      <c r="P291" s="14" t="n">
        <v>969.25</v>
      </c>
      <c r="Q291" s="14" t="n">
        <v>969.25</v>
      </c>
      <c r="R291" s="14" t="n">
        <v>969.25</v>
      </c>
      <c r="S291" s="14" t="n">
        <v>969.25</v>
      </c>
      <c r="T291" s="14" t="n">
        <v>969.25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CANON-202512-002771</t>
        </is>
      </c>
      <c r="B292" s="15" t="inlineStr">
        <is>
          <t>2025-12-29</t>
        </is>
      </c>
      <c r="C292" s="15" t="inlineStr">
        <is>
          <t>Sunniva Ashcombe</t>
        </is>
      </c>
      <c r="D292" s="15" t="inlineStr">
        <is>
          <t>CA</t>
        </is>
      </c>
      <c r="E292" s="16" t="n">
        <v>295000</v>
      </c>
      <c r="F292" s="16" t="n">
        <v>5166.16</v>
      </c>
      <c r="G292" s="16" t="n">
        <v>645.77</v>
      </c>
      <c r="H292" s="16" t="n">
        <v>645.77</v>
      </c>
      <c r="I292" s="16">
        <f>SUM(K292:T292)</f>
        <v/>
      </c>
      <c r="J292" s="16">
        <f>F292-(G292+H292+I292)</f>
        <v/>
      </c>
      <c r="K292" s="16" t="n">
        <v>387.46</v>
      </c>
      <c r="L292" s="16" t="n">
        <v>387.46</v>
      </c>
      <c r="M292" s="16" t="n">
        <v>387.46</v>
      </c>
      <c r="N292" s="16" t="n">
        <v>387.46</v>
      </c>
      <c r="O292" s="16" t="n">
        <v>387.46</v>
      </c>
      <c r="P292" s="16" t="n">
        <v>387.46</v>
      </c>
      <c r="Q292" s="16" t="n">
        <v>387.46</v>
      </c>
      <c r="R292" s="16" t="n">
        <v>387.46</v>
      </c>
      <c r="S292" s="16" t="n">
        <v>387.46</v>
      </c>
      <c r="T292" s="16" t="n">
        <v>387.46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CANON-202512-002773</t>
        </is>
      </c>
      <c r="B293" s="3" t="inlineStr">
        <is>
          <t>2025-12-11</t>
        </is>
      </c>
      <c r="C293" s="3" t="inlineStr">
        <is>
          <t>Thaddeus Okonkwo</t>
        </is>
      </c>
      <c r="D293" s="3" t="inlineStr">
        <is>
          <t>PA</t>
        </is>
      </c>
      <c r="E293" s="14" t="n">
        <v>630000</v>
      </c>
      <c r="F293" s="14" t="n">
        <v>8499.370000000001</v>
      </c>
      <c r="G293" s="14" t="n">
        <v>1062.42</v>
      </c>
      <c r="H293" s="14" t="n">
        <v>1062.42</v>
      </c>
      <c r="I293" s="14">
        <f>SUM(K293:T293)</f>
        <v/>
      </c>
      <c r="J293" s="14">
        <f>F293-(G293+H293+I293)</f>
        <v/>
      </c>
      <c r="K293" s="14" t="n">
        <v>637.45</v>
      </c>
      <c r="L293" s="14" t="n">
        <v>637.45</v>
      </c>
      <c r="M293" s="14" t="n">
        <v>637.45</v>
      </c>
      <c r="N293" s="14" t="n">
        <v>637.45</v>
      </c>
      <c r="O293" s="14" t="n">
        <v>637.45</v>
      </c>
      <c r="P293" s="14" t="n">
        <v>637.45</v>
      </c>
      <c r="Q293" s="14" t="n">
        <v>637.45</v>
      </c>
      <c r="R293" s="14" t="n">
        <v>637.45</v>
      </c>
      <c r="S293" s="14" t="n">
        <v>637.45</v>
      </c>
      <c r="T293" s="14" t="n">
        <v>637.45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CANON-202512-002774</t>
        </is>
      </c>
      <c r="B294" s="15" t="inlineStr">
        <is>
          <t>2025-12-20</t>
        </is>
      </c>
      <c r="C294" s="15" t="inlineStr">
        <is>
          <t>Wilhelmina Larsson</t>
        </is>
      </c>
      <c r="D294" s="15" t="inlineStr">
        <is>
          <t>SC</t>
        </is>
      </c>
      <c r="E294" s="16" t="n">
        <v>525000</v>
      </c>
      <c r="F294" s="16" t="n">
        <v>10696.85</v>
      </c>
      <c r="G294" s="16" t="n">
        <v>1337.11</v>
      </c>
      <c r="H294" s="16" t="n">
        <v>1337.11</v>
      </c>
      <c r="I294" s="16">
        <f>SUM(K294:T294)</f>
        <v/>
      </c>
      <c r="J294" s="16">
        <f>F294-(G294+H294+I294)</f>
        <v/>
      </c>
      <c r="K294" s="16" t="n">
        <v>802.26</v>
      </c>
      <c r="L294" s="16" t="n">
        <v>802.26</v>
      </c>
      <c r="M294" s="16" t="n">
        <v>802.26</v>
      </c>
      <c r="N294" s="16" t="n">
        <v>802.26</v>
      </c>
      <c r="O294" s="16" t="n">
        <v>802.26</v>
      </c>
      <c r="P294" s="16" t="n">
        <v>802.26</v>
      </c>
      <c r="Q294" s="16" t="n">
        <v>802.26</v>
      </c>
      <c r="R294" s="16" t="n">
        <v>802.26</v>
      </c>
      <c r="S294" s="16" t="n">
        <v>802.26</v>
      </c>
      <c r="T294" s="16" t="n">
        <v>802.26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CANON-202512-002776</t>
        </is>
      </c>
      <c r="B295" s="3" t="inlineStr">
        <is>
          <t>2025-12-26</t>
        </is>
      </c>
      <c r="C295" s="3" t="inlineStr">
        <is>
          <t>Leopold Ashcombe</t>
        </is>
      </c>
      <c r="D295" s="3" t="inlineStr">
        <is>
          <t>RI</t>
        </is>
      </c>
      <c r="E295" s="14" t="n">
        <v>525000</v>
      </c>
      <c r="F295" s="14" t="n">
        <v>8086.2</v>
      </c>
      <c r="G295" s="14" t="n">
        <v>1010.77</v>
      </c>
      <c r="H295" s="14" t="n">
        <v>1010.77</v>
      </c>
      <c r="I295" s="14">
        <f>SUM(K295:T295)</f>
        <v/>
      </c>
      <c r="J295" s="14">
        <f>F295-(G295+H295+I295)</f>
        <v/>
      </c>
      <c r="K295" s="14" t="n">
        <v>606.46</v>
      </c>
      <c r="L295" s="14" t="n">
        <v>606.46</v>
      </c>
      <c r="M295" s="14" t="n">
        <v>606.46</v>
      </c>
      <c r="N295" s="14" t="n">
        <v>606.46</v>
      </c>
      <c r="O295" s="14" t="n">
        <v>606.46</v>
      </c>
      <c r="P295" s="14" t="n">
        <v>606.46</v>
      </c>
      <c r="Q295" s="14" t="n">
        <v>606.46</v>
      </c>
      <c r="R295" s="14" t="n">
        <v>606.46</v>
      </c>
      <c r="S295" s="14" t="n">
        <v>606.46</v>
      </c>
      <c r="T295" s="14" t="n">
        <v>606.46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CANON-202512-002777</t>
        </is>
      </c>
      <c r="B296" s="15" t="inlineStr">
        <is>
          <t>2025-12-02</t>
        </is>
      </c>
      <c r="C296" s="15" t="inlineStr">
        <is>
          <t>Fenwick Harrington</t>
        </is>
      </c>
      <c r="D296" s="15" t="inlineStr">
        <is>
          <t>MS</t>
        </is>
      </c>
      <c r="E296" s="16" t="n">
        <v>455000</v>
      </c>
      <c r="F296" s="16" t="n">
        <v>4495.22</v>
      </c>
      <c r="G296" s="16" t="n">
        <v>561.9</v>
      </c>
      <c r="H296" s="16" t="n">
        <v>561.9</v>
      </c>
      <c r="I296" s="16">
        <f>SUM(K296:T296)</f>
        <v/>
      </c>
      <c r="J296" s="16">
        <f>F296-(G296+H296+I296)</f>
        <v/>
      </c>
      <c r="K296" s="16" t="n">
        <v>337.14</v>
      </c>
      <c r="L296" s="16" t="n">
        <v>337.14</v>
      </c>
      <c r="M296" s="16" t="n">
        <v>337.14</v>
      </c>
      <c r="N296" s="16" t="n">
        <v>337.14</v>
      </c>
      <c r="O296" s="16" t="n">
        <v>337.14</v>
      </c>
      <c r="P296" s="16" t="n">
        <v>337.14</v>
      </c>
      <c r="Q296" s="16" t="n">
        <v>337.14</v>
      </c>
      <c r="R296" s="16" t="n">
        <v>337.14</v>
      </c>
      <c r="S296" s="16" t="n">
        <v>337.14</v>
      </c>
      <c r="T296" s="16" t="n">
        <v>337.14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CANON-202512-002781</t>
        </is>
      </c>
      <c r="B297" s="3" t="inlineStr">
        <is>
          <t>2025-12-18</t>
        </is>
      </c>
      <c r="C297" s="3" t="inlineStr">
        <is>
          <t>Callum Montoya</t>
        </is>
      </c>
      <c r="D297" s="3" t="inlineStr">
        <is>
          <t>MO</t>
        </is>
      </c>
      <c r="E297" s="14" t="n">
        <v>1190000</v>
      </c>
      <c r="F297" s="14" t="n">
        <v>17453.97</v>
      </c>
      <c r="G297" s="14" t="n">
        <v>2181.75</v>
      </c>
      <c r="H297" s="14" t="n">
        <v>2181.75</v>
      </c>
      <c r="I297" s="14">
        <f>SUM(K297:T297)</f>
        <v/>
      </c>
      <c r="J297" s="14">
        <f>F297-(G297+H297+I297)</f>
        <v/>
      </c>
      <c r="K297" s="14" t="n">
        <v>1309.05</v>
      </c>
      <c r="L297" s="14" t="n">
        <v>1309.05</v>
      </c>
      <c r="M297" s="14" t="n">
        <v>1309.05</v>
      </c>
      <c r="N297" s="14" t="n">
        <v>1309.05</v>
      </c>
      <c r="O297" s="14" t="n">
        <v>1309.05</v>
      </c>
      <c r="P297" s="14" t="n">
        <v>1309.05</v>
      </c>
      <c r="Q297" s="14" t="n">
        <v>1309.05</v>
      </c>
      <c r="R297" s="14" t="n">
        <v>1309.05</v>
      </c>
      <c r="S297" s="14" t="n">
        <v>1309.05</v>
      </c>
      <c r="T297" s="14" t="n">
        <v>1309.05</v>
      </c>
      <c r="U297" s="14" t="n">
        <v>350</v>
      </c>
      <c r="V297" s="14" t="n">
        <v>250</v>
      </c>
      <c r="W297" s="14">
        <f>U297+V297</f>
        <v/>
      </c>
    </row>
    <row r="298">
      <c r="A298" s="15" t="inlineStr">
        <is>
          <t>CANON-202512-002782</t>
        </is>
      </c>
      <c r="B298" s="15" t="inlineStr">
        <is>
          <t>2025-12-22</t>
        </is>
      </c>
      <c r="C298" s="15" t="inlineStr">
        <is>
          <t>Mireille Pennington</t>
        </is>
      </c>
      <c r="D298" s="15" t="inlineStr">
        <is>
          <t>CA</t>
        </is>
      </c>
      <c r="E298" s="16" t="n">
        <v>1060000</v>
      </c>
      <c r="F298" s="16" t="n">
        <v>13612.99</v>
      </c>
      <c r="G298" s="16" t="n">
        <v>1701.62</v>
      </c>
      <c r="H298" s="16" t="n">
        <v>1701.62</v>
      </c>
      <c r="I298" s="16">
        <f>SUM(K298:T298)</f>
        <v/>
      </c>
      <c r="J298" s="16">
        <f>F298-(G298+H298+I298)</f>
        <v/>
      </c>
      <c r="K298" s="16" t="n">
        <v>1020.97</v>
      </c>
      <c r="L298" s="16" t="n">
        <v>1020.97</v>
      </c>
      <c r="M298" s="16" t="n">
        <v>1020.97</v>
      </c>
      <c r="N298" s="16" t="n">
        <v>1020.97</v>
      </c>
      <c r="O298" s="16" t="n">
        <v>1020.97</v>
      </c>
      <c r="P298" s="16" t="n">
        <v>1020.97</v>
      </c>
      <c r="Q298" s="16" t="n">
        <v>1020.97</v>
      </c>
      <c r="R298" s="16" t="n">
        <v>1020.97</v>
      </c>
      <c r="S298" s="16" t="n">
        <v>1020.97</v>
      </c>
      <c r="T298" s="16" t="n">
        <v>1020.97</v>
      </c>
      <c r="U298" s="16" t="n">
        <v>350</v>
      </c>
      <c r="V298" s="16" t="n">
        <v>250</v>
      </c>
      <c r="W298" s="16">
        <f>U298+V298</f>
        <v/>
      </c>
    </row>
    <row r="299">
      <c r="A299" s="3" t="inlineStr">
        <is>
          <t>CANON-202512-002785</t>
        </is>
      </c>
      <c r="B299" s="3" t="inlineStr">
        <is>
          <t>2025-12-27</t>
        </is>
      </c>
      <c r="C299" s="3" t="inlineStr">
        <is>
          <t>Thaddeus Blackwood</t>
        </is>
      </c>
      <c r="D299" s="3" t="inlineStr">
        <is>
          <t>OH</t>
        </is>
      </c>
      <c r="E299" s="14" t="n">
        <v>755000</v>
      </c>
      <c r="F299" s="14" t="n">
        <v>11798.49</v>
      </c>
      <c r="G299" s="14" t="n">
        <v>1474.81</v>
      </c>
      <c r="H299" s="14" t="n">
        <v>1474.81</v>
      </c>
      <c r="I299" s="14">
        <f>SUM(K299:T299)</f>
        <v/>
      </c>
      <c r="J299" s="14">
        <f>F299-(G299+H299+I299)</f>
        <v/>
      </c>
      <c r="K299" s="14" t="n">
        <v>884.89</v>
      </c>
      <c r="L299" s="14" t="n">
        <v>884.89</v>
      </c>
      <c r="M299" s="14" t="n">
        <v>884.89</v>
      </c>
      <c r="N299" s="14" t="n">
        <v>884.89</v>
      </c>
      <c r="O299" s="14" t="n">
        <v>884.89</v>
      </c>
      <c r="P299" s="14" t="n">
        <v>884.89</v>
      </c>
      <c r="Q299" s="14" t="n">
        <v>884.89</v>
      </c>
      <c r="R299" s="14" t="n">
        <v>884.89</v>
      </c>
      <c r="S299" s="14" t="n">
        <v>884.89</v>
      </c>
      <c r="T299" s="14" t="n">
        <v>884.89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CANON-202512-002786</t>
        </is>
      </c>
      <c r="B300" s="15" t="inlineStr">
        <is>
          <t>2025-12-29</t>
        </is>
      </c>
      <c r="C300" s="15" t="inlineStr">
        <is>
          <t>Callum Pennington</t>
        </is>
      </c>
      <c r="D300" s="15" t="inlineStr">
        <is>
          <t>AZ</t>
        </is>
      </c>
      <c r="E300" s="16" t="n">
        <v>410000</v>
      </c>
      <c r="F300" s="16" t="n">
        <v>5371.78</v>
      </c>
      <c r="G300" s="16" t="n">
        <v>671.47</v>
      </c>
      <c r="H300" s="16" t="n">
        <v>671.47</v>
      </c>
      <c r="I300" s="16">
        <f>SUM(K300:T300)</f>
        <v/>
      </c>
      <c r="J300" s="16">
        <f>F300-(G300+H300+I300)</f>
        <v/>
      </c>
      <c r="K300" s="16" t="n">
        <v>402.88</v>
      </c>
      <c r="L300" s="16" t="n">
        <v>402.88</v>
      </c>
      <c r="M300" s="16" t="n">
        <v>402.88</v>
      </c>
      <c r="N300" s="16" t="n">
        <v>402.88</v>
      </c>
      <c r="O300" s="16" t="n">
        <v>402.88</v>
      </c>
      <c r="P300" s="16" t="n">
        <v>402.88</v>
      </c>
      <c r="Q300" s="16" t="n">
        <v>402.88</v>
      </c>
      <c r="R300" s="16" t="n">
        <v>402.88</v>
      </c>
      <c r="S300" s="16" t="n">
        <v>402.88</v>
      </c>
      <c r="T300" s="16" t="n">
        <v>402.88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CANON-202512-002790</t>
        </is>
      </c>
      <c r="B301" s="3" t="inlineStr">
        <is>
          <t>2025-12-26</t>
        </is>
      </c>
      <c r="C301" s="3" t="inlineStr">
        <is>
          <t>Everett Merriweather</t>
        </is>
      </c>
      <c r="D301" s="3" t="inlineStr">
        <is>
          <t>TN</t>
        </is>
      </c>
      <c r="E301" s="14" t="n">
        <v>765000</v>
      </c>
      <c r="F301" s="14" t="n">
        <v>12318.63</v>
      </c>
      <c r="G301" s="14" t="n">
        <v>1539.83</v>
      </c>
      <c r="H301" s="14" t="n">
        <v>1539.83</v>
      </c>
      <c r="I301" s="14">
        <f>SUM(K301:T301)</f>
        <v/>
      </c>
      <c r="J301" s="14">
        <f>F301-(G301+H301+I301)</f>
        <v/>
      </c>
      <c r="K301" s="14" t="n">
        <v>923.9</v>
      </c>
      <c r="L301" s="14" t="n">
        <v>923.9</v>
      </c>
      <c r="M301" s="14" t="n">
        <v>923.9</v>
      </c>
      <c r="N301" s="14" t="n">
        <v>923.9</v>
      </c>
      <c r="O301" s="14" t="n">
        <v>923.9</v>
      </c>
      <c r="P301" s="14" t="n">
        <v>923.9</v>
      </c>
      <c r="Q301" s="14" t="n">
        <v>923.9</v>
      </c>
      <c r="R301" s="14" t="n">
        <v>923.9</v>
      </c>
      <c r="S301" s="14" t="n">
        <v>923.9</v>
      </c>
      <c r="T301" s="14" t="n">
        <v>923.9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CANON-202512-002791</t>
        </is>
      </c>
      <c r="B302" s="15" t="inlineStr">
        <is>
          <t>2025-12-01</t>
        </is>
      </c>
      <c r="C302" s="15" t="inlineStr">
        <is>
          <t>Marisol Underwood</t>
        </is>
      </c>
      <c r="D302" s="15" t="inlineStr">
        <is>
          <t>NH</t>
        </is>
      </c>
      <c r="E302" s="16" t="n">
        <v>265000</v>
      </c>
      <c r="F302" s="16" t="n">
        <v>4194.82</v>
      </c>
      <c r="G302" s="16" t="n">
        <v>524.35</v>
      </c>
      <c r="H302" s="16" t="n">
        <v>524.35</v>
      </c>
      <c r="I302" s="16">
        <f>SUM(K302:T302)</f>
        <v/>
      </c>
      <c r="J302" s="16">
        <f>F302-(G302+H302+I302)</f>
        <v/>
      </c>
      <c r="K302" s="16" t="n">
        <v>314.61</v>
      </c>
      <c r="L302" s="16" t="n">
        <v>314.61</v>
      </c>
      <c r="M302" s="16" t="n">
        <v>314.61</v>
      </c>
      <c r="N302" s="16" t="n">
        <v>314.61</v>
      </c>
      <c r="O302" s="16" t="n">
        <v>314.61</v>
      </c>
      <c r="P302" s="16" t="n">
        <v>314.61</v>
      </c>
      <c r="Q302" s="16" t="n">
        <v>314.61</v>
      </c>
      <c r="R302" s="16" t="n">
        <v>314.61</v>
      </c>
      <c r="S302" s="16" t="n">
        <v>314.61</v>
      </c>
      <c r="T302" s="16" t="n">
        <v>314.61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CANON-202512-002792</t>
        </is>
      </c>
      <c r="B303" s="3" t="inlineStr">
        <is>
          <t>2025-12-24</t>
        </is>
      </c>
      <c r="C303" s="3" t="inlineStr">
        <is>
          <t>Saoirse Montoya</t>
        </is>
      </c>
      <c r="D303" s="3" t="inlineStr">
        <is>
          <t>IL</t>
        </is>
      </c>
      <c r="E303" s="14" t="n">
        <v>290000</v>
      </c>
      <c r="F303" s="14" t="n">
        <v>5116.22</v>
      </c>
      <c r="G303" s="14" t="n">
        <v>639.53</v>
      </c>
      <c r="H303" s="14" t="n">
        <v>639.53</v>
      </c>
      <c r="I303" s="14">
        <f>SUM(K303:T303)</f>
        <v/>
      </c>
      <c r="J303" s="14">
        <f>F303-(G303+H303+I303)</f>
        <v/>
      </c>
      <c r="K303" s="14" t="n">
        <v>383.72</v>
      </c>
      <c r="L303" s="14" t="n">
        <v>383.72</v>
      </c>
      <c r="M303" s="14" t="n">
        <v>383.72</v>
      </c>
      <c r="N303" s="14" t="n">
        <v>383.72</v>
      </c>
      <c r="O303" s="14" t="n">
        <v>383.72</v>
      </c>
      <c r="P303" s="14" t="n">
        <v>383.72</v>
      </c>
      <c r="Q303" s="14" t="n">
        <v>383.72</v>
      </c>
      <c r="R303" s="14" t="n">
        <v>383.72</v>
      </c>
      <c r="S303" s="14" t="n">
        <v>383.72</v>
      </c>
      <c r="T303" s="14" t="n">
        <v>383.72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CANON-202512-002794</t>
        </is>
      </c>
      <c r="B304" s="15" t="inlineStr">
        <is>
          <t>2025-12-29</t>
        </is>
      </c>
      <c r="C304" s="15" t="inlineStr">
        <is>
          <t>Fitzgerald Harrington</t>
        </is>
      </c>
      <c r="D304" s="15" t="inlineStr">
        <is>
          <t>MN</t>
        </is>
      </c>
      <c r="E304" s="16" t="n">
        <v>570000</v>
      </c>
      <c r="F304" s="16" t="n">
        <v>8458.9</v>
      </c>
      <c r="G304" s="16" t="n">
        <v>1057.36</v>
      </c>
      <c r="H304" s="16" t="n">
        <v>1057.36</v>
      </c>
      <c r="I304" s="16">
        <f>SUM(K304:T304)</f>
        <v/>
      </c>
      <c r="J304" s="16">
        <f>F304-(G304+H304+I304)</f>
        <v/>
      </c>
      <c r="K304" s="16" t="n">
        <v>634.42</v>
      </c>
      <c r="L304" s="16" t="n">
        <v>634.42</v>
      </c>
      <c r="M304" s="16" t="n">
        <v>634.42</v>
      </c>
      <c r="N304" s="16" t="n">
        <v>634.42</v>
      </c>
      <c r="O304" s="16" t="n">
        <v>634.42</v>
      </c>
      <c r="P304" s="16" t="n">
        <v>634.42</v>
      </c>
      <c r="Q304" s="16" t="n">
        <v>634.42</v>
      </c>
      <c r="R304" s="16" t="n">
        <v>634.42</v>
      </c>
      <c r="S304" s="16" t="n">
        <v>634.42</v>
      </c>
      <c r="T304" s="16" t="n">
        <v>634.42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CANON-202512-002795</t>
        </is>
      </c>
      <c r="B305" s="3" t="inlineStr">
        <is>
          <t>2025-12-24</t>
        </is>
      </c>
      <c r="C305" s="3" t="inlineStr">
        <is>
          <t>Cassius Nakashima</t>
        </is>
      </c>
      <c r="D305" s="3" t="inlineStr">
        <is>
          <t>NE</t>
        </is>
      </c>
      <c r="E305" s="14" t="n">
        <v>925000</v>
      </c>
      <c r="F305" s="14" t="n">
        <v>8943.440000000001</v>
      </c>
      <c r="G305" s="14" t="n">
        <v>1117.93</v>
      </c>
      <c r="H305" s="14" t="n">
        <v>1117.93</v>
      </c>
      <c r="I305" s="14">
        <f>SUM(K305:T305)</f>
        <v/>
      </c>
      <c r="J305" s="14">
        <f>F305-(G305+H305+I305)</f>
        <v/>
      </c>
      <c r="K305" s="14" t="n">
        <v>670.76</v>
      </c>
      <c r="L305" s="14" t="n">
        <v>670.76</v>
      </c>
      <c r="M305" s="14" t="n">
        <v>670.76</v>
      </c>
      <c r="N305" s="14" t="n">
        <v>670.76</v>
      </c>
      <c r="O305" s="14" t="n">
        <v>670.76</v>
      </c>
      <c r="P305" s="14" t="n">
        <v>670.76</v>
      </c>
      <c r="Q305" s="14" t="n">
        <v>670.76</v>
      </c>
      <c r="R305" s="14" t="n">
        <v>670.76</v>
      </c>
      <c r="S305" s="14" t="n">
        <v>670.76</v>
      </c>
      <c r="T305" s="14" t="n">
        <v>670.76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CANON-202512-002796</t>
        </is>
      </c>
      <c r="B306" s="15" t="inlineStr">
        <is>
          <t>2025-12-23</t>
        </is>
      </c>
      <c r="C306" s="15" t="inlineStr">
        <is>
          <t>Fenwick Okonkwo</t>
        </is>
      </c>
      <c r="D306" s="15" t="inlineStr">
        <is>
          <t>KY</t>
        </is>
      </c>
      <c r="E306" s="16" t="n">
        <v>165000</v>
      </c>
      <c r="F306" s="16" t="n">
        <v>3518.26</v>
      </c>
      <c r="G306" s="16" t="n">
        <v>439.78</v>
      </c>
      <c r="H306" s="16" t="n">
        <v>439.78</v>
      </c>
      <c r="I306" s="16">
        <f>SUM(K306:T306)</f>
        <v/>
      </c>
      <c r="J306" s="16">
        <f>F306-(G306+H306+I306)</f>
        <v/>
      </c>
      <c r="K306" s="16" t="n">
        <v>263.87</v>
      </c>
      <c r="L306" s="16" t="n">
        <v>263.87</v>
      </c>
      <c r="M306" s="16" t="n">
        <v>263.87</v>
      </c>
      <c r="N306" s="16" t="n">
        <v>263.87</v>
      </c>
      <c r="O306" s="16" t="n">
        <v>263.87</v>
      </c>
      <c r="P306" s="16" t="n">
        <v>263.87</v>
      </c>
      <c r="Q306" s="16" t="n">
        <v>263.87</v>
      </c>
      <c r="R306" s="16" t="n">
        <v>263.87</v>
      </c>
      <c r="S306" s="16" t="n">
        <v>263.87</v>
      </c>
      <c r="T306" s="16" t="n">
        <v>263.87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CANON-202512-002797</t>
        </is>
      </c>
      <c r="B307" s="3" t="inlineStr">
        <is>
          <t>2025-12-01</t>
        </is>
      </c>
      <c r="C307" s="3" t="inlineStr">
        <is>
          <t>Wilhelmina Montoya</t>
        </is>
      </c>
      <c r="D307" s="3" t="inlineStr">
        <is>
          <t>NJ</t>
        </is>
      </c>
      <c r="E307" s="14" t="n">
        <v>1350000</v>
      </c>
      <c r="F307" s="14" t="n">
        <v>11686.62</v>
      </c>
      <c r="G307" s="14" t="n">
        <v>1460.83</v>
      </c>
      <c r="H307" s="14" t="n">
        <v>1460.83</v>
      </c>
      <c r="I307" s="14">
        <f>SUM(K307:T307)</f>
        <v/>
      </c>
      <c r="J307" s="14">
        <f>F307-(G307+H307+I307)</f>
        <v/>
      </c>
      <c r="K307" s="14" t="n">
        <v>876.5</v>
      </c>
      <c r="L307" s="14" t="n">
        <v>876.5</v>
      </c>
      <c r="M307" s="14" t="n">
        <v>876.5</v>
      </c>
      <c r="N307" s="14" t="n">
        <v>876.5</v>
      </c>
      <c r="O307" s="14" t="n">
        <v>876.5</v>
      </c>
      <c r="P307" s="14" t="n">
        <v>876.5</v>
      </c>
      <c r="Q307" s="14" t="n">
        <v>876.5</v>
      </c>
      <c r="R307" s="14" t="n">
        <v>876.5</v>
      </c>
      <c r="S307" s="14" t="n">
        <v>876.5</v>
      </c>
      <c r="T307" s="14" t="n">
        <v>876.5</v>
      </c>
      <c r="U307" s="14" t="n">
        <v>350</v>
      </c>
      <c r="V307" s="14" t="n">
        <v>250</v>
      </c>
      <c r="W307" s="14">
        <f>U307+V307</f>
        <v/>
      </c>
    </row>
    <row r="308">
      <c r="A308" s="15" t="inlineStr">
        <is>
          <t>CANON-202512-002798</t>
        </is>
      </c>
      <c r="B308" s="15" t="inlineStr">
        <is>
          <t>2025-12-29</t>
        </is>
      </c>
      <c r="C308" s="15" t="inlineStr">
        <is>
          <t>Fenwick Underwood</t>
        </is>
      </c>
      <c r="D308" s="15" t="inlineStr">
        <is>
          <t>NE</t>
        </is>
      </c>
      <c r="E308" s="16" t="n">
        <v>565000</v>
      </c>
      <c r="F308" s="16" t="n">
        <v>9909.18</v>
      </c>
      <c r="G308" s="16" t="n">
        <v>1238.65</v>
      </c>
      <c r="H308" s="16" t="n">
        <v>1238.65</v>
      </c>
      <c r="I308" s="16">
        <f>SUM(K308:T308)</f>
        <v/>
      </c>
      <c r="J308" s="16">
        <f>F308-(G308+H308+I308)</f>
        <v/>
      </c>
      <c r="K308" s="16" t="n">
        <v>743.1900000000001</v>
      </c>
      <c r="L308" s="16" t="n">
        <v>743.1900000000001</v>
      </c>
      <c r="M308" s="16" t="n">
        <v>743.1900000000001</v>
      </c>
      <c r="N308" s="16" t="n">
        <v>743.1900000000001</v>
      </c>
      <c r="O308" s="16" t="n">
        <v>743.1900000000001</v>
      </c>
      <c r="P308" s="16" t="n">
        <v>743.1900000000001</v>
      </c>
      <c r="Q308" s="16" t="n">
        <v>743.1900000000001</v>
      </c>
      <c r="R308" s="16" t="n">
        <v>743.1900000000001</v>
      </c>
      <c r="S308" s="16" t="n">
        <v>743.1900000000001</v>
      </c>
      <c r="T308" s="16" t="n">
        <v>743.1900000000001</v>
      </c>
      <c r="U308" s="16" t="n">
        <v>350</v>
      </c>
      <c r="V308" s="16" t="n">
        <v>0</v>
      </c>
      <c r="W308" s="16">
        <f>U308+V308</f>
        <v/>
      </c>
    </row>
    <row r="309">
      <c r="A309" s="3" t="inlineStr">
        <is>
          <t>CANON-202512-002799</t>
        </is>
      </c>
      <c r="B309" s="3" t="inlineStr">
        <is>
          <t>2025-12-30</t>
        </is>
      </c>
      <c r="C309" s="3" t="inlineStr">
        <is>
          <t>Marisol Vasquez</t>
        </is>
      </c>
      <c r="D309" s="3" t="inlineStr">
        <is>
          <t>FL</t>
        </is>
      </c>
      <c r="E309" s="14" t="n">
        <v>195000</v>
      </c>
      <c r="F309" s="14" t="n">
        <v>4406.18</v>
      </c>
      <c r="G309" s="14" t="n">
        <v>550.77</v>
      </c>
      <c r="H309" s="14" t="n">
        <v>550.77</v>
      </c>
      <c r="I309" s="14">
        <f>SUM(K309:T309)</f>
        <v/>
      </c>
      <c r="J309" s="14">
        <f>F309-(G309+H309+I309)</f>
        <v/>
      </c>
      <c r="K309" s="14" t="n">
        <v>330.46</v>
      </c>
      <c r="L309" s="14" t="n">
        <v>330.46</v>
      </c>
      <c r="M309" s="14" t="n">
        <v>330.46</v>
      </c>
      <c r="N309" s="14" t="n">
        <v>330.46</v>
      </c>
      <c r="O309" s="14" t="n">
        <v>330.46</v>
      </c>
      <c r="P309" s="14" t="n">
        <v>330.46</v>
      </c>
      <c r="Q309" s="14" t="n">
        <v>330.46</v>
      </c>
      <c r="R309" s="14" t="n">
        <v>330.46</v>
      </c>
      <c r="S309" s="14" t="n">
        <v>330.46</v>
      </c>
      <c r="T309" s="14" t="n">
        <v>330.46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CANON-202512-002802</t>
        </is>
      </c>
      <c r="B310" s="15" t="inlineStr">
        <is>
          <t>2025-12-23</t>
        </is>
      </c>
      <c r="C310" s="15" t="inlineStr">
        <is>
          <t>Ramona Castellanos</t>
        </is>
      </c>
      <c r="D310" s="15" t="inlineStr">
        <is>
          <t>NE</t>
        </is>
      </c>
      <c r="E310" s="16" t="n">
        <v>635000</v>
      </c>
      <c r="F310" s="16" t="n">
        <v>6139.55</v>
      </c>
      <c r="G310" s="16" t="n">
        <v>767.4400000000001</v>
      </c>
      <c r="H310" s="16" t="n">
        <v>767.4400000000001</v>
      </c>
      <c r="I310" s="16">
        <f>SUM(K310:T310)</f>
        <v/>
      </c>
      <c r="J310" s="16">
        <f>F310-(G310+H310+I310)</f>
        <v/>
      </c>
      <c r="K310" s="16" t="n">
        <v>460.47</v>
      </c>
      <c r="L310" s="16" t="n">
        <v>460.47</v>
      </c>
      <c r="M310" s="16" t="n">
        <v>460.47</v>
      </c>
      <c r="N310" s="16" t="n">
        <v>460.47</v>
      </c>
      <c r="O310" s="16" t="n">
        <v>460.47</v>
      </c>
      <c r="P310" s="16" t="n">
        <v>460.47</v>
      </c>
      <c r="Q310" s="16" t="n">
        <v>460.47</v>
      </c>
      <c r="R310" s="16" t="n">
        <v>460.47</v>
      </c>
      <c r="S310" s="16" t="n">
        <v>460.47</v>
      </c>
      <c r="T310" s="16" t="n">
        <v>460.47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CANON-202512-002803</t>
        </is>
      </c>
      <c r="B311" s="3" t="inlineStr">
        <is>
          <t>2025-12-10</t>
        </is>
      </c>
      <c r="C311" s="3" t="inlineStr">
        <is>
          <t>Cassius Whitlock</t>
        </is>
      </c>
      <c r="D311" s="3" t="inlineStr">
        <is>
          <t>NY</t>
        </is>
      </c>
      <c r="E311" s="14" t="n">
        <v>470000</v>
      </c>
      <c r="F311" s="14" t="n">
        <v>7804.06</v>
      </c>
      <c r="G311" s="14" t="n">
        <v>975.51</v>
      </c>
      <c r="H311" s="14" t="n">
        <v>975.51</v>
      </c>
      <c r="I311" s="14">
        <f>SUM(K311:T311)</f>
        <v/>
      </c>
      <c r="J311" s="14">
        <f>F311-(G311+H311+I311)</f>
        <v/>
      </c>
      <c r="K311" s="14" t="n">
        <v>585.3</v>
      </c>
      <c r="L311" s="14" t="n">
        <v>585.3</v>
      </c>
      <c r="M311" s="14" t="n">
        <v>585.3</v>
      </c>
      <c r="N311" s="14" t="n">
        <v>585.3</v>
      </c>
      <c r="O311" s="14" t="n">
        <v>585.3</v>
      </c>
      <c r="P311" s="14" t="n">
        <v>585.3</v>
      </c>
      <c r="Q311" s="14" t="n">
        <v>585.3</v>
      </c>
      <c r="R311" s="14" t="n">
        <v>585.3</v>
      </c>
      <c r="S311" s="14" t="n">
        <v>585.3</v>
      </c>
      <c r="T311" s="14" t="n">
        <v>585.3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CANON-202512-002806</t>
        </is>
      </c>
      <c r="B312" s="15" t="inlineStr">
        <is>
          <t>2025-12-26</t>
        </is>
      </c>
      <c r="C312" s="15" t="inlineStr">
        <is>
          <t>Saoirse Merriweather</t>
        </is>
      </c>
      <c r="D312" s="15" t="inlineStr">
        <is>
          <t>MI</t>
        </is>
      </c>
      <c r="E312" s="16" t="n">
        <v>320000</v>
      </c>
      <c r="F312" s="16" t="n">
        <v>9865.76</v>
      </c>
      <c r="G312" s="16" t="n">
        <v>1233.22</v>
      </c>
      <c r="H312" s="16" t="n">
        <v>1233.22</v>
      </c>
      <c r="I312" s="16">
        <f>SUM(K312:T312)</f>
        <v/>
      </c>
      <c r="J312" s="16">
        <f>F312-(G312+H312+I312)</f>
        <v/>
      </c>
      <c r="K312" s="16" t="n">
        <v>739.9299999999999</v>
      </c>
      <c r="L312" s="16" t="n">
        <v>739.9299999999999</v>
      </c>
      <c r="M312" s="16" t="n">
        <v>739.9299999999999</v>
      </c>
      <c r="N312" s="16" t="n">
        <v>739.9299999999999</v>
      </c>
      <c r="O312" s="16" t="n">
        <v>739.9299999999999</v>
      </c>
      <c r="P312" s="16" t="n">
        <v>739.9299999999999</v>
      </c>
      <c r="Q312" s="16" t="n">
        <v>739.9299999999999</v>
      </c>
      <c r="R312" s="16" t="n">
        <v>739.9299999999999</v>
      </c>
      <c r="S312" s="16" t="n">
        <v>739.9299999999999</v>
      </c>
      <c r="T312" s="16" t="n">
        <v>739.9299999999999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CANON-202512-002807</t>
        </is>
      </c>
      <c r="B313" s="3" t="inlineStr">
        <is>
          <t>2025-12-11</t>
        </is>
      </c>
      <c r="C313" s="3" t="inlineStr">
        <is>
          <t>Emiliano Chattopadhyay</t>
        </is>
      </c>
      <c r="D313" s="3" t="inlineStr">
        <is>
          <t>NV</t>
        </is>
      </c>
      <c r="E313" s="14" t="n">
        <v>360000</v>
      </c>
      <c r="F313" s="14" t="n">
        <v>5463.88</v>
      </c>
      <c r="G313" s="14" t="n">
        <v>682.99</v>
      </c>
      <c r="H313" s="14" t="n">
        <v>682.99</v>
      </c>
      <c r="I313" s="14">
        <f>SUM(K313:T313)</f>
        <v/>
      </c>
      <c r="J313" s="14">
        <f>F313-(G313+H313+I313)</f>
        <v/>
      </c>
      <c r="K313" s="14" t="n">
        <v>409.79</v>
      </c>
      <c r="L313" s="14" t="n">
        <v>409.79</v>
      </c>
      <c r="M313" s="14" t="n">
        <v>409.79</v>
      </c>
      <c r="N313" s="14" t="n">
        <v>409.79</v>
      </c>
      <c r="O313" s="14" t="n">
        <v>409.79</v>
      </c>
      <c r="P313" s="14" t="n">
        <v>409.79</v>
      </c>
      <c r="Q313" s="14" t="n">
        <v>409.79</v>
      </c>
      <c r="R313" s="14" t="n">
        <v>409.79</v>
      </c>
      <c r="S313" s="14" t="n">
        <v>409.79</v>
      </c>
      <c r="T313" s="14" t="n">
        <v>409.79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CANON-202512-002808</t>
        </is>
      </c>
      <c r="B314" s="15" t="inlineStr">
        <is>
          <t>2025-12-30</t>
        </is>
      </c>
      <c r="C314" s="15" t="inlineStr">
        <is>
          <t>Anouk Vandermeer</t>
        </is>
      </c>
      <c r="D314" s="15" t="inlineStr">
        <is>
          <t>WA</t>
        </is>
      </c>
      <c r="E314" s="16" t="n">
        <v>200000</v>
      </c>
      <c r="F314" s="16" t="n">
        <v>3055.21</v>
      </c>
      <c r="G314" s="16" t="n">
        <v>381.9</v>
      </c>
      <c r="H314" s="16" t="n">
        <v>381.9</v>
      </c>
      <c r="I314" s="16">
        <f>SUM(K314:T314)</f>
        <v/>
      </c>
      <c r="J314" s="16">
        <f>F314-(G314+H314+I314)</f>
        <v/>
      </c>
      <c r="K314" s="16" t="n">
        <v>229.14</v>
      </c>
      <c r="L314" s="16" t="n">
        <v>229.14</v>
      </c>
      <c r="M314" s="16" t="n">
        <v>229.14</v>
      </c>
      <c r="N314" s="16" t="n">
        <v>229.14</v>
      </c>
      <c r="O314" s="16" t="n">
        <v>229.14</v>
      </c>
      <c r="P314" s="16" t="n">
        <v>229.14</v>
      </c>
      <c r="Q314" s="16" t="n">
        <v>229.14</v>
      </c>
      <c r="R314" s="16" t="n">
        <v>229.14</v>
      </c>
      <c r="S314" s="16" t="n">
        <v>229.14</v>
      </c>
      <c r="T314" s="16" t="n">
        <v>229.14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CANON-202512-002809</t>
        </is>
      </c>
      <c r="B315" s="3" t="inlineStr">
        <is>
          <t>2025-12-07</t>
        </is>
      </c>
      <c r="C315" s="3" t="inlineStr">
        <is>
          <t>Anouk Chattopadhyay</t>
        </is>
      </c>
      <c r="D315" s="3" t="inlineStr">
        <is>
          <t>ME</t>
        </is>
      </c>
      <c r="E315" s="14" t="n">
        <v>1950000</v>
      </c>
      <c r="F315" s="14" t="n">
        <v>29140.68</v>
      </c>
      <c r="G315" s="14" t="n">
        <v>3642.59</v>
      </c>
      <c r="H315" s="14" t="n">
        <v>3642.59</v>
      </c>
      <c r="I315" s="14">
        <f>SUM(K315:T315)</f>
        <v/>
      </c>
      <c r="J315" s="14">
        <f>F315-(G315+H315+I315)</f>
        <v/>
      </c>
      <c r="K315" s="14" t="n">
        <v>2185.55</v>
      </c>
      <c r="L315" s="14" t="n">
        <v>2185.55</v>
      </c>
      <c r="M315" s="14" t="n">
        <v>2185.55</v>
      </c>
      <c r="N315" s="14" t="n">
        <v>2185.55</v>
      </c>
      <c r="O315" s="14" t="n">
        <v>2185.55</v>
      </c>
      <c r="P315" s="14" t="n">
        <v>2185.55</v>
      </c>
      <c r="Q315" s="14" t="n">
        <v>2185.55</v>
      </c>
      <c r="R315" s="14" t="n">
        <v>2185.55</v>
      </c>
      <c r="S315" s="14" t="n">
        <v>2185.55</v>
      </c>
      <c r="T315" s="14" t="n">
        <v>2185.55</v>
      </c>
      <c r="U315" s="14" t="n">
        <v>350</v>
      </c>
      <c r="V315" s="14" t="n">
        <v>250</v>
      </c>
      <c r="W315" s="14">
        <f>U315+V315</f>
        <v/>
      </c>
    </row>
    <row r="316">
      <c r="A316" s="15" t="inlineStr">
        <is>
          <t>CANON-202512-002810</t>
        </is>
      </c>
      <c r="B316" s="15" t="inlineStr">
        <is>
          <t>2025-12-11</t>
        </is>
      </c>
      <c r="C316" s="15" t="inlineStr">
        <is>
          <t>Cassius Montoya</t>
        </is>
      </c>
      <c r="D316" s="15" t="inlineStr">
        <is>
          <t>NY</t>
        </is>
      </c>
      <c r="E316" s="16" t="n">
        <v>530000</v>
      </c>
      <c r="F316" s="16" t="n">
        <v>7626.94</v>
      </c>
      <c r="G316" s="16" t="n">
        <v>953.37</v>
      </c>
      <c r="H316" s="16" t="n">
        <v>953.37</v>
      </c>
      <c r="I316" s="16">
        <f>SUM(K316:T316)</f>
        <v/>
      </c>
      <c r="J316" s="16">
        <f>F316-(G316+H316+I316)</f>
        <v/>
      </c>
      <c r="K316" s="16" t="n">
        <v>572.02</v>
      </c>
      <c r="L316" s="16" t="n">
        <v>572.02</v>
      </c>
      <c r="M316" s="16" t="n">
        <v>572.02</v>
      </c>
      <c r="N316" s="16" t="n">
        <v>572.02</v>
      </c>
      <c r="O316" s="16" t="n">
        <v>572.02</v>
      </c>
      <c r="P316" s="16" t="n">
        <v>572.02</v>
      </c>
      <c r="Q316" s="16" t="n">
        <v>572.02</v>
      </c>
      <c r="R316" s="16" t="n">
        <v>572.02</v>
      </c>
      <c r="S316" s="16" t="n">
        <v>572.02</v>
      </c>
      <c r="T316" s="16" t="n">
        <v>572.02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CANON-202512-002811</t>
        </is>
      </c>
      <c r="B317" s="3" t="inlineStr">
        <is>
          <t>2025-12-11</t>
        </is>
      </c>
      <c r="C317" s="3" t="inlineStr">
        <is>
          <t>Beatrix Fairweather</t>
        </is>
      </c>
      <c r="D317" s="3" t="inlineStr">
        <is>
          <t>IL</t>
        </is>
      </c>
      <c r="E317" s="14" t="n">
        <v>1075000</v>
      </c>
      <c r="F317" s="14" t="n">
        <v>13907.9</v>
      </c>
      <c r="G317" s="14" t="n">
        <v>1738.49</v>
      </c>
      <c r="H317" s="14" t="n">
        <v>1738.49</v>
      </c>
      <c r="I317" s="14">
        <f>SUM(K317:T317)</f>
        <v/>
      </c>
      <c r="J317" s="14">
        <f>F317-(G317+H317+I317)</f>
        <v/>
      </c>
      <c r="K317" s="14" t="n">
        <v>1043.09</v>
      </c>
      <c r="L317" s="14" t="n">
        <v>1043.09</v>
      </c>
      <c r="M317" s="14" t="n">
        <v>1043.09</v>
      </c>
      <c r="N317" s="14" t="n">
        <v>1043.09</v>
      </c>
      <c r="O317" s="14" t="n">
        <v>1043.09</v>
      </c>
      <c r="P317" s="14" t="n">
        <v>1043.09</v>
      </c>
      <c r="Q317" s="14" t="n">
        <v>1043.09</v>
      </c>
      <c r="R317" s="14" t="n">
        <v>1043.09</v>
      </c>
      <c r="S317" s="14" t="n">
        <v>1043.09</v>
      </c>
      <c r="T317" s="14" t="n">
        <v>1043.09</v>
      </c>
      <c r="U317" s="14" t="n">
        <v>350</v>
      </c>
      <c r="V317" s="14" t="n">
        <v>250</v>
      </c>
      <c r="W317" s="14">
        <f>U317+V317</f>
        <v/>
      </c>
    </row>
    <row r="318">
      <c r="A318" s="15" t="inlineStr">
        <is>
          <t>CANON-202512-002813</t>
        </is>
      </c>
      <c r="B318" s="15" t="inlineStr">
        <is>
          <t>2025-12-31</t>
        </is>
      </c>
      <c r="C318" s="15" t="inlineStr">
        <is>
          <t>Fitzgerald Kingsford</t>
        </is>
      </c>
      <c r="D318" s="15" t="inlineStr">
        <is>
          <t>PA</t>
        </is>
      </c>
      <c r="E318" s="16" t="n">
        <v>765000</v>
      </c>
      <c r="F318" s="16" t="n">
        <v>8600.549999999999</v>
      </c>
      <c r="G318" s="16" t="n">
        <v>1075.07</v>
      </c>
      <c r="H318" s="16" t="n">
        <v>1075.07</v>
      </c>
      <c r="I318" s="16">
        <f>SUM(K318:T318)</f>
        <v/>
      </c>
      <c r="J318" s="16">
        <f>F318-(G318+H318+I318)</f>
        <v/>
      </c>
      <c r="K318" s="16" t="n">
        <v>645.04</v>
      </c>
      <c r="L318" s="16" t="n">
        <v>645.04</v>
      </c>
      <c r="M318" s="16" t="n">
        <v>645.04</v>
      </c>
      <c r="N318" s="16" t="n">
        <v>645.04</v>
      </c>
      <c r="O318" s="16" t="n">
        <v>645.04</v>
      </c>
      <c r="P318" s="16" t="n">
        <v>645.04</v>
      </c>
      <c r="Q318" s="16" t="n">
        <v>645.04</v>
      </c>
      <c r="R318" s="16" t="n">
        <v>645.04</v>
      </c>
      <c r="S318" s="16" t="n">
        <v>645.04</v>
      </c>
      <c r="T318" s="16" t="n">
        <v>645.04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CANON-202512-002815</t>
        </is>
      </c>
      <c r="B319" s="3" t="inlineStr">
        <is>
          <t>2025-12-05</t>
        </is>
      </c>
      <c r="C319" s="3" t="inlineStr">
        <is>
          <t>Sunniva Merriweather</t>
        </is>
      </c>
      <c r="D319" s="3" t="inlineStr">
        <is>
          <t>FL</t>
        </is>
      </c>
      <c r="E319" s="14" t="n">
        <v>500000</v>
      </c>
      <c r="F319" s="14" t="n">
        <v>7982.21</v>
      </c>
      <c r="G319" s="14" t="n">
        <v>997.78</v>
      </c>
      <c r="H319" s="14" t="n">
        <v>997.78</v>
      </c>
      <c r="I319" s="14">
        <f>SUM(K319:T319)</f>
        <v/>
      </c>
      <c r="J319" s="14">
        <f>F319-(G319+H319+I319)</f>
        <v/>
      </c>
      <c r="K319" s="14" t="n">
        <v>598.67</v>
      </c>
      <c r="L319" s="14" t="n">
        <v>598.67</v>
      </c>
      <c r="M319" s="14" t="n">
        <v>598.67</v>
      </c>
      <c r="N319" s="14" t="n">
        <v>598.67</v>
      </c>
      <c r="O319" s="14" t="n">
        <v>598.67</v>
      </c>
      <c r="P319" s="14" t="n">
        <v>598.67</v>
      </c>
      <c r="Q319" s="14" t="n">
        <v>598.67</v>
      </c>
      <c r="R319" s="14" t="n">
        <v>598.67</v>
      </c>
      <c r="S319" s="14" t="n">
        <v>598.67</v>
      </c>
      <c r="T319" s="14" t="n">
        <v>598.67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CANON-202512-002816</t>
        </is>
      </c>
      <c r="B320" s="15" t="inlineStr">
        <is>
          <t>2025-12-26</t>
        </is>
      </c>
      <c r="C320" s="15" t="inlineStr">
        <is>
          <t>Lorenzo Vasquez</t>
        </is>
      </c>
      <c r="D320" s="15" t="inlineStr">
        <is>
          <t>NV</t>
        </is>
      </c>
      <c r="E320" s="16" t="n">
        <v>920000</v>
      </c>
      <c r="F320" s="16" t="n">
        <v>12101.48</v>
      </c>
      <c r="G320" s="16" t="n">
        <v>1512.68</v>
      </c>
      <c r="H320" s="16" t="n">
        <v>1512.68</v>
      </c>
      <c r="I320" s="16">
        <f>SUM(K320:T320)</f>
        <v/>
      </c>
      <c r="J320" s="16">
        <f>F320-(G320+H320+I320)</f>
        <v/>
      </c>
      <c r="K320" s="16" t="n">
        <v>907.61</v>
      </c>
      <c r="L320" s="16" t="n">
        <v>907.61</v>
      </c>
      <c r="M320" s="16" t="n">
        <v>907.61</v>
      </c>
      <c r="N320" s="16" t="n">
        <v>907.61</v>
      </c>
      <c r="O320" s="16" t="n">
        <v>907.61</v>
      </c>
      <c r="P320" s="16" t="n">
        <v>907.61</v>
      </c>
      <c r="Q320" s="16" t="n">
        <v>907.61</v>
      </c>
      <c r="R320" s="16" t="n">
        <v>907.61</v>
      </c>
      <c r="S320" s="16" t="n">
        <v>907.61</v>
      </c>
      <c r="T320" s="16" t="n">
        <v>907.61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CANON-202512-002817</t>
        </is>
      </c>
      <c r="B321" s="3" t="inlineStr">
        <is>
          <t>2025-12-03</t>
        </is>
      </c>
      <c r="C321" s="3" t="inlineStr">
        <is>
          <t>Leopold Montoya</t>
        </is>
      </c>
      <c r="D321" s="3" t="inlineStr">
        <is>
          <t>LA</t>
        </is>
      </c>
      <c r="E321" s="14" t="n">
        <v>520000</v>
      </c>
      <c r="F321" s="14" t="n">
        <v>7073.81</v>
      </c>
      <c r="G321" s="14" t="n">
        <v>884.23</v>
      </c>
      <c r="H321" s="14" t="n">
        <v>884.23</v>
      </c>
      <c r="I321" s="14">
        <f>SUM(K321:T321)</f>
        <v/>
      </c>
      <c r="J321" s="14">
        <f>F321-(G321+H321+I321)</f>
        <v/>
      </c>
      <c r="K321" s="14" t="n">
        <v>530.54</v>
      </c>
      <c r="L321" s="14" t="n">
        <v>530.54</v>
      </c>
      <c r="M321" s="14" t="n">
        <v>530.54</v>
      </c>
      <c r="N321" s="14" t="n">
        <v>530.54</v>
      </c>
      <c r="O321" s="14" t="n">
        <v>530.54</v>
      </c>
      <c r="P321" s="14" t="n">
        <v>530.54</v>
      </c>
      <c r="Q321" s="14" t="n">
        <v>530.54</v>
      </c>
      <c r="R321" s="14" t="n">
        <v>530.54</v>
      </c>
      <c r="S321" s="14" t="n">
        <v>530.54</v>
      </c>
      <c r="T321" s="14" t="n">
        <v>530.54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CANON-202512-002819</t>
        </is>
      </c>
      <c r="B322" s="15" t="inlineStr">
        <is>
          <t>2025-12-20</t>
        </is>
      </c>
      <c r="C322" s="15" t="inlineStr">
        <is>
          <t>Thaddeus Rourke</t>
        </is>
      </c>
      <c r="D322" s="15" t="inlineStr">
        <is>
          <t>OH</t>
        </is>
      </c>
      <c r="E322" s="16" t="n">
        <v>1950000</v>
      </c>
      <c r="F322" s="16" t="n">
        <v>37505.14</v>
      </c>
      <c r="G322" s="16" t="n">
        <v>4688.14</v>
      </c>
      <c r="H322" s="16" t="n">
        <v>4688.14</v>
      </c>
      <c r="I322" s="16">
        <f>SUM(K322:T322)</f>
        <v/>
      </c>
      <c r="J322" s="16">
        <f>F322-(G322+H322+I322)</f>
        <v/>
      </c>
      <c r="K322" s="16" t="n">
        <v>2812.89</v>
      </c>
      <c r="L322" s="16" t="n">
        <v>2812.89</v>
      </c>
      <c r="M322" s="16" t="n">
        <v>2812.89</v>
      </c>
      <c r="N322" s="16" t="n">
        <v>2812.89</v>
      </c>
      <c r="O322" s="16" t="n">
        <v>2812.89</v>
      </c>
      <c r="P322" s="16" t="n">
        <v>2812.89</v>
      </c>
      <c r="Q322" s="16" t="n">
        <v>2812.89</v>
      </c>
      <c r="R322" s="16" t="n">
        <v>2812.89</v>
      </c>
      <c r="S322" s="16" t="n">
        <v>2812.89</v>
      </c>
      <c r="T322" s="16" t="n">
        <v>2812.89</v>
      </c>
      <c r="U322" s="16" t="n">
        <v>350</v>
      </c>
      <c r="V322" s="16" t="n">
        <v>250</v>
      </c>
      <c r="W322" s="16">
        <f>U322+V322</f>
        <v/>
      </c>
    </row>
    <row r="323">
      <c r="A323" s="3" t="inlineStr">
        <is>
          <t>CANON-202512-002820</t>
        </is>
      </c>
      <c r="B323" s="3" t="inlineStr">
        <is>
          <t>2025-12-26</t>
        </is>
      </c>
      <c r="C323" s="3" t="inlineStr">
        <is>
          <t>Sunniva Delacroix</t>
        </is>
      </c>
      <c r="D323" s="3" t="inlineStr">
        <is>
          <t>VA</t>
        </is>
      </c>
      <c r="E323" s="14" t="n">
        <v>1070000</v>
      </c>
      <c r="F323" s="14" t="n">
        <v>11094.92</v>
      </c>
      <c r="G323" s="14" t="n">
        <v>1386.87</v>
      </c>
      <c r="H323" s="14" t="n">
        <v>1386.87</v>
      </c>
      <c r="I323" s="14">
        <f>SUM(K323:T323)</f>
        <v/>
      </c>
      <c r="J323" s="14">
        <f>F323-(G323+H323+I323)</f>
        <v/>
      </c>
      <c r="K323" s="14" t="n">
        <v>832.12</v>
      </c>
      <c r="L323" s="14" t="n">
        <v>832.12</v>
      </c>
      <c r="M323" s="14" t="n">
        <v>832.12</v>
      </c>
      <c r="N323" s="14" t="n">
        <v>832.12</v>
      </c>
      <c r="O323" s="14" t="n">
        <v>832.12</v>
      </c>
      <c r="P323" s="14" t="n">
        <v>832.12</v>
      </c>
      <c r="Q323" s="14" t="n">
        <v>832.12</v>
      </c>
      <c r="R323" s="14" t="n">
        <v>832.12</v>
      </c>
      <c r="S323" s="14" t="n">
        <v>832.12</v>
      </c>
      <c r="T323" s="14" t="n">
        <v>832.12</v>
      </c>
      <c r="U323" s="14" t="n">
        <v>350</v>
      </c>
      <c r="V323" s="14" t="n">
        <v>250</v>
      </c>
      <c r="W323" s="14">
        <f>U323+V323</f>
        <v/>
      </c>
    </row>
    <row r="324">
      <c r="A324" s="15" t="inlineStr">
        <is>
          <t>CANON-202512-002821</t>
        </is>
      </c>
      <c r="B324" s="15" t="inlineStr">
        <is>
          <t>2025-12-31</t>
        </is>
      </c>
      <c r="C324" s="15" t="inlineStr">
        <is>
          <t>Fitzgerald Blackwood</t>
        </is>
      </c>
      <c r="D324" s="15" t="inlineStr">
        <is>
          <t>KS</t>
        </is>
      </c>
      <c r="E324" s="16" t="n">
        <v>240000</v>
      </c>
      <c r="F324" s="16" t="n">
        <v>3704.44</v>
      </c>
      <c r="G324" s="16" t="n">
        <v>463.06</v>
      </c>
      <c r="H324" s="16" t="n">
        <v>463.06</v>
      </c>
      <c r="I324" s="16">
        <f>SUM(K324:T324)</f>
        <v/>
      </c>
      <c r="J324" s="16">
        <f>F324-(G324+H324+I324)</f>
        <v/>
      </c>
      <c r="K324" s="16" t="n">
        <v>277.83</v>
      </c>
      <c r="L324" s="16" t="n">
        <v>277.83</v>
      </c>
      <c r="M324" s="16" t="n">
        <v>277.83</v>
      </c>
      <c r="N324" s="16" t="n">
        <v>277.83</v>
      </c>
      <c r="O324" s="16" t="n">
        <v>277.83</v>
      </c>
      <c r="P324" s="16" t="n">
        <v>277.83</v>
      </c>
      <c r="Q324" s="16" t="n">
        <v>277.83</v>
      </c>
      <c r="R324" s="16" t="n">
        <v>277.83</v>
      </c>
      <c r="S324" s="16" t="n">
        <v>277.83</v>
      </c>
      <c r="T324" s="16" t="n">
        <v>277.83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CANON-202512-002823</t>
        </is>
      </c>
      <c r="B325" s="3" t="inlineStr">
        <is>
          <t>2025-12-07</t>
        </is>
      </c>
      <c r="C325" s="3" t="inlineStr">
        <is>
          <t>Marisol Blackwood</t>
        </is>
      </c>
      <c r="D325" s="3" t="inlineStr">
        <is>
          <t>HI</t>
        </is>
      </c>
      <c r="E325" s="14" t="n">
        <v>820000</v>
      </c>
      <c r="F325" s="14" t="n">
        <v>11984.55</v>
      </c>
      <c r="G325" s="14" t="n">
        <v>1498.07</v>
      </c>
      <c r="H325" s="14" t="n">
        <v>1498.07</v>
      </c>
      <c r="I325" s="14">
        <f>SUM(K325:T325)</f>
        <v/>
      </c>
      <c r="J325" s="14">
        <f>F325-(G325+H325+I325)</f>
        <v/>
      </c>
      <c r="K325" s="14" t="n">
        <v>898.84</v>
      </c>
      <c r="L325" s="14" t="n">
        <v>898.84</v>
      </c>
      <c r="M325" s="14" t="n">
        <v>898.84</v>
      </c>
      <c r="N325" s="14" t="n">
        <v>898.84</v>
      </c>
      <c r="O325" s="14" t="n">
        <v>898.84</v>
      </c>
      <c r="P325" s="14" t="n">
        <v>898.84</v>
      </c>
      <c r="Q325" s="14" t="n">
        <v>898.84</v>
      </c>
      <c r="R325" s="14" t="n">
        <v>898.84</v>
      </c>
      <c r="S325" s="14" t="n">
        <v>898.84</v>
      </c>
      <c r="T325" s="14" t="n">
        <v>898.84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CANON-202512-002825</t>
        </is>
      </c>
      <c r="B326" s="15" t="inlineStr">
        <is>
          <t>2025-12-31</t>
        </is>
      </c>
      <c r="C326" s="15" t="inlineStr">
        <is>
          <t>Ramona Okonkwo</t>
        </is>
      </c>
      <c r="D326" s="15" t="inlineStr">
        <is>
          <t>IL</t>
        </is>
      </c>
      <c r="E326" s="16" t="n">
        <v>365000</v>
      </c>
      <c r="F326" s="16" t="n">
        <v>6439.39</v>
      </c>
      <c r="G326" s="16" t="n">
        <v>804.92</v>
      </c>
      <c r="H326" s="16" t="n">
        <v>804.92</v>
      </c>
      <c r="I326" s="16">
        <f>SUM(K326:T326)</f>
        <v/>
      </c>
      <c r="J326" s="16">
        <f>F326-(G326+H326+I326)</f>
        <v/>
      </c>
      <c r="K326" s="16" t="n">
        <v>482.95</v>
      </c>
      <c r="L326" s="16" t="n">
        <v>482.95</v>
      </c>
      <c r="M326" s="16" t="n">
        <v>482.95</v>
      </c>
      <c r="N326" s="16" t="n">
        <v>482.95</v>
      </c>
      <c r="O326" s="16" t="n">
        <v>482.95</v>
      </c>
      <c r="P326" s="16" t="n">
        <v>482.95</v>
      </c>
      <c r="Q326" s="16" t="n">
        <v>482.95</v>
      </c>
      <c r="R326" s="16" t="n">
        <v>482.95</v>
      </c>
      <c r="S326" s="16" t="n">
        <v>482.95</v>
      </c>
      <c r="T326" s="16" t="n">
        <v>482.95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CANON-202512-002826</t>
        </is>
      </c>
      <c r="B327" s="3" t="inlineStr">
        <is>
          <t>2025-12-02</t>
        </is>
      </c>
      <c r="C327" s="3" t="inlineStr">
        <is>
          <t>Horace Thistlewood</t>
        </is>
      </c>
      <c r="D327" s="3" t="inlineStr">
        <is>
          <t>NY</t>
        </is>
      </c>
      <c r="E327" s="14" t="n">
        <v>1950000</v>
      </c>
      <c r="F327" s="14" t="n">
        <v>14678.27</v>
      </c>
      <c r="G327" s="14" t="n">
        <v>1834.78</v>
      </c>
      <c r="H327" s="14" t="n">
        <v>1834.78</v>
      </c>
      <c r="I327" s="14">
        <f>SUM(K327:T327)</f>
        <v/>
      </c>
      <c r="J327" s="14">
        <f>F327-(G327+H327+I327)</f>
        <v/>
      </c>
      <c r="K327" s="14" t="n">
        <v>1100.87</v>
      </c>
      <c r="L327" s="14" t="n">
        <v>1100.87</v>
      </c>
      <c r="M327" s="14" t="n">
        <v>1100.87</v>
      </c>
      <c r="N327" s="14" t="n">
        <v>1100.87</v>
      </c>
      <c r="O327" s="14" t="n">
        <v>1100.87</v>
      </c>
      <c r="P327" s="14" t="n">
        <v>1100.87</v>
      </c>
      <c r="Q327" s="14" t="n">
        <v>1100.87</v>
      </c>
      <c r="R327" s="14" t="n">
        <v>1100.87</v>
      </c>
      <c r="S327" s="14" t="n">
        <v>1100.87</v>
      </c>
      <c r="T327" s="14" t="n">
        <v>1100.87</v>
      </c>
      <c r="U327" s="14" t="n">
        <v>350</v>
      </c>
      <c r="V327" s="14" t="n">
        <v>250</v>
      </c>
      <c r="W327" s="14">
        <f>U327+V327</f>
        <v/>
      </c>
    </row>
    <row r="328">
      <c r="A328" s="15" t="inlineStr">
        <is>
          <t>CANON-202512-002827</t>
        </is>
      </c>
      <c r="B328" s="15" t="inlineStr">
        <is>
          <t>2025-12-10</t>
        </is>
      </c>
      <c r="C328" s="15" t="inlineStr">
        <is>
          <t>Mireille Ashcombe</t>
        </is>
      </c>
      <c r="D328" s="15" t="inlineStr">
        <is>
          <t>NJ</t>
        </is>
      </c>
      <c r="E328" s="16" t="n">
        <v>225000</v>
      </c>
      <c r="F328" s="16" t="n">
        <v>3258.09</v>
      </c>
      <c r="G328" s="16" t="n">
        <v>407.26</v>
      </c>
      <c r="H328" s="16" t="n">
        <v>407.26</v>
      </c>
      <c r="I328" s="16">
        <f>SUM(K328:T328)</f>
        <v/>
      </c>
      <c r="J328" s="16">
        <f>F328-(G328+H328+I328)</f>
        <v/>
      </c>
      <c r="K328" s="16" t="n">
        <v>244.36</v>
      </c>
      <c r="L328" s="16" t="n">
        <v>244.36</v>
      </c>
      <c r="M328" s="16" t="n">
        <v>244.36</v>
      </c>
      <c r="N328" s="16" t="n">
        <v>244.36</v>
      </c>
      <c r="O328" s="16" t="n">
        <v>244.36</v>
      </c>
      <c r="P328" s="16" t="n">
        <v>244.36</v>
      </c>
      <c r="Q328" s="16" t="n">
        <v>244.36</v>
      </c>
      <c r="R328" s="16" t="n">
        <v>244.36</v>
      </c>
      <c r="S328" s="16" t="n">
        <v>244.36</v>
      </c>
      <c r="T328" s="16" t="n">
        <v>244.36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CANON-202512-002828</t>
        </is>
      </c>
      <c r="B329" s="3" t="inlineStr">
        <is>
          <t>2025-12-21</t>
        </is>
      </c>
      <c r="C329" s="3" t="inlineStr">
        <is>
          <t>Ingrid Fairweather</t>
        </is>
      </c>
      <c r="D329" s="3" t="inlineStr">
        <is>
          <t>ND</t>
        </is>
      </c>
      <c r="E329" s="14" t="n">
        <v>290000</v>
      </c>
      <c r="F329" s="14" t="n">
        <v>3837.17</v>
      </c>
      <c r="G329" s="14" t="n">
        <v>479.65</v>
      </c>
      <c r="H329" s="14" t="n">
        <v>479.65</v>
      </c>
      <c r="I329" s="14">
        <f>SUM(K329:T329)</f>
        <v/>
      </c>
      <c r="J329" s="14">
        <f>F329-(G329+H329+I329)</f>
        <v/>
      </c>
      <c r="K329" s="14" t="n">
        <v>287.79</v>
      </c>
      <c r="L329" s="14" t="n">
        <v>287.79</v>
      </c>
      <c r="M329" s="14" t="n">
        <v>287.79</v>
      </c>
      <c r="N329" s="14" t="n">
        <v>287.79</v>
      </c>
      <c r="O329" s="14" t="n">
        <v>287.79</v>
      </c>
      <c r="P329" s="14" t="n">
        <v>287.79</v>
      </c>
      <c r="Q329" s="14" t="n">
        <v>287.79</v>
      </c>
      <c r="R329" s="14" t="n">
        <v>287.79</v>
      </c>
      <c r="S329" s="14" t="n">
        <v>287.79</v>
      </c>
      <c r="T329" s="14" t="n">
        <v>287.79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CANON-202512-002829</t>
        </is>
      </c>
      <c r="B330" s="15" t="inlineStr">
        <is>
          <t>2025-12-05</t>
        </is>
      </c>
      <c r="C330" s="15" t="inlineStr">
        <is>
          <t>Emiliano Delacroix</t>
        </is>
      </c>
      <c r="D330" s="15" t="inlineStr">
        <is>
          <t>NJ</t>
        </is>
      </c>
      <c r="E330" s="16" t="n">
        <v>280000</v>
      </c>
      <c r="F330" s="16" t="n">
        <v>2115.4</v>
      </c>
      <c r="G330" s="16" t="n">
        <v>264.43</v>
      </c>
      <c r="H330" s="16" t="n">
        <v>264.43</v>
      </c>
      <c r="I330" s="16">
        <f>SUM(K330:T330)</f>
        <v/>
      </c>
      <c r="J330" s="16">
        <f>F330-(G330+H330+I330)</f>
        <v/>
      </c>
      <c r="K330" s="16" t="n">
        <v>158.66</v>
      </c>
      <c r="L330" s="16" t="n">
        <v>158.66</v>
      </c>
      <c r="M330" s="16" t="n">
        <v>158.66</v>
      </c>
      <c r="N330" s="16" t="n">
        <v>158.66</v>
      </c>
      <c r="O330" s="16" t="n">
        <v>158.66</v>
      </c>
      <c r="P330" s="16" t="n">
        <v>158.66</v>
      </c>
      <c r="Q330" s="16" t="n">
        <v>158.66</v>
      </c>
      <c r="R330" s="16" t="n">
        <v>158.66</v>
      </c>
      <c r="S330" s="16" t="n">
        <v>158.66</v>
      </c>
      <c r="T330" s="16" t="n">
        <v>158.66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CANON-202512-002830</t>
        </is>
      </c>
      <c r="B331" s="3" t="inlineStr">
        <is>
          <t>2025-12-09</t>
        </is>
      </c>
      <c r="C331" s="3" t="inlineStr">
        <is>
          <t>Lorenzo Castellanos</t>
        </is>
      </c>
      <c r="D331" s="3" t="inlineStr">
        <is>
          <t>FL</t>
        </is>
      </c>
      <c r="E331" s="14" t="n">
        <v>800000</v>
      </c>
      <c r="F331" s="14" t="n">
        <v>12771.54</v>
      </c>
      <c r="G331" s="14" t="n">
        <v>1596.44</v>
      </c>
      <c r="H331" s="14" t="n">
        <v>1596.44</v>
      </c>
      <c r="I331" s="14">
        <f>SUM(K331:T331)</f>
        <v/>
      </c>
      <c r="J331" s="14">
        <f>F331-(G331+H331+I331)</f>
        <v/>
      </c>
      <c r="K331" s="14" t="n">
        <v>957.87</v>
      </c>
      <c r="L331" s="14" t="n">
        <v>957.87</v>
      </c>
      <c r="M331" s="14" t="n">
        <v>957.87</v>
      </c>
      <c r="N331" s="14" t="n">
        <v>957.87</v>
      </c>
      <c r="O331" s="14" t="n">
        <v>957.87</v>
      </c>
      <c r="P331" s="14" t="n">
        <v>957.87</v>
      </c>
      <c r="Q331" s="14" t="n">
        <v>957.87</v>
      </c>
      <c r="R331" s="14" t="n">
        <v>957.87</v>
      </c>
      <c r="S331" s="14" t="n">
        <v>957.87</v>
      </c>
      <c r="T331" s="14" t="n">
        <v>957.87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CANON-202512-002831</t>
        </is>
      </c>
      <c r="B332" s="15" t="inlineStr">
        <is>
          <t>2025-12-18</t>
        </is>
      </c>
      <c r="C332" s="15" t="inlineStr">
        <is>
          <t>Fitzgerald Ashcombe</t>
        </is>
      </c>
      <c r="D332" s="15" t="inlineStr">
        <is>
          <t>TX</t>
        </is>
      </c>
      <c r="E332" s="16" t="n">
        <v>390000</v>
      </c>
      <c r="F332" s="16" t="n">
        <v>5818.02</v>
      </c>
      <c r="G332" s="16" t="n">
        <v>727.25</v>
      </c>
      <c r="H332" s="16" t="n">
        <v>727.25</v>
      </c>
      <c r="I332" s="16">
        <f>SUM(K332:T332)</f>
        <v/>
      </c>
      <c r="J332" s="16">
        <f>F332-(G332+H332+I332)</f>
        <v/>
      </c>
      <c r="K332" s="16" t="n">
        <v>436.35</v>
      </c>
      <c r="L332" s="16" t="n">
        <v>436.35</v>
      </c>
      <c r="M332" s="16" t="n">
        <v>436.35</v>
      </c>
      <c r="N332" s="16" t="n">
        <v>436.35</v>
      </c>
      <c r="O332" s="16" t="n">
        <v>436.35</v>
      </c>
      <c r="P332" s="16" t="n">
        <v>436.35</v>
      </c>
      <c r="Q332" s="16" t="n">
        <v>436.35</v>
      </c>
      <c r="R332" s="16" t="n">
        <v>436.35</v>
      </c>
      <c r="S332" s="16" t="n">
        <v>436.35</v>
      </c>
      <c r="T332" s="16" t="n">
        <v>436.35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CANON-202512-002832</t>
        </is>
      </c>
      <c r="B333" s="3" t="inlineStr">
        <is>
          <t>2025-12-21</t>
        </is>
      </c>
      <c r="C333" s="3" t="inlineStr">
        <is>
          <t>Desmond Fairweather</t>
        </is>
      </c>
      <c r="D333" s="3" t="inlineStr">
        <is>
          <t>KY</t>
        </is>
      </c>
      <c r="E333" s="14" t="n">
        <v>520000</v>
      </c>
      <c r="F333" s="14" t="n">
        <v>7833.81</v>
      </c>
      <c r="G333" s="14" t="n">
        <v>979.23</v>
      </c>
      <c r="H333" s="14" t="n">
        <v>979.23</v>
      </c>
      <c r="I333" s="14">
        <f>SUM(K333:T333)</f>
        <v/>
      </c>
      <c r="J333" s="14">
        <f>F333-(G333+H333+I333)</f>
        <v/>
      </c>
      <c r="K333" s="14" t="n">
        <v>587.54</v>
      </c>
      <c r="L333" s="14" t="n">
        <v>587.54</v>
      </c>
      <c r="M333" s="14" t="n">
        <v>587.54</v>
      </c>
      <c r="N333" s="14" t="n">
        <v>587.54</v>
      </c>
      <c r="O333" s="14" t="n">
        <v>587.54</v>
      </c>
      <c r="P333" s="14" t="n">
        <v>587.54</v>
      </c>
      <c r="Q333" s="14" t="n">
        <v>587.54</v>
      </c>
      <c r="R333" s="14" t="n">
        <v>587.54</v>
      </c>
      <c r="S333" s="14" t="n">
        <v>587.54</v>
      </c>
      <c r="T333" s="14" t="n">
        <v>587.54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CANON-202512-002834</t>
        </is>
      </c>
      <c r="B334" s="15" t="inlineStr">
        <is>
          <t>2025-12-06</t>
        </is>
      </c>
      <c r="C334" s="15" t="inlineStr">
        <is>
          <t>Ramona Castellanos</t>
        </is>
      </c>
      <c r="D334" s="15" t="inlineStr">
        <is>
          <t>TX</t>
        </is>
      </c>
      <c r="E334" s="16" t="n">
        <v>505000</v>
      </c>
      <c r="F334" s="16" t="n">
        <v>6529.11</v>
      </c>
      <c r="G334" s="16" t="n">
        <v>816.14</v>
      </c>
      <c r="H334" s="16" t="n">
        <v>816.14</v>
      </c>
      <c r="I334" s="16">
        <f>SUM(K334:T334)</f>
        <v/>
      </c>
      <c r="J334" s="16">
        <f>F334-(G334+H334+I334)</f>
        <v/>
      </c>
      <c r="K334" s="16" t="n">
        <v>489.68</v>
      </c>
      <c r="L334" s="16" t="n">
        <v>489.68</v>
      </c>
      <c r="M334" s="16" t="n">
        <v>489.68</v>
      </c>
      <c r="N334" s="16" t="n">
        <v>489.68</v>
      </c>
      <c r="O334" s="16" t="n">
        <v>489.68</v>
      </c>
      <c r="P334" s="16" t="n">
        <v>489.68</v>
      </c>
      <c r="Q334" s="16" t="n">
        <v>489.68</v>
      </c>
      <c r="R334" s="16" t="n">
        <v>489.68</v>
      </c>
      <c r="S334" s="16" t="n">
        <v>489.68</v>
      </c>
      <c r="T334" s="16" t="n">
        <v>489.68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CANON-202512-002835</t>
        </is>
      </c>
      <c r="B335" s="3" t="inlineStr">
        <is>
          <t>2025-12-29</t>
        </is>
      </c>
      <c r="C335" s="3" t="inlineStr">
        <is>
          <t>Fitzgerald Thistlewood</t>
        </is>
      </c>
      <c r="D335" s="3" t="inlineStr">
        <is>
          <t>IL</t>
        </is>
      </c>
      <c r="E335" s="14" t="n">
        <v>885000</v>
      </c>
      <c r="F335" s="14" t="n">
        <v>19776.85</v>
      </c>
      <c r="G335" s="14" t="n">
        <v>2472.11</v>
      </c>
      <c r="H335" s="14" t="n">
        <v>2472.11</v>
      </c>
      <c r="I335" s="14">
        <f>SUM(K335:T335)</f>
        <v/>
      </c>
      <c r="J335" s="14">
        <f>F335-(G335+H335+I335)</f>
        <v/>
      </c>
      <c r="K335" s="14" t="n">
        <v>1483.26</v>
      </c>
      <c r="L335" s="14" t="n">
        <v>1483.26</v>
      </c>
      <c r="M335" s="14" t="n">
        <v>1483.26</v>
      </c>
      <c r="N335" s="14" t="n">
        <v>1483.26</v>
      </c>
      <c r="O335" s="14" t="n">
        <v>1483.26</v>
      </c>
      <c r="P335" s="14" t="n">
        <v>1483.26</v>
      </c>
      <c r="Q335" s="14" t="n">
        <v>1483.26</v>
      </c>
      <c r="R335" s="14" t="n">
        <v>1483.26</v>
      </c>
      <c r="S335" s="14" t="n">
        <v>1483.26</v>
      </c>
      <c r="T335" s="14" t="n">
        <v>1483.26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CANON-202512-002837</t>
        </is>
      </c>
      <c r="B336" s="15" t="inlineStr">
        <is>
          <t>2025-12-09</t>
        </is>
      </c>
      <c r="C336" s="15" t="inlineStr">
        <is>
          <t>Ramona Harrington</t>
        </is>
      </c>
      <c r="D336" s="15" t="inlineStr">
        <is>
          <t>FL</t>
        </is>
      </c>
      <c r="E336" s="16" t="n">
        <v>1950000</v>
      </c>
      <c r="F336" s="16" t="n">
        <v>38314.6</v>
      </c>
      <c r="G336" s="16" t="n">
        <v>4789.32</v>
      </c>
      <c r="H336" s="16" t="n">
        <v>4789.32</v>
      </c>
      <c r="I336" s="16">
        <f>SUM(K336:T336)</f>
        <v/>
      </c>
      <c r="J336" s="16">
        <f>F336-(G336+H336+I336)</f>
        <v/>
      </c>
      <c r="K336" s="16" t="n">
        <v>2873.59</v>
      </c>
      <c r="L336" s="16" t="n">
        <v>2873.59</v>
      </c>
      <c r="M336" s="16" t="n">
        <v>2873.59</v>
      </c>
      <c r="N336" s="16" t="n">
        <v>2873.59</v>
      </c>
      <c r="O336" s="16" t="n">
        <v>2873.59</v>
      </c>
      <c r="P336" s="16" t="n">
        <v>2873.59</v>
      </c>
      <c r="Q336" s="16" t="n">
        <v>2873.59</v>
      </c>
      <c r="R336" s="16" t="n">
        <v>2873.59</v>
      </c>
      <c r="S336" s="16" t="n">
        <v>2873.59</v>
      </c>
      <c r="T336" s="16" t="n">
        <v>2873.59</v>
      </c>
      <c r="U336" s="16" t="n">
        <v>350</v>
      </c>
      <c r="V336" s="16" t="n">
        <v>250</v>
      </c>
      <c r="W336" s="16">
        <f>U336+V336</f>
        <v/>
      </c>
    </row>
    <row r="337">
      <c r="A337" s="3" t="inlineStr">
        <is>
          <t>CANON-202512-002838</t>
        </is>
      </c>
      <c r="B337" s="3" t="inlineStr">
        <is>
          <t>2025-12-03</t>
        </is>
      </c>
      <c r="C337" s="3" t="inlineStr">
        <is>
          <t>Everett Vandermeer</t>
        </is>
      </c>
      <c r="D337" s="3" t="inlineStr">
        <is>
          <t>KY</t>
        </is>
      </c>
      <c r="E337" s="14" t="n">
        <v>995000</v>
      </c>
      <c r="F337" s="14" t="n">
        <v>8763.200000000001</v>
      </c>
      <c r="G337" s="14" t="n">
        <v>1095.4</v>
      </c>
      <c r="H337" s="14" t="n">
        <v>1095.4</v>
      </c>
      <c r="I337" s="14">
        <f>SUM(K337:T337)</f>
        <v/>
      </c>
      <c r="J337" s="14">
        <f>F337-(G337+H337+I337)</f>
        <v/>
      </c>
      <c r="K337" s="14" t="n">
        <v>657.24</v>
      </c>
      <c r="L337" s="14" t="n">
        <v>657.24</v>
      </c>
      <c r="M337" s="14" t="n">
        <v>657.24</v>
      </c>
      <c r="N337" s="14" t="n">
        <v>657.24</v>
      </c>
      <c r="O337" s="14" t="n">
        <v>657.24</v>
      </c>
      <c r="P337" s="14" t="n">
        <v>657.24</v>
      </c>
      <c r="Q337" s="14" t="n">
        <v>657.24</v>
      </c>
      <c r="R337" s="14" t="n">
        <v>657.24</v>
      </c>
      <c r="S337" s="14" t="n">
        <v>657.24</v>
      </c>
      <c r="T337" s="14" t="n">
        <v>657.24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CANON-202512-002839</t>
        </is>
      </c>
      <c r="B338" s="15" t="inlineStr">
        <is>
          <t>2025-12-16</t>
        </is>
      </c>
      <c r="C338" s="15" t="inlineStr">
        <is>
          <t>Cassius Nakashima</t>
        </is>
      </c>
      <c r="D338" s="15" t="inlineStr">
        <is>
          <t>NY</t>
        </is>
      </c>
      <c r="E338" s="16" t="n">
        <v>805000</v>
      </c>
      <c r="F338" s="16" t="n">
        <v>11584.32</v>
      </c>
      <c r="G338" s="16" t="n">
        <v>1448.04</v>
      </c>
      <c r="H338" s="16" t="n">
        <v>1448.04</v>
      </c>
      <c r="I338" s="16">
        <f>SUM(K338:T338)</f>
        <v/>
      </c>
      <c r="J338" s="16">
        <f>F338-(G338+H338+I338)</f>
        <v/>
      </c>
      <c r="K338" s="16" t="n">
        <v>868.8200000000001</v>
      </c>
      <c r="L338" s="16" t="n">
        <v>868.8200000000001</v>
      </c>
      <c r="M338" s="16" t="n">
        <v>868.8200000000001</v>
      </c>
      <c r="N338" s="16" t="n">
        <v>868.8200000000001</v>
      </c>
      <c r="O338" s="16" t="n">
        <v>868.8200000000001</v>
      </c>
      <c r="P338" s="16" t="n">
        <v>868.8200000000001</v>
      </c>
      <c r="Q338" s="16" t="n">
        <v>868.8200000000001</v>
      </c>
      <c r="R338" s="16" t="n">
        <v>868.8200000000001</v>
      </c>
      <c r="S338" s="16" t="n">
        <v>868.8200000000001</v>
      </c>
      <c r="T338" s="16" t="n">
        <v>868.8200000000001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CANON-202512-002840</t>
        </is>
      </c>
      <c r="B339" s="3" t="inlineStr">
        <is>
          <t>2025-12-15</t>
        </is>
      </c>
      <c r="C339" s="3" t="inlineStr">
        <is>
          <t>Aurelio Fairweather</t>
        </is>
      </c>
      <c r="D339" s="3" t="inlineStr">
        <is>
          <t>WI</t>
        </is>
      </c>
      <c r="E339" s="14" t="n">
        <v>650000</v>
      </c>
      <c r="F339" s="14" t="n">
        <v>8769.190000000001</v>
      </c>
      <c r="G339" s="14" t="n">
        <v>1096.15</v>
      </c>
      <c r="H339" s="14" t="n">
        <v>1096.15</v>
      </c>
      <c r="I339" s="14">
        <f>SUM(K339:T339)</f>
        <v/>
      </c>
      <c r="J339" s="14">
        <f>F339-(G339+H339+I339)</f>
        <v/>
      </c>
      <c r="K339" s="14" t="n">
        <v>657.6900000000001</v>
      </c>
      <c r="L339" s="14" t="n">
        <v>657.6900000000001</v>
      </c>
      <c r="M339" s="14" t="n">
        <v>657.6900000000001</v>
      </c>
      <c r="N339" s="14" t="n">
        <v>657.6900000000001</v>
      </c>
      <c r="O339" s="14" t="n">
        <v>657.6900000000001</v>
      </c>
      <c r="P339" s="14" t="n">
        <v>657.6900000000001</v>
      </c>
      <c r="Q339" s="14" t="n">
        <v>657.6900000000001</v>
      </c>
      <c r="R339" s="14" t="n">
        <v>657.6900000000001</v>
      </c>
      <c r="S339" s="14" t="n">
        <v>657.6900000000001</v>
      </c>
      <c r="T339" s="14" t="n">
        <v>657.6900000000001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CANON-202512-002842</t>
        </is>
      </c>
      <c r="B340" s="15" t="inlineStr">
        <is>
          <t>2025-12-14</t>
        </is>
      </c>
      <c r="C340" s="15" t="inlineStr">
        <is>
          <t>Emiliano Fairweather</t>
        </is>
      </c>
      <c r="D340" s="15" t="inlineStr">
        <is>
          <t>ID</t>
        </is>
      </c>
      <c r="E340" s="16" t="n">
        <v>1045000</v>
      </c>
      <c r="F340" s="16" t="n">
        <v>9841.6</v>
      </c>
      <c r="G340" s="16" t="n">
        <v>1230.2</v>
      </c>
      <c r="H340" s="16" t="n">
        <v>1230.2</v>
      </c>
      <c r="I340" s="16">
        <f>SUM(K340:T340)</f>
        <v/>
      </c>
      <c r="J340" s="16">
        <f>F340-(G340+H340+I340)</f>
        <v/>
      </c>
      <c r="K340" s="16" t="n">
        <v>738.12</v>
      </c>
      <c r="L340" s="16" t="n">
        <v>738.12</v>
      </c>
      <c r="M340" s="16" t="n">
        <v>738.12</v>
      </c>
      <c r="N340" s="16" t="n">
        <v>738.12</v>
      </c>
      <c r="O340" s="16" t="n">
        <v>738.12</v>
      </c>
      <c r="P340" s="16" t="n">
        <v>738.12</v>
      </c>
      <c r="Q340" s="16" t="n">
        <v>738.12</v>
      </c>
      <c r="R340" s="16" t="n">
        <v>738.12</v>
      </c>
      <c r="S340" s="16" t="n">
        <v>738.12</v>
      </c>
      <c r="T340" s="16" t="n">
        <v>738.12</v>
      </c>
      <c r="U340" s="16" t="n">
        <v>350</v>
      </c>
      <c r="V340" s="16" t="n">
        <v>250</v>
      </c>
      <c r="W340" s="16">
        <f>U340+V340</f>
        <v/>
      </c>
    </row>
    <row r="341">
      <c r="A341" s="3" t="inlineStr">
        <is>
          <t>CANON-202512-002843</t>
        </is>
      </c>
      <c r="B341" s="3" t="inlineStr">
        <is>
          <t>2025-12-25</t>
        </is>
      </c>
      <c r="C341" s="3" t="inlineStr">
        <is>
          <t>Ramona Rourke</t>
        </is>
      </c>
      <c r="D341" s="3" t="inlineStr">
        <is>
          <t>WA</t>
        </is>
      </c>
      <c r="E341" s="14" t="n">
        <v>315000</v>
      </c>
      <c r="F341" s="14" t="n">
        <v>3922.79</v>
      </c>
      <c r="G341" s="14" t="n">
        <v>490.35</v>
      </c>
      <c r="H341" s="14" t="n">
        <v>490.35</v>
      </c>
      <c r="I341" s="14">
        <f>SUM(K341:T341)</f>
        <v/>
      </c>
      <c r="J341" s="14">
        <f>F341-(G341+H341+I341)</f>
        <v/>
      </c>
      <c r="K341" s="14" t="n">
        <v>294.21</v>
      </c>
      <c r="L341" s="14" t="n">
        <v>294.21</v>
      </c>
      <c r="M341" s="14" t="n">
        <v>294.21</v>
      </c>
      <c r="N341" s="14" t="n">
        <v>294.21</v>
      </c>
      <c r="O341" s="14" t="n">
        <v>294.21</v>
      </c>
      <c r="P341" s="14" t="n">
        <v>294.21</v>
      </c>
      <c r="Q341" s="14" t="n">
        <v>294.21</v>
      </c>
      <c r="R341" s="14" t="n">
        <v>294.21</v>
      </c>
      <c r="S341" s="14" t="n">
        <v>294.21</v>
      </c>
      <c r="T341" s="14" t="n">
        <v>294.21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CANON-202512-002844</t>
        </is>
      </c>
      <c r="B342" s="15" t="inlineStr">
        <is>
          <t>2025-12-30</t>
        </is>
      </c>
      <c r="C342" s="15" t="inlineStr">
        <is>
          <t>Ramona Castellanos</t>
        </is>
      </c>
      <c r="D342" s="15" t="inlineStr">
        <is>
          <t>SD</t>
        </is>
      </c>
      <c r="E342" s="16" t="n">
        <v>965000</v>
      </c>
      <c r="F342" s="16" t="n">
        <v>12042.46</v>
      </c>
      <c r="G342" s="16" t="n">
        <v>1505.31</v>
      </c>
      <c r="H342" s="16" t="n">
        <v>1505.31</v>
      </c>
      <c r="I342" s="16">
        <f>SUM(K342:T342)</f>
        <v/>
      </c>
      <c r="J342" s="16">
        <f>F342-(G342+H342+I342)</f>
        <v/>
      </c>
      <c r="K342" s="16" t="n">
        <v>903.1799999999999</v>
      </c>
      <c r="L342" s="16" t="n">
        <v>903.1799999999999</v>
      </c>
      <c r="M342" s="16" t="n">
        <v>903.1799999999999</v>
      </c>
      <c r="N342" s="16" t="n">
        <v>903.1799999999999</v>
      </c>
      <c r="O342" s="16" t="n">
        <v>903.1799999999999</v>
      </c>
      <c r="P342" s="16" t="n">
        <v>903.1799999999999</v>
      </c>
      <c r="Q342" s="16" t="n">
        <v>903.1799999999999</v>
      </c>
      <c r="R342" s="16" t="n">
        <v>903.1799999999999</v>
      </c>
      <c r="S342" s="16" t="n">
        <v>903.1799999999999</v>
      </c>
      <c r="T342" s="16" t="n">
        <v>903.1799999999999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CANON-202512-002845</t>
        </is>
      </c>
      <c r="B343" s="3" t="inlineStr">
        <is>
          <t>2025-12-19</t>
        </is>
      </c>
      <c r="C343" s="3" t="inlineStr">
        <is>
          <t>Cassius Farkas</t>
        </is>
      </c>
      <c r="D343" s="3" t="inlineStr">
        <is>
          <t>CO</t>
        </is>
      </c>
      <c r="E343" s="14" t="n">
        <v>605000</v>
      </c>
      <c r="F343" s="14" t="n">
        <v>10935.1</v>
      </c>
      <c r="G343" s="14" t="n">
        <v>1366.89</v>
      </c>
      <c r="H343" s="14" t="n">
        <v>1366.89</v>
      </c>
      <c r="I343" s="14">
        <f>SUM(K343:T343)</f>
        <v/>
      </c>
      <c r="J343" s="14">
        <f>F343-(G343+H343+I343)</f>
        <v/>
      </c>
      <c r="K343" s="14" t="n">
        <v>820.13</v>
      </c>
      <c r="L343" s="14" t="n">
        <v>820.13</v>
      </c>
      <c r="M343" s="14" t="n">
        <v>820.13</v>
      </c>
      <c r="N343" s="14" t="n">
        <v>820.13</v>
      </c>
      <c r="O343" s="14" t="n">
        <v>820.13</v>
      </c>
      <c r="P343" s="14" t="n">
        <v>820.13</v>
      </c>
      <c r="Q343" s="14" t="n">
        <v>820.13</v>
      </c>
      <c r="R343" s="14" t="n">
        <v>820.13</v>
      </c>
      <c r="S343" s="14" t="n">
        <v>820.13</v>
      </c>
      <c r="T343" s="14" t="n">
        <v>820.13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CANON-202512-002847</t>
        </is>
      </c>
      <c r="B344" s="15" t="inlineStr">
        <is>
          <t>2025-12-05</t>
        </is>
      </c>
      <c r="C344" s="15" t="inlineStr">
        <is>
          <t>Wilhelmina Whitlock</t>
        </is>
      </c>
      <c r="D344" s="15" t="inlineStr">
        <is>
          <t>NY</t>
        </is>
      </c>
      <c r="E344" s="16" t="n">
        <v>590000</v>
      </c>
      <c r="F344" s="16" t="n">
        <v>8490.370000000001</v>
      </c>
      <c r="G344" s="16" t="n">
        <v>1061.3</v>
      </c>
      <c r="H344" s="16" t="n">
        <v>1061.3</v>
      </c>
      <c r="I344" s="16">
        <f>SUM(K344:T344)</f>
        <v/>
      </c>
      <c r="J344" s="16">
        <f>F344-(G344+H344+I344)</f>
        <v/>
      </c>
      <c r="K344" s="16" t="n">
        <v>636.78</v>
      </c>
      <c r="L344" s="16" t="n">
        <v>636.78</v>
      </c>
      <c r="M344" s="16" t="n">
        <v>636.78</v>
      </c>
      <c r="N344" s="16" t="n">
        <v>636.78</v>
      </c>
      <c r="O344" s="16" t="n">
        <v>636.78</v>
      </c>
      <c r="P344" s="16" t="n">
        <v>636.78</v>
      </c>
      <c r="Q344" s="16" t="n">
        <v>636.78</v>
      </c>
      <c r="R344" s="16" t="n">
        <v>636.78</v>
      </c>
      <c r="S344" s="16" t="n">
        <v>636.78</v>
      </c>
      <c r="T344" s="16" t="n">
        <v>636.78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CANON-202512-002848</t>
        </is>
      </c>
      <c r="B345" s="3" t="inlineStr">
        <is>
          <t>2025-12-28</t>
        </is>
      </c>
      <c r="C345" s="3" t="inlineStr">
        <is>
          <t>Fitzgerald Thistlewood</t>
        </is>
      </c>
      <c r="D345" s="3" t="inlineStr">
        <is>
          <t>NY</t>
        </is>
      </c>
      <c r="E345" s="14" t="n">
        <v>680000</v>
      </c>
      <c r="F345" s="14" t="n">
        <v>9785.52</v>
      </c>
      <c r="G345" s="14" t="n">
        <v>1223.19</v>
      </c>
      <c r="H345" s="14" t="n">
        <v>1223.19</v>
      </c>
      <c r="I345" s="14">
        <f>SUM(K345:T345)</f>
        <v/>
      </c>
      <c r="J345" s="14">
        <f>F345-(G345+H345+I345)</f>
        <v/>
      </c>
      <c r="K345" s="14" t="n">
        <v>733.91</v>
      </c>
      <c r="L345" s="14" t="n">
        <v>733.91</v>
      </c>
      <c r="M345" s="14" t="n">
        <v>733.91</v>
      </c>
      <c r="N345" s="14" t="n">
        <v>733.91</v>
      </c>
      <c r="O345" s="14" t="n">
        <v>733.91</v>
      </c>
      <c r="P345" s="14" t="n">
        <v>733.91</v>
      </c>
      <c r="Q345" s="14" t="n">
        <v>733.91</v>
      </c>
      <c r="R345" s="14" t="n">
        <v>733.91</v>
      </c>
      <c r="S345" s="14" t="n">
        <v>733.91</v>
      </c>
      <c r="T345" s="14" t="n">
        <v>733.91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CANON-202512-002849</t>
        </is>
      </c>
      <c r="B346" s="15" t="inlineStr">
        <is>
          <t>2025-12-26</t>
        </is>
      </c>
      <c r="C346" s="15" t="inlineStr">
        <is>
          <t>Horace Ashcombe</t>
        </is>
      </c>
      <c r="D346" s="15" t="inlineStr">
        <is>
          <t>NY</t>
        </is>
      </c>
      <c r="E346" s="16" t="n">
        <v>335000</v>
      </c>
      <c r="F346" s="16" t="n">
        <v>5562.46</v>
      </c>
      <c r="G346" s="16" t="n">
        <v>695.3099999999999</v>
      </c>
      <c r="H346" s="16" t="n">
        <v>695.3099999999999</v>
      </c>
      <c r="I346" s="16">
        <f>SUM(K346:T346)</f>
        <v/>
      </c>
      <c r="J346" s="16">
        <f>F346-(G346+H346+I346)</f>
        <v/>
      </c>
      <c r="K346" s="16" t="n">
        <v>417.18</v>
      </c>
      <c r="L346" s="16" t="n">
        <v>417.18</v>
      </c>
      <c r="M346" s="16" t="n">
        <v>417.18</v>
      </c>
      <c r="N346" s="16" t="n">
        <v>417.18</v>
      </c>
      <c r="O346" s="16" t="n">
        <v>417.18</v>
      </c>
      <c r="P346" s="16" t="n">
        <v>417.18</v>
      </c>
      <c r="Q346" s="16" t="n">
        <v>417.18</v>
      </c>
      <c r="R346" s="16" t="n">
        <v>417.18</v>
      </c>
      <c r="S346" s="16" t="n">
        <v>417.18</v>
      </c>
      <c r="T346" s="16" t="n">
        <v>417.18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CANON-202512-002851</t>
        </is>
      </c>
      <c r="B347" s="3" t="inlineStr">
        <is>
          <t>2025-12-15</t>
        </is>
      </c>
      <c r="C347" s="3" t="inlineStr">
        <is>
          <t>Desmond Thistlewood</t>
        </is>
      </c>
      <c r="D347" s="3" t="inlineStr">
        <is>
          <t>NJ</t>
        </is>
      </c>
      <c r="E347" s="14" t="n">
        <v>340000</v>
      </c>
      <c r="F347" s="14" t="n">
        <v>4013.59</v>
      </c>
      <c r="G347" s="14" t="n">
        <v>501.7</v>
      </c>
      <c r="H347" s="14" t="n">
        <v>501.7</v>
      </c>
      <c r="I347" s="14">
        <f>SUM(K347:T347)</f>
        <v/>
      </c>
      <c r="J347" s="14">
        <f>F347-(G347+H347+I347)</f>
        <v/>
      </c>
      <c r="K347" s="14" t="n">
        <v>301.02</v>
      </c>
      <c r="L347" s="14" t="n">
        <v>301.02</v>
      </c>
      <c r="M347" s="14" t="n">
        <v>301.02</v>
      </c>
      <c r="N347" s="14" t="n">
        <v>301.02</v>
      </c>
      <c r="O347" s="14" t="n">
        <v>301.02</v>
      </c>
      <c r="P347" s="14" t="n">
        <v>301.02</v>
      </c>
      <c r="Q347" s="14" t="n">
        <v>301.02</v>
      </c>
      <c r="R347" s="14" t="n">
        <v>301.02</v>
      </c>
      <c r="S347" s="14" t="n">
        <v>301.02</v>
      </c>
      <c r="T347" s="14" t="n">
        <v>301.02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CANON-202512-002852</t>
        </is>
      </c>
      <c r="B348" s="15" t="inlineStr">
        <is>
          <t>2025-12-23</t>
        </is>
      </c>
      <c r="C348" s="15" t="inlineStr">
        <is>
          <t>Marisol Farkas</t>
        </is>
      </c>
      <c r="D348" s="15" t="inlineStr">
        <is>
          <t>RI</t>
        </is>
      </c>
      <c r="E348" s="16" t="n">
        <v>285000</v>
      </c>
      <c r="F348" s="16" t="n">
        <v>5064.99</v>
      </c>
      <c r="G348" s="16" t="n">
        <v>633.12</v>
      </c>
      <c r="H348" s="16" t="n">
        <v>633.12</v>
      </c>
      <c r="I348" s="16">
        <f>SUM(K348:T348)</f>
        <v/>
      </c>
      <c r="J348" s="16">
        <f>F348-(G348+H348+I348)</f>
        <v/>
      </c>
      <c r="K348" s="16" t="n">
        <v>379.87</v>
      </c>
      <c r="L348" s="16" t="n">
        <v>379.87</v>
      </c>
      <c r="M348" s="16" t="n">
        <v>379.87</v>
      </c>
      <c r="N348" s="16" t="n">
        <v>379.87</v>
      </c>
      <c r="O348" s="16" t="n">
        <v>379.87</v>
      </c>
      <c r="P348" s="16" t="n">
        <v>379.87</v>
      </c>
      <c r="Q348" s="16" t="n">
        <v>379.87</v>
      </c>
      <c r="R348" s="16" t="n">
        <v>379.87</v>
      </c>
      <c r="S348" s="16" t="n">
        <v>379.87</v>
      </c>
      <c r="T348" s="16" t="n">
        <v>379.87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CANON-202512-002856</t>
        </is>
      </c>
      <c r="B349" s="3" t="inlineStr">
        <is>
          <t>2025-12-03</t>
        </is>
      </c>
      <c r="C349" s="3" t="inlineStr">
        <is>
          <t>Emiliano Chattopadhyay</t>
        </is>
      </c>
      <c r="D349" s="3" t="inlineStr">
        <is>
          <t>AR</t>
        </is>
      </c>
      <c r="E349" s="14" t="n">
        <v>615000</v>
      </c>
      <c r="F349" s="14" t="n">
        <v>6312.1</v>
      </c>
      <c r="G349" s="14" t="n">
        <v>789.01</v>
      </c>
      <c r="H349" s="14" t="n">
        <v>789.01</v>
      </c>
      <c r="I349" s="14">
        <f>SUM(K349:T349)</f>
        <v/>
      </c>
      <c r="J349" s="14">
        <f>F349-(G349+H349+I349)</f>
        <v/>
      </c>
      <c r="K349" s="14" t="n">
        <v>473.41</v>
      </c>
      <c r="L349" s="14" t="n">
        <v>473.41</v>
      </c>
      <c r="M349" s="14" t="n">
        <v>473.41</v>
      </c>
      <c r="N349" s="14" t="n">
        <v>473.41</v>
      </c>
      <c r="O349" s="14" t="n">
        <v>473.41</v>
      </c>
      <c r="P349" s="14" t="n">
        <v>473.41</v>
      </c>
      <c r="Q349" s="14" t="n">
        <v>473.41</v>
      </c>
      <c r="R349" s="14" t="n">
        <v>473.41</v>
      </c>
      <c r="S349" s="14" t="n">
        <v>473.41</v>
      </c>
      <c r="T349" s="14" t="n">
        <v>473.41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CANON-202512-002858</t>
        </is>
      </c>
      <c r="B350" s="15" t="inlineStr">
        <is>
          <t>2025-12-27</t>
        </is>
      </c>
      <c r="C350" s="15" t="inlineStr">
        <is>
          <t>Noor Okonkwo</t>
        </is>
      </c>
      <c r="D350" s="15" t="inlineStr">
        <is>
          <t>CA</t>
        </is>
      </c>
      <c r="E350" s="16" t="n">
        <v>615000</v>
      </c>
      <c r="F350" s="16" t="n">
        <v>9334.120000000001</v>
      </c>
      <c r="G350" s="16" t="n">
        <v>1166.77</v>
      </c>
      <c r="H350" s="16" t="n">
        <v>1166.77</v>
      </c>
      <c r="I350" s="16">
        <f>SUM(K350:T350)</f>
        <v/>
      </c>
      <c r="J350" s="16">
        <f>F350-(G350+H350+I350)</f>
        <v/>
      </c>
      <c r="K350" s="16" t="n">
        <v>700.0599999999999</v>
      </c>
      <c r="L350" s="16" t="n">
        <v>700.0599999999999</v>
      </c>
      <c r="M350" s="16" t="n">
        <v>700.0599999999999</v>
      </c>
      <c r="N350" s="16" t="n">
        <v>700.0599999999999</v>
      </c>
      <c r="O350" s="16" t="n">
        <v>700.0599999999999</v>
      </c>
      <c r="P350" s="16" t="n">
        <v>700.0599999999999</v>
      </c>
      <c r="Q350" s="16" t="n">
        <v>700.0599999999999</v>
      </c>
      <c r="R350" s="16" t="n">
        <v>700.0599999999999</v>
      </c>
      <c r="S350" s="16" t="n">
        <v>700.0599999999999</v>
      </c>
      <c r="T350" s="16" t="n">
        <v>700.0599999999999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CANON-202512-002860</t>
        </is>
      </c>
      <c r="B351" s="3" t="inlineStr">
        <is>
          <t>2025-12-02</t>
        </is>
      </c>
      <c r="C351" s="3" t="inlineStr">
        <is>
          <t>Everett Underwood</t>
        </is>
      </c>
      <c r="D351" s="3" t="inlineStr">
        <is>
          <t>ID</t>
        </is>
      </c>
      <c r="E351" s="14" t="n">
        <v>765000</v>
      </c>
      <c r="F351" s="14" t="n">
        <v>12444.33</v>
      </c>
      <c r="G351" s="14" t="n">
        <v>1555.54</v>
      </c>
      <c r="H351" s="14" t="n">
        <v>1555.54</v>
      </c>
      <c r="I351" s="14">
        <f>SUM(K351:T351)</f>
        <v/>
      </c>
      <c r="J351" s="14">
        <f>F351-(G351+H351+I351)</f>
        <v/>
      </c>
      <c r="K351" s="14" t="n">
        <v>933.3200000000001</v>
      </c>
      <c r="L351" s="14" t="n">
        <v>933.3200000000001</v>
      </c>
      <c r="M351" s="14" t="n">
        <v>933.3200000000001</v>
      </c>
      <c r="N351" s="14" t="n">
        <v>933.3200000000001</v>
      </c>
      <c r="O351" s="14" t="n">
        <v>933.3200000000001</v>
      </c>
      <c r="P351" s="14" t="n">
        <v>933.3200000000001</v>
      </c>
      <c r="Q351" s="14" t="n">
        <v>933.3200000000001</v>
      </c>
      <c r="R351" s="14" t="n">
        <v>933.3200000000001</v>
      </c>
      <c r="S351" s="14" t="n">
        <v>933.3200000000001</v>
      </c>
      <c r="T351" s="14" t="n">
        <v>933.3200000000001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CANON-202512-002862</t>
        </is>
      </c>
      <c r="B352" s="15" t="inlineStr">
        <is>
          <t>2025-12-05</t>
        </is>
      </c>
      <c r="C352" s="15" t="inlineStr">
        <is>
          <t>Callum Blackwood</t>
        </is>
      </c>
      <c r="D352" s="15" t="inlineStr">
        <is>
          <t>CO</t>
        </is>
      </c>
      <c r="E352" s="16" t="n">
        <v>190000</v>
      </c>
      <c r="F352" s="16" t="n">
        <v>3325.71</v>
      </c>
      <c r="G352" s="16" t="n">
        <v>415.71</v>
      </c>
      <c r="H352" s="16" t="n">
        <v>415.71</v>
      </c>
      <c r="I352" s="16">
        <f>SUM(K352:T352)</f>
        <v/>
      </c>
      <c r="J352" s="16">
        <f>F352-(G352+H352+I352)</f>
        <v/>
      </c>
      <c r="K352" s="16" t="n">
        <v>249.43</v>
      </c>
      <c r="L352" s="16" t="n">
        <v>249.43</v>
      </c>
      <c r="M352" s="16" t="n">
        <v>249.43</v>
      </c>
      <c r="N352" s="16" t="n">
        <v>249.43</v>
      </c>
      <c r="O352" s="16" t="n">
        <v>249.43</v>
      </c>
      <c r="P352" s="16" t="n">
        <v>249.43</v>
      </c>
      <c r="Q352" s="16" t="n">
        <v>249.43</v>
      </c>
      <c r="R352" s="16" t="n">
        <v>249.43</v>
      </c>
      <c r="S352" s="16" t="n">
        <v>249.43</v>
      </c>
      <c r="T352" s="16" t="n">
        <v>249.43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CANON-202512-002863</t>
        </is>
      </c>
      <c r="B353" s="3" t="inlineStr">
        <is>
          <t>2025-12-16</t>
        </is>
      </c>
      <c r="C353" s="3" t="inlineStr">
        <is>
          <t>Thaddeus Merriweather</t>
        </is>
      </c>
      <c r="D353" s="3" t="inlineStr">
        <is>
          <t>TX</t>
        </is>
      </c>
      <c r="E353" s="14" t="n">
        <v>1545000</v>
      </c>
      <c r="F353" s="14" t="n">
        <v>24584.86</v>
      </c>
      <c r="G353" s="14" t="n">
        <v>3073.11</v>
      </c>
      <c r="H353" s="14" t="n">
        <v>3073.11</v>
      </c>
      <c r="I353" s="14">
        <f>SUM(K353:T353)</f>
        <v/>
      </c>
      <c r="J353" s="14">
        <f>F353-(G353+H353+I353)</f>
        <v/>
      </c>
      <c r="K353" s="14" t="n">
        <v>1843.86</v>
      </c>
      <c r="L353" s="14" t="n">
        <v>1843.86</v>
      </c>
      <c r="M353" s="14" t="n">
        <v>1843.86</v>
      </c>
      <c r="N353" s="14" t="n">
        <v>1843.86</v>
      </c>
      <c r="O353" s="14" t="n">
        <v>1843.86</v>
      </c>
      <c r="P353" s="14" t="n">
        <v>1843.86</v>
      </c>
      <c r="Q353" s="14" t="n">
        <v>1843.86</v>
      </c>
      <c r="R353" s="14" t="n">
        <v>1843.86</v>
      </c>
      <c r="S353" s="14" t="n">
        <v>1843.86</v>
      </c>
      <c r="T353" s="14" t="n">
        <v>1843.86</v>
      </c>
      <c r="U353" s="14" t="n">
        <v>350</v>
      </c>
      <c r="V353" s="14" t="n">
        <v>250</v>
      </c>
      <c r="W353" s="14">
        <f>U353+V353</f>
        <v/>
      </c>
    </row>
    <row r="354">
      <c r="A354" s="15" t="inlineStr">
        <is>
          <t>CANON-202512-002865</t>
        </is>
      </c>
      <c r="B354" s="15" t="inlineStr">
        <is>
          <t>2025-12-19</t>
        </is>
      </c>
      <c r="C354" s="15" t="inlineStr">
        <is>
          <t>Anouk Blackwood</t>
        </is>
      </c>
      <c r="D354" s="15" t="inlineStr">
        <is>
          <t>TX</t>
        </is>
      </c>
      <c r="E354" s="16" t="n">
        <v>1015000</v>
      </c>
      <c r="F354" s="16" t="n">
        <v>16151.22</v>
      </c>
      <c r="G354" s="16" t="n">
        <v>2018.9</v>
      </c>
      <c r="H354" s="16" t="n">
        <v>2018.9</v>
      </c>
      <c r="I354" s="16">
        <f>SUM(K354:T354)</f>
        <v/>
      </c>
      <c r="J354" s="16">
        <f>F354-(G354+H354+I354)</f>
        <v/>
      </c>
      <c r="K354" s="16" t="n">
        <v>1211.34</v>
      </c>
      <c r="L354" s="16" t="n">
        <v>1211.34</v>
      </c>
      <c r="M354" s="16" t="n">
        <v>1211.34</v>
      </c>
      <c r="N354" s="16" t="n">
        <v>1211.34</v>
      </c>
      <c r="O354" s="16" t="n">
        <v>1211.34</v>
      </c>
      <c r="P354" s="16" t="n">
        <v>1211.34</v>
      </c>
      <c r="Q354" s="16" t="n">
        <v>1211.34</v>
      </c>
      <c r="R354" s="16" t="n">
        <v>1211.34</v>
      </c>
      <c r="S354" s="16" t="n">
        <v>1211.34</v>
      </c>
      <c r="T354" s="16" t="n">
        <v>1211.34</v>
      </c>
      <c r="U354" s="16" t="n">
        <v>350</v>
      </c>
      <c r="V354" s="16" t="n">
        <v>250</v>
      </c>
      <c r="W354" s="16">
        <f>U354+V354</f>
        <v/>
      </c>
    </row>
    <row r="355">
      <c r="A355" s="3" t="inlineStr">
        <is>
          <t>CANON-202512-002866</t>
        </is>
      </c>
      <c r="B355" s="3" t="inlineStr">
        <is>
          <t>2025-12-01</t>
        </is>
      </c>
      <c r="C355" s="3" t="inlineStr">
        <is>
          <t>Desmond Rourke</t>
        </is>
      </c>
      <c r="D355" s="3" t="inlineStr">
        <is>
          <t>CO</t>
        </is>
      </c>
      <c r="E355" s="14" t="n">
        <v>275000</v>
      </c>
      <c r="F355" s="14" t="n">
        <v>3924.08</v>
      </c>
      <c r="G355" s="14" t="n">
        <v>490.51</v>
      </c>
      <c r="H355" s="14" t="n">
        <v>490.51</v>
      </c>
      <c r="I355" s="14">
        <f>SUM(K355:T355)</f>
        <v/>
      </c>
      <c r="J355" s="14">
        <f>F355-(G355+H355+I355)</f>
        <v/>
      </c>
      <c r="K355" s="14" t="n">
        <v>294.31</v>
      </c>
      <c r="L355" s="14" t="n">
        <v>294.31</v>
      </c>
      <c r="M355" s="14" t="n">
        <v>294.31</v>
      </c>
      <c r="N355" s="14" t="n">
        <v>294.31</v>
      </c>
      <c r="O355" s="14" t="n">
        <v>294.31</v>
      </c>
      <c r="P355" s="14" t="n">
        <v>294.31</v>
      </c>
      <c r="Q355" s="14" t="n">
        <v>294.31</v>
      </c>
      <c r="R355" s="14" t="n">
        <v>294.31</v>
      </c>
      <c r="S355" s="14" t="n">
        <v>294.31</v>
      </c>
      <c r="T355" s="14" t="n">
        <v>294.31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CANON-202512-002867</t>
        </is>
      </c>
      <c r="B356" s="15" t="inlineStr">
        <is>
          <t>2025-12-10</t>
        </is>
      </c>
      <c r="C356" s="15" t="inlineStr">
        <is>
          <t>Noor Fairweather</t>
        </is>
      </c>
      <c r="D356" s="15" t="inlineStr">
        <is>
          <t>WV</t>
        </is>
      </c>
      <c r="E356" s="16" t="n">
        <v>1015000</v>
      </c>
      <c r="F356" s="16" t="n">
        <v>12841.98</v>
      </c>
      <c r="G356" s="16" t="n">
        <v>1605.25</v>
      </c>
      <c r="H356" s="16" t="n">
        <v>1605.25</v>
      </c>
      <c r="I356" s="16">
        <f>SUM(K356:T356)</f>
        <v/>
      </c>
      <c r="J356" s="16">
        <f>F356-(G356+H356+I356)</f>
        <v/>
      </c>
      <c r="K356" s="16" t="n">
        <v>963.15</v>
      </c>
      <c r="L356" s="16" t="n">
        <v>963.15</v>
      </c>
      <c r="M356" s="16" t="n">
        <v>963.15</v>
      </c>
      <c r="N356" s="16" t="n">
        <v>963.15</v>
      </c>
      <c r="O356" s="16" t="n">
        <v>963.15</v>
      </c>
      <c r="P356" s="16" t="n">
        <v>963.15</v>
      </c>
      <c r="Q356" s="16" t="n">
        <v>963.15</v>
      </c>
      <c r="R356" s="16" t="n">
        <v>963.15</v>
      </c>
      <c r="S356" s="16" t="n">
        <v>963.15</v>
      </c>
      <c r="T356" s="16" t="n">
        <v>963.15</v>
      </c>
      <c r="U356" s="16" t="n">
        <v>350</v>
      </c>
      <c r="V356" s="16" t="n">
        <v>250</v>
      </c>
      <c r="W356" s="16">
        <f>U356+V356</f>
        <v/>
      </c>
    </row>
    <row r="357">
      <c r="A357" s="3" t="inlineStr">
        <is>
          <t>CANON-202512-002868</t>
        </is>
      </c>
      <c r="B357" s="3" t="inlineStr">
        <is>
          <t>2025-12-15</t>
        </is>
      </c>
      <c r="C357" s="3" t="inlineStr">
        <is>
          <t>Priya Vasquez</t>
        </is>
      </c>
      <c r="D357" s="3" t="inlineStr">
        <is>
          <t>NH</t>
        </is>
      </c>
      <c r="E357" s="14" t="n">
        <v>1625000</v>
      </c>
      <c r="F357" s="14" t="n">
        <v>9938.41</v>
      </c>
      <c r="G357" s="14" t="n">
        <v>1242.3</v>
      </c>
      <c r="H357" s="14" t="n">
        <v>1242.3</v>
      </c>
      <c r="I357" s="14">
        <f>SUM(K357:T357)</f>
        <v/>
      </c>
      <c r="J357" s="14">
        <f>F357-(G357+H357+I357)</f>
        <v/>
      </c>
      <c r="K357" s="14" t="n">
        <v>745.38</v>
      </c>
      <c r="L357" s="14" t="n">
        <v>745.38</v>
      </c>
      <c r="M357" s="14" t="n">
        <v>745.38</v>
      </c>
      <c r="N357" s="14" t="n">
        <v>745.38</v>
      </c>
      <c r="O357" s="14" t="n">
        <v>745.38</v>
      </c>
      <c r="P357" s="14" t="n">
        <v>745.38</v>
      </c>
      <c r="Q357" s="14" t="n">
        <v>745.38</v>
      </c>
      <c r="R357" s="14" t="n">
        <v>745.38</v>
      </c>
      <c r="S357" s="14" t="n">
        <v>745.38</v>
      </c>
      <c r="T357" s="14" t="n">
        <v>745.38</v>
      </c>
      <c r="U357" s="14" t="n">
        <v>350</v>
      </c>
      <c r="V357" s="14" t="n">
        <v>250</v>
      </c>
      <c r="W357" s="14">
        <f>U357+V357</f>
        <v/>
      </c>
    </row>
    <row r="358">
      <c r="A358" s="15" t="inlineStr">
        <is>
          <t>CANON-202512-002871</t>
        </is>
      </c>
      <c r="B358" s="15" t="inlineStr">
        <is>
          <t>2025-12-24</t>
        </is>
      </c>
      <c r="C358" s="15" t="inlineStr">
        <is>
          <t>Mireille Nakashima</t>
        </is>
      </c>
      <c r="D358" s="15" t="inlineStr">
        <is>
          <t>DE</t>
        </is>
      </c>
      <c r="E358" s="16" t="n">
        <v>1465000</v>
      </c>
      <c r="F358" s="16" t="n">
        <v>17420.55</v>
      </c>
      <c r="G358" s="16" t="n">
        <v>2177.57</v>
      </c>
      <c r="H358" s="16" t="n">
        <v>2177.57</v>
      </c>
      <c r="I358" s="16">
        <f>SUM(K358:T358)</f>
        <v/>
      </c>
      <c r="J358" s="16">
        <f>F358-(G358+H358+I358)</f>
        <v/>
      </c>
      <c r="K358" s="16" t="n">
        <v>1306.54</v>
      </c>
      <c r="L358" s="16" t="n">
        <v>1306.54</v>
      </c>
      <c r="M358" s="16" t="n">
        <v>1306.54</v>
      </c>
      <c r="N358" s="16" t="n">
        <v>1306.54</v>
      </c>
      <c r="O358" s="16" t="n">
        <v>1306.54</v>
      </c>
      <c r="P358" s="16" t="n">
        <v>1306.54</v>
      </c>
      <c r="Q358" s="16" t="n">
        <v>1306.54</v>
      </c>
      <c r="R358" s="16" t="n">
        <v>1306.54</v>
      </c>
      <c r="S358" s="16" t="n">
        <v>1306.54</v>
      </c>
      <c r="T358" s="16" t="n">
        <v>1306.54</v>
      </c>
      <c r="U358" s="16" t="n">
        <v>350</v>
      </c>
      <c r="V358" s="16" t="n">
        <v>250</v>
      </c>
      <c r="W358" s="16">
        <f>U358+V358</f>
        <v/>
      </c>
    </row>
    <row r="359">
      <c r="A359" s="3" t="inlineStr">
        <is>
          <t>CANON-202512-002872</t>
        </is>
      </c>
      <c r="B359" s="3" t="inlineStr">
        <is>
          <t>2025-12-04</t>
        </is>
      </c>
      <c r="C359" s="3" t="inlineStr">
        <is>
          <t>Fitzgerald Harrington</t>
        </is>
      </c>
      <c r="D359" s="3" t="inlineStr">
        <is>
          <t>WV</t>
        </is>
      </c>
      <c r="E359" s="14" t="n">
        <v>800000</v>
      </c>
      <c r="F359" s="14" t="n">
        <v>7913.37</v>
      </c>
      <c r="G359" s="14" t="n">
        <v>989.17</v>
      </c>
      <c r="H359" s="14" t="n">
        <v>989.17</v>
      </c>
      <c r="I359" s="14">
        <f>SUM(K359:T359)</f>
        <v/>
      </c>
      <c r="J359" s="14">
        <f>F359-(G359+H359+I359)</f>
        <v/>
      </c>
      <c r="K359" s="14" t="n">
        <v>593.5</v>
      </c>
      <c r="L359" s="14" t="n">
        <v>593.5</v>
      </c>
      <c r="M359" s="14" t="n">
        <v>593.5</v>
      </c>
      <c r="N359" s="14" t="n">
        <v>593.5</v>
      </c>
      <c r="O359" s="14" t="n">
        <v>593.5</v>
      </c>
      <c r="P359" s="14" t="n">
        <v>593.5</v>
      </c>
      <c r="Q359" s="14" t="n">
        <v>593.5</v>
      </c>
      <c r="R359" s="14" t="n">
        <v>593.5</v>
      </c>
      <c r="S359" s="14" t="n">
        <v>593.5</v>
      </c>
      <c r="T359" s="14" t="n">
        <v>593.5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CANON-202512-002873</t>
        </is>
      </c>
      <c r="B360" s="15" t="inlineStr">
        <is>
          <t>2025-12-13</t>
        </is>
      </c>
      <c r="C360" s="15" t="inlineStr">
        <is>
          <t>Delphine Thistlewood</t>
        </is>
      </c>
      <c r="D360" s="15" t="inlineStr">
        <is>
          <t>TN</t>
        </is>
      </c>
      <c r="E360" s="16" t="n">
        <v>425000</v>
      </c>
      <c r="F360" s="16" t="n">
        <v>6339.41</v>
      </c>
      <c r="G360" s="16" t="n">
        <v>792.4299999999999</v>
      </c>
      <c r="H360" s="16" t="n">
        <v>792.4299999999999</v>
      </c>
      <c r="I360" s="16">
        <f>SUM(K360:T360)</f>
        <v/>
      </c>
      <c r="J360" s="16">
        <f>F360-(G360+H360+I360)</f>
        <v/>
      </c>
      <c r="K360" s="16" t="n">
        <v>475.46</v>
      </c>
      <c r="L360" s="16" t="n">
        <v>475.46</v>
      </c>
      <c r="M360" s="16" t="n">
        <v>475.46</v>
      </c>
      <c r="N360" s="16" t="n">
        <v>475.46</v>
      </c>
      <c r="O360" s="16" t="n">
        <v>475.46</v>
      </c>
      <c r="P360" s="16" t="n">
        <v>475.46</v>
      </c>
      <c r="Q360" s="16" t="n">
        <v>475.46</v>
      </c>
      <c r="R360" s="16" t="n">
        <v>475.46</v>
      </c>
      <c r="S360" s="16" t="n">
        <v>475.46</v>
      </c>
      <c r="T360" s="16" t="n">
        <v>475.46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CANON-202512-002877</t>
        </is>
      </c>
      <c r="B361" s="3" t="inlineStr">
        <is>
          <t>2025-12-23</t>
        </is>
      </c>
      <c r="C361" s="3" t="inlineStr">
        <is>
          <t>Wilhelmina Okonkwo</t>
        </is>
      </c>
      <c r="D361" s="3" t="inlineStr">
        <is>
          <t>AK</t>
        </is>
      </c>
      <c r="E361" s="14" t="n">
        <v>1395000</v>
      </c>
      <c r="F361" s="14" t="n">
        <v>18704.21</v>
      </c>
      <c r="G361" s="14" t="n">
        <v>2338.03</v>
      </c>
      <c r="H361" s="14" t="n">
        <v>2338.03</v>
      </c>
      <c r="I361" s="14">
        <f>SUM(K361:T361)</f>
        <v/>
      </c>
      <c r="J361" s="14">
        <f>F361-(G361+H361+I361)</f>
        <v/>
      </c>
      <c r="K361" s="14" t="n">
        <v>1402.82</v>
      </c>
      <c r="L361" s="14" t="n">
        <v>1402.82</v>
      </c>
      <c r="M361" s="14" t="n">
        <v>1402.82</v>
      </c>
      <c r="N361" s="14" t="n">
        <v>1402.82</v>
      </c>
      <c r="O361" s="14" t="n">
        <v>1402.82</v>
      </c>
      <c r="P361" s="14" t="n">
        <v>1402.82</v>
      </c>
      <c r="Q361" s="14" t="n">
        <v>1402.82</v>
      </c>
      <c r="R361" s="14" t="n">
        <v>1402.82</v>
      </c>
      <c r="S361" s="14" t="n">
        <v>1402.82</v>
      </c>
      <c r="T361" s="14" t="n">
        <v>1402.82</v>
      </c>
      <c r="U361" s="14" t="n">
        <v>350</v>
      </c>
      <c r="V361" s="14" t="n">
        <v>250</v>
      </c>
      <c r="W361" s="14">
        <f>U361+V361</f>
        <v/>
      </c>
    </row>
    <row r="362">
      <c r="A362" s="15" t="inlineStr">
        <is>
          <t>CANON-202512-002879</t>
        </is>
      </c>
      <c r="B362" s="15" t="inlineStr">
        <is>
          <t>2025-12-18</t>
        </is>
      </c>
      <c r="C362" s="15" t="inlineStr">
        <is>
          <t>Fitzgerald Vandermeer</t>
        </is>
      </c>
      <c r="D362" s="15" t="inlineStr">
        <is>
          <t>NY</t>
        </is>
      </c>
      <c r="E362" s="16" t="n">
        <v>620000</v>
      </c>
      <c r="F362" s="16" t="n">
        <v>8922.09</v>
      </c>
      <c r="G362" s="16" t="n">
        <v>1115.26</v>
      </c>
      <c r="H362" s="16" t="n">
        <v>1115.26</v>
      </c>
      <c r="I362" s="16">
        <f>SUM(K362:T362)</f>
        <v/>
      </c>
      <c r="J362" s="16">
        <f>F362-(G362+H362+I362)</f>
        <v/>
      </c>
      <c r="K362" s="16" t="n">
        <v>669.16</v>
      </c>
      <c r="L362" s="16" t="n">
        <v>669.16</v>
      </c>
      <c r="M362" s="16" t="n">
        <v>669.16</v>
      </c>
      <c r="N362" s="16" t="n">
        <v>669.16</v>
      </c>
      <c r="O362" s="16" t="n">
        <v>669.16</v>
      </c>
      <c r="P362" s="16" t="n">
        <v>669.16</v>
      </c>
      <c r="Q362" s="16" t="n">
        <v>669.16</v>
      </c>
      <c r="R362" s="16" t="n">
        <v>669.16</v>
      </c>
      <c r="S362" s="16" t="n">
        <v>669.16</v>
      </c>
      <c r="T362" s="16" t="n">
        <v>669.16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CANON-202512-002880</t>
        </is>
      </c>
      <c r="B363" s="3" t="inlineStr">
        <is>
          <t>2025-12-14</t>
        </is>
      </c>
      <c r="C363" s="3" t="inlineStr">
        <is>
          <t>Saoirse Ashcombe</t>
        </is>
      </c>
      <c r="D363" s="3" t="inlineStr">
        <is>
          <t>MI</t>
        </is>
      </c>
      <c r="E363" s="14" t="n">
        <v>1950000</v>
      </c>
      <c r="F363" s="14" t="n">
        <v>41822.27</v>
      </c>
      <c r="G363" s="14" t="n">
        <v>5227.78</v>
      </c>
      <c r="H363" s="14" t="n">
        <v>5227.78</v>
      </c>
      <c r="I363" s="14">
        <f>SUM(K363:T363)</f>
        <v/>
      </c>
      <c r="J363" s="14">
        <f>F363-(G363+H363+I363)</f>
        <v/>
      </c>
      <c r="K363" s="14" t="n">
        <v>3136.67</v>
      </c>
      <c r="L363" s="14" t="n">
        <v>3136.67</v>
      </c>
      <c r="M363" s="14" t="n">
        <v>3136.67</v>
      </c>
      <c r="N363" s="14" t="n">
        <v>3136.67</v>
      </c>
      <c r="O363" s="14" t="n">
        <v>3136.67</v>
      </c>
      <c r="P363" s="14" t="n">
        <v>3136.67</v>
      </c>
      <c r="Q363" s="14" t="n">
        <v>3136.67</v>
      </c>
      <c r="R363" s="14" t="n">
        <v>3136.67</v>
      </c>
      <c r="S363" s="14" t="n">
        <v>3136.67</v>
      </c>
      <c r="T363" s="14" t="n">
        <v>3136.67</v>
      </c>
      <c r="U363" s="14" t="n">
        <v>350</v>
      </c>
      <c r="V363" s="14" t="n">
        <v>250</v>
      </c>
      <c r="W363" s="14">
        <f>U363+V363</f>
        <v/>
      </c>
    </row>
    <row r="364">
      <c r="A364" s="15" t="inlineStr">
        <is>
          <t>CANON-202512-002881</t>
        </is>
      </c>
      <c r="B364" s="15" t="inlineStr">
        <is>
          <t>2025-12-01</t>
        </is>
      </c>
      <c r="C364" s="15" t="inlineStr">
        <is>
          <t>Fitzgerald Merriweather</t>
        </is>
      </c>
      <c r="D364" s="15" t="inlineStr">
        <is>
          <t>IL</t>
        </is>
      </c>
      <c r="E364" s="16" t="n">
        <v>1540000</v>
      </c>
      <c r="F364" s="16" t="n">
        <v>28980.17</v>
      </c>
      <c r="G364" s="16" t="n">
        <v>3622.52</v>
      </c>
      <c r="H364" s="16" t="n">
        <v>3622.52</v>
      </c>
      <c r="I364" s="16">
        <f>SUM(K364:T364)</f>
        <v/>
      </c>
      <c r="J364" s="16">
        <f>F364-(G364+H364+I364)</f>
        <v/>
      </c>
      <c r="K364" s="16" t="n">
        <v>2173.51</v>
      </c>
      <c r="L364" s="16" t="n">
        <v>2173.51</v>
      </c>
      <c r="M364" s="16" t="n">
        <v>2173.51</v>
      </c>
      <c r="N364" s="16" t="n">
        <v>2173.51</v>
      </c>
      <c r="O364" s="16" t="n">
        <v>2173.51</v>
      </c>
      <c r="P364" s="16" t="n">
        <v>2173.51</v>
      </c>
      <c r="Q364" s="16" t="n">
        <v>2173.51</v>
      </c>
      <c r="R364" s="16" t="n">
        <v>2173.51</v>
      </c>
      <c r="S364" s="16" t="n">
        <v>2173.51</v>
      </c>
      <c r="T364" s="16" t="n">
        <v>2173.51</v>
      </c>
      <c r="U364" s="16" t="n">
        <v>350</v>
      </c>
      <c r="V364" s="16" t="n">
        <v>250</v>
      </c>
      <c r="W364" s="16">
        <f>U364+V364</f>
        <v/>
      </c>
    </row>
    <row r="365">
      <c r="A365" s="3" t="inlineStr">
        <is>
          <t>CANON-202512-002882</t>
        </is>
      </c>
      <c r="B365" s="3" t="inlineStr">
        <is>
          <t>2025-12-29</t>
        </is>
      </c>
      <c r="C365" s="3" t="inlineStr">
        <is>
          <t>Anouk Harrington</t>
        </is>
      </c>
      <c r="D365" s="3" t="inlineStr">
        <is>
          <t>TX</t>
        </is>
      </c>
      <c r="E365" s="14" t="n">
        <v>1660000</v>
      </c>
      <c r="F365" s="14" t="n">
        <v>18160.18</v>
      </c>
      <c r="G365" s="14" t="n">
        <v>2270.02</v>
      </c>
      <c r="H365" s="14" t="n">
        <v>2270.02</v>
      </c>
      <c r="I365" s="14">
        <f>SUM(K365:T365)</f>
        <v/>
      </c>
      <c r="J365" s="14">
        <f>F365-(G365+H365+I365)</f>
        <v/>
      </c>
      <c r="K365" s="14" t="n">
        <v>1362.01</v>
      </c>
      <c r="L365" s="14" t="n">
        <v>1362.01</v>
      </c>
      <c r="M365" s="14" t="n">
        <v>1362.01</v>
      </c>
      <c r="N365" s="14" t="n">
        <v>1362.01</v>
      </c>
      <c r="O365" s="14" t="n">
        <v>1362.01</v>
      </c>
      <c r="P365" s="14" t="n">
        <v>1362.01</v>
      </c>
      <c r="Q365" s="14" t="n">
        <v>1362.01</v>
      </c>
      <c r="R365" s="14" t="n">
        <v>1362.01</v>
      </c>
      <c r="S365" s="14" t="n">
        <v>1362.01</v>
      </c>
      <c r="T365" s="14" t="n">
        <v>1362.01</v>
      </c>
      <c r="U365" s="14" t="n">
        <v>350</v>
      </c>
      <c r="V365" s="14" t="n">
        <v>250</v>
      </c>
      <c r="W365" s="14">
        <f>U365+V365</f>
        <v/>
      </c>
    </row>
    <row r="366">
      <c r="A366" s="15" t="inlineStr">
        <is>
          <t>CANON-202512-002883</t>
        </is>
      </c>
      <c r="B366" s="15" t="inlineStr">
        <is>
          <t>2025-12-26</t>
        </is>
      </c>
      <c r="C366" s="15" t="inlineStr">
        <is>
          <t>Sunniva Bellandi</t>
        </is>
      </c>
      <c r="D366" s="15" t="inlineStr">
        <is>
          <t>MA</t>
        </is>
      </c>
      <c r="E366" s="16" t="n">
        <v>1195000</v>
      </c>
      <c r="F366" s="16" t="n">
        <v>14209.93</v>
      </c>
      <c r="G366" s="16" t="n">
        <v>1776.24</v>
      </c>
      <c r="H366" s="16" t="n">
        <v>1776.24</v>
      </c>
      <c r="I366" s="16">
        <f>SUM(K366:T366)</f>
        <v/>
      </c>
      <c r="J366" s="16">
        <f>F366-(G366+H366+I366)</f>
        <v/>
      </c>
      <c r="K366" s="16" t="n">
        <v>1065.74</v>
      </c>
      <c r="L366" s="16" t="n">
        <v>1065.74</v>
      </c>
      <c r="M366" s="16" t="n">
        <v>1065.74</v>
      </c>
      <c r="N366" s="16" t="n">
        <v>1065.74</v>
      </c>
      <c r="O366" s="16" t="n">
        <v>1065.74</v>
      </c>
      <c r="P366" s="16" t="n">
        <v>1065.74</v>
      </c>
      <c r="Q366" s="16" t="n">
        <v>1065.74</v>
      </c>
      <c r="R366" s="16" t="n">
        <v>1065.74</v>
      </c>
      <c r="S366" s="16" t="n">
        <v>1065.74</v>
      </c>
      <c r="T366" s="16" t="n">
        <v>1065.74</v>
      </c>
      <c r="U366" s="16" t="n">
        <v>350</v>
      </c>
      <c r="V366" s="16" t="n">
        <v>250</v>
      </c>
      <c r="W366" s="16">
        <f>U366+V366</f>
        <v/>
      </c>
    </row>
    <row r="367">
      <c r="A367" s="3" t="inlineStr">
        <is>
          <t>CANON-202512-002884</t>
        </is>
      </c>
      <c r="B367" s="3" t="inlineStr">
        <is>
          <t>2025-12-15</t>
        </is>
      </c>
      <c r="C367" s="3" t="inlineStr">
        <is>
          <t>Wilhelmina Vandermeer</t>
        </is>
      </c>
      <c r="D367" s="3" t="inlineStr">
        <is>
          <t>MD</t>
        </is>
      </c>
      <c r="E367" s="14" t="n">
        <v>310000</v>
      </c>
      <c r="F367" s="14" t="n">
        <v>3820.3</v>
      </c>
      <c r="G367" s="14" t="n">
        <v>477.54</v>
      </c>
      <c r="H367" s="14" t="n">
        <v>477.54</v>
      </c>
      <c r="I367" s="14">
        <f>SUM(K367:T367)</f>
        <v/>
      </c>
      <c r="J367" s="14">
        <f>F367-(G367+H367+I367)</f>
        <v/>
      </c>
      <c r="K367" s="14" t="n">
        <v>286.52</v>
      </c>
      <c r="L367" s="14" t="n">
        <v>286.52</v>
      </c>
      <c r="M367" s="14" t="n">
        <v>286.52</v>
      </c>
      <c r="N367" s="14" t="n">
        <v>286.52</v>
      </c>
      <c r="O367" s="14" t="n">
        <v>286.52</v>
      </c>
      <c r="P367" s="14" t="n">
        <v>286.52</v>
      </c>
      <c r="Q367" s="14" t="n">
        <v>286.52</v>
      </c>
      <c r="R367" s="14" t="n">
        <v>286.52</v>
      </c>
      <c r="S367" s="14" t="n">
        <v>286.52</v>
      </c>
      <c r="T367" s="14" t="n">
        <v>286.52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CANON-202512-002885</t>
        </is>
      </c>
      <c r="B368" s="15" t="inlineStr">
        <is>
          <t>2025-12-15</t>
        </is>
      </c>
      <c r="C368" s="15" t="inlineStr">
        <is>
          <t>Leopold Delacroix</t>
        </is>
      </c>
      <c r="D368" s="15" t="inlineStr">
        <is>
          <t>MA</t>
        </is>
      </c>
      <c r="E368" s="16" t="n">
        <v>335000</v>
      </c>
      <c r="F368" s="16" t="n">
        <v>5432.1</v>
      </c>
      <c r="G368" s="16" t="n">
        <v>679.01</v>
      </c>
      <c r="H368" s="16" t="n">
        <v>679.01</v>
      </c>
      <c r="I368" s="16">
        <f>SUM(K368:T368)</f>
        <v/>
      </c>
      <c r="J368" s="16">
        <f>F368-(G368+H368+I368)</f>
        <v/>
      </c>
      <c r="K368" s="16" t="n">
        <v>407.41</v>
      </c>
      <c r="L368" s="16" t="n">
        <v>407.41</v>
      </c>
      <c r="M368" s="16" t="n">
        <v>407.41</v>
      </c>
      <c r="N368" s="16" t="n">
        <v>407.41</v>
      </c>
      <c r="O368" s="16" t="n">
        <v>407.41</v>
      </c>
      <c r="P368" s="16" t="n">
        <v>407.41</v>
      </c>
      <c r="Q368" s="16" t="n">
        <v>407.41</v>
      </c>
      <c r="R368" s="16" t="n">
        <v>407.41</v>
      </c>
      <c r="S368" s="16" t="n">
        <v>407.41</v>
      </c>
      <c r="T368" s="16" t="n">
        <v>407.41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CANON-202512-002886</t>
        </is>
      </c>
      <c r="B369" s="3" t="inlineStr">
        <is>
          <t>2025-12-07</t>
        </is>
      </c>
      <c r="C369" s="3" t="inlineStr">
        <is>
          <t>Fenwick Ashcombe</t>
        </is>
      </c>
      <c r="D369" s="3" t="inlineStr">
        <is>
          <t>IN</t>
        </is>
      </c>
      <c r="E369" s="14" t="n">
        <v>360000</v>
      </c>
      <c r="F369" s="14" t="n">
        <v>5744.08</v>
      </c>
      <c r="G369" s="14" t="n">
        <v>718.01</v>
      </c>
      <c r="H369" s="14" t="n">
        <v>718.01</v>
      </c>
      <c r="I369" s="14">
        <f>SUM(K369:T369)</f>
        <v/>
      </c>
      <c r="J369" s="14">
        <f>F369-(G369+H369+I369)</f>
        <v/>
      </c>
      <c r="K369" s="14" t="n">
        <v>430.81</v>
      </c>
      <c r="L369" s="14" t="n">
        <v>430.81</v>
      </c>
      <c r="M369" s="14" t="n">
        <v>430.81</v>
      </c>
      <c r="N369" s="14" t="n">
        <v>430.81</v>
      </c>
      <c r="O369" s="14" t="n">
        <v>430.81</v>
      </c>
      <c r="P369" s="14" t="n">
        <v>430.81</v>
      </c>
      <c r="Q369" s="14" t="n">
        <v>430.81</v>
      </c>
      <c r="R369" s="14" t="n">
        <v>430.81</v>
      </c>
      <c r="S369" s="14" t="n">
        <v>430.81</v>
      </c>
      <c r="T369" s="14" t="n">
        <v>430.81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CANON-202512-002887</t>
        </is>
      </c>
      <c r="B370" s="15" t="inlineStr">
        <is>
          <t>2025-12-01</t>
        </is>
      </c>
      <c r="C370" s="15" t="inlineStr">
        <is>
          <t>Lorenzo Delacroix</t>
        </is>
      </c>
      <c r="D370" s="15" t="inlineStr">
        <is>
          <t>LA</t>
        </is>
      </c>
      <c r="E370" s="16" t="n">
        <v>1055000</v>
      </c>
      <c r="F370" s="16" t="n">
        <v>15014.06</v>
      </c>
      <c r="G370" s="16" t="n">
        <v>1876.76</v>
      </c>
      <c r="H370" s="16" t="n">
        <v>1876.76</v>
      </c>
      <c r="I370" s="16">
        <f>SUM(K370:T370)</f>
        <v/>
      </c>
      <c r="J370" s="16">
        <f>F370-(G370+H370+I370)</f>
        <v/>
      </c>
      <c r="K370" s="16" t="n">
        <v>1126.05</v>
      </c>
      <c r="L370" s="16" t="n">
        <v>1126.05</v>
      </c>
      <c r="M370" s="16" t="n">
        <v>1126.05</v>
      </c>
      <c r="N370" s="16" t="n">
        <v>1126.05</v>
      </c>
      <c r="O370" s="16" t="n">
        <v>1126.05</v>
      </c>
      <c r="P370" s="16" t="n">
        <v>1126.05</v>
      </c>
      <c r="Q370" s="16" t="n">
        <v>1126.05</v>
      </c>
      <c r="R370" s="16" t="n">
        <v>1126.05</v>
      </c>
      <c r="S370" s="16" t="n">
        <v>1126.05</v>
      </c>
      <c r="T370" s="16" t="n">
        <v>1126.05</v>
      </c>
      <c r="U370" s="16" t="n">
        <v>350</v>
      </c>
      <c r="V370" s="16" t="n">
        <v>250</v>
      </c>
      <c r="W370" s="16">
        <f>U370+V370</f>
        <v/>
      </c>
    </row>
    <row r="371">
      <c r="A371" s="3" t="inlineStr">
        <is>
          <t>CANON-202512-002889</t>
        </is>
      </c>
      <c r="B371" s="3" t="inlineStr">
        <is>
          <t>2025-12-20</t>
        </is>
      </c>
      <c r="C371" s="3" t="inlineStr">
        <is>
          <t>Cassius Bellandi</t>
        </is>
      </c>
      <c r="D371" s="3" t="inlineStr">
        <is>
          <t>FL</t>
        </is>
      </c>
      <c r="E371" s="14" t="n">
        <v>565000</v>
      </c>
      <c r="F371" s="14" t="n">
        <v>9019.9</v>
      </c>
      <c r="G371" s="14" t="n">
        <v>1127.49</v>
      </c>
      <c r="H371" s="14" t="n">
        <v>1127.49</v>
      </c>
      <c r="I371" s="14">
        <f>SUM(K371:T371)</f>
        <v/>
      </c>
      <c r="J371" s="14">
        <f>F371-(G371+H371+I371)</f>
        <v/>
      </c>
      <c r="K371" s="14" t="n">
        <v>676.49</v>
      </c>
      <c r="L371" s="14" t="n">
        <v>676.49</v>
      </c>
      <c r="M371" s="14" t="n">
        <v>676.49</v>
      </c>
      <c r="N371" s="14" t="n">
        <v>676.49</v>
      </c>
      <c r="O371" s="14" t="n">
        <v>676.49</v>
      </c>
      <c r="P371" s="14" t="n">
        <v>676.49</v>
      </c>
      <c r="Q371" s="14" t="n">
        <v>676.49</v>
      </c>
      <c r="R371" s="14" t="n">
        <v>676.49</v>
      </c>
      <c r="S371" s="14" t="n">
        <v>676.49</v>
      </c>
      <c r="T371" s="14" t="n">
        <v>676.49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CANON-202512-002891</t>
        </is>
      </c>
      <c r="B372" s="15" t="inlineStr">
        <is>
          <t>2025-12-16</t>
        </is>
      </c>
      <c r="C372" s="15" t="inlineStr">
        <is>
          <t>Ramona Delacroix</t>
        </is>
      </c>
      <c r="D372" s="15" t="inlineStr">
        <is>
          <t>TX</t>
        </is>
      </c>
      <c r="E372" s="16" t="n">
        <v>645000</v>
      </c>
      <c r="F372" s="16" t="n">
        <v>8339.16</v>
      </c>
      <c r="G372" s="16" t="n">
        <v>1042.39</v>
      </c>
      <c r="H372" s="16" t="n">
        <v>1042.39</v>
      </c>
      <c r="I372" s="16">
        <f>SUM(K372:T372)</f>
        <v/>
      </c>
      <c r="J372" s="16">
        <f>F372-(G372+H372+I372)</f>
        <v/>
      </c>
      <c r="K372" s="16" t="n">
        <v>625.4400000000001</v>
      </c>
      <c r="L372" s="16" t="n">
        <v>625.4400000000001</v>
      </c>
      <c r="M372" s="16" t="n">
        <v>625.4400000000001</v>
      </c>
      <c r="N372" s="16" t="n">
        <v>625.4400000000001</v>
      </c>
      <c r="O372" s="16" t="n">
        <v>625.4400000000001</v>
      </c>
      <c r="P372" s="16" t="n">
        <v>625.4400000000001</v>
      </c>
      <c r="Q372" s="16" t="n">
        <v>625.4400000000001</v>
      </c>
      <c r="R372" s="16" t="n">
        <v>625.4400000000001</v>
      </c>
      <c r="S372" s="16" t="n">
        <v>625.4400000000001</v>
      </c>
      <c r="T372" s="16" t="n">
        <v>625.4400000000001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CANON-202512-002892</t>
        </is>
      </c>
      <c r="B373" s="3" t="inlineStr">
        <is>
          <t>2025-12-11</t>
        </is>
      </c>
      <c r="C373" s="3" t="inlineStr">
        <is>
          <t>Desmond Farkas</t>
        </is>
      </c>
      <c r="D373" s="3" t="inlineStr">
        <is>
          <t>TX</t>
        </is>
      </c>
      <c r="E373" s="14" t="n">
        <v>235000</v>
      </c>
      <c r="F373" s="14" t="n">
        <v>4300.36</v>
      </c>
      <c r="G373" s="14" t="n">
        <v>537.54</v>
      </c>
      <c r="H373" s="14" t="n">
        <v>537.54</v>
      </c>
      <c r="I373" s="14">
        <f>SUM(K373:T373)</f>
        <v/>
      </c>
      <c r="J373" s="14">
        <f>F373-(G373+H373+I373)</f>
        <v/>
      </c>
      <c r="K373" s="14" t="n">
        <v>322.53</v>
      </c>
      <c r="L373" s="14" t="n">
        <v>322.53</v>
      </c>
      <c r="M373" s="14" t="n">
        <v>322.53</v>
      </c>
      <c r="N373" s="14" t="n">
        <v>322.53</v>
      </c>
      <c r="O373" s="14" t="n">
        <v>322.53</v>
      </c>
      <c r="P373" s="14" t="n">
        <v>322.53</v>
      </c>
      <c r="Q373" s="14" t="n">
        <v>322.53</v>
      </c>
      <c r="R373" s="14" t="n">
        <v>322.53</v>
      </c>
      <c r="S373" s="14" t="n">
        <v>322.53</v>
      </c>
      <c r="T373" s="14" t="n">
        <v>322.53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CANON-202512-002893</t>
        </is>
      </c>
      <c r="B374" s="15" t="inlineStr">
        <is>
          <t>2025-12-05</t>
        </is>
      </c>
      <c r="C374" s="15" t="inlineStr">
        <is>
          <t>Thaddeus Farkas</t>
        </is>
      </c>
      <c r="D374" s="15" t="inlineStr">
        <is>
          <t>GA</t>
        </is>
      </c>
      <c r="E374" s="16" t="n">
        <v>1135000</v>
      </c>
      <c r="F374" s="16" t="n">
        <v>17589.57</v>
      </c>
      <c r="G374" s="16" t="n">
        <v>2198.7</v>
      </c>
      <c r="H374" s="16" t="n">
        <v>2198.7</v>
      </c>
      <c r="I374" s="16">
        <f>SUM(K374:T374)</f>
        <v/>
      </c>
      <c r="J374" s="16">
        <f>F374-(G374+H374+I374)</f>
        <v/>
      </c>
      <c r="K374" s="16" t="n">
        <v>1319.22</v>
      </c>
      <c r="L374" s="16" t="n">
        <v>1319.22</v>
      </c>
      <c r="M374" s="16" t="n">
        <v>1319.22</v>
      </c>
      <c r="N374" s="16" t="n">
        <v>1319.22</v>
      </c>
      <c r="O374" s="16" t="n">
        <v>1319.22</v>
      </c>
      <c r="P374" s="16" t="n">
        <v>1319.22</v>
      </c>
      <c r="Q374" s="16" t="n">
        <v>1319.22</v>
      </c>
      <c r="R374" s="16" t="n">
        <v>1319.22</v>
      </c>
      <c r="S374" s="16" t="n">
        <v>1319.22</v>
      </c>
      <c r="T374" s="16" t="n">
        <v>1319.22</v>
      </c>
      <c r="U374" s="16" t="n">
        <v>350</v>
      </c>
      <c r="V374" s="16" t="n">
        <v>250</v>
      </c>
      <c r="W374" s="16">
        <f>U374+V374</f>
        <v/>
      </c>
    </row>
    <row r="375">
      <c r="A375" s="3" t="inlineStr">
        <is>
          <t>CANON-202512-002894</t>
        </is>
      </c>
      <c r="B375" s="3" t="inlineStr">
        <is>
          <t>2025-12-13</t>
        </is>
      </c>
      <c r="C375" s="3" t="inlineStr">
        <is>
          <t>Cassius Blackwood</t>
        </is>
      </c>
      <c r="D375" s="3" t="inlineStr">
        <is>
          <t>MD</t>
        </is>
      </c>
      <c r="E375" s="14" t="n">
        <v>685000</v>
      </c>
      <c r="F375" s="14" t="n">
        <v>4839.87</v>
      </c>
      <c r="G375" s="14" t="n">
        <v>604.98</v>
      </c>
      <c r="H375" s="14" t="n">
        <v>604.98</v>
      </c>
      <c r="I375" s="14">
        <f>SUM(K375:T375)</f>
        <v/>
      </c>
      <c r="J375" s="14">
        <f>F375-(G375+H375+I375)</f>
        <v/>
      </c>
      <c r="K375" s="14" t="n">
        <v>362.99</v>
      </c>
      <c r="L375" s="14" t="n">
        <v>362.99</v>
      </c>
      <c r="M375" s="14" t="n">
        <v>362.99</v>
      </c>
      <c r="N375" s="14" t="n">
        <v>362.99</v>
      </c>
      <c r="O375" s="14" t="n">
        <v>362.99</v>
      </c>
      <c r="P375" s="14" t="n">
        <v>362.99</v>
      </c>
      <c r="Q375" s="14" t="n">
        <v>362.99</v>
      </c>
      <c r="R375" s="14" t="n">
        <v>362.99</v>
      </c>
      <c r="S375" s="14" t="n">
        <v>362.99</v>
      </c>
      <c r="T375" s="14" t="n">
        <v>362.99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CANON-202512-002897</t>
        </is>
      </c>
      <c r="B376" s="15" t="inlineStr">
        <is>
          <t>2025-12-07</t>
        </is>
      </c>
      <c r="C376" s="15" t="inlineStr">
        <is>
          <t>Cassius Pennington</t>
        </is>
      </c>
      <c r="D376" s="15" t="inlineStr">
        <is>
          <t>NY</t>
        </is>
      </c>
      <c r="E376" s="16" t="n">
        <v>235000</v>
      </c>
      <c r="F376" s="16" t="n">
        <v>4786.48</v>
      </c>
      <c r="G376" s="16" t="n">
        <v>598.3099999999999</v>
      </c>
      <c r="H376" s="16" t="n">
        <v>598.3099999999999</v>
      </c>
      <c r="I376" s="16">
        <f>SUM(K376:T376)</f>
        <v/>
      </c>
      <c r="J376" s="16">
        <f>F376-(G376+H376+I376)</f>
        <v/>
      </c>
      <c r="K376" s="16" t="n">
        <v>358.99</v>
      </c>
      <c r="L376" s="16" t="n">
        <v>358.99</v>
      </c>
      <c r="M376" s="16" t="n">
        <v>358.99</v>
      </c>
      <c r="N376" s="16" t="n">
        <v>358.99</v>
      </c>
      <c r="O376" s="16" t="n">
        <v>358.99</v>
      </c>
      <c r="P376" s="16" t="n">
        <v>358.99</v>
      </c>
      <c r="Q376" s="16" t="n">
        <v>358.99</v>
      </c>
      <c r="R376" s="16" t="n">
        <v>358.99</v>
      </c>
      <c r="S376" s="16" t="n">
        <v>358.99</v>
      </c>
      <c r="T376" s="16" t="n">
        <v>358.99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CANON-202512-002898</t>
        </is>
      </c>
      <c r="B377" s="3" t="inlineStr">
        <is>
          <t>2025-12-26</t>
        </is>
      </c>
      <c r="C377" s="3" t="inlineStr">
        <is>
          <t>Emiliano Okonkwo</t>
        </is>
      </c>
      <c r="D377" s="3" t="inlineStr">
        <is>
          <t>KY</t>
        </is>
      </c>
      <c r="E377" s="14" t="n">
        <v>805000</v>
      </c>
      <c r="F377" s="14" t="n">
        <v>17724.57</v>
      </c>
      <c r="G377" s="14" t="n">
        <v>2215.57</v>
      </c>
      <c r="H377" s="14" t="n">
        <v>2215.57</v>
      </c>
      <c r="I377" s="14">
        <f>SUM(K377:T377)</f>
        <v/>
      </c>
      <c r="J377" s="14">
        <f>F377-(G377+H377+I377)</f>
        <v/>
      </c>
      <c r="K377" s="14" t="n">
        <v>1329.34</v>
      </c>
      <c r="L377" s="14" t="n">
        <v>1329.34</v>
      </c>
      <c r="M377" s="14" t="n">
        <v>1329.34</v>
      </c>
      <c r="N377" s="14" t="n">
        <v>1329.34</v>
      </c>
      <c r="O377" s="14" t="n">
        <v>1329.34</v>
      </c>
      <c r="P377" s="14" t="n">
        <v>1329.34</v>
      </c>
      <c r="Q377" s="14" t="n">
        <v>1329.34</v>
      </c>
      <c r="R377" s="14" t="n">
        <v>1329.34</v>
      </c>
      <c r="S377" s="14" t="n">
        <v>1329.34</v>
      </c>
      <c r="T377" s="14" t="n">
        <v>1329.34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CANON-202512-002899</t>
        </is>
      </c>
      <c r="B378" s="15" t="inlineStr">
        <is>
          <t>2025-12-10</t>
        </is>
      </c>
      <c r="C378" s="15" t="inlineStr">
        <is>
          <t>Noor Merriweather</t>
        </is>
      </c>
      <c r="D378" s="15" t="inlineStr">
        <is>
          <t>OK</t>
        </is>
      </c>
      <c r="E378" s="16" t="n">
        <v>1750000</v>
      </c>
      <c r="F378" s="16" t="n">
        <v>14492.5</v>
      </c>
      <c r="G378" s="16" t="n">
        <v>1811.56</v>
      </c>
      <c r="H378" s="16" t="n">
        <v>1811.56</v>
      </c>
      <c r="I378" s="16">
        <f>SUM(K378:T378)</f>
        <v/>
      </c>
      <c r="J378" s="16">
        <f>F378-(G378+H378+I378)</f>
        <v/>
      </c>
      <c r="K378" s="16" t="n">
        <v>1086.94</v>
      </c>
      <c r="L378" s="16" t="n">
        <v>1086.94</v>
      </c>
      <c r="M378" s="16" t="n">
        <v>1086.94</v>
      </c>
      <c r="N378" s="16" t="n">
        <v>1086.94</v>
      </c>
      <c r="O378" s="16" t="n">
        <v>1086.94</v>
      </c>
      <c r="P378" s="16" t="n">
        <v>1086.94</v>
      </c>
      <c r="Q378" s="16" t="n">
        <v>1086.94</v>
      </c>
      <c r="R378" s="16" t="n">
        <v>1086.94</v>
      </c>
      <c r="S378" s="16" t="n">
        <v>1086.94</v>
      </c>
      <c r="T378" s="16" t="n">
        <v>1086.94</v>
      </c>
      <c r="U378" s="16" t="n">
        <v>350</v>
      </c>
      <c r="V378" s="16" t="n">
        <v>250</v>
      </c>
      <c r="W378" s="16">
        <f>U378+V378</f>
        <v/>
      </c>
    </row>
    <row r="379">
      <c r="A379" s="3" t="inlineStr">
        <is>
          <t>CANON-202512-002900</t>
        </is>
      </c>
      <c r="B379" s="3" t="inlineStr">
        <is>
          <t>2025-12-23</t>
        </is>
      </c>
      <c r="C379" s="3" t="inlineStr">
        <is>
          <t>Ottilie Harrington</t>
        </is>
      </c>
      <c r="D379" s="3" t="inlineStr">
        <is>
          <t>AL</t>
        </is>
      </c>
      <c r="E379" s="14" t="n">
        <v>335000</v>
      </c>
      <c r="F379" s="14" t="n">
        <v>3532.16</v>
      </c>
      <c r="G379" s="14" t="n">
        <v>441.52</v>
      </c>
      <c r="H379" s="14" t="n">
        <v>441.52</v>
      </c>
      <c r="I379" s="14">
        <f>SUM(K379:T379)</f>
        <v/>
      </c>
      <c r="J379" s="14">
        <f>F379-(G379+H379+I379)</f>
        <v/>
      </c>
      <c r="K379" s="14" t="n">
        <v>264.91</v>
      </c>
      <c r="L379" s="14" t="n">
        <v>264.91</v>
      </c>
      <c r="M379" s="14" t="n">
        <v>264.91</v>
      </c>
      <c r="N379" s="14" t="n">
        <v>264.91</v>
      </c>
      <c r="O379" s="14" t="n">
        <v>264.91</v>
      </c>
      <c r="P379" s="14" t="n">
        <v>264.91</v>
      </c>
      <c r="Q379" s="14" t="n">
        <v>264.91</v>
      </c>
      <c r="R379" s="14" t="n">
        <v>264.91</v>
      </c>
      <c r="S379" s="14" t="n">
        <v>264.91</v>
      </c>
      <c r="T379" s="14" t="n">
        <v>264.91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CANON-202512-002901</t>
        </is>
      </c>
      <c r="B380" s="15" t="inlineStr">
        <is>
          <t>2025-12-07</t>
        </is>
      </c>
      <c r="C380" s="15" t="inlineStr">
        <is>
          <t>Fitzgerald Ashcombe</t>
        </is>
      </c>
      <c r="D380" s="15" t="inlineStr">
        <is>
          <t>MS</t>
        </is>
      </c>
      <c r="E380" s="16" t="n">
        <v>1820000</v>
      </c>
      <c r="F380" s="16" t="n">
        <v>29968.13</v>
      </c>
      <c r="G380" s="16" t="n">
        <v>3746.02</v>
      </c>
      <c r="H380" s="16" t="n">
        <v>3746.02</v>
      </c>
      <c r="I380" s="16">
        <f>SUM(K380:T380)</f>
        <v/>
      </c>
      <c r="J380" s="16">
        <f>F380-(G380+H380+I380)</f>
        <v/>
      </c>
      <c r="K380" s="16" t="n">
        <v>2247.61</v>
      </c>
      <c r="L380" s="16" t="n">
        <v>2247.61</v>
      </c>
      <c r="M380" s="16" t="n">
        <v>2247.61</v>
      </c>
      <c r="N380" s="16" t="n">
        <v>2247.61</v>
      </c>
      <c r="O380" s="16" t="n">
        <v>2247.61</v>
      </c>
      <c r="P380" s="16" t="n">
        <v>2247.61</v>
      </c>
      <c r="Q380" s="16" t="n">
        <v>2247.61</v>
      </c>
      <c r="R380" s="16" t="n">
        <v>2247.61</v>
      </c>
      <c r="S380" s="16" t="n">
        <v>2247.61</v>
      </c>
      <c r="T380" s="16" t="n">
        <v>2247.61</v>
      </c>
      <c r="U380" s="16" t="n">
        <v>350</v>
      </c>
      <c r="V380" s="16" t="n">
        <v>250</v>
      </c>
      <c r="W380" s="16">
        <f>U380+V380</f>
        <v/>
      </c>
    </row>
    <row r="381">
      <c r="A381" s="3" t="inlineStr">
        <is>
          <t>CANON-202512-002904</t>
        </is>
      </c>
      <c r="B381" s="3" t="inlineStr">
        <is>
          <t>2025-12-14</t>
        </is>
      </c>
      <c r="C381" s="3" t="inlineStr">
        <is>
          <t>Desmond Fairweather</t>
        </is>
      </c>
      <c r="D381" s="3" t="inlineStr">
        <is>
          <t>VT</t>
        </is>
      </c>
      <c r="E381" s="14" t="n">
        <v>170000</v>
      </c>
      <c r="F381" s="14" t="n">
        <v>3300.26</v>
      </c>
      <c r="G381" s="14" t="n">
        <v>412.53</v>
      </c>
      <c r="H381" s="14" t="n">
        <v>412.53</v>
      </c>
      <c r="I381" s="14">
        <f>SUM(K381:T381)</f>
        <v/>
      </c>
      <c r="J381" s="14">
        <f>F381-(G381+H381+I381)</f>
        <v/>
      </c>
      <c r="K381" s="14" t="n">
        <v>247.52</v>
      </c>
      <c r="L381" s="14" t="n">
        <v>247.52</v>
      </c>
      <c r="M381" s="14" t="n">
        <v>247.52</v>
      </c>
      <c r="N381" s="14" t="n">
        <v>247.52</v>
      </c>
      <c r="O381" s="14" t="n">
        <v>247.52</v>
      </c>
      <c r="P381" s="14" t="n">
        <v>247.52</v>
      </c>
      <c r="Q381" s="14" t="n">
        <v>247.52</v>
      </c>
      <c r="R381" s="14" t="n">
        <v>247.52</v>
      </c>
      <c r="S381" s="14" t="n">
        <v>247.52</v>
      </c>
      <c r="T381" s="14" t="n">
        <v>247.52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CANON-202512-002906</t>
        </is>
      </c>
      <c r="B382" s="15" t="inlineStr">
        <is>
          <t>2025-12-02</t>
        </is>
      </c>
      <c r="C382" s="15" t="inlineStr">
        <is>
          <t>Aurelio Castellanos</t>
        </is>
      </c>
      <c r="D382" s="15" t="inlineStr">
        <is>
          <t>VT</t>
        </is>
      </c>
      <c r="E382" s="16" t="n">
        <v>1950000</v>
      </c>
      <c r="F382" s="16" t="n">
        <v>32918.17</v>
      </c>
      <c r="G382" s="16" t="n">
        <v>4114.77</v>
      </c>
      <c r="H382" s="16" t="n">
        <v>4114.77</v>
      </c>
      <c r="I382" s="16">
        <f>SUM(K382:T382)</f>
        <v/>
      </c>
      <c r="J382" s="16">
        <f>F382-(G382+H382+I382)</f>
        <v/>
      </c>
      <c r="K382" s="16" t="n">
        <v>2468.86</v>
      </c>
      <c r="L382" s="16" t="n">
        <v>2468.86</v>
      </c>
      <c r="M382" s="16" t="n">
        <v>2468.86</v>
      </c>
      <c r="N382" s="16" t="n">
        <v>2468.86</v>
      </c>
      <c r="O382" s="16" t="n">
        <v>2468.86</v>
      </c>
      <c r="P382" s="16" t="n">
        <v>2468.86</v>
      </c>
      <c r="Q382" s="16" t="n">
        <v>2468.86</v>
      </c>
      <c r="R382" s="16" t="n">
        <v>2468.86</v>
      </c>
      <c r="S382" s="16" t="n">
        <v>2468.86</v>
      </c>
      <c r="T382" s="16" t="n">
        <v>2468.86</v>
      </c>
      <c r="U382" s="16" t="n">
        <v>350</v>
      </c>
      <c r="V382" s="16" t="n">
        <v>250</v>
      </c>
      <c r="W382" s="16">
        <f>U382+V382</f>
        <v/>
      </c>
    </row>
    <row r="383">
      <c r="A383" s="3" t="inlineStr">
        <is>
          <t>CANON-202512-002907</t>
        </is>
      </c>
      <c r="B383" s="3" t="inlineStr">
        <is>
          <t>2025-12-22</t>
        </is>
      </c>
      <c r="C383" s="3" t="inlineStr">
        <is>
          <t>Wilhelmina Vandermeer</t>
        </is>
      </c>
      <c r="D383" s="3" t="inlineStr">
        <is>
          <t>NY</t>
        </is>
      </c>
      <c r="E383" s="14" t="n">
        <v>380000</v>
      </c>
      <c r="F383" s="14" t="n">
        <v>6309.66</v>
      </c>
      <c r="G383" s="14" t="n">
        <v>788.71</v>
      </c>
      <c r="H383" s="14" t="n">
        <v>788.71</v>
      </c>
      <c r="I383" s="14">
        <f>SUM(K383:T383)</f>
        <v/>
      </c>
      <c r="J383" s="14">
        <f>F383-(G383+H383+I383)</f>
        <v/>
      </c>
      <c r="K383" s="14" t="n">
        <v>473.22</v>
      </c>
      <c r="L383" s="14" t="n">
        <v>473.22</v>
      </c>
      <c r="M383" s="14" t="n">
        <v>473.22</v>
      </c>
      <c r="N383" s="14" t="n">
        <v>473.22</v>
      </c>
      <c r="O383" s="14" t="n">
        <v>473.22</v>
      </c>
      <c r="P383" s="14" t="n">
        <v>473.22</v>
      </c>
      <c r="Q383" s="14" t="n">
        <v>473.22</v>
      </c>
      <c r="R383" s="14" t="n">
        <v>473.22</v>
      </c>
      <c r="S383" s="14" t="n">
        <v>473.22</v>
      </c>
      <c r="T383" s="14" t="n">
        <v>473.22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CANON-202512-002909</t>
        </is>
      </c>
      <c r="B384" s="15" t="inlineStr">
        <is>
          <t>2025-12-10</t>
        </is>
      </c>
      <c r="C384" s="15" t="inlineStr">
        <is>
          <t>Ramona Montoya</t>
        </is>
      </c>
      <c r="D384" s="15" t="inlineStr">
        <is>
          <t>CA</t>
        </is>
      </c>
      <c r="E384" s="16" t="n">
        <v>1435000</v>
      </c>
      <c r="F384" s="16" t="n">
        <v>18428.92</v>
      </c>
      <c r="G384" s="16" t="n">
        <v>2303.61</v>
      </c>
      <c r="H384" s="16" t="n">
        <v>2303.61</v>
      </c>
      <c r="I384" s="16">
        <f>SUM(K384:T384)</f>
        <v/>
      </c>
      <c r="J384" s="16">
        <f>F384-(G384+H384+I384)</f>
        <v/>
      </c>
      <c r="K384" s="16" t="n">
        <v>1382.17</v>
      </c>
      <c r="L384" s="16" t="n">
        <v>1382.17</v>
      </c>
      <c r="M384" s="16" t="n">
        <v>1382.17</v>
      </c>
      <c r="N384" s="16" t="n">
        <v>1382.17</v>
      </c>
      <c r="O384" s="16" t="n">
        <v>1382.17</v>
      </c>
      <c r="P384" s="16" t="n">
        <v>1382.17</v>
      </c>
      <c r="Q384" s="16" t="n">
        <v>1382.17</v>
      </c>
      <c r="R384" s="16" t="n">
        <v>1382.17</v>
      </c>
      <c r="S384" s="16" t="n">
        <v>1382.17</v>
      </c>
      <c r="T384" s="16" t="n">
        <v>1382.17</v>
      </c>
      <c r="U384" s="16" t="n">
        <v>350</v>
      </c>
      <c r="V384" s="16" t="n">
        <v>250</v>
      </c>
      <c r="W384" s="16">
        <f>U384+V384</f>
        <v/>
      </c>
    </row>
    <row r="385">
      <c r="A385" s="3" t="inlineStr">
        <is>
          <t>CANON-202512-002911</t>
        </is>
      </c>
      <c r="B385" s="3" t="inlineStr">
        <is>
          <t>2025-12-04</t>
        </is>
      </c>
      <c r="C385" s="3" t="inlineStr">
        <is>
          <t>Ingrid Whitlock</t>
        </is>
      </c>
      <c r="D385" s="3" t="inlineStr">
        <is>
          <t>NE</t>
        </is>
      </c>
      <c r="E385" s="14" t="n">
        <v>1335000</v>
      </c>
      <c r="F385" s="14" t="n">
        <v>11406.69</v>
      </c>
      <c r="G385" s="14" t="n">
        <v>1425.84</v>
      </c>
      <c r="H385" s="14" t="n">
        <v>1425.84</v>
      </c>
      <c r="I385" s="14">
        <f>SUM(K385:T385)</f>
        <v/>
      </c>
      <c r="J385" s="14">
        <f>F385-(G385+H385+I385)</f>
        <v/>
      </c>
      <c r="K385" s="14" t="n">
        <v>855.5</v>
      </c>
      <c r="L385" s="14" t="n">
        <v>855.5</v>
      </c>
      <c r="M385" s="14" t="n">
        <v>855.5</v>
      </c>
      <c r="N385" s="14" t="n">
        <v>855.5</v>
      </c>
      <c r="O385" s="14" t="n">
        <v>855.5</v>
      </c>
      <c r="P385" s="14" t="n">
        <v>855.5</v>
      </c>
      <c r="Q385" s="14" t="n">
        <v>855.5</v>
      </c>
      <c r="R385" s="14" t="n">
        <v>855.5</v>
      </c>
      <c r="S385" s="14" t="n">
        <v>855.5</v>
      </c>
      <c r="T385" s="14" t="n">
        <v>855.5</v>
      </c>
      <c r="U385" s="14" t="n">
        <v>350</v>
      </c>
      <c r="V385" s="14" t="n">
        <v>250</v>
      </c>
      <c r="W385" s="14">
        <f>U385+V385</f>
        <v/>
      </c>
    </row>
    <row r="386">
      <c r="A386" s="15" t="inlineStr">
        <is>
          <t>CANON-202512-002912</t>
        </is>
      </c>
      <c r="B386" s="15" t="inlineStr">
        <is>
          <t>2025-12-11</t>
        </is>
      </c>
      <c r="C386" s="15" t="inlineStr">
        <is>
          <t>Fenwick Okonkwo</t>
        </is>
      </c>
      <c r="D386" s="15" t="inlineStr">
        <is>
          <t>FL</t>
        </is>
      </c>
      <c r="E386" s="16" t="n">
        <v>390000</v>
      </c>
      <c r="F386" s="16" t="n">
        <v>11015.45</v>
      </c>
      <c r="G386" s="16" t="n">
        <v>1376.93</v>
      </c>
      <c r="H386" s="16" t="n">
        <v>1376.93</v>
      </c>
      <c r="I386" s="16">
        <f>SUM(K386:T386)</f>
        <v/>
      </c>
      <c r="J386" s="16">
        <f>F386-(G386+H386+I386)</f>
        <v/>
      </c>
      <c r="K386" s="16" t="n">
        <v>826.16</v>
      </c>
      <c r="L386" s="16" t="n">
        <v>826.16</v>
      </c>
      <c r="M386" s="16" t="n">
        <v>826.16</v>
      </c>
      <c r="N386" s="16" t="n">
        <v>826.16</v>
      </c>
      <c r="O386" s="16" t="n">
        <v>826.16</v>
      </c>
      <c r="P386" s="16" t="n">
        <v>826.16</v>
      </c>
      <c r="Q386" s="16" t="n">
        <v>826.16</v>
      </c>
      <c r="R386" s="16" t="n">
        <v>826.16</v>
      </c>
      <c r="S386" s="16" t="n">
        <v>826.16</v>
      </c>
      <c r="T386" s="16" t="n">
        <v>826.16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CANON-202512-002913</t>
        </is>
      </c>
      <c r="B387" s="3" t="inlineStr">
        <is>
          <t>2025-12-30</t>
        </is>
      </c>
      <c r="C387" s="3" t="inlineStr">
        <is>
          <t>Ramona Harrington</t>
        </is>
      </c>
      <c r="D387" s="3" t="inlineStr">
        <is>
          <t>VA</t>
        </is>
      </c>
      <c r="E387" s="14" t="n">
        <v>1560000</v>
      </c>
      <c r="F387" s="14" t="n">
        <v>23528.41</v>
      </c>
      <c r="G387" s="14" t="n">
        <v>2941.05</v>
      </c>
      <c r="H387" s="14" t="n">
        <v>2941.05</v>
      </c>
      <c r="I387" s="14">
        <f>SUM(K387:T387)</f>
        <v/>
      </c>
      <c r="J387" s="14">
        <f>F387-(G387+H387+I387)</f>
        <v/>
      </c>
      <c r="K387" s="14" t="n">
        <v>1764.63</v>
      </c>
      <c r="L387" s="14" t="n">
        <v>1764.63</v>
      </c>
      <c r="M387" s="14" t="n">
        <v>1764.63</v>
      </c>
      <c r="N387" s="14" t="n">
        <v>1764.63</v>
      </c>
      <c r="O387" s="14" t="n">
        <v>1764.63</v>
      </c>
      <c r="P387" s="14" t="n">
        <v>1764.63</v>
      </c>
      <c r="Q387" s="14" t="n">
        <v>1764.63</v>
      </c>
      <c r="R387" s="14" t="n">
        <v>1764.63</v>
      </c>
      <c r="S387" s="14" t="n">
        <v>1764.63</v>
      </c>
      <c r="T387" s="14" t="n">
        <v>1764.63</v>
      </c>
      <c r="U387" s="14" t="n">
        <v>350</v>
      </c>
      <c r="V387" s="14" t="n">
        <v>250</v>
      </c>
      <c r="W387" s="14">
        <f>U387+V387</f>
        <v/>
      </c>
    </row>
    <row r="388">
      <c r="A388" s="15" t="inlineStr">
        <is>
          <t>CANON-202512-002914</t>
        </is>
      </c>
      <c r="B388" s="15" t="inlineStr">
        <is>
          <t>2025-12-25</t>
        </is>
      </c>
      <c r="C388" s="15" t="inlineStr">
        <is>
          <t>Mireille Delacroix</t>
        </is>
      </c>
      <c r="D388" s="15" t="inlineStr">
        <is>
          <t>AL</t>
        </is>
      </c>
      <c r="E388" s="16" t="n">
        <v>1580000</v>
      </c>
      <c r="F388" s="16" t="n">
        <v>13188.51</v>
      </c>
      <c r="G388" s="16" t="n">
        <v>1648.56</v>
      </c>
      <c r="H388" s="16" t="n">
        <v>1648.56</v>
      </c>
      <c r="I388" s="16">
        <f>SUM(K388:T388)</f>
        <v/>
      </c>
      <c r="J388" s="16">
        <f>F388-(G388+H388+I388)</f>
        <v/>
      </c>
      <c r="K388" s="16" t="n">
        <v>989.14</v>
      </c>
      <c r="L388" s="16" t="n">
        <v>989.14</v>
      </c>
      <c r="M388" s="16" t="n">
        <v>989.14</v>
      </c>
      <c r="N388" s="16" t="n">
        <v>989.14</v>
      </c>
      <c r="O388" s="16" t="n">
        <v>989.14</v>
      </c>
      <c r="P388" s="16" t="n">
        <v>989.14</v>
      </c>
      <c r="Q388" s="16" t="n">
        <v>989.14</v>
      </c>
      <c r="R388" s="16" t="n">
        <v>989.14</v>
      </c>
      <c r="S388" s="16" t="n">
        <v>989.14</v>
      </c>
      <c r="T388" s="16" t="n">
        <v>989.14</v>
      </c>
      <c r="U388" s="16" t="n">
        <v>350</v>
      </c>
      <c r="V388" s="16" t="n">
        <v>250</v>
      </c>
      <c r="W388" s="16">
        <f>U388+V388</f>
        <v/>
      </c>
    </row>
    <row r="389">
      <c r="A389" s="3" t="inlineStr">
        <is>
          <t>CANON-202512-002915</t>
        </is>
      </c>
      <c r="B389" s="3" t="inlineStr">
        <is>
          <t>2025-12-27</t>
        </is>
      </c>
      <c r="C389" s="3" t="inlineStr">
        <is>
          <t>Aurelio Montoya</t>
        </is>
      </c>
      <c r="D389" s="3" t="inlineStr">
        <is>
          <t>ID</t>
        </is>
      </c>
      <c r="E389" s="14" t="n">
        <v>160000</v>
      </c>
      <c r="F389" s="14" t="n">
        <v>2520.54</v>
      </c>
      <c r="G389" s="14" t="n">
        <v>315.07</v>
      </c>
      <c r="H389" s="14" t="n">
        <v>315.07</v>
      </c>
      <c r="I389" s="14">
        <f>SUM(K389:T389)</f>
        <v/>
      </c>
      <c r="J389" s="14">
        <f>F389-(G389+H389+I389)</f>
        <v/>
      </c>
      <c r="K389" s="14" t="n">
        <v>189.04</v>
      </c>
      <c r="L389" s="14" t="n">
        <v>189.04</v>
      </c>
      <c r="M389" s="14" t="n">
        <v>189.04</v>
      </c>
      <c r="N389" s="14" t="n">
        <v>189.04</v>
      </c>
      <c r="O389" s="14" t="n">
        <v>189.04</v>
      </c>
      <c r="P389" s="14" t="n">
        <v>189.04</v>
      </c>
      <c r="Q389" s="14" t="n">
        <v>189.04</v>
      </c>
      <c r="R389" s="14" t="n">
        <v>189.04</v>
      </c>
      <c r="S389" s="14" t="n">
        <v>189.04</v>
      </c>
      <c r="T389" s="14" t="n">
        <v>189.04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CANON-202512-002916</t>
        </is>
      </c>
      <c r="B390" s="15" t="inlineStr">
        <is>
          <t>2025-12-12</t>
        </is>
      </c>
      <c r="C390" s="15" t="inlineStr">
        <is>
          <t>Noor Blackwood</t>
        </is>
      </c>
      <c r="D390" s="15" t="inlineStr">
        <is>
          <t>WY</t>
        </is>
      </c>
      <c r="E390" s="16" t="n">
        <v>1950000</v>
      </c>
      <c r="F390" s="16" t="n">
        <v>28870.86</v>
      </c>
      <c r="G390" s="16" t="n">
        <v>3608.86</v>
      </c>
      <c r="H390" s="16" t="n">
        <v>3608.86</v>
      </c>
      <c r="I390" s="16">
        <f>SUM(K390:T390)</f>
        <v/>
      </c>
      <c r="J390" s="16">
        <f>F390-(G390+H390+I390)</f>
        <v/>
      </c>
      <c r="K390" s="16" t="n">
        <v>2165.31</v>
      </c>
      <c r="L390" s="16" t="n">
        <v>2165.31</v>
      </c>
      <c r="M390" s="16" t="n">
        <v>2165.31</v>
      </c>
      <c r="N390" s="16" t="n">
        <v>2165.31</v>
      </c>
      <c r="O390" s="16" t="n">
        <v>2165.31</v>
      </c>
      <c r="P390" s="16" t="n">
        <v>2165.31</v>
      </c>
      <c r="Q390" s="16" t="n">
        <v>2165.31</v>
      </c>
      <c r="R390" s="16" t="n">
        <v>2165.31</v>
      </c>
      <c r="S390" s="16" t="n">
        <v>2165.31</v>
      </c>
      <c r="T390" s="16" t="n">
        <v>2165.31</v>
      </c>
      <c r="U390" s="16" t="n">
        <v>350</v>
      </c>
      <c r="V390" s="16" t="n">
        <v>250</v>
      </c>
      <c r="W390" s="16">
        <f>U390+V390</f>
        <v/>
      </c>
    </row>
    <row r="391">
      <c r="A391" s="3" t="inlineStr">
        <is>
          <t>CANON-202512-002917</t>
        </is>
      </c>
      <c r="B391" s="3" t="inlineStr">
        <is>
          <t>2025-12-06</t>
        </is>
      </c>
      <c r="C391" s="3" t="inlineStr">
        <is>
          <t>Sunniva Vasquez</t>
        </is>
      </c>
      <c r="D391" s="3" t="inlineStr">
        <is>
          <t>NH</t>
        </is>
      </c>
      <c r="E391" s="14" t="n">
        <v>890000</v>
      </c>
      <c r="F391" s="14" t="n">
        <v>15208.91</v>
      </c>
      <c r="G391" s="14" t="n">
        <v>1901.11</v>
      </c>
      <c r="H391" s="14" t="n">
        <v>1901.11</v>
      </c>
      <c r="I391" s="14">
        <f>SUM(K391:T391)</f>
        <v/>
      </c>
      <c r="J391" s="14">
        <f>F391-(G391+H391+I391)</f>
        <v/>
      </c>
      <c r="K391" s="14" t="n">
        <v>1140.67</v>
      </c>
      <c r="L391" s="14" t="n">
        <v>1140.67</v>
      </c>
      <c r="M391" s="14" t="n">
        <v>1140.67</v>
      </c>
      <c r="N391" s="14" t="n">
        <v>1140.67</v>
      </c>
      <c r="O391" s="14" t="n">
        <v>1140.67</v>
      </c>
      <c r="P391" s="14" t="n">
        <v>1140.67</v>
      </c>
      <c r="Q391" s="14" t="n">
        <v>1140.67</v>
      </c>
      <c r="R391" s="14" t="n">
        <v>1140.67</v>
      </c>
      <c r="S391" s="14" t="n">
        <v>1140.67</v>
      </c>
      <c r="T391" s="14" t="n">
        <v>1140.67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CANON-202512-002918</t>
        </is>
      </c>
      <c r="B392" s="15" t="inlineStr">
        <is>
          <t>2025-12-06</t>
        </is>
      </c>
      <c r="C392" s="15" t="inlineStr">
        <is>
          <t>Beatrix Harrington</t>
        </is>
      </c>
      <c r="D392" s="15" t="inlineStr">
        <is>
          <t>OR</t>
        </is>
      </c>
      <c r="E392" s="16" t="n">
        <v>280000</v>
      </c>
      <c r="F392" s="16" t="n">
        <v>4104.4</v>
      </c>
      <c r="G392" s="16" t="n">
        <v>513.05</v>
      </c>
      <c r="H392" s="16" t="n">
        <v>513.05</v>
      </c>
      <c r="I392" s="16">
        <f>SUM(K392:T392)</f>
        <v/>
      </c>
      <c r="J392" s="16">
        <f>F392-(G392+H392+I392)</f>
        <v/>
      </c>
      <c r="K392" s="16" t="n">
        <v>307.83</v>
      </c>
      <c r="L392" s="16" t="n">
        <v>307.83</v>
      </c>
      <c r="M392" s="16" t="n">
        <v>307.83</v>
      </c>
      <c r="N392" s="16" t="n">
        <v>307.83</v>
      </c>
      <c r="O392" s="16" t="n">
        <v>307.83</v>
      </c>
      <c r="P392" s="16" t="n">
        <v>307.83</v>
      </c>
      <c r="Q392" s="16" t="n">
        <v>307.83</v>
      </c>
      <c r="R392" s="16" t="n">
        <v>307.83</v>
      </c>
      <c r="S392" s="16" t="n">
        <v>307.83</v>
      </c>
      <c r="T392" s="16" t="n">
        <v>307.83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CANON-202512-002920</t>
        </is>
      </c>
      <c r="B393" s="3" t="inlineStr">
        <is>
          <t>2025-12-22</t>
        </is>
      </c>
      <c r="C393" s="3" t="inlineStr">
        <is>
          <t>Marisol Ashcombe</t>
        </is>
      </c>
      <c r="D393" s="3" t="inlineStr">
        <is>
          <t>MA</t>
        </is>
      </c>
      <c r="E393" s="14" t="n">
        <v>255000</v>
      </c>
      <c r="F393" s="14" t="n">
        <v>4134.88</v>
      </c>
      <c r="G393" s="14" t="n">
        <v>516.86</v>
      </c>
      <c r="H393" s="14" t="n">
        <v>516.86</v>
      </c>
      <c r="I393" s="14">
        <f>SUM(K393:T393)</f>
        <v/>
      </c>
      <c r="J393" s="14">
        <f>F393-(G393+H393+I393)</f>
        <v/>
      </c>
      <c r="K393" s="14" t="n">
        <v>310.12</v>
      </c>
      <c r="L393" s="14" t="n">
        <v>310.12</v>
      </c>
      <c r="M393" s="14" t="n">
        <v>310.12</v>
      </c>
      <c r="N393" s="14" t="n">
        <v>310.12</v>
      </c>
      <c r="O393" s="14" t="n">
        <v>310.12</v>
      </c>
      <c r="P393" s="14" t="n">
        <v>310.12</v>
      </c>
      <c r="Q393" s="14" t="n">
        <v>310.12</v>
      </c>
      <c r="R393" s="14" t="n">
        <v>310.12</v>
      </c>
      <c r="S393" s="14" t="n">
        <v>310.12</v>
      </c>
      <c r="T393" s="14" t="n">
        <v>310.12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CANON-202512-002921</t>
        </is>
      </c>
      <c r="B394" s="15" t="inlineStr">
        <is>
          <t>2025-12-19</t>
        </is>
      </c>
      <c r="C394" s="15" t="inlineStr">
        <is>
          <t>Beatrix Vasquez</t>
        </is>
      </c>
      <c r="D394" s="15" t="inlineStr">
        <is>
          <t>OK</t>
        </is>
      </c>
      <c r="E394" s="16" t="n">
        <v>635000</v>
      </c>
      <c r="F394" s="16" t="n">
        <v>13146.78</v>
      </c>
      <c r="G394" s="16" t="n">
        <v>1643.35</v>
      </c>
      <c r="H394" s="16" t="n">
        <v>1643.35</v>
      </c>
      <c r="I394" s="16">
        <f>SUM(K394:T394)</f>
        <v/>
      </c>
      <c r="J394" s="16">
        <f>F394-(G394+H394+I394)</f>
        <v/>
      </c>
      <c r="K394" s="16" t="n">
        <v>986.01</v>
      </c>
      <c r="L394" s="16" t="n">
        <v>986.01</v>
      </c>
      <c r="M394" s="16" t="n">
        <v>986.01</v>
      </c>
      <c r="N394" s="16" t="n">
        <v>986.01</v>
      </c>
      <c r="O394" s="16" t="n">
        <v>986.01</v>
      </c>
      <c r="P394" s="16" t="n">
        <v>986.01</v>
      </c>
      <c r="Q394" s="16" t="n">
        <v>986.01</v>
      </c>
      <c r="R394" s="16" t="n">
        <v>986.01</v>
      </c>
      <c r="S394" s="16" t="n">
        <v>986.01</v>
      </c>
      <c r="T394" s="16" t="n">
        <v>986.01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CANON-202512-002922</t>
        </is>
      </c>
      <c r="B395" s="3" t="inlineStr">
        <is>
          <t>2025-12-03</t>
        </is>
      </c>
      <c r="C395" s="3" t="inlineStr">
        <is>
          <t>Lorenzo Kingsford</t>
        </is>
      </c>
      <c r="D395" s="3" t="inlineStr">
        <is>
          <t>OH</t>
        </is>
      </c>
      <c r="E395" s="14" t="n">
        <v>1950000</v>
      </c>
      <c r="F395" s="14" t="n">
        <v>37505.14</v>
      </c>
      <c r="G395" s="14" t="n">
        <v>4688.14</v>
      </c>
      <c r="H395" s="14" t="n">
        <v>4688.14</v>
      </c>
      <c r="I395" s="14">
        <f>SUM(K395:T395)</f>
        <v/>
      </c>
      <c r="J395" s="14">
        <f>F395-(G395+H395+I395)</f>
        <v/>
      </c>
      <c r="K395" s="14" t="n">
        <v>2812.89</v>
      </c>
      <c r="L395" s="14" t="n">
        <v>2812.89</v>
      </c>
      <c r="M395" s="14" t="n">
        <v>2812.89</v>
      </c>
      <c r="N395" s="14" t="n">
        <v>2812.89</v>
      </c>
      <c r="O395" s="14" t="n">
        <v>2812.89</v>
      </c>
      <c r="P395" s="14" t="n">
        <v>2812.89</v>
      </c>
      <c r="Q395" s="14" t="n">
        <v>2812.89</v>
      </c>
      <c r="R395" s="14" t="n">
        <v>2812.89</v>
      </c>
      <c r="S395" s="14" t="n">
        <v>2812.89</v>
      </c>
      <c r="T395" s="14" t="n">
        <v>2812.89</v>
      </c>
      <c r="U395" s="14" t="n">
        <v>350</v>
      </c>
      <c r="V395" s="14" t="n">
        <v>250</v>
      </c>
      <c r="W395" s="14">
        <f>U395+V395</f>
        <v/>
      </c>
    </row>
    <row r="396">
      <c r="A396" s="15" t="inlineStr">
        <is>
          <t>CANON-202512-002923</t>
        </is>
      </c>
      <c r="B396" s="15" t="inlineStr">
        <is>
          <t>2025-12-26</t>
        </is>
      </c>
      <c r="C396" s="15" t="inlineStr">
        <is>
          <t>Horace Nakashima</t>
        </is>
      </c>
      <c r="D396" s="15" t="inlineStr">
        <is>
          <t>NE</t>
        </is>
      </c>
      <c r="E396" s="16" t="n">
        <v>715000</v>
      </c>
      <c r="F396" s="16" t="n">
        <v>10449.95</v>
      </c>
      <c r="G396" s="16" t="n">
        <v>1306.24</v>
      </c>
      <c r="H396" s="16" t="n">
        <v>1306.24</v>
      </c>
      <c r="I396" s="16">
        <f>SUM(K396:T396)</f>
        <v/>
      </c>
      <c r="J396" s="16">
        <f>F396-(G396+H396+I396)</f>
        <v/>
      </c>
      <c r="K396" s="16" t="n">
        <v>783.75</v>
      </c>
      <c r="L396" s="16" t="n">
        <v>783.75</v>
      </c>
      <c r="M396" s="16" t="n">
        <v>783.75</v>
      </c>
      <c r="N396" s="16" t="n">
        <v>783.75</v>
      </c>
      <c r="O396" s="16" t="n">
        <v>783.75</v>
      </c>
      <c r="P396" s="16" t="n">
        <v>783.75</v>
      </c>
      <c r="Q396" s="16" t="n">
        <v>783.75</v>
      </c>
      <c r="R396" s="16" t="n">
        <v>783.75</v>
      </c>
      <c r="S396" s="16" t="n">
        <v>783.75</v>
      </c>
      <c r="T396" s="16" t="n">
        <v>783.75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CANON-202512-002924</t>
        </is>
      </c>
      <c r="B397" s="3" t="inlineStr">
        <is>
          <t>2025-12-19</t>
        </is>
      </c>
      <c r="C397" s="3" t="inlineStr">
        <is>
          <t>Callum Castellanos</t>
        </is>
      </c>
      <c r="D397" s="3" t="inlineStr">
        <is>
          <t>VT</t>
        </is>
      </c>
      <c r="E397" s="14" t="n">
        <v>615000</v>
      </c>
      <c r="F397" s="14" t="n">
        <v>8435.280000000001</v>
      </c>
      <c r="G397" s="14" t="n">
        <v>1054.41</v>
      </c>
      <c r="H397" s="14" t="n">
        <v>1054.41</v>
      </c>
      <c r="I397" s="14">
        <f>SUM(K397:T397)</f>
        <v/>
      </c>
      <c r="J397" s="14">
        <f>F397-(G397+H397+I397)</f>
        <v/>
      </c>
      <c r="K397" s="14" t="n">
        <v>632.65</v>
      </c>
      <c r="L397" s="14" t="n">
        <v>632.65</v>
      </c>
      <c r="M397" s="14" t="n">
        <v>632.65</v>
      </c>
      <c r="N397" s="14" t="n">
        <v>632.65</v>
      </c>
      <c r="O397" s="14" t="n">
        <v>632.65</v>
      </c>
      <c r="P397" s="14" t="n">
        <v>632.65</v>
      </c>
      <c r="Q397" s="14" t="n">
        <v>632.65</v>
      </c>
      <c r="R397" s="14" t="n">
        <v>632.65</v>
      </c>
      <c r="S397" s="14" t="n">
        <v>632.65</v>
      </c>
      <c r="T397" s="14" t="n">
        <v>632.65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CANON-202512-002925</t>
        </is>
      </c>
      <c r="B398" s="15" t="inlineStr">
        <is>
          <t>2025-12-14</t>
        </is>
      </c>
      <c r="C398" s="15" t="inlineStr">
        <is>
          <t>Sunniva Nakashima</t>
        </is>
      </c>
      <c r="D398" s="15" t="inlineStr">
        <is>
          <t>LA</t>
        </is>
      </c>
      <c r="E398" s="16" t="n">
        <v>430000</v>
      </c>
      <c r="F398" s="16" t="n">
        <v>6749.42</v>
      </c>
      <c r="G398" s="16" t="n">
        <v>843.6799999999999</v>
      </c>
      <c r="H398" s="16" t="n">
        <v>843.6799999999999</v>
      </c>
      <c r="I398" s="16">
        <f>SUM(K398:T398)</f>
        <v/>
      </c>
      <c r="J398" s="16">
        <f>F398-(G398+H398+I398)</f>
        <v/>
      </c>
      <c r="K398" s="16" t="n">
        <v>506.21</v>
      </c>
      <c r="L398" s="16" t="n">
        <v>506.21</v>
      </c>
      <c r="M398" s="16" t="n">
        <v>506.21</v>
      </c>
      <c r="N398" s="16" t="n">
        <v>506.21</v>
      </c>
      <c r="O398" s="16" t="n">
        <v>506.21</v>
      </c>
      <c r="P398" s="16" t="n">
        <v>506.21</v>
      </c>
      <c r="Q398" s="16" t="n">
        <v>506.21</v>
      </c>
      <c r="R398" s="16" t="n">
        <v>506.21</v>
      </c>
      <c r="S398" s="16" t="n">
        <v>506.21</v>
      </c>
      <c r="T398" s="16" t="n">
        <v>506.21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CANON-202512-002926</t>
        </is>
      </c>
      <c r="B399" s="3" t="inlineStr">
        <is>
          <t>2025-12-22</t>
        </is>
      </c>
      <c r="C399" s="3" t="inlineStr">
        <is>
          <t>Thaddeus Vandermeer</t>
        </is>
      </c>
      <c r="D399" s="3" t="inlineStr">
        <is>
          <t>TX</t>
        </is>
      </c>
      <c r="E399" s="14" t="n">
        <v>775000</v>
      </c>
      <c r="F399" s="14" t="n">
        <v>5857.8</v>
      </c>
      <c r="G399" s="14" t="n">
        <v>732.23</v>
      </c>
      <c r="H399" s="14" t="n">
        <v>732.23</v>
      </c>
      <c r="I399" s="14">
        <f>SUM(K399:T399)</f>
        <v/>
      </c>
      <c r="J399" s="14">
        <f>F399-(G399+H399+I399)</f>
        <v/>
      </c>
      <c r="K399" s="14" t="n">
        <v>439.33</v>
      </c>
      <c r="L399" s="14" t="n">
        <v>439.33</v>
      </c>
      <c r="M399" s="14" t="n">
        <v>439.33</v>
      </c>
      <c r="N399" s="14" t="n">
        <v>439.33</v>
      </c>
      <c r="O399" s="14" t="n">
        <v>439.33</v>
      </c>
      <c r="P399" s="14" t="n">
        <v>439.33</v>
      </c>
      <c r="Q399" s="14" t="n">
        <v>439.33</v>
      </c>
      <c r="R399" s="14" t="n">
        <v>439.33</v>
      </c>
      <c r="S399" s="14" t="n">
        <v>439.33</v>
      </c>
      <c r="T399" s="14" t="n">
        <v>439.33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CANON-202512-002927</t>
        </is>
      </c>
      <c r="B400" s="15" t="inlineStr">
        <is>
          <t>2025-12-11</t>
        </is>
      </c>
      <c r="C400" s="15" t="inlineStr">
        <is>
          <t>Cassius Delacroix</t>
        </is>
      </c>
      <c r="D400" s="15" t="inlineStr">
        <is>
          <t>MT</t>
        </is>
      </c>
      <c r="E400" s="16" t="n">
        <v>1315000</v>
      </c>
      <c r="F400" s="16" t="n">
        <v>8037.92</v>
      </c>
      <c r="G400" s="16" t="n">
        <v>1004.74</v>
      </c>
      <c r="H400" s="16" t="n">
        <v>1004.74</v>
      </c>
      <c r="I400" s="16">
        <f>SUM(K400:T400)</f>
        <v/>
      </c>
      <c r="J400" s="16">
        <f>F400-(G400+H400+I400)</f>
        <v/>
      </c>
      <c r="K400" s="16" t="n">
        <v>602.84</v>
      </c>
      <c r="L400" s="16" t="n">
        <v>602.84</v>
      </c>
      <c r="M400" s="16" t="n">
        <v>602.84</v>
      </c>
      <c r="N400" s="16" t="n">
        <v>602.84</v>
      </c>
      <c r="O400" s="16" t="n">
        <v>602.84</v>
      </c>
      <c r="P400" s="16" t="n">
        <v>602.84</v>
      </c>
      <c r="Q400" s="16" t="n">
        <v>602.84</v>
      </c>
      <c r="R400" s="16" t="n">
        <v>602.84</v>
      </c>
      <c r="S400" s="16" t="n">
        <v>602.84</v>
      </c>
      <c r="T400" s="16" t="n">
        <v>602.84</v>
      </c>
      <c r="U400" s="16" t="n">
        <v>350</v>
      </c>
      <c r="V400" s="16" t="n">
        <v>250</v>
      </c>
      <c r="W400" s="16">
        <f>U400+V400</f>
        <v/>
      </c>
    </row>
    <row r="401">
      <c r="A401" s="3" t="inlineStr">
        <is>
          <t>CANON-202512-002928</t>
        </is>
      </c>
      <c r="B401" s="3" t="inlineStr">
        <is>
          <t>2025-12-09</t>
        </is>
      </c>
      <c r="C401" s="3" t="inlineStr">
        <is>
          <t>Saoirse Delacroix</t>
        </is>
      </c>
      <c r="D401" s="3" t="inlineStr">
        <is>
          <t>PA</t>
        </is>
      </c>
      <c r="E401" s="14" t="n">
        <v>350000</v>
      </c>
      <c r="F401" s="14" t="n">
        <v>4540.26</v>
      </c>
      <c r="G401" s="14" t="n">
        <v>567.53</v>
      </c>
      <c r="H401" s="14" t="n">
        <v>567.53</v>
      </c>
      <c r="I401" s="14">
        <f>SUM(K401:T401)</f>
        <v/>
      </c>
      <c r="J401" s="14">
        <f>F401-(G401+H401+I401)</f>
        <v/>
      </c>
      <c r="K401" s="14" t="n">
        <v>340.52</v>
      </c>
      <c r="L401" s="14" t="n">
        <v>340.52</v>
      </c>
      <c r="M401" s="14" t="n">
        <v>340.52</v>
      </c>
      <c r="N401" s="14" t="n">
        <v>340.52</v>
      </c>
      <c r="O401" s="14" t="n">
        <v>340.52</v>
      </c>
      <c r="P401" s="14" t="n">
        <v>340.52</v>
      </c>
      <c r="Q401" s="14" t="n">
        <v>340.52</v>
      </c>
      <c r="R401" s="14" t="n">
        <v>340.52</v>
      </c>
      <c r="S401" s="14" t="n">
        <v>340.52</v>
      </c>
      <c r="T401" s="14" t="n">
        <v>340.52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CANON-202512-002929</t>
        </is>
      </c>
      <c r="B402" s="15" t="inlineStr">
        <is>
          <t>2025-12-22</t>
        </is>
      </c>
      <c r="C402" s="15" t="inlineStr">
        <is>
          <t>Cassius Fairweather</t>
        </is>
      </c>
      <c r="D402" s="15" t="inlineStr">
        <is>
          <t>WV</t>
        </is>
      </c>
      <c r="E402" s="16" t="n">
        <v>670000</v>
      </c>
      <c r="F402" s="16" t="n">
        <v>10018.23</v>
      </c>
      <c r="G402" s="16" t="n">
        <v>1252.28</v>
      </c>
      <c r="H402" s="16" t="n">
        <v>1252.28</v>
      </c>
      <c r="I402" s="16">
        <f>SUM(K402:T402)</f>
        <v/>
      </c>
      <c r="J402" s="16">
        <f>F402-(G402+H402+I402)</f>
        <v/>
      </c>
      <c r="K402" s="16" t="n">
        <v>751.37</v>
      </c>
      <c r="L402" s="16" t="n">
        <v>751.37</v>
      </c>
      <c r="M402" s="16" t="n">
        <v>751.37</v>
      </c>
      <c r="N402" s="16" t="n">
        <v>751.37</v>
      </c>
      <c r="O402" s="16" t="n">
        <v>751.37</v>
      </c>
      <c r="P402" s="16" t="n">
        <v>751.37</v>
      </c>
      <c r="Q402" s="16" t="n">
        <v>751.37</v>
      </c>
      <c r="R402" s="16" t="n">
        <v>751.37</v>
      </c>
      <c r="S402" s="16" t="n">
        <v>751.37</v>
      </c>
      <c r="T402" s="16" t="n">
        <v>751.37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CANON-202512-002930</t>
        </is>
      </c>
      <c r="B403" s="3" t="inlineStr">
        <is>
          <t>2025-12-22</t>
        </is>
      </c>
      <c r="C403" s="3" t="inlineStr">
        <is>
          <t>Noor Castellanos</t>
        </is>
      </c>
      <c r="D403" s="3" t="inlineStr">
        <is>
          <t>FL</t>
        </is>
      </c>
      <c r="E403" s="14" t="n">
        <v>765000</v>
      </c>
      <c r="F403" s="14" t="n">
        <v>12212.78</v>
      </c>
      <c r="G403" s="14" t="n">
        <v>1526.6</v>
      </c>
      <c r="H403" s="14" t="n">
        <v>1526.6</v>
      </c>
      <c r="I403" s="14">
        <f>SUM(K403:T403)</f>
        <v/>
      </c>
      <c r="J403" s="14">
        <f>F403-(G403+H403+I403)</f>
        <v/>
      </c>
      <c r="K403" s="14" t="n">
        <v>915.96</v>
      </c>
      <c r="L403" s="14" t="n">
        <v>915.96</v>
      </c>
      <c r="M403" s="14" t="n">
        <v>915.96</v>
      </c>
      <c r="N403" s="14" t="n">
        <v>915.96</v>
      </c>
      <c r="O403" s="14" t="n">
        <v>915.96</v>
      </c>
      <c r="P403" s="14" t="n">
        <v>915.96</v>
      </c>
      <c r="Q403" s="14" t="n">
        <v>915.96</v>
      </c>
      <c r="R403" s="14" t="n">
        <v>915.96</v>
      </c>
      <c r="S403" s="14" t="n">
        <v>915.96</v>
      </c>
      <c r="T403" s="14" t="n">
        <v>915.96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CANON-202512-002931</t>
        </is>
      </c>
      <c r="B404" s="15" t="inlineStr">
        <is>
          <t>2025-12-19</t>
        </is>
      </c>
      <c r="C404" s="15" t="inlineStr">
        <is>
          <t>Ingrid Pennington</t>
        </is>
      </c>
      <c r="D404" s="15" t="inlineStr">
        <is>
          <t>MI</t>
        </is>
      </c>
      <c r="E404" s="16" t="n">
        <v>300000</v>
      </c>
      <c r="F404" s="16" t="n">
        <v>6032.06</v>
      </c>
      <c r="G404" s="16" t="n">
        <v>754.01</v>
      </c>
      <c r="H404" s="16" t="n">
        <v>754.01</v>
      </c>
      <c r="I404" s="16">
        <f>SUM(K404:T404)</f>
        <v/>
      </c>
      <c r="J404" s="16">
        <f>F404-(G404+H404+I404)</f>
        <v/>
      </c>
      <c r="K404" s="16" t="n">
        <v>452.4</v>
      </c>
      <c r="L404" s="16" t="n">
        <v>452.4</v>
      </c>
      <c r="M404" s="16" t="n">
        <v>452.4</v>
      </c>
      <c r="N404" s="16" t="n">
        <v>452.4</v>
      </c>
      <c r="O404" s="16" t="n">
        <v>452.4</v>
      </c>
      <c r="P404" s="16" t="n">
        <v>452.4</v>
      </c>
      <c r="Q404" s="16" t="n">
        <v>452.4</v>
      </c>
      <c r="R404" s="16" t="n">
        <v>452.4</v>
      </c>
      <c r="S404" s="16" t="n">
        <v>452.4</v>
      </c>
      <c r="T404" s="16" t="n">
        <v>452.4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CANON-202512-002932</t>
        </is>
      </c>
      <c r="B405" s="3" t="inlineStr">
        <is>
          <t>2025-12-25</t>
        </is>
      </c>
      <c r="C405" s="3" t="inlineStr">
        <is>
          <t>Mireille Rourke</t>
        </is>
      </c>
      <c r="D405" s="3" t="inlineStr">
        <is>
          <t>TX</t>
        </is>
      </c>
      <c r="E405" s="14" t="n">
        <v>1045000</v>
      </c>
      <c r="F405" s="14" t="n">
        <v>11432.16</v>
      </c>
      <c r="G405" s="14" t="n">
        <v>1429.02</v>
      </c>
      <c r="H405" s="14" t="n">
        <v>1429.02</v>
      </c>
      <c r="I405" s="14">
        <f>SUM(K405:T405)</f>
        <v/>
      </c>
      <c r="J405" s="14">
        <f>F405-(G405+H405+I405)</f>
        <v/>
      </c>
      <c r="K405" s="14" t="n">
        <v>857.41</v>
      </c>
      <c r="L405" s="14" t="n">
        <v>857.41</v>
      </c>
      <c r="M405" s="14" t="n">
        <v>857.41</v>
      </c>
      <c r="N405" s="14" t="n">
        <v>857.41</v>
      </c>
      <c r="O405" s="14" t="n">
        <v>857.41</v>
      </c>
      <c r="P405" s="14" t="n">
        <v>857.41</v>
      </c>
      <c r="Q405" s="14" t="n">
        <v>857.41</v>
      </c>
      <c r="R405" s="14" t="n">
        <v>857.41</v>
      </c>
      <c r="S405" s="14" t="n">
        <v>857.41</v>
      </c>
      <c r="T405" s="14" t="n">
        <v>857.41</v>
      </c>
      <c r="U405" s="14" t="n">
        <v>350</v>
      </c>
      <c r="V405" s="14" t="n">
        <v>250</v>
      </c>
      <c r="W405" s="14">
        <f>U405+V405</f>
        <v/>
      </c>
    </row>
    <row r="406">
      <c r="A406" s="15" t="inlineStr">
        <is>
          <t>CANON-202512-002933</t>
        </is>
      </c>
      <c r="B406" s="15" t="inlineStr">
        <is>
          <t>2025-12-01</t>
        </is>
      </c>
      <c r="C406" s="15" t="inlineStr">
        <is>
          <t>Ingrid Merriweather</t>
        </is>
      </c>
      <c r="D406" s="15" t="inlineStr">
        <is>
          <t>KS</t>
        </is>
      </c>
      <c r="E406" s="16" t="n">
        <v>1950000</v>
      </c>
      <c r="F406" s="16" t="n">
        <v>11123.38</v>
      </c>
      <c r="G406" s="16" t="n">
        <v>1390.42</v>
      </c>
      <c r="H406" s="16" t="n">
        <v>1390.42</v>
      </c>
      <c r="I406" s="16">
        <f>SUM(K406:T406)</f>
        <v/>
      </c>
      <c r="J406" s="16">
        <f>F406-(G406+H406+I406)</f>
        <v/>
      </c>
      <c r="K406" s="16" t="n">
        <v>834.25</v>
      </c>
      <c r="L406" s="16" t="n">
        <v>834.25</v>
      </c>
      <c r="M406" s="16" t="n">
        <v>834.25</v>
      </c>
      <c r="N406" s="16" t="n">
        <v>834.25</v>
      </c>
      <c r="O406" s="16" t="n">
        <v>834.25</v>
      </c>
      <c r="P406" s="16" t="n">
        <v>834.25</v>
      </c>
      <c r="Q406" s="16" t="n">
        <v>834.25</v>
      </c>
      <c r="R406" s="16" t="n">
        <v>834.25</v>
      </c>
      <c r="S406" s="16" t="n">
        <v>834.25</v>
      </c>
      <c r="T406" s="16" t="n">
        <v>834.25</v>
      </c>
      <c r="U406" s="16" t="n">
        <v>350</v>
      </c>
      <c r="V406" s="16" t="n">
        <v>250</v>
      </c>
      <c r="W406" s="16">
        <f>U406+V406</f>
        <v/>
      </c>
    </row>
    <row r="407">
      <c r="A407" s="3" t="inlineStr">
        <is>
          <t>CANON-202512-002934</t>
        </is>
      </c>
      <c r="B407" s="3" t="inlineStr">
        <is>
          <t>2025-12-05</t>
        </is>
      </c>
      <c r="C407" s="3" t="inlineStr">
        <is>
          <t>Thaddeus Thistlewood</t>
        </is>
      </c>
      <c r="D407" s="3" t="inlineStr">
        <is>
          <t>UT</t>
        </is>
      </c>
      <c r="E407" s="14" t="n">
        <v>540000</v>
      </c>
      <c r="F407" s="14" t="n">
        <v>8195.82</v>
      </c>
      <c r="G407" s="14" t="n">
        <v>1024.48</v>
      </c>
      <c r="H407" s="14" t="n">
        <v>1024.48</v>
      </c>
      <c r="I407" s="14">
        <f>SUM(K407:T407)</f>
        <v/>
      </c>
      <c r="J407" s="14">
        <f>F407-(G407+H407+I407)</f>
        <v/>
      </c>
      <c r="K407" s="14" t="n">
        <v>614.6900000000001</v>
      </c>
      <c r="L407" s="14" t="n">
        <v>614.6900000000001</v>
      </c>
      <c r="M407" s="14" t="n">
        <v>614.6900000000001</v>
      </c>
      <c r="N407" s="14" t="n">
        <v>614.6900000000001</v>
      </c>
      <c r="O407" s="14" t="n">
        <v>614.6900000000001</v>
      </c>
      <c r="P407" s="14" t="n">
        <v>614.6900000000001</v>
      </c>
      <c r="Q407" s="14" t="n">
        <v>614.6900000000001</v>
      </c>
      <c r="R407" s="14" t="n">
        <v>614.6900000000001</v>
      </c>
      <c r="S407" s="14" t="n">
        <v>614.6900000000001</v>
      </c>
      <c r="T407" s="14" t="n">
        <v>614.6900000000001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CANON-202512-002935</t>
        </is>
      </c>
      <c r="B408" s="15" t="inlineStr">
        <is>
          <t>2025-12-02</t>
        </is>
      </c>
      <c r="C408" s="15" t="inlineStr">
        <is>
          <t>Aurelio Rourke</t>
        </is>
      </c>
      <c r="D408" s="15" t="inlineStr">
        <is>
          <t>AR</t>
        </is>
      </c>
      <c r="E408" s="16" t="n">
        <v>900000</v>
      </c>
      <c r="F408" s="16" t="n">
        <v>8163.13</v>
      </c>
      <c r="G408" s="16" t="n">
        <v>1020.39</v>
      </c>
      <c r="H408" s="16" t="n">
        <v>1020.39</v>
      </c>
      <c r="I408" s="16">
        <f>SUM(K408:T408)</f>
        <v/>
      </c>
      <c r="J408" s="16">
        <f>F408-(G408+H408+I408)</f>
        <v/>
      </c>
      <c r="K408" s="16" t="n">
        <v>612.23</v>
      </c>
      <c r="L408" s="16" t="n">
        <v>612.23</v>
      </c>
      <c r="M408" s="16" t="n">
        <v>612.23</v>
      </c>
      <c r="N408" s="16" t="n">
        <v>612.23</v>
      </c>
      <c r="O408" s="16" t="n">
        <v>612.23</v>
      </c>
      <c r="P408" s="16" t="n">
        <v>612.23</v>
      </c>
      <c r="Q408" s="16" t="n">
        <v>612.23</v>
      </c>
      <c r="R408" s="16" t="n">
        <v>612.23</v>
      </c>
      <c r="S408" s="16" t="n">
        <v>612.23</v>
      </c>
      <c r="T408" s="16" t="n">
        <v>612.23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CANON-202512-002936</t>
        </is>
      </c>
      <c r="B409" s="3" t="inlineStr">
        <is>
          <t>2025-12-15</t>
        </is>
      </c>
      <c r="C409" s="3" t="inlineStr">
        <is>
          <t>Callum Merriweather</t>
        </is>
      </c>
      <c r="D409" s="3" t="inlineStr">
        <is>
          <t>NY</t>
        </is>
      </c>
      <c r="E409" s="14" t="n">
        <v>655000</v>
      </c>
      <c r="F409" s="14" t="n">
        <v>9425.75</v>
      </c>
      <c r="G409" s="14" t="n">
        <v>1178.22</v>
      </c>
      <c r="H409" s="14" t="n">
        <v>1178.22</v>
      </c>
      <c r="I409" s="14">
        <f>SUM(K409:T409)</f>
        <v/>
      </c>
      <c r="J409" s="14">
        <f>F409-(G409+H409+I409)</f>
        <v/>
      </c>
      <c r="K409" s="14" t="n">
        <v>706.9299999999999</v>
      </c>
      <c r="L409" s="14" t="n">
        <v>706.9299999999999</v>
      </c>
      <c r="M409" s="14" t="n">
        <v>706.9299999999999</v>
      </c>
      <c r="N409" s="14" t="n">
        <v>706.9299999999999</v>
      </c>
      <c r="O409" s="14" t="n">
        <v>706.9299999999999</v>
      </c>
      <c r="P409" s="14" t="n">
        <v>706.9299999999999</v>
      </c>
      <c r="Q409" s="14" t="n">
        <v>706.9299999999999</v>
      </c>
      <c r="R409" s="14" t="n">
        <v>706.9299999999999</v>
      </c>
      <c r="S409" s="14" t="n">
        <v>706.9299999999999</v>
      </c>
      <c r="T409" s="14" t="n">
        <v>706.9299999999999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CANON-202512-002937</t>
        </is>
      </c>
      <c r="B410" s="15" t="inlineStr">
        <is>
          <t>2025-12-13</t>
        </is>
      </c>
      <c r="C410" s="15" t="inlineStr">
        <is>
          <t>Fitzgerald Pennington</t>
        </is>
      </c>
      <c r="D410" s="15" t="inlineStr">
        <is>
          <t>MS</t>
        </is>
      </c>
      <c r="E410" s="16" t="n">
        <v>860000</v>
      </c>
      <c r="F410" s="16" t="n">
        <v>11505.62</v>
      </c>
      <c r="G410" s="16" t="n">
        <v>1438.2</v>
      </c>
      <c r="H410" s="16" t="n">
        <v>1438.2</v>
      </c>
      <c r="I410" s="16">
        <f>SUM(K410:T410)</f>
        <v/>
      </c>
      <c r="J410" s="16">
        <f>F410-(G410+H410+I410)</f>
        <v/>
      </c>
      <c r="K410" s="16" t="n">
        <v>862.92</v>
      </c>
      <c r="L410" s="16" t="n">
        <v>862.92</v>
      </c>
      <c r="M410" s="16" t="n">
        <v>862.92</v>
      </c>
      <c r="N410" s="16" t="n">
        <v>862.92</v>
      </c>
      <c r="O410" s="16" t="n">
        <v>862.92</v>
      </c>
      <c r="P410" s="16" t="n">
        <v>862.92</v>
      </c>
      <c r="Q410" s="16" t="n">
        <v>862.92</v>
      </c>
      <c r="R410" s="16" t="n">
        <v>862.92</v>
      </c>
      <c r="S410" s="16" t="n">
        <v>862.92</v>
      </c>
      <c r="T410" s="16" t="n">
        <v>862.92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CANON-202512-002938</t>
        </is>
      </c>
      <c r="B411" s="3" t="inlineStr">
        <is>
          <t>2025-12-31</t>
        </is>
      </c>
      <c r="C411" s="3" t="inlineStr">
        <is>
          <t>Saoirse Blackwood</t>
        </is>
      </c>
      <c r="D411" s="3" t="inlineStr">
        <is>
          <t>FL</t>
        </is>
      </c>
      <c r="E411" s="14" t="n">
        <v>660000</v>
      </c>
      <c r="F411" s="14" t="n">
        <v>10536.51</v>
      </c>
      <c r="G411" s="14" t="n">
        <v>1317.06</v>
      </c>
      <c r="H411" s="14" t="n">
        <v>1317.06</v>
      </c>
      <c r="I411" s="14">
        <f>SUM(K411:T411)</f>
        <v/>
      </c>
      <c r="J411" s="14">
        <f>F411-(G411+H411+I411)</f>
        <v/>
      </c>
      <c r="K411" s="14" t="n">
        <v>790.24</v>
      </c>
      <c r="L411" s="14" t="n">
        <v>790.24</v>
      </c>
      <c r="M411" s="14" t="n">
        <v>790.24</v>
      </c>
      <c r="N411" s="14" t="n">
        <v>790.24</v>
      </c>
      <c r="O411" s="14" t="n">
        <v>790.24</v>
      </c>
      <c r="P411" s="14" t="n">
        <v>790.24</v>
      </c>
      <c r="Q411" s="14" t="n">
        <v>790.24</v>
      </c>
      <c r="R411" s="14" t="n">
        <v>790.24</v>
      </c>
      <c r="S411" s="14" t="n">
        <v>790.24</v>
      </c>
      <c r="T411" s="14" t="n">
        <v>790.24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CANON-202512-002939</t>
        </is>
      </c>
      <c r="B412" s="15" t="inlineStr">
        <is>
          <t>2025-12-28</t>
        </is>
      </c>
      <c r="C412" s="15" t="inlineStr">
        <is>
          <t>Saoirse Fairweather</t>
        </is>
      </c>
      <c r="D412" s="15" t="inlineStr">
        <is>
          <t>FL</t>
        </is>
      </c>
      <c r="E412" s="16" t="n">
        <v>400000</v>
      </c>
      <c r="F412" s="16" t="n">
        <v>7368.2</v>
      </c>
      <c r="G412" s="16" t="n">
        <v>921.02</v>
      </c>
      <c r="H412" s="16" t="n">
        <v>921.02</v>
      </c>
      <c r="I412" s="16">
        <f>SUM(K412:T412)</f>
        <v/>
      </c>
      <c r="J412" s="16">
        <f>F412-(G412+H412+I412)</f>
        <v/>
      </c>
      <c r="K412" s="16" t="n">
        <v>552.62</v>
      </c>
      <c r="L412" s="16" t="n">
        <v>552.62</v>
      </c>
      <c r="M412" s="16" t="n">
        <v>552.62</v>
      </c>
      <c r="N412" s="16" t="n">
        <v>552.62</v>
      </c>
      <c r="O412" s="16" t="n">
        <v>552.62</v>
      </c>
      <c r="P412" s="16" t="n">
        <v>552.62</v>
      </c>
      <c r="Q412" s="16" t="n">
        <v>552.62</v>
      </c>
      <c r="R412" s="16" t="n">
        <v>552.62</v>
      </c>
      <c r="S412" s="16" t="n">
        <v>552.62</v>
      </c>
      <c r="T412" s="16" t="n">
        <v>552.62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CANON-202512-002940</t>
        </is>
      </c>
      <c r="B413" s="3" t="inlineStr">
        <is>
          <t>2025-12-15</t>
        </is>
      </c>
      <c r="C413" s="3" t="inlineStr">
        <is>
          <t>Fenwick Okonkwo</t>
        </is>
      </c>
      <c r="D413" s="3" t="inlineStr">
        <is>
          <t>NM</t>
        </is>
      </c>
      <c r="E413" s="14" t="n">
        <v>825000</v>
      </c>
      <c r="F413" s="14" t="n">
        <v>17351.57</v>
      </c>
      <c r="G413" s="14" t="n">
        <v>2168.95</v>
      </c>
      <c r="H413" s="14" t="n">
        <v>2168.95</v>
      </c>
      <c r="I413" s="14">
        <f>SUM(K413:T413)</f>
        <v/>
      </c>
      <c r="J413" s="14">
        <f>F413-(G413+H413+I413)</f>
        <v/>
      </c>
      <c r="K413" s="14" t="n">
        <v>1301.37</v>
      </c>
      <c r="L413" s="14" t="n">
        <v>1301.37</v>
      </c>
      <c r="M413" s="14" t="n">
        <v>1301.37</v>
      </c>
      <c r="N413" s="14" t="n">
        <v>1301.37</v>
      </c>
      <c r="O413" s="14" t="n">
        <v>1301.37</v>
      </c>
      <c r="P413" s="14" t="n">
        <v>1301.37</v>
      </c>
      <c r="Q413" s="14" t="n">
        <v>1301.37</v>
      </c>
      <c r="R413" s="14" t="n">
        <v>1301.37</v>
      </c>
      <c r="S413" s="14" t="n">
        <v>1301.37</v>
      </c>
      <c r="T413" s="14" t="n">
        <v>1301.37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CANON-202512-002942</t>
        </is>
      </c>
      <c r="B414" s="15" t="inlineStr">
        <is>
          <t>2025-12-02</t>
        </is>
      </c>
      <c r="C414" s="15" t="inlineStr">
        <is>
          <t>Marisol Vandermeer</t>
        </is>
      </c>
      <c r="D414" s="15" t="inlineStr">
        <is>
          <t>NY</t>
        </is>
      </c>
      <c r="E414" s="16" t="n">
        <v>810000</v>
      </c>
      <c r="F414" s="16" t="n">
        <v>17036.09</v>
      </c>
      <c r="G414" s="16" t="n">
        <v>2129.51</v>
      </c>
      <c r="H414" s="16" t="n">
        <v>2129.51</v>
      </c>
      <c r="I414" s="16">
        <f>SUM(K414:T414)</f>
        <v/>
      </c>
      <c r="J414" s="16">
        <f>F414-(G414+H414+I414)</f>
        <v/>
      </c>
      <c r="K414" s="16" t="n">
        <v>1277.71</v>
      </c>
      <c r="L414" s="16" t="n">
        <v>1277.71</v>
      </c>
      <c r="M414" s="16" t="n">
        <v>1277.71</v>
      </c>
      <c r="N414" s="16" t="n">
        <v>1277.71</v>
      </c>
      <c r="O414" s="16" t="n">
        <v>1277.71</v>
      </c>
      <c r="P414" s="16" t="n">
        <v>1277.71</v>
      </c>
      <c r="Q414" s="16" t="n">
        <v>1277.71</v>
      </c>
      <c r="R414" s="16" t="n">
        <v>1277.71</v>
      </c>
      <c r="S414" s="16" t="n">
        <v>1277.71</v>
      </c>
      <c r="T414" s="16" t="n">
        <v>1277.71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CANON-202512-002944</t>
        </is>
      </c>
      <c r="B415" s="3" t="inlineStr">
        <is>
          <t>2025-12-22</t>
        </is>
      </c>
      <c r="C415" s="3" t="inlineStr">
        <is>
          <t>Cassius Vandermeer</t>
        </is>
      </c>
      <c r="D415" s="3" t="inlineStr">
        <is>
          <t>KS</t>
        </is>
      </c>
      <c r="E415" s="14" t="n">
        <v>1950000</v>
      </c>
      <c r="F415" s="14" t="n">
        <v>11123.38</v>
      </c>
      <c r="G415" s="14" t="n">
        <v>1390.42</v>
      </c>
      <c r="H415" s="14" t="n">
        <v>1390.42</v>
      </c>
      <c r="I415" s="14">
        <f>SUM(K415:T415)</f>
        <v/>
      </c>
      <c r="J415" s="14">
        <f>F415-(G415+H415+I415)</f>
        <v/>
      </c>
      <c r="K415" s="14" t="n">
        <v>834.25</v>
      </c>
      <c r="L415" s="14" t="n">
        <v>834.25</v>
      </c>
      <c r="M415" s="14" t="n">
        <v>834.25</v>
      </c>
      <c r="N415" s="14" t="n">
        <v>834.25</v>
      </c>
      <c r="O415" s="14" t="n">
        <v>834.25</v>
      </c>
      <c r="P415" s="14" t="n">
        <v>834.25</v>
      </c>
      <c r="Q415" s="14" t="n">
        <v>834.25</v>
      </c>
      <c r="R415" s="14" t="n">
        <v>834.25</v>
      </c>
      <c r="S415" s="14" t="n">
        <v>834.25</v>
      </c>
      <c r="T415" s="14" t="n">
        <v>834.25</v>
      </c>
      <c r="U415" s="14" t="n">
        <v>350</v>
      </c>
      <c r="V415" s="14" t="n">
        <v>250</v>
      </c>
      <c r="W415" s="14">
        <f>U415+V415</f>
        <v/>
      </c>
    </row>
    <row r="416">
      <c r="A416" s="15" t="inlineStr">
        <is>
          <t>CANON-202512-002945</t>
        </is>
      </c>
      <c r="B416" s="15" t="inlineStr">
        <is>
          <t>2025-12-09</t>
        </is>
      </c>
      <c r="C416" s="15" t="inlineStr">
        <is>
          <t>Emiliano Rourke</t>
        </is>
      </c>
      <c r="D416" s="15" t="inlineStr">
        <is>
          <t>MD</t>
        </is>
      </c>
      <c r="E416" s="16" t="n">
        <v>725000</v>
      </c>
      <c r="F416" s="16" t="n">
        <v>11317.14</v>
      </c>
      <c r="G416" s="16" t="n">
        <v>1414.64</v>
      </c>
      <c r="H416" s="16" t="n">
        <v>1414.64</v>
      </c>
      <c r="I416" s="16">
        <f>SUM(K416:T416)</f>
        <v/>
      </c>
      <c r="J416" s="16">
        <f>F416-(G416+H416+I416)</f>
        <v/>
      </c>
      <c r="K416" s="16" t="n">
        <v>848.79</v>
      </c>
      <c r="L416" s="16" t="n">
        <v>848.79</v>
      </c>
      <c r="M416" s="16" t="n">
        <v>848.79</v>
      </c>
      <c r="N416" s="16" t="n">
        <v>848.79</v>
      </c>
      <c r="O416" s="16" t="n">
        <v>848.79</v>
      </c>
      <c r="P416" s="16" t="n">
        <v>848.79</v>
      </c>
      <c r="Q416" s="16" t="n">
        <v>848.79</v>
      </c>
      <c r="R416" s="16" t="n">
        <v>848.79</v>
      </c>
      <c r="S416" s="16" t="n">
        <v>848.79</v>
      </c>
      <c r="T416" s="16" t="n">
        <v>848.79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CANON-202512-002946</t>
        </is>
      </c>
      <c r="B417" s="3" t="inlineStr">
        <is>
          <t>2025-12-23</t>
        </is>
      </c>
      <c r="C417" s="3" t="inlineStr">
        <is>
          <t>Lorenzo Vasquez</t>
        </is>
      </c>
      <c r="D417" s="3" t="inlineStr">
        <is>
          <t>OH</t>
        </is>
      </c>
      <c r="E417" s="14" t="n">
        <v>490000</v>
      </c>
      <c r="F417" s="14" t="n">
        <v>13547.52</v>
      </c>
      <c r="G417" s="14" t="n">
        <v>1693.44</v>
      </c>
      <c r="H417" s="14" t="n">
        <v>1693.44</v>
      </c>
      <c r="I417" s="14">
        <f>SUM(K417:T417)</f>
        <v/>
      </c>
      <c r="J417" s="14">
        <f>F417-(G417+H417+I417)</f>
        <v/>
      </c>
      <c r="K417" s="14" t="n">
        <v>1016.06</v>
      </c>
      <c r="L417" s="14" t="n">
        <v>1016.06</v>
      </c>
      <c r="M417" s="14" t="n">
        <v>1016.06</v>
      </c>
      <c r="N417" s="14" t="n">
        <v>1016.06</v>
      </c>
      <c r="O417" s="14" t="n">
        <v>1016.06</v>
      </c>
      <c r="P417" s="14" t="n">
        <v>1016.06</v>
      </c>
      <c r="Q417" s="14" t="n">
        <v>1016.06</v>
      </c>
      <c r="R417" s="14" t="n">
        <v>1016.06</v>
      </c>
      <c r="S417" s="14" t="n">
        <v>1016.06</v>
      </c>
      <c r="T417" s="14" t="n">
        <v>1016.06</v>
      </c>
      <c r="U417" s="14" t="n">
        <v>350</v>
      </c>
      <c r="V417" s="14" t="n">
        <v>0</v>
      </c>
      <c r="W417" s="14">
        <f>U417+V417</f>
        <v/>
      </c>
    </row>
    <row r="418">
      <c r="A418" s="15" t="inlineStr">
        <is>
          <t>CANON-202512-002947</t>
        </is>
      </c>
      <c r="B418" s="15" t="inlineStr">
        <is>
          <t>2025-12-08</t>
        </is>
      </c>
      <c r="C418" s="15" t="inlineStr">
        <is>
          <t>Everett Thistlewood</t>
        </is>
      </c>
      <c r="D418" s="15" t="inlineStr">
        <is>
          <t>VT</t>
        </is>
      </c>
      <c r="E418" s="16" t="n">
        <v>1065000</v>
      </c>
      <c r="F418" s="16" t="n">
        <v>12360.14</v>
      </c>
      <c r="G418" s="16" t="n">
        <v>1545.02</v>
      </c>
      <c r="H418" s="16" t="n">
        <v>1545.02</v>
      </c>
      <c r="I418" s="16">
        <f>SUM(K418:T418)</f>
        <v/>
      </c>
      <c r="J418" s="16">
        <f>F418-(G418+H418+I418)</f>
        <v/>
      </c>
      <c r="K418" s="16" t="n">
        <v>927.01</v>
      </c>
      <c r="L418" s="16" t="n">
        <v>927.01</v>
      </c>
      <c r="M418" s="16" t="n">
        <v>927.01</v>
      </c>
      <c r="N418" s="16" t="n">
        <v>927.01</v>
      </c>
      <c r="O418" s="16" t="n">
        <v>927.01</v>
      </c>
      <c r="P418" s="16" t="n">
        <v>927.01</v>
      </c>
      <c r="Q418" s="16" t="n">
        <v>927.01</v>
      </c>
      <c r="R418" s="16" t="n">
        <v>927.01</v>
      </c>
      <c r="S418" s="16" t="n">
        <v>927.01</v>
      </c>
      <c r="T418" s="16" t="n">
        <v>927.01</v>
      </c>
      <c r="U418" s="16" t="n">
        <v>350</v>
      </c>
      <c r="V418" s="16" t="n">
        <v>250</v>
      </c>
      <c r="W418" s="16">
        <f>U418+V418</f>
        <v/>
      </c>
    </row>
    <row r="419">
      <c r="A419" s="3" t="inlineStr">
        <is>
          <t>CANON-202512-002948</t>
        </is>
      </c>
      <c r="B419" s="3" t="inlineStr">
        <is>
          <t>2025-12-17</t>
        </is>
      </c>
      <c r="C419" s="3" t="inlineStr">
        <is>
          <t>Sunniva Kingsford</t>
        </is>
      </c>
      <c r="D419" s="3" t="inlineStr">
        <is>
          <t>NE</t>
        </is>
      </c>
      <c r="E419" s="14" t="n">
        <v>510000</v>
      </c>
      <c r="F419" s="14" t="n">
        <v>8944.57</v>
      </c>
      <c r="G419" s="14" t="n">
        <v>1118.07</v>
      </c>
      <c r="H419" s="14" t="n">
        <v>1118.07</v>
      </c>
      <c r="I419" s="14">
        <f>SUM(K419:T419)</f>
        <v/>
      </c>
      <c r="J419" s="14">
        <f>F419-(G419+H419+I419)</f>
        <v/>
      </c>
      <c r="K419" s="14" t="n">
        <v>670.84</v>
      </c>
      <c r="L419" s="14" t="n">
        <v>670.84</v>
      </c>
      <c r="M419" s="14" t="n">
        <v>670.84</v>
      </c>
      <c r="N419" s="14" t="n">
        <v>670.84</v>
      </c>
      <c r="O419" s="14" t="n">
        <v>670.84</v>
      </c>
      <c r="P419" s="14" t="n">
        <v>670.84</v>
      </c>
      <c r="Q419" s="14" t="n">
        <v>670.84</v>
      </c>
      <c r="R419" s="14" t="n">
        <v>670.84</v>
      </c>
      <c r="S419" s="14" t="n">
        <v>670.84</v>
      </c>
      <c r="T419" s="14" t="n">
        <v>670.84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CANON-202512-002949</t>
        </is>
      </c>
      <c r="B420" s="15" t="inlineStr">
        <is>
          <t>2025-12-08</t>
        </is>
      </c>
      <c r="C420" s="15" t="inlineStr">
        <is>
          <t>Emiliano Ashcombe</t>
        </is>
      </c>
      <c r="D420" s="15" t="inlineStr">
        <is>
          <t>SC</t>
        </is>
      </c>
      <c r="E420" s="16" t="n">
        <v>510000</v>
      </c>
      <c r="F420" s="16" t="n">
        <v>10391.23</v>
      </c>
      <c r="G420" s="16" t="n">
        <v>1298.9</v>
      </c>
      <c r="H420" s="16" t="n">
        <v>1298.9</v>
      </c>
      <c r="I420" s="16">
        <f>SUM(K420:T420)</f>
        <v/>
      </c>
      <c r="J420" s="16">
        <f>F420-(G420+H420+I420)</f>
        <v/>
      </c>
      <c r="K420" s="16" t="n">
        <v>779.34</v>
      </c>
      <c r="L420" s="16" t="n">
        <v>779.34</v>
      </c>
      <c r="M420" s="16" t="n">
        <v>779.34</v>
      </c>
      <c r="N420" s="16" t="n">
        <v>779.34</v>
      </c>
      <c r="O420" s="16" t="n">
        <v>779.34</v>
      </c>
      <c r="P420" s="16" t="n">
        <v>779.34</v>
      </c>
      <c r="Q420" s="16" t="n">
        <v>779.34</v>
      </c>
      <c r="R420" s="16" t="n">
        <v>779.34</v>
      </c>
      <c r="S420" s="16" t="n">
        <v>779.34</v>
      </c>
      <c r="T420" s="16" t="n">
        <v>779.34</v>
      </c>
      <c r="U420" s="16" t="n">
        <v>350</v>
      </c>
      <c r="V420" s="16" t="n">
        <v>0</v>
      </c>
      <c r="W420" s="16">
        <f>U420+V420</f>
        <v/>
      </c>
    </row>
    <row r="421">
      <c r="A421" s="3" t="inlineStr">
        <is>
          <t>CANON-202512-002952</t>
        </is>
      </c>
      <c r="B421" s="3" t="inlineStr">
        <is>
          <t>2025-12-26</t>
        </is>
      </c>
      <c r="C421" s="3" t="inlineStr">
        <is>
          <t>Leopold Fairweather</t>
        </is>
      </c>
      <c r="D421" s="3" t="inlineStr">
        <is>
          <t>AL</t>
        </is>
      </c>
      <c r="E421" s="14" t="n">
        <v>255000</v>
      </c>
      <c r="F421" s="14" t="n">
        <v>4201.03</v>
      </c>
      <c r="G421" s="14" t="n">
        <v>525.13</v>
      </c>
      <c r="H421" s="14" t="n">
        <v>525.13</v>
      </c>
      <c r="I421" s="14">
        <f>SUM(K421:T421)</f>
        <v/>
      </c>
      <c r="J421" s="14">
        <f>F421-(G421+H421+I421)</f>
        <v/>
      </c>
      <c r="K421" s="14" t="n">
        <v>315.08</v>
      </c>
      <c r="L421" s="14" t="n">
        <v>315.08</v>
      </c>
      <c r="M421" s="14" t="n">
        <v>315.08</v>
      </c>
      <c r="N421" s="14" t="n">
        <v>315.08</v>
      </c>
      <c r="O421" s="14" t="n">
        <v>315.08</v>
      </c>
      <c r="P421" s="14" t="n">
        <v>315.08</v>
      </c>
      <c r="Q421" s="14" t="n">
        <v>315.08</v>
      </c>
      <c r="R421" s="14" t="n">
        <v>315.08</v>
      </c>
      <c r="S421" s="14" t="n">
        <v>315.08</v>
      </c>
      <c r="T421" s="14" t="n">
        <v>315.08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CANON-202512-002954</t>
        </is>
      </c>
      <c r="B422" s="15" t="inlineStr">
        <is>
          <t>2025-12-12</t>
        </is>
      </c>
      <c r="C422" s="15" t="inlineStr">
        <is>
          <t>Priya Thistlewood</t>
        </is>
      </c>
      <c r="D422" s="15" t="inlineStr">
        <is>
          <t>NJ</t>
        </is>
      </c>
      <c r="E422" s="16" t="n">
        <v>365000</v>
      </c>
      <c r="F422" s="16" t="n">
        <v>4308.71</v>
      </c>
      <c r="G422" s="16" t="n">
        <v>538.59</v>
      </c>
      <c r="H422" s="16" t="n">
        <v>538.59</v>
      </c>
      <c r="I422" s="16">
        <f>SUM(K422:T422)</f>
        <v/>
      </c>
      <c r="J422" s="16">
        <f>F422-(G422+H422+I422)</f>
        <v/>
      </c>
      <c r="K422" s="16" t="n">
        <v>323.15</v>
      </c>
      <c r="L422" s="16" t="n">
        <v>323.15</v>
      </c>
      <c r="M422" s="16" t="n">
        <v>323.15</v>
      </c>
      <c r="N422" s="16" t="n">
        <v>323.15</v>
      </c>
      <c r="O422" s="16" t="n">
        <v>323.15</v>
      </c>
      <c r="P422" s="16" t="n">
        <v>323.15</v>
      </c>
      <c r="Q422" s="16" t="n">
        <v>323.15</v>
      </c>
      <c r="R422" s="16" t="n">
        <v>323.15</v>
      </c>
      <c r="S422" s="16" t="n">
        <v>323.15</v>
      </c>
      <c r="T422" s="16" t="n">
        <v>323.15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CANON-202512-002955</t>
        </is>
      </c>
      <c r="B423" s="3" t="inlineStr">
        <is>
          <t>2025-12-20</t>
        </is>
      </c>
      <c r="C423" s="3" t="inlineStr">
        <is>
          <t>Saoirse Fairweather</t>
        </is>
      </c>
      <c r="D423" s="3" t="inlineStr">
        <is>
          <t>CO</t>
        </is>
      </c>
      <c r="E423" s="14" t="n">
        <v>570000</v>
      </c>
      <c r="F423" s="14" t="n">
        <v>4663.23</v>
      </c>
      <c r="G423" s="14" t="n">
        <v>582.9</v>
      </c>
      <c r="H423" s="14" t="n">
        <v>582.9</v>
      </c>
      <c r="I423" s="14">
        <f>SUM(K423:T423)</f>
        <v/>
      </c>
      <c r="J423" s="14">
        <f>F423-(G423+H423+I423)</f>
        <v/>
      </c>
      <c r="K423" s="14" t="n">
        <v>349.74</v>
      </c>
      <c r="L423" s="14" t="n">
        <v>349.74</v>
      </c>
      <c r="M423" s="14" t="n">
        <v>349.74</v>
      </c>
      <c r="N423" s="14" t="n">
        <v>349.74</v>
      </c>
      <c r="O423" s="14" t="n">
        <v>349.74</v>
      </c>
      <c r="P423" s="14" t="n">
        <v>349.74</v>
      </c>
      <c r="Q423" s="14" t="n">
        <v>349.74</v>
      </c>
      <c r="R423" s="14" t="n">
        <v>349.74</v>
      </c>
      <c r="S423" s="14" t="n">
        <v>349.74</v>
      </c>
      <c r="T423" s="14" t="n">
        <v>349.74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CANON-202512-002956</t>
        </is>
      </c>
      <c r="B424" s="15" t="inlineStr">
        <is>
          <t>2025-12-25</t>
        </is>
      </c>
      <c r="C424" s="15" t="inlineStr">
        <is>
          <t>Sunniva Fairweather</t>
        </is>
      </c>
      <c r="D424" s="15" t="inlineStr">
        <is>
          <t>ID</t>
        </is>
      </c>
      <c r="E424" s="16" t="n">
        <v>420000</v>
      </c>
      <c r="F424" s="16" t="n">
        <v>5393.83</v>
      </c>
      <c r="G424" s="16" t="n">
        <v>674.23</v>
      </c>
      <c r="H424" s="16" t="n">
        <v>674.23</v>
      </c>
      <c r="I424" s="16">
        <f>SUM(K424:T424)</f>
        <v/>
      </c>
      <c r="J424" s="16">
        <f>F424-(G424+H424+I424)</f>
        <v/>
      </c>
      <c r="K424" s="16" t="n">
        <v>404.54</v>
      </c>
      <c r="L424" s="16" t="n">
        <v>404.54</v>
      </c>
      <c r="M424" s="16" t="n">
        <v>404.54</v>
      </c>
      <c r="N424" s="16" t="n">
        <v>404.54</v>
      </c>
      <c r="O424" s="16" t="n">
        <v>404.54</v>
      </c>
      <c r="P424" s="16" t="n">
        <v>404.54</v>
      </c>
      <c r="Q424" s="16" t="n">
        <v>404.54</v>
      </c>
      <c r="R424" s="16" t="n">
        <v>404.54</v>
      </c>
      <c r="S424" s="16" t="n">
        <v>404.54</v>
      </c>
      <c r="T424" s="16" t="n">
        <v>404.54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CANON-202512-002957</t>
        </is>
      </c>
      <c r="B425" s="3" t="inlineStr">
        <is>
          <t>2025-12-08</t>
        </is>
      </c>
      <c r="C425" s="3" t="inlineStr">
        <is>
          <t>Emiliano Bellandi</t>
        </is>
      </c>
      <c r="D425" s="3" t="inlineStr">
        <is>
          <t>FL</t>
        </is>
      </c>
      <c r="E425" s="14" t="n">
        <v>655000</v>
      </c>
      <c r="F425" s="14" t="n">
        <v>10456.7</v>
      </c>
      <c r="G425" s="14" t="n">
        <v>1307.09</v>
      </c>
      <c r="H425" s="14" t="n">
        <v>1307.09</v>
      </c>
      <c r="I425" s="14">
        <f>SUM(K425:T425)</f>
        <v/>
      </c>
      <c r="J425" s="14">
        <f>F425-(G425+H425+I425)</f>
        <v/>
      </c>
      <c r="K425" s="14" t="n">
        <v>784.25</v>
      </c>
      <c r="L425" s="14" t="n">
        <v>784.25</v>
      </c>
      <c r="M425" s="14" t="n">
        <v>784.25</v>
      </c>
      <c r="N425" s="14" t="n">
        <v>784.25</v>
      </c>
      <c r="O425" s="14" t="n">
        <v>784.25</v>
      </c>
      <c r="P425" s="14" t="n">
        <v>784.25</v>
      </c>
      <c r="Q425" s="14" t="n">
        <v>784.25</v>
      </c>
      <c r="R425" s="14" t="n">
        <v>784.25</v>
      </c>
      <c r="S425" s="14" t="n">
        <v>784.25</v>
      </c>
      <c r="T425" s="14" t="n">
        <v>784.25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CANON-202512-002958</t>
        </is>
      </c>
      <c r="B426" s="15" t="inlineStr">
        <is>
          <t>2025-12-27</t>
        </is>
      </c>
      <c r="C426" s="15" t="inlineStr">
        <is>
          <t>Sunniva Vandermeer</t>
        </is>
      </c>
      <c r="D426" s="15" t="inlineStr">
        <is>
          <t>MO</t>
        </is>
      </c>
      <c r="E426" s="16" t="n">
        <v>815000</v>
      </c>
      <c r="F426" s="16" t="n">
        <v>9712.440000000001</v>
      </c>
      <c r="G426" s="16" t="n">
        <v>1214.06</v>
      </c>
      <c r="H426" s="16" t="n">
        <v>1214.06</v>
      </c>
      <c r="I426" s="16">
        <f>SUM(K426:T426)</f>
        <v/>
      </c>
      <c r="J426" s="16">
        <f>F426-(G426+H426+I426)</f>
        <v/>
      </c>
      <c r="K426" s="16" t="n">
        <v>728.4299999999999</v>
      </c>
      <c r="L426" s="16" t="n">
        <v>728.4299999999999</v>
      </c>
      <c r="M426" s="16" t="n">
        <v>728.4299999999999</v>
      </c>
      <c r="N426" s="16" t="n">
        <v>728.4299999999999</v>
      </c>
      <c r="O426" s="16" t="n">
        <v>728.4299999999999</v>
      </c>
      <c r="P426" s="16" t="n">
        <v>728.4299999999999</v>
      </c>
      <c r="Q426" s="16" t="n">
        <v>728.4299999999999</v>
      </c>
      <c r="R426" s="16" t="n">
        <v>728.4299999999999</v>
      </c>
      <c r="S426" s="16" t="n">
        <v>728.4299999999999</v>
      </c>
      <c r="T426" s="16" t="n">
        <v>728.4299999999999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CANON-202512-002959</t>
        </is>
      </c>
      <c r="B427" s="3" t="inlineStr">
        <is>
          <t>2025-12-17</t>
        </is>
      </c>
      <c r="C427" s="3" t="inlineStr">
        <is>
          <t>Priya Merriweather</t>
        </is>
      </c>
      <c r="D427" s="3" t="inlineStr">
        <is>
          <t>WV</t>
        </is>
      </c>
      <c r="E427" s="14" t="n">
        <v>230000</v>
      </c>
      <c r="F427" s="14" t="n">
        <v>4867.64</v>
      </c>
      <c r="G427" s="14" t="n">
        <v>608.46</v>
      </c>
      <c r="H427" s="14" t="n">
        <v>608.46</v>
      </c>
      <c r="I427" s="14">
        <f>SUM(K427:T427)</f>
        <v/>
      </c>
      <c r="J427" s="14">
        <f>F427-(G427+H427+I427)</f>
        <v/>
      </c>
      <c r="K427" s="14" t="n">
        <v>365.07</v>
      </c>
      <c r="L427" s="14" t="n">
        <v>365.07</v>
      </c>
      <c r="M427" s="14" t="n">
        <v>365.07</v>
      </c>
      <c r="N427" s="14" t="n">
        <v>365.07</v>
      </c>
      <c r="O427" s="14" t="n">
        <v>365.07</v>
      </c>
      <c r="P427" s="14" t="n">
        <v>365.07</v>
      </c>
      <c r="Q427" s="14" t="n">
        <v>365.07</v>
      </c>
      <c r="R427" s="14" t="n">
        <v>365.07</v>
      </c>
      <c r="S427" s="14" t="n">
        <v>365.07</v>
      </c>
      <c r="T427" s="14" t="n">
        <v>365.07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CANON-202512-002960</t>
        </is>
      </c>
      <c r="B428" s="15" t="inlineStr">
        <is>
          <t>2025-12-16</t>
        </is>
      </c>
      <c r="C428" s="15" t="inlineStr">
        <is>
          <t>Lorenzo Okonkwo</t>
        </is>
      </c>
      <c r="D428" s="15" t="inlineStr">
        <is>
          <t>RI</t>
        </is>
      </c>
      <c r="E428" s="16" t="n">
        <v>435000</v>
      </c>
      <c r="F428" s="16" t="n">
        <v>7730.76</v>
      </c>
      <c r="G428" s="16" t="n">
        <v>966.35</v>
      </c>
      <c r="H428" s="16" t="n">
        <v>966.35</v>
      </c>
      <c r="I428" s="16">
        <f>SUM(K428:T428)</f>
        <v/>
      </c>
      <c r="J428" s="16">
        <f>F428-(G428+H428+I428)</f>
        <v/>
      </c>
      <c r="K428" s="16" t="n">
        <v>579.8099999999999</v>
      </c>
      <c r="L428" s="16" t="n">
        <v>579.8099999999999</v>
      </c>
      <c r="M428" s="16" t="n">
        <v>579.8099999999999</v>
      </c>
      <c r="N428" s="16" t="n">
        <v>579.8099999999999</v>
      </c>
      <c r="O428" s="16" t="n">
        <v>579.8099999999999</v>
      </c>
      <c r="P428" s="16" t="n">
        <v>579.8099999999999</v>
      </c>
      <c r="Q428" s="16" t="n">
        <v>579.8099999999999</v>
      </c>
      <c r="R428" s="16" t="n">
        <v>579.8099999999999</v>
      </c>
      <c r="S428" s="16" t="n">
        <v>579.8099999999999</v>
      </c>
      <c r="T428" s="16" t="n">
        <v>579.8099999999999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CANON-202512-002961</t>
        </is>
      </c>
      <c r="B429" s="3" t="inlineStr">
        <is>
          <t>2025-12-20</t>
        </is>
      </c>
      <c r="C429" s="3" t="inlineStr">
        <is>
          <t>Ottilie Vasquez</t>
        </is>
      </c>
      <c r="D429" s="3" t="inlineStr">
        <is>
          <t>NY</t>
        </is>
      </c>
      <c r="E429" s="14" t="n">
        <v>720000</v>
      </c>
      <c r="F429" s="14" t="n">
        <v>10361.13</v>
      </c>
      <c r="G429" s="14" t="n">
        <v>1295.14</v>
      </c>
      <c r="H429" s="14" t="n">
        <v>1295.14</v>
      </c>
      <c r="I429" s="14">
        <f>SUM(K429:T429)</f>
        <v/>
      </c>
      <c r="J429" s="14">
        <f>F429-(G429+H429+I429)</f>
        <v/>
      </c>
      <c r="K429" s="14" t="n">
        <v>777.08</v>
      </c>
      <c r="L429" s="14" t="n">
        <v>777.08</v>
      </c>
      <c r="M429" s="14" t="n">
        <v>777.08</v>
      </c>
      <c r="N429" s="14" t="n">
        <v>777.08</v>
      </c>
      <c r="O429" s="14" t="n">
        <v>777.08</v>
      </c>
      <c r="P429" s="14" t="n">
        <v>777.08</v>
      </c>
      <c r="Q429" s="14" t="n">
        <v>777.08</v>
      </c>
      <c r="R429" s="14" t="n">
        <v>777.08</v>
      </c>
      <c r="S429" s="14" t="n">
        <v>777.08</v>
      </c>
      <c r="T429" s="14" t="n">
        <v>777.08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CANON-202512-002962</t>
        </is>
      </c>
      <c r="B430" s="15" t="inlineStr">
        <is>
          <t>2025-12-24</t>
        </is>
      </c>
      <c r="C430" s="15" t="inlineStr">
        <is>
          <t>Cassius Vandermeer</t>
        </is>
      </c>
      <c r="D430" s="15" t="inlineStr">
        <is>
          <t>CT</t>
        </is>
      </c>
      <c r="E430" s="16" t="n">
        <v>555000</v>
      </c>
      <c r="F430" s="16" t="n">
        <v>6988.37</v>
      </c>
      <c r="G430" s="16" t="n">
        <v>873.55</v>
      </c>
      <c r="H430" s="16" t="n">
        <v>873.55</v>
      </c>
      <c r="I430" s="16">
        <f>SUM(K430:T430)</f>
        <v/>
      </c>
      <c r="J430" s="16">
        <f>F430-(G430+H430+I430)</f>
        <v/>
      </c>
      <c r="K430" s="16" t="n">
        <v>524.13</v>
      </c>
      <c r="L430" s="16" t="n">
        <v>524.13</v>
      </c>
      <c r="M430" s="16" t="n">
        <v>524.13</v>
      </c>
      <c r="N430" s="16" t="n">
        <v>524.13</v>
      </c>
      <c r="O430" s="16" t="n">
        <v>524.13</v>
      </c>
      <c r="P430" s="16" t="n">
        <v>524.13</v>
      </c>
      <c r="Q430" s="16" t="n">
        <v>524.13</v>
      </c>
      <c r="R430" s="16" t="n">
        <v>524.13</v>
      </c>
      <c r="S430" s="16" t="n">
        <v>524.13</v>
      </c>
      <c r="T430" s="16" t="n">
        <v>524.13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CANON-202512-002963</t>
        </is>
      </c>
      <c r="B431" s="3" t="inlineStr">
        <is>
          <t>2025-12-08</t>
        </is>
      </c>
      <c r="C431" s="3" t="inlineStr">
        <is>
          <t>Saoirse Farkas</t>
        </is>
      </c>
      <c r="D431" s="3" t="inlineStr">
        <is>
          <t>LA</t>
        </is>
      </c>
      <c r="E431" s="14" t="n">
        <v>395000</v>
      </c>
      <c r="F431" s="14" t="n">
        <v>6200.05</v>
      </c>
      <c r="G431" s="14" t="n">
        <v>775.01</v>
      </c>
      <c r="H431" s="14" t="n">
        <v>775.01</v>
      </c>
      <c r="I431" s="14">
        <f>SUM(K431:T431)</f>
        <v/>
      </c>
      <c r="J431" s="14">
        <f>F431-(G431+H431+I431)</f>
        <v/>
      </c>
      <c r="K431" s="14" t="n">
        <v>465</v>
      </c>
      <c r="L431" s="14" t="n">
        <v>465</v>
      </c>
      <c r="M431" s="14" t="n">
        <v>465</v>
      </c>
      <c r="N431" s="14" t="n">
        <v>465</v>
      </c>
      <c r="O431" s="14" t="n">
        <v>465</v>
      </c>
      <c r="P431" s="14" t="n">
        <v>465</v>
      </c>
      <c r="Q431" s="14" t="n">
        <v>465</v>
      </c>
      <c r="R431" s="14" t="n">
        <v>465</v>
      </c>
      <c r="S431" s="14" t="n">
        <v>465</v>
      </c>
      <c r="T431" s="14" t="n">
        <v>465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CANON-202512-002964</t>
        </is>
      </c>
      <c r="B432" s="15" t="inlineStr">
        <is>
          <t>2025-12-02</t>
        </is>
      </c>
      <c r="C432" s="15" t="inlineStr">
        <is>
          <t>Priya Fairweather</t>
        </is>
      </c>
      <c r="D432" s="15" t="inlineStr">
        <is>
          <t>KS</t>
        </is>
      </c>
      <c r="E432" s="16" t="n">
        <v>1095000</v>
      </c>
      <c r="F432" s="16" t="n">
        <v>6981.06</v>
      </c>
      <c r="G432" s="16" t="n">
        <v>872.63</v>
      </c>
      <c r="H432" s="16" t="n">
        <v>872.63</v>
      </c>
      <c r="I432" s="16">
        <f>SUM(K432:T432)</f>
        <v/>
      </c>
      <c r="J432" s="16">
        <f>F432-(G432+H432+I432)</f>
        <v/>
      </c>
      <c r="K432" s="16" t="n">
        <v>523.58</v>
      </c>
      <c r="L432" s="16" t="n">
        <v>523.58</v>
      </c>
      <c r="M432" s="16" t="n">
        <v>523.58</v>
      </c>
      <c r="N432" s="16" t="n">
        <v>523.58</v>
      </c>
      <c r="O432" s="16" t="n">
        <v>523.58</v>
      </c>
      <c r="P432" s="16" t="n">
        <v>523.58</v>
      </c>
      <c r="Q432" s="16" t="n">
        <v>523.58</v>
      </c>
      <c r="R432" s="16" t="n">
        <v>523.58</v>
      </c>
      <c r="S432" s="16" t="n">
        <v>523.58</v>
      </c>
      <c r="T432" s="16" t="n">
        <v>523.58</v>
      </c>
      <c r="U432" s="16" t="n">
        <v>350</v>
      </c>
      <c r="V432" s="16" t="n">
        <v>250</v>
      </c>
      <c r="W432" s="16">
        <f>U432+V432</f>
        <v/>
      </c>
    </row>
    <row r="433">
      <c r="A433" s="3" t="inlineStr">
        <is>
          <t>CANON-202512-002965</t>
        </is>
      </c>
      <c r="B433" s="3" t="inlineStr">
        <is>
          <t>2025-12-18</t>
        </is>
      </c>
      <c r="C433" s="3" t="inlineStr">
        <is>
          <t>Callum Larsson</t>
        </is>
      </c>
      <c r="D433" s="3" t="inlineStr">
        <is>
          <t>IL</t>
        </is>
      </c>
      <c r="E433" s="14" t="n">
        <v>1035000</v>
      </c>
      <c r="F433" s="14" t="n">
        <v>9251.549999999999</v>
      </c>
      <c r="G433" s="14" t="n">
        <v>1156.44</v>
      </c>
      <c r="H433" s="14" t="n">
        <v>1156.44</v>
      </c>
      <c r="I433" s="14">
        <f>SUM(K433:T433)</f>
        <v/>
      </c>
      <c r="J433" s="14">
        <f>F433-(G433+H433+I433)</f>
        <v/>
      </c>
      <c r="K433" s="14" t="n">
        <v>693.87</v>
      </c>
      <c r="L433" s="14" t="n">
        <v>693.87</v>
      </c>
      <c r="M433" s="14" t="n">
        <v>693.87</v>
      </c>
      <c r="N433" s="14" t="n">
        <v>693.87</v>
      </c>
      <c r="O433" s="14" t="n">
        <v>693.87</v>
      </c>
      <c r="P433" s="14" t="n">
        <v>693.87</v>
      </c>
      <c r="Q433" s="14" t="n">
        <v>693.87</v>
      </c>
      <c r="R433" s="14" t="n">
        <v>693.87</v>
      </c>
      <c r="S433" s="14" t="n">
        <v>693.87</v>
      </c>
      <c r="T433" s="14" t="n">
        <v>693.87</v>
      </c>
      <c r="U433" s="14" t="n">
        <v>350</v>
      </c>
      <c r="V433" s="14" t="n">
        <v>250</v>
      </c>
      <c r="W433" s="14">
        <f>U433+V433</f>
        <v/>
      </c>
    </row>
    <row r="434">
      <c r="A434" s="15" t="inlineStr">
        <is>
          <t>CANON-202512-002966</t>
        </is>
      </c>
      <c r="B434" s="15" t="inlineStr">
        <is>
          <t>2025-12-23</t>
        </is>
      </c>
      <c r="C434" s="15" t="inlineStr">
        <is>
          <t>Beatrix Bellandi</t>
        </is>
      </c>
      <c r="D434" s="15" t="inlineStr">
        <is>
          <t>OR</t>
        </is>
      </c>
      <c r="E434" s="16" t="n">
        <v>1495000</v>
      </c>
      <c r="F434" s="16" t="n">
        <v>23375.5</v>
      </c>
      <c r="G434" s="16" t="n">
        <v>2921.94</v>
      </c>
      <c r="H434" s="16" t="n">
        <v>2921.94</v>
      </c>
      <c r="I434" s="16">
        <f>SUM(K434:T434)</f>
        <v/>
      </c>
      <c r="J434" s="16">
        <f>F434-(G434+H434+I434)</f>
        <v/>
      </c>
      <c r="K434" s="16" t="n">
        <v>1753.16</v>
      </c>
      <c r="L434" s="16" t="n">
        <v>1753.16</v>
      </c>
      <c r="M434" s="16" t="n">
        <v>1753.16</v>
      </c>
      <c r="N434" s="16" t="n">
        <v>1753.16</v>
      </c>
      <c r="O434" s="16" t="n">
        <v>1753.16</v>
      </c>
      <c r="P434" s="16" t="n">
        <v>1753.16</v>
      </c>
      <c r="Q434" s="16" t="n">
        <v>1753.16</v>
      </c>
      <c r="R434" s="16" t="n">
        <v>1753.16</v>
      </c>
      <c r="S434" s="16" t="n">
        <v>1753.16</v>
      </c>
      <c r="T434" s="16" t="n">
        <v>1753.16</v>
      </c>
      <c r="U434" s="16" t="n">
        <v>350</v>
      </c>
      <c r="V434" s="16" t="n">
        <v>250</v>
      </c>
      <c r="W434" s="16">
        <f>U434+V434</f>
        <v/>
      </c>
    </row>
    <row r="435">
      <c r="A435" s="3" t="inlineStr">
        <is>
          <t>CANON-202512-002967</t>
        </is>
      </c>
      <c r="B435" s="3" t="inlineStr">
        <is>
          <t>2025-12-03</t>
        </is>
      </c>
      <c r="C435" s="3" t="inlineStr">
        <is>
          <t>Thaddeus Nakashima</t>
        </is>
      </c>
      <c r="D435" s="3" t="inlineStr">
        <is>
          <t>WA</t>
        </is>
      </c>
      <c r="E435" s="14" t="n">
        <v>215000</v>
      </c>
      <c r="F435" s="14" t="n">
        <v>3284.34</v>
      </c>
      <c r="G435" s="14" t="n">
        <v>410.54</v>
      </c>
      <c r="H435" s="14" t="n">
        <v>410.54</v>
      </c>
      <c r="I435" s="14">
        <f>SUM(K435:T435)</f>
        <v/>
      </c>
      <c r="J435" s="14">
        <f>F435-(G435+H435+I435)</f>
        <v/>
      </c>
      <c r="K435" s="14" t="n">
        <v>246.33</v>
      </c>
      <c r="L435" s="14" t="n">
        <v>246.33</v>
      </c>
      <c r="M435" s="14" t="n">
        <v>246.33</v>
      </c>
      <c r="N435" s="14" t="n">
        <v>246.33</v>
      </c>
      <c r="O435" s="14" t="n">
        <v>246.33</v>
      </c>
      <c r="P435" s="14" t="n">
        <v>246.33</v>
      </c>
      <c r="Q435" s="14" t="n">
        <v>246.33</v>
      </c>
      <c r="R435" s="14" t="n">
        <v>246.33</v>
      </c>
      <c r="S435" s="14" t="n">
        <v>246.33</v>
      </c>
      <c r="T435" s="14" t="n">
        <v>246.33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CANON-202512-002968</t>
        </is>
      </c>
      <c r="B436" s="15" t="inlineStr">
        <is>
          <t>2025-12-19</t>
        </is>
      </c>
      <c r="C436" s="15" t="inlineStr">
        <is>
          <t>Emiliano Ashcombe</t>
        </is>
      </c>
      <c r="D436" s="15" t="inlineStr">
        <is>
          <t>CA</t>
        </is>
      </c>
      <c r="E436" s="16" t="n">
        <v>750000</v>
      </c>
      <c r="F436" s="16" t="n">
        <v>16636.8</v>
      </c>
      <c r="G436" s="16" t="n">
        <v>2079.6</v>
      </c>
      <c r="H436" s="16" t="n">
        <v>2079.6</v>
      </c>
      <c r="I436" s="16">
        <f>SUM(K436:T436)</f>
        <v/>
      </c>
      <c r="J436" s="16">
        <f>F436-(G436+H436+I436)</f>
        <v/>
      </c>
      <c r="K436" s="16" t="n">
        <v>1247.76</v>
      </c>
      <c r="L436" s="16" t="n">
        <v>1247.76</v>
      </c>
      <c r="M436" s="16" t="n">
        <v>1247.76</v>
      </c>
      <c r="N436" s="16" t="n">
        <v>1247.76</v>
      </c>
      <c r="O436" s="16" t="n">
        <v>1247.76</v>
      </c>
      <c r="P436" s="16" t="n">
        <v>1247.76</v>
      </c>
      <c r="Q436" s="16" t="n">
        <v>1247.76</v>
      </c>
      <c r="R436" s="16" t="n">
        <v>1247.76</v>
      </c>
      <c r="S436" s="16" t="n">
        <v>1247.76</v>
      </c>
      <c r="T436" s="16" t="n">
        <v>1247.76</v>
      </c>
      <c r="U436" s="16" t="n">
        <v>350</v>
      </c>
      <c r="V436" s="16" t="n">
        <v>0</v>
      </c>
      <c r="W436" s="16">
        <f>U436+V436</f>
        <v/>
      </c>
    </row>
    <row r="437">
      <c r="A437" s="3" t="inlineStr">
        <is>
          <t>CANON-202512-002970</t>
        </is>
      </c>
      <c r="B437" s="3" t="inlineStr">
        <is>
          <t>2025-12-24</t>
        </is>
      </c>
      <c r="C437" s="3" t="inlineStr">
        <is>
          <t>Fitzgerald Rourke</t>
        </is>
      </c>
      <c r="D437" s="3" t="inlineStr">
        <is>
          <t>WA</t>
        </is>
      </c>
      <c r="E437" s="14" t="n">
        <v>1495000</v>
      </c>
      <c r="F437" s="14" t="n">
        <v>13652.94</v>
      </c>
      <c r="G437" s="14" t="n">
        <v>1706.62</v>
      </c>
      <c r="H437" s="14" t="n">
        <v>1706.62</v>
      </c>
      <c r="I437" s="14">
        <f>SUM(K437:T437)</f>
        <v/>
      </c>
      <c r="J437" s="14">
        <f>F437-(G437+H437+I437)</f>
        <v/>
      </c>
      <c r="K437" s="14" t="n">
        <v>1023.97</v>
      </c>
      <c r="L437" s="14" t="n">
        <v>1023.97</v>
      </c>
      <c r="M437" s="14" t="n">
        <v>1023.97</v>
      </c>
      <c r="N437" s="14" t="n">
        <v>1023.97</v>
      </c>
      <c r="O437" s="14" t="n">
        <v>1023.97</v>
      </c>
      <c r="P437" s="14" t="n">
        <v>1023.97</v>
      </c>
      <c r="Q437" s="14" t="n">
        <v>1023.97</v>
      </c>
      <c r="R437" s="14" t="n">
        <v>1023.97</v>
      </c>
      <c r="S437" s="14" t="n">
        <v>1023.97</v>
      </c>
      <c r="T437" s="14" t="n">
        <v>1023.97</v>
      </c>
      <c r="U437" s="14" t="n">
        <v>350</v>
      </c>
      <c r="V437" s="14" t="n">
        <v>250</v>
      </c>
      <c r="W437" s="14">
        <f>U437+V437</f>
        <v/>
      </c>
    </row>
    <row r="438">
      <c r="A438" s="15" t="inlineStr">
        <is>
          <t>CANON-202512-002971</t>
        </is>
      </c>
      <c r="B438" s="15" t="inlineStr">
        <is>
          <t>2025-12-28</t>
        </is>
      </c>
      <c r="C438" s="15" t="inlineStr">
        <is>
          <t>Leopold Whitlock</t>
        </is>
      </c>
      <c r="D438" s="15" t="inlineStr">
        <is>
          <t>NJ</t>
        </is>
      </c>
      <c r="E438" s="16" t="n">
        <v>515000</v>
      </c>
      <c r="F438" s="16" t="n">
        <v>5268.82</v>
      </c>
      <c r="G438" s="16" t="n">
        <v>658.6</v>
      </c>
      <c r="H438" s="16" t="n">
        <v>658.6</v>
      </c>
      <c r="I438" s="16">
        <f>SUM(K438:T438)</f>
        <v/>
      </c>
      <c r="J438" s="16">
        <f>F438-(G438+H438+I438)</f>
        <v/>
      </c>
      <c r="K438" s="16" t="n">
        <v>395.16</v>
      </c>
      <c r="L438" s="16" t="n">
        <v>395.16</v>
      </c>
      <c r="M438" s="16" t="n">
        <v>395.16</v>
      </c>
      <c r="N438" s="16" t="n">
        <v>395.16</v>
      </c>
      <c r="O438" s="16" t="n">
        <v>395.16</v>
      </c>
      <c r="P438" s="16" t="n">
        <v>395.16</v>
      </c>
      <c r="Q438" s="16" t="n">
        <v>395.16</v>
      </c>
      <c r="R438" s="16" t="n">
        <v>395.16</v>
      </c>
      <c r="S438" s="16" t="n">
        <v>395.16</v>
      </c>
      <c r="T438" s="16" t="n">
        <v>395.16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CANON-202512-002972</t>
        </is>
      </c>
      <c r="B439" s="3" t="inlineStr">
        <is>
          <t>2025-12-25</t>
        </is>
      </c>
      <c r="C439" s="3" t="inlineStr">
        <is>
          <t>Thaddeus Blackwood</t>
        </is>
      </c>
      <c r="D439" s="3" t="inlineStr">
        <is>
          <t>TX</t>
        </is>
      </c>
      <c r="E439" s="14" t="n">
        <v>1270000</v>
      </c>
      <c r="F439" s="14" t="n">
        <v>9599.23</v>
      </c>
      <c r="G439" s="14" t="n">
        <v>1199.9</v>
      </c>
      <c r="H439" s="14" t="n">
        <v>1199.9</v>
      </c>
      <c r="I439" s="14">
        <f>SUM(K439:T439)</f>
        <v/>
      </c>
      <c r="J439" s="14">
        <f>F439-(G439+H439+I439)</f>
        <v/>
      </c>
      <c r="K439" s="14" t="n">
        <v>719.9400000000001</v>
      </c>
      <c r="L439" s="14" t="n">
        <v>719.9400000000001</v>
      </c>
      <c r="M439" s="14" t="n">
        <v>719.9400000000001</v>
      </c>
      <c r="N439" s="14" t="n">
        <v>719.9400000000001</v>
      </c>
      <c r="O439" s="14" t="n">
        <v>719.9400000000001</v>
      </c>
      <c r="P439" s="14" t="n">
        <v>719.9400000000001</v>
      </c>
      <c r="Q439" s="14" t="n">
        <v>719.9400000000001</v>
      </c>
      <c r="R439" s="14" t="n">
        <v>719.9400000000001</v>
      </c>
      <c r="S439" s="14" t="n">
        <v>719.9400000000001</v>
      </c>
      <c r="T439" s="14" t="n">
        <v>719.9400000000001</v>
      </c>
      <c r="U439" s="14" t="n">
        <v>350</v>
      </c>
      <c r="V439" s="14" t="n">
        <v>250</v>
      </c>
      <c r="W439" s="14">
        <f>U439+V439</f>
        <v/>
      </c>
    </row>
    <row r="440">
      <c r="A440" s="15" t="inlineStr">
        <is>
          <t>CANON-202512-002973</t>
        </is>
      </c>
      <c r="B440" s="15" t="inlineStr">
        <is>
          <t>2025-12-09</t>
        </is>
      </c>
      <c r="C440" s="15" t="inlineStr">
        <is>
          <t>Fitzgerald Castellanos</t>
        </is>
      </c>
      <c r="D440" s="15" t="inlineStr">
        <is>
          <t>NY</t>
        </is>
      </c>
      <c r="E440" s="16" t="n">
        <v>1285000</v>
      </c>
      <c r="F440" s="16" t="n">
        <v>15646.86</v>
      </c>
      <c r="G440" s="16" t="n">
        <v>1955.86</v>
      </c>
      <c r="H440" s="16" t="n">
        <v>1955.86</v>
      </c>
      <c r="I440" s="16">
        <f>SUM(K440:T440)</f>
        <v/>
      </c>
      <c r="J440" s="16">
        <f>F440-(G440+H440+I440)</f>
        <v/>
      </c>
      <c r="K440" s="16" t="n">
        <v>1173.51</v>
      </c>
      <c r="L440" s="16" t="n">
        <v>1173.51</v>
      </c>
      <c r="M440" s="16" t="n">
        <v>1173.51</v>
      </c>
      <c r="N440" s="16" t="n">
        <v>1173.51</v>
      </c>
      <c r="O440" s="16" t="n">
        <v>1173.51</v>
      </c>
      <c r="P440" s="16" t="n">
        <v>1173.51</v>
      </c>
      <c r="Q440" s="16" t="n">
        <v>1173.51</v>
      </c>
      <c r="R440" s="16" t="n">
        <v>1173.51</v>
      </c>
      <c r="S440" s="16" t="n">
        <v>1173.51</v>
      </c>
      <c r="T440" s="16" t="n">
        <v>1173.51</v>
      </c>
      <c r="U440" s="16" t="n">
        <v>350</v>
      </c>
      <c r="V440" s="16" t="n">
        <v>250</v>
      </c>
      <c r="W440" s="16">
        <f>U440+V440</f>
        <v/>
      </c>
    </row>
    <row r="441">
      <c r="A441" s="3" t="inlineStr">
        <is>
          <t>CANON-202512-002975</t>
        </is>
      </c>
      <c r="B441" s="3" t="inlineStr">
        <is>
          <t>2025-12-01</t>
        </is>
      </c>
      <c r="C441" s="3" t="inlineStr">
        <is>
          <t>Aurelio Ashcombe</t>
        </is>
      </c>
      <c r="D441" s="3" t="inlineStr">
        <is>
          <t>NY</t>
        </is>
      </c>
      <c r="E441" s="14" t="n">
        <v>595000</v>
      </c>
      <c r="F441" s="14" t="n">
        <v>8562.33</v>
      </c>
      <c r="G441" s="14" t="n">
        <v>1070.29</v>
      </c>
      <c r="H441" s="14" t="n">
        <v>1070.29</v>
      </c>
      <c r="I441" s="14">
        <f>SUM(K441:T441)</f>
        <v/>
      </c>
      <c r="J441" s="14">
        <f>F441-(G441+H441+I441)</f>
        <v/>
      </c>
      <c r="K441" s="14" t="n">
        <v>642.17</v>
      </c>
      <c r="L441" s="14" t="n">
        <v>642.17</v>
      </c>
      <c r="M441" s="14" t="n">
        <v>642.17</v>
      </c>
      <c r="N441" s="14" t="n">
        <v>642.17</v>
      </c>
      <c r="O441" s="14" t="n">
        <v>642.17</v>
      </c>
      <c r="P441" s="14" t="n">
        <v>642.17</v>
      </c>
      <c r="Q441" s="14" t="n">
        <v>642.17</v>
      </c>
      <c r="R441" s="14" t="n">
        <v>642.17</v>
      </c>
      <c r="S441" s="14" t="n">
        <v>642.17</v>
      </c>
      <c r="T441" s="14" t="n">
        <v>642.17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CANON-202512-002976</t>
        </is>
      </c>
      <c r="B442" s="15" t="inlineStr">
        <is>
          <t>2025-12-01</t>
        </is>
      </c>
      <c r="C442" s="15" t="inlineStr">
        <is>
          <t>Horace Kingsford</t>
        </is>
      </c>
      <c r="D442" s="15" t="inlineStr">
        <is>
          <t>FL</t>
        </is>
      </c>
      <c r="E442" s="16" t="n">
        <v>1185000</v>
      </c>
      <c r="F442" s="16" t="n">
        <v>9895.48</v>
      </c>
      <c r="G442" s="16" t="n">
        <v>1236.93</v>
      </c>
      <c r="H442" s="16" t="n">
        <v>1236.93</v>
      </c>
      <c r="I442" s="16">
        <f>SUM(K442:T442)</f>
        <v/>
      </c>
      <c r="J442" s="16">
        <f>F442-(G442+H442+I442)</f>
        <v/>
      </c>
      <c r="K442" s="16" t="n">
        <v>742.16</v>
      </c>
      <c r="L442" s="16" t="n">
        <v>742.16</v>
      </c>
      <c r="M442" s="16" t="n">
        <v>742.16</v>
      </c>
      <c r="N442" s="16" t="n">
        <v>742.16</v>
      </c>
      <c r="O442" s="16" t="n">
        <v>742.16</v>
      </c>
      <c r="P442" s="16" t="n">
        <v>742.16</v>
      </c>
      <c r="Q442" s="16" t="n">
        <v>742.16</v>
      </c>
      <c r="R442" s="16" t="n">
        <v>742.16</v>
      </c>
      <c r="S442" s="16" t="n">
        <v>742.16</v>
      </c>
      <c r="T442" s="16" t="n">
        <v>742.16</v>
      </c>
      <c r="U442" s="16" t="n">
        <v>350</v>
      </c>
      <c r="V442" s="16" t="n">
        <v>250</v>
      </c>
      <c r="W442" s="16">
        <f>U442+V442</f>
        <v/>
      </c>
    </row>
    <row r="443">
      <c r="A443" s="3" t="inlineStr">
        <is>
          <t>CANON-202512-002977</t>
        </is>
      </c>
      <c r="B443" s="3" t="inlineStr">
        <is>
          <t>2025-12-11</t>
        </is>
      </c>
      <c r="C443" s="3" t="inlineStr">
        <is>
          <t>Lorenzo Merriweather</t>
        </is>
      </c>
      <c r="D443" s="3" t="inlineStr">
        <is>
          <t>HI</t>
        </is>
      </c>
      <c r="E443" s="14" t="n">
        <v>560000</v>
      </c>
      <c r="F443" s="14" t="n">
        <v>8184.57</v>
      </c>
      <c r="G443" s="14" t="n">
        <v>1023.07</v>
      </c>
      <c r="H443" s="14" t="n">
        <v>1023.07</v>
      </c>
      <c r="I443" s="14">
        <f>SUM(K443:T443)</f>
        <v/>
      </c>
      <c r="J443" s="14">
        <f>F443-(G443+H443+I443)</f>
        <v/>
      </c>
      <c r="K443" s="14" t="n">
        <v>613.84</v>
      </c>
      <c r="L443" s="14" t="n">
        <v>613.84</v>
      </c>
      <c r="M443" s="14" t="n">
        <v>613.84</v>
      </c>
      <c r="N443" s="14" t="n">
        <v>613.84</v>
      </c>
      <c r="O443" s="14" t="n">
        <v>613.84</v>
      </c>
      <c r="P443" s="14" t="n">
        <v>613.84</v>
      </c>
      <c r="Q443" s="14" t="n">
        <v>613.84</v>
      </c>
      <c r="R443" s="14" t="n">
        <v>613.84</v>
      </c>
      <c r="S443" s="14" t="n">
        <v>613.84</v>
      </c>
      <c r="T443" s="14" t="n">
        <v>613.84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CANON-202512-002979</t>
        </is>
      </c>
      <c r="B444" s="15" t="inlineStr">
        <is>
          <t>2025-12-19</t>
        </is>
      </c>
      <c r="C444" s="15" t="inlineStr">
        <is>
          <t>Leopold Chattopadhyay</t>
        </is>
      </c>
      <c r="D444" s="15" t="inlineStr">
        <is>
          <t>ID</t>
        </is>
      </c>
      <c r="E444" s="16" t="n">
        <v>150000</v>
      </c>
      <c r="F444" s="16" t="n">
        <v>2363.01</v>
      </c>
      <c r="G444" s="16" t="n">
        <v>295.38</v>
      </c>
      <c r="H444" s="16" t="n">
        <v>295.38</v>
      </c>
      <c r="I444" s="16">
        <f>SUM(K444:T444)</f>
        <v/>
      </c>
      <c r="J444" s="16">
        <f>F444-(G444+H444+I444)</f>
        <v/>
      </c>
      <c r="K444" s="16" t="n">
        <v>177.23</v>
      </c>
      <c r="L444" s="16" t="n">
        <v>177.23</v>
      </c>
      <c r="M444" s="16" t="n">
        <v>177.23</v>
      </c>
      <c r="N444" s="16" t="n">
        <v>177.23</v>
      </c>
      <c r="O444" s="16" t="n">
        <v>177.23</v>
      </c>
      <c r="P444" s="16" t="n">
        <v>177.23</v>
      </c>
      <c r="Q444" s="16" t="n">
        <v>177.23</v>
      </c>
      <c r="R444" s="16" t="n">
        <v>177.23</v>
      </c>
      <c r="S444" s="16" t="n">
        <v>177.23</v>
      </c>
      <c r="T444" s="16" t="n">
        <v>177.23</v>
      </c>
      <c r="U444" s="16" t="n">
        <v>350</v>
      </c>
      <c r="V444" s="16" t="n">
        <v>0</v>
      </c>
      <c r="W444" s="16">
        <f>U444+V444</f>
        <v/>
      </c>
    </row>
    <row r="445">
      <c r="A445" s="3" t="inlineStr">
        <is>
          <t>CANON-202512-002981</t>
        </is>
      </c>
      <c r="B445" s="3" t="inlineStr">
        <is>
          <t>2025-12-13</t>
        </is>
      </c>
      <c r="C445" s="3" t="inlineStr">
        <is>
          <t>Delphine Vandermeer</t>
        </is>
      </c>
      <c r="D445" s="3" t="inlineStr">
        <is>
          <t>UT</t>
        </is>
      </c>
      <c r="E445" s="14" t="n">
        <v>985000</v>
      </c>
      <c r="F445" s="14" t="n">
        <v>14949.77</v>
      </c>
      <c r="G445" s="14" t="n">
        <v>1868.72</v>
      </c>
      <c r="H445" s="14" t="n">
        <v>1868.72</v>
      </c>
      <c r="I445" s="14">
        <f>SUM(K445:T445)</f>
        <v/>
      </c>
      <c r="J445" s="14">
        <f>F445-(G445+H445+I445)</f>
        <v/>
      </c>
      <c r="K445" s="14" t="n">
        <v>1121.23</v>
      </c>
      <c r="L445" s="14" t="n">
        <v>1121.23</v>
      </c>
      <c r="M445" s="14" t="n">
        <v>1121.23</v>
      </c>
      <c r="N445" s="14" t="n">
        <v>1121.23</v>
      </c>
      <c r="O445" s="14" t="n">
        <v>1121.23</v>
      </c>
      <c r="P445" s="14" t="n">
        <v>1121.23</v>
      </c>
      <c r="Q445" s="14" t="n">
        <v>1121.23</v>
      </c>
      <c r="R445" s="14" t="n">
        <v>1121.23</v>
      </c>
      <c r="S445" s="14" t="n">
        <v>1121.23</v>
      </c>
      <c r="T445" s="14" t="n">
        <v>1121.23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CANON-202512-002982</t>
        </is>
      </c>
      <c r="B446" s="15" t="inlineStr">
        <is>
          <t>2025-12-28</t>
        </is>
      </c>
      <c r="C446" s="15" t="inlineStr">
        <is>
          <t>Delphine Blackwood</t>
        </is>
      </c>
      <c r="D446" s="15" t="inlineStr">
        <is>
          <t>IN</t>
        </is>
      </c>
      <c r="E446" s="16" t="n">
        <v>630000</v>
      </c>
      <c r="F446" s="16" t="n">
        <v>8711.85</v>
      </c>
      <c r="G446" s="16" t="n">
        <v>1088.98</v>
      </c>
      <c r="H446" s="16" t="n">
        <v>1088.98</v>
      </c>
      <c r="I446" s="16">
        <f>SUM(K446:T446)</f>
        <v/>
      </c>
      <c r="J446" s="16">
        <f>F446-(G446+H446+I446)</f>
        <v/>
      </c>
      <c r="K446" s="16" t="n">
        <v>653.39</v>
      </c>
      <c r="L446" s="16" t="n">
        <v>653.39</v>
      </c>
      <c r="M446" s="16" t="n">
        <v>653.39</v>
      </c>
      <c r="N446" s="16" t="n">
        <v>653.39</v>
      </c>
      <c r="O446" s="16" t="n">
        <v>653.39</v>
      </c>
      <c r="P446" s="16" t="n">
        <v>653.39</v>
      </c>
      <c r="Q446" s="16" t="n">
        <v>653.39</v>
      </c>
      <c r="R446" s="16" t="n">
        <v>653.39</v>
      </c>
      <c r="S446" s="16" t="n">
        <v>653.39</v>
      </c>
      <c r="T446" s="16" t="n">
        <v>653.39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CANON-202512-002983</t>
        </is>
      </c>
      <c r="B447" s="3" t="inlineStr">
        <is>
          <t>2025-12-10</t>
        </is>
      </c>
      <c r="C447" s="3" t="inlineStr">
        <is>
          <t>Aurelio Thistlewood</t>
        </is>
      </c>
      <c r="D447" s="3" t="inlineStr">
        <is>
          <t>CO</t>
        </is>
      </c>
      <c r="E447" s="14" t="n">
        <v>495000</v>
      </c>
      <c r="F447" s="14" t="n">
        <v>10830.46</v>
      </c>
      <c r="G447" s="14" t="n">
        <v>1353.81</v>
      </c>
      <c r="H447" s="14" t="n">
        <v>1353.81</v>
      </c>
      <c r="I447" s="14">
        <f>SUM(K447:T447)</f>
        <v/>
      </c>
      <c r="J447" s="14">
        <f>F447-(G447+H447+I447)</f>
        <v/>
      </c>
      <c r="K447" s="14" t="n">
        <v>812.28</v>
      </c>
      <c r="L447" s="14" t="n">
        <v>812.28</v>
      </c>
      <c r="M447" s="14" t="n">
        <v>812.28</v>
      </c>
      <c r="N447" s="14" t="n">
        <v>812.28</v>
      </c>
      <c r="O447" s="14" t="n">
        <v>812.28</v>
      </c>
      <c r="P447" s="14" t="n">
        <v>812.28</v>
      </c>
      <c r="Q447" s="14" t="n">
        <v>812.28</v>
      </c>
      <c r="R447" s="14" t="n">
        <v>812.28</v>
      </c>
      <c r="S447" s="14" t="n">
        <v>812.28</v>
      </c>
      <c r="T447" s="14" t="n">
        <v>812.28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CANON-202512-002984</t>
        </is>
      </c>
      <c r="B448" s="15" t="inlineStr">
        <is>
          <t>2025-12-11</t>
        </is>
      </c>
      <c r="C448" s="15" t="inlineStr">
        <is>
          <t>Lorenzo Chattopadhyay</t>
        </is>
      </c>
      <c r="D448" s="15" t="inlineStr">
        <is>
          <t>AR</t>
        </is>
      </c>
      <c r="E448" s="16" t="n">
        <v>1040000</v>
      </c>
      <c r="F448" s="16" t="n">
        <v>19858.84</v>
      </c>
      <c r="G448" s="16" t="n">
        <v>2482.36</v>
      </c>
      <c r="H448" s="16" t="n">
        <v>2482.36</v>
      </c>
      <c r="I448" s="16">
        <f>SUM(K448:T448)</f>
        <v/>
      </c>
      <c r="J448" s="16">
        <f>F448-(G448+H448+I448)</f>
        <v/>
      </c>
      <c r="K448" s="16" t="n">
        <v>1489.41</v>
      </c>
      <c r="L448" s="16" t="n">
        <v>1489.41</v>
      </c>
      <c r="M448" s="16" t="n">
        <v>1489.41</v>
      </c>
      <c r="N448" s="16" t="n">
        <v>1489.41</v>
      </c>
      <c r="O448" s="16" t="n">
        <v>1489.41</v>
      </c>
      <c r="P448" s="16" t="n">
        <v>1489.41</v>
      </c>
      <c r="Q448" s="16" t="n">
        <v>1489.41</v>
      </c>
      <c r="R448" s="16" t="n">
        <v>1489.41</v>
      </c>
      <c r="S448" s="16" t="n">
        <v>1489.41</v>
      </c>
      <c r="T448" s="16" t="n">
        <v>1489.41</v>
      </c>
      <c r="U448" s="16" t="n">
        <v>350</v>
      </c>
      <c r="V448" s="16" t="n">
        <v>250</v>
      </c>
      <c r="W448" s="16">
        <f>U448+V448</f>
        <v/>
      </c>
    </row>
    <row r="449">
      <c r="A449" s="3" t="inlineStr">
        <is>
          <t>CANON-202512-002986</t>
        </is>
      </c>
      <c r="B449" s="3" t="inlineStr">
        <is>
          <t>2025-12-06</t>
        </is>
      </c>
      <c r="C449" s="3" t="inlineStr">
        <is>
          <t>Callum Blackwood</t>
        </is>
      </c>
      <c r="D449" s="3" t="inlineStr">
        <is>
          <t>NV</t>
        </is>
      </c>
      <c r="E449" s="14" t="n">
        <v>1110000</v>
      </c>
      <c r="F449" s="14" t="n">
        <v>17970.09</v>
      </c>
      <c r="G449" s="14" t="n">
        <v>2246.26</v>
      </c>
      <c r="H449" s="14" t="n">
        <v>2246.26</v>
      </c>
      <c r="I449" s="14">
        <f>SUM(K449:T449)</f>
        <v/>
      </c>
      <c r="J449" s="14">
        <f>F449-(G449+H449+I449)</f>
        <v/>
      </c>
      <c r="K449" s="14" t="n">
        <v>1347.76</v>
      </c>
      <c r="L449" s="14" t="n">
        <v>1347.76</v>
      </c>
      <c r="M449" s="14" t="n">
        <v>1347.76</v>
      </c>
      <c r="N449" s="14" t="n">
        <v>1347.76</v>
      </c>
      <c r="O449" s="14" t="n">
        <v>1347.76</v>
      </c>
      <c r="P449" s="14" t="n">
        <v>1347.76</v>
      </c>
      <c r="Q449" s="14" t="n">
        <v>1347.76</v>
      </c>
      <c r="R449" s="14" t="n">
        <v>1347.76</v>
      </c>
      <c r="S449" s="14" t="n">
        <v>1347.76</v>
      </c>
      <c r="T449" s="14" t="n">
        <v>1347.76</v>
      </c>
      <c r="U449" s="14" t="n">
        <v>350</v>
      </c>
      <c r="V449" s="14" t="n">
        <v>250</v>
      </c>
      <c r="W449" s="14">
        <f>U449+V449</f>
        <v/>
      </c>
    </row>
    <row r="450">
      <c r="A450" s="15" t="inlineStr">
        <is>
          <t>CANON-202512-002987</t>
        </is>
      </c>
      <c r="B450" s="15" t="inlineStr">
        <is>
          <t>2025-12-07</t>
        </is>
      </c>
      <c r="C450" s="15" t="inlineStr">
        <is>
          <t>Horace Vasquez</t>
        </is>
      </c>
      <c r="D450" s="15" t="inlineStr">
        <is>
          <t>CA</t>
        </is>
      </c>
      <c r="E450" s="16" t="n">
        <v>500000</v>
      </c>
      <c r="F450" s="16" t="n">
        <v>7588.72</v>
      </c>
      <c r="G450" s="16" t="n">
        <v>948.59</v>
      </c>
      <c r="H450" s="16" t="n">
        <v>948.59</v>
      </c>
      <c r="I450" s="16">
        <f>SUM(K450:T450)</f>
        <v/>
      </c>
      <c r="J450" s="16">
        <f>F450-(G450+H450+I450)</f>
        <v/>
      </c>
      <c r="K450" s="16" t="n">
        <v>569.15</v>
      </c>
      <c r="L450" s="16" t="n">
        <v>569.15</v>
      </c>
      <c r="M450" s="16" t="n">
        <v>569.15</v>
      </c>
      <c r="N450" s="16" t="n">
        <v>569.15</v>
      </c>
      <c r="O450" s="16" t="n">
        <v>569.15</v>
      </c>
      <c r="P450" s="16" t="n">
        <v>569.15</v>
      </c>
      <c r="Q450" s="16" t="n">
        <v>569.15</v>
      </c>
      <c r="R450" s="16" t="n">
        <v>569.15</v>
      </c>
      <c r="S450" s="16" t="n">
        <v>569.15</v>
      </c>
      <c r="T450" s="16" t="n">
        <v>569.15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CANON-202512-002988</t>
        </is>
      </c>
      <c r="B451" s="3" t="inlineStr">
        <is>
          <t>2025-12-29</t>
        </is>
      </c>
      <c r="C451" s="3" t="inlineStr">
        <is>
          <t>Priya Merriweather</t>
        </is>
      </c>
      <c r="D451" s="3" t="inlineStr">
        <is>
          <t>OR</t>
        </is>
      </c>
      <c r="E451" s="14" t="n">
        <v>315000</v>
      </c>
      <c r="F451" s="14" t="n">
        <v>4617.45</v>
      </c>
      <c r="G451" s="14" t="n">
        <v>577.1799999999999</v>
      </c>
      <c r="H451" s="14" t="n">
        <v>577.1799999999999</v>
      </c>
      <c r="I451" s="14">
        <f>SUM(K451:T451)</f>
        <v/>
      </c>
      <c r="J451" s="14">
        <f>F451-(G451+H451+I451)</f>
        <v/>
      </c>
      <c r="K451" s="14" t="n">
        <v>346.31</v>
      </c>
      <c r="L451" s="14" t="n">
        <v>346.31</v>
      </c>
      <c r="M451" s="14" t="n">
        <v>346.31</v>
      </c>
      <c r="N451" s="14" t="n">
        <v>346.31</v>
      </c>
      <c r="O451" s="14" t="n">
        <v>346.31</v>
      </c>
      <c r="P451" s="14" t="n">
        <v>346.31</v>
      </c>
      <c r="Q451" s="14" t="n">
        <v>346.31</v>
      </c>
      <c r="R451" s="14" t="n">
        <v>346.31</v>
      </c>
      <c r="S451" s="14" t="n">
        <v>346.31</v>
      </c>
      <c r="T451" s="14" t="n">
        <v>346.31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CANON-202512-002989</t>
        </is>
      </c>
      <c r="B452" s="15" t="inlineStr">
        <is>
          <t>2025-12-09</t>
        </is>
      </c>
      <c r="C452" s="15" t="inlineStr">
        <is>
          <t>Mireille Bellandi</t>
        </is>
      </c>
      <c r="D452" s="15" t="inlineStr">
        <is>
          <t>NY</t>
        </is>
      </c>
      <c r="E452" s="16" t="n">
        <v>570000</v>
      </c>
      <c r="F452" s="16" t="n">
        <v>8202.559999999999</v>
      </c>
      <c r="G452" s="16" t="n">
        <v>1025.32</v>
      </c>
      <c r="H452" s="16" t="n">
        <v>1025.32</v>
      </c>
      <c r="I452" s="16">
        <f>SUM(K452:T452)</f>
        <v/>
      </c>
      <c r="J452" s="16">
        <f>F452-(G452+H452+I452)</f>
        <v/>
      </c>
      <c r="K452" s="16" t="n">
        <v>615.1900000000001</v>
      </c>
      <c r="L452" s="16" t="n">
        <v>615.1900000000001</v>
      </c>
      <c r="M452" s="16" t="n">
        <v>615.1900000000001</v>
      </c>
      <c r="N452" s="16" t="n">
        <v>615.1900000000001</v>
      </c>
      <c r="O452" s="16" t="n">
        <v>615.1900000000001</v>
      </c>
      <c r="P452" s="16" t="n">
        <v>615.1900000000001</v>
      </c>
      <c r="Q452" s="16" t="n">
        <v>615.1900000000001</v>
      </c>
      <c r="R452" s="16" t="n">
        <v>615.1900000000001</v>
      </c>
      <c r="S452" s="16" t="n">
        <v>615.1900000000001</v>
      </c>
      <c r="T452" s="16" t="n">
        <v>615.1900000000001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CANON-202512-002990</t>
        </is>
      </c>
      <c r="B453" s="3" t="inlineStr">
        <is>
          <t>2025-12-03</t>
        </is>
      </c>
      <c r="C453" s="3" t="inlineStr">
        <is>
          <t>Horace Merriweather</t>
        </is>
      </c>
      <c r="D453" s="3" t="inlineStr">
        <is>
          <t>OR</t>
        </is>
      </c>
      <c r="E453" s="14" t="n">
        <v>945000</v>
      </c>
      <c r="F453" s="14" t="n">
        <v>12005.35</v>
      </c>
      <c r="G453" s="14" t="n">
        <v>1500.67</v>
      </c>
      <c r="H453" s="14" t="n">
        <v>1500.67</v>
      </c>
      <c r="I453" s="14">
        <f>SUM(K453:T453)</f>
        <v/>
      </c>
      <c r="J453" s="14">
        <f>F453-(G453+H453+I453)</f>
        <v/>
      </c>
      <c r="K453" s="14" t="n">
        <v>900.4</v>
      </c>
      <c r="L453" s="14" t="n">
        <v>900.4</v>
      </c>
      <c r="M453" s="14" t="n">
        <v>900.4</v>
      </c>
      <c r="N453" s="14" t="n">
        <v>900.4</v>
      </c>
      <c r="O453" s="14" t="n">
        <v>900.4</v>
      </c>
      <c r="P453" s="14" t="n">
        <v>900.4</v>
      </c>
      <c r="Q453" s="14" t="n">
        <v>900.4</v>
      </c>
      <c r="R453" s="14" t="n">
        <v>900.4</v>
      </c>
      <c r="S453" s="14" t="n">
        <v>900.4</v>
      </c>
      <c r="T453" s="14" t="n">
        <v>900.4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CANON-202512-002991</t>
        </is>
      </c>
      <c r="B454" s="15" t="inlineStr">
        <is>
          <t>2025-12-11</t>
        </is>
      </c>
      <c r="C454" s="15" t="inlineStr">
        <is>
          <t>Noor Nakashima</t>
        </is>
      </c>
      <c r="D454" s="15" t="inlineStr">
        <is>
          <t>LA</t>
        </is>
      </c>
      <c r="E454" s="16" t="n">
        <v>595000</v>
      </c>
      <c r="F454" s="16" t="n">
        <v>5354.54</v>
      </c>
      <c r="G454" s="16" t="n">
        <v>669.3200000000001</v>
      </c>
      <c r="H454" s="16" t="n">
        <v>669.3200000000001</v>
      </c>
      <c r="I454" s="16">
        <f>SUM(K454:T454)</f>
        <v/>
      </c>
      <c r="J454" s="16">
        <f>F454-(G454+H454+I454)</f>
        <v/>
      </c>
      <c r="K454" s="16" t="n">
        <v>401.59</v>
      </c>
      <c r="L454" s="16" t="n">
        <v>401.59</v>
      </c>
      <c r="M454" s="16" t="n">
        <v>401.59</v>
      </c>
      <c r="N454" s="16" t="n">
        <v>401.59</v>
      </c>
      <c r="O454" s="16" t="n">
        <v>401.59</v>
      </c>
      <c r="P454" s="16" t="n">
        <v>401.59</v>
      </c>
      <c r="Q454" s="16" t="n">
        <v>401.59</v>
      </c>
      <c r="R454" s="16" t="n">
        <v>401.59</v>
      </c>
      <c r="S454" s="16" t="n">
        <v>401.59</v>
      </c>
      <c r="T454" s="16" t="n">
        <v>401.59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CANON-202512-002992</t>
        </is>
      </c>
      <c r="B455" s="3" t="inlineStr">
        <is>
          <t>2025-12-30</t>
        </is>
      </c>
      <c r="C455" s="3" t="inlineStr">
        <is>
          <t>Delphine Okonkwo</t>
        </is>
      </c>
      <c r="D455" s="3" t="inlineStr">
        <is>
          <t>AK</t>
        </is>
      </c>
      <c r="E455" s="14" t="n">
        <v>505000</v>
      </c>
      <c r="F455" s="14" t="n">
        <v>4281.69</v>
      </c>
      <c r="G455" s="14" t="n">
        <v>535.21</v>
      </c>
      <c r="H455" s="14" t="n">
        <v>535.21</v>
      </c>
      <c r="I455" s="14">
        <f>SUM(K455:T455)</f>
        <v/>
      </c>
      <c r="J455" s="14">
        <f>F455-(G455+H455+I455)</f>
        <v/>
      </c>
      <c r="K455" s="14" t="n">
        <v>321.13</v>
      </c>
      <c r="L455" s="14" t="n">
        <v>321.13</v>
      </c>
      <c r="M455" s="14" t="n">
        <v>321.13</v>
      </c>
      <c r="N455" s="14" t="n">
        <v>321.13</v>
      </c>
      <c r="O455" s="14" t="n">
        <v>321.13</v>
      </c>
      <c r="P455" s="14" t="n">
        <v>321.13</v>
      </c>
      <c r="Q455" s="14" t="n">
        <v>321.13</v>
      </c>
      <c r="R455" s="14" t="n">
        <v>321.13</v>
      </c>
      <c r="S455" s="14" t="n">
        <v>321.13</v>
      </c>
      <c r="T455" s="14" t="n">
        <v>321.13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CANON-202512-002994</t>
        </is>
      </c>
      <c r="B456" s="15" t="inlineStr">
        <is>
          <t>2025-12-25</t>
        </is>
      </c>
      <c r="C456" s="15" t="inlineStr">
        <is>
          <t>Ingrid Fairweather</t>
        </is>
      </c>
      <c r="D456" s="15" t="inlineStr">
        <is>
          <t>VT</t>
        </is>
      </c>
      <c r="E456" s="16" t="n">
        <v>230000</v>
      </c>
      <c r="F456" s="16" t="n">
        <v>4465.05</v>
      </c>
      <c r="G456" s="16" t="n">
        <v>558.13</v>
      </c>
      <c r="H456" s="16" t="n">
        <v>558.13</v>
      </c>
      <c r="I456" s="16">
        <f>SUM(K456:T456)</f>
        <v/>
      </c>
      <c r="J456" s="16">
        <f>F456-(G456+H456+I456)</f>
        <v/>
      </c>
      <c r="K456" s="16" t="n">
        <v>334.88</v>
      </c>
      <c r="L456" s="16" t="n">
        <v>334.88</v>
      </c>
      <c r="M456" s="16" t="n">
        <v>334.88</v>
      </c>
      <c r="N456" s="16" t="n">
        <v>334.88</v>
      </c>
      <c r="O456" s="16" t="n">
        <v>334.88</v>
      </c>
      <c r="P456" s="16" t="n">
        <v>334.88</v>
      </c>
      <c r="Q456" s="16" t="n">
        <v>334.88</v>
      </c>
      <c r="R456" s="16" t="n">
        <v>334.88</v>
      </c>
      <c r="S456" s="16" t="n">
        <v>334.88</v>
      </c>
      <c r="T456" s="16" t="n">
        <v>334.88</v>
      </c>
      <c r="U456" s="16" t="n">
        <v>350</v>
      </c>
      <c r="V456" s="16" t="n">
        <v>0</v>
      </c>
      <c r="W456" s="16">
        <f>U456+V456</f>
        <v/>
      </c>
    </row>
    <row r="457">
      <c r="A457" s="3" t="inlineStr">
        <is>
          <t>CANON-202512-002995</t>
        </is>
      </c>
      <c r="B457" s="3" t="inlineStr">
        <is>
          <t>2025-12-22</t>
        </is>
      </c>
      <c r="C457" s="3" t="inlineStr">
        <is>
          <t>Thaddeus Harrington</t>
        </is>
      </c>
      <c r="D457" s="3" t="inlineStr">
        <is>
          <t>NH</t>
        </is>
      </c>
      <c r="E457" s="14" t="n">
        <v>595000</v>
      </c>
      <c r="F457" s="14" t="n">
        <v>6956.89</v>
      </c>
      <c r="G457" s="14" t="n">
        <v>869.61</v>
      </c>
      <c r="H457" s="14" t="n">
        <v>869.61</v>
      </c>
      <c r="I457" s="14">
        <f>SUM(K457:T457)</f>
        <v/>
      </c>
      <c r="J457" s="14">
        <f>F457-(G457+H457+I457)</f>
        <v/>
      </c>
      <c r="K457" s="14" t="n">
        <v>521.77</v>
      </c>
      <c r="L457" s="14" t="n">
        <v>521.77</v>
      </c>
      <c r="M457" s="14" t="n">
        <v>521.77</v>
      </c>
      <c r="N457" s="14" t="n">
        <v>521.77</v>
      </c>
      <c r="O457" s="14" t="n">
        <v>521.77</v>
      </c>
      <c r="P457" s="14" t="n">
        <v>521.77</v>
      </c>
      <c r="Q457" s="14" t="n">
        <v>521.77</v>
      </c>
      <c r="R457" s="14" t="n">
        <v>521.77</v>
      </c>
      <c r="S457" s="14" t="n">
        <v>521.77</v>
      </c>
      <c r="T457" s="14" t="n">
        <v>521.77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CANON-202512-002996</t>
        </is>
      </c>
      <c r="B458" s="15" t="inlineStr">
        <is>
          <t>2025-12-04</t>
        </is>
      </c>
      <c r="C458" s="15" t="inlineStr">
        <is>
          <t>Ingrid Merriweather</t>
        </is>
      </c>
      <c r="D458" s="15" t="inlineStr">
        <is>
          <t>TN</t>
        </is>
      </c>
      <c r="E458" s="16" t="n">
        <v>415000</v>
      </c>
      <c r="F458" s="16" t="n">
        <v>5275.78</v>
      </c>
      <c r="G458" s="16" t="n">
        <v>659.47</v>
      </c>
      <c r="H458" s="16" t="n">
        <v>659.47</v>
      </c>
      <c r="I458" s="16">
        <f>SUM(K458:T458)</f>
        <v/>
      </c>
      <c r="J458" s="16">
        <f>F458-(G458+H458+I458)</f>
        <v/>
      </c>
      <c r="K458" s="16" t="n">
        <v>395.68</v>
      </c>
      <c r="L458" s="16" t="n">
        <v>395.68</v>
      </c>
      <c r="M458" s="16" t="n">
        <v>395.68</v>
      </c>
      <c r="N458" s="16" t="n">
        <v>395.68</v>
      </c>
      <c r="O458" s="16" t="n">
        <v>395.68</v>
      </c>
      <c r="P458" s="16" t="n">
        <v>395.68</v>
      </c>
      <c r="Q458" s="16" t="n">
        <v>395.68</v>
      </c>
      <c r="R458" s="16" t="n">
        <v>395.68</v>
      </c>
      <c r="S458" s="16" t="n">
        <v>395.68</v>
      </c>
      <c r="T458" s="16" t="n">
        <v>395.68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CANON-202512-002999</t>
        </is>
      </c>
      <c r="B459" s="3" t="inlineStr">
        <is>
          <t>2025-12-21</t>
        </is>
      </c>
      <c r="C459" s="3" t="inlineStr">
        <is>
          <t>Anouk Vandermeer</t>
        </is>
      </c>
      <c r="D459" s="3" t="inlineStr">
        <is>
          <t>MI</t>
        </is>
      </c>
      <c r="E459" s="14" t="n">
        <v>1835000</v>
      </c>
      <c r="F459" s="14" t="n">
        <v>39355.84</v>
      </c>
      <c r="G459" s="14" t="n">
        <v>4919.48</v>
      </c>
      <c r="H459" s="14" t="n">
        <v>4919.48</v>
      </c>
      <c r="I459" s="14">
        <f>SUM(K459:T459)</f>
        <v/>
      </c>
      <c r="J459" s="14">
        <f>F459-(G459+H459+I459)</f>
        <v/>
      </c>
      <c r="K459" s="14" t="n">
        <v>2951.69</v>
      </c>
      <c r="L459" s="14" t="n">
        <v>2951.69</v>
      </c>
      <c r="M459" s="14" t="n">
        <v>2951.69</v>
      </c>
      <c r="N459" s="14" t="n">
        <v>2951.69</v>
      </c>
      <c r="O459" s="14" t="n">
        <v>2951.69</v>
      </c>
      <c r="P459" s="14" t="n">
        <v>2951.69</v>
      </c>
      <c r="Q459" s="14" t="n">
        <v>2951.69</v>
      </c>
      <c r="R459" s="14" t="n">
        <v>2951.69</v>
      </c>
      <c r="S459" s="14" t="n">
        <v>2951.69</v>
      </c>
      <c r="T459" s="14" t="n">
        <v>2951.69</v>
      </c>
      <c r="U459" s="14" t="n">
        <v>350</v>
      </c>
      <c r="V459" s="14" t="n">
        <v>250</v>
      </c>
      <c r="W459" s="14">
        <f>U459+V459</f>
        <v/>
      </c>
    </row>
    <row r="460">
      <c r="A460" s="15" t="inlineStr">
        <is>
          <t>CANON-202512-003002</t>
        </is>
      </c>
      <c r="B460" s="15" t="inlineStr">
        <is>
          <t>2025-12-10</t>
        </is>
      </c>
      <c r="C460" s="15" t="inlineStr">
        <is>
          <t>Fenwick Farkas</t>
        </is>
      </c>
      <c r="D460" s="15" t="inlineStr">
        <is>
          <t>WA</t>
        </is>
      </c>
      <c r="E460" s="16" t="n">
        <v>285000</v>
      </c>
      <c r="F460" s="16" t="n">
        <v>3549.19</v>
      </c>
      <c r="G460" s="16" t="n">
        <v>443.65</v>
      </c>
      <c r="H460" s="16" t="n">
        <v>443.65</v>
      </c>
      <c r="I460" s="16">
        <f>SUM(K460:T460)</f>
        <v/>
      </c>
      <c r="J460" s="16">
        <f>F460-(G460+H460+I460)</f>
        <v/>
      </c>
      <c r="K460" s="16" t="n">
        <v>266.19</v>
      </c>
      <c r="L460" s="16" t="n">
        <v>266.19</v>
      </c>
      <c r="M460" s="16" t="n">
        <v>266.19</v>
      </c>
      <c r="N460" s="16" t="n">
        <v>266.19</v>
      </c>
      <c r="O460" s="16" t="n">
        <v>266.19</v>
      </c>
      <c r="P460" s="16" t="n">
        <v>266.19</v>
      </c>
      <c r="Q460" s="16" t="n">
        <v>266.19</v>
      </c>
      <c r="R460" s="16" t="n">
        <v>266.19</v>
      </c>
      <c r="S460" s="16" t="n">
        <v>266.19</v>
      </c>
      <c r="T460" s="16" t="n">
        <v>266.19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CANON-202512-003003</t>
        </is>
      </c>
      <c r="B461" s="3" t="inlineStr">
        <is>
          <t>2025-12-15</t>
        </is>
      </c>
      <c r="C461" s="3" t="inlineStr">
        <is>
          <t>Ottilie Ashcombe</t>
        </is>
      </c>
      <c r="D461" s="3" t="inlineStr">
        <is>
          <t>KS</t>
        </is>
      </c>
      <c r="E461" s="14" t="n">
        <v>1950000</v>
      </c>
      <c r="F461" s="14" t="n">
        <v>26172.65</v>
      </c>
      <c r="G461" s="14" t="n">
        <v>3271.58</v>
      </c>
      <c r="H461" s="14" t="n">
        <v>3271.58</v>
      </c>
      <c r="I461" s="14">
        <f>SUM(K461:T461)</f>
        <v/>
      </c>
      <c r="J461" s="14">
        <f>F461-(G461+H461+I461)</f>
        <v/>
      </c>
      <c r="K461" s="14" t="n">
        <v>1962.95</v>
      </c>
      <c r="L461" s="14" t="n">
        <v>1962.95</v>
      </c>
      <c r="M461" s="14" t="n">
        <v>1962.95</v>
      </c>
      <c r="N461" s="14" t="n">
        <v>1962.95</v>
      </c>
      <c r="O461" s="14" t="n">
        <v>1962.95</v>
      </c>
      <c r="P461" s="14" t="n">
        <v>1962.95</v>
      </c>
      <c r="Q461" s="14" t="n">
        <v>1962.95</v>
      </c>
      <c r="R461" s="14" t="n">
        <v>1962.95</v>
      </c>
      <c r="S461" s="14" t="n">
        <v>1962.95</v>
      </c>
      <c r="T461" s="14" t="n">
        <v>1962.95</v>
      </c>
      <c r="U461" s="14" t="n">
        <v>350</v>
      </c>
      <c r="V461" s="14" t="n">
        <v>250</v>
      </c>
      <c r="W461" s="14">
        <f>U461+V461</f>
        <v/>
      </c>
    </row>
    <row r="462">
      <c r="A462" s="15" t="inlineStr">
        <is>
          <t>CANON-202512-003006</t>
        </is>
      </c>
      <c r="B462" s="15" t="inlineStr">
        <is>
          <t>2025-12-25</t>
        </is>
      </c>
      <c r="C462" s="15" t="inlineStr">
        <is>
          <t>Cassius Fairweather</t>
        </is>
      </c>
      <c r="D462" s="15" t="inlineStr">
        <is>
          <t>FL</t>
        </is>
      </c>
      <c r="E462" s="16" t="n">
        <v>510000</v>
      </c>
      <c r="F462" s="16" t="n">
        <v>5386.14</v>
      </c>
      <c r="G462" s="16" t="n">
        <v>673.27</v>
      </c>
      <c r="H462" s="16" t="n">
        <v>673.27</v>
      </c>
      <c r="I462" s="16">
        <f>SUM(K462:T462)</f>
        <v/>
      </c>
      <c r="J462" s="16">
        <f>F462-(G462+H462+I462)</f>
        <v/>
      </c>
      <c r="K462" s="16" t="n">
        <v>403.96</v>
      </c>
      <c r="L462" s="16" t="n">
        <v>403.96</v>
      </c>
      <c r="M462" s="16" t="n">
        <v>403.96</v>
      </c>
      <c r="N462" s="16" t="n">
        <v>403.96</v>
      </c>
      <c r="O462" s="16" t="n">
        <v>403.96</v>
      </c>
      <c r="P462" s="16" t="n">
        <v>403.96</v>
      </c>
      <c r="Q462" s="16" t="n">
        <v>403.96</v>
      </c>
      <c r="R462" s="16" t="n">
        <v>403.96</v>
      </c>
      <c r="S462" s="16" t="n">
        <v>403.96</v>
      </c>
      <c r="T462" s="16" t="n">
        <v>403.96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CANON-202512-003007</t>
        </is>
      </c>
      <c r="B463" s="3" t="inlineStr">
        <is>
          <t>2025-12-18</t>
        </is>
      </c>
      <c r="C463" s="3" t="inlineStr">
        <is>
          <t>Everett Whitlock</t>
        </is>
      </c>
      <c r="D463" s="3" t="inlineStr">
        <is>
          <t>IA</t>
        </is>
      </c>
      <c r="E463" s="14" t="n">
        <v>540000</v>
      </c>
      <c r="F463" s="14" t="n">
        <v>6678.08</v>
      </c>
      <c r="G463" s="14" t="n">
        <v>834.76</v>
      </c>
      <c r="H463" s="14" t="n">
        <v>834.76</v>
      </c>
      <c r="I463" s="14">
        <f>SUM(K463:T463)</f>
        <v/>
      </c>
      <c r="J463" s="14">
        <f>F463-(G463+H463+I463)</f>
        <v/>
      </c>
      <c r="K463" s="14" t="n">
        <v>500.86</v>
      </c>
      <c r="L463" s="14" t="n">
        <v>500.86</v>
      </c>
      <c r="M463" s="14" t="n">
        <v>500.86</v>
      </c>
      <c r="N463" s="14" t="n">
        <v>500.86</v>
      </c>
      <c r="O463" s="14" t="n">
        <v>500.86</v>
      </c>
      <c r="P463" s="14" t="n">
        <v>500.86</v>
      </c>
      <c r="Q463" s="14" t="n">
        <v>500.86</v>
      </c>
      <c r="R463" s="14" t="n">
        <v>500.86</v>
      </c>
      <c r="S463" s="14" t="n">
        <v>500.86</v>
      </c>
      <c r="T463" s="14" t="n">
        <v>500.86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CANON-202512-003009</t>
        </is>
      </c>
      <c r="B464" s="15" t="inlineStr">
        <is>
          <t>2025-12-21</t>
        </is>
      </c>
      <c r="C464" s="15" t="inlineStr">
        <is>
          <t>Saoirse Okonkwo</t>
        </is>
      </c>
      <c r="D464" s="15" t="inlineStr">
        <is>
          <t>SD</t>
        </is>
      </c>
      <c r="E464" s="16" t="n">
        <v>380000</v>
      </c>
      <c r="F464" s="16" t="n">
        <v>3501.87</v>
      </c>
      <c r="G464" s="16" t="n">
        <v>437.73</v>
      </c>
      <c r="H464" s="16" t="n">
        <v>437.73</v>
      </c>
      <c r="I464" s="16">
        <f>SUM(K464:T464)</f>
        <v/>
      </c>
      <c r="J464" s="16">
        <f>F464-(G464+H464+I464)</f>
        <v/>
      </c>
      <c r="K464" s="16" t="n">
        <v>262.64</v>
      </c>
      <c r="L464" s="16" t="n">
        <v>262.64</v>
      </c>
      <c r="M464" s="16" t="n">
        <v>262.64</v>
      </c>
      <c r="N464" s="16" t="n">
        <v>262.64</v>
      </c>
      <c r="O464" s="16" t="n">
        <v>262.64</v>
      </c>
      <c r="P464" s="16" t="n">
        <v>262.64</v>
      </c>
      <c r="Q464" s="16" t="n">
        <v>262.64</v>
      </c>
      <c r="R464" s="16" t="n">
        <v>262.64</v>
      </c>
      <c r="S464" s="16" t="n">
        <v>262.64</v>
      </c>
      <c r="T464" s="16" t="n">
        <v>262.64</v>
      </c>
      <c r="U464" s="16" t="n">
        <v>350</v>
      </c>
      <c r="V464" s="16" t="n">
        <v>0</v>
      </c>
      <c r="W464" s="16">
        <f>U464+V464</f>
        <v/>
      </c>
    </row>
    <row r="465">
      <c r="A465" s="3" t="inlineStr">
        <is>
          <t>CANON-202512-003010</t>
        </is>
      </c>
      <c r="B465" s="3" t="inlineStr">
        <is>
          <t>2025-12-02</t>
        </is>
      </c>
      <c r="C465" s="3" t="inlineStr">
        <is>
          <t>Ottilie Larsson</t>
        </is>
      </c>
      <c r="D465" s="3" t="inlineStr">
        <is>
          <t>NY</t>
        </is>
      </c>
      <c r="E465" s="14" t="n">
        <v>180000</v>
      </c>
      <c r="F465" s="14" t="n">
        <v>3666.25</v>
      </c>
      <c r="G465" s="14" t="n">
        <v>458.28</v>
      </c>
      <c r="H465" s="14" t="n">
        <v>458.28</v>
      </c>
      <c r="I465" s="14">
        <f>SUM(K465:T465)</f>
        <v/>
      </c>
      <c r="J465" s="14">
        <f>F465-(G465+H465+I465)</f>
        <v/>
      </c>
      <c r="K465" s="14" t="n">
        <v>274.97</v>
      </c>
      <c r="L465" s="14" t="n">
        <v>274.97</v>
      </c>
      <c r="M465" s="14" t="n">
        <v>274.97</v>
      </c>
      <c r="N465" s="14" t="n">
        <v>274.97</v>
      </c>
      <c r="O465" s="14" t="n">
        <v>274.97</v>
      </c>
      <c r="P465" s="14" t="n">
        <v>274.97</v>
      </c>
      <c r="Q465" s="14" t="n">
        <v>274.97</v>
      </c>
      <c r="R465" s="14" t="n">
        <v>274.97</v>
      </c>
      <c r="S465" s="14" t="n">
        <v>274.97</v>
      </c>
      <c r="T465" s="14" t="n">
        <v>274.97</v>
      </c>
      <c r="U465" s="14" t="n">
        <v>350</v>
      </c>
      <c r="V465" s="14" t="n">
        <v>0</v>
      </c>
      <c r="W465" s="14">
        <f>U465+V465</f>
        <v/>
      </c>
    </row>
    <row r="466">
      <c r="A466" s="15" t="inlineStr">
        <is>
          <t>CANON-202512-003011</t>
        </is>
      </c>
      <c r="B466" s="15" t="inlineStr">
        <is>
          <t>2025-12-11</t>
        </is>
      </c>
      <c r="C466" s="15" t="inlineStr">
        <is>
          <t>Everett Kingsford</t>
        </is>
      </c>
      <c r="D466" s="15" t="inlineStr">
        <is>
          <t>CO</t>
        </is>
      </c>
      <c r="E466" s="16" t="n">
        <v>250000</v>
      </c>
      <c r="F466" s="16" t="n">
        <v>2283.11</v>
      </c>
      <c r="G466" s="16" t="n">
        <v>285.39</v>
      </c>
      <c r="H466" s="16" t="n">
        <v>285.39</v>
      </c>
      <c r="I466" s="16">
        <f>SUM(K466:T466)</f>
        <v/>
      </c>
      <c r="J466" s="16">
        <f>F466-(G466+H466+I466)</f>
        <v/>
      </c>
      <c r="K466" s="16" t="n">
        <v>171.23</v>
      </c>
      <c r="L466" s="16" t="n">
        <v>171.23</v>
      </c>
      <c r="M466" s="16" t="n">
        <v>171.23</v>
      </c>
      <c r="N466" s="16" t="n">
        <v>171.23</v>
      </c>
      <c r="O466" s="16" t="n">
        <v>171.23</v>
      </c>
      <c r="P466" s="16" t="n">
        <v>171.23</v>
      </c>
      <c r="Q466" s="16" t="n">
        <v>171.23</v>
      </c>
      <c r="R466" s="16" t="n">
        <v>171.23</v>
      </c>
      <c r="S466" s="16" t="n">
        <v>171.23</v>
      </c>
      <c r="T466" s="16" t="n">
        <v>171.23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CANON-202512-003012</t>
        </is>
      </c>
      <c r="B467" s="3" t="inlineStr">
        <is>
          <t>2025-12-28</t>
        </is>
      </c>
      <c r="C467" s="3" t="inlineStr">
        <is>
          <t>Lorenzo Kingsford</t>
        </is>
      </c>
      <c r="D467" s="3" t="inlineStr">
        <is>
          <t>CT</t>
        </is>
      </c>
      <c r="E467" s="14" t="n">
        <v>385000</v>
      </c>
      <c r="F467" s="14" t="n">
        <v>3579.91</v>
      </c>
      <c r="G467" s="14" t="n">
        <v>447.49</v>
      </c>
      <c r="H467" s="14" t="n">
        <v>447.49</v>
      </c>
      <c r="I467" s="14">
        <f>SUM(K467:T467)</f>
        <v/>
      </c>
      <c r="J467" s="14">
        <f>F467-(G467+H467+I467)</f>
        <v/>
      </c>
      <c r="K467" s="14" t="n">
        <v>268.49</v>
      </c>
      <c r="L467" s="14" t="n">
        <v>268.49</v>
      </c>
      <c r="M467" s="14" t="n">
        <v>268.49</v>
      </c>
      <c r="N467" s="14" t="n">
        <v>268.49</v>
      </c>
      <c r="O467" s="14" t="n">
        <v>268.49</v>
      </c>
      <c r="P467" s="14" t="n">
        <v>268.49</v>
      </c>
      <c r="Q467" s="14" t="n">
        <v>268.49</v>
      </c>
      <c r="R467" s="14" t="n">
        <v>268.49</v>
      </c>
      <c r="S467" s="14" t="n">
        <v>268.49</v>
      </c>
      <c r="T467" s="14" t="n">
        <v>268.49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CANON-202512-003013</t>
        </is>
      </c>
      <c r="B468" s="15" t="inlineStr">
        <is>
          <t>2025-12-22</t>
        </is>
      </c>
      <c r="C468" s="15" t="inlineStr">
        <is>
          <t>Sunniva Blackwood</t>
        </is>
      </c>
      <c r="D468" s="15" t="inlineStr">
        <is>
          <t>MN</t>
        </is>
      </c>
      <c r="E468" s="16" t="n">
        <v>220000</v>
      </c>
      <c r="F468" s="16" t="n">
        <v>4621</v>
      </c>
      <c r="G468" s="16" t="n">
        <v>577.62</v>
      </c>
      <c r="H468" s="16" t="n">
        <v>577.62</v>
      </c>
      <c r="I468" s="16">
        <f>SUM(K468:T468)</f>
        <v/>
      </c>
      <c r="J468" s="16">
        <f>F468-(G468+H468+I468)</f>
        <v/>
      </c>
      <c r="K468" s="16" t="n">
        <v>346.57</v>
      </c>
      <c r="L468" s="16" t="n">
        <v>346.57</v>
      </c>
      <c r="M468" s="16" t="n">
        <v>346.57</v>
      </c>
      <c r="N468" s="16" t="n">
        <v>346.57</v>
      </c>
      <c r="O468" s="16" t="n">
        <v>346.57</v>
      </c>
      <c r="P468" s="16" t="n">
        <v>346.57</v>
      </c>
      <c r="Q468" s="16" t="n">
        <v>346.57</v>
      </c>
      <c r="R468" s="16" t="n">
        <v>346.57</v>
      </c>
      <c r="S468" s="16" t="n">
        <v>346.57</v>
      </c>
      <c r="T468" s="16" t="n">
        <v>346.57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CANON-202512-003014</t>
        </is>
      </c>
      <c r="B469" s="3" t="inlineStr">
        <is>
          <t>2025-12-08</t>
        </is>
      </c>
      <c r="C469" s="3" t="inlineStr">
        <is>
          <t>Delphine Thistlewood</t>
        </is>
      </c>
      <c r="D469" s="3" t="inlineStr">
        <is>
          <t>MS</t>
        </is>
      </c>
      <c r="E469" s="14" t="n">
        <v>635000</v>
      </c>
      <c r="F469" s="14" t="n">
        <v>8495.43</v>
      </c>
      <c r="G469" s="14" t="n">
        <v>1061.93</v>
      </c>
      <c r="H469" s="14" t="n">
        <v>1061.93</v>
      </c>
      <c r="I469" s="14">
        <f>SUM(K469:T469)</f>
        <v/>
      </c>
      <c r="J469" s="14">
        <f>F469-(G469+H469+I469)</f>
        <v/>
      </c>
      <c r="K469" s="14" t="n">
        <v>637.16</v>
      </c>
      <c r="L469" s="14" t="n">
        <v>637.16</v>
      </c>
      <c r="M469" s="14" t="n">
        <v>637.16</v>
      </c>
      <c r="N469" s="14" t="n">
        <v>637.16</v>
      </c>
      <c r="O469" s="14" t="n">
        <v>637.16</v>
      </c>
      <c r="P469" s="14" t="n">
        <v>637.16</v>
      </c>
      <c r="Q469" s="14" t="n">
        <v>637.16</v>
      </c>
      <c r="R469" s="14" t="n">
        <v>637.16</v>
      </c>
      <c r="S469" s="14" t="n">
        <v>637.16</v>
      </c>
      <c r="T469" s="14" t="n">
        <v>637.16</v>
      </c>
      <c r="U469" s="14" t="n">
        <v>350</v>
      </c>
      <c r="V469" s="14" t="n">
        <v>0</v>
      </c>
      <c r="W469" s="14">
        <f>U469+V469</f>
        <v/>
      </c>
    </row>
    <row r="470">
      <c r="A470" s="15" t="inlineStr">
        <is>
          <t>CANON-202512-003015</t>
        </is>
      </c>
      <c r="B470" s="15" t="inlineStr">
        <is>
          <t>2025-12-11</t>
        </is>
      </c>
      <c r="C470" s="15" t="inlineStr">
        <is>
          <t>Cassius Blackwood</t>
        </is>
      </c>
      <c r="D470" s="15" t="inlineStr">
        <is>
          <t>NJ</t>
        </is>
      </c>
      <c r="E470" s="16" t="n">
        <v>1950000</v>
      </c>
      <c r="F470" s="16" t="n">
        <v>10435.33</v>
      </c>
      <c r="G470" s="16" t="n">
        <v>1304.42</v>
      </c>
      <c r="H470" s="16" t="n">
        <v>1304.42</v>
      </c>
      <c r="I470" s="16">
        <f>SUM(K470:T470)</f>
        <v/>
      </c>
      <c r="J470" s="16">
        <f>F470-(G470+H470+I470)</f>
        <v/>
      </c>
      <c r="K470" s="16" t="n">
        <v>782.65</v>
      </c>
      <c r="L470" s="16" t="n">
        <v>782.65</v>
      </c>
      <c r="M470" s="16" t="n">
        <v>782.65</v>
      </c>
      <c r="N470" s="16" t="n">
        <v>782.65</v>
      </c>
      <c r="O470" s="16" t="n">
        <v>782.65</v>
      </c>
      <c r="P470" s="16" t="n">
        <v>782.65</v>
      </c>
      <c r="Q470" s="16" t="n">
        <v>782.65</v>
      </c>
      <c r="R470" s="16" t="n">
        <v>782.65</v>
      </c>
      <c r="S470" s="16" t="n">
        <v>782.65</v>
      </c>
      <c r="T470" s="16" t="n">
        <v>782.65</v>
      </c>
      <c r="U470" s="16" t="n">
        <v>350</v>
      </c>
      <c r="V470" s="16" t="n">
        <v>250</v>
      </c>
      <c r="W470" s="16">
        <f>U470+V470</f>
        <v/>
      </c>
    </row>
    <row r="471">
      <c r="A471" s="3" t="inlineStr">
        <is>
          <t>CANON-202512-003016</t>
        </is>
      </c>
      <c r="B471" s="3" t="inlineStr">
        <is>
          <t>2025-12-12</t>
        </is>
      </c>
      <c r="C471" s="3" t="inlineStr">
        <is>
          <t>Mireille Vasquez</t>
        </is>
      </c>
      <c r="D471" s="3" t="inlineStr">
        <is>
          <t>AL</t>
        </is>
      </c>
      <c r="E471" s="14" t="n">
        <v>605000</v>
      </c>
      <c r="F471" s="14" t="n">
        <v>12625.08</v>
      </c>
      <c r="G471" s="14" t="n">
        <v>1578.13</v>
      </c>
      <c r="H471" s="14" t="n">
        <v>1578.13</v>
      </c>
      <c r="I471" s="14">
        <f>SUM(K471:T471)</f>
        <v/>
      </c>
      <c r="J471" s="14">
        <f>F471-(G471+H471+I471)</f>
        <v/>
      </c>
      <c r="K471" s="14" t="n">
        <v>946.88</v>
      </c>
      <c r="L471" s="14" t="n">
        <v>946.88</v>
      </c>
      <c r="M471" s="14" t="n">
        <v>946.88</v>
      </c>
      <c r="N471" s="14" t="n">
        <v>946.88</v>
      </c>
      <c r="O471" s="14" t="n">
        <v>946.88</v>
      </c>
      <c r="P471" s="14" t="n">
        <v>946.88</v>
      </c>
      <c r="Q471" s="14" t="n">
        <v>946.88</v>
      </c>
      <c r="R471" s="14" t="n">
        <v>946.88</v>
      </c>
      <c r="S471" s="14" t="n">
        <v>946.88</v>
      </c>
      <c r="T471" s="14" t="n">
        <v>946.88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CANON-202512-003017</t>
        </is>
      </c>
      <c r="B472" s="15" t="inlineStr">
        <is>
          <t>2025-12-01</t>
        </is>
      </c>
      <c r="C472" s="15" t="inlineStr">
        <is>
          <t>Beatrix Okonkwo</t>
        </is>
      </c>
      <c r="D472" s="15" t="inlineStr">
        <is>
          <t>CO</t>
        </is>
      </c>
      <c r="E472" s="16" t="n">
        <v>420000</v>
      </c>
      <c r="F472" s="16" t="n">
        <v>9189.49</v>
      </c>
      <c r="G472" s="16" t="n">
        <v>1148.69</v>
      </c>
      <c r="H472" s="16" t="n">
        <v>1148.69</v>
      </c>
      <c r="I472" s="16">
        <f>SUM(K472:T472)</f>
        <v/>
      </c>
      <c r="J472" s="16">
        <f>F472-(G472+H472+I472)</f>
        <v/>
      </c>
      <c r="K472" s="16" t="n">
        <v>689.21</v>
      </c>
      <c r="L472" s="16" t="n">
        <v>689.21</v>
      </c>
      <c r="M472" s="16" t="n">
        <v>689.21</v>
      </c>
      <c r="N472" s="16" t="n">
        <v>689.21</v>
      </c>
      <c r="O472" s="16" t="n">
        <v>689.21</v>
      </c>
      <c r="P472" s="16" t="n">
        <v>689.21</v>
      </c>
      <c r="Q472" s="16" t="n">
        <v>689.21</v>
      </c>
      <c r="R472" s="16" t="n">
        <v>689.21</v>
      </c>
      <c r="S472" s="16" t="n">
        <v>689.21</v>
      </c>
      <c r="T472" s="16" t="n">
        <v>689.21</v>
      </c>
      <c r="U472" s="16" t="n">
        <v>350</v>
      </c>
      <c r="V472" s="16" t="n">
        <v>0</v>
      </c>
      <c r="W472" s="16">
        <f>U472+V472</f>
        <v/>
      </c>
    </row>
    <row r="473">
      <c r="A473" s="3" t="inlineStr">
        <is>
          <t>CANON-202512-003018</t>
        </is>
      </c>
      <c r="B473" s="3" t="inlineStr">
        <is>
          <t>2025-12-26</t>
        </is>
      </c>
      <c r="C473" s="3" t="inlineStr">
        <is>
          <t>Anouk Montoya</t>
        </is>
      </c>
      <c r="D473" s="3" t="inlineStr">
        <is>
          <t>IL</t>
        </is>
      </c>
      <c r="E473" s="14" t="n">
        <v>1950000</v>
      </c>
      <c r="F473" s="14" t="n">
        <v>36695.68</v>
      </c>
      <c r="G473" s="14" t="n">
        <v>4586.96</v>
      </c>
      <c r="H473" s="14" t="n">
        <v>4586.96</v>
      </c>
      <c r="I473" s="14">
        <f>SUM(K473:T473)</f>
        <v/>
      </c>
      <c r="J473" s="14">
        <f>F473-(G473+H473+I473)</f>
        <v/>
      </c>
      <c r="K473" s="14" t="n">
        <v>2752.18</v>
      </c>
      <c r="L473" s="14" t="n">
        <v>2752.18</v>
      </c>
      <c r="M473" s="14" t="n">
        <v>2752.18</v>
      </c>
      <c r="N473" s="14" t="n">
        <v>2752.18</v>
      </c>
      <c r="O473" s="14" t="n">
        <v>2752.18</v>
      </c>
      <c r="P473" s="14" t="n">
        <v>2752.18</v>
      </c>
      <c r="Q473" s="14" t="n">
        <v>2752.18</v>
      </c>
      <c r="R473" s="14" t="n">
        <v>2752.18</v>
      </c>
      <c r="S473" s="14" t="n">
        <v>2752.18</v>
      </c>
      <c r="T473" s="14" t="n">
        <v>2752.18</v>
      </c>
      <c r="U473" s="14" t="n">
        <v>350</v>
      </c>
      <c r="V473" s="14" t="n">
        <v>250</v>
      </c>
      <c r="W473" s="14">
        <f>U473+V473</f>
        <v/>
      </c>
    </row>
    <row r="474">
      <c r="A474" s="15" t="inlineStr">
        <is>
          <t>CANON-202512-003019</t>
        </is>
      </c>
      <c r="B474" s="15" t="inlineStr">
        <is>
          <t>2025-12-14</t>
        </is>
      </c>
      <c r="C474" s="15" t="inlineStr">
        <is>
          <t>Cassius Vasquez</t>
        </is>
      </c>
      <c r="D474" s="15" t="inlineStr">
        <is>
          <t>MN</t>
        </is>
      </c>
      <c r="E474" s="16" t="n">
        <v>805000</v>
      </c>
      <c r="F474" s="16" t="n">
        <v>11946.33</v>
      </c>
      <c r="G474" s="16" t="n">
        <v>1493.29</v>
      </c>
      <c r="H474" s="16" t="n">
        <v>1493.29</v>
      </c>
      <c r="I474" s="16">
        <f>SUM(K474:T474)</f>
        <v/>
      </c>
      <c r="J474" s="16">
        <f>F474-(G474+H474+I474)</f>
        <v/>
      </c>
      <c r="K474" s="16" t="n">
        <v>895.97</v>
      </c>
      <c r="L474" s="16" t="n">
        <v>895.97</v>
      </c>
      <c r="M474" s="16" t="n">
        <v>895.97</v>
      </c>
      <c r="N474" s="16" t="n">
        <v>895.97</v>
      </c>
      <c r="O474" s="16" t="n">
        <v>895.97</v>
      </c>
      <c r="P474" s="16" t="n">
        <v>895.97</v>
      </c>
      <c r="Q474" s="16" t="n">
        <v>895.97</v>
      </c>
      <c r="R474" s="16" t="n">
        <v>895.97</v>
      </c>
      <c r="S474" s="16" t="n">
        <v>895.97</v>
      </c>
      <c r="T474" s="16" t="n">
        <v>895.97</v>
      </c>
      <c r="U474" s="16" t="n">
        <v>350</v>
      </c>
      <c r="V474" s="16" t="n">
        <v>0</v>
      </c>
      <c r="W474" s="16">
        <f>U474+V474</f>
        <v/>
      </c>
    </row>
    <row r="475">
      <c r="A475" s="3" t="inlineStr">
        <is>
          <t>CANON-202512-003020</t>
        </is>
      </c>
      <c r="B475" s="3" t="inlineStr">
        <is>
          <t>2025-12-12</t>
        </is>
      </c>
      <c r="C475" s="3" t="inlineStr">
        <is>
          <t>Priya Bellandi</t>
        </is>
      </c>
      <c r="D475" s="3" t="inlineStr">
        <is>
          <t>FL</t>
        </is>
      </c>
      <c r="E475" s="14" t="n">
        <v>1800000</v>
      </c>
      <c r="F475" s="14" t="n">
        <v>35367.32</v>
      </c>
      <c r="G475" s="14" t="n">
        <v>4420.91</v>
      </c>
      <c r="H475" s="14" t="n">
        <v>4420.91</v>
      </c>
      <c r="I475" s="14">
        <f>SUM(K475:T475)</f>
        <v/>
      </c>
      <c r="J475" s="14">
        <f>F475-(G475+H475+I475)</f>
        <v/>
      </c>
      <c r="K475" s="14" t="n">
        <v>2652.55</v>
      </c>
      <c r="L475" s="14" t="n">
        <v>2652.55</v>
      </c>
      <c r="M475" s="14" t="n">
        <v>2652.55</v>
      </c>
      <c r="N475" s="14" t="n">
        <v>2652.55</v>
      </c>
      <c r="O475" s="14" t="n">
        <v>2652.55</v>
      </c>
      <c r="P475" s="14" t="n">
        <v>2652.55</v>
      </c>
      <c r="Q475" s="14" t="n">
        <v>2652.55</v>
      </c>
      <c r="R475" s="14" t="n">
        <v>2652.55</v>
      </c>
      <c r="S475" s="14" t="n">
        <v>2652.55</v>
      </c>
      <c r="T475" s="14" t="n">
        <v>2652.55</v>
      </c>
      <c r="U475" s="14" t="n">
        <v>350</v>
      </c>
      <c r="V475" s="14" t="n">
        <v>250</v>
      </c>
      <c r="W475" s="14">
        <f>U475+V475</f>
        <v/>
      </c>
    </row>
    <row r="476">
      <c r="A476" s="15" t="inlineStr">
        <is>
          <t>CANON-202512-003021</t>
        </is>
      </c>
      <c r="B476" s="15" t="inlineStr">
        <is>
          <t>2025-12-12</t>
        </is>
      </c>
      <c r="C476" s="15" t="inlineStr">
        <is>
          <t>Ingrid Thistlewood</t>
        </is>
      </c>
      <c r="D476" s="15" t="inlineStr">
        <is>
          <t>OH</t>
        </is>
      </c>
      <c r="E476" s="16" t="n">
        <v>600000</v>
      </c>
      <c r="F476" s="16" t="n">
        <v>13703.8</v>
      </c>
      <c r="G476" s="16" t="n">
        <v>1712.97</v>
      </c>
      <c r="H476" s="16" t="n">
        <v>1712.97</v>
      </c>
      <c r="I476" s="16">
        <f>SUM(K476:T476)</f>
        <v/>
      </c>
      <c r="J476" s="16">
        <f>F476-(G476+H476+I476)</f>
        <v/>
      </c>
      <c r="K476" s="16" t="n">
        <v>1027.78</v>
      </c>
      <c r="L476" s="16" t="n">
        <v>1027.78</v>
      </c>
      <c r="M476" s="16" t="n">
        <v>1027.78</v>
      </c>
      <c r="N476" s="16" t="n">
        <v>1027.78</v>
      </c>
      <c r="O476" s="16" t="n">
        <v>1027.78</v>
      </c>
      <c r="P476" s="16" t="n">
        <v>1027.78</v>
      </c>
      <c r="Q476" s="16" t="n">
        <v>1027.78</v>
      </c>
      <c r="R476" s="16" t="n">
        <v>1027.78</v>
      </c>
      <c r="S476" s="16" t="n">
        <v>1027.78</v>
      </c>
      <c r="T476" s="16" t="n">
        <v>1027.78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CANON-202512-003023</t>
        </is>
      </c>
      <c r="B477" s="3" t="inlineStr">
        <is>
          <t>2025-12-11</t>
        </is>
      </c>
      <c r="C477" s="3" t="inlineStr">
        <is>
          <t>Sunniva Thistlewood</t>
        </is>
      </c>
      <c r="D477" s="3" t="inlineStr">
        <is>
          <t>MD</t>
        </is>
      </c>
      <c r="E477" s="14" t="n">
        <v>710000</v>
      </c>
      <c r="F477" s="14" t="n">
        <v>5016.51</v>
      </c>
      <c r="G477" s="14" t="n">
        <v>627.0599999999999</v>
      </c>
      <c r="H477" s="14" t="n">
        <v>627.0599999999999</v>
      </c>
      <c r="I477" s="14">
        <f>SUM(K477:T477)</f>
        <v/>
      </c>
      <c r="J477" s="14">
        <f>F477-(G477+H477+I477)</f>
        <v/>
      </c>
      <c r="K477" s="14" t="n">
        <v>376.24</v>
      </c>
      <c r="L477" s="14" t="n">
        <v>376.24</v>
      </c>
      <c r="M477" s="14" t="n">
        <v>376.24</v>
      </c>
      <c r="N477" s="14" t="n">
        <v>376.24</v>
      </c>
      <c r="O477" s="14" t="n">
        <v>376.24</v>
      </c>
      <c r="P477" s="14" t="n">
        <v>376.24</v>
      </c>
      <c r="Q477" s="14" t="n">
        <v>376.24</v>
      </c>
      <c r="R477" s="14" t="n">
        <v>376.24</v>
      </c>
      <c r="S477" s="14" t="n">
        <v>376.24</v>
      </c>
      <c r="T477" s="14" t="n">
        <v>376.24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CANON-202512-003024</t>
        </is>
      </c>
      <c r="B478" s="15" t="inlineStr">
        <is>
          <t>2025-12-01</t>
        </is>
      </c>
      <c r="C478" s="15" t="inlineStr">
        <is>
          <t>Saoirse Chattopadhyay</t>
        </is>
      </c>
      <c r="D478" s="15" t="inlineStr">
        <is>
          <t>NH</t>
        </is>
      </c>
      <c r="E478" s="16" t="n">
        <v>1530000</v>
      </c>
      <c r="F478" s="16" t="n">
        <v>15136.96</v>
      </c>
      <c r="G478" s="16" t="n">
        <v>1892.12</v>
      </c>
      <c r="H478" s="16" t="n">
        <v>1892.12</v>
      </c>
      <c r="I478" s="16">
        <f>SUM(K478:T478)</f>
        <v/>
      </c>
      <c r="J478" s="16">
        <f>F478-(G478+H478+I478)</f>
        <v/>
      </c>
      <c r="K478" s="16" t="n">
        <v>1135.27</v>
      </c>
      <c r="L478" s="16" t="n">
        <v>1135.27</v>
      </c>
      <c r="M478" s="16" t="n">
        <v>1135.27</v>
      </c>
      <c r="N478" s="16" t="n">
        <v>1135.27</v>
      </c>
      <c r="O478" s="16" t="n">
        <v>1135.27</v>
      </c>
      <c r="P478" s="16" t="n">
        <v>1135.27</v>
      </c>
      <c r="Q478" s="16" t="n">
        <v>1135.27</v>
      </c>
      <c r="R478" s="16" t="n">
        <v>1135.27</v>
      </c>
      <c r="S478" s="16" t="n">
        <v>1135.27</v>
      </c>
      <c r="T478" s="16" t="n">
        <v>1135.27</v>
      </c>
      <c r="U478" s="16" t="n">
        <v>350</v>
      </c>
      <c r="V478" s="16" t="n">
        <v>250</v>
      </c>
      <c r="W478" s="16">
        <f>U478+V478</f>
        <v/>
      </c>
    </row>
    <row r="479">
      <c r="A479" s="3" t="inlineStr">
        <is>
          <t>CANON-202512-003025</t>
        </is>
      </c>
      <c r="B479" s="3" t="inlineStr">
        <is>
          <t>2025-12-12</t>
        </is>
      </c>
      <c r="C479" s="3" t="inlineStr">
        <is>
          <t>Delphine Kingsford</t>
        </is>
      </c>
      <c r="D479" s="3" t="inlineStr">
        <is>
          <t>PA</t>
        </is>
      </c>
      <c r="E479" s="14" t="n">
        <v>415000</v>
      </c>
      <c r="F479" s="14" t="n">
        <v>3014.73</v>
      </c>
      <c r="G479" s="14" t="n">
        <v>376.84</v>
      </c>
      <c r="H479" s="14" t="n">
        <v>376.84</v>
      </c>
      <c r="I479" s="14">
        <f>SUM(K479:T479)</f>
        <v/>
      </c>
      <c r="J479" s="14">
        <f>F479-(G479+H479+I479)</f>
        <v/>
      </c>
      <c r="K479" s="14" t="n">
        <v>226.1</v>
      </c>
      <c r="L479" s="14" t="n">
        <v>226.1</v>
      </c>
      <c r="M479" s="14" t="n">
        <v>226.1</v>
      </c>
      <c r="N479" s="14" t="n">
        <v>226.1</v>
      </c>
      <c r="O479" s="14" t="n">
        <v>226.1</v>
      </c>
      <c r="P479" s="14" t="n">
        <v>226.1</v>
      </c>
      <c r="Q479" s="14" t="n">
        <v>226.1</v>
      </c>
      <c r="R479" s="14" t="n">
        <v>226.1</v>
      </c>
      <c r="S479" s="14" t="n">
        <v>226.1</v>
      </c>
      <c r="T479" s="14" t="n">
        <v>226.1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CANON-202512-003026</t>
        </is>
      </c>
      <c r="B480" s="15" t="inlineStr">
        <is>
          <t>2025-12-05</t>
        </is>
      </c>
      <c r="C480" s="15" t="inlineStr">
        <is>
          <t>Desmond Farkas</t>
        </is>
      </c>
      <c r="D480" s="15" t="inlineStr">
        <is>
          <t>NC</t>
        </is>
      </c>
      <c r="E480" s="16" t="n">
        <v>455000</v>
      </c>
      <c r="F480" s="16" t="n">
        <v>10407.79</v>
      </c>
      <c r="G480" s="16" t="n">
        <v>1300.97</v>
      </c>
      <c r="H480" s="16" t="n">
        <v>1300.97</v>
      </c>
      <c r="I480" s="16">
        <f>SUM(K480:T480)</f>
        <v/>
      </c>
      <c r="J480" s="16">
        <f>F480-(G480+H480+I480)</f>
        <v/>
      </c>
      <c r="K480" s="16" t="n">
        <v>780.58</v>
      </c>
      <c r="L480" s="16" t="n">
        <v>780.58</v>
      </c>
      <c r="M480" s="16" t="n">
        <v>780.58</v>
      </c>
      <c r="N480" s="16" t="n">
        <v>780.58</v>
      </c>
      <c r="O480" s="16" t="n">
        <v>780.58</v>
      </c>
      <c r="P480" s="16" t="n">
        <v>780.58</v>
      </c>
      <c r="Q480" s="16" t="n">
        <v>780.58</v>
      </c>
      <c r="R480" s="16" t="n">
        <v>780.58</v>
      </c>
      <c r="S480" s="16" t="n">
        <v>780.58</v>
      </c>
      <c r="T480" s="16" t="n">
        <v>780.58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CANON-202512-003027</t>
        </is>
      </c>
      <c r="B481" s="3" t="inlineStr">
        <is>
          <t>2025-12-27</t>
        </is>
      </c>
      <c r="C481" s="3" t="inlineStr">
        <is>
          <t>Everett Blackwood</t>
        </is>
      </c>
      <c r="D481" s="3" t="inlineStr">
        <is>
          <t>ID</t>
        </is>
      </c>
      <c r="E481" s="14" t="n">
        <v>225000</v>
      </c>
      <c r="F481" s="14" t="n">
        <v>3544.51</v>
      </c>
      <c r="G481" s="14" t="n">
        <v>443.06</v>
      </c>
      <c r="H481" s="14" t="n">
        <v>443.06</v>
      </c>
      <c r="I481" s="14">
        <f>SUM(K481:T481)</f>
        <v/>
      </c>
      <c r="J481" s="14">
        <f>F481-(G481+H481+I481)</f>
        <v/>
      </c>
      <c r="K481" s="14" t="n">
        <v>265.84</v>
      </c>
      <c r="L481" s="14" t="n">
        <v>265.84</v>
      </c>
      <c r="M481" s="14" t="n">
        <v>265.84</v>
      </c>
      <c r="N481" s="14" t="n">
        <v>265.84</v>
      </c>
      <c r="O481" s="14" t="n">
        <v>265.84</v>
      </c>
      <c r="P481" s="14" t="n">
        <v>265.84</v>
      </c>
      <c r="Q481" s="14" t="n">
        <v>265.84</v>
      </c>
      <c r="R481" s="14" t="n">
        <v>265.84</v>
      </c>
      <c r="S481" s="14" t="n">
        <v>265.84</v>
      </c>
      <c r="T481" s="14" t="n">
        <v>265.84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CANON-202512-003028</t>
        </is>
      </c>
      <c r="B482" s="15" t="inlineStr">
        <is>
          <t>2025-12-31</t>
        </is>
      </c>
      <c r="C482" s="15" t="inlineStr">
        <is>
          <t>Wilhelmina Whitlock</t>
        </is>
      </c>
      <c r="D482" s="15" t="inlineStr">
        <is>
          <t>MD</t>
        </is>
      </c>
      <c r="E482" s="16" t="n">
        <v>1015000</v>
      </c>
      <c r="F482" s="16" t="n">
        <v>6337.6</v>
      </c>
      <c r="G482" s="16" t="n">
        <v>792.2</v>
      </c>
      <c r="H482" s="16" t="n">
        <v>792.2</v>
      </c>
      <c r="I482" s="16">
        <f>SUM(K482:T482)</f>
        <v/>
      </c>
      <c r="J482" s="16">
        <f>F482-(G482+H482+I482)</f>
        <v/>
      </c>
      <c r="K482" s="16" t="n">
        <v>475.32</v>
      </c>
      <c r="L482" s="16" t="n">
        <v>475.32</v>
      </c>
      <c r="M482" s="16" t="n">
        <v>475.32</v>
      </c>
      <c r="N482" s="16" t="n">
        <v>475.32</v>
      </c>
      <c r="O482" s="16" t="n">
        <v>475.32</v>
      </c>
      <c r="P482" s="16" t="n">
        <v>475.32</v>
      </c>
      <c r="Q482" s="16" t="n">
        <v>475.32</v>
      </c>
      <c r="R482" s="16" t="n">
        <v>475.32</v>
      </c>
      <c r="S482" s="16" t="n">
        <v>475.32</v>
      </c>
      <c r="T482" s="16" t="n">
        <v>475.32</v>
      </c>
      <c r="U482" s="16" t="n">
        <v>350</v>
      </c>
      <c r="V482" s="16" t="n">
        <v>250</v>
      </c>
      <c r="W482" s="16">
        <f>U482+V482</f>
        <v/>
      </c>
    </row>
    <row r="483">
      <c r="A483" s="3" t="inlineStr">
        <is>
          <t>CANON-202512-003029</t>
        </is>
      </c>
      <c r="B483" s="3" t="inlineStr">
        <is>
          <t>2025-12-09</t>
        </is>
      </c>
      <c r="C483" s="3" t="inlineStr">
        <is>
          <t>Priya Merriweather</t>
        </is>
      </c>
      <c r="D483" s="3" t="inlineStr">
        <is>
          <t>FL</t>
        </is>
      </c>
      <c r="E483" s="14" t="n">
        <v>320000</v>
      </c>
      <c r="F483" s="14" t="n">
        <v>3772.51</v>
      </c>
      <c r="G483" s="14" t="n">
        <v>471.56</v>
      </c>
      <c r="H483" s="14" t="n">
        <v>471.56</v>
      </c>
      <c r="I483" s="14">
        <f>SUM(K483:T483)</f>
        <v/>
      </c>
      <c r="J483" s="14">
        <f>F483-(G483+H483+I483)</f>
        <v/>
      </c>
      <c r="K483" s="14" t="n">
        <v>282.94</v>
      </c>
      <c r="L483" s="14" t="n">
        <v>282.94</v>
      </c>
      <c r="M483" s="14" t="n">
        <v>282.94</v>
      </c>
      <c r="N483" s="14" t="n">
        <v>282.94</v>
      </c>
      <c r="O483" s="14" t="n">
        <v>282.94</v>
      </c>
      <c r="P483" s="14" t="n">
        <v>282.94</v>
      </c>
      <c r="Q483" s="14" t="n">
        <v>282.94</v>
      </c>
      <c r="R483" s="14" t="n">
        <v>282.94</v>
      </c>
      <c r="S483" s="14" t="n">
        <v>282.94</v>
      </c>
      <c r="T483" s="14" t="n">
        <v>282.94</v>
      </c>
      <c r="U483" s="14" t="n">
        <v>350</v>
      </c>
      <c r="V483" s="14" t="n">
        <v>0</v>
      </c>
      <c r="W483" s="14">
        <f>U483+V483</f>
        <v/>
      </c>
    </row>
    <row r="484">
      <c r="A484" s="15" t="inlineStr">
        <is>
          <t>CANON-202512-003031</t>
        </is>
      </c>
      <c r="B484" s="15" t="inlineStr">
        <is>
          <t>2025-12-08</t>
        </is>
      </c>
      <c r="C484" s="15" t="inlineStr">
        <is>
          <t>Wilhelmina Rourke</t>
        </is>
      </c>
      <c r="D484" s="15" t="inlineStr">
        <is>
          <t>AR</t>
        </is>
      </c>
      <c r="E484" s="16" t="n">
        <v>755000</v>
      </c>
      <c r="F484" s="16" t="n">
        <v>11713.61</v>
      </c>
      <c r="G484" s="16" t="n">
        <v>1464.2</v>
      </c>
      <c r="H484" s="16" t="n">
        <v>1464.2</v>
      </c>
      <c r="I484" s="16">
        <f>SUM(K484:T484)</f>
        <v/>
      </c>
      <c r="J484" s="16">
        <f>F484-(G484+H484+I484)</f>
        <v/>
      </c>
      <c r="K484" s="16" t="n">
        <v>878.52</v>
      </c>
      <c r="L484" s="16" t="n">
        <v>878.52</v>
      </c>
      <c r="M484" s="16" t="n">
        <v>878.52</v>
      </c>
      <c r="N484" s="16" t="n">
        <v>878.52</v>
      </c>
      <c r="O484" s="16" t="n">
        <v>878.52</v>
      </c>
      <c r="P484" s="16" t="n">
        <v>878.52</v>
      </c>
      <c r="Q484" s="16" t="n">
        <v>878.52</v>
      </c>
      <c r="R484" s="16" t="n">
        <v>878.52</v>
      </c>
      <c r="S484" s="16" t="n">
        <v>878.52</v>
      </c>
      <c r="T484" s="16" t="n">
        <v>878.52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CANON-202512-003032</t>
        </is>
      </c>
      <c r="B485" s="3" t="inlineStr">
        <is>
          <t>2025-12-25</t>
        </is>
      </c>
      <c r="C485" s="3" t="inlineStr">
        <is>
          <t>Leopold Blackwood</t>
        </is>
      </c>
      <c r="D485" s="3" t="inlineStr">
        <is>
          <t>MI</t>
        </is>
      </c>
      <c r="E485" s="14" t="n">
        <v>835000</v>
      </c>
      <c r="F485" s="14" t="n">
        <v>14550.67</v>
      </c>
      <c r="G485" s="14" t="n">
        <v>1818.83</v>
      </c>
      <c r="H485" s="14" t="n">
        <v>1818.83</v>
      </c>
      <c r="I485" s="14">
        <f>SUM(K485:T485)</f>
        <v/>
      </c>
      <c r="J485" s="14">
        <f>F485-(G485+H485+I485)</f>
        <v/>
      </c>
      <c r="K485" s="14" t="n">
        <v>1091.3</v>
      </c>
      <c r="L485" s="14" t="n">
        <v>1091.3</v>
      </c>
      <c r="M485" s="14" t="n">
        <v>1091.3</v>
      </c>
      <c r="N485" s="14" t="n">
        <v>1091.3</v>
      </c>
      <c r="O485" s="14" t="n">
        <v>1091.3</v>
      </c>
      <c r="P485" s="14" t="n">
        <v>1091.3</v>
      </c>
      <c r="Q485" s="14" t="n">
        <v>1091.3</v>
      </c>
      <c r="R485" s="14" t="n">
        <v>1091.3</v>
      </c>
      <c r="S485" s="14" t="n">
        <v>1091.3</v>
      </c>
      <c r="T485" s="14" t="n">
        <v>1091.3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CANON-202512-003033</t>
        </is>
      </c>
      <c r="B486" s="15" t="inlineStr">
        <is>
          <t>2025-12-29</t>
        </is>
      </c>
      <c r="C486" s="15" t="inlineStr">
        <is>
          <t>Marisol Blackwood</t>
        </is>
      </c>
      <c r="D486" s="15" t="inlineStr">
        <is>
          <t>AK</t>
        </is>
      </c>
      <c r="E486" s="16" t="n">
        <v>510000</v>
      </c>
      <c r="F486" s="16" t="n">
        <v>6536.42</v>
      </c>
      <c r="G486" s="16" t="n">
        <v>817.05</v>
      </c>
      <c r="H486" s="16" t="n">
        <v>817.05</v>
      </c>
      <c r="I486" s="16">
        <f>SUM(K486:T486)</f>
        <v/>
      </c>
      <c r="J486" s="16">
        <f>F486-(G486+H486+I486)</f>
        <v/>
      </c>
      <c r="K486" s="16" t="n">
        <v>490.23</v>
      </c>
      <c r="L486" s="16" t="n">
        <v>490.23</v>
      </c>
      <c r="M486" s="16" t="n">
        <v>490.23</v>
      </c>
      <c r="N486" s="16" t="n">
        <v>490.23</v>
      </c>
      <c r="O486" s="16" t="n">
        <v>490.23</v>
      </c>
      <c r="P486" s="16" t="n">
        <v>490.23</v>
      </c>
      <c r="Q486" s="16" t="n">
        <v>490.23</v>
      </c>
      <c r="R486" s="16" t="n">
        <v>490.23</v>
      </c>
      <c r="S486" s="16" t="n">
        <v>490.23</v>
      </c>
      <c r="T486" s="16" t="n">
        <v>490.23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CANON-202512-003034</t>
        </is>
      </c>
      <c r="B487" s="3" t="inlineStr">
        <is>
          <t>2025-12-01</t>
        </is>
      </c>
      <c r="C487" s="3" t="inlineStr">
        <is>
          <t>Thaddeus Thistlewood</t>
        </is>
      </c>
      <c r="D487" s="3" t="inlineStr">
        <is>
          <t>TX</t>
        </is>
      </c>
      <c r="E487" s="14" t="n">
        <v>270000</v>
      </c>
      <c r="F487" s="14" t="n">
        <v>4027.86</v>
      </c>
      <c r="G487" s="14" t="n">
        <v>503.48</v>
      </c>
      <c r="H487" s="14" t="n">
        <v>503.48</v>
      </c>
      <c r="I487" s="14">
        <f>SUM(K487:T487)</f>
        <v/>
      </c>
      <c r="J487" s="14">
        <f>F487-(G487+H487+I487)</f>
        <v/>
      </c>
      <c r="K487" s="14" t="n">
        <v>302.09</v>
      </c>
      <c r="L487" s="14" t="n">
        <v>302.09</v>
      </c>
      <c r="M487" s="14" t="n">
        <v>302.09</v>
      </c>
      <c r="N487" s="14" t="n">
        <v>302.09</v>
      </c>
      <c r="O487" s="14" t="n">
        <v>302.09</v>
      </c>
      <c r="P487" s="14" t="n">
        <v>302.09</v>
      </c>
      <c r="Q487" s="14" t="n">
        <v>302.09</v>
      </c>
      <c r="R487" s="14" t="n">
        <v>302.09</v>
      </c>
      <c r="S487" s="14" t="n">
        <v>302.09</v>
      </c>
      <c r="T487" s="14" t="n">
        <v>302.09</v>
      </c>
      <c r="U487" s="14" t="n">
        <v>350</v>
      </c>
      <c r="V487" s="14" t="n">
        <v>0</v>
      </c>
      <c r="W487" s="14">
        <f>U487+V487</f>
        <v/>
      </c>
    </row>
    <row r="488">
      <c r="A488" s="15" t="inlineStr">
        <is>
          <t>CANON-202512-003035</t>
        </is>
      </c>
      <c r="B488" s="15" t="inlineStr">
        <is>
          <t>2025-12-19</t>
        </is>
      </c>
      <c r="C488" s="15" t="inlineStr">
        <is>
          <t>Callum Bellandi</t>
        </is>
      </c>
      <c r="D488" s="15" t="inlineStr">
        <is>
          <t>MT</t>
        </is>
      </c>
      <c r="E488" s="16" t="n">
        <v>280000</v>
      </c>
      <c r="F488" s="16" t="n">
        <v>3377.96</v>
      </c>
      <c r="G488" s="16" t="n">
        <v>422.25</v>
      </c>
      <c r="H488" s="16" t="n">
        <v>422.25</v>
      </c>
      <c r="I488" s="16">
        <f>SUM(K488:T488)</f>
        <v/>
      </c>
      <c r="J488" s="16">
        <f>F488-(G488+H488+I488)</f>
        <v/>
      </c>
      <c r="K488" s="16" t="n">
        <v>253.35</v>
      </c>
      <c r="L488" s="16" t="n">
        <v>253.35</v>
      </c>
      <c r="M488" s="16" t="n">
        <v>253.35</v>
      </c>
      <c r="N488" s="16" t="n">
        <v>253.35</v>
      </c>
      <c r="O488" s="16" t="n">
        <v>253.35</v>
      </c>
      <c r="P488" s="16" t="n">
        <v>253.35</v>
      </c>
      <c r="Q488" s="16" t="n">
        <v>253.35</v>
      </c>
      <c r="R488" s="16" t="n">
        <v>253.35</v>
      </c>
      <c r="S488" s="16" t="n">
        <v>253.35</v>
      </c>
      <c r="T488" s="16" t="n">
        <v>253.35</v>
      </c>
      <c r="U488" s="16" t="n">
        <v>350</v>
      </c>
      <c r="V488" s="16" t="n">
        <v>0</v>
      </c>
      <c r="W488" s="16">
        <f>U488+V488</f>
        <v/>
      </c>
    </row>
    <row r="489">
      <c r="A489" s="3" t="inlineStr">
        <is>
          <t>CANON-202512-003036</t>
        </is>
      </c>
      <c r="B489" s="3" t="inlineStr">
        <is>
          <t>2025-12-28</t>
        </is>
      </c>
      <c r="C489" s="3" t="inlineStr">
        <is>
          <t>Mireille Farkas</t>
        </is>
      </c>
      <c r="D489" s="3" t="inlineStr">
        <is>
          <t>CA</t>
        </is>
      </c>
      <c r="E489" s="14" t="n">
        <v>195000</v>
      </c>
      <c r="F489" s="14" t="n">
        <v>4188.97</v>
      </c>
      <c r="G489" s="14" t="n">
        <v>523.62</v>
      </c>
      <c r="H489" s="14" t="n">
        <v>523.62</v>
      </c>
      <c r="I489" s="14">
        <f>SUM(K489:T489)</f>
        <v/>
      </c>
      <c r="J489" s="14">
        <f>F489-(G489+H489+I489)</f>
        <v/>
      </c>
      <c r="K489" s="14" t="n">
        <v>314.17</v>
      </c>
      <c r="L489" s="14" t="n">
        <v>314.17</v>
      </c>
      <c r="M489" s="14" t="n">
        <v>314.17</v>
      </c>
      <c r="N489" s="14" t="n">
        <v>314.17</v>
      </c>
      <c r="O489" s="14" t="n">
        <v>314.17</v>
      </c>
      <c r="P489" s="14" t="n">
        <v>314.17</v>
      </c>
      <c r="Q489" s="14" t="n">
        <v>314.17</v>
      </c>
      <c r="R489" s="14" t="n">
        <v>314.17</v>
      </c>
      <c r="S489" s="14" t="n">
        <v>314.17</v>
      </c>
      <c r="T489" s="14" t="n">
        <v>314.17</v>
      </c>
      <c r="U489" s="14" t="n">
        <v>350</v>
      </c>
      <c r="V489" s="14" t="n">
        <v>0</v>
      </c>
      <c r="W489" s="14">
        <f>U489+V489</f>
        <v/>
      </c>
    </row>
    <row r="490">
      <c r="A490" s="15" t="inlineStr">
        <is>
          <t>CANON-202512-003037</t>
        </is>
      </c>
      <c r="B490" s="15" t="inlineStr">
        <is>
          <t>2025-12-04</t>
        </is>
      </c>
      <c r="C490" s="15" t="inlineStr">
        <is>
          <t>Fenwick Okonkwo</t>
        </is>
      </c>
      <c r="D490" s="15" t="inlineStr">
        <is>
          <t>NJ</t>
        </is>
      </c>
      <c r="E490" s="16" t="n">
        <v>1155000</v>
      </c>
      <c r="F490" s="16" t="n">
        <v>9998.559999999999</v>
      </c>
      <c r="G490" s="16" t="n">
        <v>1249.82</v>
      </c>
      <c r="H490" s="16" t="n">
        <v>1249.82</v>
      </c>
      <c r="I490" s="16">
        <f>SUM(K490:T490)</f>
        <v/>
      </c>
      <c r="J490" s="16">
        <f>F490-(G490+H490+I490)</f>
        <v/>
      </c>
      <c r="K490" s="16" t="n">
        <v>749.89</v>
      </c>
      <c r="L490" s="16" t="n">
        <v>749.89</v>
      </c>
      <c r="M490" s="16" t="n">
        <v>749.89</v>
      </c>
      <c r="N490" s="16" t="n">
        <v>749.89</v>
      </c>
      <c r="O490" s="16" t="n">
        <v>749.89</v>
      </c>
      <c r="P490" s="16" t="n">
        <v>749.89</v>
      </c>
      <c r="Q490" s="16" t="n">
        <v>749.89</v>
      </c>
      <c r="R490" s="16" t="n">
        <v>749.89</v>
      </c>
      <c r="S490" s="16" t="n">
        <v>749.89</v>
      </c>
      <c r="T490" s="16" t="n">
        <v>749.89</v>
      </c>
      <c r="U490" s="16" t="n">
        <v>350</v>
      </c>
      <c r="V490" s="16" t="n">
        <v>250</v>
      </c>
      <c r="W490" s="16">
        <f>U490+V490</f>
        <v/>
      </c>
    </row>
    <row r="491">
      <c r="A491" s="3" t="inlineStr">
        <is>
          <t>CANON-202512-003038</t>
        </is>
      </c>
      <c r="B491" s="3" t="inlineStr">
        <is>
          <t>2025-12-03</t>
        </is>
      </c>
      <c r="C491" s="3" t="inlineStr">
        <is>
          <t>Marisol Vandermeer</t>
        </is>
      </c>
      <c r="D491" s="3" t="inlineStr">
        <is>
          <t>OR</t>
        </is>
      </c>
      <c r="E491" s="14" t="n">
        <v>1185000</v>
      </c>
      <c r="F491" s="14" t="n">
        <v>18528.41</v>
      </c>
      <c r="G491" s="14" t="n">
        <v>2316.05</v>
      </c>
      <c r="H491" s="14" t="n">
        <v>2316.05</v>
      </c>
      <c r="I491" s="14">
        <f>SUM(K491:T491)</f>
        <v/>
      </c>
      <c r="J491" s="14">
        <f>F491-(G491+H491+I491)</f>
        <v/>
      </c>
      <c r="K491" s="14" t="n">
        <v>1389.63</v>
      </c>
      <c r="L491" s="14" t="n">
        <v>1389.63</v>
      </c>
      <c r="M491" s="14" t="n">
        <v>1389.63</v>
      </c>
      <c r="N491" s="14" t="n">
        <v>1389.63</v>
      </c>
      <c r="O491" s="14" t="n">
        <v>1389.63</v>
      </c>
      <c r="P491" s="14" t="n">
        <v>1389.63</v>
      </c>
      <c r="Q491" s="14" t="n">
        <v>1389.63</v>
      </c>
      <c r="R491" s="14" t="n">
        <v>1389.63</v>
      </c>
      <c r="S491" s="14" t="n">
        <v>1389.63</v>
      </c>
      <c r="T491" s="14" t="n">
        <v>1389.63</v>
      </c>
      <c r="U491" s="14" t="n">
        <v>350</v>
      </c>
      <c r="V491" s="14" t="n">
        <v>250</v>
      </c>
      <c r="W491" s="14">
        <f>U491+V491</f>
        <v/>
      </c>
    </row>
    <row r="492">
      <c r="A492" s="15" t="inlineStr">
        <is>
          <t>CANON-202512-003039</t>
        </is>
      </c>
      <c r="B492" s="15" t="inlineStr">
        <is>
          <t>2025-12-02</t>
        </is>
      </c>
      <c r="C492" s="15" t="inlineStr">
        <is>
          <t>Noor Fairweather</t>
        </is>
      </c>
      <c r="D492" s="15" t="inlineStr">
        <is>
          <t>ND</t>
        </is>
      </c>
      <c r="E492" s="16" t="n">
        <v>455000</v>
      </c>
      <c r="F492" s="16" t="n">
        <v>3853.05</v>
      </c>
      <c r="G492" s="16" t="n">
        <v>481.63</v>
      </c>
      <c r="H492" s="16" t="n">
        <v>481.63</v>
      </c>
      <c r="I492" s="16">
        <f>SUM(K492:T492)</f>
        <v/>
      </c>
      <c r="J492" s="16">
        <f>F492-(G492+H492+I492)</f>
        <v/>
      </c>
      <c r="K492" s="16" t="n">
        <v>288.98</v>
      </c>
      <c r="L492" s="16" t="n">
        <v>288.98</v>
      </c>
      <c r="M492" s="16" t="n">
        <v>288.98</v>
      </c>
      <c r="N492" s="16" t="n">
        <v>288.98</v>
      </c>
      <c r="O492" s="16" t="n">
        <v>288.98</v>
      </c>
      <c r="P492" s="16" t="n">
        <v>288.98</v>
      </c>
      <c r="Q492" s="16" t="n">
        <v>288.98</v>
      </c>
      <c r="R492" s="16" t="n">
        <v>288.98</v>
      </c>
      <c r="S492" s="16" t="n">
        <v>288.98</v>
      </c>
      <c r="T492" s="16" t="n">
        <v>288.98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CANON-202512-003040</t>
        </is>
      </c>
      <c r="B493" s="3" t="inlineStr">
        <is>
          <t>2025-12-26</t>
        </is>
      </c>
      <c r="C493" s="3" t="inlineStr">
        <is>
          <t>Cassius Castellanos</t>
        </is>
      </c>
      <c r="D493" s="3" t="inlineStr">
        <is>
          <t>NJ</t>
        </is>
      </c>
      <c r="E493" s="14" t="n">
        <v>255000</v>
      </c>
      <c r="F493" s="14" t="n">
        <v>3010.2</v>
      </c>
      <c r="G493" s="14" t="n">
        <v>376.27</v>
      </c>
      <c r="H493" s="14" t="n">
        <v>376.27</v>
      </c>
      <c r="I493" s="14">
        <f>SUM(K493:T493)</f>
        <v/>
      </c>
      <c r="J493" s="14">
        <f>F493-(G493+H493+I493)</f>
        <v/>
      </c>
      <c r="K493" s="14" t="n">
        <v>225.76</v>
      </c>
      <c r="L493" s="14" t="n">
        <v>225.76</v>
      </c>
      <c r="M493" s="14" t="n">
        <v>225.76</v>
      </c>
      <c r="N493" s="14" t="n">
        <v>225.76</v>
      </c>
      <c r="O493" s="14" t="n">
        <v>225.76</v>
      </c>
      <c r="P493" s="14" t="n">
        <v>225.76</v>
      </c>
      <c r="Q493" s="14" t="n">
        <v>225.76</v>
      </c>
      <c r="R493" s="14" t="n">
        <v>225.76</v>
      </c>
      <c r="S493" s="14" t="n">
        <v>225.76</v>
      </c>
      <c r="T493" s="14" t="n">
        <v>225.76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CANON-202512-003041</t>
        </is>
      </c>
      <c r="B494" s="15" t="inlineStr">
        <is>
          <t>2025-12-14</t>
        </is>
      </c>
      <c r="C494" s="15" t="inlineStr">
        <is>
          <t>Lorenzo Vandermeer</t>
        </is>
      </c>
      <c r="D494" s="15" t="inlineStr">
        <is>
          <t>IA</t>
        </is>
      </c>
      <c r="E494" s="16" t="n">
        <v>1810000</v>
      </c>
      <c r="F494" s="16" t="n">
        <v>27549.43</v>
      </c>
      <c r="G494" s="16" t="n">
        <v>3443.68</v>
      </c>
      <c r="H494" s="16" t="n">
        <v>3443.68</v>
      </c>
      <c r="I494" s="16">
        <f>SUM(K494:T494)</f>
        <v/>
      </c>
      <c r="J494" s="16">
        <f>F494-(G494+H494+I494)</f>
        <v/>
      </c>
      <c r="K494" s="16" t="n">
        <v>2066.21</v>
      </c>
      <c r="L494" s="16" t="n">
        <v>2066.21</v>
      </c>
      <c r="M494" s="16" t="n">
        <v>2066.21</v>
      </c>
      <c r="N494" s="16" t="n">
        <v>2066.21</v>
      </c>
      <c r="O494" s="16" t="n">
        <v>2066.21</v>
      </c>
      <c r="P494" s="16" t="n">
        <v>2066.21</v>
      </c>
      <c r="Q494" s="16" t="n">
        <v>2066.21</v>
      </c>
      <c r="R494" s="16" t="n">
        <v>2066.21</v>
      </c>
      <c r="S494" s="16" t="n">
        <v>2066.21</v>
      </c>
      <c r="T494" s="16" t="n">
        <v>2066.21</v>
      </c>
      <c r="U494" s="16" t="n">
        <v>350</v>
      </c>
      <c r="V494" s="16" t="n">
        <v>250</v>
      </c>
      <c r="W494" s="16">
        <f>U494+V494</f>
        <v/>
      </c>
    </row>
    <row r="495">
      <c r="A495" s="3" t="inlineStr">
        <is>
          <t>CANON-202512-003042</t>
        </is>
      </c>
      <c r="B495" s="3" t="inlineStr">
        <is>
          <t>2025-12-19</t>
        </is>
      </c>
      <c r="C495" s="3" t="inlineStr">
        <is>
          <t>Fenwick Blackwood</t>
        </is>
      </c>
      <c r="D495" s="3" t="inlineStr">
        <is>
          <t>FL</t>
        </is>
      </c>
      <c r="E495" s="14" t="n">
        <v>820000</v>
      </c>
      <c r="F495" s="14" t="n">
        <v>19132.74</v>
      </c>
      <c r="G495" s="14" t="n">
        <v>2391.59</v>
      </c>
      <c r="H495" s="14" t="n">
        <v>2391.59</v>
      </c>
      <c r="I495" s="14">
        <f>SUM(K495:T495)</f>
        <v/>
      </c>
      <c r="J495" s="14">
        <f>F495-(G495+H495+I495)</f>
        <v/>
      </c>
      <c r="K495" s="14" t="n">
        <v>1434.96</v>
      </c>
      <c r="L495" s="14" t="n">
        <v>1434.96</v>
      </c>
      <c r="M495" s="14" t="n">
        <v>1434.96</v>
      </c>
      <c r="N495" s="14" t="n">
        <v>1434.96</v>
      </c>
      <c r="O495" s="14" t="n">
        <v>1434.96</v>
      </c>
      <c r="P495" s="14" t="n">
        <v>1434.96</v>
      </c>
      <c r="Q495" s="14" t="n">
        <v>1434.96</v>
      </c>
      <c r="R495" s="14" t="n">
        <v>1434.96</v>
      </c>
      <c r="S495" s="14" t="n">
        <v>1434.96</v>
      </c>
      <c r="T495" s="14" t="n">
        <v>1434.96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CANON-202512-003043</t>
        </is>
      </c>
      <c r="B496" s="15" t="inlineStr">
        <is>
          <t>2025-12-05</t>
        </is>
      </c>
      <c r="C496" s="15" t="inlineStr">
        <is>
          <t>Wilhelmina Whitlock</t>
        </is>
      </c>
      <c r="D496" s="15" t="inlineStr">
        <is>
          <t>UT</t>
        </is>
      </c>
      <c r="E496" s="16" t="n">
        <v>415000</v>
      </c>
      <c r="F496" s="16" t="n">
        <v>4651.3</v>
      </c>
      <c r="G496" s="16" t="n">
        <v>581.41</v>
      </c>
      <c r="H496" s="16" t="n">
        <v>581.41</v>
      </c>
      <c r="I496" s="16">
        <f>SUM(K496:T496)</f>
        <v/>
      </c>
      <c r="J496" s="16">
        <f>F496-(G496+H496+I496)</f>
        <v/>
      </c>
      <c r="K496" s="16" t="n">
        <v>348.85</v>
      </c>
      <c r="L496" s="16" t="n">
        <v>348.85</v>
      </c>
      <c r="M496" s="16" t="n">
        <v>348.85</v>
      </c>
      <c r="N496" s="16" t="n">
        <v>348.85</v>
      </c>
      <c r="O496" s="16" t="n">
        <v>348.85</v>
      </c>
      <c r="P496" s="16" t="n">
        <v>348.85</v>
      </c>
      <c r="Q496" s="16" t="n">
        <v>348.85</v>
      </c>
      <c r="R496" s="16" t="n">
        <v>348.85</v>
      </c>
      <c r="S496" s="16" t="n">
        <v>348.85</v>
      </c>
      <c r="T496" s="16" t="n">
        <v>348.85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CANON-202512-003045</t>
        </is>
      </c>
      <c r="B497" s="3" t="inlineStr">
        <is>
          <t>2025-12-18</t>
        </is>
      </c>
      <c r="C497" s="3" t="inlineStr">
        <is>
          <t>Ingrid Montoya</t>
        </is>
      </c>
      <c r="D497" s="3" t="inlineStr">
        <is>
          <t>ND</t>
        </is>
      </c>
      <c r="E497" s="14" t="n">
        <v>605000</v>
      </c>
      <c r="F497" s="14" t="n">
        <v>6937.78</v>
      </c>
      <c r="G497" s="14" t="n">
        <v>867.22</v>
      </c>
      <c r="H497" s="14" t="n">
        <v>867.22</v>
      </c>
      <c r="I497" s="14">
        <f>SUM(K497:T497)</f>
        <v/>
      </c>
      <c r="J497" s="14">
        <f>F497-(G497+H497+I497)</f>
        <v/>
      </c>
      <c r="K497" s="14" t="n">
        <v>520.33</v>
      </c>
      <c r="L497" s="14" t="n">
        <v>520.33</v>
      </c>
      <c r="M497" s="14" t="n">
        <v>520.33</v>
      </c>
      <c r="N497" s="14" t="n">
        <v>520.33</v>
      </c>
      <c r="O497" s="14" t="n">
        <v>520.33</v>
      </c>
      <c r="P497" s="14" t="n">
        <v>520.33</v>
      </c>
      <c r="Q497" s="14" t="n">
        <v>520.33</v>
      </c>
      <c r="R497" s="14" t="n">
        <v>520.33</v>
      </c>
      <c r="S497" s="14" t="n">
        <v>520.33</v>
      </c>
      <c r="T497" s="14" t="n">
        <v>520.33</v>
      </c>
      <c r="U497" s="14" t="n">
        <v>350</v>
      </c>
      <c r="V497" s="14" t="n">
        <v>0</v>
      </c>
      <c r="W497" s="14">
        <f>U497+V497</f>
        <v/>
      </c>
    </row>
    <row r="498">
      <c r="A498" s="9" t="inlineStr">
        <is>
          <t>TOTAL</t>
        </is>
      </c>
      <c r="E498" s="10">
        <f>SUM(E5:E497)</f>
        <v/>
      </c>
      <c r="F498" s="10">
        <f>SUM(F5:F497)</f>
        <v/>
      </c>
      <c r="G498" s="10">
        <f>SUM(G5:G497)</f>
        <v/>
      </c>
      <c r="H498" s="10">
        <f>SUM(H5:H497)</f>
        <v/>
      </c>
      <c r="I498" s="10">
        <f>SUM(I5:I497)</f>
        <v/>
      </c>
      <c r="J498" s="10">
        <f>SUM(J5:J497)</f>
        <v/>
      </c>
      <c r="K498" s="10">
        <f>SUM(K5:K497)</f>
        <v/>
      </c>
      <c r="L498" s="10">
        <f>SUM(L5:L497)</f>
        <v/>
      </c>
      <c r="M498" s="10">
        <f>SUM(M5:M497)</f>
        <v/>
      </c>
      <c r="N498" s="10">
        <f>SUM(N5:N497)</f>
        <v/>
      </c>
      <c r="O498" s="10">
        <f>SUM(O5:O497)</f>
        <v/>
      </c>
      <c r="P498" s="10">
        <f>SUM(P5:P497)</f>
        <v/>
      </c>
      <c r="Q498" s="10">
        <f>SUM(Q5:Q497)</f>
        <v/>
      </c>
      <c r="R498" s="10">
        <f>SUM(R5:R497)</f>
        <v/>
      </c>
      <c r="S498" s="10">
        <f>SUM(S5:S497)</f>
        <v/>
      </c>
      <c r="T498" s="10">
        <f>SUM(T5:T497)</f>
        <v/>
      </c>
      <c r="U498" s="10">
        <f>SUM(U5:U497)</f>
        <v/>
      </c>
      <c r="V498" s="10">
        <f>SUM(V5:V497)</f>
        <v/>
      </c>
      <c r="W498" s="10">
        <f>SUM(W5:W497)</f>
        <v/>
      </c>
    </row>
    <row r="499">
      <c r="A499" s="5" t="inlineStr">
        <is>
          <t>Foot check: Premium − (B+T+M+Resid)</t>
        </is>
      </c>
      <c r="F499" s="17">
        <f>F498-(G498+H498+I498+J498)</f>
        <v/>
      </c>
    </row>
    <row r="500">
      <c r="A500" s="5" t="inlineStr">
        <is>
          <t>Foot check: Markets − Σ(10 syndicates)</t>
        </is>
      </c>
      <c r="I500" s="17">
        <f>I498-SUM(K498:T498)</f>
        <v/>
      </c>
    </row>
  </sheetData>
  <autoFilter ref="A4:W497"/>
  <mergeCells count="2">
    <mergeCell ref="A2:W2"/>
    <mergeCell ref="A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W5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2026-01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CANON-202601-003048</t>
        </is>
      </c>
      <c r="B5" s="3" t="inlineStr">
        <is>
          <t>2026-01-31</t>
        </is>
      </c>
      <c r="C5" s="3" t="inlineStr">
        <is>
          <t>Cassius Bellandi</t>
        </is>
      </c>
      <c r="D5" s="3" t="inlineStr">
        <is>
          <t>MN</t>
        </is>
      </c>
      <c r="E5" s="14" t="n">
        <v>280000</v>
      </c>
      <c r="F5" s="14" t="n">
        <v>4692.53</v>
      </c>
      <c r="G5" s="14" t="n">
        <v>586.5700000000001</v>
      </c>
      <c r="H5" s="14" t="n">
        <v>586.5700000000001</v>
      </c>
      <c r="I5" s="14">
        <f>SUM(K5:T5)</f>
        <v/>
      </c>
      <c r="J5" s="14">
        <f>F5-(G5+H5+I5)</f>
        <v/>
      </c>
      <c r="K5" s="14" t="n">
        <v>351.94</v>
      </c>
      <c r="L5" s="14" t="n">
        <v>351.94</v>
      </c>
      <c r="M5" s="14" t="n">
        <v>351.94</v>
      </c>
      <c r="N5" s="14" t="n">
        <v>351.94</v>
      </c>
      <c r="O5" s="14" t="n">
        <v>351.94</v>
      </c>
      <c r="P5" s="14" t="n">
        <v>351.94</v>
      </c>
      <c r="Q5" s="14" t="n">
        <v>351.94</v>
      </c>
      <c r="R5" s="14" t="n">
        <v>351.94</v>
      </c>
      <c r="S5" s="14" t="n">
        <v>351.94</v>
      </c>
      <c r="T5" s="14" t="n">
        <v>351.94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CANON-202601-003051</t>
        </is>
      </c>
      <c r="B6" s="15" t="inlineStr">
        <is>
          <t>2026-01-22</t>
        </is>
      </c>
      <c r="C6" s="15" t="inlineStr">
        <is>
          <t>Ottilie Harrington</t>
        </is>
      </c>
      <c r="D6" s="15" t="inlineStr">
        <is>
          <t>WY</t>
        </is>
      </c>
      <c r="E6" s="16" t="n">
        <v>495000</v>
      </c>
      <c r="F6" s="16" t="n">
        <v>4303.72</v>
      </c>
      <c r="G6" s="16" t="n">
        <v>537.97</v>
      </c>
      <c r="H6" s="16" t="n">
        <v>537.97</v>
      </c>
      <c r="I6" s="16">
        <f>SUM(K6:T6)</f>
        <v/>
      </c>
      <c r="J6" s="16">
        <f>F6-(G6+H6+I6)</f>
        <v/>
      </c>
      <c r="K6" s="16" t="n">
        <v>322.78</v>
      </c>
      <c r="L6" s="16" t="n">
        <v>322.78</v>
      </c>
      <c r="M6" s="16" t="n">
        <v>322.78</v>
      </c>
      <c r="N6" s="16" t="n">
        <v>322.78</v>
      </c>
      <c r="O6" s="16" t="n">
        <v>322.78</v>
      </c>
      <c r="P6" s="16" t="n">
        <v>322.78</v>
      </c>
      <c r="Q6" s="16" t="n">
        <v>322.78</v>
      </c>
      <c r="R6" s="16" t="n">
        <v>322.78</v>
      </c>
      <c r="S6" s="16" t="n">
        <v>322.78</v>
      </c>
      <c r="T6" s="16" t="n">
        <v>322.78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CANON-202601-003053</t>
        </is>
      </c>
      <c r="B7" s="3" t="inlineStr">
        <is>
          <t>2026-01-19</t>
        </is>
      </c>
      <c r="C7" s="3" t="inlineStr">
        <is>
          <t>Everett Underwood</t>
        </is>
      </c>
      <c r="D7" s="3" t="inlineStr">
        <is>
          <t>UT</t>
        </is>
      </c>
      <c r="E7" s="14" t="n">
        <v>455000</v>
      </c>
      <c r="F7" s="14" t="n">
        <v>7798.66</v>
      </c>
      <c r="G7" s="14" t="n">
        <v>974.83</v>
      </c>
      <c r="H7" s="14" t="n">
        <v>974.83</v>
      </c>
      <c r="I7" s="14">
        <f>SUM(K7:T7)</f>
        <v/>
      </c>
      <c r="J7" s="14">
        <f>F7-(G7+H7+I7)</f>
        <v/>
      </c>
      <c r="K7" s="14" t="n">
        <v>584.9</v>
      </c>
      <c r="L7" s="14" t="n">
        <v>584.9</v>
      </c>
      <c r="M7" s="14" t="n">
        <v>584.9</v>
      </c>
      <c r="N7" s="14" t="n">
        <v>584.9</v>
      </c>
      <c r="O7" s="14" t="n">
        <v>584.9</v>
      </c>
      <c r="P7" s="14" t="n">
        <v>584.9</v>
      </c>
      <c r="Q7" s="14" t="n">
        <v>584.9</v>
      </c>
      <c r="R7" s="14" t="n">
        <v>584.9</v>
      </c>
      <c r="S7" s="14" t="n">
        <v>584.9</v>
      </c>
      <c r="T7" s="14" t="n">
        <v>584.9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CANON-202601-003054</t>
        </is>
      </c>
      <c r="B8" s="15" t="inlineStr">
        <is>
          <t>2026-01-27</t>
        </is>
      </c>
      <c r="C8" s="15" t="inlineStr">
        <is>
          <t>Callum Rourke</t>
        </is>
      </c>
      <c r="D8" s="15" t="inlineStr">
        <is>
          <t>ME</t>
        </is>
      </c>
      <c r="E8" s="16" t="n">
        <v>210000</v>
      </c>
      <c r="F8" s="16" t="n">
        <v>2188.42</v>
      </c>
      <c r="G8" s="16" t="n">
        <v>273.55</v>
      </c>
      <c r="H8" s="16" t="n">
        <v>273.55</v>
      </c>
      <c r="I8" s="16">
        <f>SUM(K8:T8)</f>
        <v/>
      </c>
      <c r="J8" s="16">
        <f>F8-(G8+H8+I8)</f>
        <v/>
      </c>
      <c r="K8" s="16" t="n">
        <v>164.13</v>
      </c>
      <c r="L8" s="16" t="n">
        <v>164.13</v>
      </c>
      <c r="M8" s="16" t="n">
        <v>164.13</v>
      </c>
      <c r="N8" s="16" t="n">
        <v>164.13</v>
      </c>
      <c r="O8" s="16" t="n">
        <v>164.13</v>
      </c>
      <c r="P8" s="16" t="n">
        <v>164.13</v>
      </c>
      <c r="Q8" s="16" t="n">
        <v>164.13</v>
      </c>
      <c r="R8" s="16" t="n">
        <v>164.13</v>
      </c>
      <c r="S8" s="16" t="n">
        <v>164.13</v>
      </c>
      <c r="T8" s="16" t="n">
        <v>164.13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CANON-202601-003055</t>
        </is>
      </c>
      <c r="B9" s="3" t="inlineStr">
        <is>
          <t>2026-01-13</t>
        </is>
      </c>
      <c r="C9" s="3" t="inlineStr">
        <is>
          <t>Ramona Delacroix</t>
        </is>
      </c>
      <c r="D9" s="3" t="inlineStr">
        <is>
          <t>IL</t>
        </is>
      </c>
      <c r="E9" s="14" t="n">
        <v>625000</v>
      </c>
      <c r="F9" s="14" t="n">
        <v>9352.889999999999</v>
      </c>
      <c r="G9" s="14" t="n">
        <v>1169.11</v>
      </c>
      <c r="H9" s="14" t="n">
        <v>1169.11</v>
      </c>
      <c r="I9" s="14">
        <f>SUM(K9:T9)</f>
        <v/>
      </c>
      <c r="J9" s="14">
        <f>F9-(G9+H9+I9)</f>
        <v/>
      </c>
      <c r="K9" s="14" t="n">
        <v>701.47</v>
      </c>
      <c r="L9" s="14" t="n">
        <v>701.47</v>
      </c>
      <c r="M9" s="14" t="n">
        <v>701.47</v>
      </c>
      <c r="N9" s="14" t="n">
        <v>701.47</v>
      </c>
      <c r="O9" s="14" t="n">
        <v>701.47</v>
      </c>
      <c r="P9" s="14" t="n">
        <v>701.47</v>
      </c>
      <c r="Q9" s="14" t="n">
        <v>701.47</v>
      </c>
      <c r="R9" s="14" t="n">
        <v>701.47</v>
      </c>
      <c r="S9" s="14" t="n">
        <v>701.47</v>
      </c>
      <c r="T9" s="14" t="n">
        <v>701.47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CANON-202601-003056</t>
        </is>
      </c>
      <c r="B10" s="15" t="inlineStr">
        <is>
          <t>2026-01-23</t>
        </is>
      </c>
      <c r="C10" s="15" t="inlineStr">
        <is>
          <t>Priya Rourke</t>
        </is>
      </c>
      <c r="D10" s="15" t="inlineStr">
        <is>
          <t>NC</t>
        </is>
      </c>
      <c r="E10" s="16" t="n">
        <v>150000</v>
      </c>
      <c r="F10" s="16" t="n">
        <v>2686.52</v>
      </c>
      <c r="G10" s="16" t="n">
        <v>335.81</v>
      </c>
      <c r="H10" s="16" t="n">
        <v>335.81</v>
      </c>
      <c r="I10" s="16">
        <f>SUM(K10:T10)</f>
        <v/>
      </c>
      <c r="J10" s="16">
        <f>F10-(G10+H10+I10)</f>
        <v/>
      </c>
      <c r="K10" s="16" t="n">
        <v>201.49</v>
      </c>
      <c r="L10" s="16" t="n">
        <v>201.49</v>
      </c>
      <c r="M10" s="16" t="n">
        <v>201.49</v>
      </c>
      <c r="N10" s="16" t="n">
        <v>201.49</v>
      </c>
      <c r="O10" s="16" t="n">
        <v>201.49</v>
      </c>
      <c r="P10" s="16" t="n">
        <v>201.49</v>
      </c>
      <c r="Q10" s="16" t="n">
        <v>201.49</v>
      </c>
      <c r="R10" s="16" t="n">
        <v>201.49</v>
      </c>
      <c r="S10" s="16" t="n">
        <v>201.49</v>
      </c>
      <c r="T10" s="16" t="n">
        <v>201.49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CANON-202601-003057</t>
        </is>
      </c>
      <c r="B11" s="3" t="inlineStr">
        <is>
          <t>2026-01-16</t>
        </is>
      </c>
      <c r="C11" s="3" t="inlineStr">
        <is>
          <t>Anouk Montoya</t>
        </is>
      </c>
      <c r="D11" s="3" t="inlineStr">
        <is>
          <t>GA</t>
        </is>
      </c>
      <c r="E11" s="14" t="n">
        <v>720000</v>
      </c>
      <c r="F11" s="14" t="n">
        <v>8873.139999999999</v>
      </c>
      <c r="G11" s="14" t="n">
        <v>1109.14</v>
      </c>
      <c r="H11" s="14" t="n">
        <v>1109.14</v>
      </c>
      <c r="I11" s="14">
        <f>SUM(K11:T11)</f>
        <v/>
      </c>
      <c r="J11" s="14">
        <f>F11-(G11+H11+I11)</f>
        <v/>
      </c>
      <c r="K11" s="14" t="n">
        <v>665.49</v>
      </c>
      <c r="L11" s="14" t="n">
        <v>665.49</v>
      </c>
      <c r="M11" s="14" t="n">
        <v>665.49</v>
      </c>
      <c r="N11" s="14" t="n">
        <v>665.49</v>
      </c>
      <c r="O11" s="14" t="n">
        <v>665.49</v>
      </c>
      <c r="P11" s="14" t="n">
        <v>665.49</v>
      </c>
      <c r="Q11" s="14" t="n">
        <v>665.49</v>
      </c>
      <c r="R11" s="14" t="n">
        <v>665.49</v>
      </c>
      <c r="S11" s="14" t="n">
        <v>665.49</v>
      </c>
      <c r="T11" s="14" t="n">
        <v>665.49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CANON-202601-003058</t>
        </is>
      </c>
      <c r="B12" s="15" t="inlineStr">
        <is>
          <t>2026-01-01</t>
        </is>
      </c>
      <c r="C12" s="15" t="inlineStr">
        <is>
          <t>Saoirse Vasquez</t>
        </is>
      </c>
      <c r="D12" s="15" t="inlineStr">
        <is>
          <t>VA</t>
        </is>
      </c>
      <c r="E12" s="16" t="n">
        <v>680000</v>
      </c>
      <c r="F12" s="16" t="n">
        <v>8155.72</v>
      </c>
      <c r="G12" s="16" t="n">
        <v>1019.47</v>
      </c>
      <c r="H12" s="16" t="n">
        <v>1019.47</v>
      </c>
      <c r="I12" s="16">
        <f>SUM(K12:T12)</f>
        <v/>
      </c>
      <c r="J12" s="16">
        <f>F12-(G12+H12+I12)</f>
        <v/>
      </c>
      <c r="K12" s="16" t="n">
        <v>611.6799999999999</v>
      </c>
      <c r="L12" s="16" t="n">
        <v>611.6799999999999</v>
      </c>
      <c r="M12" s="16" t="n">
        <v>611.6799999999999</v>
      </c>
      <c r="N12" s="16" t="n">
        <v>611.6799999999999</v>
      </c>
      <c r="O12" s="16" t="n">
        <v>611.6799999999999</v>
      </c>
      <c r="P12" s="16" t="n">
        <v>611.6799999999999</v>
      </c>
      <c r="Q12" s="16" t="n">
        <v>611.6799999999999</v>
      </c>
      <c r="R12" s="16" t="n">
        <v>611.6799999999999</v>
      </c>
      <c r="S12" s="16" t="n">
        <v>611.6799999999999</v>
      </c>
      <c r="T12" s="16" t="n">
        <v>611.6799999999999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CANON-202601-003061</t>
        </is>
      </c>
      <c r="B13" s="3" t="inlineStr">
        <is>
          <t>2026-01-21</t>
        </is>
      </c>
      <c r="C13" s="3" t="inlineStr">
        <is>
          <t>Everett Castellanos</t>
        </is>
      </c>
      <c r="D13" s="3" t="inlineStr">
        <is>
          <t>MA</t>
        </is>
      </c>
      <c r="E13" s="14" t="n">
        <v>485000</v>
      </c>
      <c r="F13" s="14" t="n">
        <v>7697.09</v>
      </c>
      <c r="G13" s="14" t="n">
        <v>962.14</v>
      </c>
      <c r="H13" s="14" t="n">
        <v>962.14</v>
      </c>
      <c r="I13" s="14">
        <f>SUM(K13:T13)</f>
        <v/>
      </c>
      <c r="J13" s="14">
        <f>F13-(G13+H13+I13)</f>
        <v/>
      </c>
      <c r="K13" s="14" t="n">
        <v>577.28</v>
      </c>
      <c r="L13" s="14" t="n">
        <v>577.28</v>
      </c>
      <c r="M13" s="14" t="n">
        <v>577.28</v>
      </c>
      <c r="N13" s="14" t="n">
        <v>577.28</v>
      </c>
      <c r="O13" s="14" t="n">
        <v>577.28</v>
      </c>
      <c r="P13" s="14" t="n">
        <v>577.28</v>
      </c>
      <c r="Q13" s="14" t="n">
        <v>577.28</v>
      </c>
      <c r="R13" s="14" t="n">
        <v>577.28</v>
      </c>
      <c r="S13" s="14" t="n">
        <v>577.28</v>
      </c>
      <c r="T13" s="14" t="n">
        <v>577.28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CANON-202601-003062</t>
        </is>
      </c>
      <c r="B14" s="15" t="inlineStr">
        <is>
          <t>2026-01-22</t>
        </is>
      </c>
      <c r="C14" s="15" t="inlineStr">
        <is>
          <t>Everett Ashcombe</t>
        </is>
      </c>
      <c r="D14" s="15" t="inlineStr">
        <is>
          <t>WY</t>
        </is>
      </c>
      <c r="E14" s="16" t="n">
        <v>495000</v>
      </c>
      <c r="F14" s="16" t="n">
        <v>3765.75</v>
      </c>
      <c r="G14" s="16" t="n">
        <v>470.72</v>
      </c>
      <c r="H14" s="16" t="n">
        <v>470.72</v>
      </c>
      <c r="I14" s="16">
        <f>SUM(K14:T14)</f>
        <v/>
      </c>
      <c r="J14" s="16">
        <f>F14-(G14+H14+I14)</f>
        <v/>
      </c>
      <c r="K14" s="16" t="n">
        <v>282.43</v>
      </c>
      <c r="L14" s="16" t="n">
        <v>282.43</v>
      </c>
      <c r="M14" s="16" t="n">
        <v>282.43</v>
      </c>
      <c r="N14" s="16" t="n">
        <v>282.43</v>
      </c>
      <c r="O14" s="16" t="n">
        <v>282.43</v>
      </c>
      <c r="P14" s="16" t="n">
        <v>282.43</v>
      </c>
      <c r="Q14" s="16" t="n">
        <v>282.43</v>
      </c>
      <c r="R14" s="16" t="n">
        <v>282.43</v>
      </c>
      <c r="S14" s="16" t="n">
        <v>282.43</v>
      </c>
      <c r="T14" s="16" t="n">
        <v>282.43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CANON-202601-003063</t>
        </is>
      </c>
      <c r="B15" s="3" t="inlineStr">
        <is>
          <t>2026-01-31</t>
        </is>
      </c>
      <c r="C15" s="3" t="inlineStr">
        <is>
          <t>Fitzgerald Vandermeer</t>
        </is>
      </c>
      <c r="D15" s="3" t="inlineStr">
        <is>
          <t>SC</t>
        </is>
      </c>
      <c r="E15" s="14" t="n">
        <v>415000</v>
      </c>
      <c r="F15" s="14" t="n">
        <v>10018</v>
      </c>
      <c r="G15" s="14" t="n">
        <v>1252.25</v>
      </c>
      <c r="H15" s="14" t="n">
        <v>1252.25</v>
      </c>
      <c r="I15" s="14">
        <f>SUM(K15:T15)</f>
        <v/>
      </c>
      <c r="J15" s="14">
        <f>F15-(G15+H15+I15)</f>
        <v/>
      </c>
      <c r="K15" s="14" t="n">
        <v>751.35</v>
      </c>
      <c r="L15" s="14" t="n">
        <v>751.35</v>
      </c>
      <c r="M15" s="14" t="n">
        <v>751.35</v>
      </c>
      <c r="N15" s="14" t="n">
        <v>751.35</v>
      </c>
      <c r="O15" s="14" t="n">
        <v>751.35</v>
      </c>
      <c r="P15" s="14" t="n">
        <v>751.35</v>
      </c>
      <c r="Q15" s="14" t="n">
        <v>751.35</v>
      </c>
      <c r="R15" s="14" t="n">
        <v>751.35</v>
      </c>
      <c r="S15" s="14" t="n">
        <v>751.35</v>
      </c>
      <c r="T15" s="14" t="n">
        <v>751.35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CANON-202601-003064</t>
        </is>
      </c>
      <c r="B16" s="15" t="inlineStr">
        <is>
          <t>2026-01-14</t>
        </is>
      </c>
      <c r="C16" s="15" t="inlineStr">
        <is>
          <t>Everett Rourke</t>
        </is>
      </c>
      <c r="D16" s="15" t="inlineStr">
        <is>
          <t>KY</t>
        </is>
      </c>
      <c r="E16" s="16" t="n">
        <v>445000</v>
      </c>
      <c r="F16" s="16" t="n">
        <v>7570.76</v>
      </c>
      <c r="G16" s="16" t="n">
        <v>946.35</v>
      </c>
      <c r="H16" s="16" t="n">
        <v>946.35</v>
      </c>
      <c r="I16" s="16">
        <f>SUM(K16:T16)</f>
        <v/>
      </c>
      <c r="J16" s="16">
        <f>F16-(G16+H16+I16)</f>
        <v/>
      </c>
      <c r="K16" s="16" t="n">
        <v>567.8099999999999</v>
      </c>
      <c r="L16" s="16" t="n">
        <v>567.8099999999999</v>
      </c>
      <c r="M16" s="16" t="n">
        <v>567.8099999999999</v>
      </c>
      <c r="N16" s="16" t="n">
        <v>567.8099999999999</v>
      </c>
      <c r="O16" s="16" t="n">
        <v>567.8099999999999</v>
      </c>
      <c r="P16" s="16" t="n">
        <v>567.8099999999999</v>
      </c>
      <c r="Q16" s="16" t="n">
        <v>567.8099999999999</v>
      </c>
      <c r="R16" s="16" t="n">
        <v>567.8099999999999</v>
      </c>
      <c r="S16" s="16" t="n">
        <v>567.8099999999999</v>
      </c>
      <c r="T16" s="16" t="n">
        <v>567.8099999999999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CANON-202601-003065</t>
        </is>
      </c>
      <c r="B17" s="3" t="inlineStr">
        <is>
          <t>2026-01-12</t>
        </is>
      </c>
      <c r="C17" s="3" t="inlineStr">
        <is>
          <t>Noor Underwood</t>
        </is>
      </c>
      <c r="D17" s="3" t="inlineStr">
        <is>
          <t>ME</t>
        </is>
      </c>
      <c r="E17" s="14" t="n">
        <v>395000</v>
      </c>
      <c r="F17" s="14" t="n">
        <v>5416.21</v>
      </c>
      <c r="G17" s="14" t="n">
        <v>677.03</v>
      </c>
      <c r="H17" s="14" t="n">
        <v>677.03</v>
      </c>
      <c r="I17" s="14">
        <f>SUM(K17:T17)</f>
        <v/>
      </c>
      <c r="J17" s="14">
        <f>F17-(G17+H17+I17)</f>
        <v/>
      </c>
      <c r="K17" s="14" t="n">
        <v>406.22</v>
      </c>
      <c r="L17" s="14" t="n">
        <v>406.22</v>
      </c>
      <c r="M17" s="14" t="n">
        <v>406.22</v>
      </c>
      <c r="N17" s="14" t="n">
        <v>406.22</v>
      </c>
      <c r="O17" s="14" t="n">
        <v>406.22</v>
      </c>
      <c r="P17" s="14" t="n">
        <v>406.22</v>
      </c>
      <c r="Q17" s="14" t="n">
        <v>406.22</v>
      </c>
      <c r="R17" s="14" t="n">
        <v>406.22</v>
      </c>
      <c r="S17" s="14" t="n">
        <v>406.22</v>
      </c>
      <c r="T17" s="14" t="n">
        <v>406.22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CANON-202601-003066</t>
        </is>
      </c>
      <c r="B18" s="15" t="inlineStr">
        <is>
          <t>2026-01-08</t>
        </is>
      </c>
      <c r="C18" s="15" t="inlineStr">
        <is>
          <t>Mireille Bellandi</t>
        </is>
      </c>
      <c r="D18" s="15" t="inlineStr">
        <is>
          <t>MN</t>
        </is>
      </c>
      <c r="E18" s="16" t="n">
        <v>1155000</v>
      </c>
      <c r="F18" s="16" t="n">
        <v>14194.89</v>
      </c>
      <c r="G18" s="16" t="n">
        <v>1774.36</v>
      </c>
      <c r="H18" s="16" t="n">
        <v>1774.36</v>
      </c>
      <c r="I18" s="16">
        <f>SUM(K18:T18)</f>
        <v/>
      </c>
      <c r="J18" s="16">
        <f>F18-(G18+H18+I18)</f>
        <v/>
      </c>
      <c r="K18" s="16" t="n">
        <v>1064.62</v>
      </c>
      <c r="L18" s="16" t="n">
        <v>1064.62</v>
      </c>
      <c r="M18" s="16" t="n">
        <v>1064.62</v>
      </c>
      <c r="N18" s="16" t="n">
        <v>1064.62</v>
      </c>
      <c r="O18" s="16" t="n">
        <v>1064.62</v>
      </c>
      <c r="P18" s="16" t="n">
        <v>1064.62</v>
      </c>
      <c r="Q18" s="16" t="n">
        <v>1064.62</v>
      </c>
      <c r="R18" s="16" t="n">
        <v>1064.62</v>
      </c>
      <c r="S18" s="16" t="n">
        <v>1064.62</v>
      </c>
      <c r="T18" s="16" t="n">
        <v>1064.62</v>
      </c>
      <c r="U18" s="16" t="n">
        <v>350</v>
      </c>
      <c r="V18" s="16" t="n">
        <v>250</v>
      </c>
      <c r="W18" s="16">
        <f>U18+V18</f>
        <v/>
      </c>
    </row>
    <row r="19">
      <c r="A19" s="3" t="inlineStr">
        <is>
          <t>CANON-202601-003067</t>
        </is>
      </c>
      <c r="B19" s="3" t="inlineStr">
        <is>
          <t>2026-01-09</t>
        </is>
      </c>
      <c r="C19" s="3" t="inlineStr">
        <is>
          <t>Callum Merriweather</t>
        </is>
      </c>
      <c r="D19" s="3" t="inlineStr">
        <is>
          <t>VT</t>
        </is>
      </c>
      <c r="E19" s="14" t="n">
        <v>740000</v>
      </c>
      <c r="F19" s="14" t="n">
        <v>9933.870000000001</v>
      </c>
      <c r="G19" s="14" t="n">
        <v>1241.73</v>
      </c>
      <c r="H19" s="14" t="n">
        <v>1241.73</v>
      </c>
      <c r="I19" s="14">
        <f>SUM(K19:T19)</f>
        <v/>
      </c>
      <c r="J19" s="14">
        <f>F19-(G19+H19+I19)</f>
        <v/>
      </c>
      <c r="K19" s="14" t="n">
        <v>745.04</v>
      </c>
      <c r="L19" s="14" t="n">
        <v>745.04</v>
      </c>
      <c r="M19" s="14" t="n">
        <v>745.04</v>
      </c>
      <c r="N19" s="14" t="n">
        <v>745.04</v>
      </c>
      <c r="O19" s="14" t="n">
        <v>745.04</v>
      </c>
      <c r="P19" s="14" t="n">
        <v>745.04</v>
      </c>
      <c r="Q19" s="14" t="n">
        <v>745.04</v>
      </c>
      <c r="R19" s="14" t="n">
        <v>745.04</v>
      </c>
      <c r="S19" s="14" t="n">
        <v>745.04</v>
      </c>
      <c r="T19" s="14" t="n">
        <v>745.04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CANON-202601-003068</t>
        </is>
      </c>
      <c r="B20" s="15" t="inlineStr">
        <is>
          <t>2026-01-15</t>
        </is>
      </c>
      <c r="C20" s="15" t="inlineStr">
        <is>
          <t>Ottilie Thistlewood</t>
        </is>
      </c>
      <c r="D20" s="15" t="inlineStr">
        <is>
          <t>MT</t>
        </is>
      </c>
      <c r="E20" s="16" t="n">
        <v>665000</v>
      </c>
      <c r="F20" s="16" t="n">
        <v>9945.84</v>
      </c>
      <c r="G20" s="16" t="n">
        <v>1243.23</v>
      </c>
      <c r="H20" s="16" t="n">
        <v>1243.23</v>
      </c>
      <c r="I20" s="16">
        <f>SUM(K20:T20)</f>
        <v/>
      </c>
      <c r="J20" s="16">
        <f>F20-(G20+H20+I20)</f>
        <v/>
      </c>
      <c r="K20" s="16" t="n">
        <v>745.9400000000001</v>
      </c>
      <c r="L20" s="16" t="n">
        <v>745.9400000000001</v>
      </c>
      <c r="M20" s="16" t="n">
        <v>745.9400000000001</v>
      </c>
      <c r="N20" s="16" t="n">
        <v>745.9400000000001</v>
      </c>
      <c r="O20" s="16" t="n">
        <v>745.9400000000001</v>
      </c>
      <c r="P20" s="16" t="n">
        <v>745.9400000000001</v>
      </c>
      <c r="Q20" s="16" t="n">
        <v>745.9400000000001</v>
      </c>
      <c r="R20" s="16" t="n">
        <v>745.9400000000001</v>
      </c>
      <c r="S20" s="16" t="n">
        <v>745.9400000000001</v>
      </c>
      <c r="T20" s="16" t="n">
        <v>745.9400000000001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CANON-202601-003070</t>
        </is>
      </c>
      <c r="B21" s="3" t="inlineStr">
        <is>
          <t>2026-01-30</t>
        </is>
      </c>
      <c r="C21" s="3" t="inlineStr">
        <is>
          <t>Delphine Fairweather</t>
        </is>
      </c>
      <c r="D21" s="3" t="inlineStr">
        <is>
          <t>NY</t>
        </is>
      </c>
      <c r="E21" s="14" t="n">
        <v>1000000</v>
      </c>
      <c r="F21" s="14" t="n">
        <v>8233.93</v>
      </c>
      <c r="G21" s="14" t="n">
        <v>1029.24</v>
      </c>
      <c r="H21" s="14" t="n">
        <v>1029.24</v>
      </c>
      <c r="I21" s="14">
        <f>SUM(K21:T21)</f>
        <v/>
      </c>
      <c r="J21" s="14">
        <f>F21-(G21+H21+I21)</f>
        <v/>
      </c>
      <c r="K21" s="14" t="n">
        <v>617.54</v>
      </c>
      <c r="L21" s="14" t="n">
        <v>617.54</v>
      </c>
      <c r="M21" s="14" t="n">
        <v>617.54</v>
      </c>
      <c r="N21" s="14" t="n">
        <v>617.54</v>
      </c>
      <c r="O21" s="14" t="n">
        <v>617.54</v>
      </c>
      <c r="P21" s="14" t="n">
        <v>617.54</v>
      </c>
      <c r="Q21" s="14" t="n">
        <v>617.54</v>
      </c>
      <c r="R21" s="14" t="n">
        <v>617.54</v>
      </c>
      <c r="S21" s="14" t="n">
        <v>617.54</v>
      </c>
      <c r="T21" s="14" t="n">
        <v>617.54</v>
      </c>
      <c r="U21" s="14" t="n">
        <v>350</v>
      </c>
      <c r="V21" s="14" t="n">
        <v>250</v>
      </c>
      <c r="W21" s="14">
        <f>U21+V21</f>
        <v/>
      </c>
    </row>
    <row r="22">
      <c r="A22" s="15" t="inlineStr">
        <is>
          <t>CANON-202601-003071</t>
        </is>
      </c>
      <c r="B22" s="15" t="inlineStr">
        <is>
          <t>2026-01-15</t>
        </is>
      </c>
      <c r="C22" s="15" t="inlineStr">
        <is>
          <t>Aurelio Ashcombe</t>
        </is>
      </c>
      <c r="D22" s="15" t="inlineStr">
        <is>
          <t>OH</t>
        </is>
      </c>
      <c r="E22" s="16" t="n">
        <v>1800000</v>
      </c>
      <c r="F22" s="16" t="n">
        <v>16094.75</v>
      </c>
      <c r="G22" s="16" t="n">
        <v>2011.84</v>
      </c>
      <c r="H22" s="16" t="n">
        <v>2011.84</v>
      </c>
      <c r="I22" s="16">
        <f>SUM(K22:T22)</f>
        <v/>
      </c>
      <c r="J22" s="16">
        <f>F22-(G22+H22+I22)</f>
        <v/>
      </c>
      <c r="K22" s="16" t="n">
        <v>1207.11</v>
      </c>
      <c r="L22" s="16" t="n">
        <v>1207.11</v>
      </c>
      <c r="M22" s="16" t="n">
        <v>1207.11</v>
      </c>
      <c r="N22" s="16" t="n">
        <v>1207.11</v>
      </c>
      <c r="O22" s="16" t="n">
        <v>1207.11</v>
      </c>
      <c r="P22" s="16" t="n">
        <v>1207.11</v>
      </c>
      <c r="Q22" s="16" t="n">
        <v>1207.11</v>
      </c>
      <c r="R22" s="16" t="n">
        <v>1207.11</v>
      </c>
      <c r="S22" s="16" t="n">
        <v>1207.11</v>
      </c>
      <c r="T22" s="16" t="n">
        <v>1207.11</v>
      </c>
      <c r="U22" s="16" t="n">
        <v>350</v>
      </c>
      <c r="V22" s="16" t="n">
        <v>250</v>
      </c>
      <c r="W22" s="16">
        <f>U22+V22</f>
        <v/>
      </c>
    </row>
    <row r="23">
      <c r="A23" s="3" t="inlineStr">
        <is>
          <t>CANON-202601-003074</t>
        </is>
      </c>
      <c r="B23" s="3" t="inlineStr">
        <is>
          <t>2026-01-11</t>
        </is>
      </c>
      <c r="C23" s="3" t="inlineStr">
        <is>
          <t>Ingrid Underwood</t>
        </is>
      </c>
      <c r="D23" s="3" t="inlineStr">
        <is>
          <t>WV</t>
        </is>
      </c>
      <c r="E23" s="14" t="n">
        <v>240000</v>
      </c>
      <c r="F23" s="14" t="n">
        <v>4971.23</v>
      </c>
      <c r="G23" s="14" t="n">
        <v>621.4</v>
      </c>
      <c r="H23" s="14" t="n">
        <v>621.4</v>
      </c>
      <c r="I23" s="14">
        <f>SUM(K23:T23)</f>
        <v/>
      </c>
      <c r="J23" s="14">
        <f>F23-(G23+H23+I23)</f>
        <v/>
      </c>
      <c r="K23" s="14" t="n">
        <v>372.84</v>
      </c>
      <c r="L23" s="14" t="n">
        <v>372.84</v>
      </c>
      <c r="M23" s="14" t="n">
        <v>372.84</v>
      </c>
      <c r="N23" s="14" t="n">
        <v>372.84</v>
      </c>
      <c r="O23" s="14" t="n">
        <v>372.84</v>
      </c>
      <c r="P23" s="14" t="n">
        <v>372.84</v>
      </c>
      <c r="Q23" s="14" t="n">
        <v>372.84</v>
      </c>
      <c r="R23" s="14" t="n">
        <v>372.84</v>
      </c>
      <c r="S23" s="14" t="n">
        <v>372.84</v>
      </c>
      <c r="T23" s="14" t="n">
        <v>372.84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CANON-202601-003075</t>
        </is>
      </c>
      <c r="B24" s="15" t="inlineStr">
        <is>
          <t>2026-01-22</t>
        </is>
      </c>
      <c r="C24" s="15" t="inlineStr">
        <is>
          <t>Anouk Larsson</t>
        </is>
      </c>
      <c r="D24" s="15" t="inlineStr">
        <is>
          <t>ME</t>
        </is>
      </c>
      <c r="E24" s="16" t="n">
        <v>805000</v>
      </c>
      <c r="F24" s="16" t="n">
        <v>13981.59</v>
      </c>
      <c r="G24" s="16" t="n">
        <v>1747.7</v>
      </c>
      <c r="H24" s="16" t="n">
        <v>1747.7</v>
      </c>
      <c r="I24" s="16">
        <f>SUM(K24:T24)</f>
        <v/>
      </c>
      <c r="J24" s="16">
        <f>F24-(G24+H24+I24)</f>
        <v/>
      </c>
      <c r="K24" s="16" t="n">
        <v>1048.62</v>
      </c>
      <c r="L24" s="16" t="n">
        <v>1048.62</v>
      </c>
      <c r="M24" s="16" t="n">
        <v>1048.62</v>
      </c>
      <c r="N24" s="16" t="n">
        <v>1048.62</v>
      </c>
      <c r="O24" s="16" t="n">
        <v>1048.62</v>
      </c>
      <c r="P24" s="16" t="n">
        <v>1048.62</v>
      </c>
      <c r="Q24" s="16" t="n">
        <v>1048.62</v>
      </c>
      <c r="R24" s="16" t="n">
        <v>1048.62</v>
      </c>
      <c r="S24" s="16" t="n">
        <v>1048.62</v>
      </c>
      <c r="T24" s="16" t="n">
        <v>1048.62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CANON-202601-003076</t>
        </is>
      </c>
      <c r="B25" s="3" t="inlineStr">
        <is>
          <t>2026-01-15</t>
        </is>
      </c>
      <c r="C25" s="3" t="inlineStr">
        <is>
          <t>Fitzgerald Montoya</t>
        </is>
      </c>
      <c r="D25" s="3" t="inlineStr">
        <is>
          <t>NJ</t>
        </is>
      </c>
      <c r="E25" s="14" t="n">
        <v>840000</v>
      </c>
      <c r="F25" s="14" t="n">
        <v>12292.99</v>
      </c>
      <c r="G25" s="14" t="n">
        <v>1536.62</v>
      </c>
      <c r="H25" s="14" t="n">
        <v>1536.62</v>
      </c>
      <c r="I25" s="14">
        <f>SUM(K25:T25)</f>
        <v/>
      </c>
      <c r="J25" s="14">
        <f>F25-(G25+H25+I25)</f>
        <v/>
      </c>
      <c r="K25" s="14" t="n">
        <v>921.97</v>
      </c>
      <c r="L25" s="14" t="n">
        <v>921.97</v>
      </c>
      <c r="M25" s="14" t="n">
        <v>921.97</v>
      </c>
      <c r="N25" s="14" t="n">
        <v>921.97</v>
      </c>
      <c r="O25" s="14" t="n">
        <v>921.97</v>
      </c>
      <c r="P25" s="14" t="n">
        <v>921.97</v>
      </c>
      <c r="Q25" s="14" t="n">
        <v>921.97</v>
      </c>
      <c r="R25" s="14" t="n">
        <v>921.97</v>
      </c>
      <c r="S25" s="14" t="n">
        <v>921.97</v>
      </c>
      <c r="T25" s="14" t="n">
        <v>921.97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CANON-202601-003077</t>
        </is>
      </c>
      <c r="B26" s="15" t="inlineStr">
        <is>
          <t>2026-01-16</t>
        </is>
      </c>
      <c r="C26" s="15" t="inlineStr">
        <is>
          <t>Aurelio Whitlock</t>
        </is>
      </c>
      <c r="D26" s="15" t="inlineStr">
        <is>
          <t>MA</t>
        </is>
      </c>
      <c r="E26" s="16" t="n">
        <v>315000</v>
      </c>
      <c r="F26" s="16" t="n">
        <v>4999.14</v>
      </c>
      <c r="G26" s="16" t="n">
        <v>624.89</v>
      </c>
      <c r="H26" s="16" t="n">
        <v>624.89</v>
      </c>
      <c r="I26" s="16">
        <f>SUM(K26:T26)</f>
        <v/>
      </c>
      <c r="J26" s="16">
        <f>F26-(G26+H26+I26)</f>
        <v/>
      </c>
      <c r="K26" s="16" t="n">
        <v>374.94</v>
      </c>
      <c r="L26" s="16" t="n">
        <v>374.94</v>
      </c>
      <c r="M26" s="16" t="n">
        <v>374.94</v>
      </c>
      <c r="N26" s="16" t="n">
        <v>374.94</v>
      </c>
      <c r="O26" s="16" t="n">
        <v>374.94</v>
      </c>
      <c r="P26" s="16" t="n">
        <v>374.94</v>
      </c>
      <c r="Q26" s="16" t="n">
        <v>374.94</v>
      </c>
      <c r="R26" s="16" t="n">
        <v>374.94</v>
      </c>
      <c r="S26" s="16" t="n">
        <v>374.94</v>
      </c>
      <c r="T26" s="16" t="n">
        <v>374.94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CANON-202601-003078</t>
        </is>
      </c>
      <c r="B27" s="3" t="inlineStr">
        <is>
          <t>2026-01-18</t>
        </is>
      </c>
      <c r="C27" s="3" t="inlineStr">
        <is>
          <t>Saoirse Farkas</t>
        </is>
      </c>
      <c r="D27" s="3" t="inlineStr">
        <is>
          <t>CO</t>
        </is>
      </c>
      <c r="E27" s="14" t="n">
        <v>1030000</v>
      </c>
      <c r="F27" s="14" t="n">
        <v>10548.87</v>
      </c>
      <c r="G27" s="14" t="n">
        <v>1318.61</v>
      </c>
      <c r="H27" s="14" t="n">
        <v>1318.61</v>
      </c>
      <c r="I27" s="14">
        <f>SUM(K27:T27)</f>
        <v/>
      </c>
      <c r="J27" s="14">
        <f>F27-(G27+H27+I27)</f>
        <v/>
      </c>
      <c r="K27" s="14" t="n">
        <v>791.17</v>
      </c>
      <c r="L27" s="14" t="n">
        <v>791.17</v>
      </c>
      <c r="M27" s="14" t="n">
        <v>791.17</v>
      </c>
      <c r="N27" s="14" t="n">
        <v>791.17</v>
      </c>
      <c r="O27" s="14" t="n">
        <v>791.17</v>
      </c>
      <c r="P27" s="14" t="n">
        <v>791.17</v>
      </c>
      <c r="Q27" s="14" t="n">
        <v>791.17</v>
      </c>
      <c r="R27" s="14" t="n">
        <v>791.17</v>
      </c>
      <c r="S27" s="14" t="n">
        <v>791.17</v>
      </c>
      <c r="T27" s="14" t="n">
        <v>791.17</v>
      </c>
      <c r="U27" s="14" t="n">
        <v>350</v>
      </c>
      <c r="V27" s="14" t="n">
        <v>250</v>
      </c>
      <c r="W27" s="14">
        <f>U27+V27</f>
        <v/>
      </c>
    </row>
    <row r="28">
      <c r="A28" s="15" t="inlineStr">
        <is>
          <t>CANON-202601-003079</t>
        </is>
      </c>
      <c r="B28" s="15" t="inlineStr">
        <is>
          <t>2026-01-15</t>
        </is>
      </c>
      <c r="C28" s="15" t="inlineStr">
        <is>
          <t>Cassius Thistlewood</t>
        </is>
      </c>
      <c r="D28" s="15" t="inlineStr">
        <is>
          <t>NV</t>
        </is>
      </c>
      <c r="E28" s="16" t="n">
        <v>1235000</v>
      </c>
      <c r="F28" s="16" t="n">
        <v>19568.44</v>
      </c>
      <c r="G28" s="16" t="n">
        <v>2446.05</v>
      </c>
      <c r="H28" s="16" t="n">
        <v>2446.05</v>
      </c>
      <c r="I28" s="16">
        <f>SUM(K28:T28)</f>
        <v/>
      </c>
      <c r="J28" s="16">
        <f>F28-(G28+H28+I28)</f>
        <v/>
      </c>
      <c r="K28" s="16" t="n">
        <v>1467.63</v>
      </c>
      <c r="L28" s="16" t="n">
        <v>1467.63</v>
      </c>
      <c r="M28" s="16" t="n">
        <v>1467.63</v>
      </c>
      <c r="N28" s="16" t="n">
        <v>1467.63</v>
      </c>
      <c r="O28" s="16" t="n">
        <v>1467.63</v>
      </c>
      <c r="P28" s="16" t="n">
        <v>1467.63</v>
      </c>
      <c r="Q28" s="16" t="n">
        <v>1467.63</v>
      </c>
      <c r="R28" s="16" t="n">
        <v>1467.63</v>
      </c>
      <c r="S28" s="16" t="n">
        <v>1467.63</v>
      </c>
      <c r="T28" s="16" t="n">
        <v>1467.63</v>
      </c>
      <c r="U28" s="16" t="n">
        <v>350</v>
      </c>
      <c r="V28" s="16" t="n">
        <v>250</v>
      </c>
      <c r="W28" s="16">
        <f>U28+V28</f>
        <v/>
      </c>
    </row>
    <row r="29">
      <c r="A29" s="3" t="inlineStr">
        <is>
          <t>CANON-202601-003080</t>
        </is>
      </c>
      <c r="B29" s="3" t="inlineStr">
        <is>
          <t>2026-01-24</t>
        </is>
      </c>
      <c r="C29" s="3" t="inlineStr">
        <is>
          <t>Callum Fairweather</t>
        </is>
      </c>
      <c r="D29" s="3" t="inlineStr">
        <is>
          <t>KY</t>
        </is>
      </c>
      <c r="E29" s="14" t="n">
        <v>480000</v>
      </c>
      <c r="F29" s="14" t="n">
        <v>8166.22</v>
      </c>
      <c r="G29" s="14" t="n">
        <v>1020.78</v>
      </c>
      <c r="H29" s="14" t="n">
        <v>1020.78</v>
      </c>
      <c r="I29" s="14">
        <f>SUM(K29:T29)</f>
        <v/>
      </c>
      <c r="J29" s="14">
        <f>F29-(G29+H29+I29)</f>
        <v/>
      </c>
      <c r="K29" s="14" t="n">
        <v>612.47</v>
      </c>
      <c r="L29" s="14" t="n">
        <v>612.47</v>
      </c>
      <c r="M29" s="14" t="n">
        <v>612.47</v>
      </c>
      <c r="N29" s="14" t="n">
        <v>612.47</v>
      </c>
      <c r="O29" s="14" t="n">
        <v>612.47</v>
      </c>
      <c r="P29" s="14" t="n">
        <v>612.47</v>
      </c>
      <c r="Q29" s="14" t="n">
        <v>612.47</v>
      </c>
      <c r="R29" s="14" t="n">
        <v>612.47</v>
      </c>
      <c r="S29" s="14" t="n">
        <v>612.47</v>
      </c>
      <c r="T29" s="14" t="n">
        <v>612.47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CANON-202601-003081</t>
        </is>
      </c>
      <c r="B30" s="15" t="inlineStr">
        <is>
          <t>2026-01-25</t>
        </is>
      </c>
      <c r="C30" s="15" t="inlineStr">
        <is>
          <t>Beatrix Harrington</t>
        </is>
      </c>
      <c r="D30" s="15" t="inlineStr">
        <is>
          <t>TN</t>
        </is>
      </c>
      <c r="E30" s="16" t="n">
        <v>765000</v>
      </c>
      <c r="F30" s="16" t="n">
        <v>5457.19</v>
      </c>
      <c r="G30" s="16" t="n">
        <v>682.15</v>
      </c>
      <c r="H30" s="16" t="n">
        <v>682.15</v>
      </c>
      <c r="I30" s="16">
        <f>SUM(K30:T30)</f>
        <v/>
      </c>
      <c r="J30" s="16">
        <f>F30-(G30+H30+I30)</f>
        <v/>
      </c>
      <c r="K30" s="16" t="n">
        <v>409.29</v>
      </c>
      <c r="L30" s="16" t="n">
        <v>409.29</v>
      </c>
      <c r="M30" s="16" t="n">
        <v>409.29</v>
      </c>
      <c r="N30" s="16" t="n">
        <v>409.29</v>
      </c>
      <c r="O30" s="16" t="n">
        <v>409.29</v>
      </c>
      <c r="P30" s="16" t="n">
        <v>409.29</v>
      </c>
      <c r="Q30" s="16" t="n">
        <v>409.29</v>
      </c>
      <c r="R30" s="16" t="n">
        <v>409.29</v>
      </c>
      <c r="S30" s="16" t="n">
        <v>409.29</v>
      </c>
      <c r="T30" s="16" t="n">
        <v>409.29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CANON-202601-003082</t>
        </is>
      </c>
      <c r="B31" s="3" t="inlineStr">
        <is>
          <t>2026-01-16</t>
        </is>
      </c>
      <c r="C31" s="3" t="inlineStr">
        <is>
          <t>Priya Ashcombe</t>
        </is>
      </c>
      <c r="D31" s="3" t="inlineStr">
        <is>
          <t>ND</t>
        </is>
      </c>
      <c r="E31" s="14" t="n">
        <v>1090000</v>
      </c>
      <c r="F31" s="14" t="n">
        <v>10351.49</v>
      </c>
      <c r="G31" s="14" t="n">
        <v>1293.94</v>
      </c>
      <c r="H31" s="14" t="n">
        <v>1293.94</v>
      </c>
      <c r="I31" s="14">
        <f>SUM(K31:T31)</f>
        <v/>
      </c>
      <c r="J31" s="14">
        <f>F31-(G31+H31+I31)</f>
        <v/>
      </c>
      <c r="K31" s="14" t="n">
        <v>776.36</v>
      </c>
      <c r="L31" s="14" t="n">
        <v>776.36</v>
      </c>
      <c r="M31" s="14" t="n">
        <v>776.36</v>
      </c>
      <c r="N31" s="14" t="n">
        <v>776.36</v>
      </c>
      <c r="O31" s="14" t="n">
        <v>776.36</v>
      </c>
      <c r="P31" s="14" t="n">
        <v>776.36</v>
      </c>
      <c r="Q31" s="14" t="n">
        <v>776.36</v>
      </c>
      <c r="R31" s="14" t="n">
        <v>776.36</v>
      </c>
      <c r="S31" s="14" t="n">
        <v>776.36</v>
      </c>
      <c r="T31" s="14" t="n">
        <v>776.36</v>
      </c>
      <c r="U31" s="14" t="n">
        <v>350</v>
      </c>
      <c r="V31" s="14" t="n">
        <v>250</v>
      </c>
      <c r="W31" s="14">
        <f>U31+V31</f>
        <v/>
      </c>
    </row>
    <row r="32">
      <c r="A32" s="15" t="inlineStr">
        <is>
          <t>CANON-202601-003086</t>
        </is>
      </c>
      <c r="B32" s="15" t="inlineStr">
        <is>
          <t>2026-01-26</t>
        </is>
      </c>
      <c r="C32" s="15" t="inlineStr">
        <is>
          <t>Leopold Chattopadhyay</t>
        </is>
      </c>
      <c r="D32" s="15" t="inlineStr">
        <is>
          <t>CA</t>
        </is>
      </c>
      <c r="E32" s="16" t="n">
        <v>1130000</v>
      </c>
      <c r="F32" s="16" t="n">
        <v>20659.3</v>
      </c>
      <c r="G32" s="16" t="n">
        <v>2582.41</v>
      </c>
      <c r="H32" s="16" t="n">
        <v>2582.41</v>
      </c>
      <c r="I32" s="16">
        <f>SUM(K32:T32)</f>
        <v/>
      </c>
      <c r="J32" s="16">
        <f>F32-(G32+H32+I32)</f>
        <v/>
      </c>
      <c r="K32" s="16" t="n">
        <v>1549.45</v>
      </c>
      <c r="L32" s="16" t="n">
        <v>1549.45</v>
      </c>
      <c r="M32" s="16" t="n">
        <v>1549.45</v>
      </c>
      <c r="N32" s="16" t="n">
        <v>1549.45</v>
      </c>
      <c r="O32" s="16" t="n">
        <v>1549.45</v>
      </c>
      <c r="P32" s="16" t="n">
        <v>1549.45</v>
      </c>
      <c r="Q32" s="16" t="n">
        <v>1549.45</v>
      </c>
      <c r="R32" s="16" t="n">
        <v>1549.45</v>
      </c>
      <c r="S32" s="16" t="n">
        <v>1549.45</v>
      </c>
      <c r="T32" s="16" t="n">
        <v>1549.45</v>
      </c>
      <c r="U32" s="16" t="n">
        <v>350</v>
      </c>
      <c r="V32" s="16" t="n">
        <v>250</v>
      </c>
      <c r="W32" s="16">
        <f>U32+V32</f>
        <v/>
      </c>
    </row>
    <row r="33">
      <c r="A33" s="3" t="inlineStr">
        <is>
          <t>CANON-202601-003087</t>
        </is>
      </c>
      <c r="B33" s="3" t="inlineStr">
        <is>
          <t>2026-01-03</t>
        </is>
      </c>
      <c r="C33" s="3" t="inlineStr">
        <is>
          <t>Ramona Bellandi</t>
        </is>
      </c>
      <c r="D33" s="3" t="inlineStr">
        <is>
          <t>PA</t>
        </is>
      </c>
      <c r="E33" s="14" t="n">
        <v>1275000</v>
      </c>
      <c r="F33" s="14" t="n">
        <v>7338.42</v>
      </c>
      <c r="G33" s="14" t="n">
        <v>917.3</v>
      </c>
      <c r="H33" s="14" t="n">
        <v>917.3</v>
      </c>
      <c r="I33" s="14">
        <f>SUM(K33:T33)</f>
        <v/>
      </c>
      <c r="J33" s="14">
        <f>F33-(G33+H33+I33)</f>
        <v/>
      </c>
      <c r="K33" s="14" t="n">
        <v>550.38</v>
      </c>
      <c r="L33" s="14" t="n">
        <v>550.38</v>
      </c>
      <c r="M33" s="14" t="n">
        <v>550.38</v>
      </c>
      <c r="N33" s="14" t="n">
        <v>550.38</v>
      </c>
      <c r="O33" s="14" t="n">
        <v>550.38</v>
      </c>
      <c r="P33" s="14" t="n">
        <v>550.38</v>
      </c>
      <c r="Q33" s="14" t="n">
        <v>550.38</v>
      </c>
      <c r="R33" s="14" t="n">
        <v>550.38</v>
      </c>
      <c r="S33" s="14" t="n">
        <v>550.38</v>
      </c>
      <c r="T33" s="14" t="n">
        <v>550.38</v>
      </c>
      <c r="U33" s="14" t="n">
        <v>350</v>
      </c>
      <c r="V33" s="14" t="n">
        <v>250</v>
      </c>
      <c r="W33" s="14">
        <f>U33+V33</f>
        <v/>
      </c>
    </row>
    <row r="34">
      <c r="A34" s="15" t="inlineStr">
        <is>
          <t>CANON-202601-003088</t>
        </is>
      </c>
      <c r="B34" s="15" t="inlineStr">
        <is>
          <t>2026-01-05</t>
        </is>
      </c>
      <c r="C34" s="15" t="inlineStr">
        <is>
          <t>Sunniva Merriweather</t>
        </is>
      </c>
      <c r="D34" s="15" t="inlineStr">
        <is>
          <t>ND</t>
        </is>
      </c>
      <c r="E34" s="16" t="n">
        <v>500000</v>
      </c>
      <c r="F34" s="16" t="n">
        <v>5611.73</v>
      </c>
      <c r="G34" s="16" t="n">
        <v>701.47</v>
      </c>
      <c r="H34" s="16" t="n">
        <v>701.47</v>
      </c>
      <c r="I34" s="16">
        <f>SUM(K34:T34)</f>
        <v/>
      </c>
      <c r="J34" s="16">
        <f>F34-(G34+H34+I34)</f>
        <v/>
      </c>
      <c r="K34" s="16" t="n">
        <v>420.88</v>
      </c>
      <c r="L34" s="16" t="n">
        <v>420.88</v>
      </c>
      <c r="M34" s="16" t="n">
        <v>420.88</v>
      </c>
      <c r="N34" s="16" t="n">
        <v>420.88</v>
      </c>
      <c r="O34" s="16" t="n">
        <v>420.88</v>
      </c>
      <c r="P34" s="16" t="n">
        <v>420.88</v>
      </c>
      <c r="Q34" s="16" t="n">
        <v>420.88</v>
      </c>
      <c r="R34" s="16" t="n">
        <v>420.88</v>
      </c>
      <c r="S34" s="16" t="n">
        <v>420.88</v>
      </c>
      <c r="T34" s="16" t="n">
        <v>420.88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CANON-202601-003090</t>
        </is>
      </c>
      <c r="B35" s="3" t="inlineStr">
        <is>
          <t>2026-01-13</t>
        </is>
      </c>
      <c r="C35" s="3" t="inlineStr">
        <is>
          <t>Noor Larsson</t>
        </is>
      </c>
      <c r="D35" s="3" t="inlineStr">
        <is>
          <t>PA</t>
        </is>
      </c>
      <c r="E35" s="14" t="n">
        <v>515000</v>
      </c>
      <c r="F35" s="14" t="n">
        <v>5666.75</v>
      </c>
      <c r="G35" s="14" t="n">
        <v>708.34</v>
      </c>
      <c r="H35" s="14" t="n">
        <v>708.34</v>
      </c>
      <c r="I35" s="14">
        <f>SUM(K35:T35)</f>
        <v/>
      </c>
      <c r="J35" s="14">
        <f>F35-(G35+H35+I35)</f>
        <v/>
      </c>
      <c r="K35" s="14" t="n">
        <v>425.01</v>
      </c>
      <c r="L35" s="14" t="n">
        <v>425.01</v>
      </c>
      <c r="M35" s="14" t="n">
        <v>425.01</v>
      </c>
      <c r="N35" s="14" t="n">
        <v>425.01</v>
      </c>
      <c r="O35" s="14" t="n">
        <v>425.01</v>
      </c>
      <c r="P35" s="14" t="n">
        <v>425.01</v>
      </c>
      <c r="Q35" s="14" t="n">
        <v>425.01</v>
      </c>
      <c r="R35" s="14" t="n">
        <v>425.01</v>
      </c>
      <c r="S35" s="14" t="n">
        <v>425.01</v>
      </c>
      <c r="T35" s="14" t="n">
        <v>425.01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CANON-202601-003091</t>
        </is>
      </c>
      <c r="B36" s="15" t="inlineStr">
        <is>
          <t>2026-01-05</t>
        </is>
      </c>
      <c r="C36" s="15" t="inlineStr">
        <is>
          <t>Fenwick Vasquez</t>
        </is>
      </c>
      <c r="D36" s="15" t="inlineStr">
        <is>
          <t>NV</t>
        </is>
      </c>
      <c r="E36" s="16" t="n">
        <v>1200000</v>
      </c>
      <c r="F36" s="16" t="n">
        <v>13072.03</v>
      </c>
      <c r="G36" s="16" t="n">
        <v>1634</v>
      </c>
      <c r="H36" s="16" t="n">
        <v>1634</v>
      </c>
      <c r="I36" s="16">
        <f>SUM(K36:T36)</f>
        <v/>
      </c>
      <c r="J36" s="16">
        <f>F36-(G36+H36+I36)</f>
        <v/>
      </c>
      <c r="K36" s="16" t="n">
        <v>980.4</v>
      </c>
      <c r="L36" s="16" t="n">
        <v>980.4</v>
      </c>
      <c r="M36" s="16" t="n">
        <v>980.4</v>
      </c>
      <c r="N36" s="16" t="n">
        <v>980.4</v>
      </c>
      <c r="O36" s="16" t="n">
        <v>980.4</v>
      </c>
      <c r="P36" s="16" t="n">
        <v>980.4</v>
      </c>
      <c r="Q36" s="16" t="n">
        <v>980.4</v>
      </c>
      <c r="R36" s="16" t="n">
        <v>980.4</v>
      </c>
      <c r="S36" s="16" t="n">
        <v>980.4</v>
      </c>
      <c r="T36" s="16" t="n">
        <v>980.4</v>
      </c>
      <c r="U36" s="16" t="n">
        <v>350</v>
      </c>
      <c r="V36" s="16" t="n">
        <v>250</v>
      </c>
      <c r="W36" s="16">
        <f>U36+V36</f>
        <v/>
      </c>
    </row>
    <row r="37">
      <c r="A37" s="3" t="inlineStr">
        <is>
          <t>CANON-202601-003092</t>
        </is>
      </c>
      <c r="B37" s="3" t="inlineStr">
        <is>
          <t>2026-01-31</t>
        </is>
      </c>
      <c r="C37" s="3" t="inlineStr">
        <is>
          <t>Wilhelmina Delacroix</t>
        </is>
      </c>
      <c r="D37" s="3" t="inlineStr">
        <is>
          <t>LA</t>
        </is>
      </c>
      <c r="E37" s="14" t="n">
        <v>945000</v>
      </c>
      <c r="F37" s="14" t="n">
        <v>12581.83</v>
      </c>
      <c r="G37" s="14" t="n">
        <v>1572.73</v>
      </c>
      <c r="H37" s="14" t="n">
        <v>1572.73</v>
      </c>
      <c r="I37" s="14">
        <f>SUM(K37:T37)</f>
        <v/>
      </c>
      <c r="J37" s="14">
        <f>F37-(G37+H37+I37)</f>
        <v/>
      </c>
      <c r="K37" s="14" t="n">
        <v>943.64</v>
      </c>
      <c r="L37" s="14" t="n">
        <v>943.64</v>
      </c>
      <c r="M37" s="14" t="n">
        <v>943.64</v>
      </c>
      <c r="N37" s="14" t="n">
        <v>943.64</v>
      </c>
      <c r="O37" s="14" t="n">
        <v>943.64</v>
      </c>
      <c r="P37" s="14" t="n">
        <v>943.64</v>
      </c>
      <c r="Q37" s="14" t="n">
        <v>943.64</v>
      </c>
      <c r="R37" s="14" t="n">
        <v>943.64</v>
      </c>
      <c r="S37" s="14" t="n">
        <v>943.64</v>
      </c>
      <c r="T37" s="14" t="n">
        <v>943.64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CANON-202601-003093</t>
        </is>
      </c>
      <c r="B38" s="15" t="inlineStr">
        <is>
          <t>2026-01-06</t>
        </is>
      </c>
      <c r="C38" s="15" t="inlineStr">
        <is>
          <t>Fitzgerald Montoya</t>
        </is>
      </c>
      <c r="D38" s="15" t="inlineStr">
        <is>
          <t>NE</t>
        </is>
      </c>
      <c r="E38" s="16" t="n">
        <v>1525000</v>
      </c>
      <c r="F38" s="16" t="n">
        <v>26848.29</v>
      </c>
      <c r="G38" s="16" t="n">
        <v>3356.04</v>
      </c>
      <c r="H38" s="16" t="n">
        <v>3356.04</v>
      </c>
      <c r="I38" s="16">
        <f>SUM(K38:T38)</f>
        <v/>
      </c>
      <c r="J38" s="16">
        <f>F38-(G38+H38+I38)</f>
        <v/>
      </c>
      <c r="K38" s="16" t="n">
        <v>2013.62</v>
      </c>
      <c r="L38" s="16" t="n">
        <v>2013.62</v>
      </c>
      <c r="M38" s="16" t="n">
        <v>2013.62</v>
      </c>
      <c r="N38" s="16" t="n">
        <v>2013.62</v>
      </c>
      <c r="O38" s="16" t="n">
        <v>2013.62</v>
      </c>
      <c r="P38" s="16" t="n">
        <v>2013.62</v>
      </c>
      <c r="Q38" s="16" t="n">
        <v>2013.62</v>
      </c>
      <c r="R38" s="16" t="n">
        <v>2013.62</v>
      </c>
      <c r="S38" s="16" t="n">
        <v>2013.62</v>
      </c>
      <c r="T38" s="16" t="n">
        <v>2013.62</v>
      </c>
      <c r="U38" s="16" t="n">
        <v>350</v>
      </c>
      <c r="V38" s="16" t="n">
        <v>250</v>
      </c>
      <c r="W38" s="16">
        <f>U38+V38</f>
        <v/>
      </c>
    </row>
    <row r="39">
      <c r="A39" s="3" t="inlineStr">
        <is>
          <t>CANON-202601-003095</t>
        </is>
      </c>
      <c r="B39" s="3" t="inlineStr">
        <is>
          <t>2026-01-23</t>
        </is>
      </c>
      <c r="C39" s="3" t="inlineStr">
        <is>
          <t>Priya Chattopadhyay</t>
        </is>
      </c>
      <c r="D39" s="3" t="inlineStr">
        <is>
          <t>ID</t>
        </is>
      </c>
      <c r="E39" s="14" t="n">
        <v>495000</v>
      </c>
      <c r="F39" s="14" t="n">
        <v>6221.79</v>
      </c>
      <c r="G39" s="14" t="n">
        <v>777.72</v>
      </c>
      <c r="H39" s="14" t="n">
        <v>777.72</v>
      </c>
      <c r="I39" s="14">
        <f>SUM(K39:T39)</f>
        <v/>
      </c>
      <c r="J39" s="14">
        <f>F39-(G39+H39+I39)</f>
        <v/>
      </c>
      <c r="K39" s="14" t="n">
        <v>466.63</v>
      </c>
      <c r="L39" s="14" t="n">
        <v>466.63</v>
      </c>
      <c r="M39" s="14" t="n">
        <v>466.63</v>
      </c>
      <c r="N39" s="14" t="n">
        <v>466.63</v>
      </c>
      <c r="O39" s="14" t="n">
        <v>466.63</v>
      </c>
      <c r="P39" s="14" t="n">
        <v>466.63</v>
      </c>
      <c r="Q39" s="14" t="n">
        <v>466.63</v>
      </c>
      <c r="R39" s="14" t="n">
        <v>466.63</v>
      </c>
      <c r="S39" s="14" t="n">
        <v>466.63</v>
      </c>
      <c r="T39" s="14" t="n">
        <v>466.63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CANON-202601-003096</t>
        </is>
      </c>
      <c r="B40" s="15" t="inlineStr">
        <is>
          <t>2026-01-06</t>
        </is>
      </c>
      <c r="C40" s="15" t="inlineStr">
        <is>
          <t>Lorenzo Thistlewood</t>
        </is>
      </c>
      <c r="D40" s="15" t="inlineStr">
        <is>
          <t>CA</t>
        </is>
      </c>
      <c r="E40" s="16" t="n">
        <v>380000</v>
      </c>
      <c r="F40" s="16" t="n">
        <v>9986.85</v>
      </c>
      <c r="G40" s="16" t="n">
        <v>1248.36</v>
      </c>
      <c r="H40" s="16" t="n">
        <v>1248.36</v>
      </c>
      <c r="I40" s="16">
        <f>SUM(K40:T40)</f>
        <v/>
      </c>
      <c r="J40" s="16">
        <f>F40-(G40+H40+I40)</f>
        <v/>
      </c>
      <c r="K40" s="16" t="n">
        <v>749.01</v>
      </c>
      <c r="L40" s="16" t="n">
        <v>749.01</v>
      </c>
      <c r="M40" s="16" t="n">
        <v>749.01</v>
      </c>
      <c r="N40" s="16" t="n">
        <v>749.01</v>
      </c>
      <c r="O40" s="16" t="n">
        <v>749.01</v>
      </c>
      <c r="P40" s="16" t="n">
        <v>749.01</v>
      </c>
      <c r="Q40" s="16" t="n">
        <v>749.01</v>
      </c>
      <c r="R40" s="16" t="n">
        <v>749.01</v>
      </c>
      <c r="S40" s="16" t="n">
        <v>749.01</v>
      </c>
      <c r="T40" s="16" t="n">
        <v>749.01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CANON-202601-003097</t>
        </is>
      </c>
      <c r="B41" s="3" t="inlineStr">
        <is>
          <t>2026-01-03</t>
        </is>
      </c>
      <c r="C41" s="3" t="inlineStr">
        <is>
          <t>Callum Bellandi</t>
        </is>
      </c>
      <c r="D41" s="3" t="inlineStr">
        <is>
          <t>MN</t>
        </is>
      </c>
      <c r="E41" s="14" t="n">
        <v>440000</v>
      </c>
      <c r="F41" s="14" t="n">
        <v>4719.34</v>
      </c>
      <c r="G41" s="14" t="n">
        <v>589.92</v>
      </c>
      <c r="H41" s="14" t="n">
        <v>589.92</v>
      </c>
      <c r="I41" s="14">
        <f>SUM(K41:T41)</f>
        <v/>
      </c>
      <c r="J41" s="14">
        <f>F41-(G41+H41+I41)</f>
        <v/>
      </c>
      <c r="K41" s="14" t="n">
        <v>353.95</v>
      </c>
      <c r="L41" s="14" t="n">
        <v>353.95</v>
      </c>
      <c r="M41" s="14" t="n">
        <v>353.95</v>
      </c>
      <c r="N41" s="14" t="n">
        <v>353.95</v>
      </c>
      <c r="O41" s="14" t="n">
        <v>353.95</v>
      </c>
      <c r="P41" s="14" t="n">
        <v>353.95</v>
      </c>
      <c r="Q41" s="14" t="n">
        <v>353.95</v>
      </c>
      <c r="R41" s="14" t="n">
        <v>353.95</v>
      </c>
      <c r="S41" s="14" t="n">
        <v>353.95</v>
      </c>
      <c r="T41" s="14" t="n">
        <v>353.95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CANON-202601-003099</t>
        </is>
      </c>
      <c r="B42" s="15" t="inlineStr">
        <is>
          <t>2026-01-13</t>
        </is>
      </c>
      <c r="C42" s="15" t="inlineStr">
        <is>
          <t>Saoirse Kingsford</t>
        </is>
      </c>
      <c r="D42" s="15" t="inlineStr">
        <is>
          <t>CO</t>
        </is>
      </c>
      <c r="E42" s="16" t="n">
        <v>1465000</v>
      </c>
      <c r="F42" s="16" t="n">
        <v>21823.97</v>
      </c>
      <c r="G42" s="16" t="n">
        <v>2728</v>
      </c>
      <c r="H42" s="16" t="n">
        <v>2728</v>
      </c>
      <c r="I42" s="16">
        <f>SUM(K42:T42)</f>
        <v/>
      </c>
      <c r="J42" s="16">
        <f>F42-(G42+H42+I42)</f>
        <v/>
      </c>
      <c r="K42" s="16" t="n">
        <v>1636.8</v>
      </c>
      <c r="L42" s="16" t="n">
        <v>1636.8</v>
      </c>
      <c r="M42" s="16" t="n">
        <v>1636.8</v>
      </c>
      <c r="N42" s="16" t="n">
        <v>1636.8</v>
      </c>
      <c r="O42" s="16" t="n">
        <v>1636.8</v>
      </c>
      <c r="P42" s="16" t="n">
        <v>1636.8</v>
      </c>
      <c r="Q42" s="16" t="n">
        <v>1636.8</v>
      </c>
      <c r="R42" s="16" t="n">
        <v>1636.8</v>
      </c>
      <c r="S42" s="16" t="n">
        <v>1636.8</v>
      </c>
      <c r="T42" s="16" t="n">
        <v>1636.8</v>
      </c>
      <c r="U42" s="16" t="n">
        <v>350</v>
      </c>
      <c r="V42" s="16" t="n">
        <v>250</v>
      </c>
      <c r="W42" s="16">
        <f>U42+V42</f>
        <v/>
      </c>
    </row>
    <row r="43">
      <c r="A43" s="3" t="inlineStr">
        <is>
          <t>CANON-202601-003100</t>
        </is>
      </c>
      <c r="B43" s="3" t="inlineStr">
        <is>
          <t>2026-01-24</t>
        </is>
      </c>
      <c r="C43" s="3" t="inlineStr">
        <is>
          <t>Lorenzo Chattopadhyay</t>
        </is>
      </c>
      <c r="D43" s="3" t="inlineStr">
        <is>
          <t>NM</t>
        </is>
      </c>
      <c r="E43" s="14" t="n">
        <v>805000</v>
      </c>
      <c r="F43" s="14" t="n">
        <v>11337.9</v>
      </c>
      <c r="G43" s="14" t="n">
        <v>1417.24</v>
      </c>
      <c r="H43" s="14" t="n">
        <v>1417.24</v>
      </c>
      <c r="I43" s="14">
        <f>SUM(K43:T43)</f>
        <v/>
      </c>
      <c r="J43" s="14">
        <f>F43-(G43+H43+I43)</f>
        <v/>
      </c>
      <c r="K43" s="14" t="n">
        <v>850.34</v>
      </c>
      <c r="L43" s="14" t="n">
        <v>850.34</v>
      </c>
      <c r="M43" s="14" t="n">
        <v>850.34</v>
      </c>
      <c r="N43" s="14" t="n">
        <v>850.34</v>
      </c>
      <c r="O43" s="14" t="n">
        <v>850.34</v>
      </c>
      <c r="P43" s="14" t="n">
        <v>850.34</v>
      </c>
      <c r="Q43" s="14" t="n">
        <v>850.34</v>
      </c>
      <c r="R43" s="14" t="n">
        <v>850.34</v>
      </c>
      <c r="S43" s="14" t="n">
        <v>850.34</v>
      </c>
      <c r="T43" s="14" t="n">
        <v>850.34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CANON-202601-003101</t>
        </is>
      </c>
      <c r="B44" s="15" t="inlineStr">
        <is>
          <t>2026-01-10</t>
        </is>
      </c>
      <c r="C44" s="15" t="inlineStr">
        <is>
          <t>Emiliano Pennington</t>
        </is>
      </c>
      <c r="D44" s="15" t="inlineStr">
        <is>
          <t>TX</t>
        </is>
      </c>
      <c r="E44" s="16" t="n">
        <v>690000</v>
      </c>
      <c r="F44" s="16" t="n">
        <v>12760.97</v>
      </c>
      <c r="G44" s="16" t="n">
        <v>1595.12</v>
      </c>
      <c r="H44" s="16" t="n">
        <v>1595.12</v>
      </c>
      <c r="I44" s="16">
        <f>SUM(K44:T44)</f>
        <v/>
      </c>
      <c r="J44" s="16">
        <f>F44-(G44+H44+I44)</f>
        <v/>
      </c>
      <c r="K44" s="16" t="n">
        <v>957.0700000000001</v>
      </c>
      <c r="L44" s="16" t="n">
        <v>957.0700000000001</v>
      </c>
      <c r="M44" s="16" t="n">
        <v>957.0700000000001</v>
      </c>
      <c r="N44" s="16" t="n">
        <v>957.0700000000001</v>
      </c>
      <c r="O44" s="16" t="n">
        <v>957.0700000000001</v>
      </c>
      <c r="P44" s="16" t="n">
        <v>957.0700000000001</v>
      </c>
      <c r="Q44" s="16" t="n">
        <v>957.0700000000001</v>
      </c>
      <c r="R44" s="16" t="n">
        <v>957.0700000000001</v>
      </c>
      <c r="S44" s="16" t="n">
        <v>957.0700000000001</v>
      </c>
      <c r="T44" s="16" t="n">
        <v>957.0700000000001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CANON-202601-003102</t>
        </is>
      </c>
      <c r="B45" s="3" t="inlineStr">
        <is>
          <t>2026-01-22</t>
        </is>
      </c>
      <c r="C45" s="3" t="inlineStr">
        <is>
          <t>Delphine Delacroix</t>
        </is>
      </c>
      <c r="D45" s="3" t="inlineStr">
        <is>
          <t>ID</t>
        </is>
      </c>
      <c r="E45" s="14" t="n">
        <v>845000</v>
      </c>
      <c r="F45" s="14" t="n">
        <v>11045.87</v>
      </c>
      <c r="G45" s="14" t="n">
        <v>1380.73</v>
      </c>
      <c r="H45" s="14" t="n">
        <v>1380.73</v>
      </c>
      <c r="I45" s="14">
        <f>SUM(K45:T45)</f>
        <v/>
      </c>
      <c r="J45" s="14">
        <f>F45-(G45+H45+I45)</f>
        <v/>
      </c>
      <c r="K45" s="14" t="n">
        <v>828.4400000000001</v>
      </c>
      <c r="L45" s="14" t="n">
        <v>828.4400000000001</v>
      </c>
      <c r="M45" s="14" t="n">
        <v>828.4400000000001</v>
      </c>
      <c r="N45" s="14" t="n">
        <v>828.4400000000001</v>
      </c>
      <c r="O45" s="14" t="n">
        <v>828.4400000000001</v>
      </c>
      <c r="P45" s="14" t="n">
        <v>828.4400000000001</v>
      </c>
      <c r="Q45" s="14" t="n">
        <v>828.4400000000001</v>
      </c>
      <c r="R45" s="14" t="n">
        <v>828.4400000000001</v>
      </c>
      <c r="S45" s="14" t="n">
        <v>828.4400000000001</v>
      </c>
      <c r="T45" s="14" t="n">
        <v>828.4400000000001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CANON-202601-003103</t>
        </is>
      </c>
      <c r="B46" s="15" t="inlineStr">
        <is>
          <t>2026-01-10</t>
        </is>
      </c>
      <c r="C46" s="15" t="inlineStr">
        <is>
          <t>Mireille Rourke</t>
        </is>
      </c>
      <c r="D46" s="15" t="inlineStr">
        <is>
          <t>NM</t>
        </is>
      </c>
      <c r="E46" s="16" t="n">
        <v>1345000</v>
      </c>
      <c r="F46" s="16" t="n">
        <v>16029.07</v>
      </c>
      <c r="G46" s="16" t="n">
        <v>2003.63</v>
      </c>
      <c r="H46" s="16" t="n">
        <v>2003.63</v>
      </c>
      <c r="I46" s="16">
        <f>SUM(K46:T46)</f>
        <v/>
      </c>
      <c r="J46" s="16">
        <f>F46-(G46+H46+I46)</f>
        <v/>
      </c>
      <c r="K46" s="16" t="n">
        <v>1202.18</v>
      </c>
      <c r="L46" s="16" t="n">
        <v>1202.18</v>
      </c>
      <c r="M46" s="16" t="n">
        <v>1202.18</v>
      </c>
      <c r="N46" s="16" t="n">
        <v>1202.18</v>
      </c>
      <c r="O46" s="16" t="n">
        <v>1202.18</v>
      </c>
      <c r="P46" s="16" t="n">
        <v>1202.18</v>
      </c>
      <c r="Q46" s="16" t="n">
        <v>1202.18</v>
      </c>
      <c r="R46" s="16" t="n">
        <v>1202.18</v>
      </c>
      <c r="S46" s="16" t="n">
        <v>1202.18</v>
      </c>
      <c r="T46" s="16" t="n">
        <v>1202.18</v>
      </c>
      <c r="U46" s="16" t="n">
        <v>350</v>
      </c>
      <c r="V46" s="16" t="n">
        <v>250</v>
      </c>
      <c r="W46" s="16">
        <f>U46+V46</f>
        <v/>
      </c>
    </row>
    <row r="47">
      <c r="A47" s="3" t="inlineStr">
        <is>
          <t>CANON-202601-003104</t>
        </is>
      </c>
      <c r="B47" s="3" t="inlineStr">
        <is>
          <t>2026-01-15</t>
        </is>
      </c>
      <c r="C47" s="3" t="inlineStr">
        <is>
          <t>Desmond Okonkwo</t>
        </is>
      </c>
      <c r="D47" s="3" t="inlineStr">
        <is>
          <t>ND</t>
        </is>
      </c>
      <c r="E47" s="14" t="n">
        <v>1795000</v>
      </c>
      <c r="F47" s="14" t="n">
        <v>17046.72</v>
      </c>
      <c r="G47" s="14" t="n">
        <v>2130.84</v>
      </c>
      <c r="H47" s="14" t="n">
        <v>2130.84</v>
      </c>
      <c r="I47" s="14">
        <f>SUM(K47:T47)</f>
        <v/>
      </c>
      <c r="J47" s="14">
        <f>F47-(G47+H47+I47)</f>
        <v/>
      </c>
      <c r="K47" s="14" t="n">
        <v>1278.5</v>
      </c>
      <c r="L47" s="14" t="n">
        <v>1278.5</v>
      </c>
      <c r="M47" s="14" t="n">
        <v>1278.5</v>
      </c>
      <c r="N47" s="14" t="n">
        <v>1278.5</v>
      </c>
      <c r="O47" s="14" t="n">
        <v>1278.5</v>
      </c>
      <c r="P47" s="14" t="n">
        <v>1278.5</v>
      </c>
      <c r="Q47" s="14" t="n">
        <v>1278.5</v>
      </c>
      <c r="R47" s="14" t="n">
        <v>1278.5</v>
      </c>
      <c r="S47" s="14" t="n">
        <v>1278.5</v>
      </c>
      <c r="T47" s="14" t="n">
        <v>1278.5</v>
      </c>
      <c r="U47" s="14" t="n">
        <v>350</v>
      </c>
      <c r="V47" s="14" t="n">
        <v>250</v>
      </c>
      <c r="W47" s="14">
        <f>U47+V47</f>
        <v/>
      </c>
    </row>
    <row r="48">
      <c r="A48" s="15" t="inlineStr">
        <is>
          <t>CANON-202601-003105</t>
        </is>
      </c>
      <c r="B48" s="15" t="inlineStr">
        <is>
          <t>2026-01-19</t>
        </is>
      </c>
      <c r="C48" s="15" t="inlineStr">
        <is>
          <t>Desmond Vasquez</t>
        </is>
      </c>
      <c r="D48" s="15" t="inlineStr">
        <is>
          <t>TX</t>
        </is>
      </c>
      <c r="E48" s="16" t="n">
        <v>315000</v>
      </c>
      <c r="F48" s="16" t="n">
        <v>4599.21</v>
      </c>
      <c r="G48" s="16" t="n">
        <v>574.9</v>
      </c>
      <c r="H48" s="16" t="n">
        <v>574.9</v>
      </c>
      <c r="I48" s="16">
        <f>SUM(K48:T48)</f>
        <v/>
      </c>
      <c r="J48" s="16">
        <f>F48-(G48+H48+I48)</f>
        <v/>
      </c>
      <c r="K48" s="16" t="n">
        <v>344.94</v>
      </c>
      <c r="L48" s="16" t="n">
        <v>344.94</v>
      </c>
      <c r="M48" s="16" t="n">
        <v>344.94</v>
      </c>
      <c r="N48" s="16" t="n">
        <v>344.94</v>
      </c>
      <c r="O48" s="16" t="n">
        <v>344.94</v>
      </c>
      <c r="P48" s="16" t="n">
        <v>344.94</v>
      </c>
      <c r="Q48" s="16" t="n">
        <v>344.94</v>
      </c>
      <c r="R48" s="16" t="n">
        <v>344.94</v>
      </c>
      <c r="S48" s="16" t="n">
        <v>344.94</v>
      </c>
      <c r="T48" s="16" t="n">
        <v>344.94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CANON-202601-003106</t>
        </is>
      </c>
      <c r="B49" s="3" t="inlineStr">
        <is>
          <t>2026-01-11</t>
        </is>
      </c>
      <c r="C49" s="3" t="inlineStr">
        <is>
          <t>Ingrid Underwood</t>
        </is>
      </c>
      <c r="D49" s="3" t="inlineStr">
        <is>
          <t>HI</t>
        </is>
      </c>
      <c r="E49" s="14" t="n">
        <v>820000</v>
      </c>
      <c r="F49" s="14" t="n">
        <v>11729.62</v>
      </c>
      <c r="G49" s="14" t="n">
        <v>1466.2</v>
      </c>
      <c r="H49" s="14" t="n">
        <v>1466.2</v>
      </c>
      <c r="I49" s="14">
        <f>SUM(K49:T49)</f>
        <v/>
      </c>
      <c r="J49" s="14">
        <f>F49-(G49+H49+I49)</f>
        <v/>
      </c>
      <c r="K49" s="14" t="n">
        <v>879.72</v>
      </c>
      <c r="L49" s="14" t="n">
        <v>879.72</v>
      </c>
      <c r="M49" s="14" t="n">
        <v>879.72</v>
      </c>
      <c r="N49" s="14" t="n">
        <v>879.72</v>
      </c>
      <c r="O49" s="14" t="n">
        <v>879.72</v>
      </c>
      <c r="P49" s="14" t="n">
        <v>879.72</v>
      </c>
      <c r="Q49" s="14" t="n">
        <v>879.72</v>
      </c>
      <c r="R49" s="14" t="n">
        <v>879.72</v>
      </c>
      <c r="S49" s="14" t="n">
        <v>879.72</v>
      </c>
      <c r="T49" s="14" t="n">
        <v>879.72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CANON-202601-003108</t>
        </is>
      </c>
      <c r="B50" s="15" t="inlineStr">
        <is>
          <t>2026-01-20</t>
        </is>
      </c>
      <c r="C50" s="15" t="inlineStr">
        <is>
          <t>Fenwick Vandermeer</t>
        </is>
      </c>
      <c r="D50" s="15" t="inlineStr">
        <is>
          <t>GA</t>
        </is>
      </c>
      <c r="E50" s="16" t="n">
        <v>565000</v>
      </c>
      <c r="F50" s="16" t="n">
        <v>6962.94</v>
      </c>
      <c r="G50" s="16" t="n">
        <v>870.37</v>
      </c>
      <c r="H50" s="16" t="n">
        <v>870.37</v>
      </c>
      <c r="I50" s="16">
        <f>SUM(K50:T50)</f>
        <v/>
      </c>
      <c r="J50" s="16">
        <f>F50-(G50+H50+I50)</f>
        <v/>
      </c>
      <c r="K50" s="16" t="n">
        <v>522.22</v>
      </c>
      <c r="L50" s="16" t="n">
        <v>522.22</v>
      </c>
      <c r="M50" s="16" t="n">
        <v>522.22</v>
      </c>
      <c r="N50" s="16" t="n">
        <v>522.22</v>
      </c>
      <c r="O50" s="16" t="n">
        <v>522.22</v>
      </c>
      <c r="P50" s="16" t="n">
        <v>522.22</v>
      </c>
      <c r="Q50" s="16" t="n">
        <v>522.22</v>
      </c>
      <c r="R50" s="16" t="n">
        <v>522.22</v>
      </c>
      <c r="S50" s="16" t="n">
        <v>522.22</v>
      </c>
      <c r="T50" s="16" t="n">
        <v>522.22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CANON-202601-003109</t>
        </is>
      </c>
      <c r="B51" s="3" t="inlineStr">
        <is>
          <t>2026-01-02</t>
        </is>
      </c>
      <c r="C51" s="3" t="inlineStr">
        <is>
          <t>Everett Montoya</t>
        </is>
      </c>
      <c r="D51" s="3" t="inlineStr">
        <is>
          <t>IN</t>
        </is>
      </c>
      <c r="E51" s="14" t="n">
        <v>565000</v>
      </c>
      <c r="F51" s="14" t="n">
        <v>7646.81</v>
      </c>
      <c r="G51" s="14" t="n">
        <v>955.85</v>
      </c>
      <c r="H51" s="14" t="n">
        <v>955.85</v>
      </c>
      <c r="I51" s="14">
        <f>SUM(K51:T51)</f>
        <v/>
      </c>
      <c r="J51" s="14">
        <f>F51-(G51+H51+I51)</f>
        <v/>
      </c>
      <c r="K51" s="14" t="n">
        <v>573.51</v>
      </c>
      <c r="L51" s="14" t="n">
        <v>573.51</v>
      </c>
      <c r="M51" s="14" t="n">
        <v>573.51</v>
      </c>
      <c r="N51" s="14" t="n">
        <v>573.51</v>
      </c>
      <c r="O51" s="14" t="n">
        <v>573.51</v>
      </c>
      <c r="P51" s="14" t="n">
        <v>573.51</v>
      </c>
      <c r="Q51" s="14" t="n">
        <v>573.51</v>
      </c>
      <c r="R51" s="14" t="n">
        <v>573.51</v>
      </c>
      <c r="S51" s="14" t="n">
        <v>573.51</v>
      </c>
      <c r="T51" s="14" t="n">
        <v>573.51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CANON-202601-003110</t>
        </is>
      </c>
      <c r="B52" s="15" t="inlineStr">
        <is>
          <t>2026-01-12</t>
        </is>
      </c>
      <c r="C52" s="15" t="inlineStr">
        <is>
          <t>Sunniva Vasquez</t>
        </is>
      </c>
      <c r="D52" s="15" t="inlineStr">
        <is>
          <t>MO</t>
        </is>
      </c>
      <c r="E52" s="16" t="n">
        <v>425000</v>
      </c>
      <c r="F52" s="16" t="n">
        <v>5719.65</v>
      </c>
      <c r="G52" s="16" t="n">
        <v>714.96</v>
      </c>
      <c r="H52" s="16" t="n">
        <v>714.96</v>
      </c>
      <c r="I52" s="16">
        <f>SUM(K52:T52)</f>
        <v/>
      </c>
      <c r="J52" s="16">
        <f>F52-(G52+H52+I52)</f>
        <v/>
      </c>
      <c r="K52" s="16" t="n">
        <v>428.97</v>
      </c>
      <c r="L52" s="16" t="n">
        <v>428.97</v>
      </c>
      <c r="M52" s="16" t="n">
        <v>428.97</v>
      </c>
      <c r="N52" s="16" t="n">
        <v>428.97</v>
      </c>
      <c r="O52" s="16" t="n">
        <v>428.97</v>
      </c>
      <c r="P52" s="16" t="n">
        <v>428.97</v>
      </c>
      <c r="Q52" s="16" t="n">
        <v>428.97</v>
      </c>
      <c r="R52" s="16" t="n">
        <v>428.97</v>
      </c>
      <c r="S52" s="16" t="n">
        <v>428.97</v>
      </c>
      <c r="T52" s="16" t="n">
        <v>428.97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CANON-202601-003111</t>
        </is>
      </c>
      <c r="B53" s="3" t="inlineStr">
        <is>
          <t>2026-01-01</t>
        </is>
      </c>
      <c r="C53" s="3" t="inlineStr">
        <is>
          <t>Cassius Nakashima</t>
        </is>
      </c>
      <c r="D53" s="3" t="inlineStr">
        <is>
          <t>AZ</t>
        </is>
      </c>
      <c r="E53" s="14" t="n">
        <v>560000</v>
      </c>
      <c r="F53" s="14" t="n">
        <v>6223.52</v>
      </c>
      <c r="G53" s="14" t="n">
        <v>777.9400000000001</v>
      </c>
      <c r="H53" s="14" t="n">
        <v>777.9400000000001</v>
      </c>
      <c r="I53" s="14">
        <f>SUM(K53:T53)</f>
        <v/>
      </c>
      <c r="J53" s="14">
        <f>F53-(G53+H53+I53)</f>
        <v/>
      </c>
      <c r="K53" s="14" t="n">
        <v>466.76</v>
      </c>
      <c r="L53" s="14" t="n">
        <v>466.76</v>
      </c>
      <c r="M53" s="14" t="n">
        <v>466.76</v>
      </c>
      <c r="N53" s="14" t="n">
        <v>466.76</v>
      </c>
      <c r="O53" s="14" t="n">
        <v>466.76</v>
      </c>
      <c r="P53" s="14" t="n">
        <v>466.76</v>
      </c>
      <c r="Q53" s="14" t="n">
        <v>466.76</v>
      </c>
      <c r="R53" s="14" t="n">
        <v>466.76</v>
      </c>
      <c r="S53" s="14" t="n">
        <v>466.76</v>
      </c>
      <c r="T53" s="14" t="n">
        <v>466.76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CANON-202601-003113</t>
        </is>
      </c>
      <c r="B54" s="15" t="inlineStr">
        <is>
          <t>2026-01-20</t>
        </is>
      </c>
      <c r="C54" s="15" t="inlineStr">
        <is>
          <t>Beatrix Thistlewood</t>
        </is>
      </c>
      <c r="D54" s="15" t="inlineStr">
        <is>
          <t>AZ</t>
        </is>
      </c>
      <c r="E54" s="16" t="n">
        <v>450000</v>
      </c>
      <c r="F54" s="16" t="n">
        <v>5770.43</v>
      </c>
      <c r="G54" s="16" t="n">
        <v>721.3</v>
      </c>
      <c r="H54" s="16" t="n">
        <v>721.3</v>
      </c>
      <c r="I54" s="16">
        <f>SUM(K54:T54)</f>
        <v/>
      </c>
      <c r="J54" s="16">
        <f>F54-(G54+H54+I54)</f>
        <v/>
      </c>
      <c r="K54" s="16" t="n">
        <v>432.78</v>
      </c>
      <c r="L54" s="16" t="n">
        <v>432.78</v>
      </c>
      <c r="M54" s="16" t="n">
        <v>432.78</v>
      </c>
      <c r="N54" s="16" t="n">
        <v>432.78</v>
      </c>
      <c r="O54" s="16" t="n">
        <v>432.78</v>
      </c>
      <c r="P54" s="16" t="n">
        <v>432.78</v>
      </c>
      <c r="Q54" s="16" t="n">
        <v>432.78</v>
      </c>
      <c r="R54" s="16" t="n">
        <v>432.78</v>
      </c>
      <c r="S54" s="16" t="n">
        <v>432.78</v>
      </c>
      <c r="T54" s="16" t="n">
        <v>432.78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CANON-202601-003114</t>
        </is>
      </c>
      <c r="B55" s="3" t="inlineStr">
        <is>
          <t>2026-01-24</t>
        </is>
      </c>
      <c r="C55" s="3" t="inlineStr">
        <is>
          <t>Anouk Larsson</t>
        </is>
      </c>
      <c r="D55" s="3" t="inlineStr">
        <is>
          <t>IA</t>
        </is>
      </c>
      <c r="E55" s="14" t="n">
        <v>530000</v>
      </c>
      <c r="F55" s="14" t="n">
        <v>9375.74</v>
      </c>
      <c r="G55" s="14" t="n">
        <v>1171.97</v>
      </c>
      <c r="H55" s="14" t="n">
        <v>1171.97</v>
      </c>
      <c r="I55" s="14">
        <f>SUM(K55:T55)</f>
        <v/>
      </c>
      <c r="J55" s="14">
        <f>F55-(G55+H55+I55)</f>
        <v/>
      </c>
      <c r="K55" s="14" t="n">
        <v>703.1799999999999</v>
      </c>
      <c r="L55" s="14" t="n">
        <v>703.1799999999999</v>
      </c>
      <c r="M55" s="14" t="n">
        <v>703.1799999999999</v>
      </c>
      <c r="N55" s="14" t="n">
        <v>703.1799999999999</v>
      </c>
      <c r="O55" s="14" t="n">
        <v>703.1799999999999</v>
      </c>
      <c r="P55" s="14" t="n">
        <v>703.1799999999999</v>
      </c>
      <c r="Q55" s="14" t="n">
        <v>703.1799999999999</v>
      </c>
      <c r="R55" s="14" t="n">
        <v>703.1799999999999</v>
      </c>
      <c r="S55" s="14" t="n">
        <v>703.1799999999999</v>
      </c>
      <c r="T55" s="14" t="n">
        <v>703.1799999999999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CANON-202601-003115</t>
        </is>
      </c>
      <c r="B56" s="15" t="inlineStr">
        <is>
          <t>2026-01-18</t>
        </is>
      </c>
      <c r="C56" s="15" t="inlineStr">
        <is>
          <t>Leopold Ashcombe</t>
        </is>
      </c>
      <c r="D56" s="15" t="inlineStr">
        <is>
          <t>NJ</t>
        </is>
      </c>
      <c r="E56" s="16" t="n">
        <v>815000</v>
      </c>
      <c r="F56" s="16" t="n">
        <v>5398.6</v>
      </c>
      <c r="G56" s="16" t="n">
        <v>674.83</v>
      </c>
      <c r="H56" s="16" t="n">
        <v>674.83</v>
      </c>
      <c r="I56" s="16">
        <f>SUM(K56:T56)</f>
        <v/>
      </c>
      <c r="J56" s="16">
        <f>F56-(G56+H56+I56)</f>
        <v/>
      </c>
      <c r="K56" s="16" t="n">
        <v>404.9</v>
      </c>
      <c r="L56" s="16" t="n">
        <v>404.9</v>
      </c>
      <c r="M56" s="16" t="n">
        <v>404.9</v>
      </c>
      <c r="N56" s="16" t="n">
        <v>404.9</v>
      </c>
      <c r="O56" s="16" t="n">
        <v>404.9</v>
      </c>
      <c r="P56" s="16" t="n">
        <v>404.9</v>
      </c>
      <c r="Q56" s="16" t="n">
        <v>404.9</v>
      </c>
      <c r="R56" s="16" t="n">
        <v>404.9</v>
      </c>
      <c r="S56" s="16" t="n">
        <v>404.9</v>
      </c>
      <c r="T56" s="16" t="n">
        <v>404.9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CANON-202601-003116</t>
        </is>
      </c>
      <c r="B57" s="3" t="inlineStr">
        <is>
          <t>2026-01-31</t>
        </is>
      </c>
      <c r="C57" s="3" t="inlineStr">
        <is>
          <t>Mireille Ashcombe</t>
        </is>
      </c>
      <c r="D57" s="3" t="inlineStr">
        <is>
          <t>AK</t>
        </is>
      </c>
      <c r="E57" s="14" t="n">
        <v>630000</v>
      </c>
      <c r="F57" s="14" t="n">
        <v>7902.64</v>
      </c>
      <c r="G57" s="14" t="n">
        <v>987.83</v>
      </c>
      <c r="H57" s="14" t="n">
        <v>987.83</v>
      </c>
      <c r="I57" s="14">
        <f>SUM(K57:T57)</f>
        <v/>
      </c>
      <c r="J57" s="14">
        <f>F57-(G57+H57+I57)</f>
        <v/>
      </c>
      <c r="K57" s="14" t="n">
        <v>592.7</v>
      </c>
      <c r="L57" s="14" t="n">
        <v>592.7</v>
      </c>
      <c r="M57" s="14" t="n">
        <v>592.7</v>
      </c>
      <c r="N57" s="14" t="n">
        <v>592.7</v>
      </c>
      <c r="O57" s="14" t="n">
        <v>592.7</v>
      </c>
      <c r="P57" s="14" t="n">
        <v>592.7</v>
      </c>
      <c r="Q57" s="14" t="n">
        <v>592.7</v>
      </c>
      <c r="R57" s="14" t="n">
        <v>592.7</v>
      </c>
      <c r="S57" s="14" t="n">
        <v>592.7</v>
      </c>
      <c r="T57" s="14" t="n">
        <v>592.7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CANON-202601-003117</t>
        </is>
      </c>
      <c r="B58" s="15" t="inlineStr">
        <is>
          <t>2026-01-12</t>
        </is>
      </c>
      <c r="C58" s="15" t="inlineStr">
        <is>
          <t>Saoirse Vandermeer</t>
        </is>
      </c>
      <c r="D58" s="15" t="inlineStr">
        <is>
          <t>CA</t>
        </is>
      </c>
      <c r="E58" s="16" t="n">
        <v>1435000</v>
      </c>
      <c r="F58" s="16" t="n">
        <v>26235.48</v>
      </c>
      <c r="G58" s="16" t="n">
        <v>3279.43</v>
      </c>
      <c r="H58" s="16" t="n">
        <v>3279.43</v>
      </c>
      <c r="I58" s="16">
        <f>SUM(K58:T58)</f>
        <v/>
      </c>
      <c r="J58" s="16">
        <f>F58-(G58+H58+I58)</f>
        <v/>
      </c>
      <c r="K58" s="16" t="n">
        <v>1967.66</v>
      </c>
      <c r="L58" s="16" t="n">
        <v>1967.66</v>
      </c>
      <c r="M58" s="16" t="n">
        <v>1967.66</v>
      </c>
      <c r="N58" s="16" t="n">
        <v>1967.66</v>
      </c>
      <c r="O58" s="16" t="n">
        <v>1967.66</v>
      </c>
      <c r="P58" s="16" t="n">
        <v>1967.66</v>
      </c>
      <c r="Q58" s="16" t="n">
        <v>1967.66</v>
      </c>
      <c r="R58" s="16" t="n">
        <v>1967.66</v>
      </c>
      <c r="S58" s="16" t="n">
        <v>1967.66</v>
      </c>
      <c r="T58" s="16" t="n">
        <v>1967.66</v>
      </c>
      <c r="U58" s="16" t="n">
        <v>350</v>
      </c>
      <c r="V58" s="16" t="n">
        <v>250</v>
      </c>
      <c r="W58" s="16">
        <f>U58+V58</f>
        <v/>
      </c>
    </row>
    <row r="59">
      <c r="A59" s="3" t="inlineStr">
        <is>
          <t>CANON-202601-003120</t>
        </is>
      </c>
      <c r="B59" s="3" t="inlineStr">
        <is>
          <t>2026-01-04</t>
        </is>
      </c>
      <c r="C59" s="3" t="inlineStr">
        <is>
          <t>Desmond Larsson</t>
        </is>
      </c>
      <c r="D59" s="3" t="inlineStr">
        <is>
          <t>AZ</t>
        </is>
      </c>
      <c r="E59" s="14" t="n">
        <v>825000</v>
      </c>
      <c r="F59" s="14" t="n">
        <v>9168.58</v>
      </c>
      <c r="G59" s="14" t="n">
        <v>1146.07</v>
      </c>
      <c r="H59" s="14" t="n">
        <v>1146.07</v>
      </c>
      <c r="I59" s="14">
        <f>SUM(K59:T59)</f>
        <v/>
      </c>
      <c r="J59" s="14">
        <f>F59-(G59+H59+I59)</f>
        <v/>
      </c>
      <c r="K59" s="14" t="n">
        <v>687.64</v>
      </c>
      <c r="L59" s="14" t="n">
        <v>687.64</v>
      </c>
      <c r="M59" s="14" t="n">
        <v>687.64</v>
      </c>
      <c r="N59" s="14" t="n">
        <v>687.64</v>
      </c>
      <c r="O59" s="14" t="n">
        <v>687.64</v>
      </c>
      <c r="P59" s="14" t="n">
        <v>687.64</v>
      </c>
      <c r="Q59" s="14" t="n">
        <v>687.64</v>
      </c>
      <c r="R59" s="14" t="n">
        <v>687.64</v>
      </c>
      <c r="S59" s="14" t="n">
        <v>687.64</v>
      </c>
      <c r="T59" s="14" t="n">
        <v>687.64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CANON-202601-003121</t>
        </is>
      </c>
      <c r="B60" s="15" t="inlineStr">
        <is>
          <t>2026-01-05</t>
        </is>
      </c>
      <c r="C60" s="15" t="inlineStr">
        <is>
          <t>Delphine Okonkwo</t>
        </is>
      </c>
      <c r="D60" s="15" t="inlineStr">
        <is>
          <t>OK</t>
        </is>
      </c>
      <c r="E60" s="16" t="n">
        <v>1325000</v>
      </c>
      <c r="F60" s="16" t="n">
        <v>15543.99</v>
      </c>
      <c r="G60" s="16" t="n">
        <v>1943</v>
      </c>
      <c r="H60" s="16" t="n">
        <v>1943</v>
      </c>
      <c r="I60" s="16">
        <f>SUM(K60:T60)</f>
        <v/>
      </c>
      <c r="J60" s="16">
        <f>F60-(G60+H60+I60)</f>
        <v/>
      </c>
      <c r="K60" s="16" t="n">
        <v>1165.8</v>
      </c>
      <c r="L60" s="16" t="n">
        <v>1165.8</v>
      </c>
      <c r="M60" s="16" t="n">
        <v>1165.8</v>
      </c>
      <c r="N60" s="16" t="n">
        <v>1165.8</v>
      </c>
      <c r="O60" s="16" t="n">
        <v>1165.8</v>
      </c>
      <c r="P60" s="16" t="n">
        <v>1165.8</v>
      </c>
      <c r="Q60" s="16" t="n">
        <v>1165.8</v>
      </c>
      <c r="R60" s="16" t="n">
        <v>1165.8</v>
      </c>
      <c r="S60" s="16" t="n">
        <v>1165.8</v>
      </c>
      <c r="T60" s="16" t="n">
        <v>1165.8</v>
      </c>
      <c r="U60" s="16" t="n">
        <v>350</v>
      </c>
      <c r="V60" s="16" t="n">
        <v>250</v>
      </c>
      <c r="W60" s="16">
        <f>U60+V60</f>
        <v/>
      </c>
    </row>
    <row r="61">
      <c r="A61" s="3" t="inlineStr">
        <is>
          <t>CANON-202601-003122</t>
        </is>
      </c>
      <c r="B61" s="3" t="inlineStr">
        <is>
          <t>2026-01-26</t>
        </is>
      </c>
      <c r="C61" s="3" t="inlineStr">
        <is>
          <t>Ramona Fairweather</t>
        </is>
      </c>
      <c r="D61" s="3" t="inlineStr">
        <is>
          <t>PA</t>
        </is>
      </c>
      <c r="E61" s="14" t="n">
        <v>320000</v>
      </c>
      <c r="F61" s="14" t="n">
        <v>4062.79</v>
      </c>
      <c r="G61" s="14" t="n">
        <v>507.85</v>
      </c>
      <c r="H61" s="14" t="n">
        <v>507.85</v>
      </c>
      <c r="I61" s="14">
        <f>SUM(K61:T61)</f>
        <v/>
      </c>
      <c r="J61" s="14">
        <f>F61-(G61+H61+I61)</f>
        <v/>
      </c>
      <c r="K61" s="14" t="n">
        <v>304.71</v>
      </c>
      <c r="L61" s="14" t="n">
        <v>304.71</v>
      </c>
      <c r="M61" s="14" t="n">
        <v>304.71</v>
      </c>
      <c r="N61" s="14" t="n">
        <v>304.71</v>
      </c>
      <c r="O61" s="14" t="n">
        <v>304.71</v>
      </c>
      <c r="P61" s="14" t="n">
        <v>304.71</v>
      </c>
      <c r="Q61" s="14" t="n">
        <v>304.71</v>
      </c>
      <c r="R61" s="14" t="n">
        <v>304.71</v>
      </c>
      <c r="S61" s="14" t="n">
        <v>304.71</v>
      </c>
      <c r="T61" s="14" t="n">
        <v>304.71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CANON-202601-003125</t>
        </is>
      </c>
      <c r="B62" s="15" t="inlineStr">
        <is>
          <t>2026-01-07</t>
        </is>
      </c>
      <c r="C62" s="15" t="inlineStr">
        <is>
          <t>Noor Thistlewood</t>
        </is>
      </c>
      <c r="D62" s="15" t="inlineStr">
        <is>
          <t>IA</t>
        </is>
      </c>
      <c r="E62" s="16" t="n">
        <v>390000</v>
      </c>
      <c r="F62" s="16" t="n">
        <v>5446.68</v>
      </c>
      <c r="G62" s="16" t="n">
        <v>680.84</v>
      </c>
      <c r="H62" s="16" t="n">
        <v>680.84</v>
      </c>
      <c r="I62" s="16">
        <f>SUM(K62:T62)</f>
        <v/>
      </c>
      <c r="J62" s="16">
        <f>F62-(G62+H62+I62)</f>
        <v/>
      </c>
      <c r="K62" s="16" t="n">
        <v>408.5</v>
      </c>
      <c r="L62" s="16" t="n">
        <v>408.5</v>
      </c>
      <c r="M62" s="16" t="n">
        <v>408.5</v>
      </c>
      <c r="N62" s="16" t="n">
        <v>408.5</v>
      </c>
      <c r="O62" s="16" t="n">
        <v>408.5</v>
      </c>
      <c r="P62" s="16" t="n">
        <v>408.5</v>
      </c>
      <c r="Q62" s="16" t="n">
        <v>408.5</v>
      </c>
      <c r="R62" s="16" t="n">
        <v>408.5</v>
      </c>
      <c r="S62" s="16" t="n">
        <v>408.5</v>
      </c>
      <c r="T62" s="16" t="n">
        <v>408.5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CANON-202601-003126</t>
        </is>
      </c>
      <c r="B63" s="3" t="inlineStr">
        <is>
          <t>2026-01-23</t>
        </is>
      </c>
      <c r="C63" s="3" t="inlineStr">
        <is>
          <t>Anouk Underwood</t>
        </is>
      </c>
      <c r="D63" s="3" t="inlineStr">
        <is>
          <t>MI</t>
        </is>
      </c>
      <c r="E63" s="14" t="n">
        <v>665000</v>
      </c>
      <c r="F63" s="14" t="n">
        <v>11341.75</v>
      </c>
      <c r="G63" s="14" t="n">
        <v>1417.72</v>
      </c>
      <c r="H63" s="14" t="n">
        <v>1417.72</v>
      </c>
      <c r="I63" s="14">
        <f>SUM(K63:T63)</f>
        <v/>
      </c>
      <c r="J63" s="14">
        <f>F63-(G63+H63+I63)</f>
        <v/>
      </c>
      <c r="K63" s="14" t="n">
        <v>850.63</v>
      </c>
      <c r="L63" s="14" t="n">
        <v>850.63</v>
      </c>
      <c r="M63" s="14" t="n">
        <v>850.63</v>
      </c>
      <c r="N63" s="14" t="n">
        <v>850.63</v>
      </c>
      <c r="O63" s="14" t="n">
        <v>850.63</v>
      </c>
      <c r="P63" s="14" t="n">
        <v>850.63</v>
      </c>
      <c r="Q63" s="14" t="n">
        <v>850.63</v>
      </c>
      <c r="R63" s="14" t="n">
        <v>850.63</v>
      </c>
      <c r="S63" s="14" t="n">
        <v>850.63</v>
      </c>
      <c r="T63" s="14" t="n">
        <v>850.63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CANON-202601-003127</t>
        </is>
      </c>
      <c r="B64" s="15" t="inlineStr">
        <is>
          <t>2026-01-23</t>
        </is>
      </c>
      <c r="C64" s="15" t="inlineStr">
        <is>
          <t>Fitzgerald Fairweather</t>
        </is>
      </c>
      <c r="D64" s="15" t="inlineStr">
        <is>
          <t>FL</t>
        </is>
      </c>
      <c r="E64" s="16" t="n">
        <v>195000</v>
      </c>
      <c r="F64" s="16" t="n">
        <v>4312.45</v>
      </c>
      <c r="G64" s="16" t="n">
        <v>539.0599999999999</v>
      </c>
      <c r="H64" s="16" t="n">
        <v>539.0599999999999</v>
      </c>
      <c r="I64" s="16">
        <f>SUM(K64:T64)</f>
        <v/>
      </c>
      <c r="J64" s="16">
        <f>F64-(G64+H64+I64)</f>
        <v/>
      </c>
      <c r="K64" s="16" t="n">
        <v>323.43</v>
      </c>
      <c r="L64" s="16" t="n">
        <v>323.43</v>
      </c>
      <c r="M64" s="16" t="n">
        <v>323.43</v>
      </c>
      <c r="N64" s="16" t="n">
        <v>323.43</v>
      </c>
      <c r="O64" s="16" t="n">
        <v>323.43</v>
      </c>
      <c r="P64" s="16" t="n">
        <v>323.43</v>
      </c>
      <c r="Q64" s="16" t="n">
        <v>323.43</v>
      </c>
      <c r="R64" s="16" t="n">
        <v>323.43</v>
      </c>
      <c r="S64" s="16" t="n">
        <v>323.43</v>
      </c>
      <c r="T64" s="16" t="n">
        <v>323.43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CANON-202601-003128</t>
        </is>
      </c>
      <c r="B65" s="3" t="inlineStr">
        <is>
          <t>2026-01-06</t>
        </is>
      </c>
      <c r="C65" s="3" t="inlineStr">
        <is>
          <t>Noor Merriweather</t>
        </is>
      </c>
      <c r="D65" s="3" t="inlineStr">
        <is>
          <t>DE</t>
        </is>
      </c>
      <c r="E65" s="14" t="n">
        <v>1575000</v>
      </c>
      <c r="F65" s="14" t="n">
        <v>26662.07</v>
      </c>
      <c r="G65" s="14" t="n">
        <v>3332.76</v>
      </c>
      <c r="H65" s="14" t="n">
        <v>3332.76</v>
      </c>
      <c r="I65" s="14">
        <f>SUM(K65:T65)</f>
        <v/>
      </c>
      <c r="J65" s="14">
        <f>F65-(G65+H65+I65)</f>
        <v/>
      </c>
      <c r="K65" s="14" t="n">
        <v>1999.66</v>
      </c>
      <c r="L65" s="14" t="n">
        <v>1999.66</v>
      </c>
      <c r="M65" s="14" t="n">
        <v>1999.66</v>
      </c>
      <c r="N65" s="14" t="n">
        <v>1999.66</v>
      </c>
      <c r="O65" s="14" t="n">
        <v>1999.66</v>
      </c>
      <c r="P65" s="14" t="n">
        <v>1999.66</v>
      </c>
      <c r="Q65" s="14" t="n">
        <v>1999.66</v>
      </c>
      <c r="R65" s="14" t="n">
        <v>1999.66</v>
      </c>
      <c r="S65" s="14" t="n">
        <v>1999.66</v>
      </c>
      <c r="T65" s="14" t="n">
        <v>1999.66</v>
      </c>
      <c r="U65" s="14" t="n">
        <v>350</v>
      </c>
      <c r="V65" s="14" t="n">
        <v>250</v>
      </c>
      <c r="W65" s="14">
        <f>U65+V65</f>
        <v/>
      </c>
    </row>
    <row r="66">
      <c r="A66" s="15" t="inlineStr">
        <is>
          <t>CANON-202601-003129</t>
        </is>
      </c>
      <c r="B66" s="15" t="inlineStr">
        <is>
          <t>2026-01-07</t>
        </is>
      </c>
      <c r="C66" s="15" t="inlineStr">
        <is>
          <t>Beatrix Delacroix</t>
        </is>
      </c>
      <c r="D66" s="15" t="inlineStr">
        <is>
          <t>CA</t>
        </is>
      </c>
      <c r="E66" s="16" t="n">
        <v>790000</v>
      </c>
      <c r="F66" s="16" t="n">
        <v>14082.15</v>
      </c>
      <c r="G66" s="16" t="n">
        <v>1760.27</v>
      </c>
      <c r="H66" s="16" t="n">
        <v>1760.27</v>
      </c>
      <c r="I66" s="16">
        <f>SUM(K66:T66)</f>
        <v/>
      </c>
      <c r="J66" s="16">
        <f>F66-(G66+H66+I66)</f>
        <v/>
      </c>
      <c r="K66" s="16" t="n">
        <v>1056.16</v>
      </c>
      <c r="L66" s="16" t="n">
        <v>1056.16</v>
      </c>
      <c r="M66" s="16" t="n">
        <v>1056.16</v>
      </c>
      <c r="N66" s="16" t="n">
        <v>1056.16</v>
      </c>
      <c r="O66" s="16" t="n">
        <v>1056.16</v>
      </c>
      <c r="P66" s="16" t="n">
        <v>1056.16</v>
      </c>
      <c r="Q66" s="16" t="n">
        <v>1056.16</v>
      </c>
      <c r="R66" s="16" t="n">
        <v>1056.16</v>
      </c>
      <c r="S66" s="16" t="n">
        <v>1056.16</v>
      </c>
      <c r="T66" s="16" t="n">
        <v>1056.16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CANON-202601-003130</t>
        </is>
      </c>
      <c r="B67" s="3" t="inlineStr">
        <is>
          <t>2026-01-23</t>
        </is>
      </c>
      <c r="C67" s="3" t="inlineStr">
        <is>
          <t>Horace Nakashima</t>
        </is>
      </c>
      <c r="D67" s="3" t="inlineStr">
        <is>
          <t>AK</t>
        </is>
      </c>
      <c r="E67" s="14" t="n">
        <v>1125000</v>
      </c>
      <c r="F67" s="14" t="n">
        <v>11940.8</v>
      </c>
      <c r="G67" s="14" t="n">
        <v>1492.6</v>
      </c>
      <c r="H67" s="14" t="n">
        <v>1492.6</v>
      </c>
      <c r="I67" s="14">
        <f>SUM(K67:T67)</f>
        <v/>
      </c>
      <c r="J67" s="14">
        <f>F67-(G67+H67+I67)</f>
        <v/>
      </c>
      <c r="K67" s="14" t="n">
        <v>895.5599999999999</v>
      </c>
      <c r="L67" s="14" t="n">
        <v>895.5599999999999</v>
      </c>
      <c r="M67" s="14" t="n">
        <v>895.5599999999999</v>
      </c>
      <c r="N67" s="14" t="n">
        <v>895.5599999999999</v>
      </c>
      <c r="O67" s="14" t="n">
        <v>895.5599999999999</v>
      </c>
      <c r="P67" s="14" t="n">
        <v>895.5599999999999</v>
      </c>
      <c r="Q67" s="14" t="n">
        <v>895.5599999999999</v>
      </c>
      <c r="R67" s="14" t="n">
        <v>895.5599999999999</v>
      </c>
      <c r="S67" s="14" t="n">
        <v>895.5599999999999</v>
      </c>
      <c r="T67" s="14" t="n">
        <v>895.5599999999999</v>
      </c>
      <c r="U67" s="14" t="n">
        <v>350</v>
      </c>
      <c r="V67" s="14" t="n">
        <v>250</v>
      </c>
      <c r="W67" s="14">
        <f>U67+V67</f>
        <v/>
      </c>
    </row>
    <row r="68">
      <c r="A68" s="15" t="inlineStr">
        <is>
          <t>CANON-202601-003131</t>
        </is>
      </c>
      <c r="B68" s="15" t="inlineStr">
        <is>
          <t>2026-01-10</t>
        </is>
      </c>
      <c r="C68" s="15" t="inlineStr">
        <is>
          <t>Beatrix Kingsford</t>
        </is>
      </c>
      <c r="D68" s="15" t="inlineStr">
        <is>
          <t>KS</t>
        </is>
      </c>
      <c r="E68" s="16" t="n">
        <v>1950000</v>
      </c>
      <c r="F68" s="16" t="n">
        <v>12167.56</v>
      </c>
      <c r="G68" s="16" t="n">
        <v>1520.94</v>
      </c>
      <c r="H68" s="16" t="n">
        <v>1520.94</v>
      </c>
      <c r="I68" s="16">
        <f>SUM(K68:T68)</f>
        <v/>
      </c>
      <c r="J68" s="16">
        <f>F68-(G68+H68+I68)</f>
        <v/>
      </c>
      <c r="K68" s="16" t="n">
        <v>912.5700000000001</v>
      </c>
      <c r="L68" s="16" t="n">
        <v>912.5700000000001</v>
      </c>
      <c r="M68" s="16" t="n">
        <v>912.5700000000001</v>
      </c>
      <c r="N68" s="16" t="n">
        <v>912.5700000000001</v>
      </c>
      <c r="O68" s="16" t="n">
        <v>912.5700000000001</v>
      </c>
      <c r="P68" s="16" t="n">
        <v>912.5700000000001</v>
      </c>
      <c r="Q68" s="16" t="n">
        <v>912.5700000000001</v>
      </c>
      <c r="R68" s="16" t="n">
        <v>912.5700000000001</v>
      </c>
      <c r="S68" s="16" t="n">
        <v>912.5700000000001</v>
      </c>
      <c r="T68" s="16" t="n">
        <v>912.5700000000001</v>
      </c>
      <c r="U68" s="16" t="n">
        <v>350</v>
      </c>
      <c r="V68" s="16" t="n">
        <v>250</v>
      </c>
      <c r="W68" s="16">
        <f>U68+V68</f>
        <v/>
      </c>
    </row>
    <row r="69">
      <c r="A69" s="3" t="inlineStr">
        <is>
          <t>CANON-202601-003132</t>
        </is>
      </c>
      <c r="B69" s="3" t="inlineStr">
        <is>
          <t>2026-01-16</t>
        </is>
      </c>
      <c r="C69" s="3" t="inlineStr">
        <is>
          <t>Aurelio Montoya</t>
        </is>
      </c>
      <c r="D69" s="3" t="inlineStr">
        <is>
          <t>WI</t>
        </is>
      </c>
      <c r="E69" s="14" t="n">
        <v>910000</v>
      </c>
      <c r="F69" s="14" t="n">
        <v>17561.42</v>
      </c>
      <c r="G69" s="14" t="n">
        <v>2195.18</v>
      </c>
      <c r="H69" s="14" t="n">
        <v>2195.18</v>
      </c>
      <c r="I69" s="14">
        <f>SUM(K69:T69)</f>
        <v/>
      </c>
      <c r="J69" s="14">
        <f>F69-(G69+H69+I69)</f>
        <v/>
      </c>
      <c r="K69" s="14" t="n">
        <v>1317.11</v>
      </c>
      <c r="L69" s="14" t="n">
        <v>1317.11</v>
      </c>
      <c r="M69" s="14" t="n">
        <v>1317.11</v>
      </c>
      <c r="N69" s="14" t="n">
        <v>1317.11</v>
      </c>
      <c r="O69" s="14" t="n">
        <v>1317.11</v>
      </c>
      <c r="P69" s="14" t="n">
        <v>1317.11</v>
      </c>
      <c r="Q69" s="14" t="n">
        <v>1317.11</v>
      </c>
      <c r="R69" s="14" t="n">
        <v>1317.11</v>
      </c>
      <c r="S69" s="14" t="n">
        <v>1317.11</v>
      </c>
      <c r="T69" s="14" t="n">
        <v>1317.11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CANON-202601-003133</t>
        </is>
      </c>
      <c r="B70" s="15" t="inlineStr">
        <is>
          <t>2026-01-16</t>
        </is>
      </c>
      <c r="C70" s="15" t="inlineStr">
        <is>
          <t>Aurelio Larsson</t>
        </is>
      </c>
      <c r="D70" s="15" t="inlineStr">
        <is>
          <t>MD</t>
        </is>
      </c>
      <c r="E70" s="16" t="n">
        <v>480000</v>
      </c>
      <c r="F70" s="16" t="n">
        <v>8877.200000000001</v>
      </c>
      <c r="G70" s="16" t="n">
        <v>1109.65</v>
      </c>
      <c r="H70" s="16" t="n">
        <v>1109.65</v>
      </c>
      <c r="I70" s="16">
        <f>SUM(K70:T70)</f>
        <v/>
      </c>
      <c r="J70" s="16">
        <f>F70-(G70+H70+I70)</f>
        <v/>
      </c>
      <c r="K70" s="16" t="n">
        <v>665.79</v>
      </c>
      <c r="L70" s="16" t="n">
        <v>665.79</v>
      </c>
      <c r="M70" s="16" t="n">
        <v>665.79</v>
      </c>
      <c r="N70" s="16" t="n">
        <v>665.79</v>
      </c>
      <c r="O70" s="16" t="n">
        <v>665.79</v>
      </c>
      <c r="P70" s="16" t="n">
        <v>665.79</v>
      </c>
      <c r="Q70" s="16" t="n">
        <v>665.79</v>
      </c>
      <c r="R70" s="16" t="n">
        <v>665.79</v>
      </c>
      <c r="S70" s="16" t="n">
        <v>665.79</v>
      </c>
      <c r="T70" s="16" t="n">
        <v>665.79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CANON-202601-003134</t>
        </is>
      </c>
      <c r="B71" s="3" t="inlineStr">
        <is>
          <t>2026-01-28</t>
        </is>
      </c>
      <c r="C71" s="3" t="inlineStr">
        <is>
          <t>Delphine Rourke</t>
        </is>
      </c>
      <c r="D71" s="3" t="inlineStr">
        <is>
          <t>AL</t>
        </is>
      </c>
      <c r="E71" s="14" t="n">
        <v>1235000</v>
      </c>
      <c r="F71" s="14" t="n">
        <v>21240.96</v>
      </c>
      <c r="G71" s="14" t="n">
        <v>2655.12</v>
      </c>
      <c r="H71" s="14" t="n">
        <v>2655.12</v>
      </c>
      <c r="I71" s="14">
        <f>SUM(K71:T71)</f>
        <v/>
      </c>
      <c r="J71" s="14">
        <f>F71-(G71+H71+I71)</f>
        <v/>
      </c>
      <c r="K71" s="14" t="n">
        <v>1593.07</v>
      </c>
      <c r="L71" s="14" t="n">
        <v>1593.07</v>
      </c>
      <c r="M71" s="14" t="n">
        <v>1593.07</v>
      </c>
      <c r="N71" s="14" t="n">
        <v>1593.07</v>
      </c>
      <c r="O71" s="14" t="n">
        <v>1593.07</v>
      </c>
      <c r="P71" s="14" t="n">
        <v>1593.07</v>
      </c>
      <c r="Q71" s="14" t="n">
        <v>1593.07</v>
      </c>
      <c r="R71" s="14" t="n">
        <v>1593.07</v>
      </c>
      <c r="S71" s="14" t="n">
        <v>1593.07</v>
      </c>
      <c r="T71" s="14" t="n">
        <v>1593.07</v>
      </c>
      <c r="U71" s="14" t="n">
        <v>350</v>
      </c>
      <c r="V71" s="14" t="n">
        <v>250</v>
      </c>
      <c r="W71" s="14">
        <f>U71+V71</f>
        <v/>
      </c>
    </row>
    <row r="72">
      <c r="A72" s="15" t="inlineStr">
        <is>
          <t>CANON-202601-003135</t>
        </is>
      </c>
      <c r="B72" s="15" t="inlineStr">
        <is>
          <t>2026-01-24</t>
        </is>
      </c>
      <c r="C72" s="15" t="inlineStr">
        <is>
          <t>Cassius Harrington</t>
        </is>
      </c>
      <c r="D72" s="15" t="inlineStr">
        <is>
          <t>SC</t>
        </is>
      </c>
      <c r="E72" s="16" t="n">
        <v>620000</v>
      </c>
      <c r="F72" s="16" t="n">
        <v>10151.3</v>
      </c>
      <c r="G72" s="16" t="n">
        <v>1268.91</v>
      </c>
      <c r="H72" s="16" t="n">
        <v>1268.91</v>
      </c>
      <c r="I72" s="16">
        <f>SUM(K72:T72)</f>
        <v/>
      </c>
      <c r="J72" s="16">
        <f>F72-(G72+H72+I72)</f>
        <v/>
      </c>
      <c r="K72" s="16" t="n">
        <v>761.35</v>
      </c>
      <c r="L72" s="16" t="n">
        <v>761.35</v>
      </c>
      <c r="M72" s="16" t="n">
        <v>761.35</v>
      </c>
      <c r="N72" s="16" t="n">
        <v>761.35</v>
      </c>
      <c r="O72" s="16" t="n">
        <v>761.35</v>
      </c>
      <c r="P72" s="16" t="n">
        <v>761.35</v>
      </c>
      <c r="Q72" s="16" t="n">
        <v>761.35</v>
      </c>
      <c r="R72" s="16" t="n">
        <v>761.35</v>
      </c>
      <c r="S72" s="16" t="n">
        <v>761.35</v>
      </c>
      <c r="T72" s="16" t="n">
        <v>761.35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CANON-202601-003137</t>
        </is>
      </c>
      <c r="B73" s="3" t="inlineStr">
        <is>
          <t>2026-01-06</t>
        </is>
      </c>
      <c r="C73" s="3" t="inlineStr">
        <is>
          <t>Delphine Chattopadhyay</t>
        </is>
      </c>
      <c r="D73" s="3" t="inlineStr">
        <is>
          <t>FL</t>
        </is>
      </c>
      <c r="E73" s="14" t="n">
        <v>1405000</v>
      </c>
      <c r="F73" s="14" t="n">
        <v>27018.93</v>
      </c>
      <c r="G73" s="14" t="n">
        <v>3377.37</v>
      </c>
      <c r="H73" s="14" t="n">
        <v>3377.37</v>
      </c>
      <c r="I73" s="14">
        <f>SUM(K73:T73)</f>
        <v/>
      </c>
      <c r="J73" s="14">
        <f>F73-(G73+H73+I73)</f>
        <v/>
      </c>
      <c r="K73" s="14" t="n">
        <v>2026.42</v>
      </c>
      <c r="L73" s="14" t="n">
        <v>2026.42</v>
      </c>
      <c r="M73" s="14" t="n">
        <v>2026.42</v>
      </c>
      <c r="N73" s="14" t="n">
        <v>2026.42</v>
      </c>
      <c r="O73" s="14" t="n">
        <v>2026.42</v>
      </c>
      <c r="P73" s="14" t="n">
        <v>2026.42</v>
      </c>
      <c r="Q73" s="14" t="n">
        <v>2026.42</v>
      </c>
      <c r="R73" s="14" t="n">
        <v>2026.42</v>
      </c>
      <c r="S73" s="14" t="n">
        <v>2026.42</v>
      </c>
      <c r="T73" s="14" t="n">
        <v>2026.42</v>
      </c>
      <c r="U73" s="14" t="n">
        <v>350</v>
      </c>
      <c r="V73" s="14" t="n">
        <v>250</v>
      </c>
      <c r="W73" s="14">
        <f>U73+V73</f>
        <v/>
      </c>
    </row>
    <row r="74">
      <c r="A74" s="15" t="inlineStr">
        <is>
          <t>CANON-202601-003138</t>
        </is>
      </c>
      <c r="B74" s="15" t="inlineStr">
        <is>
          <t>2026-01-01</t>
        </is>
      </c>
      <c r="C74" s="15" t="inlineStr">
        <is>
          <t>Desmond Whitlock</t>
        </is>
      </c>
      <c r="D74" s="15" t="inlineStr">
        <is>
          <t>TN</t>
        </is>
      </c>
      <c r="E74" s="16" t="n">
        <v>365000</v>
      </c>
      <c r="F74" s="16" t="n">
        <v>4541.44</v>
      </c>
      <c r="G74" s="16" t="n">
        <v>567.6799999999999</v>
      </c>
      <c r="H74" s="16" t="n">
        <v>567.6799999999999</v>
      </c>
      <c r="I74" s="16">
        <f>SUM(K74:T74)</f>
        <v/>
      </c>
      <c r="J74" s="16">
        <f>F74-(G74+H74+I74)</f>
        <v/>
      </c>
      <c r="K74" s="16" t="n">
        <v>340.61</v>
      </c>
      <c r="L74" s="16" t="n">
        <v>340.61</v>
      </c>
      <c r="M74" s="16" t="n">
        <v>340.61</v>
      </c>
      <c r="N74" s="16" t="n">
        <v>340.61</v>
      </c>
      <c r="O74" s="16" t="n">
        <v>340.61</v>
      </c>
      <c r="P74" s="16" t="n">
        <v>340.61</v>
      </c>
      <c r="Q74" s="16" t="n">
        <v>340.61</v>
      </c>
      <c r="R74" s="16" t="n">
        <v>340.61</v>
      </c>
      <c r="S74" s="16" t="n">
        <v>340.61</v>
      </c>
      <c r="T74" s="16" t="n">
        <v>340.61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CANON-202601-003139</t>
        </is>
      </c>
      <c r="B75" s="3" t="inlineStr">
        <is>
          <t>2026-01-25</t>
        </is>
      </c>
      <c r="C75" s="3" t="inlineStr">
        <is>
          <t>Beatrix Larsson</t>
        </is>
      </c>
      <c r="D75" s="3" t="inlineStr">
        <is>
          <t>IA</t>
        </is>
      </c>
      <c r="E75" s="14" t="n">
        <v>380000</v>
      </c>
      <c r="F75" s="14" t="n">
        <v>5307.02</v>
      </c>
      <c r="G75" s="14" t="n">
        <v>663.38</v>
      </c>
      <c r="H75" s="14" t="n">
        <v>663.38</v>
      </c>
      <c r="I75" s="14">
        <f>SUM(K75:T75)</f>
        <v/>
      </c>
      <c r="J75" s="14">
        <f>F75-(G75+H75+I75)</f>
        <v/>
      </c>
      <c r="K75" s="14" t="n">
        <v>398.03</v>
      </c>
      <c r="L75" s="14" t="n">
        <v>398.03</v>
      </c>
      <c r="M75" s="14" t="n">
        <v>398.03</v>
      </c>
      <c r="N75" s="14" t="n">
        <v>398.03</v>
      </c>
      <c r="O75" s="14" t="n">
        <v>398.03</v>
      </c>
      <c r="P75" s="14" t="n">
        <v>398.03</v>
      </c>
      <c r="Q75" s="14" t="n">
        <v>398.03</v>
      </c>
      <c r="R75" s="14" t="n">
        <v>398.03</v>
      </c>
      <c r="S75" s="14" t="n">
        <v>398.03</v>
      </c>
      <c r="T75" s="14" t="n">
        <v>398.03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CANON-202601-003140</t>
        </is>
      </c>
      <c r="B76" s="15" t="inlineStr">
        <is>
          <t>2026-01-22</t>
        </is>
      </c>
      <c r="C76" s="15" t="inlineStr">
        <is>
          <t>Ingrid Ashcombe</t>
        </is>
      </c>
      <c r="D76" s="15" t="inlineStr">
        <is>
          <t>SC</t>
        </is>
      </c>
      <c r="E76" s="16" t="n">
        <v>955000</v>
      </c>
      <c r="F76" s="16" t="n">
        <v>13030.22</v>
      </c>
      <c r="G76" s="16" t="n">
        <v>1628.78</v>
      </c>
      <c r="H76" s="16" t="n">
        <v>1628.78</v>
      </c>
      <c r="I76" s="16">
        <f>SUM(K76:T76)</f>
        <v/>
      </c>
      <c r="J76" s="16">
        <f>F76-(G76+H76+I76)</f>
        <v/>
      </c>
      <c r="K76" s="16" t="n">
        <v>977.27</v>
      </c>
      <c r="L76" s="16" t="n">
        <v>977.27</v>
      </c>
      <c r="M76" s="16" t="n">
        <v>977.27</v>
      </c>
      <c r="N76" s="16" t="n">
        <v>977.27</v>
      </c>
      <c r="O76" s="16" t="n">
        <v>977.27</v>
      </c>
      <c r="P76" s="16" t="n">
        <v>977.27</v>
      </c>
      <c r="Q76" s="16" t="n">
        <v>977.27</v>
      </c>
      <c r="R76" s="16" t="n">
        <v>977.27</v>
      </c>
      <c r="S76" s="16" t="n">
        <v>977.27</v>
      </c>
      <c r="T76" s="16" t="n">
        <v>977.27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CANON-202601-003142</t>
        </is>
      </c>
      <c r="B77" s="3" t="inlineStr">
        <is>
          <t>2026-01-23</t>
        </is>
      </c>
      <c r="C77" s="3" t="inlineStr">
        <is>
          <t>Callum Rourke</t>
        </is>
      </c>
      <c r="D77" s="3" t="inlineStr">
        <is>
          <t>WV</t>
        </is>
      </c>
      <c r="E77" s="14" t="n">
        <v>440000</v>
      </c>
      <c r="F77" s="14" t="n">
        <v>7429.83</v>
      </c>
      <c r="G77" s="14" t="n">
        <v>928.73</v>
      </c>
      <c r="H77" s="14" t="n">
        <v>928.73</v>
      </c>
      <c r="I77" s="14">
        <f>SUM(K77:T77)</f>
        <v/>
      </c>
      <c r="J77" s="14">
        <f>F77-(G77+H77+I77)</f>
        <v/>
      </c>
      <c r="K77" s="14" t="n">
        <v>557.24</v>
      </c>
      <c r="L77" s="14" t="n">
        <v>557.24</v>
      </c>
      <c r="M77" s="14" t="n">
        <v>557.24</v>
      </c>
      <c r="N77" s="14" t="n">
        <v>557.24</v>
      </c>
      <c r="O77" s="14" t="n">
        <v>557.24</v>
      </c>
      <c r="P77" s="14" t="n">
        <v>557.24</v>
      </c>
      <c r="Q77" s="14" t="n">
        <v>557.24</v>
      </c>
      <c r="R77" s="14" t="n">
        <v>557.24</v>
      </c>
      <c r="S77" s="14" t="n">
        <v>557.24</v>
      </c>
      <c r="T77" s="14" t="n">
        <v>557.24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CANON-202601-003144</t>
        </is>
      </c>
      <c r="B78" s="15" t="inlineStr">
        <is>
          <t>2026-01-27</t>
        </is>
      </c>
      <c r="C78" s="15" t="inlineStr">
        <is>
          <t>Priya Nakashima</t>
        </is>
      </c>
      <c r="D78" s="15" t="inlineStr">
        <is>
          <t>AL</t>
        </is>
      </c>
      <c r="E78" s="16" t="n">
        <v>555000</v>
      </c>
      <c r="F78" s="16" t="n">
        <v>9306.889999999999</v>
      </c>
      <c r="G78" s="16" t="n">
        <v>1163.36</v>
      </c>
      <c r="H78" s="16" t="n">
        <v>1163.36</v>
      </c>
      <c r="I78" s="16">
        <f>SUM(K78:T78)</f>
        <v/>
      </c>
      <c r="J78" s="16">
        <f>F78-(G78+H78+I78)</f>
        <v/>
      </c>
      <c r="K78" s="16" t="n">
        <v>698.02</v>
      </c>
      <c r="L78" s="16" t="n">
        <v>698.02</v>
      </c>
      <c r="M78" s="16" t="n">
        <v>698.02</v>
      </c>
      <c r="N78" s="16" t="n">
        <v>698.02</v>
      </c>
      <c r="O78" s="16" t="n">
        <v>698.02</v>
      </c>
      <c r="P78" s="16" t="n">
        <v>698.02</v>
      </c>
      <c r="Q78" s="16" t="n">
        <v>698.02</v>
      </c>
      <c r="R78" s="16" t="n">
        <v>698.02</v>
      </c>
      <c r="S78" s="16" t="n">
        <v>698.02</v>
      </c>
      <c r="T78" s="16" t="n">
        <v>698.02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CANON-202601-003145</t>
        </is>
      </c>
      <c r="B79" s="3" t="inlineStr">
        <is>
          <t>2026-01-19</t>
        </is>
      </c>
      <c r="C79" s="3" t="inlineStr">
        <is>
          <t>Anouk Farkas</t>
        </is>
      </c>
      <c r="D79" s="3" t="inlineStr">
        <is>
          <t>CA</t>
        </is>
      </c>
      <c r="E79" s="14" t="n">
        <v>950000</v>
      </c>
      <c r="F79" s="14" t="n">
        <v>20625.02</v>
      </c>
      <c r="G79" s="14" t="n">
        <v>2578.13</v>
      </c>
      <c r="H79" s="14" t="n">
        <v>2578.13</v>
      </c>
      <c r="I79" s="14">
        <f>SUM(K79:T79)</f>
        <v/>
      </c>
      <c r="J79" s="14">
        <f>F79-(G79+H79+I79)</f>
        <v/>
      </c>
      <c r="K79" s="14" t="n">
        <v>1546.88</v>
      </c>
      <c r="L79" s="14" t="n">
        <v>1546.88</v>
      </c>
      <c r="M79" s="14" t="n">
        <v>1546.88</v>
      </c>
      <c r="N79" s="14" t="n">
        <v>1546.88</v>
      </c>
      <c r="O79" s="14" t="n">
        <v>1546.88</v>
      </c>
      <c r="P79" s="14" t="n">
        <v>1546.88</v>
      </c>
      <c r="Q79" s="14" t="n">
        <v>1546.88</v>
      </c>
      <c r="R79" s="14" t="n">
        <v>1546.88</v>
      </c>
      <c r="S79" s="14" t="n">
        <v>1546.88</v>
      </c>
      <c r="T79" s="14" t="n">
        <v>1546.88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CANON-202601-003147</t>
        </is>
      </c>
      <c r="B80" s="15" t="inlineStr">
        <is>
          <t>2026-01-28</t>
        </is>
      </c>
      <c r="C80" s="15" t="inlineStr">
        <is>
          <t>Leopold Castellanos</t>
        </is>
      </c>
      <c r="D80" s="15" t="inlineStr">
        <is>
          <t>MI</t>
        </is>
      </c>
      <c r="E80" s="16" t="n">
        <v>390000</v>
      </c>
      <c r="F80" s="16" t="n">
        <v>11768.13</v>
      </c>
      <c r="G80" s="16" t="n">
        <v>1471.02</v>
      </c>
      <c r="H80" s="16" t="n">
        <v>1471.02</v>
      </c>
      <c r="I80" s="16">
        <f>SUM(K80:T80)</f>
        <v/>
      </c>
      <c r="J80" s="16">
        <f>F80-(G80+H80+I80)</f>
        <v/>
      </c>
      <c r="K80" s="16" t="n">
        <v>882.61</v>
      </c>
      <c r="L80" s="16" t="n">
        <v>882.61</v>
      </c>
      <c r="M80" s="16" t="n">
        <v>882.61</v>
      </c>
      <c r="N80" s="16" t="n">
        <v>882.61</v>
      </c>
      <c r="O80" s="16" t="n">
        <v>882.61</v>
      </c>
      <c r="P80" s="16" t="n">
        <v>882.61</v>
      </c>
      <c r="Q80" s="16" t="n">
        <v>882.61</v>
      </c>
      <c r="R80" s="16" t="n">
        <v>882.61</v>
      </c>
      <c r="S80" s="16" t="n">
        <v>882.61</v>
      </c>
      <c r="T80" s="16" t="n">
        <v>882.61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CANON-202601-003149</t>
        </is>
      </c>
      <c r="B81" s="3" t="inlineStr">
        <is>
          <t>2026-01-19</t>
        </is>
      </c>
      <c r="C81" s="3" t="inlineStr">
        <is>
          <t>Beatrix Nakashima</t>
        </is>
      </c>
      <c r="D81" s="3" t="inlineStr">
        <is>
          <t>RI</t>
        </is>
      </c>
      <c r="E81" s="14" t="n">
        <v>395000</v>
      </c>
      <c r="F81" s="14" t="n">
        <v>10534.86</v>
      </c>
      <c r="G81" s="14" t="n">
        <v>1316.86</v>
      </c>
      <c r="H81" s="14" t="n">
        <v>1316.86</v>
      </c>
      <c r="I81" s="14">
        <f>SUM(K81:T81)</f>
        <v/>
      </c>
      <c r="J81" s="14">
        <f>F81-(G81+H81+I81)</f>
        <v/>
      </c>
      <c r="K81" s="14" t="n">
        <v>790.11</v>
      </c>
      <c r="L81" s="14" t="n">
        <v>790.11</v>
      </c>
      <c r="M81" s="14" t="n">
        <v>790.11</v>
      </c>
      <c r="N81" s="14" t="n">
        <v>790.11</v>
      </c>
      <c r="O81" s="14" t="n">
        <v>790.11</v>
      </c>
      <c r="P81" s="14" t="n">
        <v>790.11</v>
      </c>
      <c r="Q81" s="14" t="n">
        <v>790.11</v>
      </c>
      <c r="R81" s="14" t="n">
        <v>790.11</v>
      </c>
      <c r="S81" s="14" t="n">
        <v>790.11</v>
      </c>
      <c r="T81" s="14" t="n">
        <v>790.11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CANON-202601-003151</t>
        </is>
      </c>
      <c r="B82" s="15" t="inlineStr">
        <is>
          <t>2026-01-08</t>
        </is>
      </c>
      <c r="C82" s="15" t="inlineStr">
        <is>
          <t>Mireille Rourke</t>
        </is>
      </c>
      <c r="D82" s="15" t="inlineStr">
        <is>
          <t>CA</t>
        </is>
      </c>
      <c r="E82" s="16" t="n">
        <v>990000</v>
      </c>
      <c r="F82" s="16" t="n">
        <v>14706.04</v>
      </c>
      <c r="G82" s="16" t="n">
        <v>1838.26</v>
      </c>
      <c r="H82" s="16" t="n">
        <v>1838.26</v>
      </c>
      <c r="I82" s="16">
        <f>SUM(K82:T82)</f>
        <v/>
      </c>
      <c r="J82" s="16">
        <f>F82-(G82+H82+I82)</f>
        <v/>
      </c>
      <c r="K82" s="16" t="n">
        <v>1102.95</v>
      </c>
      <c r="L82" s="16" t="n">
        <v>1102.95</v>
      </c>
      <c r="M82" s="16" t="n">
        <v>1102.95</v>
      </c>
      <c r="N82" s="16" t="n">
        <v>1102.95</v>
      </c>
      <c r="O82" s="16" t="n">
        <v>1102.95</v>
      </c>
      <c r="P82" s="16" t="n">
        <v>1102.95</v>
      </c>
      <c r="Q82" s="16" t="n">
        <v>1102.95</v>
      </c>
      <c r="R82" s="16" t="n">
        <v>1102.95</v>
      </c>
      <c r="S82" s="16" t="n">
        <v>1102.95</v>
      </c>
      <c r="T82" s="16" t="n">
        <v>1102.95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CANON-202601-003153</t>
        </is>
      </c>
      <c r="B83" s="3" t="inlineStr">
        <is>
          <t>2026-01-23</t>
        </is>
      </c>
      <c r="C83" s="3" t="inlineStr">
        <is>
          <t>Priya Whitlock</t>
        </is>
      </c>
      <c r="D83" s="3" t="inlineStr">
        <is>
          <t>CA</t>
        </is>
      </c>
      <c r="E83" s="14" t="n">
        <v>1615000</v>
      </c>
      <c r="F83" s="14" t="n">
        <v>14025.01</v>
      </c>
      <c r="G83" s="14" t="n">
        <v>1753.13</v>
      </c>
      <c r="H83" s="14" t="n">
        <v>1753.13</v>
      </c>
      <c r="I83" s="14">
        <f>SUM(K83:T83)</f>
        <v/>
      </c>
      <c r="J83" s="14">
        <f>F83-(G83+H83+I83)</f>
        <v/>
      </c>
      <c r="K83" s="14" t="n">
        <v>1051.88</v>
      </c>
      <c r="L83" s="14" t="n">
        <v>1051.88</v>
      </c>
      <c r="M83" s="14" t="n">
        <v>1051.88</v>
      </c>
      <c r="N83" s="14" t="n">
        <v>1051.88</v>
      </c>
      <c r="O83" s="14" t="n">
        <v>1051.88</v>
      </c>
      <c r="P83" s="14" t="n">
        <v>1051.88</v>
      </c>
      <c r="Q83" s="14" t="n">
        <v>1051.88</v>
      </c>
      <c r="R83" s="14" t="n">
        <v>1051.88</v>
      </c>
      <c r="S83" s="14" t="n">
        <v>1051.88</v>
      </c>
      <c r="T83" s="14" t="n">
        <v>1051.88</v>
      </c>
      <c r="U83" s="14" t="n">
        <v>350</v>
      </c>
      <c r="V83" s="14" t="n">
        <v>250</v>
      </c>
      <c r="W83" s="14">
        <f>U83+V83</f>
        <v/>
      </c>
    </row>
    <row r="84">
      <c r="A84" s="15" t="inlineStr">
        <is>
          <t>CANON-202601-003154</t>
        </is>
      </c>
      <c r="B84" s="15" t="inlineStr">
        <is>
          <t>2026-01-22</t>
        </is>
      </c>
      <c r="C84" s="15" t="inlineStr">
        <is>
          <t>Horace Chattopadhyay</t>
        </is>
      </c>
      <c r="D84" s="15" t="inlineStr">
        <is>
          <t>VA</t>
        </is>
      </c>
      <c r="E84" s="16" t="n">
        <v>660000</v>
      </c>
      <c r="F84" s="16" t="n">
        <v>7915.84</v>
      </c>
      <c r="G84" s="16" t="n">
        <v>989.48</v>
      </c>
      <c r="H84" s="16" t="n">
        <v>989.48</v>
      </c>
      <c r="I84" s="16">
        <f>SUM(K84:T84)</f>
        <v/>
      </c>
      <c r="J84" s="16">
        <f>F84-(G84+H84+I84)</f>
        <v/>
      </c>
      <c r="K84" s="16" t="n">
        <v>593.6900000000001</v>
      </c>
      <c r="L84" s="16" t="n">
        <v>593.6900000000001</v>
      </c>
      <c r="M84" s="16" t="n">
        <v>593.6900000000001</v>
      </c>
      <c r="N84" s="16" t="n">
        <v>593.6900000000001</v>
      </c>
      <c r="O84" s="16" t="n">
        <v>593.6900000000001</v>
      </c>
      <c r="P84" s="16" t="n">
        <v>593.6900000000001</v>
      </c>
      <c r="Q84" s="16" t="n">
        <v>593.6900000000001</v>
      </c>
      <c r="R84" s="16" t="n">
        <v>593.6900000000001</v>
      </c>
      <c r="S84" s="16" t="n">
        <v>593.6900000000001</v>
      </c>
      <c r="T84" s="16" t="n">
        <v>593.6900000000001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CANON-202601-003156</t>
        </is>
      </c>
      <c r="B85" s="3" t="inlineStr">
        <is>
          <t>2026-01-05</t>
        </is>
      </c>
      <c r="C85" s="3" t="inlineStr">
        <is>
          <t>Horace Vasquez</t>
        </is>
      </c>
      <c r="D85" s="3" t="inlineStr">
        <is>
          <t>MN</t>
        </is>
      </c>
      <c r="E85" s="14" t="n">
        <v>1610000</v>
      </c>
      <c r="F85" s="14" t="n">
        <v>13670.89</v>
      </c>
      <c r="G85" s="14" t="n">
        <v>1708.86</v>
      </c>
      <c r="H85" s="14" t="n">
        <v>1708.86</v>
      </c>
      <c r="I85" s="14">
        <f>SUM(K85:T85)</f>
        <v/>
      </c>
      <c r="J85" s="14">
        <f>F85-(G85+H85+I85)</f>
        <v/>
      </c>
      <c r="K85" s="14" t="n">
        <v>1025.32</v>
      </c>
      <c r="L85" s="14" t="n">
        <v>1025.32</v>
      </c>
      <c r="M85" s="14" t="n">
        <v>1025.32</v>
      </c>
      <c r="N85" s="14" t="n">
        <v>1025.32</v>
      </c>
      <c r="O85" s="14" t="n">
        <v>1025.32</v>
      </c>
      <c r="P85" s="14" t="n">
        <v>1025.32</v>
      </c>
      <c r="Q85" s="14" t="n">
        <v>1025.32</v>
      </c>
      <c r="R85" s="14" t="n">
        <v>1025.32</v>
      </c>
      <c r="S85" s="14" t="n">
        <v>1025.32</v>
      </c>
      <c r="T85" s="14" t="n">
        <v>1025.32</v>
      </c>
      <c r="U85" s="14" t="n">
        <v>350</v>
      </c>
      <c r="V85" s="14" t="n">
        <v>250</v>
      </c>
      <c r="W85" s="14">
        <f>U85+V85</f>
        <v/>
      </c>
    </row>
    <row r="86">
      <c r="A86" s="15" t="inlineStr">
        <is>
          <t>CANON-202601-003157</t>
        </is>
      </c>
      <c r="B86" s="15" t="inlineStr">
        <is>
          <t>2026-01-03</t>
        </is>
      </c>
      <c r="C86" s="15" t="inlineStr">
        <is>
          <t>Ramona Castellanos</t>
        </is>
      </c>
      <c r="D86" s="15" t="inlineStr">
        <is>
          <t>VT</t>
        </is>
      </c>
      <c r="E86" s="16" t="n">
        <v>545000</v>
      </c>
      <c r="F86" s="16" t="n">
        <v>7316.15</v>
      </c>
      <c r="G86" s="16" t="n">
        <v>914.52</v>
      </c>
      <c r="H86" s="16" t="n">
        <v>914.52</v>
      </c>
      <c r="I86" s="16">
        <f>SUM(K86:T86)</f>
        <v/>
      </c>
      <c r="J86" s="16">
        <f>F86-(G86+H86+I86)</f>
        <v/>
      </c>
      <c r="K86" s="16" t="n">
        <v>548.71</v>
      </c>
      <c r="L86" s="16" t="n">
        <v>548.71</v>
      </c>
      <c r="M86" s="16" t="n">
        <v>548.71</v>
      </c>
      <c r="N86" s="16" t="n">
        <v>548.71</v>
      </c>
      <c r="O86" s="16" t="n">
        <v>548.71</v>
      </c>
      <c r="P86" s="16" t="n">
        <v>548.71</v>
      </c>
      <c r="Q86" s="16" t="n">
        <v>548.71</v>
      </c>
      <c r="R86" s="16" t="n">
        <v>548.71</v>
      </c>
      <c r="S86" s="16" t="n">
        <v>548.71</v>
      </c>
      <c r="T86" s="16" t="n">
        <v>548.71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CANON-202601-003158</t>
        </is>
      </c>
      <c r="B87" s="3" t="inlineStr">
        <is>
          <t>2026-01-24</t>
        </is>
      </c>
      <c r="C87" s="3" t="inlineStr">
        <is>
          <t>Horace Vandermeer</t>
        </is>
      </c>
      <c r="D87" s="3" t="inlineStr">
        <is>
          <t>OH</t>
        </is>
      </c>
      <c r="E87" s="14" t="n">
        <v>580000</v>
      </c>
      <c r="F87" s="14" t="n">
        <v>5186.09</v>
      </c>
      <c r="G87" s="14" t="n">
        <v>648.26</v>
      </c>
      <c r="H87" s="14" t="n">
        <v>648.26</v>
      </c>
      <c r="I87" s="14">
        <f>SUM(K87:T87)</f>
        <v/>
      </c>
      <c r="J87" s="14">
        <f>F87-(G87+H87+I87)</f>
        <v/>
      </c>
      <c r="K87" s="14" t="n">
        <v>388.96</v>
      </c>
      <c r="L87" s="14" t="n">
        <v>388.96</v>
      </c>
      <c r="M87" s="14" t="n">
        <v>388.96</v>
      </c>
      <c r="N87" s="14" t="n">
        <v>388.96</v>
      </c>
      <c r="O87" s="14" t="n">
        <v>388.96</v>
      </c>
      <c r="P87" s="14" t="n">
        <v>388.96</v>
      </c>
      <c r="Q87" s="14" t="n">
        <v>388.96</v>
      </c>
      <c r="R87" s="14" t="n">
        <v>388.96</v>
      </c>
      <c r="S87" s="14" t="n">
        <v>388.96</v>
      </c>
      <c r="T87" s="14" t="n">
        <v>388.96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CANON-202601-003159</t>
        </is>
      </c>
      <c r="B88" s="15" t="inlineStr">
        <is>
          <t>2026-01-17</t>
        </is>
      </c>
      <c r="C88" s="15" t="inlineStr">
        <is>
          <t>Horace Okonkwo</t>
        </is>
      </c>
      <c r="D88" s="15" t="inlineStr">
        <is>
          <t>ID</t>
        </is>
      </c>
      <c r="E88" s="16" t="n">
        <v>555000</v>
      </c>
      <c r="F88" s="16" t="n">
        <v>6045.82</v>
      </c>
      <c r="G88" s="16" t="n">
        <v>755.73</v>
      </c>
      <c r="H88" s="16" t="n">
        <v>755.73</v>
      </c>
      <c r="I88" s="16">
        <f>SUM(K88:T88)</f>
        <v/>
      </c>
      <c r="J88" s="16">
        <f>F88-(G88+H88+I88)</f>
        <v/>
      </c>
      <c r="K88" s="16" t="n">
        <v>453.44</v>
      </c>
      <c r="L88" s="16" t="n">
        <v>453.44</v>
      </c>
      <c r="M88" s="16" t="n">
        <v>453.44</v>
      </c>
      <c r="N88" s="16" t="n">
        <v>453.44</v>
      </c>
      <c r="O88" s="16" t="n">
        <v>453.44</v>
      </c>
      <c r="P88" s="16" t="n">
        <v>453.44</v>
      </c>
      <c r="Q88" s="16" t="n">
        <v>453.44</v>
      </c>
      <c r="R88" s="16" t="n">
        <v>453.44</v>
      </c>
      <c r="S88" s="16" t="n">
        <v>453.44</v>
      </c>
      <c r="T88" s="16" t="n">
        <v>453.44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CANON-202601-003162</t>
        </is>
      </c>
      <c r="B89" s="3" t="inlineStr">
        <is>
          <t>2026-01-08</t>
        </is>
      </c>
      <c r="C89" s="3" t="inlineStr">
        <is>
          <t>Mireille Larsson</t>
        </is>
      </c>
      <c r="D89" s="3" t="inlineStr">
        <is>
          <t>NJ</t>
        </is>
      </c>
      <c r="E89" s="14" t="n">
        <v>715000</v>
      </c>
      <c r="F89" s="14" t="n">
        <v>7159.36</v>
      </c>
      <c r="G89" s="14" t="n">
        <v>894.92</v>
      </c>
      <c r="H89" s="14" t="n">
        <v>894.92</v>
      </c>
      <c r="I89" s="14">
        <f>SUM(K89:T89)</f>
        <v/>
      </c>
      <c r="J89" s="14">
        <f>F89-(G89+H89+I89)</f>
        <v/>
      </c>
      <c r="K89" s="14" t="n">
        <v>536.95</v>
      </c>
      <c r="L89" s="14" t="n">
        <v>536.95</v>
      </c>
      <c r="M89" s="14" t="n">
        <v>536.95</v>
      </c>
      <c r="N89" s="14" t="n">
        <v>536.95</v>
      </c>
      <c r="O89" s="14" t="n">
        <v>536.95</v>
      </c>
      <c r="P89" s="14" t="n">
        <v>536.95</v>
      </c>
      <c r="Q89" s="14" t="n">
        <v>536.95</v>
      </c>
      <c r="R89" s="14" t="n">
        <v>536.95</v>
      </c>
      <c r="S89" s="14" t="n">
        <v>536.95</v>
      </c>
      <c r="T89" s="14" t="n">
        <v>536.95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CANON-202601-003163</t>
        </is>
      </c>
      <c r="B90" s="15" t="inlineStr">
        <is>
          <t>2026-01-23</t>
        </is>
      </c>
      <c r="C90" s="15" t="inlineStr">
        <is>
          <t>Ingrid Harrington</t>
        </is>
      </c>
      <c r="D90" s="15" t="inlineStr">
        <is>
          <t>NY</t>
        </is>
      </c>
      <c r="E90" s="16" t="n">
        <v>500000</v>
      </c>
      <c r="F90" s="16" t="n">
        <v>10292.41</v>
      </c>
      <c r="G90" s="16" t="n">
        <v>1286.55</v>
      </c>
      <c r="H90" s="16" t="n">
        <v>1286.55</v>
      </c>
      <c r="I90" s="16">
        <f>SUM(K90:T90)</f>
        <v/>
      </c>
      <c r="J90" s="16">
        <f>F90-(G90+H90+I90)</f>
        <v/>
      </c>
      <c r="K90" s="16" t="n">
        <v>771.9299999999999</v>
      </c>
      <c r="L90" s="16" t="n">
        <v>771.9299999999999</v>
      </c>
      <c r="M90" s="16" t="n">
        <v>771.9299999999999</v>
      </c>
      <c r="N90" s="16" t="n">
        <v>771.9299999999999</v>
      </c>
      <c r="O90" s="16" t="n">
        <v>771.9299999999999</v>
      </c>
      <c r="P90" s="16" t="n">
        <v>771.9299999999999</v>
      </c>
      <c r="Q90" s="16" t="n">
        <v>771.9299999999999</v>
      </c>
      <c r="R90" s="16" t="n">
        <v>771.9299999999999</v>
      </c>
      <c r="S90" s="16" t="n">
        <v>771.9299999999999</v>
      </c>
      <c r="T90" s="16" t="n">
        <v>771.9299999999999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CANON-202601-003164</t>
        </is>
      </c>
      <c r="B91" s="3" t="inlineStr">
        <is>
          <t>2026-01-04</t>
        </is>
      </c>
      <c r="C91" s="3" t="inlineStr">
        <is>
          <t>Aurelio Montoya</t>
        </is>
      </c>
      <c r="D91" s="3" t="inlineStr">
        <is>
          <t>OR</t>
        </is>
      </c>
      <c r="E91" s="14" t="n">
        <v>1205000</v>
      </c>
      <c r="F91" s="14" t="n">
        <v>18440.34</v>
      </c>
      <c r="G91" s="14" t="n">
        <v>2305.04</v>
      </c>
      <c r="H91" s="14" t="n">
        <v>2305.04</v>
      </c>
      <c r="I91" s="14">
        <f>SUM(K91:T91)</f>
        <v/>
      </c>
      <c r="J91" s="14">
        <f>F91-(G91+H91+I91)</f>
        <v/>
      </c>
      <c r="K91" s="14" t="n">
        <v>1383.03</v>
      </c>
      <c r="L91" s="14" t="n">
        <v>1383.03</v>
      </c>
      <c r="M91" s="14" t="n">
        <v>1383.03</v>
      </c>
      <c r="N91" s="14" t="n">
        <v>1383.03</v>
      </c>
      <c r="O91" s="14" t="n">
        <v>1383.03</v>
      </c>
      <c r="P91" s="14" t="n">
        <v>1383.03</v>
      </c>
      <c r="Q91" s="14" t="n">
        <v>1383.03</v>
      </c>
      <c r="R91" s="14" t="n">
        <v>1383.03</v>
      </c>
      <c r="S91" s="14" t="n">
        <v>1383.03</v>
      </c>
      <c r="T91" s="14" t="n">
        <v>1383.03</v>
      </c>
      <c r="U91" s="14" t="n">
        <v>350</v>
      </c>
      <c r="V91" s="14" t="n">
        <v>250</v>
      </c>
      <c r="W91" s="14">
        <f>U91+V91</f>
        <v/>
      </c>
    </row>
    <row r="92">
      <c r="A92" s="15" t="inlineStr">
        <is>
          <t>CANON-202601-003165</t>
        </is>
      </c>
      <c r="B92" s="15" t="inlineStr">
        <is>
          <t>2026-01-18</t>
        </is>
      </c>
      <c r="C92" s="15" t="inlineStr">
        <is>
          <t>Everett Underwood</t>
        </is>
      </c>
      <c r="D92" s="15" t="inlineStr">
        <is>
          <t>WA</t>
        </is>
      </c>
      <c r="E92" s="16" t="n">
        <v>300000</v>
      </c>
      <c r="F92" s="16" t="n">
        <v>3656.51</v>
      </c>
      <c r="G92" s="16" t="n">
        <v>457.06</v>
      </c>
      <c r="H92" s="16" t="n">
        <v>457.06</v>
      </c>
      <c r="I92" s="16">
        <f>SUM(K92:T92)</f>
        <v/>
      </c>
      <c r="J92" s="16">
        <f>F92-(G92+H92+I92)</f>
        <v/>
      </c>
      <c r="K92" s="16" t="n">
        <v>274.24</v>
      </c>
      <c r="L92" s="16" t="n">
        <v>274.24</v>
      </c>
      <c r="M92" s="16" t="n">
        <v>274.24</v>
      </c>
      <c r="N92" s="16" t="n">
        <v>274.24</v>
      </c>
      <c r="O92" s="16" t="n">
        <v>274.24</v>
      </c>
      <c r="P92" s="16" t="n">
        <v>274.24</v>
      </c>
      <c r="Q92" s="16" t="n">
        <v>274.24</v>
      </c>
      <c r="R92" s="16" t="n">
        <v>274.24</v>
      </c>
      <c r="S92" s="16" t="n">
        <v>274.24</v>
      </c>
      <c r="T92" s="16" t="n">
        <v>274.24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CANON-202601-003166</t>
        </is>
      </c>
      <c r="B93" s="3" t="inlineStr">
        <is>
          <t>2026-01-08</t>
        </is>
      </c>
      <c r="C93" s="3" t="inlineStr">
        <is>
          <t>Beatrix Harrington</t>
        </is>
      </c>
      <c r="D93" s="3" t="inlineStr">
        <is>
          <t>MS</t>
        </is>
      </c>
      <c r="E93" s="14" t="n">
        <v>650000</v>
      </c>
      <c r="F93" s="14" t="n">
        <v>8511.129999999999</v>
      </c>
      <c r="G93" s="14" t="n">
        <v>1063.89</v>
      </c>
      <c r="H93" s="14" t="n">
        <v>1063.89</v>
      </c>
      <c r="I93" s="14">
        <f>SUM(K93:T93)</f>
        <v/>
      </c>
      <c r="J93" s="14">
        <f>F93-(G93+H93+I93)</f>
        <v/>
      </c>
      <c r="K93" s="14" t="n">
        <v>638.33</v>
      </c>
      <c r="L93" s="14" t="n">
        <v>638.33</v>
      </c>
      <c r="M93" s="14" t="n">
        <v>638.33</v>
      </c>
      <c r="N93" s="14" t="n">
        <v>638.33</v>
      </c>
      <c r="O93" s="14" t="n">
        <v>638.33</v>
      </c>
      <c r="P93" s="14" t="n">
        <v>638.33</v>
      </c>
      <c r="Q93" s="14" t="n">
        <v>638.33</v>
      </c>
      <c r="R93" s="14" t="n">
        <v>638.33</v>
      </c>
      <c r="S93" s="14" t="n">
        <v>638.33</v>
      </c>
      <c r="T93" s="14" t="n">
        <v>638.33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CANON-202601-003167</t>
        </is>
      </c>
      <c r="B94" s="15" t="inlineStr">
        <is>
          <t>2026-01-29</t>
        </is>
      </c>
      <c r="C94" s="15" t="inlineStr">
        <is>
          <t>Ramona Castellanos</t>
        </is>
      </c>
      <c r="D94" s="15" t="inlineStr">
        <is>
          <t>MN</t>
        </is>
      </c>
      <c r="E94" s="16" t="n">
        <v>1705000</v>
      </c>
      <c r="F94" s="16" t="n">
        <v>20954.36</v>
      </c>
      <c r="G94" s="16" t="n">
        <v>2619.3</v>
      </c>
      <c r="H94" s="16" t="n">
        <v>2619.3</v>
      </c>
      <c r="I94" s="16">
        <f>SUM(K94:T94)</f>
        <v/>
      </c>
      <c r="J94" s="16">
        <f>F94-(G94+H94+I94)</f>
        <v/>
      </c>
      <c r="K94" s="16" t="n">
        <v>1571.58</v>
      </c>
      <c r="L94" s="16" t="n">
        <v>1571.58</v>
      </c>
      <c r="M94" s="16" t="n">
        <v>1571.58</v>
      </c>
      <c r="N94" s="16" t="n">
        <v>1571.58</v>
      </c>
      <c r="O94" s="16" t="n">
        <v>1571.58</v>
      </c>
      <c r="P94" s="16" t="n">
        <v>1571.58</v>
      </c>
      <c r="Q94" s="16" t="n">
        <v>1571.58</v>
      </c>
      <c r="R94" s="16" t="n">
        <v>1571.58</v>
      </c>
      <c r="S94" s="16" t="n">
        <v>1571.58</v>
      </c>
      <c r="T94" s="16" t="n">
        <v>1571.58</v>
      </c>
      <c r="U94" s="16" t="n">
        <v>350</v>
      </c>
      <c r="V94" s="16" t="n">
        <v>250</v>
      </c>
      <c r="W94" s="16">
        <f>U94+V94</f>
        <v/>
      </c>
    </row>
    <row r="95">
      <c r="A95" s="3" t="inlineStr">
        <is>
          <t>CANON-202601-003168</t>
        </is>
      </c>
      <c r="B95" s="3" t="inlineStr">
        <is>
          <t>2026-01-22</t>
        </is>
      </c>
      <c r="C95" s="3" t="inlineStr">
        <is>
          <t>Leopold Fairweather</t>
        </is>
      </c>
      <c r="D95" s="3" t="inlineStr">
        <is>
          <t>OR</t>
        </is>
      </c>
      <c r="E95" s="14" t="n">
        <v>1085000</v>
      </c>
      <c r="F95" s="14" t="n">
        <v>16603.96</v>
      </c>
      <c r="G95" s="14" t="n">
        <v>2075.49</v>
      </c>
      <c r="H95" s="14" t="n">
        <v>2075.49</v>
      </c>
      <c r="I95" s="14">
        <f>SUM(K95:T95)</f>
        <v/>
      </c>
      <c r="J95" s="14">
        <f>F95-(G95+H95+I95)</f>
        <v/>
      </c>
      <c r="K95" s="14" t="n">
        <v>1245.3</v>
      </c>
      <c r="L95" s="14" t="n">
        <v>1245.3</v>
      </c>
      <c r="M95" s="14" t="n">
        <v>1245.3</v>
      </c>
      <c r="N95" s="14" t="n">
        <v>1245.3</v>
      </c>
      <c r="O95" s="14" t="n">
        <v>1245.3</v>
      </c>
      <c r="P95" s="14" t="n">
        <v>1245.3</v>
      </c>
      <c r="Q95" s="14" t="n">
        <v>1245.3</v>
      </c>
      <c r="R95" s="14" t="n">
        <v>1245.3</v>
      </c>
      <c r="S95" s="14" t="n">
        <v>1245.3</v>
      </c>
      <c r="T95" s="14" t="n">
        <v>1245.3</v>
      </c>
      <c r="U95" s="14" t="n">
        <v>350</v>
      </c>
      <c r="V95" s="14" t="n">
        <v>250</v>
      </c>
      <c r="W95" s="14">
        <f>U95+V95</f>
        <v/>
      </c>
    </row>
    <row r="96">
      <c r="A96" s="15" t="inlineStr">
        <is>
          <t>CANON-202601-003169</t>
        </is>
      </c>
      <c r="B96" s="15" t="inlineStr">
        <is>
          <t>2026-01-30</t>
        </is>
      </c>
      <c r="C96" s="15" t="inlineStr">
        <is>
          <t>Fitzgerald Thistlewood</t>
        </is>
      </c>
      <c r="D96" s="15" t="inlineStr">
        <is>
          <t>PA</t>
        </is>
      </c>
      <c r="E96" s="16" t="n">
        <v>630000</v>
      </c>
      <c r="F96" s="16" t="n">
        <v>6932.14</v>
      </c>
      <c r="G96" s="16" t="n">
        <v>866.52</v>
      </c>
      <c r="H96" s="16" t="n">
        <v>866.52</v>
      </c>
      <c r="I96" s="16">
        <f>SUM(K96:T96)</f>
        <v/>
      </c>
      <c r="J96" s="16">
        <f>F96-(G96+H96+I96)</f>
        <v/>
      </c>
      <c r="K96" s="16" t="n">
        <v>519.91</v>
      </c>
      <c r="L96" s="16" t="n">
        <v>519.91</v>
      </c>
      <c r="M96" s="16" t="n">
        <v>519.91</v>
      </c>
      <c r="N96" s="16" t="n">
        <v>519.91</v>
      </c>
      <c r="O96" s="16" t="n">
        <v>519.91</v>
      </c>
      <c r="P96" s="16" t="n">
        <v>519.91</v>
      </c>
      <c r="Q96" s="16" t="n">
        <v>519.91</v>
      </c>
      <c r="R96" s="16" t="n">
        <v>519.91</v>
      </c>
      <c r="S96" s="16" t="n">
        <v>519.91</v>
      </c>
      <c r="T96" s="16" t="n">
        <v>519.91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CANON-202601-003170</t>
        </is>
      </c>
      <c r="B97" s="3" t="inlineStr">
        <is>
          <t>2026-01-23</t>
        </is>
      </c>
      <c r="C97" s="3" t="inlineStr">
        <is>
          <t>Priya Rourke</t>
        </is>
      </c>
      <c r="D97" s="3" t="inlineStr">
        <is>
          <t>NV</t>
        </is>
      </c>
      <c r="E97" s="14" t="n">
        <v>1950000</v>
      </c>
      <c r="F97" s="14" t="n">
        <v>13131.46</v>
      </c>
      <c r="G97" s="14" t="n">
        <v>1641.43</v>
      </c>
      <c r="H97" s="14" t="n">
        <v>1641.43</v>
      </c>
      <c r="I97" s="14">
        <f>SUM(K97:T97)</f>
        <v/>
      </c>
      <c r="J97" s="14">
        <f>F97-(G97+H97+I97)</f>
        <v/>
      </c>
      <c r="K97" s="14" t="n">
        <v>984.86</v>
      </c>
      <c r="L97" s="14" t="n">
        <v>984.86</v>
      </c>
      <c r="M97" s="14" t="n">
        <v>984.86</v>
      </c>
      <c r="N97" s="14" t="n">
        <v>984.86</v>
      </c>
      <c r="O97" s="14" t="n">
        <v>984.86</v>
      </c>
      <c r="P97" s="14" t="n">
        <v>984.86</v>
      </c>
      <c r="Q97" s="14" t="n">
        <v>984.86</v>
      </c>
      <c r="R97" s="14" t="n">
        <v>984.86</v>
      </c>
      <c r="S97" s="14" t="n">
        <v>984.86</v>
      </c>
      <c r="T97" s="14" t="n">
        <v>984.86</v>
      </c>
      <c r="U97" s="14" t="n">
        <v>350</v>
      </c>
      <c r="V97" s="14" t="n">
        <v>250</v>
      </c>
      <c r="W97" s="14">
        <f>U97+V97</f>
        <v/>
      </c>
    </row>
    <row r="98">
      <c r="A98" s="15" t="inlineStr">
        <is>
          <t>CANON-202601-003171</t>
        </is>
      </c>
      <c r="B98" s="15" t="inlineStr">
        <is>
          <t>2026-01-08</t>
        </is>
      </c>
      <c r="C98" s="15" t="inlineStr">
        <is>
          <t>Sunniva Harrington</t>
        </is>
      </c>
      <c r="D98" s="15" t="inlineStr">
        <is>
          <t>RI</t>
        </is>
      </c>
      <c r="E98" s="16" t="n">
        <v>370000</v>
      </c>
      <c r="F98" s="16" t="n">
        <v>6435.71</v>
      </c>
      <c r="G98" s="16" t="n">
        <v>804.46</v>
      </c>
      <c r="H98" s="16" t="n">
        <v>804.46</v>
      </c>
      <c r="I98" s="16">
        <f>SUM(K98:T98)</f>
        <v/>
      </c>
      <c r="J98" s="16">
        <f>F98-(G98+H98+I98)</f>
        <v/>
      </c>
      <c r="K98" s="16" t="n">
        <v>482.68</v>
      </c>
      <c r="L98" s="16" t="n">
        <v>482.68</v>
      </c>
      <c r="M98" s="16" t="n">
        <v>482.68</v>
      </c>
      <c r="N98" s="16" t="n">
        <v>482.68</v>
      </c>
      <c r="O98" s="16" t="n">
        <v>482.68</v>
      </c>
      <c r="P98" s="16" t="n">
        <v>482.68</v>
      </c>
      <c r="Q98" s="16" t="n">
        <v>482.68</v>
      </c>
      <c r="R98" s="16" t="n">
        <v>482.68</v>
      </c>
      <c r="S98" s="16" t="n">
        <v>482.68</v>
      </c>
      <c r="T98" s="16" t="n">
        <v>482.68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CANON-202601-003172</t>
        </is>
      </c>
      <c r="B99" s="3" t="inlineStr">
        <is>
          <t>2026-01-25</t>
        </is>
      </c>
      <c r="C99" s="3" t="inlineStr">
        <is>
          <t>Ingrid Vandermeer</t>
        </is>
      </c>
      <c r="D99" s="3" t="inlineStr">
        <is>
          <t>SC</t>
        </is>
      </c>
      <c r="E99" s="14" t="n">
        <v>925000</v>
      </c>
      <c r="F99" s="14" t="n">
        <v>12620.89</v>
      </c>
      <c r="G99" s="14" t="n">
        <v>1577.61</v>
      </c>
      <c r="H99" s="14" t="n">
        <v>1577.61</v>
      </c>
      <c r="I99" s="14">
        <f>SUM(K99:T99)</f>
        <v/>
      </c>
      <c r="J99" s="14">
        <f>F99-(G99+H99+I99)</f>
        <v/>
      </c>
      <c r="K99" s="14" t="n">
        <v>946.5700000000001</v>
      </c>
      <c r="L99" s="14" t="n">
        <v>946.5700000000001</v>
      </c>
      <c r="M99" s="14" t="n">
        <v>946.5700000000001</v>
      </c>
      <c r="N99" s="14" t="n">
        <v>946.5700000000001</v>
      </c>
      <c r="O99" s="14" t="n">
        <v>946.5700000000001</v>
      </c>
      <c r="P99" s="14" t="n">
        <v>946.5700000000001</v>
      </c>
      <c r="Q99" s="14" t="n">
        <v>946.5700000000001</v>
      </c>
      <c r="R99" s="14" t="n">
        <v>946.5700000000001</v>
      </c>
      <c r="S99" s="14" t="n">
        <v>946.5700000000001</v>
      </c>
      <c r="T99" s="14" t="n">
        <v>946.5700000000001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CANON-202601-003173</t>
        </is>
      </c>
      <c r="B100" s="15" t="inlineStr">
        <is>
          <t>2026-01-10</t>
        </is>
      </c>
      <c r="C100" s="15" t="inlineStr">
        <is>
          <t>Anouk Pennington</t>
        </is>
      </c>
      <c r="D100" s="15" t="inlineStr">
        <is>
          <t>FL</t>
        </is>
      </c>
      <c r="E100" s="16" t="n">
        <v>740000</v>
      </c>
      <c r="F100" s="16" t="n">
        <v>11562.37</v>
      </c>
      <c r="G100" s="16" t="n">
        <v>1445.3</v>
      </c>
      <c r="H100" s="16" t="n">
        <v>1445.3</v>
      </c>
      <c r="I100" s="16">
        <f>SUM(K100:T100)</f>
        <v/>
      </c>
      <c r="J100" s="16">
        <f>F100-(G100+H100+I100)</f>
        <v/>
      </c>
      <c r="K100" s="16" t="n">
        <v>867.1799999999999</v>
      </c>
      <c r="L100" s="16" t="n">
        <v>867.1799999999999</v>
      </c>
      <c r="M100" s="16" t="n">
        <v>867.1799999999999</v>
      </c>
      <c r="N100" s="16" t="n">
        <v>867.1799999999999</v>
      </c>
      <c r="O100" s="16" t="n">
        <v>867.1799999999999</v>
      </c>
      <c r="P100" s="16" t="n">
        <v>867.1799999999999</v>
      </c>
      <c r="Q100" s="16" t="n">
        <v>867.1799999999999</v>
      </c>
      <c r="R100" s="16" t="n">
        <v>867.1799999999999</v>
      </c>
      <c r="S100" s="16" t="n">
        <v>867.1799999999999</v>
      </c>
      <c r="T100" s="16" t="n">
        <v>867.1799999999999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CANON-202601-003175</t>
        </is>
      </c>
      <c r="B101" s="3" t="inlineStr">
        <is>
          <t>2026-01-20</t>
        </is>
      </c>
      <c r="C101" s="3" t="inlineStr">
        <is>
          <t>Delphine Castellanos</t>
        </is>
      </c>
      <c r="D101" s="3" t="inlineStr">
        <is>
          <t>IL</t>
        </is>
      </c>
      <c r="E101" s="14" t="n">
        <v>435000</v>
      </c>
      <c r="F101" s="14" t="n">
        <v>4807.1</v>
      </c>
      <c r="G101" s="14" t="n">
        <v>600.89</v>
      </c>
      <c r="H101" s="14" t="n">
        <v>600.89</v>
      </c>
      <c r="I101" s="14">
        <f>SUM(K101:T101)</f>
        <v/>
      </c>
      <c r="J101" s="14">
        <f>F101-(G101+H101+I101)</f>
        <v/>
      </c>
      <c r="K101" s="14" t="n">
        <v>360.53</v>
      </c>
      <c r="L101" s="14" t="n">
        <v>360.53</v>
      </c>
      <c r="M101" s="14" t="n">
        <v>360.53</v>
      </c>
      <c r="N101" s="14" t="n">
        <v>360.53</v>
      </c>
      <c r="O101" s="14" t="n">
        <v>360.53</v>
      </c>
      <c r="P101" s="14" t="n">
        <v>360.53</v>
      </c>
      <c r="Q101" s="14" t="n">
        <v>360.53</v>
      </c>
      <c r="R101" s="14" t="n">
        <v>360.53</v>
      </c>
      <c r="S101" s="14" t="n">
        <v>360.53</v>
      </c>
      <c r="T101" s="14" t="n">
        <v>360.53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CANON-202601-003177</t>
        </is>
      </c>
      <c r="B102" s="15" t="inlineStr">
        <is>
          <t>2026-01-20</t>
        </is>
      </c>
      <c r="C102" s="15" t="inlineStr">
        <is>
          <t>Desmond Pennington</t>
        </is>
      </c>
      <c r="D102" s="15" t="inlineStr">
        <is>
          <t>AR</t>
        </is>
      </c>
      <c r="E102" s="16" t="n">
        <v>880000</v>
      </c>
      <c r="F102" s="16" t="n">
        <v>13362.52</v>
      </c>
      <c r="G102" s="16" t="n">
        <v>1670.32</v>
      </c>
      <c r="H102" s="16" t="n">
        <v>1670.32</v>
      </c>
      <c r="I102" s="16">
        <f>SUM(K102:T102)</f>
        <v/>
      </c>
      <c r="J102" s="16">
        <f>F102-(G102+H102+I102)</f>
        <v/>
      </c>
      <c r="K102" s="16" t="n">
        <v>1002.19</v>
      </c>
      <c r="L102" s="16" t="n">
        <v>1002.19</v>
      </c>
      <c r="M102" s="16" t="n">
        <v>1002.19</v>
      </c>
      <c r="N102" s="16" t="n">
        <v>1002.19</v>
      </c>
      <c r="O102" s="16" t="n">
        <v>1002.19</v>
      </c>
      <c r="P102" s="16" t="n">
        <v>1002.19</v>
      </c>
      <c r="Q102" s="16" t="n">
        <v>1002.19</v>
      </c>
      <c r="R102" s="16" t="n">
        <v>1002.19</v>
      </c>
      <c r="S102" s="16" t="n">
        <v>1002.19</v>
      </c>
      <c r="T102" s="16" t="n">
        <v>1002.19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CANON-202601-003180</t>
        </is>
      </c>
      <c r="B103" s="3" t="inlineStr">
        <is>
          <t>2026-01-14</t>
        </is>
      </c>
      <c r="C103" s="3" t="inlineStr">
        <is>
          <t>Callum Ashcombe</t>
        </is>
      </c>
      <c r="D103" s="3" t="inlineStr">
        <is>
          <t>AL</t>
        </is>
      </c>
      <c r="E103" s="14" t="n">
        <v>335000</v>
      </c>
      <c r="F103" s="14" t="n">
        <v>5401.61</v>
      </c>
      <c r="G103" s="14" t="n">
        <v>675.2</v>
      </c>
      <c r="H103" s="14" t="n">
        <v>675.2</v>
      </c>
      <c r="I103" s="14">
        <f>SUM(K103:T103)</f>
        <v/>
      </c>
      <c r="J103" s="14">
        <f>F103-(G103+H103+I103)</f>
        <v/>
      </c>
      <c r="K103" s="14" t="n">
        <v>405.12</v>
      </c>
      <c r="L103" s="14" t="n">
        <v>405.12</v>
      </c>
      <c r="M103" s="14" t="n">
        <v>405.12</v>
      </c>
      <c r="N103" s="14" t="n">
        <v>405.12</v>
      </c>
      <c r="O103" s="14" t="n">
        <v>405.12</v>
      </c>
      <c r="P103" s="14" t="n">
        <v>405.12</v>
      </c>
      <c r="Q103" s="14" t="n">
        <v>405.12</v>
      </c>
      <c r="R103" s="14" t="n">
        <v>405.12</v>
      </c>
      <c r="S103" s="14" t="n">
        <v>405.12</v>
      </c>
      <c r="T103" s="14" t="n">
        <v>405.12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CANON-202601-003182</t>
        </is>
      </c>
      <c r="B104" s="15" t="inlineStr">
        <is>
          <t>2026-01-23</t>
        </is>
      </c>
      <c r="C104" s="15" t="inlineStr">
        <is>
          <t>Noor Vasquez</t>
        </is>
      </c>
      <c r="D104" s="15" t="inlineStr">
        <is>
          <t>KS</t>
        </is>
      </c>
      <c r="E104" s="16" t="n">
        <v>1160000</v>
      </c>
      <c r="F104" s="16" t="n">
        <v>15238.18</v>
      </c>
      <c r="G104" s="16" t="n">
        <v>1904.77</v>
      </c>
      <c r="H104" s="16" t="n">
        <v>1904.77</v>
      </c>
      <c r="I104" s="16">
        <f>SUM(K104:T104)</f>
        <v/>
      </c>
      <c r="J104" s="16">
        <f>F104-(G104+H104+I104)</f>
        <v/>
      </c>
      <c r="K104" s="16" t="n">
        <v>1142.86</v>
      </c>
      <c r="L104" s="16" t="n">
        <v>1142.86</v>
      </c>
      <c r="M104" s="16" t="n">
        <v>1142.86</v>
      </c>
      <c r="N104" s="16" t="n">
        <v>1142.86</v>
      </c>
      <c r="O104" s="16" t="n">
        <v>1142.86</v>
      </c>
      <c r="P104" s="16" t="n">
        <v>1142.86</v>
      </c>
      <c r="Q104" s="16" t="n">
        <v>1142.86</v>
      </c>
      <c r="R104" s="16" t="n">
        <v>1142.86</v>
      </c>
      <c r="S104" s="16" t="n">
        <v>1142.86</v>
      </c>
      <c r="T104" s="16" t="n">
        <v>1142.86</v>
      </c>
      <c r="U104" s="16" t="n">
        <v>350</v>
      </c>
      <c r="V104" s="16" t="n">
        <v>250</v>
      </c>
      <c r="W104" s="16">
        <f>U104+V104</f>
        <v/>
      </c>
    </row>
    <row r="105">
      <c r="A105" s="3" t="inlineStr">
        <is>
          <t>CANON-202601-003188</t>
        </is>
      </c>
      <c r="B105" s="3" t="inlineStr">
        <is>
          <t>2026-01-27</t>
        </is>
      </c>
      <c r="C105" s="3" t="inlineStr">
        <is>
          <t>Mireille Okonkwo</t>
        </is>
      </c>
      <c r="D105" s="3" t="inlineStr">
        <is>
          <t>MT</t>
        </is>
      </c>
      <c r="E105" s="14" t="n">
        <v>415000</v>
      </c>
      <c r="F105" s="14" t="n">
        <v>4900.11</v>
      </c>
      <c r="G105" s="14" t="n">
        <v>612.51</v>
      </c>
      <c r="H105" s="14" t="n">
        <v>612.51</v>
      </c>
      <c r="I105" s="14">
        <f>SUM(K105:T105)</f>
        <v/>
      </c>
      <c r="J105" s="14">
        <f>F105-(G105+H105+I105)</f>
        <v/>
      </c>
      <c r="K105" s="14" t="n">
        <v>367.51</v>
      </c>
      <c r="L105" s="14" t="n">
        <v>367.51</v>
      </c>
      <c r="M105" s="14" t="n">
        <v>367.51</v>
      </c>
      <c r="N105" s="14" t="n">
        <v>367.51</v>
      </c>
      <c r="O105" s="14" t="n">
        <v>367.51</v>
      </c>
      <c r="P105" s="14" t="n">
        <v>367.51</v>
      </c>
      <c r="Q105" s="14" t="n">
        <v>367.51</v>
      </c>
      <c r="R105" s="14" t="n">
        <v>367.51</v>
      </c>
      <c r="S105" s="14" t="n">
        <v>367.51</v>
      </c>
      <c r="T105" s="14" t="n">
        <v>367.51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CANON-202601-003189</t>
        </is>
      </c>
      <c r="B106" s="15" t="inlineStr">
        <is>
          <t>2026-01-12</t>
        </is>
      </c>
      <c r="C106" s="15" t="inlineStr">
        <is>
          <t>Mireille Vasquez</t>
        </is>
      </c>
      <c r="D106" s="15" t="inlineStr">
        <is>
          <t>MD</t>
        </is>
      </c>
      <c r="E106" s="16" t="n">
        <v>460000</v>
      </c>
      <c r="F106" s="16" t="n">
        <v>5548.25</v>
      </c>
      <c r="G106" s="16" t="n">
        <v>693.53</v>
      </c>
      <c r="H106" s="16" t="n">
        <v>693.53</v>
      </c>
      <c r="I106" s="16">
        <f>SUM(K106:T106)</f>
        <v/>
      </c>
      <c r="J106" s="16">
        <f>F106-(G106+H106+I106)</f>
        <v/>
      </c>
      <c r="K106" s="16" t="n">
        <v>416.12</v>
      </c>
      <c r="L106" s="16" t="n">
        <v>416.12</v>
      </c>
      <c r="M106" s="16" t="n">
        <v>416.12</v>
      </c>
      <c r="N106" s="16" t="n">
        <v>416.12</v>
      </c>
      <c r="O106" s="16" t="n">
        <v>416.12</v>
      </c>
      <c r="P106" s="16" t="n">
        <v>416.12</v>
      </c>
      <c r="Q106" s="16" t="n">
        <v>416.12</v>
      </c>
      <c r="R106" s="16" t="n">
        <v>416.12</v>
      </c>
      <c r="S106" s="16" t="n">
        <v>416.12</v>
      </c>
      <c r="T106" s="16" t="n">
        <v>416.12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CANON-202601-003192</t>
        </is>
      </c>
      <c r="B107" s="3" t="inlineStr">
        <is>
          <t>2026-01-29</t>
        </is>
      </c>
      <c r="C107" s="3" t="inlineStr">
        <is>
          <t>Cassius Vasquez</t>
        </is>
      </c>
      <c r="D107" s="3" t="inlineStr">
        <is>
          <t>IL</t>
        </is>
      </c>
      <c r="E107" s="14" t="n">
        <v>285000</v>
      </c>
      <c r="F107" s="14" t="n">
        <v>5774.04</v>
      </c>
      <c r="G107" s="14" t="n">
        <v>721.75</v>
      </c>
      <c r="H107" s="14" t="n">
        <v>721.75</v>
      </c>
      <c r="I107" s="14">
        <f>SUM(K107:T107)</f>
        <v/>
      </c>
      <c r="J107" s="14">
        <f>F107-(G107+H107+I107)</f>
        <v/>
      </c>
      <c r="K107" s="14" t="n">
        <v>433.05</v>
      </c>
      <c r="L107" s="14" t="n">
        <v>433.05</v>
      </c>
      <c r="M107" s="14" t="n">
        <v>433.05</v>
      </c>
      <c r="N107" s="14" t="n">
        <v>433.05</v>
      </c>
      <c r="O107" s="14" t="n">
        <v>433.05</v>
      </c>
      <c r="P107" s="14" t="n">
        <v>433.05</v>
      </c>
      <c r="Q107" s="14" t="n">
        <v>433.05</v>
      </c>
      <c r="R107" s="14" t="n">
        <v>433.05</v>
      </c>
      <c r="S107" s="14" t="n">
        <v>433.05</v>
      </c>
      <c r="T107" s="14" t="n">
        <v>433.05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CANON-202601-003193</t>
        </is>
      </c>
      <c r="B108" s="15" t="inlineStr">
        <is>
          <t>2026-01-18</t>
        </is>
      </c>
      <c r="C108" s="15" t="inlineStr">
        <is>
          <t>Sunniva Whitlock</t>
        </is>
      </c>
      <c r="D108" s="15" t="inlineStr">
        <is>
          <t>ME</t>
        </is>
      </c>
      <c r="E108" s="16" t="n">
        <v>235000</v>
      </c>
      <c r="F108" s="16" t="n">
        <v>3952.69</v>
      </c>
      <c r="G108" s="16" t="n">
        <v>494.09</v>
      </c>
      <c r="H108" s="16" t="n">
        <v>494.09</v>
      </c>
      <c r="I108" s="16">
        <f>SUM(K108:T108)</f>
        <v/>
      </c>
      <c r="J108" s="16">
        <f>F108-(G108+H108+I108)</f>
        <v/>
      </c>
      <c r="K108" s="16" t="n">
        <v>296.45</v>
      </c>
      <c r="L108" s="16" t="n">
        <v>296.45</v>
      </c>
      <c r="M108" s="16" t="n">
        <v>296.45</v>
      </c>
      <c r="N108" s="16" t="n">
        <v>296.45</v>
      </c>
      <c r="O108" s="16" t="n">
        <v>296.45</v>
      </c>
      <c r="P108" s="16" t="n">
        <v>296.45</v>
      </c>
      <c r="Q108" s="16" t="n">
        <v>296.45</v>
      </c>
      <c r="R108" s="16" t="n">
        <v>296.45</v>
      </c>
      <c r="S108" s="16" t="n">
        <v>296.45</v>
      </c>
      <c r="T108" s="16" t="n">
        <v>296.45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CANON-202601-003194</t>
        </is>
      </c>
      <c r="B109" s="3" t="inlineStr">
        <is>
          <t>2026-01-15</t>
        </is>
      </c>
      <c r="C109" s="3" t="inlineStr">
        <is>
          <t>Everett Ashcombe</t>
        </is>
      </c>
      <c r="D109" s="3" t="inlineStr">
        <is>
          <t>PA</t>
        </is>
      </c>
      <c r="E109" s="14" t="n">
        <v>700000</v>
      </c>
      <c r="F109" s="14" t="n">
        <v>7702.38</v>
      </c>
      <c r="G109" s="14" t="n">
        <v>962.8</v>
      </c>
      <c r="H109" s="14" t="n">
        <v>962.8</v>
      </c>
      <c r="I109" s="14">
        <f>SUM(K109:T109)</f>
        <v/>
      </c>
      <c r="J109" s="14">
        <f>F109-(G109+H109+I109)</f>
        <v/>
      </c>
      <c r="K109" s="14" t="n">
        <v>577.6799999999999</v>
      </c>
      <c r="L109" s="14" t="n">
        <v>577.6799999999999</v>
      </c>
      <c r="M109" s="14" t="n">
        <v>577.6799999999999</v>
      </c>
      <c r="N109" s="14" t="n">
        <v>577.6799999999999</v>
      </c>
      <c r="O109" s="14" t="n">
        <v>577.6799999999999</v>
      </c>
      <c r="P109" s="14" t="n">
        <v>577.6799999999999</v>
      </c>
      <c r="Q109" s="14" t="n">
        <v>577.6799999999999</v>
      </c>
      <c r="R109" s="14" t="n">
        <v>577.6799999999999</v>
      </c>
      <c r="S109" s="14" t="n">
        <v>577.6799999999999</v>
      </c>
      <c r="T109" s="14" t="n">
        <v>577.6799999999999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CANON-202601-003195</t>
        </is>
      </c>
      <c r="B110" s="15" t="inlineStr">
        <is>
          <t>2026-01-04</t>
        </is>
      </c>
      <c r="C110" s="15" t="inlineStr">
        <is>
          <t>Aurelio Vandermeer</t>
        </is>
      </c>
      <c r="D110" s="15" t="inlineStr">
        <is>
          <t>LA</t>
        </is>
      </c>
      <c r="E110" s="16" t="n">
        <v>1060000</v>
      </c>
      <c r="F110" s="16" t="n">
        <v>11941.73</v>
      </c>
      <c r="G110" s="16" t="n">
        <v>1492.72</v>
      </c>
      <c r="H110" s="16" t="n">
        <v>1492.72</v>
      </c>
      <c r="I110" s="16">
        <f>SUM(K110:T110)</f>
        <v/>
      </c>
      <c r="J110" s="16">
        <f>F110-(G110+H110+I110)</f>
        <v/>
      </c>
      <c r="K110" s="16" t="n">
        <v>895.63</v>
      </c>
      <c r="L110" s="16" t="n">
        <v>895.63</v>
      </c>
      <c r="M110" s="16" t="n">
        <v>895.63</v>
      </c>
      <c r="N110" s="16" t="n">
        <v>895.63</v>
      </c>
      <c r="O110" s="16" t="n">
        <v>895.63</v>
      </c>
      <c r="P110" s="16" t="n">
        <v>895.63</v>
      </c>
      <c r="Q110" s="16" t="n">
        <v>895.63</v>
      </c>
      <c r="R110" s="16" t="n">
        <v>895.63</v>
      </c>
      <c r="S110" s="16" t="n">
        <v>895.63</v>
      </c>
      <c r="T110" s="16" t="n">
        <v>895.63</v>
      </c>
      <c r="U110" s="16" t="n">
        <v>350</v>
      </c>
      <c r="V110" s="16" t="n">
        <v>250</v>
      </c>
      <c r="W110" s="16">
        <f>U110+V110</f>
        <v/>
      </c>
    </row>
    <row r="111">
      <c r="A111" s="3" t="inlineStr">
        <is>
          <t>CANON-202601-003199</t>
        </is>
      </c>
      <c r="B111" s="3" t="inlineStr">
        <is>
          <t>2026-01-31</t>
        </is>
      </c>
      <c r="C111" s="3" t="inlineStr">
        <is>
          <t>Lorenzo Merriweather</t>
        </is>
      </c>
      <c r="D111" s="3" t="inlineStr">
        <is>
          <t>MA</t>
        </is>
      </c>
      <c r="E111" s="14" t="n">
        <v>600000</v>
      </c>
      <c r="F111" s="14" t="n">
        <v>8252.540000000001</v>
      </c>
      <c r="G111" s="14" t="n">
        <v>1031.57</v>
      </c>
      <c r="H111" s="14" t="n">
        <v>1031.57</v>
      </c>
      <c r="I111" s="14">
        <f>SUM(K111:T111)</f>
        <v/>
      </c>
      <c r="J111" s="14">
        <f>F111-(G111+H111+I111)</f>
        <v/>
      </c>
      <c r="K111" s="14" t="n">
        <v>618.9400000000001</v>
      </c>
      <c r="L111" s="14" t="n">
        <v>618.9400000000001</v>
      </c>
      <c r="M111" s="14" t="n">
        <v>618.9400000000001</v>
      </c>
      <c r="N111" s="14" t="n">
        <v>618.9400000000001</v>
      </c>
      <c r="O111" s="14" t="n">
        <v>618.9400000000001</v>
      </c>
      <c r="P111" s="14" t="n">
        <v>618.9400000000001</v>
      </c>
      <c r="Q111" s="14" t="n">
        <v>618.9400000000001</v>
      </c>
      <c r="R111" s="14" t="n">
        <v>618.9400000000001</v>
      </c>
      <c r="S111" s="14" t="n">
        <v>618.9400000000001</v>
      </c>
      <c r="T111" s="14" t="n">
        <v>618.9400000000001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CANON-202601-003200</t>
        </is>
      </c>
      <c r="B112" s="15" t="inlineStr">
        <is>
          <t>2026-01-18</t>
        </is>
      </c>
      <c r="C112" s="15" t="inlineStr">
        <is>
          <t>Mireille Okonkwo</t>
        </is>
      </c>
      <c r="D112" s="15" t="inlineStr">
        <is>
          <t>WA</t>
        </is>
      </c>
      <c r="E112" s="16" t="n">
        <v>380000</v>
      </c>
      <c r="F112" s="16" t="n">
        <v>4631.58</v>
      </c>
      <c r="G112" s="16" t="n">
        <v>578.95</v>
      </c>
      <c r="H112" s="16" t="n">
        <v>578.95</v>
      </c>
      <c r="I112" s="16">
        <f>SUM(K112:T112)</f>
        <v/>
      </c>
      <c r="J112" s="16">
        <f>F112-(G112+H112+I112)</f>
        <v/>
      </c>
      <c r="K112" s="16" t="n">
        <v>347.37</v>
      </c>
      <c r="L112" s="16" t="n">
        <v>347.37</v>
      </c>
      <c r="M112" s="16" t="n">
        <v>347.37</v>
      </c>
      <c r="N112" s="16" t="n">
        <v>347.37</v>
      </c>
      <c r="O112" s="16" t="n">
        <v>347.37</v>
      </c>
      <c r="P112" s="16" t="n">
        <v>347.37</v>
      </c>
      <c r="Q112" s="16" t="n">
        <v>347.37</v>
      </c>
      <c r="R112" s="16" t="n">
        <v>347.37</v>
      </c>
      <c r="S112" s="16" t="n">
        <v>347.37</v>
      </c>
      <c r="T112" s="16" t="n">
        <v>347.37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CANON-202601-003201</t>
        </is>
      </c>
      <c r="B113" s="3" t="inlineStr">
        <is>
          <t>2026-01-14</t>
        </is>
      </c>
      <c r="C113" s="3" t="inlineStr">
        <is>
          <t>Priya Montoya</t>
        </is>
      </c>
      <c r="D113" s="3" t="inlineStr">
        <is>
          <t>NY</t>
        </is>
      </c>
      <c r="E113" s="14" t="n">
        <v>380000</v>
      </c>
      <c r="F113" s="14" t="n">
        <v>6175.45</v>
      </c>
      <c r="G113" s="14" t="n">
        <v>771.9299999999999</v>
      </c>
      <c r="H113" s="14" t="n">
        <v>771.9299999999999</v>
      </c>
      <c r="I113" s="14">
        <f>SUM(K113:T113)</f>
        <v/>
      </c>
      <c r="J113" s="14">
        <f>F113-(G113+H113+I113)</f>
        <v/>
      </c>
      <c r="K113" s="14" t="n">
        <v>463.16</v>
      </c>
      <c r="L113" s="14" t="n">
        <v>463.16</v>
      </c>
      <c r="M113" s="14" t="n">
        <v>463.16</v>
      </c>
      <c r="N113" s="14" t="n">
        <v>463.16</v>
      </c>
      <c r="O113" s="14" t="n">
        <v>463.16</v>
      </c>
      <c r="P113" s="14" t="n">
        <v>463.16</v>
      </c>
      <c r="Q113" s="14" t="n">
        <v>463.16</v>
      </c>
      <c r="R113" s="14" t="n">
        <v>463.16</v>
      </c>
      <c r="S113" s="14" t="n">
        <v>463.16</v>
      </c>
      <c r="T113" s="14" t="n">
        <v>463.16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CANON-202601-003204</t>
        </is>
      </c>
      <c r="B114" s="15" t="inlineStr">
        <is>
          <t>2026-01-22</t>
        </is>
      </c>
      <c r="C114" s="15" t="inlineStr">
        <is>
          <t>Marisol Farkas</t>
        </is>
      </c>
      <c r="D114" s="15" t="inlineStr">
        <is>
          <t>WA</t>
        </is>
      </c>
      <c r="E114" s="16" t="n">
        <v>660000</v>
      </c>
      <c r="F114" s="16" t="n">
        <v>6971.76</v>
      </c>
      <c r="G114" s="16" t="n">
        <v>871.47</v>
      </c>
      <c r="H114" s="16" t="n">
        <v>871.47</v>
      </c>
      <c r="I114" s="16">
        <f>SUM(K114:T114)</f>
        <v/>
      </c>
      <c r="J114" s="16">
        <f>F114-(G114+H114+I114)</f>
        <v/>
      </c>
      <c r="K114" s="16" t="n">
        <v>522.88</v>
      </c>
      <c r="L114" s="16" t="n">
        <v>522.88</v>
      </c>
      <c r="M114" s="16" t="n">
        <v>522.88</v>
      </c>
      <c r="N114" s="16" t="n">
        <v>522.88</v>
      </c>
      <c r="O114" s="16" t="n">
        <v>522.88</v>
      </c>
      <c r="P114" s="16" t="n">
        <v>522.88</v>
      </c>
      <c r="Q114" s="16" t="n">
        <v>522.88</v>
      </c>
      <c r="R114" s="16" t="n">
        <v>522.88</v>
      </c>
      <c r="S114" s="16" t="n">
        <v>522.88</v>
      </c>
      <c r="T114" s="16" t="n">
        <v>522.88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CANON-202601-003205</t>
        </is>
      </c>
      <c r="B115" s="3" t="inlineStr">
        <is>
          <t>2026-01-09</t>
        </is>
      </c>
      <c r="C115" s="3" t="inlineStr">
        <is>
          <t>Marisol Farkas</t>
        </is>
      </c>
      <c r="D115" s="3" t="inlineStr">
        <is>
          <t>ID</t>
        </is>
      </c>
      <c r="E115" s="14" t="n">
        <v>440000</v>
      </c>
      <c r="F115" s="14" t="n">
        <v>5530.48</v>
      </c>
      <c r="G115" s="14" t="n">
        <v>691.3099999999999</v>
      </c>
      <c r="H115" s="14" t="n">
        <v>691.3099999999999</v>
      </c>
      <c r="I115" s="14">
        <f>SUM(K115:T115)</f>
        <v/>
      </c>
      <c r="J115" s="14">
        <f>F115-(G115+H115+I115)</f>
        <v/>
      </c>
      <c r="K115" s="14" t="n">
        <v>414.79</v>
      </c>
      <c r="L115" s="14" t="n">
        <v>414.79</v>
      </c>
      <c r="M115" s="14" t="n">
        <v>414.79</v>
      </c>
      <c r="N115" s="14" t="n">
        <v>414.79</v>
      </c>
      <c r="O115" s="14" t="n">
        <v>414.79</v>
      </c>
      <c r="P115" s="14" t="n">
        <v>414.79</v>
      </c>
      <c r="Q115" s="14" t="n">
        <v>414.79</v>
      </c>
      <c r="R115" s="14" t="n">
        <v>414.79</v>
      </c>
      <c r="S115" s="14" t="n">
        <v>414.79</v>
      </c>
      <c r="T115" s="14" t="n">
        <v>414.79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CANON-202601-003206</t>
        </is>
      </c>
      <c r="B116" s="15" t="inlineStr">
        <is>
          <t>2026-01-11</t>
        </is>
      </c>
      <c r="C116" s="15" t="inlineStr">
        <is>
          <t>Saoirse Ashcombe</t>
        </is>
      </c>
      <c r="D116" s="15" t="inlineStr">
        <is>
          <t>CA</t>
        </is>
      </c>
      <c r="E116" s="16" t="n">
        <v>610000</v>
      </c>
      <c r="F116" s="16" t="n">
        <v>9061.299999999999</v>
      </c>
      <c r="G116" s="16" t="n">
        <v>1132.66</v>
      </c>
      <c r="H116" s="16" t="n">
        <v>1132.66</v>
      </c>
      <c r="I116" s="16">
        <f>SUM(K116:T116)</f>
        <v/>
      </c>
      <c r="J116" s="16">
        <f>F116-(G116+H116+I116)</f>
        <v/>
      </c>
      <c r="K116" s="16" t="n">
        <v>679.6</v>
      </c>
      <c r="L116" s="16" t="n">
        <v>679.6</v>
      </c>
      <c r="M116" s="16" t="n">
        <v>679.6</v>
      </c>
      <c r="N116" s="16" t="n">
        <v>679.6</v>
      </c>
      <c r="O116" s="16" t="n">
        <v>679.6</v>
      </c>
      <c r="P116" s="16" t="n">
        <v>679.6</v>
      </c>
      <c r="Q116" s="16" t="n">
        <v>679.6</v>
      </c>
      <c r="R116" s="16" t="n">
        <v>679.6</v>
      </c>
      <c r="S116" s="16" t="n">
        <v>679.6</v>
      </c>
      <c r="T116" s="16" t="n">
        <v>679.6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CANON-202601-003207</t>
        </is>
      </c>
      <c r="B117" s="3" t="inlineStr">
        <is>
          <t>2026-01-11</t>
        </is>
      </c>
      <c r="C117" s="3" t="inlineStr">
        <is>
          <t>Ramona Okonkwo</t>
        </is>
      </c>
      <c r="D117" s="3" t="inlineStr">
        <is>
          <t>MD</t>
        </is>
      </c>
      <c r="E117" s="14" t="n">
        <v>1175000</v>
      </c>
      <c r="F117" s="14" t="n">
        <v>7180.56</v>
      </c>
      <c r="G117" s="14" t="n">
        <v>897.5700000000001</v>
      </c>
      <c r="H117" s="14" t="n">
        <v>897.5700000000001</v>
      </c>
      <c r="I117" s="14">
        <f>SUM(K117:T117)</f>
        <v/>
      </c>
      <c r="J117" s="14">
        <f>F117-(G117+H117+I117)</f>
        <v/>
      </c>
      <c r="K117" s="14" t="n">
        <v>538.54</v>
      </c>
      <c r="L117" s="14" t="n">
        <v>538.54</v>
      </c>
      <c r="M117" s="14" t="n">
        <v>538.54</v>
      </c>
      <c r="N117" s="14" t="n">
        <v>538.54</v>
      </c>
      <c r="O117" s="14" t="n">
        <v>538.54</v>
      </c>
      <c r="P117" s="14" t="n">
        <v>538.54</v>
      </c>
      <c r="Q117" s="14" t="n">
        <v>538.54</v>
      </c>
      <c r="R117" s="14" t="n">
        <v>538.54</v>
      </c>
      <c r="S117" s="14" t="n">
        <v>538.54</v>
      </c>
      <c r="T117" s="14" t="n">
        <v>538.54</v>
      </c>
      <c r="U117" s="14" t="n">
        <v>350</v>
      </c>
      <c r="V117" s="14" t="n">
        <v>250</v>
      </c>
      <c r="W117" s="14">
        <f>U117+V117</f>
        <v/>
      </c>
    </row>
    <row r="118">
      <c r="A118" s="15" t="inlineStr">
        <is>
          <t>CANON-202601-003208</t>
        </is>
      </c>
      <c r="B118" s="15" t="inlineStr">
        <is>
          <t>2026-01-10</t>
        </is>
      </c>
      <c r="C118" s="15" t="inlineStr">
        <is>
          <t>Ottilie Underwood</t>
        </is>
      </c>
      <c r="D118" s="15" t="inlineStr">
        <is>
          <t>TX</t>
        </is>
      </c>
      <c r="E118" s="16" t="n">
        <v>460000</v>
      </c>
      <c r="F118" s="16" t="n">
        <v>6716.3</v>
      </c>
      <c r="G118" s="16" t="n">
        <v>839.54</v>
      </c>
      <c r="H118" s="16" t="n">
        <v>839.54</v>
      </c>
      <c r="I118" s="16">
        <f>SUM(K118:T118)</f>
        <v/>
      </c>
      <c r="J118" s="16">
        <f>F118-(G118+H118+I118)</f>
        <v/>
      </c>
      <c r="K118" s="16" t="n">
        <v>503.72</v>
      </c>
      <c r="L118" s="16" t="n">
        <v>503.72</v>
      </c>
      <c r="M118" s="16" t="n">
        <v>503.72</v>
      </c>
      <c r="N118" s="16" t="n">
        <v>503.72</v>
      </c>
      <c r="O118" s="16" t="n">
        <v>503.72</v>
      </c>
      <c r="P118" s="16" t="n">
        <v>503.72</v>
      </c>
      <c r="Q118" s="16" t="n">
        <v>503.72</v>
      </c>
      <c r="R118" s="16" t="n">
        <v>503.72</v>
      </c>
      <c r="S118" s="16" t="n">
        <v>503.72</v>
      </c>
      <c r="T118" s="16" t="n">
        <v>503.72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CANON-202601-003209</t>
        </is>
      </c>
      <c r="B119" s="3" t="inlineStr">
        <is>
          <t>2026-01-06</t>
        </is>
      </c>
      <c r="C119" s="3" t="inlineStr">
        <is>
          <t>Priya Okonkwo</t>
        </is>
      </c>
      <c r="D119" s="3" t="inlineStr">
        <is>
          <t>KY</t>
        </is>
      </c>
      <c r="E119" s="14" t="n">
        <v>935000</v>
      </c>
      <c r="F119" s="14" t="n">
        <v>20148.99</v>
      </c>
      <c r="G119" s="14" t="n">
        <v>2518.62</v>
      </c>
      <c r="H119" s="14" t="n">
        <v>2518.62</v>
      </c>
      <c r="I119" s="14">
        <f>SUM(K119:T119)</f>
        <v/>
      </c>
      <c r="J119" s="14">
        <f>F119-(G119+H119+I119)</f>
        <v/>
      </c>
      <c r="K119" s="14" t="n">
        <v>1511.17</v>
      </c>
      <c r="L119" s="14" t="n">
        <v>1511.17</v>
      </c>
      <c r="M119" s="14" t="n">
        <v>1511.17</v>
      </c>
      <c r="N119" s="14" t="n">
        <v>1511.17</v>
      </c>
      <c r="O119" s="14" t="n">
        <v>1511.17</v>
      </c>
      <c r="P119" s="14" t="n">
        <v>1511.17</v>
      </c>
      <c r="Q119" s="14" t="n">
        <v>1511.17</v>
      </c>
      <c r="R119" s="14" t="n">
        <v>1511.17</v>
      </c>
      <c r="S119" s="14" t="n">
        <v>1511.17</v>
      </c>
      <c r="T119" s="14" t="n">
        <v>1511.17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CANON-202601-003210</t>
        </is>
      </c>
      <c r="B120" s="15" t="inlineStr">
        <is>
          <t>2026-01-25</t>
        </is>
      </c>
      <c r="C120" s="15" t="inlineStr">
        <is>
          <t>Aurelio Blackwood</t>
        </is>
      </c>
      <c r="D120" s="15" t="inlineStr">
        <is>
          <t>FL</t>
        </is>
      </c>
      <c r="E120" s="16" t="n">
        <v>1125000</v>
      </c>
      <c r="F120" s="16" t="n">
        <v>10276.32</v>
      </c>
      <c r="G120" s="16" t="n">
        <v>1284.54</v>
      </c>
      <c r="H120" s="16" t="n">
        <v>1284.54</v>
      </c>
      <c r="I120" s="16">
        <f>SUM(K120:T120)</f>
        <v/>
      </c>
      <c r="J120" s="16">
        <f>F120-(G120+H120+I120)</f>
        <v/>
      </c>
      <c r="K120" s="16" t="n">
        <v>770.72</v>
      </c>
      <c r="L120" s="16" t="n">
        <v>770.72</v>
      </c>
      <c r="M120" s="16" t="n">
        <v>770.72</v>
      </c>
      <c r="N120" s="16" t="n">
        <v>770.72</v>
      </c>
      <c r="O120" s="16" t="n">
        <v>770.72</v>
      </c>
      <c r="P120" s="16" t="n">
        <v>770.72</v>
      </c>
      <c r="Q120" s="16" t="n">
        <v>770.72</v>
      </c>
      <c r="R120" s="16" t="n">
        <v>770.72</v>
      </c>
      <c r="S120" s="16" t="n">
        <v>770.72</v>
      </c>
      <c r="T120" s="16" t="n">
        <v>770.72</v>
      </c>
      <c r="U120" s="16" t="n">
        <v>350</v>
      </c>
      <c r="V120" s="16" t="n">
        <v>250</v>
      </c>
      <c r="W120" s="16">
        <f>U120+V120</f>
        <v/>
      </c>
    </row>
    <row r="121">
      <c r="A121" s="3" t="inlineStr">
        <is>
          <t>CANON-202601-003212</t>
        </is>
      </c>
      <c r="B121" s="3" t="inlineStr">
        <is>
          <t>2026-01-17</t>
        </is>
      </c>
      <c r="C121" s="3" t="inlineStr">
        <is>
          <t>Priya Merriweather</t>
        </is>
      </c>
      <c r="D121" s="3" t="inlineStr">
        <is>
          <t>IN</t>
        </is>
      </c>
      <c r="E121" s="14" t="n">
        <v>780000</v>
      </c>
      <c r="F121" s="14" t="n">
        <v>6983.63</v>
      </c>
      <c r="G121" s="14" t="n">
        <v>872.95</v>
      </c>
      <c r="H121" s="14" t="n">
        <v>872.95</v>
      </c>
      <c r="I121" s="14">
        <f>SUM(K121:T121)</f>
        <v/>
      </c>
      <c r="J121" s="14">
        <f>F121-(G121+H121+I121)</f>
        <v/>
      </c>
      <c r="K121" s="14" t="n">
        <v>523.77</v>
      </c>
      <c r="L121" s="14" t="n">
        <v>523.77</v>
      </c>
      <c r="M121" s="14" t="n">
        <v>523.77</v>
      </c>
      <c r="N121" s="14" t="n">
        <v>523.77</v>
      </c>
      <c r="O121" s="14" t="n">
        <v>523.77</v>
      </c>
      <c r="P121" s="14" t="n">
        <v>523.77</v>
      </c>
      <c r="Q121" s="14" t="n">
        <v>523.77</v>
      </c>
      <c r="R121" s="14" t="n">
        <v>523.77</v>
      </c>
      <c r="S121" s="14" t="n">
        <v>523.77</v>
      </c>
      <c r="T121" s="14" t="n">
        <v>523.77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CANON-202601-003213</t>
        </is>
      </c>
      <c r="B122" s="15" t="inlineStr">
        <is>
          <t>2026-01-08</t>
        </is>
      </c>
      <c r="C122" s="15" t="inlineStr">
        <is>
          <t>Horace Vandermeer</t>
        </is>
      </c>
      <c r="D122" s="15" t="inlineStr">
        <is>
          <t>LA</t>
        </is>
      </c>
      <c r="E122" s="16" t="n">
        <v>445000</v>
      </c>
      <c r="F122" s="16" t="n">
        <v>6836.29</v>
      </c>
      <c r="G122" s="16" t="n">
        <v>854.54</v>
      </c>
      <c r="H122" s="16" t="n">
        <v>854.54</v>
      </c>
      <c r="I122" s="16">
        <f>SUM(K122:T122)</f>
        <v/>
      </c>
      <c r="J122" s="16">
        <f>F122-(G122+H122+I122)</f>
        <v/>
      </c>
      <c r="K122" s="16" t="n">
        <v>512.72</v>
      </c>
      <c r="L122" s="16" t="n">
        <v>512.72</v>
      </c>
      <c r="M122" s="16" t="n">
        <v>512.72</v>
      </c>
      <c r="N122" s="16" t="n">
        <v>512.72</v>
      </c>
      <c r="O122" s="16" t="n">
        <v>512.72</v>
      </c>
      <c r="P122" s="16" t="n">
        <v>512.72</v>
      </c>
      <c r="Q122" s="16" t="n">
        <v>512.72</v>
      </c>
      <c r="R122" s="16" t="n">
        <v>512.72</v>
      </c>
      <c r="S122" s="16" t="n">
        <v>512.72</v>
      </c>
      <c r="T122" s="16" t="n">
        <v>512.72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CANON-202601-003214</t>
        </is>
      </c>
      <c r="B123" s="3" t="inlineStr">
        <is>
          <t>2026-01-27</t>
        </is>
      </c>
      <c r="C123" s="3" t="inlineStr">
        <is>
          <t>Priya Ashcombe</t>
        </is>
      </c>
      <c r="D123" s="3" t="inlineStr">
        <is>
          <t>MA</t>
        </is>
      </c>
      <c r="E123" s="14" t="n">
        <v>440000</v>
      </c>
      <c r="F123" s="14" t="n">
        <v>6982.93</v>
      </c>
      <c r="G123" s="14" t="n">
        <v>872.87</v>
      </c>
      <c r="H123" s="14" t="n">
        <v>872.87</v>
      </c>
      <c r="I123" s="14">
        <f>SUM(K123:T123)</f>
        <v/>
      </c>
      <c r="J123" s="14">
        <f>F123-(G123+H123+I123)</f>
        <v/>
      </c>
      <c r="K123" s="14" t="n">
        <v>523.72</v>
      </c>
      <c r="L123" s="14" t="n">
        <v>523.72</v>
      </c>
      <c r="M123" s="14" t="n">
        <v>523.72</v>
      </c>
      <c r="N123" s="14" t="n">
        <v>523.72</v>
      </c>
      <c r="O123" s="14" t="n">
        <v>523.72</v>
      </c>
      <c r="P123" s="14" t="n">
        <v>523.72</v>
      </c>
      <c r="Q123" s="14" t="n">
        <v>523.72</v>
      </c>
      <c r="R123" s="14" t="n">
        <v>523.72</v>
      </c>
      <c r="S123" s="14" t="n">
        <v>523.72</v>
      </c>
      <c r="T123" s="14" t="n">
        <v>523.72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CANON-202601-003215</t>
        </is>
      </c>
      <c r="B124" s="15" t="inlineStr">
        <is>
          <t>2026-01-22</t>
        </is>
      </c>
      <c r="C124" s="15" t="inlineStr">
        <is>
          <t>Noor Blackwood</t>
        </is>
      </c>
      <c r="D124" s="15" t="inlineStr">
        <is>
          <t>CA</t>
        </is>
      </c>
      <c r="E124" s="16" t="n">
        <v>1040000</v>
      </c>
      <c r="F124" s="16" t="n">
        <v>9031.59</v>
      </c>
      <c r="G124" s="16" t="n">
        <v>1128.95</v>
      </c>
      <c r="H124" s="16" t="n">
        <v>1128.95</v>
      </c>
      <c r="I124" s="16">
        <f>SUM(K124:T124)</f>
        <v/>
      </c>
      <c r="J124" s="16">
        <f>F124-(G124+H124+I124)</f>
        <v/>
      </c>
      <c r="K124" s="16" t="n">
        <v>677.37</v>
      </c>
      <c r="L124" s="16" t="n">
        <v>677.37</v>
      </c>
      <c r="M124" s="16" t="n">
        <v>677.37</v>
      </c>
      <c r="N124" s="16" t="n">
        <v>677.37</v>
      </c>
      <c r="O124" s="16" t="n">
        <v>677.37</v>
      </c>
      <c r="P124" s="16" t="n">
        <v>677.37</v>
      </c>
      <c r="Q124" s="16" t="n">
        <v>677.37</v>
      </c>
      <c r="R124" s="16" t="n">
        <v>677.37</v>
      </c>
      <c r="S124" s="16" t="n">
        <v>677.37</v>
      </c>
      <c r="T124" s="16" t="n">
        <v>677.37</v>
      </c>
      <c r="U124" s="16" t="n">
        <v>350</v>
      </c>
      <c r="V124" s="16" t="n">
        <v>250</v>
      </c>
      <c r="W124" s="16">
        <f>U124+V124</f>
        <v/>
      </c>
    </row>
    <row r="125">
      <c r="A125" s="3" t="inlineStr">
        <is>
          <t>CANON-202601-003217</t>
        </is>
      </c>
      <c r="B125" s="3" t="inlineStr">
        <is>
          <t>2026-01-02</t>
        </is>
      </c>
      <c r="C125" s="3" t="inlineStr">
        <is>
          <t>Lorenzo Thistlewood</t>
        </is>
      </c>
      <c r="D125" s="3" t="inlineStr">
        <is>
          <t>KY</t>
        </is>
      </c>
      <c r="E125" s="14" t="n">
        <v>1950000</v>
      </c>
      <c r="F125" s="14" t="n">
        <v>16808.79</v>
      </c>
      <c r="G125" s="14" t="n">
        <v>2101.1</v>
      </c>
      <c r="H125" s="14" t="n">
        <v>2101.1</v>
      </c>
      <c r="I125" s="14">
        <f>SUM(K125:T125)</f>
        <v/>
      </c>
      <c r="J125" s="14">
        <f>F125-(G125+H125+I125)</f>
        <v/>
      </c>
      <c r="K125" s="14" t="n">
        <v>1260.66</v>
      </c>
      <c r="L125" s="14" t="n">
        <v>1260.66</v>
      </c>
      <c r="M125" s="14" t="n">
        <v>1260.66</v>
      </c>
      <c r="N125" s="14" t="n">
        <v>1260.66</v>
      </c>
      <c r="O125" s="14" t="n">
        <v>1260.66</v>
      </c>
      <c r="P125" s="14" t="n">
        <v>1260.66</v>
      </c>
      <c r="Q125" s="14" t="n">
        <v>1260.66</v>
      </c>
      <c r="R125" s="14" t="n">
        <v>1260.66</v>
      </c>
      <c r="S125" s="14" t="n">
        <v>1260.66</v>
      </c>
      <c r="T125" s="14" t="n">
        <v>1260.66</v>
      </c>
      <c r="U125" s="14" t="n">
        <v>350</v>
      </c>
      <c r="V125" s="14" t="n">
        <v>250</v>
      </c>
      <c r="W125" s="14">
        <f>U125+V125</f>
        <v/>
      </c>
    </row>
    <row r="126">
      <c r="A126" s="15" t="inlineStr">
        <is>
          <t>CANON-202601-003219</t>
        </is>
      </c>
      <c r="B126" s="15" t="inlineStr">
        <is>
          <t>2026-01-09</t>
        </is>
      </c>
      <c r="C126" s="15" t="inlineStr">
        <is>
          <t>Leopold Okonkwo</t>
        </is>
      </c>
      <c r="D126" s="15" t="inlineStr">
        <is>
          <t>UT</t>
        </is>
      </c>
      <c r="E126" s="16" t="n">
        <v>350000</v>
      </c>
      <c r="F126" s="16" t="n">
        <v>5998.97</v>
      </c>
      <c r="G126" s="16" t="n">
        <v>749.87</v>
      </c>
      <c r="H126" s="16" t="n">
        <v>749.87</v>
      </c>
      <c r="I126" s="16">
        <f>SUM(K126:T126)</f>
        <v/>
      </c>
      <c r="J126" s="16">
        <f>F126-(G126+H126+I126)</f>
        <v/>
      </c>
      <c r="K126" s="16" t="n">
        <v>449.92</v>
      </c>
      <c r="L126" s="16" t="n">
        <v>449.92</v>
      </c>
      <c r="M126" s="16" t="n">
        <v>449.92</v>
      </c>
      <c r="N126" s="16" t="n">
        <v>449.92</v>
      </c>
      <c r="O126" s="16" t="n">
        <v>449.92</v>
      </c>
      <c r="P126" s="16" t="n">
        <v>449.92</v>
      </c>
      <c r="Q126" s="16" t="n">
        <v>449.92</v>
      </c>
      <c r="R126" s="16" t="n">
        <v>449.92</v>
      </c>
      <c r="S126" s="16" t="n">
        <v>449.92</v>
      </c>
      <c r="T126" s="16" t="n">
        <v>449.92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CANON-202601-003220</t>
        </is>
      </c>
      <c r="B127" s="3" t="inlineStr">
        <is>
          <t>2026-01-23</t>
        </is>
      </c>
      <c r="C127" s="3" t="inlineStr">
        <is>
          <t>Mireille Fairweather</t>
        </is>
      </c>
      <c r="D127" s="3" t="inlineStr">
        <is>
          <t>KY</t>
        </is>
      </c>
      <c r="E127" s="14" t="n">
        <v>485000</v>
      </c>
      <c r="F127" s="14" t="n">
        <v>8251.280000000001</v>
      </c>
      <c r="G127" s="14" t="n">
        <v>1031.41</v>
      </c>
      <c r="H127" s="14" t="n">
        <v>1031.41</v>
      </c>
      <c r="I127" s="14">
        <f>SUM(K127:T127)</f>
        <v/>
      </c>
      <c r="J127" s="14">
        <f>F127-(G127+H127+I127)</f>
        <v/>
      </c>
      <c r="K127" s="14" t="n">
        <v>618.85</v>
      </c>
      <c r="L127" s="14" t="n">
        <v>618.85</v>
      </c>
      <c r="M127" s="14" t="n">
        <v>618.85</v>
      </c>
      <c r="N127" s="14" t="n">
        <v>618.85</v>
      </c>
      <c r="O127" s="14" t="n">
        <v>618.85</v>
      </c>
      <c r="P127" s="14" t="n">
        <v>618.85</v>
      </c>
      <c r="Q127" s="14" t="n">
        <v>618.85</v>
      </c>
      <c r="R127" s="14" t="n">
        <v>618.85</v>
      </c>
      <c r="S127" s="14" t="n">
        <v>618.85</v>
      </c>
      <c r="T127" s="14" t="n">
        <v>618.85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CANON-202601-003223</t>
        </is>
      </c>
      <c r="B128" s="15" t="inlineStr">
        <is>
          <t>2026-01-30</t>
        </is>
      </c>
      <c r="C128" s="15" t="inlineStr">
        <is>
          <t>Priya Rourke</t>
        </is>
      </c>
      <c r="D128" s="15" t="inlineStr">
        <is>
          <t>NM</t>
        </is>
      </c>
      <c r="E128" s="16" t="n">
        <v>1950000</v>
      </c>
      <c r="F128" s="16" t="n">
        <v>33802.43</v>
      </c>
      <c r="G128" s="16" t="n">
        <v>4225.3</v>
      </c>
      <c r="H128" s="16" t="n">
        <v>4225.3</v>
      </c>
      <c r="I128" s="16">
        <f>SUM(K128:T128)</f>
        <v/>
      </c>
      <c r="J128" s="16">
        <f>F128-(G128+H128+I128)</f>
        <v/>
      </c>
      <c r="K128" s="16" t="n">
        <v>2535.18</v>
      </c>
      <c r="L128" s="16" t="n">
        <v>2535.18</v>
      </c>
      <c r="M128" s="16" t="n">
        <v>2535.18</v>
      </c>
      <c r="N128" s="16" t="n">
        <v>2535.18</v>
      </c>
      <c r="O128" s="16" t="n">
        <v>2535.18</v>
      </c>
      <c r="P128" s="16" t="n">
        <v>2535.18</v>
      </c>
      <c r="Q128" s="16" t="n">
        <v>2535.18</v>
      </c>
      <c r="R128" s="16" t="n">
        <v>2535.18</v>
      </c>
      <c r="S128" s="16" t="n">
        <v>2535.18</v>
      </c>
      <c r="T128" s="16" t="n">
        <v>2535.18</v>
      </c>
      <c r="U128" s="16" t="n">
        <v>350</v>
      </c>
      <c r="V128" s="16" t="n">
        <v>250</v>
      </c>
      <c r="W128" s="16">
        <f>U128+V128</f>
        <v/>
      </c>
    </row>
    <row r="129">
      <c r="A129" s="3" t="inlineStr">
        <is>
          <t>CANON-202601-003225</t>
        </is>
      </c>
      <c r="B129" s="3" t="inlineStr">
        <is>
          <t>2026-01-04</t>
        </is>
      </c>
      <c r="C129" s="3" t="inlineStr">
        <is>
          <t>Anouk Bellandi</t>
        </is>
      </c>
      <c r="D129" s="3" t="inlineStr">
        <is>
          <t>MD</t>
        </is>
      </c>
      <c r="E129" s="14" t="n">
        <v>565000</v>
      </c>
      <c r="F129" s="14" t="n">
        <v>8631.950000000001</v>
      </c>
      <c r="G129" s="14" t="n">
        <v>1078.99</v>
      </c>
      <c r="H129" s="14" t="n">
        <v>1078.99</v>
      </c>
      <c r="I129" s="14">
        <f>SUM(K129:T129)</f>
        <v/>
      </c>
      <c r="J129" s="14">
        <f>F129-(G129+H129+I129)</f>
        <v/>
      </c>
      <c r="K129" s="14" t="n">
        <v>647.4</v>
      </c>
      <c r="L129" s="14" t="n">
        <v>647.4</v>
      </c>
      <c r="M129" s="14" t="n">
        <v>647.4</v>
      </c>
      <c r="N129" s="14" t="n">
        <v>647.4</v>
      </c>
      <c r="O129" s="14" t="n">
        <v>647.4</v>
      </c>
      <c r="P129" s="14" t="n">
        <v>647.4</v>
      </c>
      <c r="Q129" s="14" t="n">
        <v>647.4</v>
      </c>
      <c r="R129" s="14" t="n">
        <v>647.4</v>
      </c>
      <c r="S129" s="14" t="n">
        <v>647.4</v>
      </c>
      <c r="T129" s="14" t="n">
        <v>647.4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CANON-202601-003226</t>
        </is>
      </c>
      <c r="B130" s="15" t="inlineStr">
        <is>
          <t>2026-01-13</t>
        </is>
      </c>
      <c r="C130" s="15" t="inlineStr">
        <is>
          <t>Marisol Bellandi</t>
        </is>
      </c>
      <c r="D130" s="15" t="inlineStr">
        <is>
          <t>GA</t>
        </is>
      </c>
      <c r="E130" s="16" t="n">
        <v>540000</v>
      </c>
      <c r="F130" s="16" t="n">
        <v>6654.86</v>
      </c>
      <c r="G130" s="16" t="n">
        <v>831.86</v>
      </c>
      <c r="H130" s="16" t="n">
        <v>831.86</v>
      </c>
      <c r="I130" s="16">
        <f>SUM(K130:T130)</f>
        <v/>
      </c>
      <c r="J130" s="16">
        <f>F130-(G130+H130+I130)</f>
        <v/>
      </c>
      <c r="K130" s="16" t="n">
        <v>499.11</v>
      </c>
      <c r="L130" s="16" t="n">
        <v>499.11</v>
      </c>
      <c r="M130" s="16" t="n">
        <v>499.11</v>
      </c>
      <c r="N130" s="16" t="n">
        <v>499.11</v>
      </c>
      <c r="O130" s="16" t="n">
        <v>499.11</v>
      </c>
      <c r="P130" s="16" t="n">
        <v>499.11</v>
      </c>
      <c r="Q130" s="16" t="n">
        <v>499.11</v>
      </c>
      <c r="R130" s="16" t="n">
        <v>499.11</v>
      </c>
      <c r="S130" s="16" t="n">
        <v>499.11</v>
      </c>
      <c r="T130" s="16" t="n">
        <v>499.11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CANON-202601-003229</t>
        </is>
      </c>
      <c r="B131" s="3" t="inlineStr">
        <is>
          <t>2026-01-31</t>
        </is>
      </c>
      <c r="C131" s="3" t="inlineStr">
        <is>
          <t>Fenwick Larsson</t>
        </is>
      </c>
      <c r="D131" s="3" t="inlineStr">
        <is>
          <t>NJ</t>
        </is>
      </c>
      <c r="E131" s="14" t="n">
        <v>415000</v>
      </c>
      <c r="F131" s="14" t="n">
        <v>7351.92</v>
      </c>
      <c r="G131" s="14" t="n">
        <v>918.99</v>
      </c>
      <c r="H131" s="14" t="n">
        <v>918.99</v>
      </c>
      <c r="I131" s="14">
        <f>SUM(K131:T131)</f>
        <v/>
      </c>
      <c r="J131" s="14">
        <f>F131-(G131+H131+I131)</f>
        <v/>
      </c>
      <c r="K131" s="14" t="n">
        <v>551.39</v>
      </c>
      <c r="L131" s="14" t="n">
        <v>551.39</v>
      </c>
      <c r="M131" s="14" t="n">
        <v>551.39</v>
      </c>
      <c r="N131" s="14" t="n">
        <v>551.39</v>
      </c>
      <c r="O131" s="14" t="n">
        <v>551.39</v>
      </c>
      <c r="P131" s="14" t="n">
        <v>551.39</v>
      </c>
      <c r="Q131" s="14" t="n">
        <v>551.39</v>
      </c>
      <c r="R131" s="14" t="n">
        <v>551.39</v>
      </c>
      <c r="S131" s="14" t="n">
        <v>551.39</v>
      </c>
      <c r="T131" s="14" t="n">
        <v>551.39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CANON-202601-003230</t>
        </is>
      </c>
      <c r="B132" s="15" t="inlineStr">
        <is>
          <t>2026-01-08</t>
        </is>
      </c>
      <c r="C132" s="15" t="inlineStr">
        <is>
          <t>Mireille Vasquez</t>
        </is>
      </c>
      <c r="D132" s="15" t="inlineStr">
        <is>
          <t>KS</t>
        </is>
      </c>
      <c r="E132" s="16" t="n">
        <v>400000</v>
      </c>
      <c r="F132" s="16" t="n">
        <v>4926.14</v>
      </c>
      <c r="G132" s="16" t="n">
        <v>615.77</v>
      </c>
      <c r="H132" s="16" t="n">
        <v>615.77</v>
      </c>
      <c r="I132" s="16">
        <f>SUM(K132:T132)</f>
        <v/>
      </c>
      <c r="J132" s="16">
        <f>F132-(G132+H132+I132)</f>
        <v/>
      </c>
      <c r="K132" s="16" t="n">
        <v>369.46</v>
      </c>
      <c r="L132" s="16" t="n">
        <v>369.46</v>
      </c>
      <c r="M132" s="16" t="n">
        <v>369.46</v>
      </c>
      <c r="N132" s="16" t="n">
        <v>369.46</v>
      </c>
      <c r="O132" s="16" t="n">
        <v>369.46</v>
      </c>
      <c r="P132" s="16" t="n">
        <v>369.46</v>
      </c>
      <c r="Q132" s="16" t="n">
        <v>369.46</v>
      </c>
      <c r="R132" s="16" t="n">
        <v>369.46</v>
      </c>
      <c r="S132" s="16" t="n">
        <v>369.46</v>
      </c>
      <c r="T132" s="16" t="n">
        <v>369.46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CANON-202601-003231</t>
        </is>
      </c>
      <c r="B133" s="3" t="inlineStr">
        <is>
          <t>2026-01-05</t>
        </is>
      </c>
      <c r="C133" s="3" t="inlineStr">
        <is>
          <t>Everett Farkas</t>
        </is>
      </c>
      <c r="D133" s="3" t="inlineStr">
        <is>
          <t>IA</t>
        </is>
      </c>
      <c r="E133" s="14" t="n">
        <v>375000</v>
      </c>
      <c r="F133" s="14" t="n">
        <v>5237.19</v>
      </c>
      <c r="G133" s="14" t="n">
        <v>654.65</v>
      </c>
      <c r="H133" s="14" t="n">
        <v>654.65</v>
      </c>
      <c r="I133" s="14">
        <f>SUM(K133:T133)</f>
        <v/>
      </c>
      <c r="J133" s="14">
        <f>F133-(G133+H133+I133)</f>
        <v/>
      </c>
      <c r="K133" s="14" t="n">
        <v>392.79</v>
      </c>
      <c r="L133" s="14" t="n">
        <v>392.79</v>
      </c>
      <c r="M133" s="14" t="n">
        <v>392.79</v>
      </c>
      <c r="N133" s="14" t="n">
        <v>392.79</v>
      </c>
      <c r="O133" s="14" t="n">
        <v>392.79</v>
      </c>
      <c r="P133" s="14" t="n">
        <v>392.79</v>
      </c>
      <c r="Q133" s="14" t="n">
        <v>392.79</v>
      </c>
      <c r="R133" s="14" t="n">
        <v>392.79</v>
      </c>
      <c r="S133" s="14" t="n">
        <v>392.79</v>
      </c>
      <c r="T133" s="14" t="n">
        <v>392.79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CANON-202601-003232</t>
        </is>
      </c>
      <c r="B134" s="15" t="inlineStr">
        <is>
          <t>2026-01-08</t>
        </is>
      </c>
      <c r="C134" s="15" t="inlineStr">
        <is>
          <t>Cassius Harrington</t>
        </is>
      </c>
      <c r="D134" s="15" t="inlineStr">
        <is>
          <t>MD</t>
        </is>
      </c>
      <c r="E134" s="16" t="n">
        <v>790000</v>
      </c>
      <c r="F134" s="16" t="n">
        <v>12069.46</v>
      </c>
      <c r="G134" s="16" t="n">
        <v>1508.68</v>
      </c>
      <c r="H134" s="16" t="n">
        <v>1508.68</v>
      </c>
      <c r="I134" s="16">
        <f>SUM(K134:T134)</f>
        <v/>
      </c>
      <c r="J134" s="16">
        <f>F134-(G134+H134+I134)</f>
        <v/>
      </c>
      <c r="K134" s="16" t="n">
        <v>905.21</v>
      </c>
      <c r="L134" s="16" t="n">
        <v>905.21</v>
      </c>
      <c r="M134" s="16" t="n">
        <v>905.21</v>
      </c>
      <c r="N134" s="16" t="n">
        <v>905.21</v>
      </c>
      <c r="O134" s="16" t="n">
        <v>905.21</v>
      </c>
      <c r="P134" s="16" t="n">
        <v>905.21</v>
      </c>
      <c r="Q134" s="16" t="n">
        <v>905.21</v>
      </c>
      <c r="R134" s="16" t="n">
        <v>905.21</v>
      </c>
      <c r="S134" s="16" t="n">
        <v>905.21</v>
      </c>
      <c r="T134" s="16" t="n">
        <v>905.21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CANON-202601-003233</t>
        </is>
      </c>
      <c r="B135" s="3" t="inlineStr">
        <is>
          <t>2026-01-22</t>
        </is>
      </c>
      <c r="C135" s="3" t="inlineStr">
        <is>
          <t>Marisol Chattopadhyay</t>
        </is>
      </c>
      <c r="D135" s="3" t="inlineStr">
        <is>
          <t>FL</t>
        </is>
      </c>
      <c r="E135" s="14" t="n">
        <v>460000</v>
      </c>
      <c r="F135" s="14" t="n">
        <v>8293.18</v>
      </c>
      <c r="G135" s="14" t="n">
        <v>1036.65</v>
      </c>
      <c r="H135" s="14" t="n">
        <v>1036.65</v>
      </c>
      <c r="I135" s="14">
        <f>SUM(K135:T135)</f>
        <v/>
      </c>
      <c r="J135" s="14">
        <f>F135-(G135+H135+I135)</f>
        <v/>
      </c>
      <c r="K135" s="14" t="n">
        <v>621.99</v>
      </c>
      <c r="L135" s="14" t="n">
        <v>621.99</v>
      </c>
      <c r="M135" s="14" t="n">
        <v>621.99</v>
      </c>
      <c r="N135" s="14" t="n">
        <v>621.99</v>
      </c>
      <c r="O135" s="14" t="n">
        <v>621.99</v>
      </c>
      <c r="P135" s="14" t="n">
        <v>621.99</v>
      </c>
      <c r="Q135" s="14" t="n">
        <v>621.99</v>
      </c>
      <c r="R135" s="14" t="n">
        <v>621.99</v>
      </c>
      <c r="S135" s="14" t="n">
        <v>621.99</v>
      </c>
      <c r="T135" s="14" t="n">
        <v>621.99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CANON-202601-003234</t>
        </is>
      </c>
      <c r="B136" s="15" t="inlineStr">
        <is>
          <t>2026-01-07</t>
        </is>
      </c>
      <c r="C136" s="15" t="inlineStr">
        <is>
          <t>Horace Farkas</t>
        </is>
      </c>
      <c r="D136" s="15" t="inlineStr">
        <is>
          <t>MS</t>
        </is>
      </c>
      <c r="E136" s="16" t="n">
        <v>505000</v>
      </c>
      <c r="F136" s="16" t="n">
        <v>6612.49</v>
      </c>
      <c r="G136" s="16" t="n">
        <v>826.5599999999999</v>
      </c>
      <c r="H136" s="16" t="n">
        <v>826.5599999999999</v>
      </c>
      <c r="I136" s="16">
        <f>SUM(K136:T136)</f>
        <v/>
      </c>
      <c r="J136" s="16">
        <f>F136-(G136+H136+I136)</f>
        <v/>
      </c>
      <c r="K136" s="16" t="n">
        <v>495.94</v>
      </c>
      <c r="L136" s="16" t="n">
        <v>495.94</v>
      </c>
      <c r="M136" s="16" t="n">
        <v>495.94</v>
      </c>
      <c r="N136" s="16" t="n">
        <v>495.94</v>
      </c>
      <c r="O136" s="16" t="n">
        <v>495.94</v>
      </c>
      <c r="P136" s="16" t="n">
        <v>495.94</v>
      </c>
      <c r="Q136" s="16" t="n">
        <v>495.94</v>
      </c>
      <c r="R136" s="16" t="n">
        <v>495.94</v>
      </c>
      <c r="S136" s="16" t="n">
        <v>495.94</v>
      </c>
      <c r="T136" s="16" t="n">
        <v>495.94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CANON-202601-003236</t>
        </is>
      </c>
      <c r="B137" s="3" t="inlineStr">
        <is>
          <t>2026-01-26</t>
        </is>
      </c>
      <c r="C137" s="3" t="inlineStr">
        <is>
          <t>Aurelio Blackwood</t>
        </is>
      </c>
      <c r="D137" s="3" t="inlineStr">
        <is>
          <t>CA</t>
        </is>
      </c>
      <c r="E137" s="14" t="n">
        <v>845000</v>
      </c>
      <c r="F137" s="14" t="n">
        <v>12552.12</v>
      </c>
      <c r="G137" s="14" t="n">
        <v>1569.02</v>
      </c>
      <c r="H137" s="14" t="n">
        <v>1569.02</v>
      </c>
      <c r="I137" s="14">
        <f>SUM(K137:T137)</f>
        <v/>
      </c>
      <c r="J137" s="14">
        <f>F137-(G137+H137+I137)</f>
        <v/>
      </c>
      <c r="K137" s="14" t="n">
        <v>941.41</v>
      </c>
      <c r="L137" s="14" t="n">
        <v>941.41</v>
      </c>
      <c r="M137" s="14" t="n">
        <v>941.41</v>
      </c>
      <c r="N137" s="14" t="n">
        <v>941.41</v>
      </c>
      <c r="O137" s="14" t="n">
        <v>941.41</v>
      </c>
      <c r="P137" s="14" t="n">
        <v>941.41</v>
      </c>
      <c r="Q137" s="14" t="n">
        <v>941.41</v>
      </c>
      <c r="R137" s="14" t="n">
        <v>941.41</v>
      </c>
      <c r="S137" s="14" t="n">
        <v>941.41</v>
      </c>
      <c r="T137" s="14" t="n">
        <v>941.41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CANON-202601-003237</t>
        </is>
      </c>
      <c r="B138" s="15" t="inlineStr">
        <is>
          <t>2026-01-20</t>
        </is>
      </c>
      <c r="C138" s="15" t="inlineStr">
        <is>
          <t>Fenwick Blackwood</t>
        </is>
      </c>
      <c r="D138" s="15" t="inlineStr">
        <is>
          <t>NJ</t>
        </is>
      </c>
      <c r="E138" s="16" t="n">
        <v>540000</v>
      </c>
      <c r="F138" s="16" t="n">
        <v>5407.07</v>
      </c>
      <c r="G138" s="16" t="n">
        <v>675.88</v>
      </c>
      <c r="H138" s="16" t="n">
        <v>675.88</v>
      </c>
      <c r="I138" s="16">
        <f>SUM(K138:T138)</f>
        <v/>
      </c>
      <c r="J138" s="16">
        <f>F138-(G138+H138+I138)</f>
        <v/>
      </c>
      <c r="K138" s="16" t="n">
        <v>405.53</v>
      </c>
      <c r="L138" s="16" t="n">
        <v>405.53</v>
      </c>
      <c r="M138" s="16" t="n">
        <v>405.53</v>
      </c>
      <c r="N138" s="16" t="n">
        <v>405.53</v>
      </c>
      <c r="O138" s="16" t="n">
        <v>405.53</v>
      </c>
      <c r="P138" s="16" t="n">
        <v>405.53</v>
      </c>
      <c r="Q138" s="16" t="n">
        <v>405.53</v>
      </c>
      <c r="R138" s="16" t="n">
        <v>405.53</v>
      </c>
      <c r="S138" s="16" t="n">
        <v>405.53</v>
      </c>
      <c r="T138" s="16" t="n">
        <v>405.53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CANON-202601-003238</t>
        </is>
      </c>
      <c r="B139" s="3" t="inlineStr">
        <is>
          <t>2026-01-26</t>
        </is>
      </c>
      <c r="C139" s="3" t="inlineStr">
        <is>
          <t>Lorenzo Nakashima</t>
        </is>
      </c>
      <c r="D139" s="3" t="inlineStr">
        <is>
          <t>IL</t>
        </is>
      </c>
      <c r="E139" s="14" t="n">
        <v>440000</v>
      </c>
      <c r="F139" s="14" t="n">
        <v>11649.38</v>
      </c>
      <c r="G139" s="14" t="n">
        <v>1456.17</v>
      </c>
      <c r="H139" s="14" t="n">
        <v>1456.17</v>
      </c>
      <c r="I139" s="14">
        <f>SUM(K139:T139)</f>
        <v/>
      </c>
      <c r="J139" s="14">
        <f>F139-(G139+H139+I139)</f>
        <v/>
      </c>
      <c r="K139" s="14" t="n">
        <v>873.7</v>
      </c>
      <c r="L139" s="14" t="n">
        <v>873.7</v>
      </c>
      <c r="M139" s="14" t="n">
        <v>873.7</v>
      </c>
      <c r="N139" s="14" t="n">
        <v>873.7</v>
      </c>
      <c r="O139" s="14" t="n">
        <v>873.7</v>
      </c>
      <c r="P139" s="14" t="n">
        <v>873.7</v>
      </c>
      <c r="Q139" s="14" t="n">
        <v>873.7</v>
      </c>
      <c r="R139" s="14" t="n">
        <v>873.7</v>
      </c>
      <c r="S139" s="14" t="n">
        <v>873.7</v>
      </c>
      <c r="T139" s="14" t="n">
        <v>873.7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CANON-202601-003239</t>
        </is>
      </c>
      <c r="B140" s="15" t="inlineStr">
        <is>
          <t>2026-01-21</t>
        </is>
      </c>
      <c r="C140" s="15" t="inlineStr">
        <is>
          <t>Emiliano Merriweather</t>
        </is>
      </c>
      <c r="D140" s="15" t="inlineStr">
        <is>
          <t>TX</t>
        </is>
      </c>
      <c r="E140" s="16" t="n">
        <v>745000</v>
      </c>
      <c r="F140" s="16" t="n">
        <v>9427.16</v>
      </c>
      <c r="G140" s="16" t="n">
        <v>1178.39</v>
      </c>
      <c r="H140" s="16" t="n">
        <v>1178.39</v>
      </c>
      <c r="I140" s="16">
        <f>SUM(K140:T140)</f>
        <v/>
      </c>
      <c r="J140" s="16">
        <f>F140-(G140+H140+I140)</f>
        <v/>
      </c>
      <c r="K140" s="16" t="n">
        <v>707.04</v>
      </c>
      <c r="L140" s="16" t="n">
        <v>707.04</v>
      </c>
      <c r="M140" s="16" t="n">
        <v>707.04</v>
      </c>
      <c r="N140" s="16" t="n">
        <v>707.04</v>
      </c>
      <c r="O140" s="16" t="n">
        <v>707.04</v>
      </c>
      <c r="P140" s="16" t="n">
        <v>707.04</v>
      </c>
      <c r="Q140" s="16" t="n">
        <v>707.04</v>
      </c>
      <c r="R140" s="16" t="n">
        <v>707.04</v>
      </c>
      <c r="S140" s="16" t="n">
        <v>707.04</v>
      </c>
      <c r="T140" s="16" t="n">
        <v>707.04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CANON-202601-003241</t>
        </is>
      </c>
      <c r="B141" s="3" t="inlineStr">
        <is>
          <t>2026-01-15</t>
        </is>
      </c>
      <c r="C141" s="3" t="inlineStr">
        <is>
          <t>Wilhelmina Nakashima</t>
        </is>
      </c>
      <c r="D141" s="3" t="inlineStr">
        <is>
          <t>IL</t>
        </is>
      </c>
      <c r="E141" s="14" t="n">
        <v>350000</v>
      </c>
      <c r="F141" s="14" t="n">
        <v>6043.4</v>
      </c>
      <c r="G141" s="14" t="n">
        <v>755.42</v>
      </c>
      <c r="H141" s="14" t="n">
        <v>755.42</v>
      </c>
      <c r="I141" s="14">
        <f>SUM(K141:T141)</f>
        <v/>
      </c>
      <c r="J141" s="14">
        <f>F141-(G141+H141+I141)</f>
        <v/>
      </c>
      <c r="K141" s="14" t="n">
        <v>453.25</v>
      </c>
      <c r="L141" s="14" t="n">
        <v>453.25</v>
      </c>
      <c r="M141" s="14" t="n">
        <v>453.25</v>
      </c>
      <c r="N141" s="14" t="n">
        <v>453.25</v>
      </c>
      <c r="O141" s="14" t="n">
        <v>453.25</v>
      </c>
      <c r="P141" s="14" t="n">
        <v>453.25</v>
      </c>
      <c r="Q141" s="14" t="n">
        <v>453.25</v>
      </c>
      <c r="R141" s="14" t="n">
        <v>453.25</v>
      </c>
      <c r="S141" s="14" t="n">
        <v>453.25</v>
      </c>
      <c r="T141" s="14" t="n">
        <v>453.25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CANON-202601-003242</t>
        </is>
      </c>
      <c r="B142" s="15" t="inlineStr">
        <is>
          <t>2026-01-28</t>
        </is>
      </c>
      <c r="C142" s="15" t="inlineStr">
        <is>
          <t>Noor Merriweather</t>
        </is>
      </c>
      <c r="D142" s="15" t="inlineStr">
        <is>
          <t>MT</t>
        </is>
      </c>
      <c r="E142" s="16" t="n">
        <v>525000</v>
      </c>
      <c r="F142" s="16" t="n">
        <v>5372.41</v>
      </c>
      <c r="G142" s="16" t="n">
        <v>671.55</v>
      </c>
      <c r="H142" s="16" t="n">
        <v>671.55</v>
      </c>
      <c r="I142" s="16">
        <f>SUM(K142:T142)</f>
        <v/>
      </c>
      <c r="J142" s="16">
        <f>F142-(G142+H142+I142)</f>
        <v/>
      </c>
      <c r="K142" s="16" t="n">
        <v>402.93</v>
      </c>
      <c r="L142" s="16" t="n">
        <v>402.93</v>
      </c>
      <c r="M142" s="16" t="n">
        <v>402.93</v>
      </c>
      <c r="N142" s="16" t="n">
        <v>402.93</v>
      </c>
      <c r="O142" s="16" t="n">
        <v>402.93</v>
      </c>
      <c r="P142" s="16" t="n">
        <v>402.93</v>
      </c>
      <c r="Q142" s="16" t="n">
        <v>402.93</v>
      </c>
      <c r="R142" s="16" t="n">
        <v>402.93</v>
      </c>
      <c r="S142" s="16" t="n">
        <v>402.93</v>
      </c>
      <c r="T142" s="16" t="n">
        <v>402.93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CANON-202601-003247</t>
        </is>
      </c>
      <c r="B143" s="3" t="inlineStr">
        <is>
          <t>2026-01-28</t>
        </is>
      </c>
      <c r="C143" s="3" t="inlineStr">
        <is>
          <t>Priya Harrington</t>
        </is>
      </c>
      <c r="D143" s="3" t="inlineStr">
        <is>
          <t>MA</t>
        </is>
      </c>
      <c r="E143" s="14" t="n">
        <v>530000</v>
      </c>
      <c r="F143" s="14" t="n">
        <v>4822.45</v>
      </c>
      <c r="G143" s="14" t="n">
        <v>602.8099999999999</v>
      </c>
      <c r="H143" s="14" t="n">
        <v>602.8099999999999</v>
      </c>
      <c r="I143" s="14">
        <f>SUM(K143:T143)</f>
        <v/>
      </c>
      <c r="J143" s="14">
        <f>F143-(G143+H143+I143)</f>
        <v/>
      </c>
      <c r="K143" s="14" t="n">
        <v>361.68</v>
      </c>
      <c r="L143" s="14" t="n">
        <v>361.68</v>
      </c>
      <c r="M143" s="14" t="n">
        <v>361.68</v>
      </c>
      <c r="N143" s="14" t="n">
        <v>361.68</v>
      </c>
      <c r="O143" s="14" t="n">
        <v>361.68</v>
      </c>
      <c r="P143" s="14" t="n">
        <v>361.68</v>
      </c>
      <c r="Q143" s="14" t="n">
        <v>361.68</v>
      </c>
      <c r="R143" s="14" t="n">
        <v>361.68</v>
      </c>
      <c r="S143" s="14" t="n">
        <v>361.68</v>
      </c>
      <c r="T143" s="14" t="n">
        <v>361.68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CANON-202601-003248</t>
        </is>
      </c>
      <c r="B144" s="15" t="inlineStr">
        <is>
          <t>2026-01-11</t>
        </is>
      </c>
      <c r="C144" s="15" t="inlineStr">
        <is>
          <t>Ottilie Delacroix</t>
        </is>
      </c>
      <c r="D144" s="15" t="inlineStr">
        <is>
          <t>RI</t>
        </is>
      </c>
      <c r="E144" s="16" t="n">
        <v>1435000</v>
      </c>
      <c r="F144" s="16" t="n">
        <v>26624.16</v>
      </c>
      <c r="G144" s="16" t="n">
        <v>3328.02</v>
      </c>
      <c r="H144" s="16" t="n">
        <v>3328.02</v>
      </c>
      <c r="I144" s="16">
        <f>SUM(K144:T144)</f>
        <v/>
      </c>
      <c r="J144" s="16">
        <f>F144-(G144+H144+I144)</f>
        <v/>
      </c>
      <c r="K144" s="16" t="n">
        <v>1996.81</v>
      </c>
      <c r="L144" s="16" t="n">
        <v>1996.81</v>
      </c>
      <c r="M144" s="16" t="n">
        <v>1996.81</v>
      </c>
      <c r="N144" s="16" t="n">
        <v>1996.81</v>
      </c>
      <c r="O144" s="16" t="n">
        <v>1996.81</v>
      </c>
      <c r="P144" s="16" t="n">
        <v>1996.81</v>
      </c>
      <c r="Q144" s="16" t="n">
        <v>1996.81</v>
      </c>
      <c r="R144" s="16" t="n">
        <v>1996.81</v>
      </c>
      <c r="S144" s="16" t="n">
        <v>1996.81</v>
      </c>
      <c r="T144" s="16" t="n">
        <v>1996.81</v>
      </c>
      <c r="U144" s="16" t="n">
        <v>350</v>
      </c>
      <c r="V144" s="16" t="n">
        <v>250</v>
      </c>
      <c r="W144" s="16">
        <f>U144+V144</f>
        <v/>
      </c>
    </row>
    <row r="145">
      <c r="A145" s="3" t="inlineStr">
        <is>
          <t>CANON-202601-003249</t>
        </is>
      </c>
      <c r="B145" s="3" t="inlineStr">
        <is>
          <t>2026-01-22</t>
        </is>
      </c>
      <c r="C145" s="3" t="inlineStr">
        <is>
          <t>Fitzgerald Nakashima</t>
        </is>
      </c>
      <c r="D145" s="3" t="inlineStr">
        <is>
          <t>UT</t>
        </is>
      </c>
      <c r="E145" s="14" t="n">
        <v>195000</v>
      </c>
      <c r="F145" s="14" t="n">
        <v>4099.86</v>
      </c>
      <c r="G145" s="14" t="n">
        <v>512.48</v>
      </c>
      <c r="H145" s="14" t="n">
        <v>512.48</v>
      </c>
      <c r="I145" s="14">
        <f>SUM(K145:T145)</f>
        <v/>
      </c>
      <c r="J145" s="14">
        <f>F145-(G145+H145+I145)</f>
        <v/>
      </c>
      <c r="K145" s="14" t="n">
        <v>307.49</v>
      </c>
      <c r="L145" s="14" t="n">
        <v>307.49</v>
      </c>
      <c r="M145" s="14" t="n">
        <v>307.49</v>
      </c>
      <c r="N145" s="14" t="n">
        <v>307.49</v>
      </c>
      <c r="O145" s="14" t="n">
        <v>307.49</v>
      </c>
      <c r="P145" s="14" t="n">
        <v>307.49</v>
      </c>
      <c r="Q145" s="14" t="n">
        <v>307.49</v>
      </c>
      <c r="R145" s="14" t="n">
        <v>307.49</v>
      </c>
      <c r="S145" s="14" t="n">
        <v>307.49</v>
      </c>
      <c r="T145" s="14" t="n">
        <v>307.49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CANON-202601-003250</t>
        </is>
      </c>
      <c r="B146" s="15" t="inlineStr">
        <is>
          <t>2026-01-07</t>
        </is>
      </c>
      <c r="C146" s="15" t="inlineStr">
        <is>
          <t>Delphine Kingsford</t>
        </is>
      </c>
      <c r="D146" s="15" t="inlineStr">
        <is>
          <t>MN</t>
        </is>
      </c>
      <c r="E146" s="16" t="n">
        <v>565000</v>
      </c>
      <c r="F146" s="16" t="n">
        <v>8206.33</v>
      </c>
      <c r="G146" s="16" t="n">
        <v>1025.79</v>
      </c>
      <c r="H146" s="16" t="n">
        <v>1025.79</v>
      </c>
      <c r="I146" s="16">
        <f>SUM(K146:T146)</f>
        <v/>
      </c>
      <c r="J146" s="16">
        <f>F146-(G146+H146+I146)</f>
        <v/>
      </c>
      <c r="K146" s="16" t="n">
        <v>615.47</v>
      </c>
      <c r="L146" s="16" t="n">
        <v>615.47</v>
      </c>
      <c r="M146" s="16" t="n">
        <v>615.47</v>
      </c>
      <c r="N146" s="16" t="n">
        <v>615.47</v>
      </c>
      <c r="O146" s="16" t="n">
        <v>615.47</v>
      </c>
      <c r="P146" s="16" t="n">
        <v>615.47</v>
      </c>
      <c r="Q146" s="16" t="n">
        <v>615.47</v>
      </c>
      <c r="R146" s="16" t="n">
        <v>615.47</v>
      </c>
      <c r="S146" s="16" t="n">
        <v>615.47</v>
      </c>
      <c r="T146" s="16" t="n">
        <v>615.47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CANON-202601-003252</t>
        </is>
      </c>
      <c r="B147" s="3" t="inlineStr">
        <is>
          <t>2026-01-12</t>
        </is>
      </c>
      <c r="C147" s="3" t="inlineStr">
        <is>
          <t>Callum Underwood</t>
        </is>
      </c>
      <c r="D147" s="3" t="inlineStr">
        <is>
          <t>WA</t>
        </is>
      </c>
      <c r="E147" s="14" t="n">
        <v>690000</v>
      </c>
      <c r="F147" s="14" t="n">
        <v>4821.72</v>
      </c>
      <c r="G147" s="14" t="n">
        <v>602.72</v>
      </c>
      <c r="H147" s="14" t="n">
        <v>602.72</v>
      </c>
      <c r="I147" s="14">
        <f>SUM(K147:T147)</f>
        <v/>
      </c>
      <c r="J147" s="14">
        <f>F147-(G147+H147+I147)</f>
        <v/>
      </c>
      <c r="K147" s="14" t="n">
        <v>361.63</v>
      </c>
      <c r="L147" s="14" t="n">
        <v>361.63</v>
      </c>
      <c r="M147" s="14" t="n">
        <v>361.63</v>
      </c>
      <c r="N147" s="14" t="n">
        <v>361.63</v>
      </c>
      <c r="O147" s="14" t="n">
        <v>361.63</v>
      </c>
      <c r="P147" s="14" t="n">
        <v>361.63</v>
      </c>
      <c r="Q147" s="14" t="n">
        <v>361.63</v>
      </c>
      <c r="R147" s="14" t="n">
        <v>361.63</v>
      </c>
      <c r="S147" s="14" t="n">
        <v>361.63</v>
      </c>
      <c r="T147" s="14" t="n">
        <v>361.63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CANON-202601-003255</t>
        </is>
      </c>
      <c r="B148" s="15" t="inlineStr">
        <is>
          <t>2026-01-05</t>
        </is>
      </c>
      <c r="C148" s="15" t="inlineStr">
        <is>
          <t>Thaddeus Larsson</t>
        </is>
      </c>
      <c r="D148" s="15" t="inlineStr">
        <is>
          <t>CA</t>
        </is>
      </c>
      <c r="E148" s="16" t="n">
        <v>655000</v>
      </c>
      <c r="F148" s="16" t="n">
        <v>9729.76</v>
      </c>
      <c r="G148" s="16" t="n">
        <v>1216.22</v>
      </c>
      <c r="H148" s="16" t="n">
        <v>1216.22</v>
      </c>
      <c r="I148" s="16">
        <f>SUM(K148:T148)</f>
        <v/>
      </c>
      <c r="J148" s="16">
        <f>F148-(G148+H148+I148)</f>
        <v/>
      </c>
      <c r="K148" s="16" t="n">
        <v>729.73</v>
      </c>
      <c r="L148" s="16" t="n">
        <v>729.73</v>
      </c>
      <c r="M148" s="16" t="n">
        <v>729.73</v>
      </c>
      <c r="N148" s="16" t="n">
        <v>729.73</v>
      </c>
      <c r="O148" s="16" t="n">
        <v>729.73</v>
      </c>
      <c r="P148" s="16" t="n">
        <v>729.73</v>
      </c>
      <c r="Q148" s="16" t="n">
        <v>729.73</v>
      </c>
      <c r="R148" s="16" t="n">
        <v>729.73</v>
      </c>
      <c r="S148" s="16" t="n">
        <v>729.73</v>
      </c>
      <c r="T148" s="16" t="n">
        <v>729.73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CANON-202601-003257</t>
        </is>
      </c>
      <c r="B149" s="3" t="inlineStr">
        <is>
          <t>2026-01-25</t>
        </is>
      </c>
      <c r="C149" s="3" t="inlineStr">
        <is>
          <t>Emiliano Fairweather</t>
        </is>
      </c>
      <c r="D149" s="3" t="inlineStr">
        <is>
          <t>OR</t>
        </is>
      </c>
      <c r="E149" s="14" t="n">
        <v>260000</v>
      </c>
      <c r="F149" s="14" t="n">
        <v>3730.15</v>
      </c>
      <c r="G149" s="14" t="n">
        <v>466.27</v>
      </c>
      <c r="H149" s="14" t="n">
        <v>466.27</v>
      </c>
      <c r="I149" s="14">
        <f>SUM(K149:T149)</f>
        <v/>
      </c>
      <c r="J149" s="14">
        <f>F149-(G149+H149+I149)</f>
        <v/>
      </c>
      <c r="K149" s="14" t="n">
        <v>279.76</v>
      </c>
      <c r="L149" s="14" t="n">
        <v>279.76</v>
      </c>
      <c r="M149" s="14" t="n">
        <v>279.76</v>
      </c>
      <c r="N149" s="14" t="n">
        <v>279.76</v>
      </c>
      <c r="O149" s="14" t="n">
        <v>279.76</v>
      </c>
      <c r="P149" s="14" t="n">
        <v>279.76</v>
      </c>
      <c r="Q149" s="14" t="n">
        <v>279.76</v>
      </c>
      <c r="R149" s="14" t="n">
        <v>279.76</v>
      </c>
      <c r="S149" s="14" t="n">
        <v>279.76</v>
      </c>
      <c r="T149" s="14" t="n">
        <v>279.76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CANON-202601-003258</t>
        </is>
      </c>
      <c r="B150" s="15" t="inlineStr">
        <is>
          <t>2026-01-12</t>
        </is>
      </c>
      <c r="C150" s="15" t="inlineStr">
        <is>
          <t>Delphine Farkas</t>
        </is>
      </c>
      <c r="D150" s="15" t="inlineStr">
        <is>
          <t>NH</t>
        </is>
      </c>
      <c r="E150" s="16" t="n">
        <v>1885000</v>
      </c>
      <c r="F150" s="16" t="n">
        <v>12610.77</v>
      </c>
      <c r="G150" s="16" t="n">
        <v>1576.35</v>
      </c>
      <c r="H150" s="16" t="n">
        <v>1576.35</v>
      </c>
      <c r="I150" s="16">
        <f>SUM(K150:T150)</f>
        <v/>
      </c>
      <c r="J150" s="16">
        <f>F150-(G150+H150+I150)</f>
        <v/>
      </c>
      <c r="K150" s="16" t="n">
        <v>945.8099999999999</v>
      </c>
      <c r="L150" s="16" t="n">
        <v>945.8099999999999</v>
      </c>
      <c r="M150" s="16" t="n">
        <v>945.8099999999999</v>
      </c>
      <c r="N150" s="16" t="n">
        <v>945.8099999999999</v>
      </c>
      <c r="O150" s="16" t="n">
        <v>945.8099999999999</v>
      </c>
      <c r="P150" s="16" t="n">
        <v>945.8099999999999</v>
      </c>
      <c r="Q150" s="16" t="n">
        <v>945.8099999999999</v>
      </c>
      <c r="R150" s="16" t="n">
        <v>945.8099999999999</v>
      </c>
      <c r="S150" s="16" t="n">
        <v>945.8099999999999</v>
      </c>
      <c r="T150" s="16" t="n">
        <v>945.8099999999999</v>
      </c>
      <c r="U150" s="16" t="n">
        <v>350</v>
      </c>
      <c r="V150" s="16" t="n">
        <v>250</v>
      </c>
      <c r="W150" s="16">
        <f>U150+V150</f>
        <v/>
      </c>
    </row>
    <row r="151">
      <c r="A151" s="3" t="inlineStr">
        <is>
          <t>CANON-202601-003259</t>
        </is>
      </c>
      <c r="B151" s="3" t="inlineStr">
        <is>
          <t>2026-01-11</t>
        </is>
      </c>
      <c r="C151" s="3" t="inlineStr">
        <is>
          <t>Beatrix Montoya</t>
        </is>
      </c>
      <c r="D151" s="3" t="inlineStr">
        <is>
          <t>OR</t>
        </is>
      </c>
      <c r="E151" s="14" t="n">
        <v>1475000</v>
      </c>
      <c r="F151" s="14" t="n">
        <v>15518.38</v>
      </c>
      <c r="G151" s="14" t="n">
        <v>1939.8</v>
      </c>
      <c r="H151" s="14" t="n">
        <v>1939.8</v>
      </c>
      <c r="I151" s="14">
        <f>SUM(K151:T151)</f>
        <v/>
      </c>
      <c r="J151" s="14">
        <f>F151-(G151+H151+I151)</f>
        <v/>
      </c>
      <c r="K151" s="14" t="n">
        <v>1163.88</v>
      </c>
      <c r="L151" s="14" t="n">
        <v>1163.88</v>
      </c>
      <c r="M151" s="14" t="n">
        <v>1163.88</v>
      </c>
      <c r="N151" s="14" t="n">
        <v>1163.88</v>
      </c>
      <c r="O151" s="14" t="n">
        <v>1163.88</v>
      </c>
      <c r="P151" s="14" t="n">
        <v>1163.88</v>
      </c>
      <c r="Q151" s="14" t="n">
        <v>1163.88</v>
      </c>
      <c r="R151" s="14" t="n">
        <v>1163.88</v>
      </c>
      <c r="S151" s="14" t="n">
        <v>1163.88</v>
      </c>
      <c r="T151" s="14" t="n">
        <v>1163.88</v>
      </c>
      <c r="U151" s="14" t="n">
        <v>350</v>
      </c>
      <c r="V151" s="14" t="n">
        <v>250</v>
      </c>
      <c r="W151" s="14">
        <f>U151+V151</f>
        <v/>
      </c>
    </row>
    <row r="152">
      <c r="A152" s="15" t="inlineStr">
        <is>
          <t>CANON-202601-003260</t>
        </is>
      </c>
      <c r="B152" s="15" t="inlineStr">
        <is>
          <t>2026-01-19</t>
        </is>
      </c>
      <c r="C152" s="15" t="inlineStr">
        <is>
          <t>Leopold Castellanos</t>
        </is>
      </c>
      <c r="D152" s="15" t="inlineStr">
        <is>
          <t>NY</t>
        </is>
      </c>
      <c r="E152" s="16" t="n">
        <v>305000</v>
      </c>
      <c r="F152" s="16" t="n">
        <v>4956.61</v>
      </c>
      <c r="G152" s="16" t="n">
        <v>619.58</v>
      </c>
      <c r="H152" s="16" t="n">
        <v>619.58</v>
      </c>
      <c r="I152" s="16">
        <f>SUM(K152:T152)</f>
        <v/>
      </c>
      <c r="J152" s="16">
        <f>F152-(G152+H152+I152)</f>
        <v/>
      </c>
      <c r="K152" s="16" t="n">
        <v>371.75</v>
      </c>
      <c r="L152" s="16" t="n">
        <v>371.75</v>
      </c>
      <c r="M152" s="16" t="n">
        <v>371.75</v>
      </c>
      <c r="N152" s="16" t="n">
        <v>371.75</v>
      </c>
      <c r="O152" s="16" t="n">
        <v>371.75</v>
      </c>
      <c r="P152" s="16" t="n">
        <v>371.75</v>
      </c>
      <c r="Q152" s="16" t="n">
        <v>371.75</v>
      </c>
      <c r="R152" s="16" t="n">
        <v>371.75</v>
      </c>
      <c r="S152" s="16" t="n">
        <v>371.75</v>
      </c>
      <c r="T152" s="16" t="n">
        <v>371.75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CANON-202601-003261</t>
        </is>
      </c>
      <c r="B153" s="3" t="inlineStr">
        <is>
          <t>2026-01-06</t>
        </is>
      </c>
      <c r="C153" s="3" t="inlineStr">
        <is>
          <t>Sunniva Blackwood</t>
        </is>
      </c>
      <c r="D153" s="3" t="inlineStr">
        <is>
          <t>CO</t>
        </is>
      </c>
      <c r="E153" s="14" t="n">
        <v>620000</v>
      </c>
      <c r="F153" s="14" t="n">
        <v>10967.85</v>
      </c>
      <c r="G153" s="14" t="n">
        <v>1370.98</v>
      </c>
      <c r="H153" s="14" t="n">
        <v>1370.98</v>
      </c>
      <c r="I153" s="14">
        <f>SUM(K153:T153)</f>
        <v/>
      </c>
      <c r="J153" s="14">
        <f>F153-(G153+H153+I153)</f>
        <v/>
      </c>
      <c r="K153" s="14" t="n">
        <v>822.59</v>
      </c>
      <c r="L153" s="14" t="n">
        <v>822.59</v>
      </c>
      <c r="M153" s="14" t="n">
        <v>822.59</v>
      </c>
      <c r="N153" s="14" t="n">
        <v>822.59</v>
      </c>
      <c r="O153" s="14" t="n">
        <v>822.59</v>
      </c>
      <c r="P153" s="14" t="n">
        <v>822.59</v>
      </c>
      <c r="Q153" s="14" t="n">
        <v>822.59</v>
      </c>
      <c r="R153" s="14" t="n">
        <v>822.59</v>
      </c>
      <c r="S153" s="14" t="n">
        <v>822.59</v>
      </c>
      <c r="T153" s="14" t="n">
        <v>822.59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CANON-202601-003262</t>
        </is>
      </c>
      <c r="B154" s="15" t="inlineStr">
        <is>
          <t>2026-01-20</t>
        </is>
      </c>
      <c r="C154" s="15" t="inlineStr">
        <is>
          <t>Mireille Vasquez</t>
        </is>
      </c>
      <c r="D154" s="15" t="inlineStr">
        <is>
          <t>FL</t>
        </is>
      </c>
      <c r="E154" s="16" t="n">
        <v>1830000</v>
      </c>
      <c r="F154" s="16" t="n">
        <v>35191.91</v>
      </c>
      <c r="G154" s="16" t="n">
        <v>4398.99</v>
      </c>
      <c r="H154" s="16" t="n">
        <v>4398.99</v>
      </c>
      <c r="I154" s="16">
        <f>SUM(K154:T154)</f>
        <v/>
      </c>
      <c r="J154" s="16">
        <f>F154-(G154+H154+I154)</f>
        <v/>
      </c>
      <c r="K154" s="16" t="n">
        <v>2639.39</v>
      </c>
      <c r="L154" s="16" t="n">
        <v>2639.39</v>
      </c>
      <c r="M154" s="16" t="n">
        <v>2639.39</v>
      </c>
      <c r="N154" s="16" t="n">
        <v>2639.39</v>
      </c>
      <c r="O154" s="16" t="n">
        <v>2639.39</v>
      </c>
      <c r="P154" s="16" t="n">
        <v>2639.39</v>
      </c>
      <c r="Q154" s="16" t="n">
        <v>2639.39</v>
      </c>
      <c r="R154" s="16" t="n">
        <v>2639.39</v>
      </c>
      <c r="S154" s="16" t="n">
        <v>2639.39</v>
      </c>
      <c r="T154" s="16" t="n">
        <v>2639.39</v>
      </c>
      <c r="U154" s="16" t="n">
        <v>350</v>
      </c>
      <c r="V154" s="16" t="n">
        <v>250</v>
      </c>
      <c r="W154" s="16">
        <f>U154+V154</f>
        <v/>
      </c>
    </row>
    <row r="155">
      <c r="A155" s="3" t="inlineStr">
        <is>
          <t>CANON-202601-003263</t>
        </is>
      </c>
      <c r="B155" s="3" t="inlineStr">
        <is>
          <t>2026-01-21</t>
        </is>
      </c>
      <c r="C155" s="3" t="inlineStr">
        <is>
          <t>Horace Thistlewood</t>
        </is>
      </c>
      <c r="D155" s="3" t="inlineStr">
        <is>
          <t>KY</t>
        </is>
      </c>
      <c r="E155" s="14" t="n">
        <v>1065000</v>
      </c>
      <c r="F155" s="14" t="n">
        <v>13287.11</v>
      </c>
      <c r="G155" s="14" t="n">
        <v>1660.89</v>
      </c>
      <c r="H155" s="14" t="n">
        <v>1660.89</v>
      </c>
      <c r="I155" s="14">
        <f>SUM(K155:T155)</f>
        <v/>
      </c>
      <c r="J155" s="14">
        <f>F155-(G155+H155+I155)</f>
        <v/>
      </c>
      <c r="K155" s="14" t="n">
        <v>996.53</v>
      </c>
      <c r="L155" s="14" t="n">
        <v>996.53</v>
      </c>
      <c r="M155" s="14" t="n">
        <v>996.53</v>
      </c>
      <c r="N155" s="14" t="n">
        <v>996.53</v>
      </c>
      <c r="O155" s="14" t="n">
        <v>996.53</v>
      </c>
      <c r="P155" s="14" t="n">
        <v>996.53</v>
      </c>
      <c r="Q155" s="14" t="n">
        <v>996.53</v>
      </c>
      <c r="R155" s="14" t="n">
        <v>996.53</v>
      </c>
      <c r="S155" s="14" t="n">
        <v>996.53</v>
      </c>
      <c r="T155" s="14" t="n">
        <v>996.53</v>
      </c>
      <c r="U155" s="14" t="n">
        <v>350</v>
      </c>
      <c r="V155" s="14" t="n">
        <v>250</v>
      </c>
      <c r="W155" s="14">
        <f>U155+V155</f>
        <v/>
      </c>
    </row>
    <row r="156">
      <c r="A156" s="15" t="inlineStr">
        <is>
          <t>CANON-202601-003264</t>
        </is>
      </c>
      <c r="B156" s="15" t="inlineStr">
        <is>
          <t>2026-01-19</t>
        </is>
      </c>
      <c r="C156" s="15" t="inlineStr">
        <is>
          <t>Lorenzo Vasquez</t>
        </is>
      </c>
      <c r="D156" s="15" t="inlineStr">
        <is>
          <t>CT</t>
        </is>
      </c>
      <c r="E156" s="16" t="n">
        <v>120000</v>
      </c>
      <c r="F156" s="16" t="n">
        <v>2093.15</v>
      </c>
      <c r="G156" s="16" t="n">
        <v>261.64</v>
      </c>
      <c r="H156" s="16" t="n">
        <v>261.64</v>
      </c>
      <c r="I156" s="16">
        <f>SUM(K156:T156)</f>
        <v/>
      </c>
      <c r="J156" s="16">
        <f>F156-(G156+H156+I156)</f>
        <v/>
      </c>
      <c r="K156" s="16" t="n">
        <v>156.99</v>
      </c>
      <c r="L156" s="16" t="n">
        <v>156.99</v>
      </c>
      <c r="M156" s="16" t="n">
        <v>156.99</v>
      </c>
      <c r="N156" s="16" t="n">
        <v>156.99</v>
      </c>
      <c r="O156" s="16" t="n">
        <v>156.99</v>
      </c>
      <c r="P156" s="16" t="n">
        <v>156.99</v>
      </c>
      <c r="Q156" s="16" t="n">
        <v>156.99</v>
      </c>
      <c r="R156" s="16" t="n">
        <v>156.99</v>
      </c>
      <c r="S156" s="16" t="n">
        <v>156.99</v>
      </c>
      <c r="T156" s="16" t="n">
        <v>156.99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CANON-202601-003265</t>
        </is>
      </c>
      <c r="B157" s="3" t="inlineStr">
        <is>
          <t>2026-01-19</t>
        </is>
      </c>
      <c r="C157" s="3" t="inlineStr">
        <is>
          <t>Emiliano Whitlock</t>
        </is>
      </c>
      <c r="D157" s="3" t="inlineStr">
        <is>
          <t>FL</t>
        </is>
      </c>
      <c r="E157" s="14" t="n">
        <v>345000</v>
      </c>
      <c r="F157" s="14" t="n">
        <v>6219.88</v>
      </c>
      <c r="G157" s="14" t="n">
        <v>777.49</v>
      </c>
      <c r="H157" s="14" t="n">
        <v>777.49</v>
      </c>
      <c r="I157" s="14">
        <f>SUM(K157:T157)</f>
        <v/>
      </c>
      <c r="J157" s="14">
        <f>F157-(G157+H157+I157)</f>
        <v/>
      </c>
      <c r="K157" s="14" t="n">
        <v>466.49</v>
      </c>
      <c r="L157" s="14" t="n">
        <v>466.49</v>
      </c>
      <c r="M157" s="14" t="n">
        <v>466.49</v>
      </c>
      <c r="N157" s="14" t="n">
        <v>466.49</v>
      </c>
      <c r="O157" s="14" t="n">
        <v>466.49</v>
      </c>
      <c r="P157" s="14" t="n">
        <v>466.49</v>
      </c>
      <c r="Q157" s="14" t="n">
        <v>466.49</v>
      </c>
      <c r="R157" s="14" t="n">
        <v>466.49</v>
      </c>
      <c r="S157" s="14" t="n">
        <v>466.49</v>
      </c>
      <c r="T157" s="14" t="n">
        <v>466.49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CANON-202601-003266</t>
        </is>
      </c>
      <c r="B158" s="15" t="inlineStr">
        <is>
          <t>2026-01-17</t>
        </is>
      </c>
      <c r="C158" s="15" t="inlineStr">
        <is>
          <t>Saoirse Montoya</t>
        </is>
      </c>
      <c r="D158" s="15" t="inlineStr">
        <is>
          <t>CA</t>
        </is>
      </c>
      <c r="E158" s="16" t="n">
        <v>810000</v>
      </c>
      <c r="F158" s="16" t="n">
        <v>12032.21</v>
      </c>
      <c r="G158" s="16" t="n">
        <v>1504.03</v>
      </c>
      <c r="H158" s="16" t="n">
        <v>1504.03</v>
      </c>
      <c r="I158" s="16">
        <f>SUM(K158:T158)</f>
        <v/>
      </c>
      <c r="J158" s="16">
        <f>F158-(G158+H158+I158)</f>
        <v/>
      </c>
      <c r="K158" s="16" t="n">
        <v>902.42</v>
      </c>
      <c r="L158" s="16" t="n">
        <v>902.42</v>
      </c>
      <c r="M158" s="16" t="n">
        <v>902.42</v>
      </c>
      <c r="N158" s="16" t="n">
        <v>902.42</v>
      </c>
      <c r="O158" s="16" t="n">
        <v>902.42</v>
      </c>
      <c r="P158" s="16" t="n">
        <v>902.42</v>
      </c>
      <c r="Q158" s="16" t="n">
        <v>902.42</v>
      </c>
      <c r="R158" s="16" t="n">
        <v>902.42</v>
      </c>
      <c r="S158" s="16" t="n">
        <v>902.42</v>
      </c>
      <c r="T158" s="16" t="n">
        <v>902.42</v>
      </c>
      <c r="U158" s="16" t="n">
        <v>350</v>
      </c>
      <c r="V158" s="16" t="n">
        <v>0</v>
      </c>
      <c r="W158" s="16">
        <f>U158+V158</f>
        <v/>
      </c>
    </row>
    <row r="159">
      <c r="A159" s="3" t="inlineStr">
        <is>
          <t>CANON-202601-003267</t>
        </is>
      </c>
      <c r="B159" s="3" t="inlineStr">
        <is>
          <t>2026-01-23</t>
        </is>
      </c>
      <c r="C159" s="3" t="inlineStr">
        <is>
          <t>Priya Okonkwo</t>
        </is>
      </c>
      <c r="D159" s="3" t="inlineStr">
        <is>
          <t>CO</t>
        </is>
      </c>
      <c r="E159" s="14" t="n">
        <v>515000</v>
      </c>
      <c r="F159" s="14" t="n">
        <v>6233.42</v>
      </c>
      <c r="G159" s="14" t="n">
        <v>779.1799999999999</v>
      </c>
      <c r="H159" s="14" t="n">
        <v>779.1799999999999</v>
      </c>
      <c r="I159" s="14">
        <f>SUM(K159:T159)</f>
        <v/>
      </c>
      <c r="J159" s="14">
        <f>F159-(G159+H159+I159)</f>
        <v/>
      </c>
      <c r="K159" s="14" t="n">
        <v>467.51</v>
      </c>
      <c r="L159" s="14" t="n">
        <v>467.51</v>
      </c>
      <c r="M159" s="14" t="n">
        <v>467.51</v>
      </c>
      <c r="N159" s="14" t="n">
        <v>467.51</v>
      </c>
      <c r="O159" s="14" t="n">
        <v>467.51</v>
      </c>
      <c r="P159" s="14" t="n">
        <v>467.51</v>
      </c>
      <c r="Q159" s="14" t="n">
        <v>467.51</v>
      </c>
      <c r="R159" s="14" t="n">
        <v>467.51</v>
      </c>
      <c r="S159" s="14" t="n">
        <v>467.51</v>
      </c>
      <c r="T159" s="14" t="n">
        <v>467.51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CANON-202601-003268</t>
        </is>
      </c>
      <c r="B160" s="15" t="inlineStr">
        <is>
          <t>2026-01-30</t>
        </is>
      </c>
      <c r="C160" s="15" t="inlineStr">
        <is>
          <t>Saoirse Pennington</t>
        </is>
      </c>
      <c r="D160" s="15" t="inlineStr">
        <is>
          <t>MI</t>
        </is>
      </c>
      <c r="E160" s="16" t="n">
        <v>390000</v>
      </c>
      <c r="F160" s="16" t="n">
        <v>11768.13</v>
      </c>
      <c r="G160" s="16" t="n">
        <v>1471.02</v>
      </c>
      <c r="H160" s="16" t="n">
        <v>1471.02</v>
      </c>
      <c r="I160" s="16">
        <f>SUM(K160:T160)</f>
        <v/>
      </c>
      <c r="J160" s="16">
        <f>F160-(G160+H160+I160)</f>
        <v/>
      </c>
      <c r="K160" s="16" t="n">
        <v>882.61</v>
      </c>
      <c r="L160" s="16" t="n">
        <v>882.61</v>
      </c>
      <c r="M160" s="16" t="n">
        <v>882.61</v>
      </c>
      <c r="N160" s="16" t="n">
        <v>882.61</v>
      </c>
      <c r="O160" s="16" t="n">
        <v>882.61</v>
      </c>
      <c r="P160" s="16" t="n">
        <v>882.61</v>
      </c>
      <c r="Q160" s="16" t="n">
        <v>882.61</v>
      </c>
      <c r="R160" s="16" t="n">
        <v>882.61</v>
      </c>
      <c r="S160" s="16" t="n">
        <v>882.61</v>
      </c>
      <c r="T160" s="16" t="n">
        <v>882.61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CANON-202601-003269</t>
        </is>
      </c>
      <c r="B161" s="3" t="inlineStr">
        <is>
          <t>2026-01-24</t>
        </is>
      </c>
      <c r="C161" s="3" t="inlineStr">
        <is>
          <t>Ottilie Montoya</t>
        </is>
      </c>
      <c r="D161" s="3" t="inlineStr">
        <is>
          <t>IL</t>
        </is>
      </c>
      <c r="E161" s="14" t="n">
        <v>290000</v>
      </c>
      <c r="F161" s="14" t="n">
        <v>5007.39</v>
      </c>
      <c r="G161" s="14" t="n">
        <v>625.92</v>
      </c>
      <c r="H161" s="14" t="n">
        <v>625.92</v>
      </c>
      <c r="I161" s="14">
        <f>SUM(K161:T161)</f>
        <v/>
      </c>
      <c r="J161" s="14">
        <f>F161-(G161+H161+I161)</f>
        <v/>
      </c>
      <c r="K161" s="14" t="n">
        <v>375.55</v>
      </c>
      <c r="L161" s="14" t="n">
        <v>375.55</v>
      </c>
      <c r="M161" s="14" t="n">
        <v>375.55</v>
      </c>
      <c r="N161" s="14" t="n">
        <v>375.55</v>
      </c>
      <c r="O161" s="14" t="n">
        <v>375.55</v>
      </c>
      <c r="P161" s="14" t="n">
        <v>375.55</v>
      </c>
      <c r="Q161" s="14" t="n">
        <v>375.55</v>
      </c>
      <c r="R161" s="14" t="n">
        <v>375.55</v>
      </c>
      <c r="S161" s="14" t="n">
        <v>375.55</v>
      </c>
      <c r="T161" s="14" t="n">
        <v>375.55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CANON-202601-003270</t>
        </is>
      </c>
      <c r="B162" s="15" t="inlineStr">
        <is>
          <t>2026-01-12</t>
        </is>
      </c>
      <c r="C162" s="15" t="inlineStr">
        <is>
          <t>Sunniva Thistlewood</t>
        </is>
      </c>
      <c r="D162" s="15" t="inlineStr">
        <is>
          <t>CT</t>
        </is>
      </c>
      <c r="E162" s="16" t="n">
        <v>1270000</v>
      </c>
      <c r="F162" s="16" t="n">
        <v>9149.950000000001</v>
      </c>
      <c r="G162" s="16" t="n">
        <v>1143.74</v>
      </c>
      <c r="H162" s="16" t="n">
        <v>1143.74</v>
      </c>
      <c r="I162" s="16">
        <f>SUM(K162:T162)</f>
        <v/>
      </c>
      <c r="J162" s="16">
        <f>F162-(G162+H162+I162)</f>
        <v/>
      </c>
      <c r="K162" s="16" t="n">
        <v>686.25</v>
      </c>
      <c r="L162" s="16" t="n">
        <v>686.25</v>
      </c>
      <c r="M162" s="16" t="n">
        <v>686.25</v>
      </c>
      <c r="N162" s="16" t="n">
        <v>686.25</v>
      </c>
      <c r="O162" s="16" t="n">
        <v>686.25</v>
      </c>
      <c r="P162" s="16" t="n">
        <v>686.25</v>
      </c>
      <c r="Q162" s="16" t="n">
        <v>686.25</v>
      </c>
      <c r="R162" s="16" t="n">
        <v>686.25</v>
      </c>
      <c r="S162" s="16" t="n">
        <v>686.25</v>
      </c>
      <c r="T162" s="16" t="n">
        <v>686.25</v>
      </c>
      <c r="U162" s="16" t="n">
        <v>350</v>
      </c>
      <c r="V162" s="16" t="n">
        <v>250</v>
      </c>
      <c r="W162" s="16">
        <f>U162+V162</f>
        <v/>
      </c>
    </row>
    <row r="163">
      <c r="A163" s="3" t="inlineStr">
        <is>
          <t>CANON-202601-003271</t>
        </is>
      </c>
      <c r="B163" s="3" t="inlineStr">
        <is>
          <t>2026-01-24</t>
        </is>
      </c>
      <c r="C163" s="3" t="inlineStr">
        <is>
          <t>Ottilie Whitlock</t>
        </is>
      </c>
      <c r="D163" s="3" t="inlineStr">
        <is>
          <t>PA</t>
        </is>
      </c>
      <c r="E163" s="14" t="n">
        <v>395000</v>
      </c>
      <c r="F163" s="14" t="n">
        <v>7689.68</v>
      </c>
      <c r="G163" s="14" t="n">
        <v>961.21</v>
      </c>
      <c r="H163" s="14" t="n">
        <v>961.21</v>
      </c>
      <c r="I163" s="14">
        <f>SUM(K163:T163)</f>
        <v/>
      </c>
      <c r="J163" s="14">
        <f>F163-(G163+H163+I163)</f>
        <v/>
      </c>
      <c r="K163" s="14" t="n">
        <v>576.73</v>
      </c>
      <c r="L163" s="14" t="n">
        <v>576.73</v>
      </c>
      <c r="M163" s="14" t="n">
        <v>576.73</v>
      </c>
      <c r="N163" s="14" t="n">
        <v>576.73</v>
      </c>
      <c r="O163" s="14" t="n">
        <v>576.73</v>
      </c>
      <c r="P163" s="14" t="n">
        <v>576.73</v>
      </c>
      <c r="Q163" s="14" t="n">
        <v>576.73</v>
      </c>
      <c r="R163" s="14" t="n">
        <v>576.73</v>
      </c>
      <c r="S163" s="14" t="n">
        <v>576.73</v>
      </c>
      <c r="T163" s="14" t="n">
        <v>576.73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CANON-202601-003272</t>
        </is>
      </c>
      <c r="B164" s="15" t="inlineStr">
        <is>
          <t>2026-01-10</t>
        </is>
      </c>
      <c r="C164" s="15" t="inlineStr">
        <is>
          <t>Sunniva Larsson</t>
        </is>
      </c>
      <c r="D164" s="15" t="inlineStr">
        <is>
          <t>DE</t>
        </is>
      </c>
      <c r="E164" s="16" t="n">
        <v>1165000</v>
      </c>
      <c r="F164" s="16" t="n">
        <v>9367.700000000001</v>
      </c>
      <c r="G164" s="16" t="n">
        <v>1170.96</v>
      </c>
      <c r="H164" s="16" t="n">
        <v>1170.96</v>
      </c>
      <c r="I164" s="16">
        <f>SUM(K164:T164)</f>
        <v/>
      </c>
      <c r="J164" s="16">
        <f>F164-(G164+H164+I164)</f>
        <v/>
      </c>
      <c r="K164" s="16" t="n">
        <v>702.58</v>
      </c>
      <c r="L164" s="16" t="n">
        <v>702.58</v>
      </c>
      <c r="M164" s="16" t="n">
        <v>702.58</v>
      </c>
      <c r="N164" s="16" t="n">
        <v>702.58</v>
      </c>
      <c r="O164" s="16" t="n">
        <v>702.58</v>
      </c>
      <c r="P164" s="16" t="n">
        <v>702.58</v>
      </c>
      <c r="Q164" s="16" t="n">
        <v>702.58</v>
      </c>
      <c r="R164" s="16" t="n">
        <v>702.58</v>
      </c>
      <c r="S164" s="16" t="n">
        <v>702.58</v>
      </c>
      <c r="T164" s="16" t="n">
        <v>702.58</v>
      </c>
      <c r="U164" s="16" t="n">
        <v>350</v>
      </c>
      <c r="V164" s="16" t="n">
        <v>250</v>
      </c>
      <c r="W164" s="16">
        <f>U164+V164</f>
        <v/>
      </c>
    </row>
    <row r="165">
      <c r="A165" s="3" t="inlineStr">
        <is>
          <t>CANON-202601-003273</t>
        </is>
      </c>
      <c r="B165" s="3" t="inlineStr">
        <is>
          <t>2026-01-03</t>
        </is>
      </c>
      <c r="C165" s="3" t="inlineStr">
        <is>
          <t>Leopold Montoya</t>
        </is>
      </c>
      <c r="D165" s="3" t="inlineStr">
        <is>
          <t>WA</t>
        </is>
      </c>
      <c r="E165" s="14" t="n">
        <v>1150000</v>
      </c>
      <c r="F165" s="14" t="n">
        <v>14951.08</v>
      </c>
      <c r="G165" s="14" t="n">
        <v>1868.88</v>
      </c>
      <c r="H165" s="14" t="n">
        <v>1868.88</v>
      </c>
      <c r="I165" s="14">
        <f>SUM(K165:T165)</f>
        <v/>
      </c>
      <c r="J165" s="14">
        <f>F165-(G165+H165+I165)</f>
        <v/>
      </c>
      <c r="K165" s="14" t="n">
        <v>1121.33</v>
      </c>
      <c r="L165" s="14" t="n">
        <v>1121.33</v>
      </c>
      <c r="M165" s="14" t="n">
        <v>1121.33</v>
      </c>
      <c r="N165" s="14" t="n">
        <v>1121.33</v>
      </c>
      <c r="O165" s="14" t="n">
        <v>1121.33</v>
      </c>
      <c r="P165" s="14" t="n">
        <v>1121.33</v>
      </c>
      <c r="Q165" s="14" t="n">
        <v>1121.33</v>
      </c>
      <c r="R165" s="14" t="n">
        <v>1121.33</v>
      </c>
      <c r="S165" s="14" t="n">
        <v>1121.33</v>
      </c>
      <c r="T165" s="14" t="n">
        <v>1121.33</v>
      </c>
      <c r="U165" s="14" t="n">
        <v>350</v>
      </c>
      <c r="V165" s="14" t="n">
        <v>250</v>
      </c>
      <c r="W165" s="14">
        <f>U165+V165</f>
        <v/>
      </c>
    </row>
    <row r="166">
      <c r="A166" s="15" t="inlineStr">
        <is>
          <t>CANON-202601-003274</t>
        </is>
      </c>
      <c r="B166" s="15" t="inlineStr">
        <is>
          <t>2026-01-15</t>
        </is>
      </c>
      <c r="C166" s="15" t="inlineStr">
        <is>
          <t>Leopold Ashcombe</t>
        </is>
      </c>
      <c r="D166" s="15" t="inlineStr">
        <is>
          <t>AK</t>
        </is>
      </c>
      <c r="E166" s="16" t="n">
        <v>1190000</v>
      </c>
      <c r="F166" s="16" t="n">
        <v>12630.71</v>
      </c>
      <c r="G166" s="16" t="n">
        <v>1578.84</v>
      </c>
      <c r="H166" s="16" t="n">
        <v>1578.84</v>
      </c>
      <c r="I166" s="16">
        <f>SUM(K166:T166)</f>
        <v/>
      </c>
      <c r="J166" s="16">
        <f>F166-(G166+H166+I166)</f>
        <v/>
      </c>
      <c r="K166" s="16" t="n">
        <v>947.3</v>
      </c>
      <c r="L166" s="16" t="n">
        <v>947.3</v>
      </c>
      <c r="M166" s="16" t="n">
        <v>947.3</v>
      </c>
      <c r="N166" s="16" t="n">
        <v>947.3</v>
      </c>
      <c r="O166" s="16" t="n">
        <v>947.3</v>
      </c>
      <c r="P166" s="16" t="n">
        <v>947.3</v>
      </c>
      <c r="Q166" s="16" t="n">
        <v>947.3</v>
      </c>
      <c r="R166" s="16" t="n">
        <v>947.3</v>
      </c>
      <c r="S166" s="16" t="n">
        <v>947.3</v>
      </c>
      <c r="T166" s="16" t="n">
        <v>947.3</v>
      </c>
      <c r="U166" s="16" t="n">
        <v>350</v>
      </c>
      <c r="V166" s="16" t="n">
        <v>250</v>
      </c>
      <c r="W166" s="16">
        <f>U166+V166</f>
        <v/>
      </c>
    </row>
    <row r="167">
      <c r="A167" s="3" t="inlineStr">
        <is>
          <t>CANON-202601-003275</t>
        </is>
      </c>
      <c r="B167" s="3" t="inlineStr">
        <is>
          <t>2026-01-31</t>
        </is>
      </c>
      <c r="C167" s="3" t="inlineStr">
        <is>
          <t>Desmond Merriweather</t>
        </is>
      </c>
      <c r="D167" s="3" t="inlineStr">
        <is>
          <t>NY</t>
        </is>
      </c>
      <c r="E167" s="14" t="n">
        <v>810000</v>
      </c>
      <c r="F167" s="14" t="n">
        <v>7547.04</v>
      </c>
      <c r="G167" s="14" t="n">
        <v>943.38</v>
      </c>
      <c r="H167" s="14" t="n">
        <v>943.38</v>
      </c>
      <c r="I167" s="14">
        <f>SUM(K167:T167)</f>
        <v/>
      </c>
      <c r="J167" s="14">
        <f>F167-(G167+H167+I167)</f>
        <v/>
      </c>
      <c r="K167" s="14" t="n">
        <v>566.03</v>
      </c>
      <c r="L167" s="14" t="n">
        <v>566.03</v>
      </c>
      <c r="M167" s="14" t="n">
        <v>566.03</v>
      </c>
      <c r="N167" s="14" t="n">
        <v>566.03</v>
      </c>
      <c r="O167" s="14" t="n">
        <v>566.03</v>
      </c>
      <c r="P167" s="14" t="n">
        <v>566.03</v>
      </c>
      <c r="Q167" s="14" t="n">
        <v>566.03</v>
      </c>
      <c r="R167" s="14" t="n">
        <v>566.03</v>
      </c>
      <c r="S167" s="14" t="n">
        <v>566.03</v>
      </c>
      <c r="T167" s="14" t="n">
        <v>566.03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CANON-202601-003276</t>
        </is>
      </c>
      <c r="B168" s="15" t="inlineStr">
        <is>
          <t>2026-01-06</t>
        </is>
      </c>
      <c r="C168" s="15" t="inlineStr">
        <is>
          <t>Wilhelmina Rourke</t>
        </is>
      </c>
      <c r="D168" s="15" t="inlineStr">
        <is>
          <t>SC</t>
        </is>
      </c>
      <c r="E168" s="16" t="n">
        <v>405000</v>
      </c>
      <c r="F168" s="16" t="n">
        <v>4080.67</v>
      </c>
      <c r="G168" s="16" t="n">
        <v>510.08</v>
      </c>
      <c r="H168" s="16" t="n">
        <v>510.08</v>
      </c>
      <c r="I168" s="16">
        <f>SUM(K168:T168)</f>
        <v/>
      </c>
      <c r="J168" s="16">
        <f>F168-(G168+H168+I168)</f>
        <v/>
      </c>
      <c r="K168" s="16" t="n">
        <v>306.05</v>
      </c>
      <c r="L168" s="16" t="n">
        <v>306.05</v>
      </c>
      <c r="M168" s="16" t="n">
        <v>306.05</v>
      </c>
      <c r="N168" s="16" t="n">
        <v>306.05</v>
      </c>
      <c r="O168" s="16" t="n">
        <v>306.05</v>
      </c>
      <c r="P168" s="16" t="n">
        <v>306.05</v>
      </c>
      <c r="Q168" s="16" t="n">
        <v>306.05</v>
      </c>
      <c r="R168" s="16" t="n">
        <v>306.05</v>
      </c>
      <c r="S168" s="16" t="n">
        <v>306.05</v>
      </c>
      <c r="T168" s="16" t="n">
        <v>306.05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CANON-202601-003278</t>
        </is>
      </c>
      <c r="B169" s="3" t="inlineStr">
        <is>
          <t>2026-01-15</t>
        </is>
      </c>
      <c r="C169" s="3" t="inlineStr">
        <is>
          <t>Lorenzo Okonkwo</t>
        </is>
      </c>
      <c r="D169" s="3" t="inlineStr">
        <is>
          <t>WV</t>
        </is>
      </c>
      <c r="E169" s="14" t="n">
        <v>1085000</v>
      </c>
      <c r="F169" s="14" t="n">
        <v>13435.61</v>
      </c>
      <c r="G169" s="14" t="n">
        <v>1679.45</v>
      </c>
      <c r="H169" s="14" t="n">
        <v>1679.45</v>
      </c>
      <c r="I169" s="14">
        <f>SUM(K169:T169)</f>
        <v/>
      </c>
      <c r="J169" s="14">
        <f>F169-(G169+H169+I169)</f>
        <v/>
      </c>
      <c r="K169" s="14" t="n">
        <v>1007.67</v>
      </c>
      <c r="L169" s="14" t="n">
        <v>1007.67</v>
      </c>
      <c r="M169" s="14" t="n">
        <v>1007.67</v>
      </c>
      <c r="N169" s="14" t="n">
        <v>1007.67</v>
      </c>
      <c r="O169" s="14" t="n">
        <v>1007.67</v>
      </c>
      <c r="P169" s="14" t="n">
        <v>1007.67</v>
      </c>
      <c r="Q169" s="14" t="n">
        <v>1007.67</v>
      </c>
      <c r="R169" s="14" t="n">
        <v>1007.67</v>
      </c>
      <c r="S169" s="14" t="n">
        <v>1007.67</v>
      </c>
      <c r="T169" s="14" t="n">
        <v>1007.67</v>
      </c>
      <c r="U169" s="14" t="n">
        <v>350</v>
      </c>
      <c r="V169" s="14" t="n">
        <v>250</v>
      </c>
      <c r="W169" s="14">
        <f>U169+V169</f>
        <v/>
      </c>
    </row>
    <row r="170">
      <c r="A170" s="15" t="inlineStr">
        <is>
          <t>CANON-202601-003279</t>
        </is>
      </c>
      <c r="B170" s="15" t="inlineStr">
        <is>
          <t>2026-01-14</t>
        </is>
      </c>
      <c r="C170" s="15" t="inlineStr">
        <is>
          <t>Sunniva Delacroix</t>
        </is>
      </c>
      <c r="D170" s="15" t="inlineStr">
        <is>
          <t>WY</t>
        </is>
      </c>
      <c r="E170" s="16" t="n">
        <v>1950000</v>
      </c>
      <c r="F170" s="16" t="n">
        <v>19426.5</v>
      </c>
      <c r="G170" s="16" t="n">
        <v>2428.31</v>
      </c>
      <c r="H170" s="16" t="n">
        <v>2428.31</v>
      </c>
      <c r="I170" s="16">
        <f>SUM(K170:T170)</f>
        <v/>
      </c>
      <c r="J170" s="16">
        <f>F170-(G170+H170+I170)</f>
        <v/>
      </c>
      <c r="K170" s="16" t="n">
        <v>1456.99</v>
      </c>
      <c r="L170" s="16" t="n">
        <v>1456.99</v>
      </c>
      <c r="M170" s="16" t="n">
        <v>1456.99</v>
      </c>
      <c r="N170" s="16" t="n">
        <v>1456.99</v>
      </c>
      <c r="O170" s="16" t="n">
        <v>1456.99</v>
      </c>
      <c r="P170" s="16" t="n">
        <v>1456.99</v>
      </c>
      <c r="Q170" s="16" t="n">
        <v>1456.99</v>
      </c>
      <c r="R170" s="16" t="n">
        <v>1456.99</v>
      </c>
      <c r="S170" s="16" t="n">
        <v>1456.99</v>
      </c>
      <c r="T170" s="16" t="n">
        <v>1456.99</v>
      </c>
      <c r="U170" s="16" t="n">
        <v>350</v>
      </c>
      <c r="V170" s="16" t="n">
        <v>250</v>
      </c>
      <c r="W170" s="16">
        <f>U170+V170</f>
        <v/>
      </c>
    </row>
    <row r="171">
      <c r="A171" s="3" t="inlineStr">
        <is>
          <t>CANON-202601-003280</t>
        </is>
      </c>
      <c r="B171" s="3" t="inlineStr">
        <is>
          <t>2026-01-30</t>
        </is>
      </c>
      <c r="C171" s="3" t="inlineStr">
        <is>
          <t>Ramona Farkas</t>
        </is>
      </c>
      <c r="D171" s="3" t="inlineStr">
        <is>
          <t>NC</t>
        </is>
      </c>
      <c r="E171" s="14" t="n">
        <v>315000</v>
      </c>
      <c r="F171" s="14" t="n">
        <v>7052.12</v>
      </c>
      <c r="G171" s="14" t="n">
        <v>881.51</v>
      </c>
      <c r="H171" s="14" t="n">
        <v>881.51</v>
      </c>
      <c r="I171" s="14">
        <f>SUM(K171:T171)</f>
        <v/>
      </c>
      <c r="J171" s="14">
        <f>F171-(G171+H171+I171)</f>
        <v/>
      </c>
      <c r="K171" s="14" t="n">
        <v>528.91</v>
      </c>
      <c r="L171" s="14" t="n">
        <v>528.91</v>
      </c>
      <c r="M171" s="14" t="n">
        <v>528.91</v>
      </c>
      <c r="N171" s="14" t="n">
        <v>528.91</v>
      </c>
      <c r="O171" s="14" t="n">
        <v>528.91</v>
      </c>
      <c r="P171" s="14" t="n">
        <v>528.91</v>
      </c>
      <c r="Q171" s="14" t="n">
        <v>528.91</v>
      </c>
      <c r="R171" s="14" t="n">
        <v>528.91</v>
      </c>
      <c r="S171" s="14" t="n">
        <v>528.91</v>
      </c>
      <c r="T171" s="14" t="n">
        <v>528.91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CANON-202601-003281</t>
        </is>
      </c>
      <c r="B172" s="15" t="inlineStr">
        <is>
          <t>2026-01-28</t>
        </is>
      </c>
      <c r="C172" s="15" t="inlineStr">
        <is>
          <t>Aurelio Rourke</t>
        </is>
      </c>
      <c r="D172" s="15" t="inlineStr">
        <is>
          <t>GA</t>
        </is>
      </c>
      <c r="E172" s="16" t="n">
        <v>285000</v>
      </c>
      <c r="F172" s="16" t="n">
        <v>4052.63</v>
      </c>
      <c r="G172" s="16" t="n">
        <v>506.58</v>
      </c>
      <c r="H172" s="16" t="n">
        <v>506.58</v>
      </c>
      <c r="I172" s="16">
        <f>SUM(K172:T172)</f>
        <v/>
      </c>
      <c r="J172" s="16">
        <f>F172-(G172+H172+I172)</f>
        <v/>
      </c>
      <c r="K172" s="16" t="n">
        <v>303.95</v>
      </c>
      <c r="L172" s="16" t="n">
        <v>303.95</v>
      </c>
      <c r="M172" s="16" t="n">
        <v>303.95</v>
      </c>
      <c r="N172" s="16" t="n">
        <v>303.95</v>
      </c>
      <c r="O172" s="16" t="n">
        <v>303.95</v>
      </c>
      <c r="P172" s="16" t="n">
        <v>303.95</v>
      </c>
      <c r="Q172" s="16" t="n">
        <v>303.95</v>
      </c>
      <c r="R172" s="16" t="n">
        <v>303.95</v>
      </c>
      <c r="S172" s="16" t="n">
        <v>303.95</v>
      </c>
      <c r="T172" s="16" t="n">
        <v>303.95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CANON-202601-003282</t>
        </is>
      </c>
      <c r="B173" s="3" t="inlineStr">
        <is>
          <t>2026-01-11</t>
        </is>
      </c>
      <c r="C173" s="3" t="inlineStr">
        <is>
          <t>Ottilie Vasquez</t>
        </is>
      </c>
      <c r="D173" s="3" t="inlineStr">
        <is>
          <t>MN</t>
        </is>
      </c>
      <c r="E173" s="14" t="n">
        <v>540000</v>
      </c>
      <c r="F173" s="14" t="n">
        <v>7843.22</v>
      </c>
      <c r="G173" s="14" t="n">
        <v>980.4</v>
      </c>
      <c r="H173" s="14" t="n">
        <v>980.4</v>
      </c>
      <c r="I173" s="14">
        <f>SUM(K173:T173)</f>
        <v/>
      </c>
      <c r="J173" s="14">
        <f>F173-(G173+H173+I173)</f>
        <v/>
      </c>
      <c r="K173" s="14" t="n">
        <v>588.24</v>
      </c>
      <c r="L173" s="14" t="n">
        <v>588.24</v>
      </c>
      <c r="M173" s="14" t="n">
        <v>588.24</v>
      </c>
      <c r="N173" s="14" t="n">
        <v>588.24</v>
      </c>
      <c r="O173" s="14" t="n">
        <v>588.24</v>
      </c>
      <c r="P173" s="14" t="n">
        <v>588.24</v>
      </c>
      <c r="Q173" s="14" t="n">
        <v>588.24</v>
      </c>
      <c r="R173" s="14" t="n">
        <v>588.24</v>
      </c>
      <c r="S173" s="14" t="n">
        <v>588.24</v>
      </c>
      <c r="T173" s="14" t="n">
        <v>588.24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CANON-202601-003283</t>
        </is>
      </c>
      <c r="B174" s="15" t="inlineStr">
        <is>
          <t>2026-01-05</t>
        </is>
      </c>
      <c r="C174" s="15" t="inlineStr">
        <is>
          <t>Callum Blackwood</t>
        </is>
      </c>
      <c r="D174" s="15" t="inlineStr">
        <is>
          <t>WA</t>
        </is>
      </c>
      <c r="E174" s="16" t="n">
        <v>340000</v>
      </c>
      <c r="F174" s="16" t="n">
        <v>4144.05</v>
      </c>
      <c r="G174" s="16" t="n">
        <v>518.01</v>
      </c>
      <c r="H174" s="16" t="n">
        <v>518.01</v>
      </c>
      <c r="I174" s="16">
        <f>SUM(K174:T174)</f>
        <v/>
      </c>
      <c r="J174" s="16">
        <f>F174-(G174+H174+I174)</f>
        <v/>
      </c>
      <c r="K174" s="16" t="n">
        <v>310.8</v>
      </c>
      <c r="L174" s="16" t="n">
        <v>310.8</v>
      </c>
      <c r="M174" s="16" t="n">
        <v>310.8</v>
      </c>
      <c r="N174" s="16" t="n">
        <v>310.8</v>
      </c>
      <c r="O174" s="16" t="n">
        <v>310.8</v>
      </c>
      <c r="P174" s="16" t="n">
        <v>310.8</v>
      </c>
      <c r="Q174" s="16" t="n">
        <v>310.8</v>
      </c>
      <c r="R174" s="16" t="n">
        <v>310.8</v>
      </c>
      <c r="S174" s="16" t="n">
        <v>310.8</v>
      </c>
      <c r="T174" s="16" t="n">
        <v>310.8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CANON-202601-003284</t>
        </is>
      </c>
      <c r="B175" s="3" t="inlineStr">
        <is>
          <t>2026-01-24</t>
        </is>
      </c>
      <c r="C175" s="3" t="inlineStr">
        <is>
          <t>Ingrid Castellanos</t>
        </is>
      </c>
      <c r="D175" s="3" t="inlineStr">
        <is>
          <t>NY</t>
        </is>
      </c>
      <c r="E175" s="14" t="n">
        <v>650000</v>
      </c>
      <c r="F175" s="14" t="n">
        <v>13380.13</v>
      </c>
      <c r="G175" s="14" t="n">
        <v>1672.52</v>
      </c>
      <c r="H175" s="14" t="n">
        <v>1672.52</v>
      </c>
      <c r="I175" s="14">
        <f>SUM(K175:T175)</f>
        <v/>
      </c>
      <c r="J175" s="14">
        <f>F175-(G175+H175+I175)</f>
        <v/>
      </c>
      <c r="K175" s="14" t="n">
        <v>1003.51</v>
      </c>
      <c r="L175" s="14" t="n">
        <v>1003.51</v>
      </c>
      <c r="M175" s="14" t="n">
        <v>1003.51</v>
      </c>
      <c r="N175" s="14" t="n">
        <v>1003.51</v>
      </c>
      <c r="O175" s="14" t="n">
        <v>1003.51</v>
      </c>
      <c r="P175" s="14" t="n">
        <v>1003.51</v>
      </c>
      <c r="Q175" s="14" t="n">
        <v>1003.51</v>
      </c>
      <c r="R175" s="14" t="n">
        <v>1003.51</v>
      </c>
      <c r="S175" s="14" t="n">
        <v>1003.51</v>
      </c>
      <c r="T175" s="14" t="n">
        <v>1003.51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CANON-202601-003285</t>
        </is>
      </c>
      <c r="B176" s="15" t="inlineStr">
        <is>
          <t>2026-01-20</t>
        </is>
      </c>
      <c r="C176" s="15" t="inlineStr">
        <is>
          <t>Everett Rourke</t>
        </is>
      </c>
      <c r="D176" s="15" t="inlineStr">
        <is>
          <t>MS</t>
        </is>
      </c>
      <c r="E176" s="16" t="n">
        <v>660000</v>
      </c>
      <c r="F176" s="16" t="n">
        <v>8642.059999999999</v>
      </c>
      <c r="G176" s="16" t="n">
        <v>1080.26</v>
      </c>
      <c r="H176" s="16" t="n">
        <v>1080.26</v>
      </c>
      <c r="I176" s="16">
        <f>SUM(K176:T176)</f>
        <v/>
      </c>
      <c r="J176" s="16">
        <f>F176-(G176+H176+I176)</f>
        <v/>
      </c>
      <c r="K176" s="16" t="n">
        <v>648.15</v>
      </c>
      <c r="L176" s="16" t="n">
        <v>648.15</v>
      </c>
      <c r="M176" s="16" t="n">
        <v>648.15</v>
      </c>
      <c r="N176" s="16" t="n">
        <v>648.15</v>
      </c>
      <c r="O176" s="16" t="n">
        <v>648.15</v>
      </c>
      <c r="P176" s="16" t="n">
        <v>648.15</v>
      </c>
      <c r="Q176" s="16" t="n">
        <v>648.15</v>
      </c>
      <c r="R176" s="16" t="n">
        <v>648.15</v>
      </c>
      <c r="S176" s="16" t="n">
        <v>648.15</v>
      </c>
      <c r="T176" s="16" t="n">
        <v>648.15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CANON-202601-003286</t>
        </is>
      </c>
      <c r="B177" s="3" t="inlineStr">
        <is>
          <t>2026-01-04</t>
        </is>
      </c>
      <c r="C177" s="3" t="inlineStr">
        <is>
          <t>Anouk Bellandi</t>
        </is>
      </c>
      <c r="D177" s="3" t="inlineStr">
        <is>
          <t>AZ</t>
        </is>
      </c>
      <c r="E177" s="14" t="n">
        <v>610000</v>
      </c>
      <c r="F177" s="14" t="n">
        <v>6779.19</v>
      </c>
      <c r="G177" s="14" t="n">
        <v>847.4</v>
      </c>
      <c r="H177" s="14" t="n">
        <v>847.4</v>
      </c>
      <c r="I177" s="14">
        <f>SUM(K177:T177)</f>
        <v/>
      </c>
      <c r="J177" s="14">
        <f>F177-(G177+H177+I177)</f>
        <v/>
      </c>
      <c r="K177" s="14" t="n">
        <v>508.44</v>
      </c>
      <c r="L177" s="14" t="n">
        <v>508.44</v>
      </c>
      <c r="M177" s="14" t="n">
        <v>508.44</v>
      </c>
      <c r="N177" s="14" t="n">
        <v>508.44</v>
      </c>
      <c r="O177" s="14" t="n">
        <v>508.44</v>
      </c>
      <c r="P177" s="14" t="n">
        <v>508.44</v>
      </c>
      <c r="Q177" s="14" t="n">
        <v>508.44</v>
      </c>
      <c r="R177" s="14" t="n">
        <v>508.44</v>
      </c>
      <c r="S177" s="14" t="n">
        <v>508.44</v>
      </c>
      <c r="T177" s="14" t="n">
        <v>508.44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CANON-202601-003288</t>
        </is>
      </c>
      <c r="B178" s="15" t="inlineStr">
        <is>
          <t>2026-01-22</t>
        </is>
      </c>
      <c r="C178" s="15" t="inlineStr">
        <is>
          <t>Leopold Fairweather</t>
        </is>
      </c>
      <c r="D178" s="15" t="inlineStr">
        <is>
          <t>TX</t>
        </is>
      </c>
      <c r="E178" s="16" t="n">
        <v>500000</v>
      </c>
      <c r="F178" s="16" t="n">
        <v>6326.96</v>
      </c>
      <c r="G178" s="16" t="n">
        <v>790.87</v>
      </c>
      <c r="H178" s="16" t="n">
        <v>790.87</v>
      </c>
      <c r="I178" s="16">
        <f>SUM(K178:T178)</f>
        <v/>
      </c>
      <c r="J178" s="16">
        <f>F178-(G178+H178+I178)</f>
        <v/>
      </c>
      <c r="K178" s="16" t="n">
        <v>474.52</v>
      </c>
      <c r="L178" s="16" t="n">
        <v>474.52</v>
      </c>
      <c r="M178" s="16" t="n">
        <v>474.52</v>
      </c>
      <c r="N178" s="16" t="n">
        <v>474.52</v>
      </c>
      <c r="O178" s="16" t="n">
        <v>474.52</v>
      </c>
      <c r="P178" s="16" t="n">
        <v>474.52</v>
      </c>
      <c r="Q178" s="16" t="n">
        <v>474.52</v>
      </c>
      <c r="R178" s="16" t="n">
        <v>474.52</v>
      </c>
      <c r="S178" s="16" t="n">
        <v>474.52</v>
      </c>
      <c r="T178" s="16" t="n">
        <v>474.52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CANON-202601-003291</t>
        </is>
      </c>
      <c r="B179" s="3" t="inlineStr">
        <is>
          <t>2026-01-24</t>
        </is>
      </c>
      <c r="C179" s="3" t="inlineStr">
        <is>
          <t>Marisol Vasquez</t>
        </is>
      </c>
      <c r="D179" s="3" t="inlineStr">
        <is>
          <t>NM</t>
        </is>
      </c>
      <c r="E179" s="14" t="n">
        <v>375000</v>
      </c>
      <c r="F179" s="14" t="n">
        <v>6094.19</v>
      </c>
      <c r="G179" s="14" t="n">
        <v>761.77</v>
      </c>
      <c r="H179" s="14" t="n">
        <v>761.77</v>
      </c>
      <c r="I179" s="14">
        <f>SUM(K179:T179)</f>
        <v/>
      </c>
      <c r="J179" s="14">
        <f>F179-(G179+H179+I179)</f>
        <v/>
      </c>
      <c r="K179" s="14" t="n">
        <v>457.06</v>
      </c>
      <c r="L179" s="14" t="n">
        <v>457.06</v>
      </c>
      <c r="M179" s="14" t="n">
        <v>457.06</v>
      </c>
      <c r="N179" s="14" t="n">
        <v>457.06</v>
      </c>
      <c r="O179" s="14" t="n">
        <v>457.06</v>
      </c>
      <c r="P179" s="14" t="n">
        <v>457.06</v>
      </c>
      <c r="Q179" s="14" t="n">
        <v>457.06</v>
      </c>
      <c r="R179" s="14" t="n">
        <v>457.06</v>
      </c>
      <c r="S179" s="14" t="n">
        <v>457.06</v>
      </c>
      <c r="T179" s="14" t="n">
        <v>457.06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CANON-202601-003292</t>
        </is>
      </c>
      <c r="B180" s="15" t="inlineStr">
        <is>
          <t>2026-01-01</t>
        </is>
      </c>
      <c r="C180" s="15" t="inlineStr">
        <is>
          <t>Beatrix Kingsford</t>
        </is>
      </c>
      <c r="D180" s="15" t="inlineStr">
        <is>
          <t>TX</t>
        </is>
      </c>
      <c r="E180" s="16" t="n">
        <v>800000</v>
      </c>
      <c r="F180" s="16" t="n">
        <v>6696.84</v>
      </c>
      <c r="G180" s="16" t="n">
        <v>837.11</v>
      </c>
      <c r="H180" s="16" t="n">
        <v>837.11</v>
      </c>
      <c r="I180" s="16">
        <f>SUM(K180:T180)</f>
        <v/>
      </c>
      <c r="J180" s="16">
        <f>F180-(G180+H180+I180)</f>
        <v/>
      </c>
      <c r="K180" s="16" t="n">
        <v>502.26</v>
      </c>
      <c r="L180" s="16" t="n">
        <v>502.26</v>
      </c>
      <c r="M180" s="16" t="n">
        <v>502.26</v>
      </c>
      <c r="N180" s="16" t="n">
        <v>502.26</v>
      </c>
      <c r="O180" s="16" t="n">
        <v>502.26</v>
      </c>
      <c r="P180" s="16" t="n">
        <v>502.26</v>
      </c>
      <c r="Q180" s="16" t="n">
        <v>502.26</v>
      </c>
      <c r="R180" s="16" t="n">
        <v>502.26</v>
      </c>
      <c r="S180" s="16" t="n">
        <v>502.26</v>
      </c>
      <c r="T180" s="16" t="n">
        <v>502.26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CANON-202601-003293</t>
        </is>
      </c>
      <c r="B181" s="3" t="inlineStr">
        <is>
          <t>2026-01-16</t>
        </is>
      </c>
      <c r="C181" s="3" t="inlineStr">
        <is>
          <t>Callum Blackwood</t>
        </is>
      </c>
      <c r="D181" s="3" t="inlineStr">
        <is>
          <t>CO</t>
        </is>
      </c>
      <c r="E181" s="14" t="n">
        <v>1650000</v>
      </c>
      <c r="F181" s="14" t="n">
        <v>16898.68</v>
      </c>
      <c r="G181" s="14" t="n">
        <v>2112.34</v>
      </c>
      <c r="H181" s="14" t="n">
        <v>2112.34</v>
      </c>
      <c r="I181" s="14">
        <f>SUM(K181:T181)</f>
        <v/>
      </c>
      <c r="J181" s="14">
        <f>F181-(G181+H181+I181)</f>
        <v/>
      </c>
      <c r="K181" s="14" t="n">
        <v>1267.4</v>
      </c>
      <c r="L181" s="14" t="n">
        <v>1267.4</v>
      </c>
      <c r="M181" s="14" t="n">
        <v>1267.4</v>
      </c>
      <c r="N181" s="14" t="n">
        <v>1267.4</v>
      </c>
      <c r="O181" s="14" t="n">
        <v>1267.4</v>
      </c>
      <c r="P181" s="14" t="n">
        <v>1267.4</v>
      </c>
      <c r="Q181" s="14" t="n">
        <v>1267.4</v>
      </c>
      <c r="R181" s="14" t="n">
        <v>1267.4</v>
      </c>
      <c r="S181" s="14" t="n">
        <v>1267.4</v>
      </c>
      <c r="T181" s="14" t="n">
        <v>1267.4</v>
      </c>
      <c r="U181" s="14" t="n">
        <v>350</v>
      </c>
      <c r="V181" s="14" t="n">
        <v>250</v>
      </c>
      <c r="W181" s="14">
        <f>U181+V181</f>
        <v/>
      </c>
    </row>
    <row r="182">
      <c r="A182" s="15" t="inlineStr">
        <is>
          <t>CANON-202601-003294</t>
        </is>
      </c>
      <c r="B182" s="15" t="inlineStr">
        <is>
          <t>2026-01-30</t>
        </is>
      </c>
      <c r="C182" s="15" t="inlineStr">
        <is>
          <t>Horace Underwood</t>
        </is>
      </c>
      <c r="D182" s="15" t="inlineStr">
        <is>
          <t>KY</t>
        </is>
      </c>
      <c r="E182" s="16" t="n">
        <v>815000</v>
      </c>
      <c r="F182" s="16" t="n">
        <v>7025.21</v>
      </c>
      <c r="G182" s="16" t="n">
        <v>878.15</v>
      </c>
      <c r="H182" s="16" t="n">
        <v>878.15</v>
      </c>
      <c r="I182" s="16">
        <f>SUM(K182:T182)</f>
        <v/>
      </c>
      <c r="J182" s="16">
        <f>F182-(G182+H182+I182)</f>
        <v/>
      </c>
      <c r="K182" s="16" t="n">
        <v>526.89</v>
      </c>
      <c r="L182" s="16" t="n">
        <v>526.89</v>
      </c>
      <c r="M182" s="16" t="n">
        <v>526.89</v>
      </c>
      <c r="N182" s="16" t="n">
        <v>526.89</v>
      </c>
      <c r="O182" s="16" t="n">
        <v>526.89</v>
      </c>
      <c r="P182" s="16" t="n">
        <v>526.89</v>
      </c>
      <c r="Q182" s="16" t="n">
        <v>526.89</v>
      </c>
      <c r="R182" s="16" t="n">
        <v>526.89</v>
      </c>
      <c r="S182" s="16" t="n">
        <v>526.89</v>
      </c>
      <c r="T182" s="16" t="n">
        <v>526.89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CANON-202601-003295</t>
        </is>
      </c>
      <c r="B183" s="3" t="inlineStr">
        <is>
          <t>2026-01-21</t>
        </is>
      </c>
      <c r="C183" s="3" t="inlineStr">
        <is>
          <t>Mireille Fairweather</t>
        </is>
      </c>
      <c r="D183" s="3" t="inlineStr">
        <is>
          <t>AR</t>
        </is>
      </c>
      <c r="E183" s="14" t="n">
        <v>520000</v>
      </c>
      <c r="F183" s="14" t="n">
        <v>11540.36</v>
      </c>
      <c r="G183" s="14" t="n">
        <v>1442.55</v>
      </c>
      <c r="H183" s="14" t="n">
        <v>1442.55</v>
      </c>
      <c r="I183" s="14">
        <f>SUM(K183:T183)</f>
        <v/>
      </c>
      <c r="J183" s="14">
        <f>F183-(G183+H183+I183)</f>
        <v/>
      </c>
      <c r="K183" s="14" t="n">
        <v>865.53</v>
      </c>
      <c r="L183" s="14" t="n">
        <v>865.53</v>
      </c>
      <c r="M183" s="14" t="n">
        <v>865.53</v>
      </c>
      <c r="N183" s="14" t="n">
        <v>865.53</v>
      </c>
      <c r="O183" s="14" t="n">
        <v>865.53</v>
      </c>
      <c r="P183" s="14" t="n">
        <v>865.53</v>
      </c>
      <c r="Q183" s="14" t="n">
        <v>865.53</v>
      </c>
      <c r="R183" s="14" t="n">
        <v>865.53</v>
      </c>
      <c r="S183" s="14" t="n">
        <v>865.53</v>
      </c>
      <c r="T183" s="14" t="n">
        <v>865.53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CANON-202601-003296</t>
        </is>
      </c>
      <c r="B184" s="15" t="inlineStr">
        <is>
          <t>2026-01-31</t>
        </is>
      </c>
      <c r="C184" s="15" t="inlineStr">
        <is>
          <t>Fenwick Harrington</t>
        </is>
      </c>
      <c r="D184" s="15" t="inlineStr">
        <is>
          <t>AK</t>
        </is>
      </c>
      <c r="E184" s="16" t="n">
        <v>700000</v>
      </c>
      <c r="F184" s="16" t="n">
        <v>12833.34</v>
      </c>
      <c r="G184" s="16" t="n">
        <v>1604.17</v>
      </c>
      <c r="H184" s="16" t="n">
        <v>1604.17</v>
      </c>
      <c r="I184" s="16">
        <f>SUM(K184:T184)</f>
        <v/>
      </c>
      <c r="J184" s="16">
        <f>F184-(G184+H184+I184)</f>
        <v/>
      </c>
      <c r="K184" s="16" t="n">
        <v>962.5</v>
      </c>
      <c r="L184" s="16" t="n">
        <v>962.5</v>
      </c>
      <c r="M184" s="16" t="n">
        <v>962.5</v>
      </c>
      <c r="N184" s="16" t="n">
        <v>962.5</v>
      </c>
      <c r="O184" s="16" t="n">
        <v>962.5</v>
      </c>
      <c r="P184" s="16" t="n">
        <v>962.5</v>
      </c>
      <c r="Q184" s="16" t="n">
        <v>962.5</v>
      </c>
      <c r="R184" s="16" t="n">
        <v>962.5</v>
      </c>
      <c r="S184" s="16" t="n">
        <v>962.5</v>
      </c>
      <c r="T184" s="16" t="n">
        <v>962.5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CANON-202601-003297</t>
        </is>
      </c>
      <c r="B185" s="3" t="inlineStr">
        <is>
          <t>2026-01-24</t>
        </is>
      </c>
      <c r="C185" s="3" t="inlineStr">
        <is>
          <t>Fitzgerald Larsson</t>
        </is>
      </c>
      <c r="D185" s="3" t="inlineStr">
        <is>
          <t>WY</t>
        </is>
      </c>
      <c r="E185" s="14" t="n">
        <v>390000</v>
      </c>
      <c r="F185" s="14" t="n">
        <v>5298.14</v>
      </c>
      <c r="G185" s="14" t="n">
        <v>662.27</v>
      </c>
      <c r="H185" s="14" t="n">
        <v>662.27</v>
      </c>
      <c r="I185" s="14">
        <f>SUM(K185:T185)</f>
        <v/>
      </c>
      <c r="J185" s="14">
        <f>F185-(G185+H185+I185)</f>
        <v/>
      </c>
      <c r="K185" s="14" t="n">
        <v>397.36</v>
      </c>
      <c r="L185" s="14" t="n">
        <v>397.36</v>
      </c>
      <c r="M185" s="14" t="n">
        <v>397.36</v>
      </c>
      <c r="N185" s="14" t="n">
        <v>397.36</v>
      </c>
      <c r="O185" s="14" t="n">
        <v>397.36</v>
      </c>
      <c r="P185" s="14" t="n">
        <v>397.36</v>
      </c>
      <c r="Q185" s="14" t="n">
        <v>397.36</v>
      </c>
      <c r="R185" s="14" t="n">
        <v>397.36</v>
      </c>
      <c r="S185" s="14" t="n">
        <v>397.36</v>
      </c>
      <c r="T185" s="14" t="n">
        <v>397.36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CANON-202601-003299</t>
        </is>
      </c>
      <c r="B186" s="15" t="inlineStr">
        <is>
          <t>2026-01-08</t>
        </is>
      </c>
      <c r="C186" s="15" t="inlineStr">
        <is>
          <t>Sunniva Montoya</t>
        </is>
      </c>
      <c r="D186" s="15" t="inlineStr">
        <is>
          <t>TN</t>
        </is>
      </c>
      <c r="E186" s="16" t="n">
        <v>560000</v>
      </c>
      <c r="F186" s="16" t="n">
        <v>6038.67</v>
      </c>
      <c r="G186" s="16" t="n">
        <v>754.83</v>
      </c>
      <c r="H186" s="16" t="n">
        <v>754.83</v>
      </c>
      <c r="I186" s="16">
        <f>SUM(K186:T186)</f>
        <v/>
      </c>
      <c r="J186" s="16">
        <f>F186-(G186+H186+I186)</f>
        <v/>
      </c>
      <c r="K186" s="16" t="n">
        <v>452.9</v>
      </c>
      <c r="L186" s="16" t="n">
        <v>452.9</v>
      </c>
      <c r="M186" s="16" t="n">
        <v>452.9</v>
      </c>
      <c r="N186" s="16" t="n">
        <v>452.9</v>
      </c>
      <c r="O186" s="16" t="n">
        <v>452.9</v>
      </c>
      <c r="P186" s="16" t="n">
        <v>452.9</v>
      </c>
      <c r="Q186" s="16" t="n">
        <v>452.9</v>
      </c>
      <c r="R186" s="16" t="n">
        <v>452.9</v>
      </c>
      <c r="S186" s="16" t="n">
        <v>452.9</v>
      </c>
      <c r="T186" s="16" t="n">
        <v>452.9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CANON-202601-003300</t>
        </is>
      </c>
      <c r="B187" s="3" t="inlineStr">
        <is>
          <t>2026-01-29</t>
        </is>
      </c>
      <c r="C187" s="3" t="inlineStr">
        <is>
          <t>Desmond Ashcombe</t>
        </is>
      </c>
      <c r="D187" s="3" t="inlineStr">
        <is>
          <t>PA</t>
        </is>
      </c>
      <c r="E187" s="14" t="n">
        <v>235000</v>
      </c>
      <c r="F187" s="14" t="n">
        <v>3659.9</v>
      </c>
      <c r="G187" s="14" t="n">
        <v>457.49</v>
      </c>
      <c r="H187" s="14" t="n">
        <v>457.49</v>
      </c>
      <c r="I187" s="14">
        <f>SUM(K187:T187)</f>
        <v/>
      </c>
      <c r="J187" s="14">
        <f>F187-(G187+H187+I187)</f>
        <v/>
      </c>
      <c r="K187" s="14" t="n">
        <v>274.49</v>
      </c>
      <c r="L187" s="14" t="n">
        <v>274.49</v>
      </c>
      <c r="M187" s="14" t="n">
        <v>274.49</v>
      </c>
      <c r="N187" s="14" t="n">
        <v>274.49</v>
      </c>
      <c r="O187" s="14" t="n">
        <v>274.49</v>
      </c>
      <c r="P187" s="14" t="n">
        <v>274.49</v>
      </c>
      <c r="Q187" s="14" t="n">
        <v>274.49</v>
      </c>
      <c r="R187" s="14" t="n">
        <v>274.49</v>
      </c>
      <c r="S187" s="14" t="n">
        <v>274.49</v>
      </c>
      <c r="T187" s="14" t="n">
        <v>274.49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CANON-202601-003301</t>
        </is>
      </c>
      <c r="B188" s="15" t="inlineStr">
        <is>
          <t>2026-01-01</t>
        </is>
      </c>
      <c r="C188" s="15" t="inlineStr">
        <is>
          <t>Desmond Kingsford</t>
        </is>
      </c>
      <c r="D188" s="15" t="inlineStr">
        <is>
          <t>MA</t>
        </is>
      </c>
      <c r="E188" s="16" t="n">
        <v>1015000</v>
      </c>
      <c r="F188" s="16" t="n">
        <v>11812.78</v>
      </c>
      <c r="G188" s="16" t="n">
        <v>1476.6</v>
      </c>
      <c r="H188" s="16" t="n">
        <v>1476.6</v>
      </c>
      <c r="I188" s="16">
        <f>SUM(K188:T188)</f>
        <v/>
      </c>
      <c r="J188" s="16">
        <f>F188-(G188+H188+I188)</f>
        <v/>
      </c>
      <c r="K188" s="16" t="n">
        <v>885.96</v>
      </c>
      <c r="L188" s="16" t="n">
        <v>885.96</v>
      </c>
      <c r="M188" s="16" t="n">
        <v>885.96</v>
      </c>
      <c r="N188" s="16" t="n">
        <v>885.96</v>
      </c>
      <c r="O188" s="16" t="n">
        <v>885.96</v>
      </c>
      <c r="P188" s="16" t="n">
        <v>885.96</v>
      </c>
      <c r="Q188" s="16" t="n">
        <v>885.96</v>
      </c>
      <c r="R188" s="16" t="n">
        <v>885.96</v>
      </c>
      <c r="S188" s="16" t="n">
        <v>885.96</v>
      </c>
      <c r="T188" s="16" t="n">
        <v>885.96</v>
      </c>
      <c r="U188" s="16" t="n">
        <v>350</v>
      </c>
      <c r="V188" s="16" t="n">
        <v>250</v>
      </c>
      <c r="W188" s="16">
        <f>U188+V188</f>
        <v/>
      </c>
    </row>
    <row r="189">
      <c r="A189" s="3" t="inlineStr">
        <is>
          <t>CANON-202601-003302</t>
        </is>
      </c>
      <c r="B189" s="3" t="inlineStr">
        <is>
          <t>2026-01-29</t>
        </is>
      </c>
      <c r="C189" s="3" t="inlineStr">
        <is>
          <t>Ottilie Delacroix</t>
        </is>
      </c>
      <c r="D189" s="3" t="inlineStr">
        <is>
          <t>MI</t>
        </is>
      </c>
      <c r="E189" s="14" t="n">
        <v>450000</v>
      </c>
      <c r="F189" s="14" t="n">
        <v>4959.15</v>
      </c>
      <c r="G189" s="14" t="n">
        <v>619.89</v>
      </c>
      <c r="H189" s="14" t="n">
        <v>619.89</v>
      </c>
      <c r="I189" s="14">
        <f>SUM(K189:T189)</f>
        <v/>
      </c>
      <c r="J189" s="14">
        <f>F189-(G189+H189+I189)</f>
        <v/>
      </c>
      <c r="K189" s="14" t="n">
        <v>371.94</v>
      </c>
      <c r="L189" s="14" t="n">
        <v>371.94</v>
      </c>
      <c r="M189" s="14" t="n">
        <v>371.94</v>
      </c>
      <c r="N189" s="14" t="n">
        <v>371.94</v>
      </c>
      <c r="O189" s="14" t="n">
        <v>371.94</v>
      </c>
      <c r="P189" s="14" t="n">
        <v>371.94</v>
      </c>
      <c r="Q189" s="14" t="n">
        <v>371.94</v>
      </c>
      <c r="R189" s="14" t="n">
        <v>371.94</v>
      </c>
      <c r="S189" s="14" t="n">
        <v>371.94</v>
      </c>
      <c r="T189" s="14" t="n">
        <v>371.94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CANON-202601-003303</t>
        </is>
      </c>
      <c r="B190" s="15" t="inlineStr">
        <is>
          <t>2026-01-25</t>
        </is>
      </c>
      <c r="C190" s="15" t="inlineStr">
        <is>
          <t>Sunniva Blackwood</t>
        </is>
      </c>
      <c r="D190" s="15" t="inlineStr">
        <is>
          <t>SD</t>
        </is>
      </c>
      <c r="E190" s="16" t="n">
        <v>510000</v>
      </c>
      <c r="F190" s="16" t="n">
        <v>6229.03</v>
      </c>
      <c r="G190" s="16" t="n">
        <v>778.63</v>
      </c>
      <c r="H190" s="16" t="n">
        <v>778.63</v>
      </c>
      <c r="I190" s="16">
        <f>SUM(K190:T190)</f>
        <v/>
      </c>
      <c r="J190" s="16">
        <f>F190-(G190+H190+I190)</f>
        <v/>
      </c>
      <c r="K190" s="16" t="n">
        <v>467.18</v>
      </c>
      <c r="L190" s="16" t="n">
        <v>467.18</v>
      </c>
      <c r="M190" s="16" t="n">
        <v>467.18</v>
      </c>
      <c r="N190" s="16" t="n">
        <v>467.18</v>
      </c>
      <c r="O190" s="16" t="n">
        <v>467.18</v>
      </c>
      <c r="P190" s="16" t="n">
        <v>467.18</v>
      </c>
      <c r="Q190" s="16" t="n">
        <v>467.18</v>
      </c>
      <c r="R190" s="16" t="n">
        <v>467.18</v>
      </c>
      <c r="S190" s="16" t="n">
        <v>467.18</v>
      </c>
      <c r="T190" s="16" t="n">
        <v>467.18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CANON-202601-003304</t>
        </is>
      </c>
      <c r="B191" s="3" t="inlineStr">
        <is>
          <t>2026-01-06</t>
        </is>
      </c>
      <c r="C191" s="3" t="inlineStr">
        <is>
          <t>Ingrid Underwood</t>
        </is>
      </c>
      <c r="D191" s="3" t="inlineStr">
        <is>
          <t>WA</t>
        </is>
      </c>
      <c r="E191" s="14" t="n">
        <v>625000</v>
      </c>
      <c r="F191" s="14" t="n">
        <v>4367.5</v>
      </c>
      <c r="G191" s="14" t="n">
        <v>545.9400000000001</v>
      </c>
      <c r="H191" s="14" t="n">
        <v>545.9400000000001</v>
      </c>
      <c r="I191" s="14">
        <f>SUM(K191:T191)</f>
        <v/>
      </c>
      <c r="J191" s="14">
        <f>F191-(G191+H191+I191)</f>
        <v/>
      </c>
      <c r="K191" s="14" t="n">
        <v>327.56</v>
      </c>
      <c r="L191" s="14" t="n">
        <v>327.56</v>
      </c>
      <c r="M191" s="14" t="n">
        <v>327.56</v>
      </c>
      <c r="N191" s="14" t="n">
        <v>327.56</v>
      </c>
      <c r="O191" s="14" t="n">
        <v>327.56</v>
      </c>
      <c r="P191" s="14" t="n">
        <v>327.56</v>
      </c>
      <c r="Q191" s="14" t="n">
        <v>327.56</v>
      </c>
      <c r="R191" s="14" t="n">
        <v>327.56</v>
      </c>
      <c r="S191" s="14" t="n">
        <v>327.56</v>
      </c>
      <c r="T191" s="14" t="n">
        <v>327.56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CANON-202601-003305</t>
        </is>
      </c>
      <c r="B192" s="15" t="inlineStr">
        <is>
          <t>2026-01-08</t>
        </is>
      </c>
      <c r="C192" s="15" t="inlineStr">
        <is>
          <t>Noor Harrington</t>
        </is>
      </c>
      <c r="D192" s="15" t="inlineStr">
        <is>
          <t>ME</t>
        </is>
      </c>
      <c r="E192" s="16" t="n">
        <v>525000</v>
      </c>
      <c r="F192" s="16" t="n">
        <v>6238.92</v>
      </c>
      <c r="G192" s="16" t="n">
        <v>779.87</v>
      </c>
      <c r="H192" s="16" t="n">
        <v>779.87</v>
      </c>
      <c r="I192" s="16">
        <f>SUM(K192:T192)</f>
        <v/>
      </c>
      <c r="J192" s="16">
        <f>F192-(G192+H192+I192)</f>
        <v/>
      </c>
      <c r="K192" s="16" t="n">
        <v>467.92</v>
      </c>
      <c r="L192" s="16" t="n">
        <v>467.92</v>
      </c>
      <c r="M192" s="16" t="n">
        <v>467.92</v>
      </c>
      <c r="N192" s="16" t="n">
        <v>467.92</v>
      </c>
      <c r="O192" s="16" t="n">
        <v>467.92</v>
      </c>
      <c r="P192" s="16" t="n">
        <v>467.92</v>
      </c>
      <c r="Q192" s="16" t="n">
        <v>467.92</v>
      </c>
      <c r="R192" s="16" t="n">
        <v>467.92</v>
      </c>
      <c r="S192" s="16" t="n">
        <v>467.92</v>
      </c>
      <c r="T192" s="16" t="n">
        <v>467.92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CANON-202601-003306</t>
        </is>
      </c>
      <c r="B193" s="3" t="inlineStr">
        <is>
          <t>2026-01-28</t>
        </is>
      </c>
      <c r="C193" s="3" t="inlineStr">
        <is>
          <t>Lorenzo Nakashima</t>
        </is>
      </c>
      <c r="D193" s="3" t="inlineStr">
        <is>
          <t>VA</t>
        </is>
      </c>
      <c r="E193" s="14" t="n">
        <v>1900000</v>
      </c>
      <c r="F193" s="14" t="n">
        <v>19282.18</v>
      </c>
      <c r="G193" s="14" t="n">
        <v>2410.27</v>
      </c>
      <c r="H193" s="14" t="n">
        <v>2410.27</v>
      </c>
      <c r="I193" s="14">
        <f>SUM(K193:T193)</f>
        <v/>
      </c>
      <c r="J193" s="14">
        <f>F193-(G193+H193+I193)</f>
        <v/>
      </c>
      <c r="K193" s="14" t="n">
        <v>1446.16</v>
      </c>
      <c r="L193" s="14" t="n">
        <v>1446.16</v>
      </c>
      <c r="M193" s="14" t="n">
        <v>1446.16</v>
      </c>
      <c r="N193" s="14" t="n">
        <v>1446.16</v>
      </c>
      <c r="O193" s="14" t="n">
        <v>1446.16</v>
      </c>
      <c r="P193" s="14" t="n">
        <v>1446.16</v>
      </c>
      <c r="Q193" s="14" t="n">
        <v>1446.16</v>
      </c>
      <c r="R193" s="14" t="n">
        <v>1446.16</v>
      </c>
      <c r="S193" s="14" t="n">
        <v>1446.16</v>
      </c>
      <c r="T193" s="14" t="n">
        <v>1446.16</v>
      </c>
      <c r="U193" s="14" t="n">
        <v>350</v>
      </c>
      <c r="V193" s="14" t="n">
        <v>250</v>
      </c>
      <c r="W193" s="14">
        <f>U193+V193</f>
        <v/>
      </c>
    </row>
    <row r="194">
      <c r="A194" s="15" t="inlineStr">
        <is>
          <t>CANON-202601-003307</t>
        </is>
      </c>
      <c r="B194" s="15" t="inlineStr">
        <is>
          <t>2026-01-13</t>
        </is>
      </c>
      <c r="C194" s="15" t="inlineStr">
        <is>
          <t>Aurelio Ashcombe</t>
        </is>
      </c>
      <c r="D194" s="15" t="inlineStr">
        <is>
          <t>MT</t>
        </is>
      </c>
      <c r="E194" s="16" t="n">
        <v>375000</v>
      </c>
      <c r="F194" s="16" t="n">
        <v>2833.8</v>
      </c>
      <c r="G194" s="16" t="n">
        <v>354.23</v>
      </c>
      <c r="H194" s="16" t="n">
        <v>354.23</v>
      </c>
      <c r="I194" s="16">
        <f>SUM(K194:T194)</f>
        <v/>
      </c>
      <c r="J194" s="16">
        <f>F194-(G194+H194+I194)</f>
        <v/>
      </c>
      <c r="K194" s="16" t="n">
        <v>212.53</v>
      </c>
      <c r="L194" s="16" t="n">
        <v>212.53</v>
      </c>
      <c r="M194" s="16" t="n">
        <v>212.53</v>
      </c>
      <c r="N194" s="16" t="n">
        <v>212.53</v>
      </c>
      <c r="O194" s="16" t="n">
        <v>212.53</v>
      </c>
      <c r="P194" s="16" t="n">
        <v>212.53</v>
      </c>
      <c r="Q194" s="16" t="n">
        <v>212.53</v>
      </c>
      <c r="R194" s="16" t="n">
        <v>212.53</v>
      </c>
      <c r="S194" s="16" t="n">
        <v>212.53</v>
      </c>
      <c r="T194" s="16" t="n">
        <v>212.53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CANON-202601-003308</t>
        </is>
      </c>
      <c r="B195" s="3" t="inlineStr">
        <is>
          <t>2026-01-19</t>
        </is>
      </c>
      <c r="C195" s="3" t="inlineStr">
        <is>
          <t>Saoirse Okonkwo</t>
        </is>
      </c>
      <c r="D195" s="3" t="inlineStr">
        <is>
          <t>ND</t>
        </is>
      </c>
      <c r="E195" s="14" t="n">
        <v>1245000</v>
      </c>
      <c r="F195" s="14" t="n">
        <v>17197.8</v>
      </c>
      <c r="G195" s="14" t="n">
        <v>2149.72</v>
      </c>
      <c r="H195" s="14" t="n">
        <v>2149.72</v>
      </c>
      <c r="I195" s="14">
        <f>SUM(K195:T195)</f>
        <v/>
      </c>
      <c r="J195" s="14">
        <f>F195-(G195+H195+I195)</f>
        <v/>
      </c>
      <c r="K195" s="14" t="n">
        <v>1289.83</v>
      </c>
      <c r="L195" s="14" t="n">
        <v>1289.83</v>
      </c>
      <c r="M195" s="14" t="n">
        <v>1289.83</v>
      </c>
      <c r="N195" s="14" t="n">
        <v>1289.83</v>
      </c>
      <c r="O195" s="14" t="n">
        <v>1289.83</v>
      </c>
      <c r="P195" s="14" t="n">
        <v>1289.83</v>
      </c>
      <c r="Q195" s="14" t="n">
        <v>1289.83</v>
      </c>
      <c r="R195" s="14" t="n">
        <v>1289.83</v>
      </c>
      <c r="S195" s="14" t="n">
        <v>1289.83</v>
      </c>
      <c r="T195" s="14" t="n">
        <v>1289.83</v>
      </c>
      <c r="U195" s="14" t="n">
        <v>350</v>
      </c>
      <c r="V195" s="14" t="n">
        <v>250</v>
      </c>
      <c r="W195" s="14">
        <f>U195+V195</f>
        <v/>
      </c>
    </row>
    <row r="196">
      <c r="A196" s="15" t="inlineStr">
        <is>
          <t>CANON-202601-003310</t>
        </is>
      </c>
      <c r="B196" s="15" t="inlineStr">
        <is>
          <t>2026-01-25</t>
        </is>
      </c>
      <c r="C196" s="15" t="inlineStr">
        <is>
          <t>Emiliano Rourke</t>
        </is>
      </c>
      <c r="D196" s="15" t="inlineStr">
        <is>
          <t>OH</t>
        </is>
      </c>
      <c r="E196" s="16" t="n">
        <v>280000</v>
      </c>
      <c r="F196" s="16" t="n">
        <v>3162.48</v>
      </c>
      <c r="G196" s="16" t="n">
        <v>395.31</v>
      </c>
      <c r="H196" s="16" t="n">
        <v>395.31</v>
      </c>
      <c r="I196" s="16">
        <f>SUM(K196:T196)</f>
        <v/>
      </c>
      <c r="J196" s="16">
        <f>F196-(G196+H196+I196)</f>
        <v/>
      </c>
      <c r="K196" s="16" t="n">
        <v>237.19</v>
      </c>
      <c r="L196" s="16" t="n">
        <v>237.19</v>
      </c>
      <c r="M196" s="16" t="n">
        <v>237.19</v>
      </c>
      <c r="N196" s="16" t="n">
        <v>237.19</v>
      </c>
      <c r="O196" s="16" t="n">
        <v>237.19</v>
      </c>
      <c r="P196" s="16" t="n">
        <v>237.19</v>
      </c>
      <c r="Q196" s="16" t="n">
        <v>237.19</v>
      </c>
      <c r="R196" s="16" t="n">
        <v>237.19</v>
      </c>
      <c r="S196" s="16" t="n">
        <v>237.19</v>
      </c>
      <c r="T196" s="16" t="n">
        <v>237.19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CANON-202601-003311</t>
        </is>
      </c>
      <c r="B197" s="3" t="inlineStr">
        <is>
          <t>2026-01-26</t>
        </is>
      </c>
      <c r="C197" s="3" t="inlineStr">
        <is>
          <t>Everett Delacroix</t>
        </is>
      </c>
      <c r="D197" s="3" t="inlineStr">
        <is>
          <t>CA</t>
        </is>
      </c>
      <c r="E197" s="14" t="n">
        <v>295000</v>
      </c>
      <c r="F197" s="14" t="n">
        <v>3236.01</v>
      </c>
      <c r="G197" s="14" t="n">
        <v>404.5</v>
      </c>
      <c r="H197" s="14" t="n">
        <v>404.5</v>
      </c>
      <c r="I197" s="14">
        <f>SUM(K197:T197)</f>
        <v/>
      </c>
      <c r="J197" s="14">
        <f>F197-(G197+H197+I197)</f>
        <v/>
      </c>
      <c r="K197" s="14" t="n">
        <v>242.7</v>
      </c>
      <c r="L197" s="14" t="n">
        <v>242.7</v>
      </c>
      <c r="M197" s="14" t="n">
        <v>242.7</v>
      </c>
      <c r="N197" s="14" t="n">
        <v>242.7</v>
      </c>
      <c r="O197" s="14" t="n">
        <v>242.7</v>
      </c>
      <c r="P197" s="14" t="n">
        <v>242.7</v>
      </c>
      <c r="Q197" s="14" t="n">
        <v>242.7</v>
      </c>
      <c r="R197" s="14" t="n">
        <v>242.7</v>
      </c>
      <c r="S197" s="14" t="n">
        <v>242.7</v>
      </c>
      <c r="T197" s="14" t="n">
        <v>242.7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CANON-202601-003312</t>
        </is>
      </c>
      <c r="B198" s="15" t="inlineStr">
        <is>
          <t>2026-01-26</t>
        </is>
      </c>
      <c r="C198" s="15" t="inlineStr">
        <is>
          <t>Everett Thistlewood</t>
        </is>
      </c>
      <c r="D198" s="15" t="inlineStr">
        <is>
          <t>ME</t>
        </is>
      </c>
      <c r="E198" s="16" t="n">
        <v>285000</v>
      </c>
      <c r="F198" s="16" t="n">
        <v>3907.9</v>
      </c>
      <c r="G198" s="16" t="n">
        <v>488.49</v>
      </c>
      <c r="H198" s="16" t="n">
        <v>488.49</v>
      </c>
      <c r="I198" s="16">
        <f>SUM(K198:T198)</f>
        <v/>
      </c>
      <c r="J198" s="16">
        <f>F198-(G198+H198+I198)</f>
        <v/>
      </c>
      <c r="K198" s="16" t="n">
        <v>293.09</v>
      </c>
      <c r="L198" s="16" t="n">
        <v>293.09</v>
      </c>
      <c r="M198" s="16" t="n">
        <v>293.09</v>
      </c>
      <c r="N198" s="16" t="n">
        <v>293.09</v>
      </c>
      <c r="O198" s="16" t="n">
        <v>293.09</v>
      </c>
      <c r="P198" s="16" t="n">
        <v>293.09</v>
      </c>
      <c r="Q198" s="16" t="n">
        <v>293.09</v>
      </c>
      <c r="R198" s="16" t="n">
        <v>293.09</v>
      </c>
      <c r="S198" s="16" t="n">
        <v>293.09</v>
      </c>
      <c r="T198" s="16" t="n">
        <v>293.09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CANON-202601-003313</t>
        </is>
      </c>
      <c r="B199" s="3" t="inlineStr">
        <is>
          <t>2026-01-21</t>
        </is>
      </c>
      <c r="C199" s="3" t="inlineStr">
        <is>
          <t>Leopold Delacroix</t>
        </is>
      </c>
      <c r="D199" s="3" t="inlineStr">
        <is>
          <t>OH</t>
        </is>
      </c>
      <c r="E199" s="14" t="n">
        <v>750000</v>
      </c>
      <c r="F199" s="14" t="n">
        <v>16765.37</v>
      </c>
      <c r="G199" s="14" t="n">
        <v>2095.67</v>
      </c>
      <c r="H199" s="14" t="n">
        <v>2095.67</v>
      </c>
      <c r="I199" s="14">
        <f>SUM(K199:T199)</f>
        <v/>
      </c>
      <c r="J199" s="14">
        <f>F199-(G199+H199+I199)</f>
        <v/>
      </c>
      <c r="K199" s="14" t="n">
        <v>1257.4</v>
      </c>
      <c r="L199" s="14" t="n">
        <v>1257.4</v>
      </c>
      <c r="M199" s="14" t="n">
        <v>1257.4</v>
      </c>
      <c r="N199" s="14" t="n">
        <v>1257.4</v>
      </c>
      <c r="O199" s="14" t="n">
        <v>1257.4</v>
      </c>
      <c r="P199" s="14" t="n">
        <v>1257.4</v>
      </c>
      <c r="Q199" s="14" t="n">
        <v>1257.4</v>
      </c>
      <c r="R199" s="14" t="n">
        <v>1257.4</v>
      </c>
      <c r="S199" s="14" t="n">
        <v>1257.4</v>
      </c>
      <c r="T199" s="14" t="n">
        <v>1257.4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CANON-202601-003314</t>
        </is>
      </c>
      <c r="B200" s="15" t="inlineStr">
        <is>
          <t>2026-01-19</t>
        </is>
      </c>
      <c r="C200" s="15" t="inlineStr">
        <is>
          <t>Sunniva Ashcombe</t>
        </is>
      </c>
      <c r="D200" s="15" t="inlineStr">
        <is>
          <t>AZ</t>
        </is>
      </c>
      <c r="E200" s="16" t="n">
        <v>865000</v>
      </c>
      <c r="F200" s="16" t="n">
        <v>9613.120000000001</v>
      </c>
      <c r="G200" s="16" t="n">
        <v>1201.64</v>
      </c>
      <c r="H200" s="16" t="n">
        <v>1201.64</v>
      </c>
      <c r="I200" s="16">
        <f>SUM(K200:T200)</f>
        <v/>
      </c>
      <c r="J200" s="16">
        <f>F200-(G200+H200+I200)</f>
        <v/>
      </c>
      <c r="K200" s="16" t="n">
        <v>720.98</v>
      </c>
      <c r="L200" s="16" t="n">
        <v>720.98</v>
      </c>
      <c r="M200" s="16" t="n">
        <v>720.98</v>
      </c>
      <c r="N200" s="16" t="n">
        <v>720.98</v>
      </c>
      <c r="O200" s="16" t="n">
        <v>720.98</v>
      </c>
      <c r="P200" s="16" t="n">
        <v>720.98</v>
      </c>
      <c r="Q200" s="16" t="n">
        <v>720.98</v>
      </c>
      <c r="R200" s="16" t="n">
        <v>720.98</v>
      </c>
      <c r="S200" s="16" t="n">
        <v>720.98</v>
      </c>
      <c r="T200" s="16" t="n">
        <v>720.98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CANON-202601-003315</t>
        </is>
      </c>
      <c r="B201" s="3" t="inlineStr">
        <is>
          <t>2026-01-07</t>
        </is>
      </c>
      <c r="C201" s="3" t="inlineStr">
        <is>
          <t>Saoirse Larsson</t>
        </is>
      </c>
      <c r="D201" s="3" t="inlineStr">
        <is>
          <t>MA</t>
        </is>
      </c>
      <c r="E201" s="14" t="n">
        <v>310000</v>
      </c>
      <c r="F201" s="14" t="n">
        <v>3148.66</v>
      </c>
      <c r="G201" s="14" t="n">
        <v>393.58</v>
      </c>
      <c r="H201" s="14" t="n">
        <v>393.58</v>
      </c>
      <c r="I201" s="14">
        <f>SUM(K201:T201)</f>
        <v/>
      </c>
      <c r="J201" s="14">
        <f>F201-(G201+H201+I201)</f>
        <v/>
      </c>
      <c r="K201" s="14" t="n">
        <v>236.15</v>
      </c>
      <c r="L201" s="14" t="n">
        <v>236.15</v>
      </c>
      <c r="M201" s="14" t="n">
        <v>236.15</v>
      </c>
      <c r="N201" s="14" t="n">
        <v>236.15</v>
      </c>
      <c r="O201" s="14" t="n">
        <v>236.15</v>
      </c>
      <c r="P201" s="14" t="n">
        <v>236.15</v>
      </c>
      <c r="Q201" s="14" t="n">
        <v>236.15</v>
      </c>
      <c r="R201" s="14" t="n">
        <v>236.15</v>
      </c>
      <c r="S201" s="14" t="n">
        <v>236.15</v>
      </c>
      <c r="T201" s="14" t="n">
        <v>236.15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CANON-202601-003316</t>
        </is>
      </c>
      <c r="B202" s="15" t="inlineStr">
        <is>
          <t>2026-01-07</t>
        </is>
      </c>
      <c r="C202" s="15" t="inlineStr">
        <is>
          <t>Horace Fairweather</t>
        </is>
      </c>
      <c r="D202" s="15" t="inlineStr">
        <is>
          <t>MS</t>
        </is>
      </c>
      <c r="E202" s="16" t="n">
        <v>1130000</v>
      </c>
      <c r="F202" s="16" t="n">
        <v>18210.79</v>
      </c>
      <c r="G202" s="16" t="n">
        <v>2276.35</v>
      </c>
      <c r="H202" s="16" t="n">
        <v>2276.35</v>
      </c>
      <c r="I202" s="16">
        <f>SUM(K202:T202)</f>
        <v/>
      </c>
      <c r="J202" s="16">
        <f>F202-(G202+H202+I202)</f>
        <v/>
      </c>
      <c r="K202" s="16" t="n">
        <v>1365.81</v>
      </c>
      <c r="L202" s="16" t="n">
        <v>1365.81</v>
      </c>
      <c r="M202" s="16" t="n">
        <v>1365.81</v>
      </c>
      <c r="N202" s="16" t="n">
        <v>1365.81</v>
      </c>
      <c r="O202" s="16" t="n">
        <v>1365.81</v>
      </c>
      <c r="P202" s="16" t="n">
        <v>1365.81</v>
      </c>
      <c r="Q202" s="16" t="n">
        <v>1365.81</v>
      </c>
      <c r="R202" s="16" t="n">
        <v>1365.81</v>
      </c>
      <c r="S202" s="16" t="n">
        <v>1365.81</v>
      </c>
      <c r="T202" s="16" t="n">
        <v>1365.81</v>
      </c>
      <c r="U202" s="16" t="n">
        <v>350</v>
      </c>
      <c r="V202" s="16" t="n">
        <v>250</v>
      </c>
      <c r="W202" s="16">
        <f>U202+V202</f>
        <v/>
      </c>
    </row>
    <row r="203">
      <c r="A203" s="3" t="inlineStr">
        <is>
          <t>CANON-202601-003317</t>
        </is>
      </c>
      <c r="B203" s="3" t="inlineStr">
        <is>
          <t>2026-01-03</t>
        </is>
      </c>
      <c r="C203" s="3" t="inlineStr">
        <is>
          <t>Noor Kingsford</t>
        </is>
      </c>
      <c r="D203" s="3" t="inlineStr">
        <is>
          <t>WA</t>
        </is>
      </c>
      <c r="E203" s="14" t="n">
        <v>795000</v>
      </c>
      <c r="F203" s="14" t="n">
        <v>5555.46</v>
      </c>
      <c r="G203" s="14" t="n">
        <v>694.4299999999999</v>
      </c>
      <c r="H203" s="14" t="n">
        <v>694.4299999999999</v>
      </c>
      <c r="I203" s="14">
        <f>SUM(K203:T203)</f>
        <v/>
      </c>
      <c r="J203" s="14">
        <f>F203-(G203+H203+I203)</f>
        <v/>
      </c>
      <c r="K203" s="14" t="n">
        <v>416.66</v>
      </c>
      <c r="L203" s="14" t="n">
        <v>416.66</v>
      </c>
      <c r="M203" s="14" t="n">
        <v>416.66</v>
      </c>
      <c r="N203" s="14" t="n">
        <v>416.66</v>
      </c>
      <c r="O203" s="14" t="n">
        <v>416.66</v>
      </c>
      <c r="P203" s="14" t="n">
        <v>416.66</v>
      </c>
      <c r="Q203" s="14" t="n">
        <v>416.66</v>
      </c>
      <c r="R203" s="14" t="n">
        <v>416.66</v>
      </c>
      <c r="S203" s="14" t="n">
        <v>416.66</v>
      </c>
      <c r="T203" s="14" t="n">
        <v>416.66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CANON-202601-003318</t>
        </is>
      </c>
      <c r="B204" s="15" t="inlineStr">
        <is>
          <t>2026-01-20</t>
        </is>
      </c>
      <c r="C204" s="15" t="inlineStr">
        <is>
          <t>Desmond Bellandi</t>
        </is>
      </c>
      <c r="D204" s="15" t="inlineStr">
        <is>
          <t>AL</t>
        </is>
      </c>
      <c r="E204" s="16" t="n">
        <v>120000</v>
      </c>
      <c r="F204" s="16" t="n">
        <v>2373.48</v>
      </c>
      <c r="G204" s="16" t="n">
        <v>296.69</v>
      </c>
      <c r="H204" s="16" t="n">
        <v>296.69</v>
      </c>
      <c r="I204" s="16">
        <f>SUM(K204:T204)</f>
        <v/>
      </c>
      <c r="J204" s="16">
        <f>F204-(G204+H204+I204)</f>
        <v/>
      </c>
      <c r="K204" s="16" t="n">
        <v>178.01</v>
      </c>
      <c r="L204" s="16" t="n">
        <v>178.01</v>
      </c>
      <c r="M204" s="16" t="n">
        <v>178.01</v>
      </c>
      <c r="N204" s="16" t="n">
        <v>178.01</v>
      </c>
      <c r="O204" s="16" t="n">
        <v>178.01</v>
      </c>
      <c r="P204" s="16" t="n">
        <v>178.01</v>
      </c>
      <c r="Q204" s="16" t="n">
        <v>178.01</v>
      </c>
      <c r="R204" s="16" t="n">
        <v>178.01</v>
      </c>
      <c r="S204" s="16" t="n">
        <v>178.01</v>
      </c>
      <c r="T204" s="16" t="n">
        <v>178.01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CANON-202601-003319</t>
        </is>
      </c>
      <c r="B205" s="3" t="inlineStr">
        <is>
          <t>2026-01-03</t>
        </is>
      </c>
      <c r="C205" s="3" t="inlineStr">
        <is>
          <t>Emiliano Thistlewood</t>
        </is>
      </c>
      <c r="D205" s="3" t="inlineStr">
        <is>
          <t>AL</t>
        </is>
      </c>
      <c r="E205" s="14" t="n">
        <v>185000</v>
      </c>
      <c r="F205" s="14" t="n">
        <v>3659.12</v>
      </c>
      <c r="G205" s="14" t="n">
        <v>457.39</v>
      </c>
      <c r="H205" s="14" t="n">
        <v>457.39</v>
      </c>
      <c r="I205" s="14">
        <f>SUM(K205:T205)</f>
        <v/>
      </c>
      <c r="J205" s="14">
        <f>F205-(G205+H205+I205)</f>
        <v/>
      </c>
      <c r="K205" s="14" t="n">
        <v>274.43</v>
      </c>
      <c r="L205" s="14" t="n">
        <v>274.43</v>
      </c>
      <c r="M205" s="14" t="n">
        <v>274.43</v>
      </c>
      <c r="N205" s="14" t="n">
        <v>274.43</v>
      </c>
      <c r="O205" s="14" t="n">
        <v>274.43</v>
      </c>
      <c r="P205" s="14" t="n">
        <v>274.43</v>
      </c>
      <c r="Q205" s="14" t="n">
        <v>274.43</v>
      </c>
      <c r="R205" s="14" t="n">
        <v>274.43</v>
      </c>
      <c r="S205" s="14" t="n">
        <v>274.43</v>
      </c>
      <c r="T205" s="14" t="n">
        <v>274.43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CANON-202601-003320</t>
        </is>
      </c>
      <c r="B206" s="15" t="inlineStr">
        <is>
          <t>2026-01-30</t>
        </is>
      </c>
      <c r="C206" s="15" t="inlineStr">
        <is>
          <t>Everett Montoya</t>
        </is>
      </c>
      <c r="D206" s="15" t="inlineStr">
        <is>
          <t>IA</t>
        </is>
      </c>
      <c r="E206" s="16" t="n">
        <v>775000</v>
      </c>
      <c r="F206" s="16" t="n">
        <v>9380.4</v>
      </c>
      <c r="G206" s="16" t="n">
        <v>1172.55</v>
      </c>
      <c r="H206" s="16" t="n">
        <v>1172.55</v>
      </c>
      <c r="I206" s="16">
        <f>SUM(K206:T206)</f>
        <v/>
      </c>
      <c r="J206" s="16">
        <f>F206-(G206+H206+I206)</f>
        <v/>
      </c>
      <c r="K206" s="16" t="n">
        <v>703.53</v>
      </c>
      <c r="L206" s="16" t="n">
        <v>703.53</v>
      </c>
      <c r="M206" s="16" t="n">
        <v>703.53</v>
      </c>
      <c r="N206" s="16" t="n">
        <v>703.53</v>
      </c>
      <c r="O206" s="16" t="n">
        <v>703.53</v>
      </c>
      <c r="P206" s="16" t="n">
        <v>703.53</v>
      </c>
      <c r="Q206" s="16" t="n">
        <v>703.53</v>
      </c>
      <c r="R206" s="16" t="n">
        <v>703.53</v>
      </c>
      <c r="S206" s="16" t="n">
        <v>703.53</v>
      </c>
      <c r="T206" s="16" t="n">
        <v>703.53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CANON-202601-003321</t>
        </is>
      </c>
      <c r="B207" s="3" t="inlineStr">
        <is>
          <t>2026-01-17</t>
        </is>
      </c>
      <c r="C207" s="3" t="inlineStr">
        <is>
          <t>Ottilie Bellandi</t>
        </is>
      </c>
      <c r="D207" s="3" t="inlineStr">
        <is>
          <t>MD</t>
        </is>
      </c>
      <c r="E207" s="14" t="n">
        <v>625000</v>
      </c>
      <c r="F207" s="14" t="n">
        <v>6533.27</v>
      </c>
      <c r="G207" s="14" t="n">
        <v>816.66</v>
      </c>
      <c r="H207" s="14" t="n">
        <v>816.66</v>
      </c>
      <c r="I207" s="14">
        <f>SUM(K207:T207)</f>
        <v/>
      </c>
      <c r="J207" s="14">
        <f>F207-(G207+H207+I207)</f>
        <v/>
      </c>
      <c r="K207" s="14" t="n">
        <v>490</v>
      </c>
      <c r="L207" s="14" t="n">
        <v>490</v>
      </c>
      <c r="M207" s="14" t="n">
        <v>490</v>
      </c>
      <c r="N207" s="14" t="n">
        <v>490</v>
      </c>
      <c r="O207" s="14" t="n">
        <v>490</v>
      </c>
      <c r="P207" s="14" t="n">
        <v>490</v>
      </c>
      <c r="Q207" s="14" t="n">
        <v>490</v>
      </c>
      <c r="R207" s="14" t="n">
        <v>490</v>
      </c>
      <c r="S207" s="14" t="n">
        <v>490</v>
      </c>
      <c r="T207" s="14" t="n">
        <v>490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CANON-202601-003322</t>
        </is>
      </c>
      <c r="B208" s="15" t="inlineStr">
        <is>
          <t>2026-01-30</t>
        </is>
      </c>
      <c r="C208" s="15" t="inlineStr">
        <is>
          <t>Aurelio Farkas</t>
        </is>
      </c>
      <c r="D208" s="15" t="inlineStr">
        <is>
          <t>NY</t>
        </is>
      </c>
      <c r="E208" s="16" t="n">
        <v>1950000</v>
      </c>
      <c r="F208" s="16" t="n">
        <v>16056.16</v>
      </c>
      <c r="G208" s="16" t="n">
        <v>2007.02</v>
      </c>
      <c r="H208" s="16" t="n">
        <v>2007.02</v>
      </c>
      <c r="I208" s="16">
        <f>SUM(K208:T208)</f>
        <v/>
      </c>
      <c r="J208" s="16">
        <f>F208-(G208+H208+I208)</f>
        <v/>
      </c>
      <c r="K208" s="16" t="n">
        <v>1204.21</v>
      </c>
      <c r="L208" s="16" t="n">
        <v>1204.21</v>
      </c>
      <c r="M208" s="16" t="n">
        <v>1204.21</v>
      </c>
      <c r="N208" s="16" t="n">
        <v>1204.21</v>
      </c>
      <c r="O208" s="16" t="n">
        <v>1204.21</v>
      </c>
      <c r="P208" s="16" t="n">
        <v>1204.21</v>
      </c>
      <c r="Q208" s="16" t="n">
        <v>1204.21</v>
      </c>
      <c r="R208" s="16" t="n">
        <v>1204.21</v>
      </c>
      <c r="S208" s="16" t="n">
        <v>1204.21</v>
      </c>
      <c r="T208" s="16" t="n">
        <v>1204.21</v>
      </c>
      <c r="U208" s="16" t="n">
        <v>350</v>
      </c>
      <c r="V208" s="16" t="n">
        <v>250</v>
      </c>
      <c r="W208" s="16">
        <f>U208+V208</f>
        <v/>
      </c>
    </row>
    <row r="209">
      <c r="A209" s="3" t="inlineStr">
        <is>
          <t>CANON-202601-003327</t>
        </is>
      </c>
      <c r="B209" s="3" t="inlineStr">
        <is>
          <t>2026-01-16</t>
        </is>
      </c>
      <c r="C209" s="3" t="inlineStr">
        <is>
          <t>Wilhelmina Okonkwo</t>
        </is>
      </c>
      <c r="D209" s="3" t="inlineStr">
        <is>
          <t>WV</t>
        </is>
      </c>
      <c r="E209" s="14" t="n">
        <v>685000</v>
      </c>
      <c r="F209" s="14" t="n">
        <v>10024.64</v>
      </c>
      <c r="G209" s="14" t="n">
        <v>1253.08</v>
      </c>
      <c r="H209" s="14" t="n">
        <v>1253.08</v>
      </c>
      <c r="I209" s="14">
        <f>SUM(K209:T209)</f>
        <v/>
      </c>
      <c r="J209" s="14">
        <f>F209-(G209+H209+I209)</f>
        <v/>
      </c>
      <c r="K209" s="14" t="n">
        <v>751.85</v>
      </c>
      <c r="L209" s="14" t="n">
        <v>751.85</v>
      </c>
      <c r="M209" s="14" t="n">
        <v>751.85</v>
      </c>
      <c r="N209" s="14" t="n">
        <v>751.85</v>
      </c>
      <c r="O209" s="14" t="n">
        <v>751.85</v>
      </c>
      <c r="P209" s="14" t="n">
        <v>751.85</v>
      </c>
      <c r="Q209" s="14" t="n">
        <v>751.85</v>
      </c>
      <c r="R209" s="14" t="n">
        <v>751.85</v>
      </c>
      <c r="S209" s="14" t="n">
        <v>751.85</v>
      </c>
      <c r="T209" s="14" t="n">
        <v>751.85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CANON-202601-003329</t>
        </is>
      </c>
      <c r="B210" s="15" t="inlineStr">
        <is>
          <t>2026-01-03</t>
        </is>
      </c>
      <c r="C210" s="15" t="inlineStr">
        <is>
          <t>Aurelio Merriweather</t>
        </is>
      </c>
      <c r="D210" s="15" t="inlineStr">
        <is>
          <t>MA</t>
        </is>
      </c>
      <c r="E210" s="16" t="n">
        <v>975000</v>
      </c>
      <c r="F210" s="16" t="n">
        <v>19599.8</v>
      </c>
      <c r="G210" s="16" t="n">
        <v>2449.97</v>
      </c>
      <c r="H210" s="16" t="n">
        <v>2449.97</v>
      </c>
      <c r="I210" s="16">
        <f>SUM(K210:T210)</f>
        <v/>
      </c>
      <c r="J210" s="16">
        <f>F210-(G210+H210+I210)</f>
        <v/>
      </c>
      <c r="K210" s="16" t="n">
        <v>1469.98</v>
      </c>
      <c r="L210" s="16" t="n">
        <v>1469.98</v>
      </c>
      <c r="M210" s="16" t="n">
        <v>1469.98</v>
      </c>
      <c r="N210" s="16" t="n">
        <v>1469.98</v>
      </c>
      <c r="O210" s="16" t="n">
        <v>1469.98</v>
      </c>
      <c r="P210" s="16" t="n">
        <v>1469.98</v>
      </c>
      <c r="Q210" s="16" t="n">
        <v>1469.98</v>
      </c>
      <c r="R210" s="16" t="n">
        <v>1469.98</v>
      </c>
      <c r="S210" s="16" t="n">
        <v>1469.98</v>
      </c>
      <c r="T210" s="16" t="n">
        <v>1469.98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CANON-202601-003330</t>
        </is>
      </c>
      <c r="B211" s="3" t="inlineStr">
        <is>
          <t>2026-01-07</t>
        </is>
      </c>
      <c r="C211" s="3" t="inlineStr">
        <is>
          <t>Aurelio Ashcombe</t>
        </is>
      </c>
      <c r="D211" s="3" t="inlineStr">
        <is>
          <t>NY</t>
        </is>
      </c>
      <c r="E211" s="14" t="n">
        <v>1000000</v>
      </c>
      <c r="F211" s="14" t="n">
        <v>11917.53</v>
      </c>
      <c r="G211" s="14" t="n">
        <v>1489.69</v>
      </c>
      <c r="H211" s="14" t="n">
        <v>1489.69</v>
      </c>
      <c r="I211" s="14">
        <f>SUM(K211:T211)</f>
        <v/>
      </c>
      <c r="J211" s="14">
        <f>F211-(G211+H211+I211)</f>
        <v/>
      </c>
      <c r="K211" s="14" t="n">
        <v>893.8099999999999</v>
      </c>
      <c r="L211" s="14" t="n">
        <v>893.8099999999999</v>
      </c>
      <c r="M211" s="14" t="n">
        <v>893.8099999999999</v>
      </c>
      <c r="N211" s="14" t="n">
        <v>893.8099999999999</v>
      </c>
      <c r="O211" s="14" t="n">
        <v>893.8099999999999</v>
      </c>
      <c r="P211" s="14" t="n">
        <v>893.8099999999999</v>
      </c>
      <c r="Q211" s="14" t="n">
        <v>893.8099999999999</v>
      </c>
      <c r="R211" s="14" t="n">
        <v>893.8099999999999</v>
      </c>
      <c r="S211" s="14" t="n">
        <v>893.8099999999999</v>
      </c>
      <c r="T211" s="14" t="n">
        <v>893.8099999999999</v>
      </c>
      <c r="U211" s="14" t="n">
        <v>350</v>
      </c>
      <c r="V211" s="14" t="n">
        <v>250</v>
      </c>
      <c r="W211" s="14">
        <f>U211+V211</f>
        <v/>
      </c>
    </row>
    <row r="212">
      <c r="A212" s="15" t="inlineStr">
        <is>
          <t>CANON-202601-003331</t>
        </is>
      </c>
      <c r="B212" s="15" t="inlineStr">
        <is>
          <t>2026-01-01</t>
        </is>
      </c>
      <c r="C212" s="15" t="inlineStr">
        <is>
          <t>Marisol Chattopadhyay</t>
        </is>
      </c>
      <c r="D212" s="15" t="inlineStr">
        <is>
          <t>CA</t>
        </is>
      </c>
      <c r="E212" s="16" t="n">
        <v>825000</v>
      </c>
      <c r="F212" s="16" t="n">
        <v>17911.2</v>
      </c>
      <c r="G212" s="16" t="n">
        <v>2238.9</v>
      </c>
      <c r="H212" s="16" t="n">
        <v>2238.9</v>
      </c>
      <c r="I212" s="16">
        <f>SUM(K212:T212)</f>
        <v/>
      </c>
      <c r="J212" s="16">
        <f>F212-(G212+H212+I212)</f>
        <v/>
      </c>
      <c r="K212" s="16" t="n">
        <v>1343.34</v>
      </c>
      <c r="L212" s="16" t="n">
        <v>1343.34</v>
      </c>
      <c r="M212" s="16" t="n">
        <v>1343.34</v>
      </c>
      <c r="N212" s="16" t="n">
        <v>1343.34</v>
      </c>
      <c r="O212" s="16" t="n">
        <v>1343.34</v>
      </c>
      <c r="P212" s="16" t="n">
        <v>1343.34</v>
      </c>
      <c r="Q212" s="16" t="n">
        <v>1343.34</v>
      </c>
      <c r="R212" s="16" t="n">
        <v>1343.34</v>
      </c>
      <c r="S212" s="16" t="n">
        <v>1343.34</v>
      </c>
      <c r="T212" s="16" t="n">
        <v>1343.34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CANON-202601-003332</t>
        </is>
      </c>
      <c r="B213" s="3" t="inlineStr">
        <is>
          <t>2026-01-21</t>
        </is>
      </c>
      <c r="C213" s="3" t="inlineStr">
        <is>
          <t>Wilhelmina Fairweather</t>
        </is>
      </c>
      <c r="D213" s="3" t="inlineStr">
        <is>
          <t>UT</t>
        </is>
      </c>
      <c r="E213" s="14" t="n">
        <v>420000</v>
      </c>
      <c r="F213" s="14" t="n">
        <v>7198.76</v>
      </c>
      <c r="G213" s="14" t="n">
        <v>899.85</v>
      </c>
      <c r="H213" s="14" t="n">
        <v>899.85</v>
      </c>
      <c r="I213" s="14">
        <f>SUM(K213:T213)</f>
        <v/>
      </c>
      <c r="J213" s="14">
        <f>F213-(G213+H213+I213)</f>
        <v/>
      </c>
      <c r="K213" s="14" t="n">
        <v>539.91</v>
      </c>
      <c r="L213" s="14" t="n">
        <v>539.91</v>
      </c>
      <c r="M213" s="14" t="n">
        <v>539.91</v>
      </c>
      <c r="N213" s="14" t="n">
        <v>539.91</v>
      </c>
      <c r="O213" s="14" t="n">
        <v>539.91</v>
      </c>
      <c r="P213" s="14" t="n">
        <v>539.91</v>
      </c>
      <c r="Q213" s="14" t="n">
        <v>539.91</v>
      </c>
      <c r="R213" s="14" t="n">
        <v>539.91</v>
      </c>
      <c r="S213" s="14" t="n">
        <v>539.91</v>
      </c>
      <c r="T213" s="14" t="n">
        <v>539.91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CANON-202601-003334</t>
        </is>
      </c>
      <c r="B214" s="15" t="inlineStr">
        <is>
          <t>2026-01-24</t>
        </is>
      </c>
      <c r="C214" s="15" t="inlineStr">
        <is>
          <t>Horace Underwood</t>
        </is>
      </c>
      <c r="D214" s="15" t="inlineStr">
        <is>
          <t>TX</t>
        </is>
      </c>
      <c r="E214" s="16" t="n">
        <v>445000</v>
      </c>
      <c r="F214" s="16" t="n">
        <v>6497.3</v>
      </c>
      <c r="G214" s="16" t="n">
        <v>812.16</v>
      </c>
      <c r="H214" s="16" t="n">
        <v>812.16</v>
      </c>
      <c r="I214" s="16">
        <f>SUM(K214:T214)</f>
        <v/>
      </c>
      <c r="J214" s="16">
        <f>F214-(G214+H214+I214)</f>
        <v/>
      </c>
      <c r="K214" s="16" t="n">
        <v>487.3</v>
      </c>
      <c r="L214" s="16" t="n">
        <v>487.3</v>
      </c>
      <c r="M214" s="16" t="n">
        <v>487.3</v>
      </c>
      <c r="N214" s="16" t="n">
        <v>487.3</v>
      </c>
      <c r="O214" s="16" t="n">
        <v>487.3</v>
      </c>
      <c r="P214" s="16" t="n">
        <v>487.3</v>
      </c>
      <c r="Q214" s="16" t="n">
        <v>487.3</v>
      </c>
      <c r="R214" s="16" t="n">
        <v>487.3</v>
      </c>
      <c r="S214" s="16" t="n">
        <v>487.3</v>
      </c>
      <c r="T214" s="16" t="n">
        <v>487.3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CANON-202601-003336</t>
        </is>
      </c>
      <c r="B215" s="3" t="inlineStr">
        <is>
          <t>2026-01-10</t>
        </is>
      </c>
      <c r="C215" s="3" t="inlineStr">
        <is>
          <t>Anouk Bellandi</t>
        </is>
      </c>
      <c r="D215" s="3" t="inlineStr">
        <is>
          <t>CO</t>
        </is>
      </c>
      <c r="E215" s="14" t="n">
        <v>350000</v>
      </c>
      <c r="F215" s="14" t="n">
        <v>4888.04</v>
      </c>
      <c r="G215" s="14" t="n">
        <v>611</v>
      </c>
      <c r="H215" s="14" t="n">
        <v>611</v>
      </c>
      <c r="I215" s="14">
        <f>SUM(K215:T215)</f>
        <v/>
      </c>
      <c r="J215" s="14">
        <f>F215-(G215+H215+I215)</f>
        <v/>
      </c>
      <c r="K215" s="14" t="n">
        <v>366.6</v>
      </c>
      <c r="L215" s="14" t="n">
        <v>366.6</v>
      </c>
      <c r="M215" s="14" t="n">
        <v>366.6</v>
      </c>
      <c r="N215" s="14" t="n">
        <v>366.6</v>
      </c>
      <c r="O215" s="14" t="n">
        <v>366.6</v>
      </c>
      <c r="P215" s="14" t="n">
        <v>366.6</v>
      </c>
      <c r="Q215" s="14" t="n">
        <v>366.6</v>
      </c>
      <c r="R215" s="14" t="n">
        <v>366.6</v>
      </c>
      <c r="S215" s="14" t="n">
        <v>366.6</v>
      </c>
      <c r="T215" s="14" t="n">
        <v>366.6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CANON-202601-003337</t>
        </is>
      </c>
      <c r="B216" s="15" t="inlineStr">
        <is>
          <t>2026-01-08</t>
        </is>
      </c>
      <c r="C216" s="15" t="inlineStr">
        <is>
          <t>Cassius Whitlock</t>
        </is>
      </c>
      <c r="D216" s="15" t="inlineStr">
        <is>
          <t>AK</t>
        </is>
      </c>
      <c r="E216" s="16" t="n">
        <v>290000</v>
      </c>
      <c r="F216" s="16" t="n">
        <v>4197.37</v>
      </c>
      <c r="G216" s="16" t="n">
        <v>524.67</v>
      </c>
      <c r="H216" s="16" t="n">
        <v>524.67</v>
      </c>
      <c r="I216" s="16">
        <f>SUM(K216:T216)</f>
        <v/>
      </c>
      <c r="J216" s="16">
        <f>F216-(G216+H216+I216)</f>
        <v/>
      </c>
      <c r="K216" s="16" t="n">
        <v>314.8</v>
      </c>
      <c r="L216" s="16" t="n">
        <v>314.8</v>
      </c>
      <c r="M216" s="16" t="n">
        <v>314.8</v>
      </c>
      <c r="N216" s="16" t="n">
        <v>314.8</v>
      </c>
      <c r="O216" s="16" t="n">
        <v>314.8</v>
      </c>
      <c r="P216" s="16" t="n">
        <v>314.8</v>
      </c>
      <c r="Q216" s="16" t="n">
        <v>314.8</v>
      </c>
      <c r="R216" s="16" t="n">
        <v>314.8</v>
      </c>
      <c r="S216" s="16" t="n">
        <v>314.8</v>
      </c>
      <c r="T216" s="16" t="n">
        <v>314.8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CANON-202601-003338</t>
        </is>
      </c>
      <c r="B217" s="3" t="inlineStr">
        <is>
          <t>2026-01-30</t>
        </is>
      </c>
      <c r="C217" s="3" t="inlineStr">
        <is>
          <t>Ramona Farkas</t>
        </is>
      </c>
      <c r="D217" s="3" t="inlineStr">
        <is>
          <t>OH</t>
        </is>
      </c>
      <c r="E217" s="14" t="n">
        <v>715000</v>
      </c>
      <c r="F217" s="14" t="n">
        <v>10935.73</v>
      </c>
      <c r="G217" s="14" t="n">
        <v>1366.97</v>
      </c>
      <c r="H217" s="14" t="n">
        <v>1366.97</v>
      </c>
      <c r="I217" s="14">
        <f>SUM(K217:T217)</f>
        <v/>
      </c>
      <c r="J217" s="14">
        <f>F217-(G217+H217+I217)</f>
        <v/>
      </c>
      <c r="K217" s="14" t="n">
        <v>820.1799999999999</v>
      </c>
      <c r="L217" s="14" t="n">
        <v>820.1799999999999</v>
      </c>
      <c r="M217" s="14" t="n">
        <v>820.1799999999999</v>
      </c>
      <c r="N217" s="14" t="n">
        <v>820.1799999999999</v>
      </c>
      <c r="O217" s="14" t="n">
        <v>820.1799999999999</v>
      </c>
      <c r="P217" s="14" t="n">
        <v>820.1799999999999</v>
      </c>
      <c r="Q217" s="14" t="n">
        <v>820.1799999999999</v>
      </c>
      <c r="R217" s="14" t="n">
        <v>820.1799999999999</v>
      </c>
      <c r="S217" s="14" t="n">
        <v>820.1799999999999</v>
      </c>
      <c r="T217" s="14" t="n">
        <v>820.1799999999999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CANON-202601-003339</t>
        </is>
      </c>
      <c r="B218" s="15" t="inlineStr">
        <is>
          <t>2026-01-03</t>
        </is>
      </c>
      <c r="C218" s="15" t="inlineStr">
        <is>
          <t>Mireille Pennington</t>
        </is>
      </c>
      <c r="D218" s="15" t="inlineStr">
        <is>
          <t>NV</t>
        </is>
      </c>
      <c r="E218" s="16" t="n">
        <v>575000</v>
      </c>
      <c r="F218" s="16" t="n">
        <v>7402.54</v>
      </c>
      <c r="G218" s="16" t="n">
        <v>925.3200000000001</v>
      </c>
      <c r="H218" s="16" t="n">
        <v>925.3200000000001</v>
      </c>
      <c r="I218" s="16">
        <f>SUM(K218:T218)</f>
        <v/>
      </c>
      <c r="J218" s="16">
        <f>F218-(G218+H218+I218)</f>
        <v/>
      </c>
      <c r="K218" s="16" t="n">
        <v>555.1900000000001</v>
      </c>
      <c r="L218" s="16" t="n">
        <v>555.1900000000001</v>
      </c>
      <c r="M218" s="16" t="n">
        <v>555.1900000000001</v>
      </c>
      <c r="N218" s="16" t="n">
        <v>555.1900000000001</v>
      </c>
      <c r="O218" s="16" t="n">
        <v>555.1900000000001</v>
      </c>
      <c r="P218" s="16" t="n">
        <v>555.1900000000001</v>
      </c>
      <c r="Q218" s="16" t="n">
        <v>555.1900000000001</v>
      </c>
      <c r="R218" s="16" t="n">
        <v>555.1900000000001</v>
      </c>
      <c r="S218" s="16" t="n">
        <v>555.1900000000001</v>
      </c>
      <c r="T218" s="16" t="n">
        <v>555.1900000000001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CANON-202601-003340</t>
        </is>
      </c>
      <c r="B219" s="3" t="inlineStr">
        <is>
          <t>2026-01-16</t>
        </is>
      </c>
      <c r="C219" s="3" t="inlineStr">
        <is>
          <t>Emiliano Kingsford</t>
        </is>
      </c>
      <c r="D219" s="3" t="inlineStr">
        <is>
          <t>CT</t>
        </is>
      </c>
      <c r="E219" s="14" t="n">
        <v>185000</v>
      </c>
      <c r="F219" s="14" t="n">
        <v>3682.93</v>
      </c>
      <c r="G219" s="14" t="n">
        <v>460.37</v>
      </c>
      <c r="H219" s="14" t="n">
        <v>460.37</v>
      </c>
      <c r="I219" s="14">
        <f>SUM(K219:T219)</f>
        <v/>
      </c>
      <c r="J219" s="14">
        <f>F219-(G219+H219+I219)</f>
        <v/>
      </c>
      <c r="K219" s="14" t="n">
        <v>276.22</v>
      </c>
      <c r="L219" s="14" t="n">
        <v>276.22</v>
      </c>
      <c r="M219" s="14" t="n">
        <v>276.22</v>
      </c>
      <c r="N219" s="14" t="n">
        <v>276.22</v>
      </c>
      <c r="O219" s="14" t="n">
        <v>276.22</v>
      </c>
      <c r="P219" s="14" t="n">
        <v>276.22</v>
      </c>
      <c r="Q219" s="14" t="n">
        <v>276.22</v>
      </c>
      <c r="R219" s="14" t="n">
        <v>276.22</v>
      </c>
      <c r="S219" s="14" t="n">
        <v>276.22</v>
      </c>
      <c r="T219" s="14" t="n">
        <v>276.22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CANON-202601-003341</t>
        </is>
      </c>
      <c r="B220" s="15" t="inlineStr">
        <is>
          <t>2026-01-04</t>
        </is>
      </c>
      <c r="C220" s="15" t="inlineStr">
        <is>
          <t>Everett Harrington</t>
        </is>
      </c>
      <c r="D220" s="15" t="inlineStr">
        <is>
          <t>PA</t>
        </is>
      </c>
      <c r="E220" s="16" t="n">
        <v>1255000</v>
      </c>
      <c r="F220" s="16" t="n">
        <v>11684.76</v>
      </c>
      <c r="G220" s="16" t="n">
        <v>1460.6</v>
      </c>
      <c r="H220" s="16" t="n">
        <v>1460.6</v>
      </c>
      <c r="I220" s="16">
        <f>SUM(K220:T220)</f>
        <v/>
      </c>
      <c r="J220" s="16">
        <f>F220-(G220+H220+I220)</f>
        <v/>
      </c>
      <c r="K220" s="16" t="n">
        <v>876.36</v>
      </c>
      <c r="L220" s="16" t="n">
        <v>876.36</v>
      </c>
      <c r="M220" s="16" t="n">
        <v>876.36</v>
      </c>
      <c r="N220" s="16" t="n">
        <v>876.36</v>
      </c>
      <c r="O220" s="16" t="n">
        <v>876.36</v>
      </c>
      <c r="P220" s="16" t="n">
        <v>876.36</v>
      </c>
      <c r="Q220" s="16" t="n">
        <v>876.36</v>
      </c>
      <c r="R220" s="16" t="n">
        <v>876.36</v>
      </c>
      <c r="S220" s="16" t="n">
        <v>876.36</v>
      </c>
      <c r="T220" s="16" t="n">
        <v>876.36</v>
      </c>
      <c r="U220" s="16" t="n">
        <v>350</v>
      </c>
      <c r="V220" s="16" t="n">
        <v>250</v>
      </c>
      <c r="W220" s="16">
        <f>U220+V220</f>
        <v/>
      </c>
    </row>
    <row r="221">
      <c r="A221" s="3" t="inlineStr">
        <is>
          <t>CANON-202601-003344</t>
        </is>
      </c>
      <c r="B221" s="3" t="inlineStr">
        <is>
          <t>2026-01-11</t>
        </is>
      </c>
      <c r="C221" s="3" t="inlineStr">
        <is>
          <t>Lorenzo Delacroix</t>
        </is>
      </c>
      <c r="D221" s="3" t="inlineStr">
        <is>
          <t>FL</t>
        </is>
      </c>
      <c r="E221" s="14" t="n">
        <v>930000</v>
      </c>
      <c r="F221" s="14" t="n">
        <v>14531.09</v>
      </c>
      <c r="G221" s="14" t="n">
        <v>1816.39</v>
      </c>
      <c r="H221" s="14" t="n">
        <v>1816.39</v>
      </c>
      <c r="I221" s="14">
        <f>SUM(K221:T221)</f>
        <v/>
      </c>
      <c r="J221" s="14">
        <f>F221-(G221+H221+I221)</f>
        <v/>
      </c>
      <c r="K221" s="14" t="n">
        <v>1089.83</v>
      </c>
      <c r="L221" s="14" t="n">
        <v>1089.83</v>
      </c>
      <c r="M221" s="14" t="n">
        <v>1089.83</v>
      </c>
      <c r="N221" s="14" t="n">
        <v>1089.83</v>
      </c>
      <c r="O221" s="14" t="n">
        <v>1089.83</v>
      </c>
      <c r="P221" s="14" t="n">
        <v>1089.83</v>
      </c>
      <c r="Q221" s="14" t="n">
        <v>1089.83</v>
      </c>
      <c r="R221" s="14" t="n">
        <v>1089.83</v>
      </c>
      <c r="S221" s="14" t="n">
        <v>1089.83</v>
      </c>
      <c r="T221" s="14" t="n">
        <v>1089.83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CANON-202601-003345</t>
        </is>
      </c>
      <c r="B222" s="15" t="inlineStr">
        <is>
          <t>2026-01-25</t>
        </is>
      </c>
      <c r="C222" s="15" t="inlineStr">
        <is>
          <t>Everett Kingsford</t>
        </is>
      </c>
      <c r="D222" s="15" t="inlineStr">
        <is>
          <t>LA</t>
        </is>
      </c>
      <c r="E222" s="16" t="n">
        <v>160000</v>
      </c>
      <c r="F222" s="16" t="n">
        <v>3015.13</v>
      </c>
      <c r="G222" s="16" t="n">
        <v>376.89</v>
      </c>
      <c r="H222" s="16" t="n">
        <v>376.89</v>
      </c>
      <c r="I222" s="16">
        <f>SUM(K222:T222)</f>
        <v/>
      </c>
      <c r="J222" s="16">
        <f>F222-(G222+H222+I222)</f>
        <v/>
      </c>
      <c r="K222" s="16" t="n">
        <v>226.13</v>
      </c>
      <c r="L222" s="16" t="n">
        <v>226.13</v>
      </c>
      <c r="M222" s="16" t="n">
        <v>226.13</v>
      </c>
      <c r="N222" s="16" t="n">
        <v>226.13</v>
      </c>
      <c r="O222" s="16" t="n">
        <v>226.13</v>
      </c>
      <c r="P222" s="16" t="n">
        <v>226.13</v>
      </c>
      <c r="Q222" s="16" t="n">
        <v>226.13</v>
      </c>
      <c r="R222" s="16" t="n">
        <v>226.13</v>
      </c>
      <c r="S222" s="16" t="n">
        <v>226.13</v>
      </c>
      <c r="T222" s="16" t="n">
        <v>226.13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CANON-202601-003346</t>
        </is>
      </c>
      <c r="B223" s="3" t="inlineStr">
        <is>
          <t>2026-01-30</t>
        </is>
      </c>
      <c r="C223" s="3" t="inlineStr">
        <is>
          <t>Emiliano Okonkwo</t>
        </is>
      </c>
      <c r="D223" s="3" t="inlineStr">
        <is>
          <t>KY</t>
        </is>
      </c>
      <c r="E223" s="14" t="n">
        <v>620000</v>
      </c>
      <c r="F223" s="14" t="n">
        <v>9141.620000000001</v>
      </c>
      <c r="G223" s="14" t="n">
        <v>1142.7</v>
      </c>
      <c r="H223" s="14" t="n">
        <v>1142.7</v>
      </c>
      <c r="I223" s="14">
        <f>SUM(K223:T223)</f>
        <v/>
      </c>
      <c r="J223" s="14">
        <f>F223-(G223+H223+I223)</f>
        <v/>
      </c>
      <c r="K223" s="14" t="n">
        <v>685.62</v>
      </c>
      <c r="L223" s="14" t="n">
        <v>685.62</v>
      </c>
      <c r="M223" s="14" t="n">
        <v>685.62</v>
      </c>
      <c r="N223" s="14" t="n">
        <v>685.62</v>
      </c>
      <c r="O223" s="14" t="n">
        <v>685.62</v>
      </c>
      <c r="P223" s="14" t="n">
        <v>685.62</v>
      </c>
      <c r="Q223" s="14" t="n">
        <v>685.62</v>
      </c>
      <c r="R223" s="14" t="n">
        <v>685.62</v>
      </c>
      <c r="S223" s="14" t="n">
        <v>685.62</v>
      </c>
      <c r="T223" s="14" t="n">
        <v>685.62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CANON-202601-003347</t>
        </is>
      </c>
      <c r="B224" s="15" t="inlineStr">
        <is>
          <t>2026-01-12</t>
        </is>
      </c>
      <c r="C224" s="15" t="inlineStr">
        <is>
          <t>Noor Nakashima</t>
        </is>
      </c>
      <c r="D224" s="15" t="inlineStr">
        <is>
          <t>VT</t>
        </is>
      </c>
      <c r="E224" s="16" t="n">
        <v>635000</v>
      </c>
      <c r="F224" s="16" t="n">
        <v>8524.33</v>
      </c>
      <c r="G224" s="16" t="n">
        <v>1065.54</v>
      </c>
      <c r="H224" s="16" t="n">
        <v>1065.54</v>
      </c>
      <c r="I224" s="16">
        <f>SUM(K224:T224)</f>
        <v/>
      </c>
      <c r="J224" s="16">
        <f>F224-(G224+H224+I224)</f>
        <v/>
      </c>
      <c r="K224" s="16" t="n">
        <v>639.3200000000001</v>
      </c>
      <c r="L224" s="16" t="n">
        <v>639.3200000000001</v>
      </c>
      <c r="M224" s="16" t="n">
        <v>639.3200000000001</v>
      </c>
      <c r="N224" s="16" t="n">
        <v>639.3200000000001</v>
      </c>
      <c r="O224" s="16" t="n">
        <v>639.3200000000001</v>
      </c>
      <c r="P224" s="16" t="n">
        <v>639.3200000000001</v>
      </c>
      <c r="Q224" s="16" t="n">
        <v>639.3200000000001</v>
      </c>
      <c r="R224" s="16" t="n">
        <v>639.3200000000001</v>
      </c>
      <c r="S224" s="16" t="n">
        <v>639.3200000000001</v>
      </c>
      <c r="T224" s="16" t="n">
        <v>639.3200000000001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CANON-202601-003348</t>
        </is>
      </c>
      <c r="B225" s="3" t="inlineStr">
        <is>
          <t>2026-01-01</t>
        </is>
      </c>
      <c r="C225" s="3" t="inlineStr">
        <is>
          <t>Wilhelmina Vandermeer</t>
        </is>
      </c>
      <c r="D225" s="3" t="inlineStr">
        <is>
          <t>OR</t>
        </is>
      </c>
      <c r="E225" s="14" t="n">
        <v>1440000</v>
      </c>
      <c r="F225" s="14" t="n">
        <v>22036.59</v>
      </c>
      <c r="G225" s="14" t="n">
        <v>2754.57</v>
      </c>
      <c r="H225" s="14" t="n">
        <v>2754.57</v>
      </c>
      <c r="I225" s="14">
        <f>SUM(K225:T225)</f>
        <v/>
      </c>
      <c r="J225" s="14">
        <f>F225-(G225+H225+I225)</f>
        <v/>
      </c>
      <c r="K225" s="14" t="n">
        <v>1652.74</v>
      </c>
      <c r="L225" s="14" t="n">
        <v>1652.74</v>
      </c>
      <c r="M225" s="14" t="n">
        <v>1652.74</v>
      </c>
      <c r="N225" s="14" t="n">
        <v>1652.74</v>
      </c>
      <c r="O225" s="14" t="n">
        <v>1652.74</v>
      </c>
      <c r="P225" s="14" t="n">
        <v>1652.74</v>
      </c>
      <c r="Q225" s="14" t="n">
        <v>1652.74</v>
      </c>
      <c r="R225" s="14" t="n">
        <v>1652.74</v>
      </c>
      <c r="S225" s="14" t="n">
        <v>1652.74</v>
      </c>
      <c r="T225" s="14" t="n">
        <v>1652.74</v>
      </c>
      <c r="U225" s="14" t="n">
        <v>350</v>
      </c>
      <c r="V225" s="14" t="n">
        <v>250</v>
      </c>
      <c r="W225" s="14">
        <f>U225+V225</f>
        <v/>
      </c>
    </row>
    <row r="226">
      <c r="A226" s="15" t="inlineStr">
        <is>
          <t>CANON-202601-003349</t>
        </is>
      </c>
      <c r="B226" s="15" t="inlineStr">
        <is>
          <t>2026-01-05</t>
        </is>
      </c>
      <c r="C226" s="15" t="inlineStr">
        <is>
          <t>Everett Castellanos</t>
        </is>
      </c>
      <c r="D226" s="15" t="inlineStr">
        <is>
          <t>KY</t>
        </is>
      </c>
      <c r="E226" s="16" t="n">
        <v>620000</v>
      </c>
      <c r="F226" s="16" t="n">
        <v>9141.620000000001</v>
      </c>
      <c r="G226" s="16" t="n">
        <v>1142.7</v>
      </c>
      <c r="H226" s="16" t="n">
        <v>1142.7</v>
      </c>
      <c r="I226" s="16">
        <f>SUM(K226:T226)</f>
        <v/>
      </c>
      <c r="J226" s="16">
        <f>F226-(G226+H226+I226)</f>
        <v/>
      </c>
      <c r="K226" s="16" t="n">
        <v>685.62</v>
      </c>
      <c r="L226" s="16" t="n">
        <v>685.62</v>
      </c>
      <c r="M226" s="16" t="n">
        <v>685.62</v>
      </c>
      <c r="N226" s="16" t="n">
        <v>685.62</v>
      </c>
      <c r="O226" s="16" t="n">
        <v>685.62</v>
      </c>
      <c r="P226" s="16" t="n">
        <v>685.62</v>
      </c>
      <c r="Q226" s="16" t="n">
        <v>685.62</v>
      </c>
      <c r="R226" s="16" t="n">
        <v>685.62</v>
      </c>
      <c r="S226" s="16" t="n">
        <v>685.62</v>
      </c>
      <c r="T226" s="16" t="n">
        <v>685.62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CANON-202601-003350</t>
        </is>
      </c>
      <c r="B227" s="3" t="inlineStr">
        <is>
          <t>2026-01-24</t>
        </is>
      </c>
      <c r="C227" s="3" t="inlineStr">
        <is>
          <t>Delphine Rourke</t>
        </is>
      </c>
      <c r="D227" s="3" t="inlineStr">
        <is>
          <t>GA</t>
        </is>
      </c>
      <c r="E227" s="14" t="n">
        <v>925000</v>
      </c>
      <c r="F227" s="14" t="n">
        <v>7541.22</v>
      </c>
      <c r="G227" s="14" t="n">
        <v>942.65</v>
      </c>
      <c r="H227" s="14" t="n">
        <v>942.65</v>
      </c>
      <c r="I227" s="14">
        <f>SUM(K227:T227)</f>
        <v/>
      </c>
      <c r="J227" s="14">
        <f>F227-(G227+H227+I227)</f>
        <v/>
      </c>
      <c r="K227" s="14" t="n">
        <v>565.59</v>
      </c>
      <c r="L227" s="14" t="n">
        <v>565.59</v>
      </c>
      <c r="M227" s="14" t="n">
        <v>565.59</v>
      </c>
      <c r="N227" s="14" t="n">
        <v>565.59</v>
      </c>
      <c r="O227" s="14" t="n">
        <v>565.59</v>
      </c>
      <c r="P227" s="14" t="n">
        <v>565.59</v>
      </c>
      <c r="Q227" s="14" t="n">
        <v>565.59</v>
      </c>
      <c r="R227" s="14" t="n">
        <v>565.59</v>
      </c>
      <c r="S227" s="14" t="n">
        <v>565.59</v>
      </c>
      <c r="T227" s="14" t="n">
        <v>565.59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CANON-202601-003351</t>
        </is>
      </c>
      <c r="B228" s="15" t="inlineStr">
        <is>
          <t>2026-01-01</t>
        </is>
      </c>
      <c r="C228" s="15" t="inlineStr">
        <is>
          <t>Sunniva Farkas</t>
        </is>
      </c>
      <c r="D228" s="15" t="inlineStr">
        <is>
          <t>MS</t>
        </is>
      </c>
      <c r="E228" s="16" t="n">
        <v>420000</v>
      </c>
      <c r="F228" s="16" t="n">
        <v>6345.57</v>
      </c>
      <c r="G228" s="16" t="n">
        <v>793.2</v>
      </c>
      <c r="H228" s="16" t="n">
        <v>793.2</v>
      </c>
      <c r="I228" s="16">
        <f>SUM(K228:T228)</f>
        <v/>
      </c>
      <c r="J228" s="16">
        <f>F228-(G228+H228+I228)</f>
        <v/>
      </c>
      <c r="K228" s="16" t="n">
        <v>475.92</v>
      </c>
      <c r="L228" s="16" t="n">
        <v>475.92</v>
      </c>
      <c r="M228" s="16" t="n">
        <v>475.92</v>
      </c>
      <c r="N228" s="16" t="n">
        <v>475.92</v>
      </c>
      <c r="O228" s="16" t="n">
        <v>475.92</v>
      </c>
      <c r="P228" s="16" t="n">
        <v>475.92</v>
      </c>
      <c r="Q228" s="16" t="n">
        <v>475.92</v>
      </c>
      <c r="R228" s="16" t="n">
        <v>475.92</v>
      </c>
      <c r="S228" s="16" t="n">
        <v>475.92</v>
      </c>
      <c r="T228" s="16" t="n">
        <v>475.92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CANON-202601-003352</t>
        </is>
      </c>
      <c r="B229" s="3" t="inlineStr">
        <is>
          <t>2026-01-15</t>
        </is>
      </c>
      <c r="C229" s="3" t="inlineStr">
        <is>
          <t>Beatrix Larsson</t>
        </is>
      </c>
      <c r="D229" s="3" t="inlineStr">
        <is>
          <t>AR</t>
        </is>
      </c>
      <c r="E229" s="14" t="n">
        <v>520000</v>
      </c>
      <c r="F229" s="14" t="n">
        <v>7896.03</v>
      </c>
      <c r="G229" s="14" t="n">
        <v>987</v>
      </c>
      <c r="H229" s="14" t="n">
        <v>987</v>
      </c>
      <c r="I229" s="14">
        <f>SUM(K229:T229)</f>
        <v/>
      </c>
      <c r="J229" s="14">
        <f>F229-(G229+H229+I229)</f>
        <v/>
      </c>
      <c r="K229" s="14" t="n">
        <v>592.2</v>
      </c>
      <c r="L229" s="14" t="n">
        <v>592.2</v>
      </c>
      <c r="M229" s="14" t="n">
        <v>592.2</v>
      </c>
      <c r="N229" s="14" t="n">
        <v>592.2</v>
      </c>
      <c r="O229" s="14" t="n">
        <v>592.2</v>
      </c>
      <c r="P229" s="14" t="n">
        <v>592.2</v>
      </c>
      <c r="Q229" s="14" t="n">
        <v>592.2</v>
      </c>
      <c r="R229" s="14" t="n">
        <v>592.2</v>
      </c>
      <c r="S229" s="14" t="n">
        <v>592.2</v>
      </c>
      <c r="T229" s="14" t="n">
        <v>592.2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CANON-202601-003353</t>
        </is>
      </c>
      <c r="B230" s="15" t="inlineStr">
        <is>
          <t>2026-01-30</t>
        </is>
      </c>
      <c r="C230" s="15" t="inlineStr">
        <is>
          <t>Noor Vasquez</t>
        </is>
      </c>
      <c r="D230" s="15" t="inlineStr">
        <is>
          <t>ID</t>
        </is>
      </c>
      <c r="E230" s="16" t="n">
        <v>1415000</v>
      </c>
      <c r="F230" s="16" t="n">
        <v>16125.53</v>
      </c>
      <c r="G230" s="16" t="n">
        <v>2015.69</v>
      </c>
      <c r="H230" s="16" t="n">
        <v>2015.69</v>
      </c>
      <c r="I230" s="16">
        <f>SUM(K230:T230)</f>
        <v/>
      </c>
      <c r="J230" s="16">
        <f>F230-(G230+H230+I230)</f>
        <v/>
      </c>
      <c r="K230" s="16" t="n">
        <v>1209.41</v>
      </c>
      <c r="L230" s="16" t="n">
        <v>1209.41</v>
      </c>
      <c r="M230" s="16" t="n">
        <v>1209.41</v>
      </c>
      <c r="N230" s="16" t="n">
        <v>1209.41</v>
      </c>
      <c r="O230" s="16" t="n">
        <v>1209.41</v>
      </c>
      <c r="P230" s="16" t="n">
        <v>1209.41</v>
      </c>
      <c r="Q230" s="16" t="n">
        <v>1209.41</v>
      </c>
      <c r="R230" s="16" t="n">
        <v>1209.41</v>
      </c>
      <c r="S230" s="16" t="n">
        <v>1209.41</v>
      </c>
      <c r="T230" s="16" t="n">
        <v>1209.41</v>
      </c>
      <c r="U230" s="16" t="n">
        <v>350</v>
      </c>
      <c r="V230" s="16" t="n">
        <v>250</v>
      </c>
      <c r="W230" s="16">
        <f>U230+V230</f>
        <v/>
      </c>
    </row>
    <row r="231">
      <c r="A231" s="3" t="inlineStr">
        <is>
          <t>CANON-202601-003354</t>
        </is>
      </c>
      <c r="B231" s="3" t="inlineStr">
        <is>
          <t>2026-01-26</t>
        </is>
      </c>
      <c r="C231" s="3" t="inlineStr">
        <is>
          <t>Delphine Fairweather</t>
        </is>
      </c>
      <c r="D231" s="3" t="inlineStr">
        <is>
          <t>NJ</t>
        </is>
      </c>
      <c r="E231" s="14" t="n">
        <v>745000</v>
      </c>
      <c r="F231" s="14" t="n">
        <v>7459.75</v>
      </c>
      <c r="G231" s="14" t="n">
        <v>932.47</v>
      </c>
      <c r="H231" s="14" t="n">
        <v>932.47</v>
      </c>
      <c r="I231" s="14">
        <f>SUM(K231:T231)</f>
        <v/>
      </c>
      <c r="J231" s="14">
        <f>F231-(G231+H231+I231)</f>
        <v/>
      </c>
      <c r="K231" s="14" t="n">
        <v>559.48</v>
      </c>
      <c r="L231" s="14" t="n">
        <v>559.48</v>
      </c>
      <c r="M231" s="14" t="n">
        <v>559.48</v>
      </c>
      <c r="N231" s="14" t="n">
        <v>559.48</v>
      </c>
      <c r="O231" s="14" t="n">
        <v>559.48</v>
      </c>
      <c r="P231" s="14" t="n">
        <v>559.48</v>
      </c>
      <c r="Q231" s="14" t="n">
        <v>559.48</v>
      </c>
      <c r="R231" s="14" t="n">
        <v>559.48</v>
      </c>
      <c r="S231" s="14" t="n">
        <v>559.48</v>
      </c>
      <c r="T231" s="14" t="n">
        <v>559.48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CANON-202601-003355</t>
        </is>
      </c>
      <c r="B232" s="15" t="inlineStr">
        <is>
          <t>2026-01-06</t>
        </is>
      </c>
      <c r="C232" s="15" t="inlineStr">
        <is>
          <t>Delphine Nakashima</t>
        </is>
      </c>
      <c r="D232" s="15" t="inlineStr">
        <is>
          <t>IL</t>
        </is>
      </c>
      <c r="E232" s="16" t="n">
        <v>320000</v>
      </c>
      <c r="F232" s="16" t="n">
        <v>6483.13</v>
      </c>
      <c r="G232" s="16" t="n">
        <v>810.39</v>
      </c>
      <c r="H232" s="16" t="n">
        <v>810.39</v>
      </c>
      <c r="I232" s="16">
        <f>SUM(K232:T232)</f>
        <v/>
      </c>
      <c r="J232" s="16">
        <f>F232-(G232+H232+I232)</f>
        <v/>
      </c>
      <c r="K232" s="16" t="n">
        <v>486.23</v>
      </c>
      <c r="L232" s="16" t="n">
        <v>486.23</v>
      </c>
      <c r="M232" s="16" t="n">
        <v>486.23</v>
      </c>
      <c r="N232" s="16" t="n">
        <v>486.23</v>
      </c>
      <c r="O232" s="16" t="n">
        <v>486.23</v>
      </c>
      <c r="P232" s="16" t="n">
        <v>486.23</v>
      </c>
      <c r="Q232" s="16" t="n">
        <v>486.23</v>
      </c>
      <c r="R232" s="16" t="n">
        <v>486.23</v>
      </c>
      <c r="S232" s="16" t="n">
        <v>486.23</v>
      </c>
      <c r="T232" s="16" t="n">
        <v>486.23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CANON-202601-003357</t>
        </is>
      </c>
      <c r="B233" s="3" t="inlineStr">
        <is>
          <t>2026-01-21</t>
        </is>
      </c>
      <c r="C233" s="3" t="inlineStr">
        <is>
          <t>Desmond Vandermeer</t>
        </is>
      </c>
      <c r="D233" s="3" t="inlineStr">
        <is>
          <t>CA</t>
        </is>
      </c>
      <c r="E233" s="14" t="n">
        <v>560000</v>
      </c>
      <c r="F233" s="14" t="n">
        <v>8318.57</v>
      </c>
      <c r="G233" s="14" t="n">
        <v>1039.82</v>
      </c>
      <c r="H233" s="14" t="n">
        <v>1039.82</v>
      </c>
      <c r="I233" s="14">
        <f>SUM(K233:T233)</f>
        <v/>
      </c>
      <c r="J233" s="14">
        <f>F233-(G233+H233+I233)</f>
        <v/>
      </c>
      <c r="K233" s="14" t="n">
        <v>623.89</v>
      </c>
      <c r="L233" s="14" t="n">
        <v>623.89</v>
      </c>
      <c r="M233" s="14" t="n">
        <v>623.89</v>
      </c>
      <c r="N233" s="14" t="n">
        <v>623.89</v>
      </c>
      <c r="O233" s="14" t="n">
        <v>623.89</v>
      </c>
      <c r="P233" s="14" t="n">
        <v>623.89</v>
      </c>
      <c r="Q233" s="14" t="n">
        <v>623.89</v>
      </c>
      <c r="R233" s="14" t="n">
        <v>623.89</v>
      </c>
      <c r="S233" s="14" t="n">
        <v>623.89</v>
      </c>
      <c r="T233" s="14" t="n">
        <v>623.89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CANON-202601-003358</t>
        </is>
      </c>
      <c r="B234" s="15" t="inlineStr">
        <is>
          <t>2026-01-11</t>
        </is>
      </c>
      <c r="C234" s="15" t="inlineStr">
        <is>
          <t>Beatrix Merriweather</t>
        </is>
      </c>
      <c r="D234" s="15" t="inlineStr">
        <is>
          <t>NM</t>
        </is>
      </c>
      <c r="E234" s="16" t="n">
        <v>1700000</v>
      </c>
      <c r="F234" s="16" t="n">
        <v>20259.79</v>
      </c>
      <c r="G234" s="16" t="n">
        <v>2532.47</v>
      </c>
      <c r="H234" s="16" t="n">
        <v>2532.47</v>
      </c>
      <c r="I234" s="16">
        <f>SUM(K234:T234)</f>
        <v/>
      </c>
      <c r="J234" s="16">
        <f>F234-(G234+H234+I234)</f>
        <v/>
      </c>
      <c r="K234" s="16" t="n">
        <v>1519.48</v>
      </c>
      <c r="L234" s="16" t="n">
        <v>1519.48</v>
      </c>
      <c r="M234" s="16" t="n">
        <v>1519.48</v>
      </c>
      <c r="N234" s="16" t="n">
        <v>1519.48</v>
      </c>
      <c r="O234" s="16" t="n">
        <v>1519.48</v>
      </c>
      <c r="P234" s="16" t="n">
        <v>1519.48</v>
      </c>
      <c r="Q234" s="16" t="n">
        <v>1519.48</v>
      </c>
      <c r="R234" s="16" t="n">
        <v>1519.48</v>
      </c>
      <c r="S234" s="16" t="n">
        <v>1519.48</v>
      </c>
      <c r="T234" s="16" t="n">
        <v>1519.48</v>
      </c>
      <c r="U234" s="16" t="n">
        <v>350</v>
      </c>
      <c r="V234" s="16" t="n">
        <v>250</v>
      </c>
      <c r="W234" s="16">
        <f>U234+V234</f>
        <v/>
      </c>
    </row>
    <row r="235">
      <c r="A235" s="3" t="inlineStr">
        <is>
          <t>CANON-202601-003360</t>
        </is>
      </c>
      <c r="B235" s="3" t="inlineStr">
        <is>
          <t>2026-01-20</t>
        </is>
      </c>
      <c r="C235" s="3" t="inlineStr">
        <is>
          <t>Leopold Okonkwo</t>
        </is>
      </c>
      <c r="D235" s="3" t="inlineStr">
        <is>
          <t>CO</t>
        </is>
      </c>
      <c r="E235" s="14" t="n">
        <v>1705000</v>
      </c>
      <c r="F235" s="14" t="n">
        <v>17461.97</v>
      </c>
      <c r="G235" s="14" t="n">
        <v>2182.75</v>
      </c>
      <c r="H235" s="14" t="n">
        <v>2182.75</v>
      </c>
      <c r="I235" s="14">
        <f>SUM(K235:T235)</f>
        <v/>
      </c>
      <c r="J235" s="14">
        <f>F235-(G235+H235+I235)</f>
        <v/>
      </c>
      <c r="K235" s="14" t="n">
        <v>1309.65</v>
      </c>
      <c r="L235" s="14" t="n">
        <v>1309.65</v>
      </c>
      <c r="M235" s="14" t="n">
        <v>1309.65</v>
      </c>
      <c r="N235" s="14" t="n">
        <v>1309.65</v>
      </c>
      <c r="O235" s="14" t="n">
        <v>1309.65</v>
      </c>
      <c r="P235" s="14" t="n">
        <v>1309.65</v>
      </c>
      <c r="Q235" s="14" t="n">
        <v>1309.65</v>
      </c>
      <c r="R235" s="14" t="n">
        <v>1309.65</v>
      </c>
      <c r="S235" s="14" t="n">
        <v>1309.65</v>
      </c>
      <c r="T235" s="14" t="n">
        <v>1309.65</v>
      </c>
      <c r="U235" s="14" t="n">
        <v>350</v>
      </c>
      <c r="V235" s="14" t="n">
        <v>250</v>
      </c>
      <c r="W235" s="14">
        <f>U235+V235</f>
        <v/>
      </c>
    </row>
    <row r="236">
      <c r="A236" s="15" t="inlineStr">
        <is>
          <t>CANON-202601-003361</t>
        </is>
      </c>
      <c r="B236" s="15" t="inlineStr">
        <is>
          <t>2026-01-09</t>
        </is>
      </c>
      <c r="C236" s="15" t="inlineStr">
        <is>
          <t>Fitzgerald Vasquez</t>
        </is>
      </c>
      <c r="D236" s="15" t="inlineStr">
        <is>
          <t>FL</t>
        </is>
      </c>
      <c r="E236" s="16" t="n">
        <v>1090000</v>
      </c>
      <c r="F236" s="16" t="n">
        <v>20961.3</v>
      </c>
      <c r="G236" s="16" t="n">
        <v>2620.16</v>
      </c>
      <c r="H236" s="16" t="n">
        <v>2620.16</v>
      </c>
      <c r="I236" s="16">
        <f>SUM(K236:T236)</f>
        <v/>
      </c>
      <c r="J236" s="16">
        <f>F236-(G236+H236+I236)</f>
        <v/>
      </c>
      <c r="K236" s="16" t="n">
        <v>1572.1</v>
      </c>
      <c r="L236" s="16" t="n">
        <v>1572.1</v>
      </c>
      <c r="M236" s="16" t="n">
        <v>1572.1</v>
      </c>
      <c r="N236" s="16" t="n">
        <v>1572.1</v>
      </c>
      <c r="O236" s="16" t="n">
        <v>1572.1</v>
      </c>
      <c r="P236" s="16" t="n">
        <v>1572.1</v>
      </c>
      <c r="Q236" s="16" t="n">
        <v>1572.1</v>
      </c>
      <c r="R236" s="16" t="n">
        <v>1572.1</v>
      </c>
      <c r="S236" s="16" t="n">
        <v>1572.1</v>
      </c>
      <c r="T236" s="16" t="n">
        <v>1572.1</v>
      </c>
      <c r="U236" s="16" t="n">
        <v>350</v>
      </c>
      <c r="V236" s="16" t="n">
        <v>250</v>
      </c>
      <c r="W236" s="16">
        <f>U236+V236</f>
        <v/>
      </c>
    </row>
    <row r="237">
      <c r="A237" s="3" t="inlineStr">
        <is>
          <t>CANON-202601-003362</t>
        </is>
      </c>
      <c r="B237" s="3" t="inlineStr">
        <is>
          <t>2026-01-17</t>
        </is>
      </c>
      <c r="C237" s="3" t="inlineStr">
        <is>
          <t>Marisol Okonkwo</t>
        </is>
      </c>
      <c r="D237" s="3" t="inlineStr">
        <is>
          <t>WV</t>
        </is>
      </c>
      <c r="E237" s="14" t="n">
        <v>500000</v>
      </c>
      <c r="F237" s="14" t="n">
        <v>10694.45</v>
      </c>
      <c r="G237" s="14" t="n">
        <v>1336.81</v>
      </c>
      <c r="H237" s="14" t="n">
        <v>1336.81</v>
      </c>
      <c r="I237" s="14">
        <f>SUM(K237:T237)</f>
        <v/>
      </c>
      <c r="J237" s="14">
        <f>F237-(G237+H237+I237)</f>
        <v/>
      </c>
      <c r="K237" s="14" t="n">
        <v>802.08</v>
      </c>
      <c r="L237" s="14" t="n">
        <v>802.08</v>
      </c>
      <c r="M237" s="14" t="n">
        <v>802.08</v>
      </c>
      <c r="N237" s="14" t="n">
        <v>802.08</v>
      </c>
      <c r="O237" s="14" t="n">
        <v>802.08</v>
      </c>
      <c r="P237" s="14" t="n">
        <v>802.08</v>
      </c>
      <c r="Q237" s="14" t="n">
        <v>802.08</v>
      </c>
      <c r="R237" s="14" t="n">
        <v>802.08</v>
      </c>
      <c r="S237" s="14" t="n">
        <v>802.08</v>
      </c>
      <c r="T237" s="14" t="n">
        <v>802.08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CANON-202601-003363</t>
        </is>
      </c>
      <c r="B238" s="15" t="inlineStr">
        <is>
          <t>2026-01-08</t>
        </is>
      </c>
      <c r="C238" s="15" t="inlineStr">
        <is>
          <t>Priya Farkas</t>
        </is>
      </c>
      <c r="D238" s="15" t="inlineStr">
        <is>
          <t>NY</t>
        </is>
      </c>
      <c r="E238" s="16" t="n">
        <v>360000</v>
      </c>
      <c r="F238" s="16" t="n">
        <v>5850.42</v>
      </c>
      <c r="G238" s="16" t="n">
        <v>731.3</v>
      </c>
      <c r="H238" s="16" t="n">
        <v>731.3</v>
      </c>
      <c r="I238" s="16">
        <f>SUM(K238:T238)</f>
        <v/>
      </c>
      <c r="J238" s="16">
        <f>F238-(G238+H238+I238)</f>
        <v/>
      </c>
      <c r="K238" s="16" t="n">
        <v>438.78</v>
      </c>
      <c r="L238" s="16" t="n">
        <v>438.78</v>
      </c>
      <c r="M238" s="16" t="n">
        <v>438.78</v>
      </c>
      <c r="N238" s="16" t="n">
        <v>438.78</v>
      </c>
      <c r="O238" s="16" t="n">
        <v>438.78</v>
      </c>
      <c r="P238" s="16" t="n">
        <v>438.78</v>
      </c>
      <c r="Q238" s="16" t="n">
        <v>438.78</v>
      </c>
      <c r="R238" s="16" t="n">
        <v>438.78</v>
      </c>
      <c r="S238" s="16" t="n">
        <v>438.78</v>
      </c>
      <c r="T238" s="16" t="n">
        <v>438.78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CANON-202601-003364</t>
        </is>
      </c>
      <c r="B239" s="3" t="inlineStr">
        <is>
          <t>2026-01-02</t>
        </is>
      </c>
      <c r="C239" s="3" t="inlineStr">
        <is>
          <t>Horace Montoya</t>
        </is>
      </c>
      <c r="D239" s="3" t="inlineStr">
        <is>
          <t>NJ</t>
        </is>
      </c>
      <c r="E239" s="14" t="n">
        <v>915000</v>
      </c>
      <c r="F239" s="14" t="n">
        <v>6061</v>
      </c>
      <c r="G239" s="14" t="n">
        <v>757.62</v>
      </c>
      <c r="H239" s="14" t="n">
        <v>757.62</v>
      </c>
      <c r="I239" s="14">
        <f>SUM(K239:T239)</f>
        <v/>
      </c>
      <c r="J239" s="14">
        <f>F239-(G239+H239+I239)</f>
        <v/>
      </c>
      <c r="K239" s="14" t="n">
        <v>454.57</v>
      </c>
      <c r="L239" s="14" t="n">
        <v>454.57</v>
      </c>
      <c r="M239" s="14" t="n">
        <v>454.57</v>
      </c>
      <c r="N239" s="14" t="n">
        <v>454.57</v>
      </c>
      <c r="O239" s="14" t="n">
        <v>454.57</v>
      </c>
      <c r="P239" s="14" t="n">
        <v>454.57</v>
      </c>
      <c r="Q239" s="14" t="n">
        <v>454.57</v>
      </c>
      <c r="R239" s="14" t="n">
        <v>454.57</v>
      </c>
      <c r="S239" s="14" t="n">
        <v>454.57</v>
      </c>
      <c r="T239" s="14" t="n">
        <v>454.57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CANON-202601-003365</t>
        </is>
      </c>
      <c r="B240" s="15" t="inlineStr">
        <is>
          <t>2026-01-25</t>
        </is>
      </c>
      <c r="C240" s="15" t="inlineStr">
        <is>
          <t>Saoirse Pennington</t>
        </is>
      </c>
      <c r="D240" s="15" t="inlineStr">
        <is>
          <t>LA</t>
        </is>
      </c>
      <c r="E240" s="16" t="n">
        <v>515000</v>
      </c>
      <c r="F240" s="16" t="n">
        <v>6856.77</v>
      </c>
      <c r="G240" s="16" t="n">
        <v>857.1</v>
      </c>
      <c r="H240" s="16" t="n">
        <v>857.1</v>
      </c>
      <c r="I240" s="16">
        <f>SUM(K240:T240)</f>
        <v/>
      </c>
      <c r="J240" s="16">
        <f>F240-(G240+H240+I240)</f>
        <v/>
      </c>
      <c r="K240" s="16" t="n">
        <v>514.26</v>
      </c>
      <c r="L240" s="16" t="n">
        <v>514.26</v>
      </c>
      <c r="M240" s="16" t="n">
        <v>514.26</v>
      </c>
      <c r="N240" s="16" t="n">
        <v>514.26</v>
      </c>
      <c r="O240" s="16" t="n">
        <v>514.26</v>
      </c>
      <c r="P240" s="16" t="n">
        <v>514.26</v>
      </c>
      <c r="Q240" s="16" t="n">
        <v>514.26</v>
      </c>
      <c r="R240" s="16" t="n">
        <v>514.26</v>
      </c>
      <c r="S240" s="16" t="n">
        <v>514.26</v>
      </c>
      <c r="T240" s="16" t="n">
        <v>514.26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CANON-202601-003367</t>
        </is>
      </c>
      <c r="B241" s="3" t="inlineStr">
        <is>
          <t>2026-01-11</t>
        </is>
      </c>
      <c r="C241" s="3" t="inlineStr">
        <is>
          <t>Lorenzo Harrington</t>
        </is>
      </c>
      <c r="D241" s="3" t="inlineStr">
        <is>
          <t>WI</t>
        </is>
      </c>
      <c r="E241" s="14" t="n">
        <v>700000</v>
      </c>
      <c r="F241" s="14" t="n">
        <v>9242.860000000001</v>
      </c>
      <c r="G241" s="14" t="n">
        <v>1155.36</v>
      </c>
      <c r="H241" s="14" t="n">
        <v>1155.36</v>
      </c>
      <c r="I241" s="14">
        <f>SUM(K241:T241)</f>
        <v/>
      </c>
      <c r="J241" s="14">
        <f>F241-(G241+H241+I241)</f>
        <v/>
      </c>
      <c r="K241" s="14" t="n">
        <v>693.21</v>
      </c>
      <c r="L241" s="14" t="n">
        <v>693.21</v>
      </c>
      <c r="M241" s="14" t="n">
        <v>693.21</v>
      </c>
      <c r="N241" s="14" t="n">
        <v>693.21</v>
      </c>
      <c r="O241" s="14" t="n">
        <v>693.21</v>
      </c>
      <c r="P241" s="14" t="n">
        <v>693.21</v>
      </c>
      <c r="Q241" s="14" t="n">
        <v>693.21</v>
      </c>
      <c r="R241" s="14" t="n">
        <v>693.21</v>
      </c>
      <c r="S241" s="14" t="n">
        <v>693.21</v>
      </c>
      <c r="T241" s="14" t="n">
        <v>693.21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CANON-202601-003369</t>
        </is>
      </c>
      <c r="B242" s="15" t="inlineStr">
        <is>
          <t>2026-01-05</t>
        </is>
      </c>
      <c r="C242" s="15" t="inlineStr">
        <is>
          <t>Leopold Rourke</t>
        </is>
      </c>
      <c r="D242" s="15" t="inlineStr">
        <is>
          <t>ND</t>
        </is>
      </c>
      <c r="E242" s="16" t="n">
        <v>785000</v>
      </c>
      <c r="F242" s="16" t="n">
        <v>8810.42</v>
      </c>
      <c r="G242" s="16" t="n">
        <v>1101.3</v>
      </c>
      <c r="H242" s="16" t="n">
        <v>1101.3</v>
      </c>
      <c r="I242" s="16">
        <f>SUM(K242:T242)</f>
        <v/>
      </c>
      <c r="J242" s="16">
        <f>F242-(G242+H242+I242)</f>
        <v/>
      </c>
      <c r="K242" s="16" t="n">
        <v>660.78</v>
      </c>
      <c r="L242" s="16" t="n">
        <v>660.78</v>
      </c>
      <c r="M242" s="16" t="n">
        <v>660.78</v>
      </c>
      <c r="N242" s="16" t="n">
        <v>660.78</v>
      </c>
      <c r="O242" s="16" t="n">
        <v>660.78</v>
      </c>
      <c r="P242" s="16" t="n">
        <v>660.78</v>
      </c>
      <c r="Q242" s="16" t="n">
        <v>660.78</v>
      </c>
      <c r="R242" s="16" t="n">
        <v>660.78</v>
      </c>
      <c r="S242" s="16" t="n">
        <v>660.78</v>
      </c>
      <c r="T242" s="16" t="n">
        <v>660.78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CANON-202601-003370</t>
        </is>
      </c>
      <c r="B243" s="3" t="inlineStr">
        <is>
          <t>2026-01-04</t>
        </is>
      </c>
      <c r="C243" s="3" t="inlineStr">
        <is>
          <t>Wilhelmina Kingsford</t>
        </is>
      </c>
      <c r="D243" s="3" t="inlineStr">
        <is>
          <t>AR</t>
        </is>
      </c>
      <c r="E243" s="14" t="n">
        <v>400000</v>
      </c>
      <c r="F243" s="14" t="n">
        <v>10746.09</v>
      </c>
      <c r="G243" s="14" t="n">
        <v>1343.26</v>
      </c>
      <c r="H243" s="14" t="n">
        <v>1343.26</v>
      </c>
      <c r="I243" s="14">
        <f>SUM(K243:T243)</f>
        <v/>
      </c>
      <c r="J243" s="14">
        <f>F243-(G243+H243+I243)</f>
        <v/>
      </c>
      <c r="K243" s="14" t="n">
        <v>805.96</v>
      </c>
      <c r="L243" s="14" t="n">
        <v>805.96</v>
      </c>
      <c r="M243" s="14" t="n">
        <v>805.96</v>
      </c>
      <c r="N243" s="14" t="n">
        <v>805.96</v>
      </c>
      <c r="O243" s="14" t="n">
        <v>805.96</v>
      </c>
      <c r="P243" s="14" t="n">
        <v>805.96</v>
      </c>
      <c r="Q243" s="14" t="n">
        <v>805.96</v>
      </c>
      <c r="R243" s="14" t="n">
        <v>805.96</v>
      </c>
      <c r="S243" s="14" t="n">
        <v>805.96</v>
      </c>
      <c r="T243" s="14" t="n">
        <v>805.96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CANON-202601-003371</t>
        </is>
      </c>
      <c r="B244" s="15" t="inlineStr">
        <is>
          <t>2026-01-31</t>
        </is>
      </c>
      <c r="C244" s="15" t="inlineStr">
        <is>
          <t>Anouk Whitlock</t>
        </is>
      </c>
      <c r="D244" s="15" t="inlineStr">
        <is>
          <t>WY</t>
        </is>
      </c>
      <c r="E244" s="16" t="n">
        <v>270000</v>
      </c>
      <c r="F244" s="16" t="n">
        <v>3667.94</v>
      </c>
      <c r="G244" s="16" t="n">
        <v>458.49</v>
      </c>
      <c r="H244" s="16" t="n">
        <v>458.49</v>
      </c>
      <c r="I244" s="16">
        <f>SUM(K244:T244)</f>
        <v/>
      </c>
      <c r="J244" s="16">
        <f>F244-(G244+H244+I244)</f>
        <v/>
      </c>
      <c r="K244" s="16" t="n">
        <v>275.1</v>
      </c>
      <c r="L244" s="16" t="n">
        <v>275.1</v>
      </c>
      <c r="M244" s="16" t="n">
        <v>275.1</v>
      </c>
      <c r="N244" s="16" t="n">
        <v>275.1</v>
      </c>
      <c r="O244" s="16" t="n">
        <v>275.1</v>
      </c>
      <c r="P244" s="16" t="n">
        <v>275.1</v>
      </c>
      <c r="Q244" s="16" t="n">
        <v>275.1</v>
      </c>
      <c r="R244" s="16" t="n">
        <v>275.1</v>
      </c>
      <c r="S244" s="16" t="n">
        <v>275.1</v>
      </c>
      <c r="T244" s="16" t="n">
        <v>275.1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CANON-202601-003372</t>
        </is>
      </c>
      <c r="B245" s="3" t="inlineStr">
        <is>
          <t>2026-01-13</t>
        </is>
      </c>
      <c r="C245" s="3" t="inlineStr">
        <is>
          <t>Mireille Chattopadhyay</t>
        </is>
      </c>
      <c r="D245" s="3" t="inlineStr">
        <is>
          <t>PA</t>
        </is>
      </c>
      <c r="E245" s="14" t="n">
        <v>610000</v>
      </c>
      <c r="F245" s="14" t="n">
        <v>6712.07</v>
      </c>
      <c r="G245" s="14" t="n">
        <v>839.01</v>
      </c>
      <c r="H245" s="14" t="n">
        <v>839.01</v>
      </c>
      <c r="I245" s="14">
        <f>SUM(K245:T245)</f>
        <v/>
      </c>
      <c r="J245" s="14">
        <f>F245-(G245+H245+I245)</f>
        <v/>
      </c>
      <c r="K245" s="14" t="n">
        <v>503.41</v>
      </c>
      <c r="L245" s="14" t="n">
        <v>503.41</v>
      </c>
      <c r="M245" s="14" t="n">
        <v>503.41</v>
      </c>
      <c r="N245" s="14" t="n">
        <v>503.41</v>
      </c>
      <c r="O245" s="14" t="n">
        <v>503.41</v>
      </c>
      <c r="P245" s="14" t="n">
        <v>503.41</v>
      </c>
      <c r="Q245" s="14" t="n">
        <v>503.41</v>
      </c>
      <c r="R245" s="14" t="n">
        <v>503.41</v>
      </c>
      <c r="S245" s="14" t="n">
        <v>503.41</v>
      </c>
      <c r="T245" s="14" t="n">
        <v>503.41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CANON-202601-003373</t>
        </is>
      </c>
      <c r="B246" s="15" t="inlineStr">
        <is>
          <t>2026-01-31</t>
        </is>
      </c>
      <c r="C246" s="15" t="inlineStr">
        <is>
          <t>Fitzgerald Kingsford</t>
        </is>
      </c>
      <c r="D246" s="15" t="inlineStr">
        <is>
          <t>MA</t>
        </is>
      </c>
      <c r="E246" s="16" t="n">
        <v>440000</v>
      </c>
      <c r="F246" s="16" t="n">
        <v>6982.93</v>
      </c>
      <c r="G246" s="16" t="n">
        <v>872.87</v>
      </c>
      <c r="H246" s="16" t="n">
        <v>872.87</v>
      </c>
      <c r="I246" s="16">
        <f>SUM(K246:T246)</f>
        <v/>
      </c>
      <c r="J246" s="16">
        <f>F246-(G246+H246+I246)</f>
        <v/>
      </c>
      <c r="K246" s="16" t="n">
        <v>523.72</v>
      </c>
      <c r="L246" s="16" t="n">
        <v>523.72</v>
      </c>
      <c r="M246" s="16" t="n">
        <v>523.72</v>
      </c>
      <c r="N246" s="16" t="n">
        <v>523.72</v>
      </c>
      <c r="O246" s="16" t="n">
        <v>523.72</v>
      </c>
      <c r="P246" s="16" t="n">
        <v>523.72</v>
      </c>
      <c r="Q246" s="16" t="n">
        <v>523.72</v>
      </c>
      <c r="R246" s="16" t="n">
        <v>523.72</v>
      </c>
      <c r="S246" s="16" t="n">
        <v>523.72</v>
      </c>
      <c r="T246" s="16" t="n">
        <v>523.72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CANON-202601-003374</t>
        </is>
      </c>
      <c r="B247" s="3" t="inlineStr">
        <is>
          <t>2026-01-14</t>
        </is>
      </c>
      <c r="C247" s="3" t="inlineStr">
        <is>
          <t>Callum Larsson</t>
        </is>
      </c>
      <c r="D247" s="3" t="inlineStr">
        <is>
          <t>TN</t>
        </is>
      </c>
      <c r="E247" s="14" t="n">
        <v>455000</v>
      </c>
      <c r="F247" s="14" t="n">
        <v>5661.25</v>
      </c>
      <c r="G247" s="14" t="n">
        <v>707.66</v>
      </c>
      <c r="H247" s="14" t="n">
        <v>707.66</v>
      </c>
      <c r="I247" s="14">
        <f>SUM(K247:T247)</f>
        <v/>
      </c>
      <c r="J247" s="14">
        <f>F247-(G247+H247+I247)</f>
        <v/>
      </c>
      <c r="K247" s="14" t="n">
        <v>424.59</v>
      </c>
      <c r="L247" s="14" t="n">
        <v>424.59</v>
      </c>
      <c r="M247" s="14" t="n">
        <v>424.59</v>
      </c>
      <c r="N247" s="14" t="n">
        <v>424.59</v>
      </c>
      <c r="O247" s="14" t="n">
        <v>424.59</v>
      </c>
      <c r="P247" s="14" t="n">
        <v>424.59</v>
      </c>
      <c r="Q247" s="14" t="n">
        <v>424.59</v>
      </c>
      <c r="R247" s="14" t="n">
        <v>424.59</v>
      </c>
      <c r="S247" s="14" t="n">
        <v>424.59</v>
      </c>
      <c r="T247" s="14" t="n">
        <v>424.59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CANON-202601-003376</t>
        </is>
      </c>
      <c r="B248" s="15" t="inlineStr">
        <is>
          <t>2026-01-07</t>
        </is>
      </c>
      <c r="C248" s="15" t="inlineStr">
        <is>
          <t>Wilhelmina Montoya</t>
        </is>
      </c>
      <c r="D248" s="15" t="inlineStr">
        <is>
          <t>LA</t>
        </is>
      </c>
      <c r="E248" s="16" t="n">
        <v>420000</v>
      </c>
      <c r="F248" s="16" t="n">
        <v>7570.61</v>
      </c>
      <c r="G248" s="16" t="n">
        <v>946.33</v>
      </c>
      <c r="H248" s="16" t="n">
        <v>946.33</v>
      </c>
      <c r="I248" s="16">
        <f>SUM(K248:T248)</f>
        <v/>
      </c>
      <c r="J248" s="16">
        <f>F248-(G248+H248+I248)</f>
        <v/>
      </c>
      <c r="K248" s="16" t="n">
        <v>567.8</v>
      </c>
      <c r="L248" s="16" t="n">
        <v>567.8</v>
      </c>
      <c r="M248" s="16" t="n">
        <v>567.8</v>
      </c>
      <c r="N248" s="16" t="n">
        <v>567.8</v>
      </c>
      <c r="O248" s="16" t="n">
        <v>567.8</v>
      </c>
      <c r="P248" s="16" t="n">
        <v>567.8</v>
      </c>
      <c r="Q248" s="16" t="n">
        <v>567.8</v>
      </c>
      <c r="R248" s="16" t="n">
        <v>567.8</v>
      </c>
      <c r="S248" s="16" t="n">
        <v>567.8</v>
      </c>
      <c r="T248" s="16" t="n">
        <v>567.8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CANON-202601-003378</t>
        </is>
      </c>
      <c r="B249" s="3" t="inlineStr">
        <is>
          <t>2026-01-06</t>
        </is>
      </c>
      <c r="C249" s="3" t="inlineStr">
        <is>
          <t>Aurelio Harrington</t>
        </is>
      </c>
      <c r="D249" s="3" t="inlineStr">
        <is>
          <t>LA</t>
        </is>
      </c>
      <c r="E249" s="14" t="n">
        <v>690000</v>
      </c>
      <c r="F249" s="14" t="n">
        <v>6077.38</v>
      </c>
      <c r="G249" s="14" t="n">
        <v>759.67</v>
      </c>
      <c r="H249" s="14" t="n">
        <v>759.67</v>
      </c>
      <c r="I249" s="14">
        <f>SUM(K249:T249)</f>
        <v/>
      </c>
      <c r="J249" s="14">
        <f>F249-(G249+H249+I249)</f>
        <v/>
      </c>
      <c r="K249" s="14" t="n">
        <v>455.8</v>
      </c>
      <c r="L249" s="14" t="n">
        <v>455.8</v>
      </c>
      <c r="M249" s="14" t="n">
        <v>455.8</v>
      </c>
      <c r="N249" s="14" t="n">
        <v>455.8</v>
      </c>
      <c r="O249" s="14" t="n">
        <v>455.8</v>
      </c>
      <c r="P249" s="14" t="n">
        <v>455.8</v>
      </c>
      <c r="Q249" s="14" t="n">
        <v>455.8</v>
      </c>
      <c r="R249" s="14" t="n">
        <v>455.8</v>
      </c>
      <c r="S249" s="14" t="n">
        <v>455.8</v>
      </c>
      <c r="T249" s="14" t="n">
        <v>455.8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CANON-202601-003379</t>
        </is>
      </c>
      <c r="B250" s="15" t="inlineStr">
        <is>
          <t>2026-01-02</t>
        </is>
      </c>
      <c r="C250" s="15" t="inlineStr">
        <is>
          <t>Mireille Blackwood</t>
        </is>
      </c>
      <c r="D250" s="15" t="inlineStr">
        <is>
          <t>OH</t>
        </is>
      </c>
      <c r="E250" s="16" t="n">
        <v>390000</v>
      </c>
      <c r="F250" s="16" t="n">
        <v>6882.63</v>
      </c>
      <c r="G250" s="16" t="n">
        <v>860.33</v>
      </c>
      <c r="H250" s="16" t="n">
        <v>860.33</v>
      </c>
      <c r="I250" s="16">
        <f>SUM(K250:T250)</f>
        <v/>
      </c>
      <c r="J250" s="16">
        <f>F250-(G250+H250+I250)</f>
        <v/>
      </c>
      <c r="K250" s="16" t="n">
        <v>516.2</v>
      </c>
      <c r="L250" s="16" t="n">
        <v>516.2</v>
      </c>
      <c r="M250" s="16" t="n">
        <v>516.2</v>
      </c>
      <c r="N250" s="16" t="n">
        <v>516.2</v>
      </c>
      <c r="O250" s="16" t="n">
        <v>516.2</v>
      </c>
      <c r="P250" s="16" t="n">
        <v>516.2</v>
      </c>
      <c r="Q250" s="16" t="n">
        <v>516.2</v>
      </c>
      <c r="R250" s="16" t="n">
        <v>516.2</v>
      </c>
      <c r="S250" s="16" t="n">
        <v>516.2</v>
      </c>
      <c r="T250" s="16" t="n">
        <v>516.2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CANON-202601-003380</t>
        </is>
      </c>
      <c r="B251" s="3" t="inlineStr">
        <is>
          <t>2026-01-11</t>
        </is>
      </c>
      <c r="C251" s="3" t="inlineStr">
        <is>
          <t>Everett Kingsford</t>
        </is>
      </c>
      <c r="D251" s="3" t="inlineStr">
        <is>
          <t>MD</t>
        </is>
      </c>
      <c r="E251" s="14" t="n">
        <v>405000</v>
      </c>
      <c r="F251" s="14" t="n">
        <v>4884.88</v>
      </c>
      <c r="G251" s="14" t="n">
        <v>610.61</v>
      </c>
      <c r="H251" s="14" t="n">
        <v>610.61</v>
      </c>
      <c r="I251" s="14">
        <f>SUM(K251:T251)</f>
        <v/>
      </c>
      <c r="J251" s="14">
        <f>F251-(G251+H251+I251)</f>
        <v/>
      </c>
      <c r="K251" s="14" t="n">
        <v>366.37</v>
      </c>
      <c r="L251" s="14" t="n">
        <v>366.37</v>
      </c>
      <c r="M251" s="14" t="n">
        <v>366.37</v>
      </c>
      <c r="N251" s="14" t="n">
        <v>366.37</v>
      </c>
      <c r="O251" s="14" t="n">
        <v>366.37</v>
      </c>
      <c r="P251" s="14" t="n">
        <v>366.37</v>
      </c>
      <c r="Q251" s="14" t="n">
        <v>366.37</v>
      </c>
      <c r="R251" s="14" t="n">
        <v>366.37</v>
      </c>
      <c r="S251" s="14" t="n">
        <v>366.37</v>
      </c>
      <c r="T251" s="14" t="n">
        <v>366.37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CANON-202601-003381</t>
        </is>
      </c>
      <c r="B252" s="15" t="inlineStr">
        <is>
          <t>2026-01-19</t>
        </is>
      </c>
      <c r="C252" s="15" t="inlineStr">
        <is>
          <t>Desmond Merriweather</t>
        </is>
      </c>
      <c r="D252" s="15" t="inlineStr">
        <is>
          <t>RI</t>
        </is>
      </c>
      <c r="E252" s="16" t="n">
        <v>390000</v>
      </c>
      <c r="F252" s="16" t="n">
        <v>4341.5</v>
      </c>
      <c r="G252" s="16" t="n">
        <v>542.6900000000001</v>
      </c>
      <c r="H252" s="16" t="n">
        <v>542.6900000000001</v>
      </c>
      <c r="I252" s="16">
        <f>SUM(K252:T252)</f>
        <v/>
      </c>
      <c r="J252" s="16">
        <f>F252-(G252+H252+I252)</f>
        <v/>
      </c>
      <c r="K252" s="16" t="n">
        <v>325.61</v>
      </c>
      <c r="L252" s="16" t="n">
        <v>325.61</v>
      </c>
      <c r="M252" s="16" t="n">
        <v>325.61</v>
      </c>
      <c r="N252" s="16" t="n">
        <v>325.61</v>
      </c>
      <c r="O252" s="16" t="n">
        <v>325.61</v>
      </c>
      <c r="P252" s="16" t="n">
        <v>325.61</v>
      </c>
      <c r="Q252" s="16" t="n">
        <v>325.61</v>
      </c>
      <c r="R252" s="16" t="n">
        <v>325.61</v>
      </c>
      <c r="S252" s="16" t="n">
        <v>325.61</v>
      </c>
      <c r="T252" s="16" t="n">
        <v>325.61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CANON-202601-003382</t>
        </is>
      </c>
      <c r="B253" s="3" t="inlineStr">
        <is>
          <t>2026-01-21</t>
        </is>
      </c>
      <c r="C253" s="3" t="inlineStr">
        <is>
          <t>Lorenzo Okonkwo</t>
        </is>
      </c>
      <c r="D253" s="3" t="inlineStr">
        <is>
          <t>VA</t>
        </is>
      </c>
      <c r="E253" s="14" t="n">
        <v>550000</v>
      </c>
      <c r="F253" s="14" t="n">
        <v>6596.54</v>
      </c>
      <c r="G253" s="14" t="n">
        <v>824.5700000000001</v>
      </c>
      <c r="H253" s="14" t="n">
        <v>824.5700000000001</v>
      </c>
      <c r="I253" s="14">
        <f>SUM(K253:T253)</f>
        <v/>
      </c>
      <c r="J253" s="14">
        <f>F253-(G253+H253+I253)</f>
        <v/>
      </c>
      <c r="K253" s="14" t="n">
        <v>494.74</v>
      </c>
      <c r="L253" s="14" t="n">
        <v>494.74</v>
      </c>
      <c r="M253" s="14" t="n">
        <v>494.74</v>
      </c>
      <c r="N253" s="14" t="n">
        <v>494.74</v>
      </c>
      <c r="O253" s="14" t="n">
        <v>494.74</v>
      </c>
      <c r="P253" s="14" t="n">
        <v>494.74</v>
      </c>
      <c r="Q253" s="14" t="n">
        <v>494.74</v>
      </c>
      <c r="R253" s="14" t="n">
        <v>494.74</v>
      </c>
      <c r="S253" s="14" t="n">
        <v>494.74</v>
      </c>
      <c r="T253" s="14" t="n">
        <v>494.74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CANON-202601-003383</t>
        </is>
      </c>
      <c r="B254" s="15" t="inlineStr">
        <is>
          <t>2026-01-01</t>
        </is>
      </c>
      <c r="C254" s="15" t="inlineStr">
        <is>
          <t>Delphine Underwood</t>
        </is>
      </c>
      <c r="D254" s="15" t="inlineStr">
        <is>
          <t>CA</t>
        </is>
      </c>
      <c r="E254" s="16" t="n">
        <v>1070000</v>
      </c>
      <c r="F254" s="16" t="n">
        <v>13449.11</v>
      </c>
      <c r="G254" s="16" t="n">
        <v>1681.14</v>
      </c>
      <c r="H254" s="16" t="n">
        <v>1681.14</v>
      </c>
      <c r="I254" s="16">
        <f>SUM(K254:T254)</f>
        <v/>
      </c>
      <c r="J254" s="16">
        <f>F254-(G254+H254+I254)</f>
        <v/>
      </c>
      <c r="K254" s="16" t="n">
        <v>1008.68</v>
      </c>
      <c r="L254" s="16" t="n">
        <v>1008.68</v>
      </c>
      <c r="M254" s="16" t="n">
        <v>1008.68</v>
      </c>
      <c r="N254" s="16" t="n">
        <v>1008.68</v>
      </c>
      <c r="O254" s="16" t="n">
        <v>1008.68</v>
      </c>
      <c r="P254" s="16" t="n">
        <v>1008.68</v>
      </c>
      <c r="Q254" s="16" t="n">
        <v>1008.68</v>
      </c>
      <c r="R254" s="16" t="n">
        <v>1008.68</v>
      </c>
      <c r="S254" s="16" t="n">
        <v>1008.68</v>
      </c>
      <c r="T254" s="16" t="n">
        <v>1008.68</v>
      </c>
      <c r="U254" s="16" t="n">
        <v>350</v>
      </c>
      <c r="V254" s="16" t="n">
        <v>250</v>
      </c>
      <c r="W254" s="16">
        <f>U254+V254</f>
        <v/>
      </c>
    </row>
    <row r="255">
      <c r="A255" s="3" t="inlineStr">
        <is>
          <t>CANON-202601-003384</t>
        </is>
      </c>
      <c r="B255" s="3" t="inlineStr">
        <is>
          <t>2026-01-18</t>
        </is>
      </c>
      <c r="C255" s="3" t="inlineStr">
        <is>
          <t>Fitzgerald Blackwood</t>
        </is>
      </c>
      <c r="D255" s="3" t="inlineStr">
        <is>
          <t>NE</t>
        </is>
      </c>
      <c r="E255" s="14" t="n">
        <v>415000</v>
      </c>
      <c r="F255" s="14" t="n">
        <v>6849.61</v>
      </c>
      <c r="G255" s="14" t="n">
        <v>856.2</v>
      </c>
      <c r="H255" s="14" t="n">
        <v>856.2</v>
      </c>
      <c r="I255" s="14">
        <f>SUM(K255:T255)</f>
        <v/>
      </c>
      <c r="J255" s="14">
        <f>F255-(G255+H255+I255)</f>
        <v/>
      </c>
      <c r="K255" s="14" t="n">
        <v>513.72</v>
      </c>
      <c r="L255" s="14" t="n">
        <v>513.72</v>
      </c>
      <c r="M255" s="14" t="n">
        <v>513.72</v>
      </c>
      <c r="N255" s="14" t="n">
        <v>513.72</v>
      </c>
      <c r="O255" s="14" t="n">
        <v>513.72</v>
      </c>
      <c r="P255" s="14" t="n">
        <v>513.72</v>
      </c>
      <c r="Q255" s="14" t="n">
        <v>513.72</v>
      </c>
      <c r="R255" s="14" t="n">
        <v>513.72</v>
      </c>
      <c r="S255" s="14" t="n">
        <v>513.72</v>
      </c>
      <c r="T255" s="14" t="n">
        <v>513.72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CANON-202601-003386</t>
        </is>
      </c>
      <c r="B256" s="15" t="inlineStr">
        <is>
          <t>2026-01-18</t>
        </is>
      </c>
      <c r="C256" s="15" t="inlineStr">
        <is>
          <t>Sunniva Harrington</t>
        </is>
      </c>
      <c r="D256" s="15" t="inlineStr">
        <is>
          <t>TX</t>
        </is>
      </c>
      <c r="E256" s="16" t="n">
        <v>855000</v>
      </c>
      <c r="F256" s="16" t="n">
        <v>15812.51</v>
      </c>
      <c r="G256" s="16" t="n">
        <v>1976.56</v>
      </c>
      <c r="H256" s="16" t="n">
        <v>1976.56</v>
      </c>
      <c r="I256" s="16">
        <f>SUM(K256:T256)</f>
        <v/>
      </c>
      <c r="J256" s="16">
        <f>F256-(G256+H256+I256)</f>
        <v/>
      </c>
      <c r="K256" s="16" t="n">
        <v>1185.94</v>
      </c>
      <c r="L256" s="16" t="n">
        <v>1185.94</v>
      </c>
      <c r="M256" s="16" t="n">
        <v>1185.94</v>
      </c>
      <c r="N256" s="16" t="n">
        <v>1185.94</v>
      </c>
      <c r="O256" s="16" t="n">
        <v>1185.94</v>
      </c>
      <c r="P256" s="16" t="n">
        <v>1185.94</v>
      </c>
      <c r="Q256" s="16" t="n">
        <v>1185.94</v>
      </c>
      <c r="R256" s="16" t="n">
        <v>1185.94</v>
      </c>
      <c r="S256" s="16" t="n">
        <v>1185.94</v>
      </c>
      <c r="T256" s="16" t="n">
        <v>1185.94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CANON-202601-003387</t>
        </is>
      </c>
      <c r="B257" s="3" t="inlineStr">
        <is>
          <t>2026-01-02</t>
        </is>
      </c>
      <c r="C257" s="3" t="inlineStr">
        <is>
          <t>Everett Vasquez</t>
        </is>
      </c>
      <c r="D257" s="3" t="inlineStr">
        <is>
          <t>UT</t>
        </is>
      </c>
      <c r="E257" s="14" t="n">
        <v>310000</v>
      </c>
      <c r="F257" s="14" t="n">
        <v>5313.37</v>
      </c>
      <c r="G257" s="14" t="n">
        <v>664.17</v>
      </c>
      <c r="H257" s="14" t="n">
        <v>664.17</v>
      </c>
      <c r="I257" s="14">
        <f>SUM(K257:T257)</f>
        <v/>
      </c>
      <c r="J257" s="14">
        <f>F257-(G257+H257+I257)</f>
        <v/>
      </c>
      <c r="K257" s="14" t="n">
        <v>398.5</v>
      </c>
      <c r="L257" s="14" t="n">
        <v>398.5</v>
      </c>
      <c r="M257" s="14" t="n">
        <v>398.5</v>
      </c>
      <c r="N257" s="14" t="n">
        <v>398.5</v>
      </c>
      <c r="O257" s="14" t="n">
        <v>398.5</v>
      </c>
      <c r="P257" s="14" t="n">
        <v>398.5</v>
      </c>
      <c r="Q257" s="14" t="n">
        <v>398.5</v>
      </c>
      <c r="R257" s="14" t="n">
        <v>398.5</v>
      </c>
      <c r="S257" s="14" t="n">
        <v>398.5</v>
      </c>
      <c r="T257" s="14" t="n">
        <v>398.5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CANON-202601-003389</t>
        </is>
      </c>
      <c r="B258" s="15" t="inlineStr">
        <is>
          <t>2026-01-13</t>
        </is>
      </c>
      <c r="C258" s="15" t="inlineStr">
        <is>
          <t>Thaddeus Rourke</t>
        </is>
      </c>
      <c r="D258" s="15" t="inlineStr">
        <is>
          <t>WV</t>
        </is>
      </c>
      <c r="E258" s="16" t="n">
        <v>875000</v>
      </c>
      <c r="F258" s="16" t="n">
        <v>12805.21</v>
      </c>
      <c r="G258" s="16" t="n">
        <v>1600.65</v>
      </c>
      <c r="H258" s="16" t="n">
        <v>1600.65</v>
      </c>
      <c r="I258" s="16">
        <f>SUM(K258:T258)</f>
        <v/>
      </c>
      <c r="J258" s="16">
        <f>F258-(G258+H258+I258)</f>
        <v/>
      </c>
      <c r="K258" s="16" t="n">
        <v>960.39</v>
      </c>
      <c r="L258" s="16" t="n">
        <v>960.39</v>
      </c>
      <c r="M258" s="16" t="n">
        <v>960.39</v>
      </c>
      <c r="N258" s="16" t="n">
        <v>960.39</v>
      </c>
      <c r="O258" s="16" t="n">
        <v>960.39</v>
      </c>
      <c r="P258" s="16" t="n">
        <v>960.39</v>
      </c>
      <c r="Q258" s="16" t="n">
        <v>960.39</v>
      </c>
      <c r="R258" s="16" t="n">
        <v>960.39</v>
      </c>
      <c r="S258" s="16" t="n">
        <v>960.39</v>
      </c>
      <c r="T258" s="16" t="n">
        <v>960.39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CANON-202601-003393</t>
        </is>
      </c>
      <c r="B259" s="3" t="inlineStr">
        <is>
          <t>2026-01-30</t>
        </is>
      </c>
      <c r="C259" s="3" t="inlineStr">
        <is>
          <t>Ramona Okonkwo</t>
        </is>
      </c>
      <c r="D259" s="3" t="inlineStr">
        <is>
          <t>WI</t>
        </is>
      </c>
      <c r="E259" s="14" t="n">
        <v>525000</v>
      </c>
      <c r="F259" s="14" t="n">
        <v>6932.14</v>
      </c>
      <c r="G259" s="14" t="n">
        <v>866.52</v>
      </c>
      <c r="H259" s="14" t="n">
        <v>866.52</v>
      </c>
      <c r="I259" s="14">
        <f>SUM(K259:T259)</f>
        <v/>
      </c>
      <c r="J259" s="14">
        <f>F259-(G259+H259+I259)</f>
        <v/>
      </c>
      <c r="K259" s="14" t="n">
        <v>519.91</v>
      </c>
      <c r="L259" s="14" t="n">
        <v>519.91</v>
      </c>
      <c r="M259" s="14" t="n">
        <v>519.91</v>
      </c>
      <c r="N259" s="14" t="n">
        <v>519.91</v>
      </c>
      <c r="O259" s="14" t="n">
        <v>519.91</v>
      </c>
      <c r="P259" s="14" t="n">
        <v>519.91</v>
      </c>
      <c r="Q259" s="14" t="n">
        <v>519.91</v>
      </c>
      <c r="R259" s="14" t="n">
        <v>519.91</v>
      </c>
      <c r="S259" s="14" t="n">
        <v>519.91</v>
      </c>
      <c r="T259" s="14" t="n">
        <v>519.91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CANON-202601-003394</t>
        </is>
      </c>
      <c r="B260" s="15" t="inlineStr">
        <is>
          <t>2026-01-22</t>
        </is>
      </c>
      <c r="C260" s="15" t="inlineStr">
        <is>
          <t>Ramona Delacroix</t>
        </is>
      </c>
      <c r="D260" s="15" t="inlineStr">
        <is>
          <t>SD</t>
        </is>
      </c>
      <c r="E260" s="16" t="n">
        <v>325000</v>
      </c>
      <c r="F260" s="16" t="n">
        <v>4580.16</v>
      </c>
      <c r="G260" s="16" t="n">
        <v>572.52</v>
      </c>
      <c r="H260" s="16" t="n">
        <v>572.52</v>
      </c>
      <c r="I260" s="16">
        <f>SUM(K260:T260)</f>
        <v/>
      </c>
      <c r="J260" s="16">
        <f>F260-(G260+H260+I260)</f>
        <v/>
      </c>
      <c r="K260" s="16" t="n">
        <v>343.51</v>
      </c>
      <c r="L260" s="16" t="n">
        <v>343.51</v>
      </c>
      <c r="M260" s="16" t="n">
        <v>343.51</v>
      </c>
      <c r="N260" s="16" t="n">
        <v>343.51</v>
      </c>
      <c r="O260" s="16" t="n">
        <v>343.51</v>
      </c>
      <c r="P260" s="16" t="n">
        <v>343.51</v>
      </c>
      <c r="Q260" s="16" t="n">
        <v>343.51</v>
      </c>
      <c r="R260" s="16" t="n">
        <v>343.51</v>
      </c>
      <c r="S260" s="16" t="n">
        <v>343.51</v>
      </c>
      <c r="T260" s="16" t="n">
        <v>343.51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CANON-202601-003395</t>
        </is>
      </c>
      <c r="B261" s="3" t="inlineStr">
        <is>
          <t>2026-01-04</t>
        </is>
      </c>
      <c r="C261" s="3" t="inlineStr">
        <is>
          <t>Thaddeus Nakashima</t>
        </is>
      </c>
      <c r="D261" s="3" t="inlineStr">
        <is>
          <t>CA</t>
        </is>
      </c>
      <c r="E261" s="14" t="n">
        <v>270000</v>
      </c>
      <c r="F261" s="14" t="n">
        <v>2961.77</v>
      </c>
      <c r="G261" s="14" t="n">
        <v>370.22</v>
      </c>
      <c r="H261" s="14" t="n">
        <v>370.22</v>
      </c>
      <c r="I261" s="14">
        <f>SUM(K261:T261)</f>
        <v/>
      </c>
      <c r="J261" s="14">
        <f>F261-(G261+H261+I261)</f>
        <v/>
      </c>
      <c r="K261" s="14" t="n">
        <v>222.13</v>
      </c>
      <c r="L261" s="14" t="n">
        <v>222.13</v>
      </c>
      <c r="M261" s="14" t="n">
        <v>222.13</v>
      </c>
      <c r="N261" s="14" t="n">
        <v>222.13</v>
      </c>
      <c r="O261" s="14" t="n">
        <v>222.13</v>
      </c>
      <c r="P261" s="14" t="n">
        <v>222.13</v>
      </c>
      <c r="Q261" s="14" t="n">
        <v>222.13</v>
      </c>
      <c r="R261" s="14" t="n">
        <v>222.13</v>
      </c>
      <c r="S261" s="14" t="n">
        <v>222.13</v>
      </c>
      <c r="T261" s="14" t="n">
        <v>222.13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CANON-202601-003396</t>
        </is>
      </c>
      <c r="B262" s="15" t="inlineStr">
        <is>
          <t>2026-01-29</t>
        </is>
      </c>
      <c r="C262" s="15" t="inlineStr">
        <is>
          <t>Lorenzo Chattopadhyay</t>
        </is>
      </c>
      <c r="D262" s="15" t="inlineStr">
        <is>
          <t>OH</t>
        </is>
      </c>
      <c r="E262" s="16" t="n">
        <v>395000</v>
      </c>
      <c r="F262" s="16" t="n">
        <v>4461.35</v>
      </c>
      <c r="G262" s="16" t="n">
        <v>557.67</v>
      </c>
      <c r="H262" s="16" t="n">
        <v>557.67</v>
      </c>
      <c r="I262" s="16">
        <f>SUM(K262:T262)</f>
        <v/>
      </c>
      <c r="J262" s="16">
        <f>F262-(G262+H262+I262)</f>
        <v/>
      </c>
      <c r="K262" s="16" t="n">
        <v>334.6</v>
      </c>
      <c r="L262" s="16" t="n">
        <v>334.6</v>
      </c>
      <c r="M262" s="16" t="n">
        <v>334.6</v>
      </c>
      <c r="N262" s="16" t="n">
        <v>334.6</v>
      </c>
      <c r="O262" s="16" t="n">
        <v>334.6</v>
      </c>
      <c r="P262" s="16" t="n">
        <v>334.6</v>
      </c>
      <c r="Q262" s="16" t="n">
        <v>334.6</v>
      </c>
      <c r="R262" s="16" t="n">
        <v>334.6</v>
      </c>
      <c r="S262" s="16" t="n">
        <v>334.6</v>
      </c>
      <c r="T262" s="16" t="n">
        <v>334.6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CANON-202601-003397</t>
        </is>
      </c>
      <c r="B263" s="3" t="inlineStr">
        <is>
          <t>2026-01-15</t>
        </is>
      </c>
      <c r="C263" s="3" t="inlineStr">
        <is>
          <t>Ingrid Montoya</t>
        </is>
      </c>
      <c r="D263" s="3" t="inlineStr">
        <is>
          <t>TX</t>
        </is>
      </c>
      <c r="E263" s="14" t="n">
        <v>430000</v>
      </c>
      <c r="F263" s="14" t="n">
        <v>6278.28</v>
      </c>
      <c r="G263" s="14" t="n">
        <v>784.78</v>
      </c>
      <c r="H263" s="14" t="n">
        <v>784.78</v>
      </c>
      <c r="I263" s="14">
        <f>SUM(K263:T263)</f>
        <v/>
      </c>
      <c r="J263" s="14">
        <f>F263-(G263+H263+I263)</f>
        <v/>
      </c>
      <c r="K263" s="14" t="n">
        <v>470.87</v>
      </c>
      <c r="L263" s="14" t="n">
        <v>470.87</v>
      </c>
      <c r="M263" s="14" t="n">
        <v>470.87</v>
      </c>
      <c r="N263" s="14" t="n">
        <v>470.87</v>
      </c>
      <c r="O263" s="14" t="n">
        <v>470.87</v>
      </c>
      <c r="P263" s="14" t="n">
        <v>470.87</v>
      </c>
      <c r="Q263" s="14" t="n">
        <v>470.87</v>
      </c>
      <c r="R263" s="14" t="n">
        <v>470.87</v>
      </c>
      <c r="S263" s="14" t="n">
        <v>470.87</v>
      </c>
      <c r="T263" s="14" t="n">
        <v>470.87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CANON-202601-003399</t>
        </is>
      </c>
      <c r="B264" s="15" t="inlineStr">
        <is>
          <t>2026-01-12</t>
        </is>
      </c>
      <c r="C264" s="15" t="inlineStr">
        <is>
          <t>Fenwick Whitlock</t>
        </is>
      </c>
      <c r="D264" s="15" t="inlineStr">
        <is>
          <t>OH</t>
        </is>
      </c>
      <c r="E264" s="16" t="n">
        <v>730000</v>
      </c>
      <c r="F264" s="16" t="n">
        <v>11165.14</v>
      </c>
      <c r="G264" s="16" t="n">
        <v>1395.64</v>
      </c>
      <c r="H264" s="16" t="n">
        <v>1395.64</v>
      </c>
      <c r="I264" s="16">
        <f>SUM(K264:T264)</f>
        <v/>
      </c>
      <c r="J264" s="16">
        <f>F264-(G264+H264+I264)</f>
        <v/>
      </c>
      <c r="K264" s="16" t="n">
        <v>837.39</v>
      </c>
      <c r="L264" s="16" t="n">
        <v>837.39</v>
      </c>
      <c r="M264" s="16" t="n">
        <v>837.39</v>
      </c>
      <c r="N264" s="16" t="n">
        <v>837.39</v>
      </c>
      <c r="O264" s="16" t="n">
        <v>837.39</v>
      </c>
      <c r="P264" s="16" t="n">
        <v>837.39</v>
      </c>
      <c r="Q264" s="16" t="n">
        <v>837.39</v>
      </c>
      <c r="R264" s="16" t="n">
        <v>837.39</v>
      </c>
      <c r="S264" s="16" t="n">
        <v>837.39</v>
      </c>
      <c r="T264" s="16" t="n">
        <v>837.39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CANON-202601-003400</t>
        </is>
      </c>
      <c r="B265" s="3" t="inlineStr">
        <is>
          <t>2026-01-02</t>
        </is>
      </c>
      <c r="C265" s="3" t="inlineStr">
        <is>
          <t>Everett Castellanos</t>
        </is>
      </c>
      <c r="D265" s="3" t="inlineStr">
        <is>
          <t>SD</t>
        </is>
      </c>
      <c r="E265" s="14" t="n">
        <v>730000</v>
      </c>
      <c r="F265" s="14" t="n">
        <v>8916.049999999999</v>
      </c>
      <c r="G265" s="14" t="n">
        <v>1114.51</v>
      </c>
      <c r="H265" s="14" t="n">
        <v>1114.51</v>
      </c>
      <c r="I265" s="14">
        <f>SUM(K265:T265)</f>
        <v/>
      </c>
      <c r="J265" s="14">
        <f>F265-(G265+H265+I265)</f>
        <v/>
      </c>
      <c r="K265" s="14" t="n">
        <v>668.7</v>
      </c>
      <c r="L265" s="14" t="n">
        <v>668.7</v>
      </c>
      <c r="M265" s="14" t="n">
        <v>668.7</v>
      </c>
      <c r="N265" s="14" t="n">
        <v>668.7</v>
      </c>
      <c r="O265" s="14" t="n">
        <v>668.7</v>
      </c>
      <c r="P265" s="14" t="n">
        <v>668.7</v>
      </c>
      <c r="Q265" s="14" t="n">
        <v>668.7</v>
      </c>
      <c r="R265" s="14" t="n">
        <v>668.7</v>
      </c>
      <c r="S265" s="14" t="n">
        <v>668.7</v>
      </c>
      <c r="T265" s="14" t="n">
        <v>668.7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CANON-202601-003402</t>
        </is>
      </c>
      <c r="B266" s="15" t="inlineStr">
        <is>
          <t>2026-01-17</t>
        </is>
      </c>
      <c r="C266" s="15" t="inlineStr">
        <is>
          <t>Delphine Thistlewood</t>
        </is>
      </c>
      <c r="D266" s="15" t="inlineStr">
        <is>
          <t>NE</t>
        </is>
      </c>
      <c r="E266" s="16" t="n">
        <v>1390000</v>
      </c>
      <c r="F266" s="16" t="n">
        <v>10400.41</v>
      </c>
      <c r="G266" s="16" t="n">
        <v>1300.05</v>
      </c>
      <c r="H266" s="16" t="n">
        <v>1300.05</v>
      </c>
      <c r="I266" s="16">
        <f>SUM(K266:T266)</f>
        <v/>
      </c>
      <c r="J266" s="16">
        <f>F266-(G266+H266+I266)</f>
        <v/>
      </c>
      <c r="K266" s="16" t="n">
        <v>780.03</v>
      </c>
      <c r="L266" s="16" t="n">
        <v>780.03</v>
      </c>
      <c r="M266" s="16" t="n">
        <v>780.03</v>
      </c>
      <c r="N266" s="16" t="n">
        <v>780.03</v>
      </c>
      <c r="O266" s="16" t="n">
        <v>780.03</v>
      </c>
      <c r="P266" s="16" t="n">
        <v>780.03</v>
      </c>
      <c r="Q266" s="16" t="n">
        <v>780.03</v>
      </c>
      <c r="R266" s="16" t="n">
        <v>780.03</v>
      </c>
      <c r="S266" s="16" t="n">
        <v>780.03</v>
      </c>
      <c r="T266" s="16" t="n">
        <v>780.03</v>
      </c>
      <c r="U266" s="16" t="n">
        <v>350</v>
      </c>
      <c r="V266" s="16" t="n">
        <v>250</v>
      </c>
      <c r="W266" s="16">
        <f>U266+V266</f>
        <v/>
      </c>
    </row>
    <row r="267">
      <c r="A267" s="3" t="inlineStr">
        <is>
          <t>CANON-202601-003403</t>
        </is>
      </c>
      <c r="B267" s="3" t="inlineStr">
        <is>
          <t>2026-01-31</t>
        </is>
      </c>
      <c r="C267" s="3" t="inlineStr">
        <is>
          <t>Callum Whitlock</t>
        </is>
      </c>
      <c r="D267" s="3" t="inlineStr">
        <is>
          <t>OH</t>
        </is>
      </c>
      <c r="E267" s="14" t="n">
        <v>535000</v>
      </c>
      <c r="F267" s="14" t="n">
        <v>9819.209999999999</v>
      </c>
      <c r="G267" s="14" t="n">
        <v>1227.4</v>
      </c>
      <c r="H267" s="14" t="n">
        <v>1227.4</v>
      </c>
      <c r="I267" s="14">
        <f>SUM(K267:T267)</f>
        <v/>
      </c>
      <c r="J267" s="14">
        <f>F267-(G267+H267+I267)</f>
        <v/>
      </c>
      <c r="K267" s="14" t="n">
        <v>736.4400000000001</v>
      </c>
      <c r="L267" s="14" t="n">
        <v>736.4400000000001</v>
      </c>
      <c r="M267" s="14" t="n">
        <v>736.4400000000001</v>
      </c>
      <c r="N267" s="14" t="n">
        <v>736.4400000000001</v>
      </c>
      <c r="O267" s="14" t="n">
        <v>736.4400000000001</v>
      </c>
      <c r="P267" s="14" t="n">
        <v>736.4400000000001</v>
      </c>
      <c r="Q267" s="14" t="n">
        <v>736.4400000000001</v>
      </c>
      <c r="R267" s="14" t="n">
        <v>736.4400000000001</v>
      </c>
      <c r="S267" s="14" t="n">
        <v>736.4400000000001</v>
      </c>
      <c r="T267" s="14" t="n">
        <v>736.4400000000001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CANON-202601-003404</t>
        </is>
      </c>
      <c r="B268" s="15" t="inlineStr">
        <is>
          <t>2026-01-31</t>
        </is>
      </c>
      <c r="C268" s="15" t="inlineStr">
        <is>
          <t>Ingrid Chattopadhyay</t>
        </is>
      </c>
      <c r="D268" s="15" t="inlineStr">
        <is>
          <t>TX</t>
        </is>
      </c>
      <c r="E268" s="16" t="n">
        <v>1920000</v>
      </c>
      <c r="F268" s="16" t="n">
        <v>20557.73</v>
      </c>
      <c r="G268" s="16" t="n">
        <v>2569.72</v>
      </c>
      <c r="H268" s="16" t="n">
        <v>2569.72</v>
      </c>
      <c r="I268" s="16">
        <f>SUM(K268:T268)</f>
        <v/>
      </c>
      <c r="J268" s="16">
        <f>F268-(G268+H268+I268)</f>
        <v/>
      </c>
      <c r="K268" s="16" t="n">
        <v>1541.83</v>
      </c>
      <c r="L268" s="16" t="n">
        <v>1541.83</v>
      </c>
      <c r="M268" s="16" t="n">
        <v>1541.83</v>
      </c>
      <c r="N268" s="16" t="n">
        <v>1541.83</v>
      </c>
      <c r="O268" s="16" t="n">
        <v>1541.83</v>
      </c>
      <c r="P268" s="16" t="n">
        <v>1541.83</v>
      </c>
      <c r="Q268" s="16" t="n">
        <v>1541.83</v>
      </c>
      <c r="R268" s="16" t="n">
        <v>1541.83</v>
      </c>
      <c r="S268" s="16" t="n">
        <v>1541.83</v>
      </c>
      <c r="T268" s="16" t="n">
        <v>1541.83</v>
      </c>
      <c r="U268" s="16" t="n">
        <v>350</v>
      </c>
      <c r="V268" s="16" t="n">
        <v>250</v>
      </c>
      <c r="W268" s="16">
        <f>U268+V268</f>
        <v/>
      </c>
    </row>
    <row r="269">
      <c r="A269" s="3" t="inlineStr">
        <is>
          <t>CANON-202601-003405</t>
        </is>
      </c>
      <c r="B269" s="3" t="inlineStr">
        <is>
          <t>2026-01-20</t>
        </is>
      </c>
      <c r="C269" s="3" t="inlineStr">
        <is>
          <t>Thaddeus Nakashima</t>
        </is>
      </c>
      <c r="D269" s="3" t="inlineStr">
        <is>
          <t>OK</t>
        </is>
      </c>
      <c r="E269" s="14" t="n">
        <v>280000</v>
      </c>
      <c r="F269" s="14" t="n">
        <v>4479.23</v>
      </c>
      <c r="G269" s="14" t="n">
        <v>559.9</v>
      </c>
      <c r="H269" s="14" t="n">
        <v>559.9</v>
      </c>
      <c r="I269" s="14">
        <f>SUM(K269:T269)</f>
        <v/>
      </c>
      <c r="J269" s="14">
        <f>F269-(G269+H269+I269)</f>
        <v/>
      </c>
      <c r="K269" s="14" t="n">
        <v>335.94</v>
      </c>
      <c r="L269" s="14" t="n">
        <v>335.94</v>
      </c>
      <c r="M269" s="14" t="n">
        <v>335.94</v>
      </c>
      <c r="N269" s="14" t="n">
        <v>335.94</v>
      </c>
      <c r="O269" s="14" t="n">
        <v>335.94</v>
      </c>
      <c r="P269" s="14" t="n">
        <v>335.94</v>
      </c>
      <c r="Q269" s="14" t="n">
        <v>335.94</v>
      </c>
      <c r="R269" s="14" t="n">
        <v>335.94</v>
      </c>
      <c r="S269" s="14" t="n">
        <v>335.94</v>
      </c>
      <c r="T269" s="14" t="n">
        <v>335.94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CANON-202601-003407</t>
        </is>
      </c>
      <c r="B270" s="15" t="inlineStr">
        <is>
          <t>2026-01-09</t>
        </is>
      </c>
      <c r="C270" s="15" t="inlineStr">
        <is>
          <t>Callum Blackwood</t>
        </is>
      </c>
      <c r="D270" s="15" t="inlineStr">
        <is>
          <t>VT</t>
        </is>
      </c>
      <c r="E270" s="16" t="n">
        <v>1090000</v>
      </c>
      <c r="F270" s="16" t="n">
        <v>18009</v>
      </c>
      <c r="G270" s="16" t="n">
        <v>2251.12</v>
      </c>
      <c r="H270" s="16" t="n">
        <v>2251.12</v>
      </c>
      <c r="I270" s="16">
        <f>SUM(K270:T270)</f>
        <v/>
      </c>
      <c r="J270" s="16">
        <f>F270-(G270+H270+I270)</f>
        <v/>
      </c>
      <c r="K270" s="16" t="n">
        <v>1350.67</v>
      </c>
      <c r="L270" s="16" t="n">
        <v>1350.67</v>
      </c>
      <c r="M270" s="16" t="n">
        <v>1350.67</v>
      </c>
      <c r="N270" s="16" t="n">
        <v>1350.67</v>
      </c>
      <c r="O270" s="16" t="n">
        <v>1350.67</v>
      </c>
      <c r="P270" s="16" t="n">
        <v>1350.67</v>
      </c>
      <c r="Q270" s="16" t="n">
        <v>1350.67</v>
      </c>
      <c r="R270" s="16" t="n">
        <v>1350.67</v>
      </c>
      <c r="S270" s="16" t="n">
        <v>1350.67</v>
      </c>
      <c r="T270" s="16" t="n">
        <v>1350.67</v>
      </c>
      <c r="U270" s="16" t="n">
        <v>350</v>
      </c>
      <c r="V270" s="16" t="n">
        <v>250</v>
      </c>
      <c r="W270" s="16">
        <f>U270+V270</f>
        <v/>
      </c>
    </row>
    <row r="271">
      <c r="A271" s="3" t="inlineStr">
        <is>
          <t>CANON-202601-003408</t>
        </is>
      </c>
      <c r="B271" s="3" t="inlineStr">
        <is>
          <t>2026-01-14</t>
        </is>
      </c>
      <c r="C271" s="3" t="inlineStr">
        <is>
          <t>Cassius Vasquez</t>
        </is>
      </c>
      <c r="D271" s="3" t="inlineStr">
        <is>
          <t>TX</t>
        </is>
      </c>
      <c r="E271" s="14" t="n">
        <v>1030000</v>
      </c>
      <c r="F271" s="14" t="n">
        <v>11028.36</v>
      </c>
      <c r="G271" s="14" t="n">
        <v>1378.55</v>
      </c>
      <c r="H271" s="14" t="n">
        <v>1378.55</v>
      </c>
      <c r="I271" s="14">
        <f>SUM(K271:T271)</f>
        <v/>
      </c>
      <c r="J271" s="14">
        <f>F271-(G271+H271+I271)</f>
        <v/>
      </c>
      <c r="K271" s="14" t="n">
        <v>827.13</v>
      </c>
      <c r="L271" s="14" t="n">
        <v>827.13</v>
      </c>
      <c r="M271" s="14" t="n">
        <v>827.13</v>
      </c>
      <c r="N271" s="14" t="n">
        <v>827.13</v>
      </c>
      <c r="O271" s="14" t="n">
        <v>827.13</v>
      </c>
      <c r="P271" s="14" t="n">
        <v>827.13</v>
      </c>
      <c r="Q271" s="14" t="n">
        <v>827.13</v>
      </c>
      <c r="R271" s="14" t="n">
        <v>827.13</v>
      </c>
      <c r="S271" s="14" t="n">
        <v>827.13</v>
      </c>
      <c r="T271" s="14" t="n">
        <v>827.13</v>
      </c>
      <c r="U271" s="14" t="n">
        <v>350</v>
      </c>
      <c r="V271" s="14" t="n">
        <v>250</v>
      </c>
      <c r="W271" s="14">
        <f>U271+V271</f>
        <v/>
      </c>
    </row>
    <row r="272">
      <c r="A272" s="15" t="inlineStr">
        <is>
          <t>CANON-202601-003409</t>
        </is>
      </c>
      <c r="B272" s="15" t="inlineStr">
        <is>
          <t>2026-01-29</t>
        </is>
      </c>
      <c r="C272" s="15" t="inlineStr">
        <is>
          <t>Sunniva Montoya</t>
        </is>
      </c>
      <c r="D272" s="15" t="inlineStr">
        <is>
          <t>MI</t>
        </is>
      </c>
      <c r="E272" s="16" t="n">
        <v>600000</v>
      </c>
      <c r="F272" s="16" t="n">
        <v>10233.16</v>
      </c>
      <c r="G272" s="16" t="n">
        <v>1279.14</v>
      </c>
      <c r="H272" s="16" t="n">
        <v>1279.14</v>
      </c>
      <c r="I272" s="16">
        <f>SUM(K272:T272)</f>
        <v/>
      </c>
      <c r="J272" s="16">
        <f>F272-(G272+H272+I272)</f>
        <v/>
      </c>
      <c r="K272" s="16" t="n">
        <v>767.49</v>
      </c>
      <c r="L272" s="16" t="n">
        <v>767.49</v>
      </c>
      <c r="M272" s="16" t="n">
        <v>767.49</v>
      </c>
      <c r="N272" s="16" t="n">
        <v>767.49</v>
      </c>
      <c r="O272" s="16" t="n">
        <v>767.49</v>
      </c>
      <c r="P272" s="16" t="n">
        <v>767.49</v>
      </c>
      <c r="Q272" s="16" t="n">
        <v>767.49</v>
      </c>
      <c r="R272" s="16" t="n">
        <v>767.49</v>
      </c>
      <c r="S272" s="16" t="n">
        <v>767.49</v>
      </c>
      <c r="T272" s="16" t="n">
        <v>767.49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CANON-202601-003410</t>
        </is>
      </c>
      <c r="B273" s="3" t="inlineStr">
        <is>
          <t>2026-01-02</t>
        </is>
      </c>
      <c r="C273" s="3" t="inlineStr">
        <is>
          <t>Saoirse Pennington</t>
        </is>
      </c>
      <c r="D273" s="3" t="inlineStr">
        <is>
          <t>NE</t>
        </is>
      </c>
      <c r="E273" s="14" t="n">
        <v>625000</v>
      </c>
      <c r="F273" s="14" t="n">
        <v>13066.53</v>
      </c>
      <c r="G273" s="14" t="n">
        <v>1633.32</v>
      </c>
      <c r="H273" s="14" t="n">
        <v>1633.32</v>
      </c>
      <c r="I273" s="14">
        <f>SUM(K273:T273)</f>
        <v/>
      </c>
      <c r="J273" s="14">
        <f>F273-(G273+H273+I273)</f>
        <v/>
      </c>
      <c r="K273" s="14" t="n">
        <v>979.99</v>
      </c>
      <c r="L273" s="14" t="n">
        <v>979.99</v>
      </c>
      <c r="M273" s="14" t="n">
        <v>979.99</v>
      </c>
      <c r="N273" s="14" t="n">
        <v>979.99</v>
      </c>
      <c r="O273" s="14" t="n">
        <v>979.99</v>
      </c>
      <c r="P273" s="14" t="n">
        <v>979.99</v>
      </c>
      <c r="Q273" s="14" t="n">
        <v>979.99</v>
      </c>
      <c r="R273" s="14" t="n">
        <v>979.99</v>
      </c>
      <c r="S273" s="14" t="n">
        <v>979.99</v>
      </c>
      <c r="T273" s="14" t="n">
        <v>979.99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CANON-202601-003411</t>
        </is>
      </c>
      <c r="B274" s="15" t="inlineStr">
        <is>
          <t>2026-01-09</t>
        </is>
      </c>
      <c r="C274" s="15" t="inlineStr">
        <is>
          <t>Emiliano Blackwood</t>
        </is>
      </c>
      <c r="D274" s="15" t="inlineStr">
        <is>
          <t>GA</t>
        </is>
      </c>
      <c r="E274" s="16" t="n">
        <v>400000</v>
      </c>
      <c r="F274" s="16" t="n">
        <v>5687.91</v>
      </c>
      <c r="G274" s="16" t="n">
        <v>710.99</v>
      </c>
      <c r="H274" s="16" t="n">
        <v>710.99</v>
      </c>
      <c r="I274" s="16">
        <f>SUM(K274:T274)</f>
        <v/>
      </c>
      <c r="J274" s="16">
        <f>F274-(G274+H274+I274)</f>
        <v/>
      </c>
      <c r="K274" s="16" t="n">
        <v>426.59</v>
      </c>
      <c r="L274" s="16" t="n">
        <v>426.59</v>
      </c>
      <c r="M274" s="16" t="n">
        <v>426.59</v>
      </c>
      <c r="N274" s="16" t="n">
        <v>426.59</v>
      </c>
      <c r="O274" s="16" t="n">
        <v>426.59</v>
      </c>
      <c r="P274" s="16" t="n">
        <v>426.59</v>
      </c>
      <c r="Q274" s="16" t="n">
        <v>426.59</v>
      </c>
      <c r="R274" s="16" t="n">
        <v>426.59</v>
      </c>
      <c r="S274" s="16" t="n">
        <v>426.59</v>
      </c>
      <c r="T274" s="16" t="n">
        <v>426.59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CANON-202601-003412</t>
        </is>
      </c>
      <c r="B275" s="3" t="inlineStr">
        <is>
          <t>2026-01-30</t>
        </is>
      </c>
      <c r="C275" s="3" t="inlineStr">
        <is>
          <t>Sunniva Fairweather</t>
        </is>
      </c>
      <c r="D275" s="3" t="inlineStr">
        <is>
          <t>MN</t>
        </is>
      </c>
      <c r="E275" s="14" t="n">
        <v>875000</v>
      </c>
      <c r="F275" s="14" t="n">
        <v>18574.58</v>
      </c>
      <c r="G275" s="14" t="n">
        <v>2321.82</v>
      </c>
      <c r="H275" s="14" t="n">
        <v>2321.82</v>
      </c>
      <c r="I275" s="14">
        <f>SUM(K275:T275)</f>
        <v/>
      </c>
      <c r="J275" s="14">
        <f>F275-(G275+H275+I275)</f>
        <v/>
      </c>
      <c r="K275" s="14" t="n">
        <v>1393.09</v>
      </c>
      <c r="L275" s="14" t="n">
        <v>1393.09</v>
      </c>
      <c r="M275" s="14" t="n">
        <v>1393.09</v>
      </c>
      <c r="N275" s="14" t="n">
        <v>1393.09</v>
      </c>
      <c r="O275" s="14" t="n">
        <v>1393.09</v>
      </c>
      <c r="P275" s="14" t="n">
        <v>1393.09</v>
      </c>
      <c r="Q275" s="14" t="n">
        <v>1393.09</v>
      </c>
      <c r="R275" s="14" t="n">
        <v>1393.09</v>
      </c>
      <c r="S275" s="14" t="n">
        <v>1393.09</v>
      </c>
      <c r="T275" s="14" t="n">
        <v>1393.09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CANON-202601-003414</t>
        </is>
      </c>
      <c r="B276" s="15" t="inlineStr">
        <is>
          <t>2026-01-16</t>
        </is>
      </c>
      <c r="C276" s="15" t="inlineStr">
        <is>
          <t>Beatrix Ashcombe</t>
        </is>
      </c>
      <c r="D276" s="15" t="inlineStr">
        <is>
          <t>NE</t>
        </is>
      </c>
      <c r="E276" s="16" t="n">
        <v>430000</v>
      </c>
      <c r="F276" s="16" t="n">
        <v>7097.19</v>
      </c>
      <c r="G276" s="16" t="n">
        <v>887.15</v>
      </c>
      <c r="H276" s="16" t="n">
        <v>887.15</v>
      </c>
      <c r="I276" s="16">
        <f>SUM(K276:T276)</f>
        <v/>
      </c>
      <c r="J276" s="16">
        <f>F276-(G276+H276+I276)</f>
        <v/>
      </c>
      <c r="K276" s="16" t="n">
        <v>532.29</v>
      </c>
      <c r="L276" s="16" t="n">
        <v>532.29</v>
      </c>
      <c r="M276" s="16" t="n">
        <v>532.29</v>
      </c>
      <c r="N276" s="16" t="n">
        <v>532.29</v>
      </c>
      <c r="O276" s="16" t="n">
        <v>532.29</v>
      </c>
      <c r="P276" s="16" t="n">
        <v>532.29</v>
      </c>
      <c r="Q276" s="16" t="n">
        <v>532.29</v>
      </c>
      <c r="R276" s="16" t="n">
        <v>532.29</v>
      </c>
      <c r="S276" s="16" t="n">
        <v>532.29</v>
      </c>
      <c r="T276" s="16" t="n">
        <v>532.29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CANON-202601-003415</t>
        </is>
      </c>
      <c r="B277" s="3" t="inlineStr">
        <is>
          <t>2026-01-12</t>
        </is>
      </c>
      <c r="C277" s="3" t="inlineStr">
        <is>
          <t>Aurelio Vasquez</t>
        </is>
      </c>
      <c r="D277" s="3" t="inlineStr">
        <is>
          <t>MO</t>
        </is>
      </c>
      <c r="E277" s="14" t="n">
        <v>1275000</v>
      </c>
      <c r="F277" s="14" t="n">
        <v>18302.88</v>
      </c>
      <c r="G277" s="14" t="n">
        <v>2287.86</v>
      </c>
      <c r="H277" s="14" t="n">
        <v>2287.86</v>
      </c>
      <c r="I277" s="14">
        <f>SUM(K277:T277)</f>
        <v/>
      </c>
      <c r="J277" s="14">
        <f>F277-(G277+H277+I277)</f>
        <v/>
      </c>
      <c r="K277" s="14" t="n">
        <v>1372.72</v>
      </c>
      <c r="L277" s="14" t="n">
        <v>1372.72</v>
      </c>
      <c r="M277" s="14" t="n">
        <v>1372.72</v>
      </c>
      <c r="N277" s="14" t="n">
        <v>1372.72</v>
      </c>
      <c r="O277" s="14" t="n">
        <v>1372.72</v>
      </c>
      <c r="P277" s="14" t="n">
        <v>1372.72</v>
      </c>
      <c r="Q277" s="14" t="n">
        <v>1372.72</v>
      </c>
      <c r="R277" s="14" t="n">
        <v>1372.72</v>
      </c>
      <c r="S277" s="14" t="n">
        <v>1372.72</v>
      </c>
      <c r="T277" s="14" t="n">
        <v>1372.72</v>
      </c>
      <c r="U277" s="14" t="n">
        <v>350</v>
      </c>
      <c r="V277" s="14" t="n">
        <v>250</v>
      </c>
      <c r="W277" s="14">
        <f>U277+V277</f>
        <v/>
      </c>
    </row>
    <row r="278">
      <c r="A278" s="15" t="inlineStr">
        <is>
          <t>CANON-202601-003416</t>
        </is>
      </c>
      <c r="B278" s="15" t="inlineStr">
        <is>
          <t>2026-01-10</t>
        </is>
      </c>
      <c r="C278" s="15" t="inlineStr">
        <is>
          <t>Marisol Underwood</t>
        </is>
      </c>
      <c r="D278" s="15" t="inlineStr">
        <is>
          <t>WI</t>
        </is>
      </c>
      <c r="E278" s="16" t="n">
        <v>725000</v>
      </c>
      <c r="F278" s="16" t="n">
        <v>6332.88</v>
      </c>
      <c r="G278" s="16" t="n">
        <v>791.61</v>
      </c>
      <c r="H278" s="16" t="n">
        <v>791.61</v>
      </c>
      <c r="I278" s="16">
        <f>SUM(K278:T278)</f>
        <v/>
      </c>
      <c r="J278" s="16">
        <f>F278-(G278+H278+I278)</f>
        <v/>
      </c>
      <c r="K278" s="16" t="n">
        <v>474.97</v>
      </c>
      <c r="L278" s="16" t="n">
        <v>474.97</v>
      </c>
      <c r="M278" s="16" t="n">
        <v>474.97</v>
      </c>
      <c r="N278" s="16" t="n">
        <v>474.97</v>
      </c>
      <c r="O278" s="16" t="n">
        <v>474.97</v>
      </c>
      <c r="P278" s="16" t="n">
        <v>474.97</v>
      </c>
      <c r="Q278" s="16" t="n">
        <v>474.97</v>
      </c>
      <c r="R278" s="16" t="n">
        <v>474.97</v>
      </c>
      <c r="S278" s="16" t="n">
        <v>474.97</v>
      </c>
      <c r="T278" s="16" t="n">
        <v>474.97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CANON-202601-003418</t>
        </is>
      </c>
      <c r="B279" s="3" t="inlineStr">
        <is>
          <t>2026-01-27</t>
        </is>
      </c>
      <c r="C279" s="3" t="inlineStr">
        <is>
          <t>Fenwick Blackwood</t>
        </is>
      </c>
      <c r="D279" s="3" t="inlineStr">
        <is>
          <t>MI</t>
        </is>
      </c>
      <c r="E279" s="14" t="n">
        <v>130000</v>
      </c>
      <c r="F279" s="14" t="n">
        <v>3138.17</v>
      </c>
      <c r="G279" s="14" t="n">
        <v>392.27</v>
      </c>
      <c r="H279" s="14" t="n">
        <v>392.27</v>
      </c>
      <c r="I279" s="14">
        <f>SUM(K279:T279)</f>
        <v/>
      </c>
      <c r="J279" s="14">
        <f>F279-(G279+H279+I279)</f>
        <v/>
      </c>
      <c r="K279" s="14" t="n">
        <v>235.36</v>
      </c>
      <c r="L279" s="14" t="n">
        <v>235.36</v>
      </c>
      <c r="M279" s="14" t="n">
        <v>235.36</v>
      </c>
      <c r="N279" s="14" t="n">
        <v>235.36</v>
      </c>
      <c r="O279" s="14" t="n">
        <v>235.36</v>
      </c>
      <c r="P279" s="14" t="n">
        <v>235.36</v>
      </c>
      <c r="Q279" s="14" t="n">
        <v>235.36</v>
      </c>
      <c r="R279" s="14" t="n">
        <v>235.36</v>
      </c>
      <c r="S279" s="14" t="n">
        <v>235.36</v>
      </c>
      <c r="T279" s="14" t="n">
        <v>235.36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CANON-202601-003419</t>
        </is>
      </c>
      <c r="B280" s="15" t="inlineStr">
        <is>
          <t>2026-01-12</t>
        </is>
      </c>
      <c r="C280" s="15" t="inlineStr">
        <is>
          <t>Anouk Ashcombe</t>
        </is>
      </c>
      <c r="D280" s="15" t="inlineStr">
        <is>
          <t>CA</t>
        </is>
      </c>
      <c r="E280" s="16" t="n">
        <v>1505000</v>
      </c>
      <c r="F280" s="16" t="n">
        <v>27515.26</v>
      </c>
      <c r="G280" s="16" t="n">
        <v>3439.41</v>
      </c>
      <c r="H280" s="16" t="n">
        <v>3439.41</v>
      </c>
      <c r="I280" s="16">
        <f>SUM(K280:T280)</f>
        <v/>
      </c>
      <c r="J280" s="16">
        <f>F280-(G280+H280+I280)</f>
        <v/>
      </c>
      <c r="K280" s="16" t="n">
        <v>2063.64</v>
      </c>
      <c r="L280" s="16" t="n">
        <v>2063.64</v>
      </c>
      <c r="M280" s="16" t="n">
        <v>2063.64</v>
      </c>
      <c r="N280" s="16" t="n">
        <v>2063.64</v>
      </c>
      <c r="O280" s="16" t="n">
        <v>2063.64</v>
      </c>
      <c r="P280" s="16" t="n">
        <v>2063.64</v>
      </c>
      <c r="Q280" s="16" t="n">
        <v>2063.64</v>
      </c>
      <c r="R280" s="16" t="n">
        <v>2063.64</v>
      </c>
      <c r="S280" s="16" t="n">
        <v>2063.64</v>
      </c>
      <c r="T280" s="16" t="n">
        <v>2063.64</v>
      </c>
      <c r="U280" s="16" t="n">
        <v>350</v>
      </c>
      <c r="V280" s="16" t="n">
        <v>250</v>
      </c>
      <c r="W280" s="16">
        <f>U280+V280</f>
        <v/>
      </c>
    </row>
    <row r="281">
      <c r="A281" s="3" t="inlineStr">
        <is>
          <t>CANON-202601-003420</t>
        </is>
      </c>
      <c r="B281" s="3" t="inlineStr">
        <is>
          <t>2026-01-09</t>
        </is>
      </c>
      <c r="C281" s="3" t="inlineStr">
        <is>
          <t>Mireille Rourke</t>
        </is>
      </c>
      <c r="D281" s="3" t="inlineStr">
        <is>
          <t>OH</t>
        </is>
      </c>
      <c r="E281" s="14" t="n">
        <v>310000</v>
      </c>
      <c r="F281" s="14" t="n">
        <v>5470.8</v>
      </c>
      <c r="G281" s="14" t="n">
        <v>683.85</v>
      </c>
      <c r="H281" s="14" t="n">
        <v>683.85</v>
      </c>
      <c r="I281" s="14">
        <f>SUM(K281:T281)</f>
        <v/>
      </c>
      <c r="J281" s="14">
        <f>F281-(G281+H281+I281)</f>
        <v/>
      </c>
      <c r="K281" s="14" t="n">
        <v>410.31</v>
      </c>
      <c r="L281" s="14" t="n">
        <v>410.31</v>
      </c>
      <c r="M281" s="14" t="n">
        <v>410.31</v>
      </c>
      <c r="N281" s="14" t="n">
        <v>410.31</v>
      </c>
      <c r="O281" s="14" t="n">
        <v>410.31</v>
      </c>
      <c r="P281" s="14" t="n">
        <v>410.31</v>
      </c>
      <c r="Q281" s="14" t="n">
        <v>410.31</v>
      </c>
      <c r="R281" s="14" t="n">
        <v>410.31</v>
      </c>
      <c r="S281" s="14" t="n">
        <v>410.31</v>
      </c>
      <c r="T281" s="14" t="n">
        <v>410.31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CANON-202601-003421</t>
        </is>
      </c>
      <c r="B282" s="15" t="inlineStr">
        <is>
          <t>2026-01-03</t>
        </is>
      </c>
      <c r="C282" s="15" t="inlineStr">
        <is>
          <t>Sunniva Vasquez</t>
        </is>
      </c>
      <c r="D282" s="15" t="inlineStr">
        <is>
          <t>NH</t>
        </is>
      </c>
      <c r="E282" s="16" t="n">
        <v>360000</v>
      </c>
      <c r="F282" s="16" t="n">
        <v>3042.22</v>
      </c>
      <c r="G282" s="16" t="n">
        <v>380.28</v>
      </c>
      <c r="H282" s="16" t="n">
        <v>380.28</v>
      </c>
      <c r="I282" s="16">
        <f>SUM(K282:T282)</f>
        <v/>
      </c>
      <c r="J282" s="16">
        <f>F282-(G282+H282+I282)</f>
        <v/>
      </c>
      <c r="K282" s="16" t="n">
        <v>228.17</v>
      </c>
      <c r="L282" s="16" t="n">
        <v>228.17</v>
      </c>
      <c r="M282" s="16" t="n">
        <v>228.17</v>
      </c>
      <c r="N282" s="16" t="n">
        <v>228.17</v>
      </c>
      <c r="O282" s="16" t="n">
        <v>228.17</v>
      </c>
      <c r="P282" s="16" t="n">
        <v>228.17</v>
      </c>
      <c r="Q282" s="16" t="n">
        <v>228.17</v>
      </c>
      <c r="R282" s="16" t="n">
        <v>228.17</v>
      </c>
      <c r="S282" s="16" t="n">
        <v>228.17</v>
      </c>
      <c r="T282" s="16" t="n">
        <v>228.17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CANON-202601-003423</t>
        </is>
      </c>
      <c r="B283" s="3" t="inlineStr">
        <is>
          <t>2026-01-31</t>
        </is>
      </c>
      <c r="C283" s="3" t="inlineStr">
        <is>
          <t>Callum Bellandi</t>
        </is>
      </c>
      <c r="D283" s="3" t="inlineStr">
        <is>
          <t>MT</t>
        </is>
      </c>
      <c r="E283" s="14" t="n">
        <v>240000</v>
      </c>
      <c r="F283" s="14" t="n">
        <v>3476.13</v>
      </c>
      <c r="G283" s="14" t="n">
        <v>434.52</v>
      </c>
      <c r="H283" s="14" t="n">
        <v>434.52</v>
      </c>
      <c r="I283" s="14">
        <f>SUM(K283:T283)</f>
        <v/>
      </c>
      <c r="J283" s="14">
        <f>F283-(G283+H283+I283)</f>
        <v/>
      </c>
      <c r="K283" s="14" t="n">
        <v>260.71</v>
      </c>
      <c r="L283" s="14" t="n">
        <v>260.71</v>
      </c>
      <c r="M283" s="14" t="n">
        <v>260.71</v>
      </c>
      <c r="N283" s="14" t="n">
        <v>260.71</v>
      </c>
      <c r="O283" s="14" t="n">
        <v>260.71</v>
      </c>
      <c r="P283" s="14" t="n">
        <v>260.71</v>
      </c>
      <c r="Q283" s="14" t="n">
        <v>260.71</v>
      </c>
      <c r="R283" s="14" t="n">
        <v>260.71</v>
      </c>
      <c r="S283" s="14" t="n">
        <v>260.71</v>
      </c>
      <c r="T283" s="14" t="n">
        <v>260.71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CANON-202601-003425</t>
        </is>
      </c>
      <c r="B284" s="15" t="inlineStr">
        <is>
          <t>2026-01-02</t>
        </is>
      </c>
      <c r="C284" s="15" t="inlineStr">
        <is>
          <t>Priya Kingsford</t>
        </is>
      </c>
      <c r="D284" s="15" t="inlineStr">
        <is>
          <t>AL</t>
        </is>
      </c>
      <c r="E284" s="16" t="n">
        <v>335000</v>
      </c>
      <c r="F284" s="16" t="n">
        <v>8282.469999999999</v>
      </c>
      <c r="G284" s="16" t="n">
        <v>1035.31</v>
      </c>
      <c r="H284" s="16" t="n">
        <v>1035.31</v>
      </c>
      <c r="I284" s="16">
        <f>SUM(K284:T284)</f>
        <v/>
      </c>
      <c r="J284" s="16">
        <f>F284-(G284+H284+I284)</f>
        <v/>
      </c>
      <c r="K284" s="16" t="n">
        <v>621.1900000000001</v>
      </c>
      <c r="L284" s="16" t="n">
        <v>621.1900000000001</v>
      </c>
      <c r="M284" s="16" t="n">
        <v>621.1900000000001</v>
      </c>
      <c r="N284" s="16" t="n">
        <v>621.1900000000001</v>
      </c>
      <c r="O284" s="16" t="n">
        <v>621.1900000000001</v>
      </c>
      <c r="P284" s="16" t="n">
        <v>621.1900000000001</v>
      </c>
      <c r="Q284" s="16" t="n">
        <v>621.1900000000001</v>
      </c>
      <c r="R284" s="16" t="n">
        <v>621.1900000000001</v>
      </c>
      <c r="S284" s="16" t="n">
        <v>621.1900000000001</v>
      </c>
      <c r="T284" s="16" t="n">
        <v>621.1900000000001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CANON-202601-003428</t>
        </is>
      </c>
      <c r="B285" s="3" t="inlineStr">
        <is>
          <t>2026-01-10</t>
        </is>
      </c>
      <c r="C285" s="3" t="inlineStr">
        <is>
          <t>Saoirse Castellanos</t>
        </is>
      </c>
      <c r="D285" s="3" t="inlineStr">
        <is>
          <t>NV</t>
        </is>
      </c>
      <c r="E285" s="14" t="n">
        <v>865000</v>
      </c>
      <c r="F285" s="14" t="n">
        <v>11135.98</v>
      </c>
      <c r="G285" s="14" t="n">
        <v>1392</v>
      </c>
      <c r="H285" s="14" t="n">
        <v>1392</v>
      </c>
      <c r="I285" s="14">
        <f>SUM(K285:T285)</f>
        <v/>
      </c>
      <c r="J285" s="14">
        <f>F285-(G285+H285+I285)</f>
        <v/>
      </c>
      <c r="K285" s="14" t="n">
        <v>835.2</v>
      </c>
      <c r="L285" s="14" t="n">
        <v>835.2</v>
      </c>
      <c r="M285" s="14" t="n">
        <v>835.2</v>
      </c>
      <c r="N285" s="14" t="n">
        <v>835.2</v>
      </c>
      <c r="O285" s="14" t="n">
        <v>835.2</v>
      </c>
      <c r="P285" s="14" t="n">
        <v>835.2</v>
      </c>
      <c r="Q285" s="14" t="n">
        <v>835.2</v>
      </c>
      <c r="R285" s="14" t="n">
        <v>835.2</v>
      </c>
      <c r="S285" s="14" t="n">
        <v>835.2</v>
      </c>
      <c r="T285" s="14" t="n">
        <v>835.2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CANON-202601-003429</t>
        </is>
      </c>
      <c r="B286" s="15" t="inlineStr">
        <is>
          <t>2026-01-26</t>
        </is>
      </c>
      <c r="C286" s="15" t="inlineStr">
        <is>
          <t>Wilhelmina Blackwood</t>
        </is>
      </c>
      <c r="D286" s="15" t="inlineStr">
        <is>
          <t>NC</t>
        </is>
      </c>
      <c r="E286" s="16" t="n">
        <v>480000</v>
      </c>
      <c r="F286" s="16" t="n">
        <v>7008.32</v>
      </c>
      <c r="G286" s="16" t="n">
        <v>876.04</v>
      </c>
      <c r="H286" s="16" t="n">
        <v>876.04</v>
      </c>
      <c r="I286" s="16">
        <f>SUM(K286:T286)</f>
        <v/>
      </c>
      <c r="J286" s="16">
        <f>F286-(G286+H286+I286)</f>
        <v/>
      </c>
      <c r="K286" s="16" t="n">
        <v>525.62</v>
      </c>
      <c r="L286" s="16" t="n">
        <v>525.62</v>
      </c>
      <c r="M286" s="16" t="n">
        <v>525.62</v>
      </c>
      <c r="N286" s="16" t="n">
        <v>525.62</v>
      </c>
      <c r="O286" s="16" t="n">
        <v>525.62</v>
      </c>
      <c r="P286" s="16" t="n">
        <v>525.62</v>
      </c>
      <c r="Q286" s="16" t="n">
        <v>525.62</v>
      </c>
      <c r="R286" s="16" t="n">
        <v>525.62</v>
      </c>
      <c r="S286" s="16" t="n">
        <v>525.62</v>
      </c>
      <c r="T286" s="16" t="n">
        <v>525.62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CANON-202601-003431</t>
        </is>
      </c>
      <c r="B287" s="3" t="inlineStr">
        <is>
          <t>2026-01-13</t>
        </is>
      </c>
      <c r="C287" s="3" t="inlineStr">
        <is>
          <t>Wilhelmina Vandermeer</t>
        </is>
      </c>
      <c r="D287" s="3" t="inlineStr">
        <is>
          <t>TX</t>
        </is>
      </c>
      <c r="E287" s="14" t="n">
        <v>1510000</v>
      </c>
      <c r="F287" s="14" t="n">
        <v>23516.8</v>
      </c>
      <c r="G287" s="14" t="n">
        <v>2939.6</v>
      </c>
      <c r="H287" s="14" t="n">
        <v>2939.6</v>
      </c>
      <c r="I287" s="14">
        <f>SUM(K287:T287)</f>
        <v/>
      </c>
      <c r="J287" s="14">
        <f>F287-(G287+H287+I287)</f>
        <v/>
      </c>
      <c r="K287" s="14" t="n">
        <v>1763.76</v>
      </c>
      <c r="L287" s="14" t="n">
        <v>1763.76</v>
      </c>
      <c r="M287" s="14" t="n">
        <v>1763.76</v>
      </c>
      <c r="N287" s="14" t="n">
        <v>1763.76</v>
      </c>
      <c r="O287" s="14" t="n">
        <v>1763.76</v>
      </c>
      <c r="P287" s="14" t="n">
        <v>1763.76</v>
      </c>
      <c r="Q287" s="14" t="n">
        <v>1763.76</v>
      </c>
      <c r="R287" s="14" t="n">
        <v>1763.76</v>
      </c>
      <c r="S287" s="14" t="n">
        <v>1763.76</v>
      </c>
      <c r="T287" s="14" t="n">
        <v>1763.76</v>
      </c>
      <c r="U287" s="14" t="n">
        <v>350</v>
      </c>
      <c r="V287" s="14" t="n">
        <v>250</v>
      </c>
      <c r="W287" s="14">
        <f>U287+V287</f>
        <v/>
      </c>
    </row>
    <row r="288">
      <c r="A288" s="15" t="inlineStr">
        <is>
          <t>CANON-202601-003432</t>
        </is>
      </c>
      <c r="B288" s="15" t="inlineStr">
        <is>
          <t>2026-01-07</t>
        </is>
      </c>
      <c r="C288" s="15" t="inlineStr">
        <is>
          <t>Callum Harrington</t>
        </is>
      </c>
      <c r="D288" s="15" t="inlineStr">
        <is>
          <t>WA</t>
        </is>
      </c>
      <c r="E288" s="16" t="n">
        <v>440000</v>
      </c>
      <c r="F288" s="16" t="n">
        <v>3432.25</v>
      </c>
      <c r="G288" s="16" t="n">
        <v>429.03</v>
      </c>
      <c r="H288" s="16" t="n">
        <v>429.03</v>
      </c>
      <c r="I288" s="16">
        <f>SUM(K288:T288)</f>
        <v/>
      </c>
      <c r="J288" s="16">
        <f>F288-(G288+H288+I288)</f>
        <v/>
      </c>
      <c r="K288" s="16" t="n">
        <v>257.42</v>
      </c>
      <c r="L288" s="16" t="n">
        <v>257.42</v>
      </c>
      <c r="M288" s="16" t="n">
        <v>257.42</v>
      </c>
      <c r="N288" s="16" t="n">
        <v>257.42</v>
      </c>
      <c r="O288" s="16" t="n">
        <v>257.42</v>
      </c>
      <c r="P288" s="16" t="n">
        <v>257.42</v>
      </c>
      <c r="Q288" s="16" t="n">
        <v>257.42</v>
      </c>
      <c r="R288" s="16" t="n">
        <v>257.42</v>
      </c>
      <c r="S288" s="16" t="n">
        <v>257.42</v>
      </c>
      <c r="T288" s="16" t="n">
        <v>257.42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CANON-202601-003433</t>
        </is>
      </c>
      <c r="B289" s="3" t="inlineStr">
        <is>
          <t>2026-01-14</t>
        </is>
      </c>
      <c r="C289" s="3" t="inlineStr">
        <is>
          <t>Cassius Nakashima</t>
        </is>
      </c>
      <c r="D289" s="3" t="inlineStr">
        <is>
          <t>NJ</t>
        </is>
      </c>
      <c r="E289" s="14" t="n">
        <v>275000</v>
      </c>
      <c r="F289" s="14" t="n">
        <v>3177.23</v>
      </c>
      <c r="G289" s="14" t="n">
        <v>397.15</v>
      </c>
      <c r="H289" s="14" t="n">
        <v>397.15</v>
      </c>
      <c r="I289" s="14">
        <f>SUM(K289:T289)</f>
        <v/>
      </c>
      <c r="J289" s="14">
        <f>F289-(G289+H289+I289)</f>
        <v/>
      </c>
      <c r="K289" s="14" t="n">
        <v>238.29</v>
      </c>
      <c r="L289" s="14" t="n">
        <v>238.29</v>
      </c>
      <c r="M289" s="14" t="n">
        <v>238.29</v>
      </c>
      <c r="N289" s="14" t="n">
        <v>238.29</v>
      </c>
      <c r="O289" s="14" t="n">
        <v>238.29</v>
      </c>
      <c r="P289" s="14" t="n">
        <v>238.29</v>
      </c>
      <c r="Q289" s="14" t="n">
        <v>238.29</v>
      </c>
      <c r="R289" s="14" t="n">
        <v>238.29</v>
      </c>
      <c r="S289" s="14" t="n">
        <v>238.29</v>
      </c>
      <c r="T289" s="14" t="n">
        <v>238.29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CANON-202601-003434</t>
        </is>
      </c>
      <c r="B290" s="15" t="inlineStr">
        <is>
          <t>2026-01-26</t>
        </is>
      </c>
      <c r="C290" s="15" t="inlineStr">
        <is>
          <t>Callum Pennington</t>
        </is>
      </c>
      <c r="D290" s="15" t="inlineStr">
        <is>
          <t>WV</t>
        </is>
      </c>
      <c r="E290" s="16" t="n">
        <v>530000</v>
      </c>
      <c r="F290" s="16" t="n">
        <v>7756.29</v>
      </c>
      <c r="G290" s="16" t="n">
        <v>969.54</v>
      </c>
      <c r="H290" s="16" t="n">
        <v>969.54</v>
      </c>
      <c r="I290" s="16">
        <f>SUM(K290:T290)</f>
        <v/>
      </c>
      <c r="J290" s="16">
        <f>F290-(G290+H290+I290)</f>
        <v/>
      </c>
      <c r="K290" s="16" t="n">
        <v>581.72</v>
      </c>
      <c r="L290" s="16" t="n">
        <v>581.72</v>
      </c>
      <c r="M290" s="16" t="n">
        <v>581.72</v>
      </c>
      <c r="N290" s="16" t="n">
        <v>581.72</v>
      </c>
      <c r="O290" s="16" t="n">
        <v>581.72</v>
      </c>
      <c r="P290" s="16" t="n">
        <v>581.72</v>
      </c>
      <c r="Q290" s="16" t="n">
        <v>581.72</v>
      </c>
      <c r="R290" s="16" t="n">
        <v>581.72</v>
      </c>
      <c r="S290" s="16" t="n">
        <v>581.72</v>
      </c>
      <c r="T290" s="16" t="n">
        <v>581.72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CANON-202601-003435</t>
        </is>
      </c>
      <c r="B291" s="3" t="inlineStr">
        <is>
          <t>2026-01-12</t>
        </is>
      </c>
      <c r="C291" s="3" t="inlineStr">
        <is>
          <t>Marisol Pennington</t>
        </is>
      </c>
      <c r="D291" s="3" t="inlineStr">
        <is>
          <t>IA</t>
        </is>
      </c>
      <c r="E291" s="14" t="n">
        <v>1020000</v>
      </c>
      <c r="F291" s="14" t="n">
        <v>7217.55</v>
      </c>
      <c r="G291" s="14" t="n">
        <v>902.1900000000001</v>
      </c>
      <c r="H291" s="14" t="n">
        <v>902.1900000000001</v>
      </c>
      <c r="I291" s="14">
        <f>SUM(K291:T291)</f>
        <v/>
      </c>
      <c r="J291" s="14">
        <f>F291-(G291+H291+I291)</f>
        <v/>
      </c>
      <c r="K291" s="14" t="n">
        <v>541.3200000000001</v>
      </c>
      <c r="L291" s="14" t="n">
        <v>541.3200000000001</v>
      </c>
      <c r="M291" s="14" t="n">
        <v>541.3200000000001</v>
      </c>
      <c r="N291" s="14" t="n">
        <v>541.3200000000001</v>
      </c>
      <c r="O291" s="14" t="n">
        <v>541.3200000000001</v>
      </c>
      <c r="P291" s="14" t="n">
        <v>541.3200000000001</v>
      </c>
      <c r="Q291" s="14" t="n">
        <v>541.3200000000001</v>
      </c>
      <c r="R291" s="14" t="n">
        <v>541.3200000000001</v>
      </c>
      <c r="S291" s="14" t="n">
        <v>541.3200000000001</v>
      </c>
      <c r="T291" s="14" t="n">
        <v>541.3200000000001</v>
      </c>
      <c r="U291" s="14" t="n">
        <v>350</v>
      </c>
      <c r="V291" s="14" t="n">
        <v>250</v>
      </c>
      <c r="W291" s="14">
        <f>U291+V291</f>
        <v/>
      </c>
    </row>
    <row r="292">
      <c r="A292" s="15" t="inlineStr">
        <is>
          <t>CANON-202601-003436</t>
        </is>
      </c>
      <c r="B292" s="15" t="inlineStr">
        <is>
          <t>2026-01-10</t>
        </is>
      </c>
      <c r="C292" s="15" t="inlineStr">
        <is>
          <t>Thaddeus Chattopadhyay</t>
        </is>
      </c>
      <c r="D292" s="15" t="inlineStr">
        <is>
          <t>CT</t>
        </is>
      </c>
      <c r="E292" s="16" t="n">
        <v>1865000</v>
      </c>
      <c r="F292" s="16" t="n">
        <v>28287.87</v>
      </c>
      <c r="G292" s="16" t="n">
        <v>3535.98</v>
      </c>
      <c r="H292" s="16" t="n">
        <v>3535.98</v>
      </c>
      <c r="I292" s="16">
        <f>SUM(K292:T292)</f>
        <v/>
      </c>
      <c r="J292" s="16">
        <f>F292-(G292+H292+I292)</f>
        <v/>
      </c>
      <c r="K292" s="16" t="n">
        <v>2121.59</v>
      </c>
      <c r="L292" s="16" t="n">
        <v>2121.59</v>
      </c>
      <c r="M292" s="16" t="n">
        <v>2121.59</v>
      </c>
      <c r="N292" s="16" t="n">
        <v>2121.59</v>
      </c>
      <c r="O292" s="16" t="n">
        <v>2121.59</v>
      </c>
      <c r="P292" s="16" t="n">
        <v>2121.59</v>
      </c>
      <c r="Q292" s="16" t="n">
        <v>2121.59</v>
      </c>
      <c r="R292" s="16" t="n">
        <v>2121.59</v>
      </c>
      <c r="S292" s="16" t="n">
        <v>2121.59</v>
      </c>
      <c r="T292" s="16" t="n">
        <v>2121.59</v>
      </c>
      <c r="U292" s="16" t="n">
        <v>350</v>
      </c>
      <c r="V292" s="16" t="n">
        <v>250</v>
      </c>
      <c r="W292" s="16">
        <f>U292+V292</f>
        <v/>
      </c>
    </row>
    <row r="293">
      <c r="A293" s="3" t="inlineStr">
        <is>
          <t>CANON-202601-003437</t>
        </is>
      </c>
      <c r="B293" s="3" t="inlineStr">
        <is>
          <t>2026-01-11</t>
        </is>
      </c>
      <c r="C293" s="3" t="inlineStr">
        <is>
          <t>Marisol Okonkwo</t>
        </is>
      </c>
      <c r="D293" s="3" t="inlineStr">
        <is>
          <t>NM</t>
        </is>
      </c>
      <c r="E293" s="14" t="n">
        <v>280000</v>
      </c>
      <c r="F293" s="14" t="n">
        <v>2912.21</v>
      </c>
      <c r="G293" s="14" t="n">
        <v>364.03</v>
      </c>
      <c r="H293" s="14" t="n">
        <v>364.03</v>
      </c>
      <c r="I293" s="14">
        <f>SUM(K293:T293)</f>
        <v/>
      </c>
      <c r="J293" s="14">
        <f>F293-(G293+H293+I293)</f>
        <v/>
      </c>
      <c r="K293" s="14" t="n">
        <v>218.42</v>
      </c>
      <c r="L293" s="14" t="n">
        <v>218.42</v>
      </c>
      <c r="M293" s="14" t="n">
        <v>218.42</v>
      </c>
      <c r="N293" s="14" t="n">
        <v>218.42</v>
      </c>
      <c r="O293" s="14" t="n">
        <v>218.42</v>
      </c>
      <c r="P293" s="14" t="n">
        <v>218.42</v>
      </c>
      <c r="Q293" s="14" t="n">
        <v>218.42</v>
      </c>
      <c r="R293" s="14" t="n">
        <v>218.42</v>
      </c>
      <c r="S293" s="14" t="n">
        <v>218.42</v>
      </c>
      <c r="T293" s="14" t="n">
        <v>218.42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CANON-202601-003438</t>
        </is>
      </c>
      <c r="B294" s="15" t="inlineStr">
        <is>
          <t>2026-01-11</t>
        </is>
      </c>
      <c r="C294" s="15" t="inlineStr">
        <is>
          <t>Leopold Montoya</t>
        </is>
      </c>
      <c r="D294" s="15" t="inlineStr">
        <is>
          <t>MI</t>
        </is>
      </c>
      <c r="E294" s="16" t="n">
        <v>485000</v>
      </c>
      <c r="F294" s="16" t="n">
        <v>9544.389999999999</v>
      </c>
      <c r="G294" s="16" t="n">
        <v>1193.05</v>
      </c>
      <c r="H294" s="16" t="n">
        <v>1193.05</v>
      </c>
      <c r="I294" s="16">
        <f>SUM(K294:T294)</f>
        <v/>
      </c>
      <c r="J294" s="16">
        <f>F294-(G294+H294+I294)</f>
        <v/>
      </c>
      <c r="K294" s="16" t="n">
        <v>715.83</v>
      </c>
      <c r="L294" s="16" t="n">
        <v>715.83</v>
      </c>
      <c r="M294" s="16" t="n">
        <v>715.83</v>
      </c>
      <c r="N294" s="16" t="n">
        <v>715.83</v>
      </c>
      <c r="O294" s="16" t="n">
        <v>715.83</v>
      </c>
      <c r="P294" s="16" t="n">
        <v>715.83</v>
      </c>
      <c r="Q294" s="16" t="n">
        <v>715.83</v>
      </c>
      <c r="R294" s="16" t="n">
        <v>715.83</v>
      </c>
      <c r="S294" s="16" t="n">
        <v>715.83</v>
      </c>
      <c r="T294" s="16" t="n">
        <v>715.83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CANON-202601-003439</t>
        </is>
      </c>
      <c r="B295" s="3" t="inlineStr">
        <is>
          <t>2026-01-22</t>
        </is>
      </c>
      <c r="C295" s="3" t="inlineStr">
        <is>
          <t>Anouk Nakashima</t>
        </is>
      </c>
      <c r="D295" s="3" t="inlineStr">
        <is>
          <t>IA</t>
        </is>
      </c>
      <c r="E295" s="14" t="n">
        <v>160000</v>
      </c>
      <c r="F295" s="14" t="n">
        <v>2741.03</v>
      </c>
      <c r="G295" s="14" t="n">
        <v>342.63</v>
      </c>
      <c r="H295" s="14" t="n">
        <v>342.63</v>
      </c>
      <c r="I295" s="14">
        <f>SUM(K295:T295)</f>
        <v/>
      </c>
      <c r="J295" s="14">
        <f>F295-(G295+H295+I295)</f>
        <v/>
      </c>
      <c r="K295" s="14" t="n">
        <v>205.58</v>
      </c>
      <c r="L295" s="14" t="n">
        <v>205.58</v>
      </c>
      <c r="M295" s="14" t="n">
        <v>205.58</v>
      </c>
      <c r="N295" s="14" t="n">
        <v>205.58</v>
      </c>
      <c r="O295" s="14" t="n">
        <v>205.58</v>
      </c>
      <c r="P295" s="14" t="n">
        <v>205.58</v>
      </c>
      <c r="Q295" s="14" t="n">
        <v>205.58</v>
      </c>
      <c r="R295" s="14" t="n">
        <v>205.58</v>
      </c>
      <c r="S295" s="14" t="n">
        <v>205.58</v>
      </c>
      <c r="T295" s="14" t="n">
        <v>205.58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CANON-202601-003440</t>
        </is>
      </c>
      <c r="B296" s="15" t="inlineStr">
        <is>
          <t>2026-01-22</t>
        </is>
      </c>
      <c r="C296" s="15" t="inlineStr">
        <is>
          <t>Ramona Rourke</t>
        </is>
      </c>
      <c r="D296" s="15" t="inlineStr">
        <is>
          <t>IL</t>
        </is>
      </c>
      <c r="E296" s="16" t="n">
        <v>405000</v>
      </c>
      <c r="F296" s="16" t="n">
        <v>6993.08</v>
      </c>
      <c r="G296" s="16" t="n">
        <v>874.13</v>
      </c>
      <c r="H296" s="16" t="n">
        <v>874.13</v>
      </c>
      <c r="I296" s="16">
        <f>SUM(K296:T296)</f>
        <v/>
      </c>
      <c r="J296" s="16">
        <f>F296-(G296+H296+I296)</f>
        <v/>
      </c>
      <c r="K296" s="16" t="n">
        <v>524.48</v>
      </c>
      <c r="L296" s="16" t="n">
        <v>524.48</v>
      </c>
      <c r="M296" s="16" t="n">
        <v>524.48</v>
      </c>
      <c r="N296" s="16" t="n">
        <v>524.48</v>
      </c>
      <c r="O296" s="16" t="n">
        <v>524.48</v>
      </c>
      <c r="P296" s="16" t="n">
        <v>524.48</v>
      </c>
      <c r="Q296" s="16" t="n">
        <v>524.48</v>
      </c>
      <c r="R296" s="16" t="n">
        <v>524.48</v>
      </c>
      <c r="S296" s="16" t="n">
        <v>524.48</v>
      </c>
      <c r="T296" s="16" t="n">
        <v>524.48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CANON-202601-003442</t>
        </is>
      </c>
      <c r="B297" s="3" t="inlineStr">
        <is>
          <t>2026-01-02</t>
        </is>
      </c>
      <c r="C297" s="3" t="inlineStr">
        <is>
          <t>Anouk Chattopadhyay</t>
        </is>
      </c>
      <c r="D297" s="3" t="inlineStr">
        <is>
          <t>UT</t>
        </is>
      </c>
      <c r="E297" s="14" t="n">
        <v>895000</v>
      </c>
      <c r="F297" s="14" t="n">
        <v>8795.049999999999</v>
      </c>
      <c r="G297" s="14" t="n">
        <v>1099.38</v>
      </c>
      <c r="H297" s="14" t="n">
        <v>1099.38</v>
      </c>
      <c r="I297" s="14">
        <f>SUM(K297:T297)</f>
        <v/>
      </c>
      <c r="J297" s="14">
        <f>F297-(G297+H297+I297)</f>
        <v/>
      </c>
      <c r="K297" s="14" t="n">
        <v>659.63</v>
      </c>
      <c r="L297" s="14" t="n">
        <v>659.63</v>
      </c>
      <c r="M297" s="14" t="n">
        <v>659.63</v>
      </c>
      <c r="N297" s="14" t="n">
        <v>659.63</v>
      </c>
      <c r="O297" s="14" t="n">
        <v>659.63</v>
      </c>
      <c r="P297" s="14" t="n">
        <v>659.63</v>
      </c>
      <c r="Q297" s="14" t="n">
        <v>659.63</v>
      </c>
      <c r="R297" s="14" t="n">
        <v>659.63</v>
      </c>
      <c r="S297" s="14" t="n">
        <v>659.63</v>
      </c>
      <c r="T297" s="14" t="n">
        <v>659.63</v>
      </c>
      <c r="U297" s="14" t="n">
        <v>350</v>
      </c>
      <c r="V297" s="14" t="n">
        <v>0</v>
      </c>
      <c r="W297" s="14">
        <f>U297+V297</f>
        <v/>
      </c>
    </row>
    <row r="298">
      <c r="A298" s="15" t="inlineStr">
        <is>
          <t>CANON-202601-003444</t>
        </is>
      </c>
      <c r="B298" s="15" t="inlineStr">
        <is>
          <t>2026-01-10</t>
        </is>
      </c>
      <c r="C298" s="15" t="inlineStr">
        <is>
          <t>Desmond Okonkwo</t>
        </is>
      </c>
      <c r="D298" s="15" t="inlineStr">
        <is>
          <t>NY</t>
        </is>
      </c>
      <c r="E298" s="16" t="n">
        <v>330000</v>
      </c>
      <c r="F298" s="16" t="n">
        <v>3432.25</v>
      </c>
      <c r="G298" s="16" t="n">
        <v>429.03</v>
      </c>
      <c r="H298" s="16" t="n">
        <v>429.03</v>
      </c>
      <c r="I298" s="16">
        <f>SUM(K298:T298)</f>
        <v/>
      </c>
      <c r="J298" s="16">
        <f>F298-(G298+H298+I298)</f>
        <v/>
      </c>
      <c r="K298" s="16" t="n">
        <v>257.42</v>
      </c>
      <c r="L298" s="16" t="n">
        <v>257.42</v>
      </c>
      <c r="M298" s="16" t="n">
        <v>257.42</v>
      </c>
      <c r="N298" s="16" t="n">
        <v>257.42</v>
      </c>
      <c r="O298" s="16" t="n">
        <v>257.42</v>
      </c>
      <c r="P298" s="16" t="n">
        <v>257.42</v>
      </c>
      <c r="Q298" s="16" t="n">
        <v>257.42</v>
      </c>
      <c r="R298" s="16" t="n">
        <v>257.42</v>
      </c>
      <c r="S298" s="16" t="n">
        <v>257.42</v>
      </c>
      <c r="T298" s="16" t="n">
        <v>257.42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CANON-202601-003445</t>
        </is>
      </c>
      <c r="B299" s="3" t="inlineStr">
        <is>
          <t>2026-01-17</t>
        </is>
      </c>
      <c r="C299" s="3" t="inlineStr">
        <is>
          <t>Cassius Thistlewood</t>
        </is>
      </c>
      <c r="D299" s="3" t="inlineStr">
        <is>
          <t>FL</t>
        </is>
      </c>
      <c r="E299" s="14" t="n">
        <v>875000</v>
      </c>
      <c r="F299" s="14" t="n">
        <v>13671.72</v>
      </c>
      <c r="G299" s="14" t="n">
        <v>1708.96</v>
      </c>
      <c r="H299" s="14" t="n">
        <v>1708.96</v>
      </c>
      <c r="I299" s="14">
        <f>SUM(K299:T299)</f>
        <v/>
      </c>
      <c r="J299" s="14">
        <f>F299-(G299+H299+I299)</f>
        <v/>
      </c>
      <c r="K299" s="14" t="n">
        <v>1025.38</v>
      </c>
      <c r="L299" s="14" t="n">
        <v>1025.38</v>
      </c>
      <c r="M299" s="14" t="n">
        <v>1025.38</v>
      </c>
      <c r="N299" s="14" t="n">
        <v>1025.38</v>
      </c>
      <c r="O299" s="14" t="n">
        <v>1025.38</v>
      </c>
      <c r="P299" s="14" t="n">
        <v>1025.38</v>
      </c>
      <c r="Q299" s="14" t="n">
        <v>1025.38</v>
      </c>
      <c r="R299" s="14" t="n">
        <v>1025.38</v>
      </c>
      <c r="S299" s="14" t="n">
        <v>1025.38</v>
      </c>
      <c r="T299" s="14" t="n">
        <v>1025.38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CANON-202601-003446</t>
        </is>
      </c>
      <c r="B300" s="15" t="inlineStr">
        <is>
          <t>2026-01-01</t>
        </is>
      </c>
      <c r="C300" s="15" t="inlineStr">
        <is>
          <t>Anouk Vasquez</t>
        </is>
      </c>
      <c r="D300" s="15" t="inlineStr">
        <is>
          <t>NH</t>
        </is>
      </c>
      <c r="E300" s="16" t="n">
        <v>335000</v>
      </c>
      <c r="F300" s="16" t="n">
        <v>4423.37</v>
      </c>
      <c r="G300" s="16" t="n">
        <v>552.92</v>
      </c>
      <c r="H300" s="16" t="n">
        <v>552.92</v>
      </c>
      <c r="I300" s="16">
        <f>SUM(K300:T300)</f>
        <v/>
      </c>
      <c r="J300" s="16">
        <f>F300-(G300+H300+I300)</f>
        <v/>
      </c>
      <c r="K300" s="16" t="n">
        <v>331.75</v>
      </c>
      <c r="L300" s="16" t="n">
        <v>331.75</v>
      </c>
      <c r="M300" s="16" t="n">
        <v>331.75</v>
      </c>
      <c r="N300" s="16" t="n">
        <v>331.75</v>
      </c>
      <c r="O300" s="16" t="n">
        <v>331.75</v>
      </c>
      <c r="P300" s="16" t="n">
        <v>331.75</v>
      </c>
      <c r="Q300" s="16" t="n">
        <v>331.75</v>
      </c>
      <c r="R300" s="16" t="n">
        <v>331.75</v>
      </c>
      <c r="S300" s="16" t="n">
        <v>331.75</v>
      </c>
      <c r="T300" s="16" t="n">
        <v>331.75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CANON-202601-003447</t>
        </is>
      </c>
      <c r="B301" s="3" t="inlineStr">
        <is>
          <t>2026-01-26</t>
        </is>
      </c>
      <c r="C301" s="3" t="inlineStr">
        <is>
          <t>Leopold Thistlewood</t>
        </is>
      </c>
      <c r="D301" s="3" t="inlineStr">
        <is>
          <t>CT</t>
        </is>
      </c>
      <c r="E301" s="14" t="n">
        <v>930000</v>
      </c>
      <c r="F301" s="14" t="n">
        <v>16750.89</v>
      </c>
      <c r="G301" s="14" t="n">
        <v>2093.86</v>
      </c>
      <c r="H301" s="14" t="n">
        <v>2093.86</v>
      </c>
      <c r="I301" s="14">
        <f>SUM(K301:T301)</f>
        <v/>
      </c>
      <c r="J301" s="14">
        <f>F301-(G301+H301+I301)</f>
        <v/>
      </c>
      <c r="K301" s="14" t="n">
        <v>1256.32</v>
      </c>
      <c r="L301" s="14" t="n">
        <v>1256.32</v>
      </c>
      <c r="M301" s="14" t="n">
        <v>1256.32</v>
      </c>
      <c r="N301" s="14" t="n">
        <v>1256.32</v>
      </c>
      <c r="O301" s="14" t="n">
        <v>1256.32</v>
      </c>
      <c r="P301" s="14" t="n">
        <v>1256.32</v>
      </c>
      <c r="Q301" s="14" t="n">
        <v>1256.32</v>
      </c>
      <c r="R301" s="14" t="n">
        <v>1256.32</v>
      </c>
      <c r="S301" s="14" t="n">
        <v>1256.32</v>
      </c>
      <c r="T301" s="14" t="n">
        <v>1256.32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CANON-202601-003448</t>
        </is>
      </c>
      <c r="B302" s="15" t="inlineStr">
        <is>
          <t>2026-01-25</t>
        </is>
      </c>
      <c r="C302" s="15" t="inlineStr">
        <is>
          <t>Wilhelmina Thistlewood</t>
        </is>
      </c>
      <c r="D302" s="15" t="inlineStr">
        <is>
          <t>AR</t>
        </is>
      </c>
      <c r="E302" s="16" t="n">
        <v>700000</v>
      </c>
      <c r="F302" s="16" t="n">
        <v>10629.28</v>
      </c>
      <c r="G302" s="16" t="n">
        <v>1328.66</v>
      </c>
      <c r="H302" s="16" t="n">
        <v>1328.66</v>
      </c>
      <c r="I302" s="16">
        <f>SUM(K302:T302)</f>
        <v/>
      </c>
      <c r="J302" s="16">
        <f>F302-(G302+H302+I302)</f>
        <v/>
      </c>
      <c r="K302" s="16" t="n">
        <v>797.2</v>
      </c>
      <c r="L302" s="16" t="n">
        <v>797.2</v>
      </c>
      <c r="M302" s="16" t="n">
        <v>797.2</v>
      </c>
      <c r="N302" s="16" t="n">
        <v>797.2</v>
      </c>
      <c r="O302" s="16" t="n">
        <v>797.2</v>
      </c>
      <c r="P302" s="16" t="n">
        <v>797.2</v>
      </c>
      <c r="Q302" s="16" t="n">
        <v>797.2</v>
      </c>
      <c r="R302" s="16" t="n">
        <v>797.2</v>
      </c>
      <c r="S302" s="16" t="n">
        <v>797.2</v>
      </c>
      <c r="T302" s="16" t="n">
        <v>797.2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CANON-202601-003449</t>
        </is>
      </c>
      <c r="B303" s="3" t="inlineStr">
        <is>
          <t>2026-01-21</t>
        </is>
      </c>
      <c r="C303" s="3" t="inlineStr">
        <is>
          <t>Everett Okonkwo</t>
        </is>
      </c>
      <c r="D303" s="3" t="inlineStr">
        <is>
          <t>GA</t>
        </is>
      </c>
      <c r="E303" s="14" t="n">
        <v>685000</v>
      </c>
      <c r="F303" s="14" t="n">
        <v>8441.809999999999</v>
      </c>
      <c r="G303" s="14" t="n">
        <v>1055.23</v>
      </c>
      <c r="H303" s="14" t="n">
        <v>1055.23</v>
      </c>
      <c r="I303" s="14">
        <f>SUM(K303:T303)</f>
        <v/>
      </c>
      <c r="J303" s="14">
        <f>F303-(G303+H303+I303)</f>
        <v/>
      </c>
      <c r="K303" s="14" t="n">
        <v>633.14</v>
      </c>
      <c r="L303" s="14" t="n">
        <v>633.14</v>
      </c>
      <c r="M303" s="14" t="n">
        <v>633.14</v>
      </c>
      <c r="N303" s="14" t="n">
        <v>633.14</v>
      </c>
      <c r="O303" s="14" t="n">
        <v>633.14</v>
      </c>
      <c r="P303" s="14" t="n">
        <v>633.14</v>
      </c>
      <c r="Q303" s="14" t="n">
        <v>633.14</v>
      </c>
      <c r="R303" s="14" t="n">
        <v>633.14</v>
      </c>
      <c r="S303" s="14" t="n">
        <v>633.14</v>
      </c>
      <c r="T303" s="14" t="n">
        <v>633.14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CANON-202601-003450</t>
        </is>
      </c>
      <c r="B304" s="15" t="inlineStr">
        <is>
          <t>2026-01-20</t>
        </is>
      </c>
      <c r="C304" s="15" t="inlineStr">
        <is>
          <t>Beatrix Blackwood</t>
        </is>
      </c>
      <c r="D304" s="15" t="inlineStr">
        <is>
          <t>OH</t>
        </is>
      </c>
      <c r="E304" s="16" t="n">
        <v>270000</v>
      </c>
      <c r="F304" s="16" t="n">
        <v>4764.89</v>
      </c>
      <c r="G304" s="16" t="n">
        <v>595.61</v>
      </c>
      <c r="H304" s="16" t="n">
        <v>595.61</v>
      </c>
      <c r="I304" s="16">
        <f>SUM(K304:T304)</f>
        <v/>
      </c>
      <c r="J304" s="16">
        <f>F304-(G304+H304+I304)</f>
        <v/>
      </c>
      <c r="K304" s="16" t="n">
        <v>357.37</v>
      </c>
      <c r="L304" s="16" t="n">
        <v>357.37</v>
      </c>
      <c r="M304" s="16" t="n">
        <v>357.37</v>
      </c>
      <c r="N304" s="16" t="n">
        <v>357.37</v>
      </c>
      <c r="O304" s="16" t="n">
        <v>357.37</v>
      </c>
      <c r="P304" s="16" t="n">
        <v>357.37</v>
      </c>
      <c r="Q304" s="16" t="n">
        <v>357.37</v>
      </c>
      <c r="R304" s="16" t="n">
        <v>357.37</v>
      </c>
      <c r="S304" s="16" t="n">
        <v>357.37</v>
      </c>
      <c r="T304" s="16" t="n">
        <v>357.37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CANON-202601-003451</t>
        </is>
      </c>
      <c r="B305" s="3" t="inlineStr">
        <is>
          <t>2026-01-24</t>
        </is>
      </c>
      <c r="C305" s="3" t="inlineStr">
        <is>
          <t>Emiliano Nakashima</t>
        </is>
      </c>
      <c r="D305" s="3" t="inlineStr">
        <is>
          <t>UT</t>
        </is>
      </c>
      <c r="E305" s="14" t="n">
        <v>1195000</v>
      </c>
      <c r="F305" s="14" t="n">
        <v>9285.26</v>
      </c>
      <c r="G305" s="14" t="n">
        <v>1160.66</v>
      </c>
      <c r="H305" s="14" t="n">
        <v>1160.66</v>
      </c>
      <c r="I305" s="14">
        <f>SUM(K305:T305)</f>
        <v/>
      </c>
      <c r="J305" s="14">
        <f>F305-(G305+H305+I305)</f>
        <v/>
      </c>
      <c r="K305" s="14" t="n">
        <v>696.39</v>
      </c>
      <c r="L305" s="14" t="n">
        <v>696.39</v>
      </c>
      <c r="M305" s="14" t="n">
        <v>696.39</v>
      </c>
      <c r="N305" s="14" t="n">
        <v>696.39</v>
      </c>
      <c r="O305" s="14" t="n">
        <v>696.39</v>
      </c>
      <c r="P305" s="14" t="n">
        <v>696.39</v>
      </c>
      <c r="Q305" s="14" t="n">
        <v>696.39</v>
      </c>
      <c r="R305" s="14" t="n">
        <v>696.39</v>
      </c>
      <c r="S305" s="14" t="n">
        <v>696.39</v>
      </c>
      <c r="T305" s="14" t="n">
        <v>696.39</v>
      </c>
      <c r="U305" s="14" t="n">
        <v>350</v>
      </c>
      <c r="V305" s="14" t="n">
        <v>250</v>
      </c>
      <c r="W305" s="14">
        <f>U305+V305</f>
        <v/>
      </c>
    </row>
    <row r="306">
      <c r="A306" s="15" t="inlineStr">
        <is>
          <t>CANON-202601-003452</t>
        </is>
      </c>
      <c r="B306" s="15" t="inlineStr">
        <is>
          <t>2026-01-10</t>
        </is>
      </c>
      <c r="C306" s="15" t="inlineStr">
        <is>
          <t>Fenwick Okonkwo</t>
        </is>
      </c>
      <c r="D306" s="15" t="inlineStr">
        <is>
          <t>NE</t>
        </is>
      </c>
      <c r="E306" s="16" t="n">
        <v>330000</v>
      </c>
      <c r="F306" s="16" t="n">
        <v>5446.68</v>
      </c>
      <c r="G306" s="16" t="n">
        <v>680.84</v>
      </c>
      <c r="H306" s="16" t="n">
        <v>680.84</v>
      </c>
      <c r="I306" s="16">
        <f>SUM(K306:T306)</f>
        <v/>
      </c>
      <c r="J306" s="16">
        <f>F306-(G306+H306+I306)</f>
        <v/>
      </c>
      <c r="K306" s="16" t="n">
        <v>408.5</v>
      </c>
      <c r="L306" s="16" t="n">
        <v>408.5</v>
      </c>
      <c r="M306" s="16" t="n">
        <v>408.5</v>
      </c>
      <c r="N306" s="16" t="n">
        <v>408.5</v>
      </c>
      <c r="O306" s="16" t="n">
        <v>408.5</v>
      </c>
      <c r="P306" s="16" t="n">
        <v>408.5</v>
      </c>
      <c r="Q306" s="16" t="n">
        <v>408.5</v>
      </c>
      <c r="R306" s="16" t="n">
        <v>408.5</v>
      </c>
      <c r="S306" s="16" t="n">
        <v>408.5</v>
      </c>
      <c r="T306" s="16" t="n">
        <v>408.5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CANON-202601-003453</t>
        </is>
      </c>
      <c r="B307" s="3" t="inlineStr">
        <is>
          <t>2026-01-26</t>
        </is>
      </c>
      <c r="C307" s="3" t="inlineStr">
        <is>
          <t>Fitzgerald Nakashima</t>
        </is>
      </c>
      <c r="D307" s="3" t="inlineStr">
        <is>
          <t>NY</t>
        </is>
      </c>
      <c r="E307" s="14" t="n">
        <v>950000</v>
      </c>
      <c r="F307" s="14" t="n">
        <v>19555.58</v>
      </c>
      <c r="G307" s="14" t="n">
        <v>2444.45</v>
      </c>
      <c r="H307" s="14" t="n">
        <v>2444.45</v>
      </c>
      <c r="I307" s="14">
        <f>SUM(K307:T307)</f>
        <v/>
      </c>
      <c r="J307" s="14">
        <f>F307-(G307+H307+I307)</f>
        <v/>
      </c>
      <c r="K307" s="14" t="n">
        <v>1466.67</v>
      </c>
      <c r="L307" s="14" t="n">
        <v>1466.67</v>
      </c>
      <c r="M307" s="14" t="n">
        <v>1466.67</v>
      </c>
      <c r="N307" s="14" t="n">
        <v>1466.67</v>
      </c>
      <c r="O307" s="14" t="n">
        <v>1466.67</v>
      </c>
      <c r="P307" s="14" t="n">
        <v>1466.67</v>
      </c>
      <c r="Q307" s="14" t="n">
        <v>1466.67</v>
      </c>
      <c r="R307" s="14" t="n">
        <v>1466.67</v>
      </c>
      <c r="S307" s="14" t="n">
        <v>1466.67</v>
      </c>
      <c r="T307" s="14" t="n">
        <v>1466.67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CANON-202601-003455</t>
        </is>
      </c>
      <c r="B308" s="15" t="inlineStr">
        <is>
          <t>2026-01-10</t>
        </is>
      </c>
      <c r="C308" s="15" t="inlineStr">
        <is>
          <t>Beatrix Castellanos</t>
        </is>
      </c>
      <c r="D308" s="15" t="inlineStr">
        <is>
          <t>TX</t>
        </is>
      </c>
      <c r="E308" s="16" t="n">
        <v>445000</v>
      </c>
      <c r="F308" s="16" t="n">
        <v>9962.52</v>
      </c>
      <c r="G308" s="16" t="n">
        <v>1245.32</v>
      </c>
      <c r="H308" s="16" t="n">
        <v>1245.32</v>
      </c>
      <c r="I308" s="16">
        <f>SUM(K308:T308)</f>
        <v/>
      </c>
      <c r="J308" s="16">
        <f>F308-(G308+H308+I308)</f>
        <v/>
      </c>
      <c r="K308" s="16" t="n">
        <v>747.1900000000001</v>
      </c>
      <c r="L308" s="16" t="n">
        <v>747.1900000000001</v>
      </c>
      <c r="M308" s="16" t="n">
        <v>747.1900000000001</v>
      </c>
      <c r="N308" s="16" t="n">
        <v>747.1900000000001</v>
      </c>
      <c r="O308" s="16" t="n">
        <v>747.1900000000001</v>
      </c>
      <c r="P308" s="16" t="n">
        <v>747.1900000000001</v>
      </c>
      <c r="Q308" s="16" t="n">
        <v>747.1900000000001</v>
      </c>
      <c r="R308" s="16" t="n">
        <v>747.1900000000001</v>
      </c>
      <c r="S308" s="16" t="n">
        <v>747.1900000000001</v>
      </c>
      <c r="T308" s="16" t="n">
        <v>747.1900000000001</v>
      </c>
      <c r="U308" s="16" t="n">
        <v>350</v>
      </c>
      <c r="V308" s="16" t="n">
        <v>0</v>
      </c>
      <c r="W308" s="16">
        <f>U308+V308</f>
        <v/>
      </c>
    </row>
    <row r="309">
      <c r="A309" s="3" t="inlineStr">
        <is>
          <t>CANON-202601-003457</t>
        </is>
      </c>
      <c r="B309" s="3" t="inlineStr">
        <is>
          <t>2026-01-12</t>
        </is>
      </c>
      <c r="C309" s="3" t="inlineStr">
        <is>
          <t>Priya Vasquez</t>
        </is>
      </c>
      <c r="D309" s="3" t="inlineStr">
        <is>
          <t>MI</t>
        </is>
      </c>
      <c r="E309" s="14" t="n">
        <v>795000</v>
      </c>
      <c r="F309" s="14" t="n">
        <v>13558.93</v>
      </c>
      <c r="G309" s="14" t="n">
        <v>1694.87</v>
      </c>
      <c r="H309" s="14" t="n">
        <v>1694.87</v>
      </c>
      <c r="I309" s="14">
        <f>SUM(K309:T309)</f>
        <v/>
      </c>
      <c r="J309" s="14">
        <f>F309-(G309+H309+I309)</f>
        <v/>
      </c>
      <c r="K309" s="14" t="n">
        <v>1016.92</v>
      </c>
      <c r="L309" s="14" t="n">
        <v>1016.92</v>
      </c>
      <c r="M309" s="14" t="n">
        <v>1016.92</v>
      </c>
      <c r="N309" s="14" t="n">
        <v>1016.92</v>
      </c>
      <c r="O309" s="14" t="n">
        <v>1016.92</v>
      </c>
      <c r="P309" s="14" t="n">
        <v>1016.92</v>
      </c>
      <c r="Q309" s="14" t="n">
        <v>1016.92</v>
      </c>
      <c r="R309" s="14" t="n">
        <v>1016.92</v>
      </c>
      <c r="S309" s="14" t="n">
        <v>1016.92</v>
      </c>
      <c r="T309" s="14" t="n">
        <v>1016.92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CANON-202601-003458</t>
        </is>
      </c>
      <c r="B310" s="15" t="inlineStr">
        <is>
          <t>2026-01-13</t>
        </is>
      </c>
      <c r="C310" s="15" t="inlineStr">
        <is>
          <t>Anouk Harrington</t>
        </is>
      </c>
      <c r="D310" s="15" t="inlineStr">
        <is>
          <t>MA</t>
        </is>
      </c>
      <c r="E310" s="16" t="n">
        <v>865000</v>
      </c>
      <c r="F310" s="16" t="n">
        <v>11897.42</v>
      </c>
      <c r="G310" s="16" t="n">
        <v>1487.18</v>
      </c>
      <c r="H310" s="16" t="n">
        <v>1487.18</v>
      </c>
      <c r="I310" s="16">
        <f>SUM(K310:T310)</f>
        <v/>
      </c>
      <c r="J310" s="16">
        <f>F310-(G310+H310+I310)</f>
        <v/>
      </c>
      <c r="K310" s="16" t="n">
        <v>892.3099999999999</v>
      </c>
      <c r="L310" s="16" t="n">
        <v>892.3099999999999</v>
      </c>
      <c r="M310" s="16" t="n">
        <v>892.3099999999999</v>
      </c>
      <c r="N310" s="16" t="n">
        <v>892.3099999999999</v>
      </c>
      <c r="O310" s="16" t="n">
        <v>892.3099999999999</v>
      </c>
      <c r="P310" s="16" t="n">
        <v>892.3099999999999</v>
      </c>
      <c r="Q310" s="16" t="n">
        <v>892.3099999999999</v>
      </c>
      <c r="R310" s="16" t="n">
        <v>892.3099999999999</v>
      </c>
      <c r="S310" s="16" t="n">
        <v>892.3099999999999</v>
      </c>
      <c r="T310" s="16" t="n">
        <v>892.3099999999999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CANON-202601-003462</t>
        </is>
      </c>
      <c r="B311" s="3" t="inlineStr">
        <is>
          <t>2026-01-23</t>
        </is>
      </c>
      <c r="C311" s="3" t="inlineStr">
        <is>
          <t>Beatrix Farkas</t>
        </is>
      </c>
      <c r="D311" s="3" t="inlineStr">
        <is>
          <t>NH</t>
        </is>
      </c>
      <c r="E311" s="14" t="n">
        <v>400000</v>
      </c>
      <c r="F311" s="14" t="n">
        <v>5281.63</v>
      </c>
      <c r="G311" s="14" t="n">
        <v>660.2</v>
      </c>
      <c r="H311" s="14" t="n">
        <v>660.2</v>
      </c>
      <c r="I311" s="14">
        <f>SUM(K311:T311)</f>
        <v/>
      </c>
      <c r="J311" s="14">
        <f>F311-(G311+H311+I311)</f>
        <v/>
      </c>
      <c r="K311" s="14" t="n">
        <v>396.12</v>
      </c>
      <c r="L311" s="14" t="n">
        <v>396.12</v>
      </c>
      <c r="M311" s="14" t="n">
        <v>396.12</v>
      </c>
      <c r="N311" s="14" t="n">
        <v>396.12</v>
      </c>
      <c r="O311" s="14" t="n">
        <v>396.12</v>
      </c>
      <c r="P311" s="14" t="n">
        <v>396.12</v>
      </c>
      <c r="Q311" s="14" t="n">
        <v>396.12</v>
      </c>
      <c r="R311" s="14" t="n">
        <v>396.12</v>
      </c>
      <c r="S311" s="14" t="n">
        <v>396.12</v>
      </c>
      <c r="T311" s="14" t="n">
        <v>396.12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CANON-202601-003463</t>
        </is>
      </c>
      <c r="B312" s="15" t="inlineStr">
        <is>
          <t>2026-01-16</t>
        </is>
      </c>
      <c r="C312" s="15" t="inlineStr">
        <is>
          <t>Ottilie Nakashima</t>
        </is>
      </c>
      <c r="D312" s="15" t="inlineStr">
        <is>
          <t>CO</t>
        </is>
      </c>
      <c r="E312" s="16" t="n">
        <v>145000</v>
      </c>
      <c r="F312" s="16" t="n">
        <v>2484.06</v>
      </c>
      <c r="G312" s="16" t="n">
        <v>310.51</v>
      </c>
      <c r="H312" s="16" t="n">
        <v>310.51</v>
      </c>
      <c r="I312" s="16">
        <f>SUM(K312:T312)</f>
        <v/>
      </c>
      <c r="J312" s="16">
        <f>F312-(G312+H312+I312)</f>
        <v/>
      </c>
      <c r="K312" s="16" t="n">
        <v>186.3</v>
      </c>
      <c r="L312" s="16" t="n">
        <v>186.3</v>
      </c>
      <c r="M312" s="16" t="n">
        <v>186.3</v>
      </c>
      <c r="N312" s="16" t="n">
        <v>186.3</v>
      </c>
      <c r="O312" s="16" t="n">
        <v>186.3</v>
      </c>
      <c r="P312" s="16" t="n">
        <v>186.3</v>
      </c>
      <c r="Q312" s="16" t="n">
        <v>186.3</v>
      </c>
      <c r="R312" s="16" t="n">
        <v>186.3</v>
      </c>
      <c r="S312" s="16" t="n">
        <v>186.3</v>
      </c>
      <c r="T312" s="16" t="n">
        <v>186.3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CANON-202601-003464</t>
        </is>
      </c>
      <c r="B313" s="3" t="inlineStr">
        <is>
          <t>2026-01-28</t>
        </is>
      </c>
      <c r="C313" s="3" t="inlineStr">
        <is>
          <t>Noor Bellandi</t>
        </is>
      </c>
      <c r="D313" s="3" t="inlineStr">
        <is>
          <t>WA</t>
        </is>
      </c>
      <c r="E313" s="14" t="n">
        <v>465000</v>
      </c>
      <c r="F313" s="14" t="n">
        <v>3627.26</v>
      </c>
      <c r="G313" s="14" t="n">
        <v>453.41</v>
      </c>
      <c r="H313" s="14" t="n">
        <v>453.41</v>
      </c>
      <c r="I313" s="14">
        <f>SUM(K313:T313)</f>
        <v/>
      </c>
      <c r="J313" s="14">
        <f>F313-(G313+H313+I313)</f>
        <v/>
      </c>
      <c r="K313" s="14" t="n">
        <v>272.04</v>
      </c>
      <c r="L313" s="14" t="n">
        <v>272.04</v>
      </c>
      <c r="M313" s="14" t="n">
        <v>272.04</v>
      </c>
      <c r="N313" s="14" t="n">
        <v>272.04</v>
      </c>
      <c r="O313" s="14" t="n">
        <v>272.04</v>
      </c>
      <c r="P313" s="14" t="n">
        <v>272.04</v>
      </c>
      <c r="Q313" s="14" t="n">
        <v>272.04</v>
      </c>
      <c r="R313" s="14" t="n">
        <v>272.04</v>
      </c>
      <c r="S313" s="14" t="n">
        <v>272.04</v>
      </c>
      <c r="T313" s="14" t="n">
        <v>272.04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CANON-202601-003466</t>
        </is>
      </c>
      <c r="B314" s="15" t="inlineStr">
        <is>
          <t>2026-01-06</t>
        </is>
      </c>
      <c r="C314" s="15" t="inlineStr">
        <is>
          <t>Anouk Whitlock</t>
        </is>
      </c>
      <c r="D314" s="15" t="inlineStr">
        <is>
          <t>IL</t>
        </is>
      </c>
      <c r="E314" s="16" t="n">
        <v>265000</v>
      </c>
      <c r="F314" s="16" t="n">
        <v>4575.72</v>
      </c>
      <c r="G314" s="16" t="n">
        <v>571.97</v>
      </c>
      <c r="H314" s="16" t="n">
        <v>571.97</v>
      </c>
      <c r="I314" s="16">
        <f>SUM(K314:T314)</f>
        <v/>
      </c>
      <c r="J314" s="16">
        <f>F314-(G314+H314+I314)</f>
        <v/>
      </c>
      <c r="K314" s="16" t="n">
        <v>343.18</v>
      </c>
      <c r="L314" s="16" t="n">
        <v>343.18</v>
      </c>
      <c r="M314" s="16" t="n">
        <v>343.18</v>
      </c>
      <c r="N314" s="16" t="n">
        <v>343.18</v>
      </c>
      <c r="O314" s="16" t="n">
        <v>343.18</v>
      </c>
      <c r="P314" s="16" t="n">
        <v>343.18</v>
      </c>
      <c r="Q314" s="16" t="n">
        <v>343.18</v>
      </c>
      <c r="R314" s="16" t="n">
        <v>343.18</v>
      </c>
      <c r="S314" s="16" t="n">
        <v>343.18</v>
      </c>
      <c r="T314" s="16" t="n">
        <v>343.18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CANON-202601-003468</t>
        </is>
      </c>
      <c r="B315" s="3" t="inlineStr">
        <is>
          <t>2026-01-20</t>
        </is>
      </c>
      <c r="C315" s="3" t="inlineStr">
        <is>
          <t>Delphine Nakashima</t>
        </is>
      </c>
      <c r="D315" s="3" t="inlineStr">
        <is>
          <t>IL</t>
        </is>
      </c>
      <c r="E315" s="14" t="n">
        <v>415000</v>
      </c>
      <c r="F315" s="14" t="n">
        <v>10987.49</v>
      </c>
      <c r="G315" s="14" t="n">
        <v>1373.44</v>
      </c>
      <c r="H315" s="14" t="n">
        <v>1373.44</v>
      </c>
      <c r="I315" s="14">
        <f>SUM(K315:T315)</f>
        <v/>
      </c>
      <c r="J315" s="14">
        <f>F315-(G315+H315+I315)</f>
        <v/>
      </c>
      <c r="K315" s="14" t="n">
        <v>824.0599999999999</v>
      </c>
      <c r="L315" s="14" t="n">
        <v>824.0599999999999</v>
      </c>
      <c r="M315" s="14" t="n">
        <v>824.0599999999999</v>
      </c>
      <c r="N315" s="14" t="n">
        <v>824.0599999999999</v>
      </c>
      <c r="O315" s="14" t="n">
        <v>824.0599999999999</v>
      </c>
      <c r="P315" s="14" t="n">
        <v>824.0599999999999</v>
      </c>
      <c r="Q315" s="14" t="n">
        <v>824.0599999999999</v>
      </c>
      <c r="R315" s="14" t="n">
        <v>824.0599999999999</v>
      </c>
      <c r="S315" s="14" t="n">
        <v>824.0599999999999</v>
      </c>
      <c r="T315" s="14" t="n">
        <v>824.0599999999999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CANON-202601-003469</t>
        </is>
      </c>
      <c r="B316" s="15" t="inlineStr">
        <is>
          <t>2026-01-09</t>
        </is>
      </c>
      <c r="C316" s="15" t="inlineStr">
        <is>
          <t>Everett Whitlock</t>
        </is>
      </c>
      <c r="D316" s="15" t="inlineStr">
        <is>
          <t>CA</t>
        </is>
      </c>
      <c r="E316" s="16" t="n">
        <v>655000</v>
      </c>
      <c r="F316" s="16" t="n">
        <v>14220.4</v>
      </c>
      <c r="G316" s="16" t="n">
        <v>1777.55</v>
      </c>
      <c r="H316" s="16" t="n">
        <v>1777.55</v>
      </c>
      <c r="I316" s="16">
        <f>SUM(K316:T316)</f>
        <v/>
      </c>
      <c r="J316" s="16">
        <f>F316-(G316+H316+I316)</f>
        <v/>
      </c>
      <c r="K316" s="16" t="n">
        <v>1066.53</v>
      </c>
      <c r="L316" s="16" t="n">
        <v>1066.53</v>
      </c>
      <c r="M316" s="16" t="n">
        <v>1066.53</v>
      </c>
      <c r="N316" s="16" t="n">
        <v>1066.53</v>
      </c>
      <c r="O316" s="16" t="n">
        <v>1066.53</v>
      </c>
      <c r="P316" s="16" t="n">
        <v>1066.53</v>
      </c>
      <c r="Q316" s="16" t="n">
        <v>1066.53</v>
      </c>
      <c r="R316" s="16" t="n">
        <v>1066.53</v>
      </c>
      <c r="S316" s="16" t="n">
        <v>1066.53</v>
      </c>
      <c r="T316" s="16" t="n">
        <v>1066.53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CANON-202601-003470</t>
        </is>
      </c>
      <c r="B317" s="3" t="inlineStr">
        <is>
          <t>2026-01-11</t>
        </is>
      </c>
      <c r="C317" s="3" t="inlineStr">
        <is>
          <t>Horace Vasquez</t>
        </is>
      </c>
      <c r="D317" s="3" t="inlineStr">
        <is>
          <t>SD</t>
        </is>
      </c>
      <c r="E317" s="14" t="n">
        <v>265000</v>
      </c>
      <c r="F317" s="14" t="n">
        <v>3734.59</v>
      </c>
      <c r="G317" s="14" t="n">
        <v>466.82</v>
      </c>
      <c r="H317" s="14" t="n">
        <v>466.82</v>
      </c>
      <c r="I317" s="14">
        <f>SUM(K317:T317)</f>
        <v/>
      </c>
      <c r="J317" s="14">
        <f>F317-(G317+H317+I317)</f>
        <v/>
      </c>
      <c r="K317" s="14" t="n">
        <v>280.09</v>
      </c>
      <c r="L317" s="14" t="n">
        <v>280.09</v>
      </c>
      <c r="M317" s="14" t="n">
        <v>280.09</v>
      </c>
      <c r="N317" s="14" t="n">
        <v>280.09</v>
      </c>
      <c r="O317" s="14" t="n">
        <v>280.09</v>
      </c>
      <c r="P317" s="14" t="n">
        <v>280.09</v>
      </c>
      <c r="Q317" s="14" t="n">
        <v>280.09</v>
      </c>
      <c r="R317" s="14" t="n">
        <v>280.09</v>
      </c>
      <c r="S317" s="14" t="n">
        <v>280.09</v>
      </c>
      <c r="T317" s="14" t="n">
        <v>280.09</v>
      </c>
      <c r="U317" s="14" t="n">
        <v>350</v>
      </c>
      <c r="V317" s="14" t="n">
        <v>0</v>
      </c>
      <c r="W317" s="14">
        <f>U317+V317</f>
        <v/>
      </c>
    </row>
    <row r="318">
      <c r="A318" s="15" t="inlineStr">
        <is>
          <t>CANON-202601-003472</t>
        </is>
      </c>
      <c r="B318" s="15" t="inlineStr">
        <is>
          <t>2026-01-23</t>
        </is>
      </c>
      <c r="C318" s="15" t="inlineStr">
        <is>
          <t>Fitzgerald Pennington</t>
        </is>
      </c>
      <c r="D318" s="15" t="inlineStr">
        <is>
          <t>TN</t>
        </is>
      </c>
      <c r="E318" s="16" t="n">
        <v>330000</v>
      </c>
      <c r="F318" s="16" t="n">
        <v>4105.96</v>
      </c>
      <c r="G318" s="16" t="n">
        <v>513.25</v>
      </c>
      <c r="H318" s="16" t="n">
        <v>513.25</v>
      </c>
      <c r="I318" s="16">
        <f>SUM(K318:T318)</f>
        <v/>
      </c>
      <c r="J318" s="16">
        <f>F318-(G318+H318+I318)</f>
        <v/>
      </c>
      <c r="K318" s="16" t="n">
        <v>307.95</v>
      </c>
      <c r="L318" s="16" t="n">
        <v>307.95</v>
      </c>
      <c r="M318" s="16" t="n">
        <v>307.95</v>
      </c>
      <c r="N318" s="16" t="n">
        <v>307.95</v>
      </c>
      <c r="O318" s="16" t="n">
        <v>307.95</v>
      </c>
      <c r="P318" s="16" t="n">
        <v>307.95</v>
      </c>
      <c r="Q318" s="16" t="n">
        <v>307.95</v>
      </c>
      <c r="R318" s="16" t="n">
        <v>307.95</v>
      </c>
      <c r="S318" s="16" t="n">
        <v>307.95</v>
      </c>
      <c r="T318" s="16" t="n">
        <v>307.95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CANON-202601-003473</t>
        </is>
      </c>
      <c r="B319" s="3" t="inlineStr">
        <is>
          <t>2026-01-07</t>
        </is>
      </c>
      <c r="C319" s="3" t="inlineStr">
        <is>
          <t>Sunniva Merriweather</t>
        </is>
      </c>
      <c r="D319" s="3" t="inlineStr">
        <is>
          <t>CA</t>
        </is>
      </c>
      <c r="E319" s="14" t="n">
        <v>945000</v>
      </c>
      <c r="F319" s="14" t="n">
        <v>14037.58</v>
      </c>
      <c r="G319" s="14" t="n">
        <v>1754.7</v>
      </c>
      <c r="H319" s="14" t="n">
        <v>1754.7</v>
      </c>
      <c r="I319" s="14">
        <f>SUM(K319:T319)</f>
        <v/>
      </c>
      <c r="J319" s="14">
        <f>F319-(G319+H319+I319)</f>
        <v/>
      </c>
      <c r="K319" s="14" t="n">
        <v>1052.82</v>
      </c>
      <c r="L319" s="14" t="n">
        <v>1052.82</v>
      </c>
      <c r="M319" s="14" t="n">
        <v>1052.82</v>
      </c>
      <c r="N319" s="14" t="n">
        <v>1052.82</v>
      </c>
      <c r="O319" s="14" t="n">
        <v>1052.82</v>
      </c>
      <c r="P319" s="14" t="n">
        <v>1052.82</v>
      </c>
      <c r="Q319" s="14" t="n">
        <v>1052.82</v>
      </c>
      <c r="R319" s="14" t="n">
        <v>1052.82</v>
      </c>
      <c r="S319" s="14" t="n">
        <v>1052.82</v>
      </c>
      <c r="T319" s="14" t="n">
        <v>1052.82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CANON-202601-003474</t>
        </is>
      </c>
      <c r="B320" s="15" t="inlineStr">
        <is>
          <t>2026-01-07</t>
        </is>
      </c>
      <c r="C320" s="15" t="inlineStr">
        <is>
          <t>Cassius Fairweather</t>
        </is>
      </c>
      <c r="D320" s="15" t="inlineStr">
        <is>
          <t>NJ</t>
        </is>
      </c>
      <c r="E320" s="16" t="n">
        <v>1950000</v>
      </c>
      <c r="F320" s="16" t="n">
        <v>24031.42</v>
      </c>
      <c r="G320" s="16" t="n">
        <v>3003.93</v>
      </c>
      <c r="H320" s="16" t="n">
        <v>3003.93</v>
      </c>
      <c r="I320" s="16">
        <f>SUM(K320:T320)</f>
        <v/>
      </c>
      <c r="J320" s="16">
        <f>F320-(G320+H320+I320)</f>
        <v/>
      </c>
      <c r="K320" s="16" t="n">
        <v>1802.36</v>
      </c>
      <c r="L320" s="16" t="n">
        <v>1802.36</v>
      </c>
      <c r="M320" s="16" t="n">
        <v>1802.36</v>
      </c>
      <c r="N320" s="16" t="n">
        <v>1802.36</v>
      </c>
      <c r="O320" s="16" t="n">
        <v>1802.36</v>
      </c>
      <c r="P320" s="16" t="n">
        <v>1802.36</v>
      </c>
      <c r="Q320" s="16" t="n">
        <v>1802.36</v>
      </c>
      <c r="R320" s="16" t="n">
        <v>1802.36</v>
      </c>
      <c r="S320" s="16" t="n">
        <v>1802.36</v>
      </c>
      <c r="T320" s="16" t="n">
        <v>1802.36</v>
      </c>
      <c r="U320" s="16" t="n">
        <v>350</v>
      </c>
      <c r="V320" s="16" t="n">
        <v>250</v>
      </c>
      <c r="W320" s="16">
        <f>U320+V320</f>
        <v/>
      </c>
    </row>
    <row r="321">
      <c r="A321" s="3" t="inlineStr">
        <is>
          <t>CANON-202601-003475</t>
        </is>
      </c>
      <c r="B321" s="3" t="inlineStr">
        <is>
          <t>2026-01-27</t>
        </is>
      </c>
      <c r="C321" s="3" t="inlineStr">
        <is>
          <t>Ingrid Rourke</t>
        </is>
      </c>
      <c r="D321" s="3" t="inlineStr">
        <is>
          <t>MT</t>
        </is>
      </c>
      <c r="E321" s="14" t="n">
        <v>415000</v>
      </c>
      <c r="F321" s="14" t="n">
        <v>7513.5</v>
      </c>
      <c r="G321" s="14" t="n">
        <v>939.1900000000001</v>
      </c>
      <c r="H321" s="14" t="n">
        <v>939.1900000000001</v>
      </c>
      <c r="I321" s="14">
        <f>SUM(K321:T321)</f>
        <v/>
      </c>
      <c r="J321" s="14">
        <f>F321-(G321+H321+I321)</f>
        <v/>
      </c>
      <c r="K321" s="14" t="n">
        <v>563.51</v>
      </c>
      <c r="L321" s="14" t="n">
        <v>563.51</v>
      </c>
      <c r="M321" s="14" t="n">
        <v>563.51</v>
      </c>
      <c r="N321" s="14" t="n">
        <v>563.51</v>
      </c>
      <c r="O321" s="14" t="n">
        <v>563.51</v>
      </c>
      <c r="P321" s="14" t="n">
        <v>563.51</v>
      </c>
      <c r="Q321" s="14" t="n">
        <v>563.51</v>
      </c>
      <c r="R321" s="14" t="n">
        <v>563.51</v>
      </c>
      <c r="S321" s="14" t="n">
        <v>563.51</v>
      </c>
      <c r="T321" s="14" t="n">
        <v>563.51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CANON-202601-003476</t>
        </is>
      </c>
      <c r="B322" s="15" t="inlineStr">
        <is>
          <t>2026-01-06</t>
        </is>
      </c>
      <c r="C322" s="15" t="inlineStr">
        <is>
          <t>Desmond Chattopadhyay</t>
        </is>
      </c>
      <c r="D322" s="15" t="inlineStr">
        <is>
          <t>RI</t>
        </is>
      </c>
      <c r="E322" s="16" t="n">
        <v>1515000</v>
      </c>
      <c r="F322" s="16" t="n">
        <v>13351.5</v>
      </c>
      <c r="G322" s="16" t="n">
        <v>1668.94</v>
      </c>
      <c r="H322" s="16" t="n">
        <v>1668.94</v>
      </c>
      <c r="I322" s="16">
        <f>SUM(K322:T322)</f>
        <v/>
      </c>
      <c r="J322" s="16">
        <f>F322-(G322+H322+I322)</f>
        <v/>
      </c>
      <c r="K322" s="16" t="n">
        <v>1001.36</v>
      </c>
      <c r="L322" s="16" t="n">
        <v>1001.36</v>
      </c>
      <c r="M322" s="16" t="n">
        <v>1001.36</v>
      </c>
      <c r="N322" s="16" t="n">
        <v>1001.36</v>
      </c>
      <c r="O322" s="16" t="n">
        <v>1001.36</v>
      </c>
      <c r="P322" s="16" t="n">
        <v>1001.36</v>
      </c>
      <c r="Q322" s="16" t="n">
        <v>1001.36</v>
      </c>
      <c r="R322" s="16" t="n">
        <v>1001.36</v>
      </c>
      <c r="S322" s="16" t="n">
        <v>1001.36</v>
      </c>
      <c r="T322" s="16" t="n">
        <v>1001.36</v>
      </c>
      <c r="U322" s="16" t="n">
        <v>350</v>
      </c>
      <c r="V322" s="16" t="n">
        <v>250</v>
      </c>
      <c r="W322" s="16">
        <f>U322+V322</f>
        <v/>
      </c>
    </row>
    <row r="323">
      <c r="A323" s="3" t="inlineStr">
        <is>
          <t>CANON-202601-003477</t>
        </is>
      </c>
      <c r="B323" s="3" t="inlineStr">
        <is>
          <t>2026-01-09</t>
        </is>
      </c>
      <c r="C323" s="3" t="inlineStr">
        <is>
          <t>Leopold Merriweather</t>
        </is>
      </c>
      <c r="D323" s="3" t="inlineStr">
        <is>
          <t>MO</t>
        </is>
      </c>
      <c r="E323" s="14" t="n">
        <v>1245000</v>
      </c>
      <c r="F323" s="14" t="n">
        <v>12287.15</v>
      </c>
      <c r="G323" s="14" t="n">
        <v>1535.89</v>
      </c>
      <c r="H323" s="14" t="n">
        <v>1535.89</v>
      </c>
      <c r="I323" s="14">
        <f>SUM(K323:T323)</f>
        <v/>
      </c>
      <c r="J323" s="14">
        <f>F323-(G323+H323+I323)</f>
        <v/>
      </c>
      <c r="K323" s="14" t="n">
        <v>921.54</v>
      </c>
      <c r="L323" s="14" t="n">
        <v>921.54</v>
      </c>
      <c r="M323" s="14" t="n">
        <v>921.54</v>
      </c>
      <c r="N323" s="14" t="n">
        <v>921.54</v>
      </c>
      <c r="O323" s="14" t="n">
        <v>921.54</v>
      </c>
      <c r="P323" s="14" t="n">
        <v>921.54</v>
      </c>
      <c r="Q323" s="14" t="n">
        <v>921.54</v>
      </c>
      <c r="R323" s="14" t="n">
        <v>921.54</v>
      </c>
      <c r="S323" s="14" t="n">
        <v>921.54</v>
      </c>
      <c r="T323" s="14" t="n">
        <v>921.54</v>
      </c>
      <c r="U323" s="14" t="n">
        <v>350</v>
      </c>
      <c r="V323" s="14" t="n">
        <v>250</v>
      </c>
      <c r="W323" s="14">
        <f>U323+V323</f>
        <v/>
      </c>
    </row>
    <row r="324">
      <c r="A324" s="15" t="inlineStr">
        <is>
          <t>CANON-202601-003478</t>
        </is>
      </c>
      <c r="B324" s="15" t="inlineStr">
        <is>
          <t>2026-01-25</t>
        </is>
      </c>
      <c r="C324" s="15" t="inlineStr">
        <is>
          <t>Noor Pennington</t>
        </is>
      </c>
      <c r="D324" s="15" t="inlineStr">
        <is>
          <t>PA</t>
        </is>
      </c>
      <c r="E324" s="16" t="n">
        <v>420000</v>
      </c>
      <c r="F324" s="16" t="n">
        <v>5332.42</v>
      </c>
      <c r="G324" s="16" t="n">
        <v>666.55</v>
      </c>
      <c r="H324" s="16" t="n">
        <v>666.55</v>
      </c>
      <c r="I324" s="16">
        <f>SUM(K324:T324)</f>
        <v/>
      </c>
      <c r="J324" s="16">
        <f>F324-(G324+H324+I324)</f>
        <v/>
      </c>
      <c r="K324" s="16" t="n">
        <v>399.93</v>
      </c>
      <c r="L324" s="16" t="n">
        <v>399.93</v>
      </c>
      <c r="M324" s="16" t="n">
        <v>399.93</v>
      </c>
      <c r="N324" s="16" t="n">
        <v>399.93</v>
      </c>
      <c r="O324" s="16" t="n">
        <v>399.93</v>
      </c>
      <c r="P324" s="16" t="n">
        <v>399.93</v>
      </c>
      <c r="Q324" s="16" t="n">
        <v>399.93</v>
      </c>
      <c r="R324" s="16" t="n">
        <v>399.93</v>
      </c>
      <c r="S324" s="16" t="n">
        <v>399.93</v>
      </c>
      <c r="T324" s="16" t="n">
        <v>399.93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CANON-202601-003479</t>
        </is>
      </c>
      <c r="B325" s="3" t="inlineStr">
        <is>
          <t>2026-01-09</t>
        </is>
      </c>
      <c r="C325" s="3" t="inlineStr">
        <is>
          <t>Priya Harrington</t>
        </is>
      </c>
      <c r="D325" s="3" t="inlineStr">
        <is>
          <t>NV</t>
        </is>
      </c>
      <c r="E325" s="14" t="n">
        <v>260000</v>
      </c>
      <c r="F325" s="14" t="n">
        <v>3862.19</v>
      </c>
      <c r="G325" s="14" t="n">
        <v>482.77</v>
      </c>
      <c r="H325" s="14" t="n">
        <v>482.77</v>
      </c>
      <c r="I325" s="14">
        <f>SUM(K325:T325)</f>
        <v/>
      </c>
      <c r="J325" s="14">
        <f>F325-(G325+H325+I325)</f>
        <v/>
      </c>
      <c r="K325" s="14" t="n">
        <v>289.66</v>
      </c>
      <c r="L325" s="14" t="n">
        <v>289.66</v>
      </c>
      <c r="M325" s="14" t="n">
        <v>289.66</v>
      </c>
      <c r="N325" s="14" t="n">
        <v>289.66</v>
      </c>
      <c r="O325" s="14" t="n">
        <v>289.66</v>
      </c>
      <c r="P325" s="14" t="n">
        <v>289.66</v>
      </c>
      <c r="Q325" s="14" t="n">
        <v>289.66</v>
      </c>
      <c r="R325" s="14" t="n">
        <v>289.66</v>
      </c>
      <c r="S325" s="14" t="n">
        <v>289.66</v>
      </c>
      <c r="T325" s="14" t="n">
        <v>289.66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CANON-202601-003480</t>
        </is>
      </c>
      <c r="B326" s="15" t="inlineStr">
        <is>
          <t>2026-01-19</t>
        </is>
      </c>
      <c r="C326" s="15" t="inlineStr">
        <is>
          <t>Everett Farkas</t>
        </is>
      </c>
      <c r="D326" s="15" t="inlineStr">
        <is>
          <t>TN</t>
        </is>
      </c>
      <c r="E326" s="16" t="n">
        <v>490000</v>
      </c>
      <c r="F326" s="16" t="n">
        <v>6096.73</v>
      </c>
      <c r="G326" s="16" t="n">
        <v>762.09</v>
      </c>
      <c r="H326" s="16" t="n">
        <v>762.09</v>
      </c>
      <c r="I326" s="16">
        <f>SUM(K326:T326)</f>
        <v/>
      </c>
      <c r="J326" s="16">
        <f>F326-(G326+H326+I326)</f>
        <v/>
      </c>
      <c r="K326" s="16" t="n">
        <v>457.25</v>
      </c>
      <c r="L326" s="16" t="n">
        <v>457.25</v>
      </c>
      <c r="M326" s="16" t="n">
        <v>457.25</v>
      </c>
      <c r="N326" s="16" t="n">
        <v>457.25</v>
      </c>
      <c r="O326" s="16" t="n">
        <v>457.25</v>
      </c>
      <c r="P326" s="16" t="n">
        <v>457.25</v>
      </c>
      <c r="Q326" s="16" t="n">
        <v>457.25</v>
      </c>
      <c r="R326" s="16" t="n">
        <v>457.25</v>
      </c>
      <c r="S326" s="16" t="n">
        <v>457.25</v>
      </c>
      <c r="T326" s="16" t="n">
        <v>457.25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CANON-202601-003481</t>
        </is>
      </c>
      <c r="B327" s="3" t="inlineStr">
        <is>
          <t>2026-01-25</t>
        </is>
      </c>
      <c r="C327" s="3" t="inlineStr">
        <is>
          <t>Callum Farkas</t>
        </is>
      </c>
      <c r="D327" s="3" t="inlineStr">
        <is>
          <t>OH</t>
        </is>
      </c>
      <c r="E327" s="14" t="n">
        <v>460000</v>
      </c>
      <c r="F327" s="14" t="n">
        <v>8117.96</v>
      </c>
      <c r="G327" s="14" t="n">
        <v>1014.75</v>
      </c>
      <c r="H327" s="14" t="n">
        <v>1014.75</v>
      </c>
      <c r="I327" s="14">
        <f>SUM(K327:T327)</f>
        <v/>
      </c>
      <c r="J327" s="14">
        <f>F327-(G327+H327+I327)</f>
        <v/>
      </c>
      <c r="K327" s="14" t="n">
        <v>608.85</v>
      </c>
      <c r="L327" s="14" t="n">
        <v>608.85</v>
      </c>
      <c r="M327" s="14" t="n">
        <v>608.85</v>
      </c>
      <c r="N327" s="14" t="n">
        <v>608.85</v>
      </c>
      <c r="O327" s="14" t="n">
        <v>608.85</v>
      </c>
      <c r="P327" s="14" t="n">
        <v>608.85</v>
      </c>
      <c r="Q327" s="14" t="n">
        <v>608.85</v>
      </c>
      <c r="R327" s="14" t="n">
        <v>608.85</v>
      </c>
      <c r="S327" s="14" t="n">
        <v>608.85</v>
      </c>
      <c r="T327" s="14" t="n">
        <v>608.85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CANON-202601-003482</t>
        </is>
      </c>
      <c r="B328" s="15" t="inlineStr">
        <is>
          <t>2026-01-31</t>
        </is>
      </c>
      <c r="C328" s="15" t="inlineStr">
        <is>
          <t>Aurelio Fairweather</t>
        </is>
      </c>
      <c r="D328" s="15" t="inlineStr">
        <is>
          <t>ND</t>
        </is>
      </c>
      <c r="E328" s="16" t="n">
        <v>765000</v>
      </c>
      <c r="F328" s="16" t="n">
        <v>12548.7</v>
      </c>
      <c r="G328" s="16" t="n">
        <v>1568.59</v>
      </c>
      <c r="H328" s="16" t="n">
        <v>1568.59</v>
      </c>
      <c r="I328" s="16">
        <f>SUM(K328:T328)</f>
        <v/>
      </c>
      <c r="J328" s="16">
        <f>F328-(G328+H328+I328)</f>
        <v/>
      </c>
      <c r="K328" s="16" t="n">
        <v>941.15</v>
      </c>
      <c r="L328" s="16" t="n">
        <v>941.15</v>
      </c>
      <c r="M328" s="16" t="n">
        <v>941.15</v>
      </c>
      <c r="N328" s="16" t="n">
        <v>941.15</v>
      </c>
      <c r="O328" s="16" t="n">
        <v>941.15</v>
      </c>
      <c r="P328" s="16" t="n">
        <v>941.15</v>
      </c>
      <c r="Q328" s="16" t="n">
        <v>941.15</v>
      </c>
      <c r="R328" s="16" t="n">
        <v>941.15</v>
      </c>
      <c r="S328" s="16" t="n">
        <v>941.15</v>
      </c>
      <c r="T328" s="16" t="n">
        <v>941.15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CANON-202601-003483</t>
        </is>
      </c>
      <c r="B329" s="3" t="inlineStr">
        <is>
          <t>2026-01-24</t>
        </is>
      </c>
      <c r="C329" s="3" t="inlineStr">
        <is>
          <t>Fitzgerald Thistlewood</t>
        </is>
      </c>
      <c r="D329" s="3" t="inlineStr">
        <is>
          <t>ND</t>
        </is>
      </c>
      <c r="E329" s="14" t="n">
        <v>245000</v>
      </c>
      <c r="F329" s="14" t="n">
        <v>3891.95</v>
      </c>
      <c r="G329" s="14" t="n">
        <v>486.49</v>
      </c>
      <c r="H329" s="14" t="n">
        <v>486.49</v>
      </c>
      <c r="I329" s="14">
        <f>SUM(K329:T329)</f>
        <v/>
      </c>
      <c r="J329" s="14">
        <f>F329-(G329+H329+I329)</f>
        <v/>
      </c>
      <c r="K329" s="14" t="n">
        <v>291.9</v>
      </c>
      <c r="L329" s="14" t="n">
        <v>291.9</v>
      </c>
      <c r="M329" s="14" t="n">
        <v>291.9</v>
      </c>
      <c r="N329" s="14" t="n">
        <v>291.9</v>
      </c>
      <c r="O329" s="14" t="n">
        <v>291.9</v>
      </c>
      <c r="P329" s="14" t="n">
        <v>291.9</v>
      </c>
      <c r="Q329" s="14" t="n">
        <v>291.9</v>
      </c>
      <c r="R329" s="14" t="n">
        <v>291.9</v>
      </c>
      <c r="S329" s="14" t="n">
        <v>291.9</v>
      </c>
      <c r="T329" s="14" t="n">
        <v>291.9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CANON-202601-003484</t>
        </is>
      </c>
      <c r="B330" s="15" t="inlineStr">
        <is>
          <t>2026-01-26</t>
        </is>
      </c>
      <c r="C330" s="15" t="inlineStr">
        <is>
          <t>Marisol Larsson</t>
        </is>
      </c>
      <c r="D330" s="15" t="inlineStr">
        <is>
          <t>GA</t>
        </is>
      </c>
      <c r="E330" s="16" t="n">
        <v>260000</v>
      </c>
      <c r="F330" s="16" t="n">
        <v>3697.14</v>
      </c>
      <c r="G330" s="16" t="n">
        <v>462.14</v>
      </c>
      <c r="H330" s="16" t="n">
        <v>462.14</v>
      </c>
      <c r="I330" s="16">
        <f>SUM(K330:T330)</f>
        <v/>
      </c>
      <c r="J330" s="16">
        <f>F330-(G330+H330+I330)</f>
        <v/>
      </c>
      <c r="K330" s="16" t="n">
        <v>277.29</v>
      </c>
      <c r="L330" s="16" t="n">
        <v>277.29</v>
      </c>
      <c r="M330" s="16" t="n">
        <v>277.29</v>
      </c>
      <c r="N330" s="16" t="n">
        <v>277.29</v>
      </c>
      <c r="O330" s="16" t="n">
        <v>277.29</v>
      </c>
      <c r="P330" s="16" t="n">
        <v>277.29</v>
      </c>
      <c r="Q330" s="16" t="n">
        <v>277.29</v>
      </c>
      <c r="R330" s="16" t="n">
        <v>277.29</v>
      </c>
      <c r="S330" s="16" t="n">
        <v>277.29</v>
      </c>
      <c r="T330" s="16" t="n">
        <v>277.29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CANON-202601-003486</t>
        </is>
      </c>
      <c r="B331" s="3" t="inlineStr">
        <is>
          <t>2026-01-25</t>
        </is>
      </c>
      <c r="C331" s="3" t="inlineStr">
        <is>
          <t>Everett Nakashima</t>
        </is>
      </c>
      <c r="D331" s="3" t="inlineStr">
        <is>
          <t>OK</t>
        </is>
      </c>
      <c r="E331" s="14" t="n">
        <v>475000</v>
      </c>
      <c r="F331" s="14" t="n">
        <v>4863.16</v>
      </c>
      <c r="G331" s="14" t="n">
        <v>607.89</v>
      </c>
      <c r="H331" s="14" t="n">
        <v>607.89</v>
      </c>
      <c r="I331" s="14">
        <f>SUM(K331:T331)</f>
        <v/>
      </c>
      <c r="J331" s="14">
        <f>F331-(G331+H331+I331)</f>
        <v/>
      </c>
      <c r="K331" s="14" t="n">
        <v>364.74</v>
      </c>
      <c r="L331" s="14" t="n">
        <v>364.74</v>
      </c>
      <c r="M331" s="14" t="n">
        <v>364.74</v>
      </c>
      <c r="N331" s="14" t="n">
        <v>364.74</v>
      </c>
      <c r="O331" s="14" t="n">
        <v>364.74</v>
      </c>
      <c r="P331" s="14" t="n">
        <v>364.74</v>
      </c>
      <c r="Q331" s="14" t="n">
        <v>364.74</v>
      </c>
      <c r="R331" s="14" t="n">
        <v>364.74</v>
      </c>
      <c r="S331" s="14" t="n">
        <v>364.74</v>
      </c>
      <c r="T331" s="14" t="n">
        <v>364.74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CANON-202601-003487</t>
        </is>
      </c>
      <c r="B332" s="15" t="inlineStr">
        <is>
          <t>2026-01-15</t>
        </is>
      </c>
      <c r="C332" s="15" t="inlineStr">
        <is>
          <t>Sunniva Ashcombe</t>
        </is>
      </c>
      <c r="D332" s="15" t="inlineStr">
        <is>
          <t>NY</t>
        </is>
      </c>
      <c r="E332" s="16" t="n">
        <v>380000</v>
      </c>
      <c r="F332" s="16" t="n">
        <v>6175.45</v>
      </c>
      <c r="G332" s="16" t="n">
        <v>771.9299999999999</v>
      </c>
      <c r="H332" s="16" t="n">
        <v>771.9299999999999</v>
      </c>
      <c r="I332" s="16">
        <f>SUM(K332:T332)</f>
        <v/>
      </c>
      <c r="J332" s="16">
        <f>F332-(G332+H332+I332)</f>
        <v/>
      </c>
      <c r="K332" s="16" t="n">
        <v>463.16</v>
      </c>
      <c r="L332" s="16" t="n">
        <v>463.16</v>
      </c>
      <c r="M332" s="16" t="n">
        <v>463.16</v>
      </c>
      <c r="N332" s="16" t="n">
        <v>463.16</v>
      </c>
      <c r="O332" s="16" t="n">
        <v>463.16</v>
      </c>
      <c r="P332" s="16" t="n">
        <v>463.16</v>
      </c>
      <c r="Q332" s="16" t="n">
        <v>463.16</v>
      </c>
      <c r="R332" s="16" t="n">
        <v>463.16</v>
      </c>
      <c r="S332" s="16" t="n">
        <v>463.16</v>
      </c>
      <c r="T332" s="16" t="n">
        <v>463.16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CANON-202601-003488</t>
        </is>
      </c>
      <c r="B333" s="3" t="inlineStr">
        <is>
          <t>2026-01-05</t>
        </is>
      </c>
      <c r="C333" s="3" t="inlineStr">
        <is>
          <t>Noor Delacroix</t>
        </is>
      </c>
      <c r="D333" s="3" t="inlineStr">
        <is>
          <t>NJ</t>
        </is>
      </c>
      <c r="E333" s="14" t="n">
        <v>1415000</v>
      </c>
      <c r="F333" s="14" t="n">
        <v>11988.75</v>
      </c>
      <c r="G333" s="14" t="n">
        <v>1498.59</v>
      </c>
      <c r="H333" s="14" t="n">
        <v>1498.59</v>
      </c>
      <c r="I333" s="14">
        <f>SUM(K333:T333)</f>
        <v/>
      </c>
      <c r="J333" s="14">
        <f>F333-(G333+H333+I333)</f>
        <v/>
      </c>
      <c r="K333" s="14" t="n">
        <v>899.16</v>
      </c>
      <c r="L333" s="14" t="n">
        <v>899.16</v>
      </c>
      <c r="M333" s="14" t="n">
        <v>899.16</v>
      </c>
      <c r="N333" s="14" t="n">
        <v>899.16</v>
      </c>
      <c r="O333" s="14" t="n">
        <v>899.16</v>
      </c>
      <c r="P333" s="14" t="n">
        <v>899.16</v>
      </c>
      <c r="Q333" s="14" t="n">
        <v>899.16</v>
      </c>
      <c r="R333" s="14" t="n">
        <v>899.16</v>
      </c>
      <c r="S333" s="14" t="n">
        <v>899.16</v>
      </c>
      <c r="T333" s="14" t="n">
        <v>899.16</v>
      </c>
      <c r="U333" s="14" t="n">
        <v>350</v>
      </c>
      <c r="V333" s="14" t="n">
        <v>250</v>
      </c>
      <c r="W333" s="14">
        <f>U333+V333</f>
        <v/>
      </c>
    </row>
    <row r="334">
      <c r="A334" s="15" t="inlineStr">
        <is>
          <t>CANON-202601-003490</t>
        </is>
      </c>
      <c r="B334" s="15" t="inlineStr">
        <is>
          <t>2026-01-31</t>
        </is>
      </c>
      <c r="C334" s="15" t="inlineStr">
        <is>
          <t>Saoirse Castellanos</t>
        </is>
      </c>
      <c r="D334" s="15" t="inlineStr">
        <is>
          <t>MI</t>
        </is>
      </c>
      <c r="E334" s="16" t="n">
        <v>750000</v>
      </c>
      <c r="F334" s="16" t="n">
        <v>12791.45</v>
      </c>
      <c r="G334" s="16" t="n">
        <v>1598.93</v>
      </c>
      <c r="H334" s="16" t="n">
        <v>1598.93</v>
      </c>
      <c r="I334" s="16">
        <f>SUM(K334:T334)</f>
        <v/>
      </c>
      <c r="J334" s="16">
        <f>F334-(G334+H334+I334)</f>
        <v/>
      </c>
      <c r="K334" s="16" t="n">
        <v>959.36</v>
      </c>
      <c r="L334" s="16" t="n">
        <v>959.36</v>
      </c>
      <c r="M334" s="16" t="n">
        <v>959.36</v>
      </c>
      <c r="N334" s="16" t="n">
        <v>959.36</v>
      </c>
      <c r="O334" s="16" t="n">
        <v>959.36</v>
      </c>
      <c r="P334" s="16" t="n">
        <v>959.36</v>
      </c>
      <c r="Q334" s="16" t="n">
        <v>959.36</v>
      </c>
      <c r="R334" s="16" t="n">
        <v>959.36</v>
      </c>
      <c r="S334" s="16" t="n">
        <v>959.36</v>
      </c>
      <c r="T334" s="16" t="n">
        <v>959.36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CANON-202601-003494</t>
        </is>
      </c>
      <c r="B335" s="3" t="inlineStr">
        <is>
          <t>2026-01-27</t>
        </is>
      </c>
      <c r="C335" s="3" t="inlineStr">
        <is>
          <t>Sunniva Larsson</t>
        </is>
      </c>
      <c r="D335" s="3" t="inlineStr">
        <is>
          <t>TX</t>
        </is>
      </c>
      <c r="E335" s="14" t="n">
        <v>1150000</v>
      </c>
      <c r="F335" s="14" t="n">
        <v>12313.23</v>
      </c>
      <c r="G335" s="14" t="n">
        <v>1539.15</v>
      </c>
      <c r="H335" s="14" t="n">
        <v>1539.15</v>
      </c>
      <c r="I335" s="14">
        <f>SUM(K335:T335)</f>
        <v/>
      </c>
      <c r="J335" s="14">
        <f>F335-(G335+H335+I335)</f>
        <v/>
      </c>
      <c r="K335" s="14" t="n">
        <v>923.49</v>
      </c>
      <c r="L335" s="14" t="n">
        <v>923.49</v>
      </c>
      <c r="M335" s="14" t="n">
        <v>923.49</v>
      </c>
      <c r="N335" s="14" t="n">
        <v>923.49</v>
      </c>
      <c r="O335" s="14" t="n">
        <v>923.49</v>
      </c>
      <c r="P335" s="14" t="n">
        <v>923.49</v>
      </c>
      <c r="Q335" s="14" t="n">
        <v>923.49</v>
      </c>
      <c r="R335" s="14" t="n">
        <v>923.49</v>
      </c>
      <c r="S335" s="14" t="n">
        <v>923.49</v>
      </c>
      <c r="T335" s="14" t="n">
        <v>923.49</v>
      </c>
      <c r="U335" s="14" t="n">
        <v>350</v>
      </c>
      <c r="V335" s="14" t="n">
        <v>250</v>
      </c>
      <c r="W335" s="14">
        <f>U335+V335</f>
        <v/>
      </c>
    </row>
    <row r="336">
      <c r="A336" s="15" t="inlineStr">
        <is>
          <t>CANON-202601-003495</t>
        </is>
      </c>
      <c r="B336" s="15" t="inlineStr">
        <is>
          <t>2026-01-16</t>
        </is>
      </c>
      <c r="C336" s="15" t="inlineStr">
        <is>
          <t>Emiliano Delacroix</t>
        </is>
      </c>
      <c r="D336" s="15" t="inlineStr">
        <is>
          <t>IA</t>
        </is>
      </c>
      <c r="E336" s="16" t="n">
        <v>745000</v>
      </c>
      <c r="F336" s="16" t="n">
        <v>13179.11</v>
      </c>
      <c r="G336" s="16" t="n">
        <v>1647.39</v>
      </c>
      <c r="H336" s="16" t="n">
        <v>1647.39</v>
      </c>
      <c r="I336" s="16">
        <f>SUM(K336:T336)</f>
        <v/>
      </c>
      <c r="J336" s="16">
        <f>F336-(G336+H336+I336)</f>
        <v/>
      </c>
      <c r="K336" s="16" t="n">
        <v>988.4299999999999</v>
      </c>
      <c r="L336" s="16" t="n">
        <v>988.4299999999999</v>
      </c>
      <c r="M336" s="16" t="n">
        <v>988.4299999999999</v>
      </c>
      <c r="N336" s="16" t="n">
        <v>988.4299999999999</v>
      </c>
      <c r="O336" s="16" t="n">
        <v>988.4299999999999</v>
      </c>
      <c r="P336" s="16" t="n">
        <v>988.4299999999999</v>
      </c>
      <c r="Q336" s="16" t="n">
        <v>988.4299999999999</v>
      </c>
      <c r="R336" s="16" t="n">
        <v>988.4299999999999</v>
      </c>
      <c r="S336" s="16" t="n">
        <v>988.4299999999999</v>
      </c>
      <c r="T336" s="16" t="n">
        <v>988.4299999999999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CANON-202601-003499</t>
        </is>
      </c>
      <c r="B337" s="3" t="inlineStr">
        <is>
          <t>2026-01-29</t>
        </is>
      </c>
      <c r="C337" s="3" t="inlineStr">
        <is>
          <t>Noor Harrington</t>
        </is>
      </c>
      <c r="D337" s="3" t="inlineStr">
        <is>
          <t>VT</t>
        </is>
      </c>
      <c r="E337" s="14" t="n">
        <v>970000</v>
      </c>
      <c r="F337" s="14" t="n">
        <v>8614.17</v>
      </c>
      <c r="G337" s="14" t="n">
        <v>1076.77</v>
      </c>
      <c r="H337" s="14" t="n">
        <v>1076.77</v>
      </c>
      <c r="I337" s="14">
        <f>SUM(K337:T337)</f>
        <v/>
      </c>
      <c r="J337" s="14">
        <f>F337-(G337+H337+I337)</f>
        <v/>
      </c>
      <c r="K337" s="14" t="n">
        <v>646.0599999999999</v>
      </c>
      <c r="L337" s="14" t="n">
        <v>646.0599999999999</v>
      </c>
      <c r="M337" s="14" t="n">
        <v>646.0599999999999</v>
      </c>
      <c r="N337" s="14" t="n">
        <v>646.0599999999999</v>
      </c>
      <c r="O337" s="14" t="n">
        <v>646.0599999999999</v>
      </c>
      <c r="P337" s="14" t="n">
        <v>646.0599999999999</v>
      </c>
      <c r="Q337" s="14" t="n">
        <v>646.0599999999999</v>
      </c>
      <c r="R337" s="14" t="n">
        <v>646.0599999999999</v>
      </c>
      <c r="S337" s="14" t="n">
        <v>646.0599999999999</v>
      </c>
      <c r="T337" s="14" t="n">
        <v>646.0599999999999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CANON-202601-003500</t>
        </is>
      </c>
      <c r="B338" s="15" t="inlineStr">
        <is>
          <t>2026-01-15</t>
        </is>
      </c>
      <c r="C338" s="15" t="inlineStr">
        <is>
          <t>Thaddeus Ashcombe</t>
        </is>
      </c>
      <c r="D338" s="15" t="inlineStr">
        <is>
          <t>HI</t>
        </is>
      </c>
      <c r="E338" s="16" t="n">
        <v>200000</v>
      </c>
      <c r="F338" s="16" t="n">
        <v>4049.25</v>
      </c>
      <c r="G338" s="16" t="n">
        <v>506.16</v>
      </c>
      <c r="H338" s="16" t="n">
        <v>506.16</v>
      </c>
      <c r="I338" s="16">
        <f>SUM(K338:T338)</f>
        <v/>
      </c>
      <c r="J338" s="16">
        <f>F338-(G338+H338+I338)</f>
        <v/>
      </c>
      <c r="K338" s="16" t="n">
        <v>303.69</v>
      </c>
      <c r="L338" s="16" t="n">
        <v>303.69</v>
      </c>
      <c r="M338" s="16" t="n">
        <v>303.69</v>
      </c>
      <c r="N338" s="16" t="n">
        <v>303.69</v>
      </c>
      <c r="O338" s="16" t="n">
        <v>303.69</v>
      </c>
      <c r="P338" s="16" t="n">
        <v>303.69</v>
      </c>
      <c r="Q338" s="16" t="n">
        <v>303.69</v>
      </c>
      <c r="R338" s="16" t="n">
        <v>303.69</v>
      </c>
      <c r="S338" s="16" t="n">
        <v>303.69</v>
      </c>
      <c r="T338" s="16" t="n">
        <v>303.69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CANON-202601-003501</t>
        </is>
      </c>
      <c r="B339" s="3" t="inlineStr">
        <is>
          <t>2026-01-08</t>
        </is>
      </c>
      <c r="C339" s="3" t="inlineStr">
        <is>
          <t>Callum Bellandi</t>
        </is>
      </c>
      <c r="D339" s="3" t="inlineStr">
        <is>
          <t>IA</t>
        </is>
      </c>
      <c r="E339" s="14" t="n">
        <v>490000</v>
      </c>
      <c r="F339" s="14" t="n">
        <v>6843.27</v>
      </c>
      <c r="G339" s="14" t="n">
        <v>855.41</v>
      </c>
      <c r="H339" s="14" t="n">
        <v>855.41</v>
      </c>
      <c r="I339" s="14">
        <f>SUM(K339:T339)</f>
        <v/>
      </c>
      <c r="J339" s="14">
        <f>F339-(G339+H339+I339)</f>
        <v/>
      </c>
      <c r="K339" s="14" t="n">
        <v>513.25</v>
      </c>
      <c r="L339" s="14" t="n">
        <v>513.25</v>
      </c>
      <c r="M339" s="14" t="n">
        <v>513.25</v>
      </c>
      <c r="N339" s="14" t="n">
        <v>513.25</v>
      </c>
      <c r="O339" s="14" t="n">
        <v>513.25</v>
      </c>
      <c r="P339" s="14" t="n">
        <v>513.25</v>
      </c>
      <c r="Q339" s="14" t="n">
        <v>513.25</v>
      </c>
      <c r="R339" s="14" t="n">
        <v>513.25</v>
      </c>
      <c r="S339" s="14" t="n">
        <v>513.25</v>
      </c>
      <c r="T339" s="14" t="n">
        <v>513.25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CANON-202601-003502</t>
        </is>
      </c>
      <c r="B340" s="15" t="inlineStr">
        <is>
          <t>2026-01-29</t>
        </is>
      </c>
      <c r="C340" s="15" t="inlineStr">
        <is>
          <t>Horace Ashcombe</t>
        </is>
      </c>
      <c r="D340" s="15" t="inlineStr">
        <is>
          <t>TX</t>
        </is>
      </c>
      <c r="E340" s="16" t="n">
        <v>355000</v>
      </c>
      <c r="F340" s="16" t="n">
        <v>5183.23</v>
      </c>
      <c r="G340" s="16" t="n">
        <v>647.9</v>
      </c>
      <c r="H340" s="16" t="n">
        <v>647.9</v>
      </c>
      <c r="I340" s="16">
        <f>SUM(K340:T340)</f>
        <v/>
      </c>
      <c r="J340" s="16">
        <f>F340-(G340+H340+I340)</f>
        <v/>
      </c>
      <c r="K340" s="16" t="n">
        <v>388.74</v>
      </c>
      <c r="L340" s="16" t="n">
        <v>388.74</v>
      </c>
      <c r="M340" s="16" t="n">
        <v>388.74</v>
      </c>
      <c r="N340" s="16" t="n">
        <v>388.74</v>
      </c>
      <c r="O340" s="16" t="n">
        <v>388.74</v>
      </c>
      <c r="P340" s="16" t="n">
        <v>388.74</v>
      </c>
      <c r="Q340" s="16" t="n">
        <v>388.74</v>
      </c>
      <c r="R340" s="16" t="n">
        <v>388.74</v>
      </c>
      <c r="S340" s="16" t="n">
        <v>388.74</v>
      </c>
      <c r="T340" s="16" t="n">
        <v>388.74</v>
      </c>
      <c r="U340" s="16" t="n">
        <v>350</v>
      </c>
      <c r="V340" s="16" t="n">
        <v>0</v>
      </c>
      <c r="W340" s="16">
        <f>U340+V340</f>
        <v/>
      </c>
    </row>
    <row r="341">
      <c r="A341" s="3" t="inlineStr">
        <is>
          <t>CANON-202601-003503</t>
        </is>
      </c>
      <c r="B341" s="3" t="inlineStr">
        <is>
          <t>2026-01-12</t>
        </is>
      </c>
      <c r="C341" s="3" t="inlineStr">
        <is>
          <t>Callum Okonkwo</t>
        </is>
      </c>
      <c r="D341" s="3" t="inlineStr">
        <is>
          <t>WI</t>
        </is>
      </c>
      <c r="E341" s="14" t="n">
        <v>655000</v>
      </c>
      <c r="F341" s="14" t="n">
        <v>12640.36</v>
      </c>
      <c r="G341" s="14" t="n">
        <v>1580.05</v>
      </c>
      <c r="H341" s="14" t="n">
        <v>1580.05</v>
      </c>
      <c r="I341" s="14">
        <f>SUM(K341:T341)</f>
        <v/>
      </c>
      <c r="J341" s="14">
        <f>F341-(G341+H341+I341)</f>
        <v/>
      </c>
      <c r="K341" s="14" t="n">
        <v>948.03</v>
      </c>
      <c r="L341" s="14" t="n">
        <v>948.03</v>
      </c>
      <c r="M341" s="14" t="n">
        <v>948.03</v>
      </c>
      <c r="N341" s="14" t="n">
        <v>948.03</v>
      </c>
      <c r="O341" s="14" t="n">
        <v>948.03</v>
      </c>
      <c r="P341" s="14" t="n">
        <v>948.03</v>
      </c>
      <c r="Q341" s="14" t="n">
        <v>948.03</v>
      </c>
      <c r="R341" s="14" t="n">
        <v>948.03</v>
      </c>
      <c r="S341" s="14" t="n">
        <v>948.03</v>
      </c>
      <c r="T341" s="14" t="n">
        <v>948.03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CANON-202601-003504</t>
        </is>
      </c>
      <c r="B342" s="15" t="inlineStr">
        <is>
          <t>2026-01-26</t>
        </is>
      </c>
      <c r="C342" s="15" t="inlineStr">
        <is>
          <t>Everett Fairweather</t>
        </is>
      </c>
      <c r="D342" s="15" t="inlineStr">
        <is>
          <t>ME</t>
        </is>
      </c>
      <c r="E342" s="16" t="n">
        <v>1095000</v>
      </c>
      <c r="F342" s="16" t="n">
        <v>16015.53</v>
      </c>
      <c r="G342" s="16" t="n">
        <v>2001.94</v>
      </c>
      <c r="H342" s="16" t="n">
        <v>2001.94</v>
      </c>
      <c r="I342" s="16">
        <f>SUM(K342:T342)</f>
        <v/>
      </c>
      <c r="J342" s="16">
        <f>F342-(G342+H342+I342)</f>
        <v/>
      </c>
      <c r="K342" s="16" t="n">
        <v>1201.16</v>
      </c>
      <c r="L342" s="16" t="n">
        <v>1201.16</v>
      </c>
      <c r="M342" s="16" t="n">
        <v>1201.16</v>
      </c>
      <c r="N342" s="16" t="n">
        <v>1201.16</v>
      </c>
      <c r="O342" s="16" t="n">
        <v>1201.16</v>
      </c>
      <c r="P342" s="16" t="n">
        <v>1201.16</v>
      </c>
      <c r="Q342" s="16" t="n">
        <v>1201.16</v>
      </c>
      <c r="R342" s="16" t="n">
        <v>1201.16</v>
      </c>
      <c r="S342" s="16" t="n">
        <v>1201.16</v>
      </c>
      <c r="T342" s="16" t="n">
        <v>1201.16</v>
      </c>
      <c r="U342" s="16" t="n">
        <v>350</v>
      </c>
      <c r="V342" s="16" t="n">
        <v>250</v>
      </c>
      <c r="W342" s="16">
        <f>U342+V342</f>
        <v/>
      </c>
    </row>
    <row r="343">
      <c r="A343" s="3" t="inlineStr">
        <is>
          <t>CANON-202601-003506</t>
        </is>
      </c>
      <c r="B343" s="3" t="inlineStr">
        <is>
          <t>2026-01-29</t>
        </is>
      </c>
      <c r="C343" s="3" t="inlineStr">
        <is>
          <t>Fitzgerald Kingsford</t>
        </is>
      </c>
      <c r="D343" s="3" t="inlineStr">
        <is>
          <t>TN</t>
        </is>
      </c>
      <c r="E343" s="14" t="n">
        <v>335000</v>
      </c>
      <c r="F343" s="14" t="n">
        <v>4168.17</v>
      </c>
      <c r="G343" s="14" t="n">
        <v>521.02</v>
      </c>
      <c r="H343" s="14" t="n">
        <v>521.02</v>
      </c>
      <c r="I343" s="14">
        <f>SUM(K343:T343)</f>
        <v/>
      </c>
      <c r="J343" s="14">
        <f>F343-(G343+H343+I343)</f>
        <v/>
      </c>
      <c r="K343" s="14" t="n">
        <v>312.61</v>
      </c>
      <c r="L343" s="14" t="n">
        <v>312.61</v>
      </c>
      <c r="M343" s="14" t="n">
        <v>312.61</v>
      </c>
      <c r="N343" s="14" t="n">
        <v>312.61</v>
      </c>
      <c r="O343" s="14" t="n">
        <v>312.61</v>
      </c>
      <c r="P343" s="14" t="n">
        <v>312.61</v>
      </c>
      <c r="Q343" s="14" t="n">
        <v>312.61</v>
      </c>
      <c r="R343" s="14" t="n">
        <v>312.61</v>
      </c>
      <c r="S343" s="14" t="n">
        <v>312.61</v>
      </c>
      <c r="T343" s="14" t="n">
        <v>312.61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CANON-202601-003507</t>
        </is>
      </c>
      <c r="B344" s="15" t="inlineStr">
        <is>
          <t>2026-01-21</t>
        </is>
      </c>
      <c r="C344" s="15" t="inlineStr">
        <is>
          <t>Mireille Merriweather</t>
        </is>
      </c>
      <c r="D344" s="15" t="inlineStr">
        <is>
          <t>CO</t>
        </is>
      </c>
      <c r="E344" s="16" t="n">
        <v>640000</v>
      </c>
      <c r="F344" s="16" t="n">
        <v>11321.65</v>
      </c>
      <c r="G344" s="16" t="n">
        <v>1415.21</v>
      </c>
      <c r="H344" s="16" t="n">
        <v>1415.21</v>
      </c>
      <c r="I344" s="16">
        <f>SUM(K344:T344)</f>
        <v/>
      </c>
      <c r="J344" s="16">
        <f>F344-(G344+H344+I344)</f>
        <v/>
      </c>
      <c r="K344" s="16" t="n">
        <v>849.12</v>
      </c>
      <c r="L344" s="16" t="n">
        <v>849.12</v>
      </c>
      <c r="M344" s="16" t="n">
        <v>849.12</v>
      </c>
      <c r="N344" s="16" t="n">
        <v>849.12</v>
      </c>
      <c r="O344" s="16" t="n">
        <v>849.12</v>
      </c>
      <c r="P344" s="16" t="n">
        <v>849.12</v>
      </c>
      <c r="Q344" s="16" t="n">
        <v>849.12</v>
      </c>
      <c r="R344" s="16" t="n">
        <v>849.12</v>
      </c>
      <c r="S344" s="16" t="n">
        <v>849.12</v>
      </c>
      <c r="T344" s="16" t="n">
        <v>849.12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CANON-202601-003508</t>
        </is>
      </c>
      <c r="B345" s="3" t="inlineStr">
        <is>
          <t>2026-01-02</t>
        </is>
      </c>
      <c r="C345" s="3" t="inlineStr">
        <is>
          <t>Delphine Vandermeer</t>
        </is>
      </c>
      <c r="D345" s="3" t="inlineStr">
        <is>
          <t>NY</t>
        </is>
      </c>
      <c r="E345" s="14" t="n">
        <v>475000</v>
      </c>
      <c r="F345" s="14" t="n">
        <v>7719.3</v>
      </c>
      <c r="G345" s="14" t="n">
        <v>964.91</v>
      </c>
      <c r="H345" s="14" t="n">
        <v>964.91</v>
      </c>
      <c r="I345" s="14">
        <f>SUM(K345:T345)</f>
        <v/>
      </c>
      <c r="J345" s="14">
        <f>F345-(G345+H345+I345)</f>
        <v/>
      </c>
      <c r="K345" s="14" t="n">
        <v>578.95</v>
      </c>
      <c r="L345" s="14" t="n">
        <v>578.95</v>
      </c>
      <c r="M345" s="14" t="n">
        <v>578.95</v>
      </c>
      <c r="N345" s="14" t="n">
        <v>578.95</v>
      </c>
      <c r="O345" s="14" t="n">
        <v>578.95</v>
      </c>
      <c r="P345" s="14" t="n">
        <v>578.95</v>
      </c>
      <c r="Q345" s="14" t="n">
        <v>578.95</v>
      </c>
      <c r="R345" s="14" t="n">
        <v>578.95</v>
      </c>
      <c r="S345" s="14" t="n">
        <v>578.95</v>
      </c>
      <c r="T345" s="14" t="n">
        <v>578.95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CANON-202601-003510</t>
        </is>
      </c>
      <c r="B346" s="15" t="inlineStr">
        <is>
          <t>2026-01-28</t>
        </is>
      </c>
      <c r="C346" s="15" t="inlineStr">
        <is>
          <t>Mireille Delacroix</t>
        </is>
      </c>
      <c r="D346" s="15" t="inlineStr">
        <is>
          <t>NY</t>
        </is>
      </c>
      <c r="E346" s="16" t="n">
        <v>385000</v>
      </c>
      <c r="F346" s="16" t="n">
        <v>6256.7</v>
      </c>
      <c r="G346" s="16" t="n">
        <v>782.09</v>
      </c>
      <c r="H346" s="16" t="n">
        <v>782.09</v>
      </c>
      <c r="I346" s="16">
        <f>SUM(K346:T346)</f>
        <v/>
      </c>
      <c r="J346" s="16">
        <f>F346-(G346+H346+I346)</f>
        <v/>
      </c>
      <c r="K346" s="16" t="n">
        <v>469.25</v>
      </c>
      <c r="L346" s="16" t="n">
        <v>469.25</v>
      </c>
      <c r="M346" s="16" t="n">
        <v>469.25</v>
      </c>
      <c r="N346" s="16" t="n">
        <v>469.25</v>
      </c>
      <c r="O346" s="16" t="n">
        <v>469.25</v>
      </c>
      <c r="P346" s="16" t="n">
        <v>469.25</v>
      </c>
      <c r="Q346" s="16" t="n">
        <v>469.25</v>
      </c>
      <c r="R346" s="16" t="n">
        <v>469.25</v>
      </c>
      <c r="S346" s="16" t="n">
        <v>469.25</v>
      </c>
      <c r="T346" s="16" t="n">
        <v>469.25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CANON-202601-003511</t>
        </is>
      </c>
      <c r="B347" s="3" t="inlineStr">
        <is>
          <t>2026-01-07</t>
        </is>
      </c>
      <c r="C347" s="3" t="inlineStr">
        <is>
          <t>Thaddeus Rourke</t>
        </is>
      </c>
      <c r="D347" s="3" t="inlineStr">
        <is>
          <t>OR</t>
        </is>
      </c>
      <c r="E347" s="14" t="n">
        <v>740000</v>
      </c>
      <c r="F347" s="14" t="n">
        <v>13447.67</v>
      </c>
      <c r="G347" s="14" t="n">
        <v>1680.96</v>
      </c>
      <c r="H347" s="14" t="n">
        <v>1680.96</v>
      </c>
      <c r="I347" s="14">
        <f>SUM(K347:T347)</f>
        <v/>
      </c>
      <c r="J347" s="14">
        <f>F347-(G347+H347+I347)</f>
        <v/>
      </c>
      <c r="K347" s="14" t="n">
        <v>1008.58</v>
      </c>
      <c r="L347" s="14" t="n">
        <v>1008.58</v>
      </c>
      <c r="M347" s="14" t="n">
        <v>1008.58</v>
      </c>
      <c r="N347" s="14" t="n">
        <v>1008.58</v>
      </c>
      <c r="O347" s="14" t="n">
        <v>1008.58</v>
      </c>
      <c r="P347" s="14" t="n">
        <v>1008.58</v>
      </c>
      <c r="Q347" s="14" t="n">
        <v>1008.58</v>
      </c>
      <c r="R347" s="14" t="n">
        <v>1008.58</v>
      </c>
      <c r="S347" s="14" t="n">
        <v>1008.58</v>
      </c>
      <c r="T347" s="14" t="n">
        <v>1008.58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CANON-202601-003513</t>
        </is>
      </c>
      <c r="B348" s="15" t="inlineStr">
        <is>
          <t>2026-01-04</t>
        </is>
      </c>
      <c r="C348" s="15" t="inlineStr">
        <is>
          <t>Ramona Rourke</t>
        </is>
      </c>
      <c r="D348" s="15" t="inlineStr">
        <is>
          <t>NY</t>
        </is>
      </c>
      <c r="E348" s="16" t="n">
        <v>540000</v>
      </c>
      <c r="F348" s="16" t="n">
        <v>7605.55</v>
      </c>
      <c r="G348" s="16" t="n">
        <v>950.6900000000001</v>
      </c>
      <c r="H348" s="16" t="n">
        <v>950.6900000000001</v>
      </c>
      <c r="I348" s="16">
        <f>SUM(K348:T348)</f>
        <v/>
      </c>
      <c r="J348" s="16">
        <f>F348-(G348+H348+I348)</f>
        <v/>
      </c>
      <c r="K348" s="16" t="n">
        <v>570.42</v>
      </c>
      <c r="L348" s="16" t="n">
        <v>570.42</v>
      </c>
      <c r="M348" s="16" t="n">
        <v>570.42</v>
      </c>
      <c r="N348" s="16" t="n">
        <v>570.42</v>
      </c>
      <c r="O348" s="16" t="n">
        <v>570.42</v>
      </c>
      <c r="P348" s="16" t="n">
        <v>570.42</v>
      </c>
      <c r="Q348" s="16" t="n">
        <v>570.42</v>
      </c>
      <c r="R348" s="16" t="n">
        <v>570.42</v>
      </c>
      <c r="S348" s="16" t="n">
        <v>570.42</v>
      </c>
      <c r="T348" s="16" t="n">
        <v>570.42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CANON-202601-003514</t>
        </is>
      </c>
      <c r="B349" s="3" t="inlineStr">
        <is>
          <t>2026-01-18</t>
        </is>
      </c>
      <c r="C349" s="3" t="inlineStr">
        <is>
          <t>Lorenzo Kingsford</t>
        </is>
      </c>
      <c r="D349" s="3" t="inlineStr">
        <is>
          <t>MA</t>
        </is>
      </c>
      <c r="E349" s="14" t="n">
        <v>260000</v>
      </c>
      <c r="F349" s="14" t="n">
        <v>4126.28</v>
      </c>
      <c r="G349" s="14" t="n">
        <v>515.78</v>
      </c>
      <c r="H349" s="14" t="n">
        <v>515.78</v>
      </c>
      <c r="I349" s="14">
        <f>SUM(K349:T349)</f>
        <v/>
      </c>
      <c r="J349" s="14">
        <f>F349-(G349+H349+I349)</f>
        <v/>
      </c>
      <c r="K349" s="14" t="n">
        <v>309.47</v>
      </c>
      <c r="L349" s="14" t="n">
        <v>309.47</v>
      </c>
      <c r="M349" s="14" t="n">
        <v>309.47</v>
      </c>
      <c r="N349" s="14" t="n">
        <v>309.47</v>
      </c>
      <c r="O349" s="14" t="n">
        <v>309.47</v>
      </c>
      <c r="P349" s="14" t="n">
        <v>309.47</v>
      </c>
      <c r="Q349" s="14" t="n">
        <v>309.47</v>
      </c>
      <c r="R349" s="14" t="n">
        <v>309.47</v>
      </c>
      <c r="S349" s="14" t="n">
        <v>309.47</v>
      </c>
      <c r="T349" s="14" t="n">
        <v>309.47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CANON-202601-003516</t>
        </is>
      </c>
      <c r="B350" s="15" t="inlineStr">
        <is>
          <t>2026-01-21</t>
        </is>
      </c>
      <c r="C350" s="15" t="inlineStr">
        <is>
          <t>Cassius Rourke</t>
        </is>
      </c>
      <c r="D350" s="15" t="inlineStr">
        <is>
          <t>MS</t>
        </is>
      </c>
      <c r="E350" s="16" t="n">
        <v>690000</v>
      </c>
      <c r="F350" s="16" t="n">
        <v>13204.84</v>
      </c>
      <c r="G350" s="16" t="n">
        <v>1650.61</v>
      </c>
      <c r="H350" s="16" t="n">
        <v>1650.61</v>
      </c>
      <c r="I350" s="16">
        <f>SUM(K350:T350)</f>
        <v/>
      </c>
      <c r="J350" s="16">
        <f>F350-(G350+H350+I350)</f>
        <v/>
      </c>
      <c r="K350" s="16" t="n">
        <v>990.36</v>
      </c>
      <c r="L350" s="16" t="n">
        <v>990.36</v>
      </c>
      <c r="M350" s="16" t="n">
        <v>990.36</v>
      </c>
      <c r="N350" s="16" t="n">
        <v>990.36</v>
      </c>
      <c r="O350" s="16" t="n">
        <v>990.36</v>
      </c>
      <c r="P350" s="16" t="n">
        <v>990.36</v>
      </c>
      <c r="Q350" s="16" t="n">
        <v>990.36</v>
      </c>
      <c r="R350" s="16" t="n">
        <v>990.36</v>
      </c>
      <c r="S350" s="16" t="n">
        <v>990.36</v>
      </c>
      <c r="T350" s="16" t="n">
        <v>990.36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CANON-202601-003518</t>
        </is>
      </c>
      <c r="B351" s="3" t="inlineStr">
        <is>
          <t>2026-01-19</t>
        </is>
      </c>
      <c r="C351" s="3" t="inlineStr">
        <is>
          <t>Leopold Rourke</t>
        </is>
      </c>
      <c r="D351" s="3" t="inlineStr">
        <is>
          <t>FL</t>
        </is>
      </c>
      <c r="E351" s="14" t="n">
        <v>555000</v>
      </c>
      <c r="F351" s="14" t="n">
        <v>8671.780000000001</v>
      </c>
      <c r="G351" s="14" t="n">
        <v>1083.97</v>
      </c>
      <c r="H351" s="14" t="n">
        <v>1083.97</v>
      </c>
      <c r="I351" s="14">
        <f>SUM(K351:T351)</f>
        <v/>
      </c>
      <c r="J351" s="14">
        <f>F351-(G351+H351+I351)</f>
        <v/>
      </c>
      <c r="K351" s="14" t="n">
        <v>650.38</v>
      </c>
      <c r="L351" s="14" t="n">
        <v>650.38</v>
      </c>
      <c r="M351" s="14" t="n">
        <v>650.38</v>
      </c>
      <c r="N351" s="14" t="n">
        <v>650.38</v>
      </c>
      <c r="O351" s="14" t="n">
        <v>650.38</v>
      </c>
      <c r="P351" s="14" t="n">
        <v>650.38</v>
      </c>
      <c r="Q351" s="14" t="n">
        <v>650.38</v>
      </c>
      <c r="R351" s="14" t="n">
        <v>650.38</v>
      </c>
      <c r="S351" s="14" t="n">
        <v>650.38</v>
      </c>
      <c r="T351" s="14" t="n">
        <v>650.38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CANON-202601-003519</t>
        </is>
      </c>
      <c r="B352" s="15" t="inlineStr">
        <is>
          <t>2026-01-05</t>
        </is>
      </c>
      <c r="C352" s="15" t="inlineStr">
        <is>
          <t>Aurelio Bellandi</t>
        </is>
      </c>
      <c r="D352" s="15" t="inlineStr">
        <is>
          <t>OR</t>
        </is>
      </c>
      <c r="E352" s="16" t="n">
        <v>590000</v>
      </c>
      <c r="F352" s="16" t="n">
        <v>7335.96</v>
      </c>
      <c r="G352" s="16" t="n">
        <v>917</v>
      </c>
      <c r="H352" s="16" t="n">
        <v>917</v>
      </c>
      <c r="I352" s="16">
        <f>SUM(K352:T352)</f>
        <v/>
      </c>
      <c r="J352" s="16">
        <f>F352-(G352+H352+I352)</f>
        <v/>
      </c>
      <c r="K352" s="16" t="n">
        <v>550.2</v>
      </c>
      <c r="L352" s="16" t="n">
        <v>550.2</v>
      </c>
      <c r="M352" s="16" t="n">
        <v>550.2</v>
      </c>
      <c r="N352" s="16" t="n">
        <v>550.2</v>
      </c>
      <c r="O352" s="16" t="n">
        <v>550.2</v>
      </c>
      <c r="P352" s="16" t="n">
        <v>550.2</v>
      </c>
      <c r="Q352" s="16" t="n">
        <v>550.2</v>
      </c>
      <c r="R352" s="16" t="n">
        <v>550.2</v>
      </c>
      <c r="S352" s="16" t="n">
        <v>550.2</v>
      </c>
      <c r="T352" s="16" t="n">
        <v>550.2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CANON-202601-003521</t>
        </is>
      </c>
      <c r="B353" s="3" t="inlineStr">
        <is>
          <t>2026-01-25</t>
        </is>
      </c>
      <c r="C353" s="3" t="inlineStr">
        <is>
          <t>Noor Farkas</t>
        </is>
      </c>
      <c r="D353" s="3" t="inlineStr">
        <is>
          <t>NV</t>
        </is>
      </c>
      <c r="E353" s="14" t="n">
        <v>300000</v>
      </c>
      <c r="F353" s="14" t="n">
        <v>4456.37</v>
      </c>
      <c r="G353" s="14" t="n">
        <v>557.05</v>
      </c>
      <c r="H353" s="14" t="n">
        <v>557.05</v>
      </c>
      <c r="I353" s="14">
        <f>SUM(K353:T353)</f>
        <v/>
      </c>
      <c r="J353" s="14">
        <f>F353-(G353+H353+I353)</f>
        <v/>
      </c>
      <c r="K353" s="14" t="n">
        <v>334.23</v>
      </c>
      <c r="L353" s="14" t="n">
        <v>334.23</v>
      </c>
      <c r="M353" s="14" t="n">
        <v>334.23</v>
      </c>
      <c r="N353" s="14" t="n">
        <v>334.23</v>
      </c>
      <c r="O353" s="14" t="n">
        <v>334.23</v>
      </c>
      <c r="P353" s="14" t="n">
        <v>334.23</v>
      </c>
      <c r="Q353" s="14" t="n">
        <v>334.23</v>
      </c>
      <c r="R353" s="14" t="n">
        <v>334.23</v>
      </c>
      <c r="S353" s="14" t="n">
        <v>334.23</v>
      </c>
      <c r="T353" s="14" t="n">
        <v>334.23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CANON-202601-003522</t>
        </is>
      </c>
      <c r="B354" s="15" t="inlineStr">
        <is>
          <t>2026-01-21</t>
        </is>
      </c>
      <c r="C354" s="15" t="inlineStr">
        <is>
          <t>Ingrid Chattopadhyay</t>
        </is>
      </c>
      <c r="D354" s="15" t="inlineStr">
        <is>
          <t>MA</t>
        </is>
      </c>
      <c r="E354" s="16" t="n">
        <v>330000</v>
      </c>
      <c r="F354" s="16" t="n">
        <v>5237.19</v>
      </c>
      <c r="G354" s="16" t="n">
        <v>654.65</v>
      </c>
      <c r="H354" s="16" t="n">
        <v>654.65</v>
      </c>
      <c r="I354" s="16">
        <f>SUM(K354:T354)</f>
        <v/>
      </c>
      <c r="J354" s="16">
        <f>F354-(G354+H354+I354)</f>
        <v/>
      </c>
      <c r="K354" s="16" t="n">
        <v>392.79</v>
      </c>
      <c r="L354" s="16" t="n">
        <v>392.79</v>
      </c>
      <c r="M354" s="16" t="n">
        <v>392.79</v>
      </c>
      <c r="N354" s="16" t="n">
        <v>392.79</v>
      </c>
      <c r="O354" s="16" t="n">
        <v>392.79</v>
      </c>
      <c r="P354" s="16" t="n">
        <v>392.79</v>
      </c>
      <c r="Q354" s="16" t="n">
        <v>392.79</v>
      </c>
      <c r="R354" s="16" t="n">
        <v>392.79</v>
      </c>
      <c r="S354" s="16" t="n">
        <v>392.79</v>
      </c>
      <c r="T354" s="16" t="n">
        <v>392.79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CANON-202601-003523</t>
        </is>
      </c>
      <c r="B355" s="3" t="inlineStr">
        <is>
          <t>2026-01-12</t>
        </is>
      </c>
      <c r="C355" s="3" t="inlineStr">
        <is>
          <t>Noor Whitlock</t>
        </is>
      </c>
      <c r="D355" s="3" t="inlineStr">
        <is>
          <t>LA</t>
        </is>
      </c>
      <c r="E355" s="14" t="n">
        <v>485000</v>
      </c>
      <c r="F355" s="14" t="n">
        <v>7450.78</v>
      </c>
      <c r="G355" s="14" t="n">
        <v>931.35</v>
      </c>
      <c r="H355" s="14" t="n">
        <v>931.35</v>
      </c>
      <c r="I355" s="14">
        <f>SUM(K355:T355)</f>
        <v/>
      </c>
      <c r="J355" s="14">
        <f>F355-(G355+H355+I355)</f>
        <v/>
      </c>
      <c r="K355" s="14" t="n">
        <v>558.8099999999999</v>
      </c>
      <c r="L355" s="14" t="n">
        <v>558.8099999999999</v>
      </c>
      <c r="M355" s="14" t="n">
        <v>558.8099999999999</v>
      </c>
      <c r="N355" s="14" t="n">
        <v>558.8099999999999</v>
      </c>
      <c r="O355" s="14" t="n">
        <v>558.8099999999999</v>
      </c>
      <c r="P355" s="14" t="n">
        <v>558.8099999999999</v>
      </c>
      <c r="Q355" s="14" t="n">
        <v>558.8099999999999</v>
      </c>
      <c r="R355" s="14" t="n">
        <v>558.8099999999999</v>
      </c>
      <c r="S355" s="14" t="n">
        <v>558.8099999999999</v>
      </c>
      <c r="T355" s="14" t="n">
        <v>558.8099999999999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CANON-202601-003524</t>
        </is>
      </c>
      <c r="B356" s="15" t="inlineStr">
        <is>
          <t>2026-01-11</t>
        </is>
      </c>
      <c r="C356" s="15" t="inlineStr">
        <is>
          <t>Thaddeus Vasquez</t>
        </is>
      </c>
      <c r="D356" s="15" t="inlineStr">
        <is>
          <t>NM</t>
        </is>
      </c>
      <c r="E356" s="16" t="n">
        <v>415000</v>
      </c>
      <c r="F356" s="16" t="n">
        <v>10341.16</v>
      </c>
      <c r="G356" s="16" t="n">
        <v>1292.64</v>
      </c>
      <c r="H356" s="16" t="n">
        <v>1292.64</v>
      </c>
      <c r="I356" s="16">
        <f>SUM(K356:T356)</f>
        <v/>
      </c>
      <c r="J356" s="16">
        <f>F356-(G356+H356+I356)</f>
        <v/>
      </c>
      <c r="K356" s="16" t="n">
        <v>775.59</v>
      </c>
      <c r="L356" s="16" t="n">
        <v>775.59</v>
      </c>
      <c r="M356" s="16" t="n">
        <v>775.59</v>
      </c>
      <c r="N356" s="16" t="n">
        <v>775.59</v>
      </c>
      <c r="O356" s="16" t="n">
        <v>775.59</v>
      </c>
      <c r="P356" s="16" t="n">
        <v>775.59</v>
      </c>
      <c r="Q356" s="16" t="n">
        <v>775.59</v>
      </c>
      <c r="R356" s="16" t="n">
        <v>775.59</v>
      </c>
      <c r="S356" s="16" t="n">
        <v>775.59</v>
      </c>
      <c r="T356" s="16" t="n">
        <v>775.59</v>
      </c>
      <c r="U356" s="16" t="n">
        <v>350</v>
      </c>
      <c r="V356" s="16" t="n">
        <v>0</v>
      </c>
      <c r="W356" s="16">
        <f>U356+V356</f>
        <v/>
      </c>
    </row>
    <row r="357">
      <c r="A357" s="3" t="inlineStr">
        <is>
          <t>CANON-202601-003526</t>
        </is>
      </c>
      <c r="B357" s="3" t="inlineStr">
        <is>
          <t>2026-01-23</t>
        </is>
      </c>
      <c r="C357" s="3" t="inlineStr">
        <is>
          <t>Ramona Castellanos</t>
        </is>
      </c>
      <c r="D357" s="3" t="inlineStr">
        <is>
          <t>OH</t>
        </is>
      </c>
      <c r="E357" s="14" t="n">
        <v>1030000</v>
      </c>
      <c r="F357" s="14" t="n">
        <v>13329.93</v>
      </c>
      <c r="G357" s="14" t="n">
        <v>1666.24</v>
      </c>
      <c r="H357" s="14" t="n">
        <v>1666.24</v>
      </c>
      <c r="I357" s="14">
        <f>SUM(K357:T357)</f>
        <v/>
      </c>
      <c r="J357" s="14">
        <f>F357-(G357+H357+I357)</f>
        <v/>
      </c>
      <c r="K357" s="14" t="n">
        <v>999.74</v>
      </c>
      <c r="L357" s="14" t="n">
        <v>999.74</v>
      </c>
      <c r="M357" s="14" t="n">
        <v>999.74</v>
      </c>
      <c r="N357" s="14" t="n">
        <v>999.74</v>
      </c>
      <c r="O357" s="14" t="n">
        <v>999.74</v>
      </c>
      <c r="P357" s="14" t="n">
        <v>999.74</v>
      </c>
      <c r="Q357" s="14" t="n">
        <v>999.74</v>
      </c>
      <c r="R357" s="14" t="n">
        <v>999.74</v>
      </c>
      <c r="S357" s="14" t="n">
        <v>999.74</v>
      </c>
      <c r="T357" s="14" t="n">
        <v>999.74</v>
      </c>
      <c r="U357" s="14" t="n">
        <v>350</v>
      </c>
      <c r="V357" s="14" t="n">
        <v>250</v>
      </c>
      <c r="W357" s="14">
        <f>U357+V357</f>
        <v/>
      </c>
    </row>
    <row r="358">
      <c r="A358" s="15" t="inlineStr">
        <is>
          <t>CANON-202601-003527</t>
        </is>
      </c>
      <c r="B358" s="15" t="inlineStr">
        <is>
          <t>2026-01-13</t>
        </is>
      </c>
      <c r="C358" s="15" t="inlineStr">
        <is>
          <t>Fenwick Montoya</t>
        </is>
      </c>
      <c r="D358" s="15" t="inlineStr">
        <is>
          <t>VT</t>
        </is>
      </c>
      <c r="E358" s="16" t="n">
        <v>510000</v>
      </c>
      <c r="F358" s="16" t="n">
        <v>6846.31</v>
      </c>
      <c r="G358" s="16" t="n">
        <v>855.79</v>
      </c>
      <c r="H358" s="16" t="n">
        <v>855.79</v>
      </c>
      <c r="I358" s="16">
        <f>SUM(K358:T358)</f>
        <v/>
      </c>
      <c r="J358" s="16">
        <f>F358-(G358+H358+I358)</f>
        <v/>
      </c>
      <c r="K358" s="16" t="n">
        <v>513.47</v>
      </c>
      <c r="L358" s="16" t="n">
        <v>513.47</v>
      </c>
      <c r="M358" s="16" t="n">
        <v>513.47</v>
      </c>
      <c r="N358" s="16" t="n">
        <v>513.47</v>
      </c>
      <c r="O358" s="16" t="n">
        <v>513.47</v>
      </c>
      <c r="P358" s="16" t="n">
        <v>513.47</v>
      </c>
      <c r="Q358" s="16" t="n">
        <v>513.47</v>
      </c>
      <c r="R358" s="16" t="n">
        <v>513.47</v>
      </c>
      <c r="S358" s="16" t="n">
        <v>513.47</v>
      </c>
      <c r="T358" s="16" t="n">
        <v>513.47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CANON-202601-003529</t>
        </is>
      </c>
      <c r="B359" s="3" t="inlineStr">
        <is>
          <t>2026-01-11</t>
        </is>
      </c>
      <c r="C359" s="3" t="inlineStr">
        <is>
          <t>Fitzgerald Larsson</t>
        </is>
      </c>
      <c r="D359" s="3" t="inlineStr">
        <is>
          <t>WV</t>
        </is>
      </c>
      <c r="E359" s="14" t="n">
        <v>1950000</v>
      </c>
      <c r="F359" s="14" t="n">
        <v>14927.21</v>
      </c>
      <c r="G359" s="14" t="n">
        <v>1865.9</v>
      </c>
      <c r="H359" s="14" t="n">
        <v>1865.9</v>
      </c>
      <c r="I359" s="14">
        <f>SUM(K359:T359)</f>
        <v/>
      </c>
      <c r="J359" s="14">
        <f>F359-(G359+H359+I359)</f>
        <v/>
      </c>
      <c r="K359" s="14" t="n">
        <v>1119.54</v>
      </c>
      <c r="L359" s="14" t="n">
        <v>1119.54</v>
      </c>
      <c r="M359" s="14" t="n">
        <v>1119.54</v>
      </c>
      <c r="N359" s="14" t="n">
        <v>1119.54</v>
      </c>
      <c r="O359" s="14" t="n">
        <v>1119.54</v>
      </c>
      <c r="P359" s="14" t="n">
        <v>1119.54</v>
      </c>
      <c r="Q359" s="14" t="n">
        <v>1119.54</v>
      </c>
      <c r="R359" s="14" t="n">
        <v>1119.54</v>
      </c>
      <c r="S359" s="14" t="n">
        <v>1119.54</v>
      </c>
      <c r="T359" s="14" t="n">
        <v>1119.54</v>
      </c>
      <c r="U359" s="14" t="n">
        <v>350</v>
      </c>
      <c r="V359" s="14" t="n">
        <v>250</v>
      </c>
      <c r="W359" s="14">
        <f>U359+V359</f>
        <v/>
      </c>
    </row>
    <row r="360">
      <c r="A360" s="15" t="inlineStr">
        <is>
          <t>CANON-202601-003530</t>
        </is>
      </c>
      <c r="B360" s="15" t="inlineStr">
        <is>
          <t>2026-01-10</t>
        </is>
      </c>
      <c r="C360" s="15" t="inlineStr">
        <is>
          <t>Saoirse Castellanos</t>
        </is>
      </c>
      <c r="D360" s="15" t="inlineStr">
        <is>
          <t>NM</t>
        </is>
      </c>
      <c r="E360" s="16" t="n">
        <v>675000</v>
      </c>
      <c r="F360" s="16" t="n">
        <v>9506.940000000001</v>
      </c>
      <c r="G360" s="16" t="n">
        <v>1188.37</v>
      </c>
      <c r="H360" s="16" t="n">
        <v>1188.37</v>
      </c>
      <c r="I360" s="16">
        <f>SUM(K360:T360)</f>
        <v/>
      </c>
      <c r="J360" s="16">
        <f>F360-(G360+H360+I360)</f>
        <v/>
      </c>
      <c r="K360" s="16" t="n">
        <v>713.02</v>
      </c>
      <c r="L360" s="16" t="n">
        <v>713.02</v>
      </c>
      <c r="M360" s="16" t="n">
        <v>713.02</v>
      </c>
      <c r="N360" s="16" t="n">
        <v>713.02</v>
      </c>
      <c r="O360" s="16" t="n">
        <v>713.02</v>
      </c>
      <c r="P360" s="16" t="n">
        <v>713.02</v>
      </c>
      <c r="Q360" s="16" t="n">
        <v>713.02</v>
      </c>
      <c r="R360" s="16" t="n">
        <v>713.02</v>
      </c>
      <c r="S360" s="16" t="n">
        <v>713.02</v>
      </c>
      <c r="T360" s="16" t="n">
        <v>713.02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CANON-202601-003531</t>
        </is>
      </c>
      <c r="B361" s="3" t="inlineStr">
        <is>
          <t>2026-01-13</t>
        </is>
      </c>
      <c r="C361" s="3" t="inlineStr">
        <is>
          <t>Mireille Bellandi</t>
        </is>
      </c>
      <c r="D361" s="3" t="inlineStr">
        <is>
          <t>TN</t>
        </is>
      </c>
      <c r="E361" s="14" t="n">
        <v>1055000</v>
      </c>
      <c r="F361" s="14" t="n">
        <v>9626.190000000001</v>
      </c>
      <c r="G361" s="14" t="n">
        <v>1203.27</v>
      </c>
      <c r="H361" s="14" t="n">
        <v>1203.27</v>
      </c>
      <c r="I361" s="14">
        <f>SUM(K361:T361)</f>
        <v/>
      </c>
      <c r="J361" s="14">
        <f>F361-(G361+H361+I361)</f>
        <v/>
      </c>
      <c r="K361" s="14" t="n">
        <v>721.96</v>
      </c>
      <c r="L361" s="14" t="n">
        <v>721.96</v>
      </c>
      <c r="M361" s="14" t="n">
        <v>721.96</v>
      </c>
      <c r="N361" s="14" t="n">
        <v>721.96</v>
      </c>
      <c r="O361" s="14" t="n">
        <v>721.96</v>
      </c>
      <c r="P361" s="14" t="n">
        <v>721.96</v>
      </c>
      <c r="Q361" s="14" t="n">
        <v>721.96</v>
      </c>
      <c r="R361" s="14" t="n">
        <v>721.96</v>
      </c>
      <c r="S361" s="14" t="n">
        <v>721.96</v>
      </c>
      <c r="T361" s="14" t="n">
        <v>721.96</v>
      </c>
      <c r="U361" s="14" t="n">
        <v>350</v>
      </c>
      <c r="V361" s="14" t="n">
        <v>250</v>
      </c>
      <c r="W361" s="14">
        <f>U361+V361</f>
        <v/>
      </c>
    </row>
    <row r="362">
      <c r="A362" s="15" t="inlineStr">
        <is>
          <t>CANON-202601-003532</t>
        </is>
      </c>
      <c r="B362" s="15" t="inlineStr">
        <is>
          <t>2026-01-08</t>
        </is>
      </c>
      <c r="C362" s="15" t="inlineStr">
        <is>
          <t>Beatrix Underwood</t>
        </is>
      </c>
      <c r="D362" s="15" t="inlineStr">
        <is>
          <t>MS</t>
        </is>
      </c>
      <c r="E362" s="16" t="n">
        <v>305000</v>
      </c>
      <c r="F362" s="16" t="n">
        <v>4608.09</v>
      </c>
      <c r="G362" s="16" t="n">
        <v>576.01</v>
      </c>
      <c r="H362" s="16" t="n">
        <v>576.01</v>
      </c>
      <c r="I362" s="16">
        <f>SUM(K362:T362)</f>
        <v/>
      </c>
      <c r="J362" s="16">
        <f>F362-(G362+H362+I362)</f>
        <v/>
      </c>
      <c r="K362" s="16" t="n">
        <v>345.61</v>
      </c>
      <c r="L362" s="16" t="n">
        <v>345.61</v>
      </c>
      <c r="M362" s="16" t="n">
        <v>345.61</v>
      </c>
      <c r="N362" s="16" t="n">
        <v>345.61</v>
      </c>
      <c r="O362" s="16" t="n">
        <v>345.61</v>
      </c>
      <c r="P362" s="16" t="n">
        <v>345.61</v>
      </c>
      <c r="Q362" s="16" t="n">
        <v>345.61</v>
      </c>
      <c r="R362" s="16" t="n">
        <v>345.61</v>
      </c>
      <c r="S362" s="16" t="n">
        <v>345.61</v>
      </c>
      <c r="T362" s="16" t="n">
        <v>345.61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CANON-202601-003533</t>
        </is>
      </c>
      <c r="B363" s="3" t="inlineStr">
        <is>
          <t>2026-01-04</t>
        </is>
      </c>
      <c r="C363" s="3" t="inlineStr">
        <is>
          <t>Everett Blackwood</t>
        </is>
      </c>
      <c r="D363" s="3" t="inlineStr">
        <is>
          <t>FL</t>
        </is>
      </c>
      <c r="E363" s="14" t="n">
        <v>630000</v>
      </c>
      <c r="F363" s="14" t="n">
        <v>14386.85</v>
      </c>
      <c r="G363" s="14" t="n">
        <v>1798.36</v>
      </c>
      <c r="H363" s="14" t="n">
        <v>1798.36</v>
      </c>
      <c r="I363" s="14">
        <f>SUM(K363:T363)</f>
        <v/>
      </c>
      <c r="J363" s="14">
        <f>F363-(G363+H363+I363)</f>
        <v/>
      </c>
      <c r="K363" s="14" t="n">
        <v>1079.01</v>
      </c>
      <c r="L363" s="14" t="n">
        <v>1079.01</v>
      </c>
      <c r="M363" s="14" t="n">
        <v>1079.01</v>
      </c>
      <c r="N363" s="14" t="n">
        <v>1079.01</v>
      </c>
      <c r="O363" s="14" t="n">
        <v>1079.01</v>
      </c>
      <c r="P363" s="14" t="n">
        <v>1079.01</v>
      </c>
      <c r="Q363" s="14" t="n">
        <v>1079.01</v>
      </c>
      <c r="R363" s="14" t="n">
        <v>1079.01</v>
      </c>
      <c r="S363" s="14" t="n">
        <v>1079.01</v>
      </c>
      <c r="T363" s="14" t="n">
        <v>1079.01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CANON-202601-003534</t>
        </is>
      </c>
      <c r="B364" s="15" t="inlineStr">
        <is>
          <t>2026-01-01</t>
        </is>
      </c>
      <c r="C364" s="15" t="inlineStr">
        <is>
          <t>Anouk Harrington</t>
        </is>
      </c>
      <c r="D364" s="15" t="inlineStr">
        <is>
          <t>CA</t>
        </is>
      </c>
      <c r="E364" s="16" t="n">
        <v>665000</v>
      </c>
      <c r="F364" s="16" t="n">
        <v>9878.299999999999</v>
      </c>
      <c r="G364" s="16" t="n">
        <v>1234.79</v>
      </c>
      <c r="H364" s="16" t="n">
        <v>1234.79</v>
      </c>
      <c r="I364" s="16">
        <f>SUM(K364:T364)</f>
        <v/>
      </c>
      <c r="J364" s="16">
        <f>F364-(G364+H364+I364)</f>
        <v/>
      </c>
      <c r="K364" s="16" t="n">
        <v>740.87</v>
      </c>
      <c r="L364" s="16" t="n">
        <v>740.87</v>
      </c>
      <c r="M364" s="16" t="n">
        <v>740.87</v>
      </c>
      <c r="N364" s="16" t="n">
        <v>740.87</v>
      </c>
      <c r="O364" s="16" t="n">
        <v>740.87</v>
      </c>
      <c r="P364" s="16" t="n">
        <v>740.87</v>
      </c>
      <c r="Q364" s="16" t="n">
        <v>740.87</v>
      </c>
      <c r="R364" s="16" t="n">
        <v>740.87</v>
      </c>
      <c r="S364" s="16" t="n">
        <v>740.87</v>
      </c>
      <c r="T364" s="16" t="n">
        <v>740.87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CANON-202601-003535</t>
        </is>
      </c>
      <c r="B365" s="3" t="inlineStr">
        <is>
          <t>2026-01-03</t>
        </is>
      </c>
      <c r="C365" s="3" t="inlineStr">
        <is>
          <t>Thaddeus Ashcombe</t>
        </is>
      </c>
      <c r="D365" s="3" t="inlineStr">
        <is>
          <t>OH</t>
        </is>
      </c>
      <c r="E365" s="14" t="n">
        <v>835000</v>
      </c>
      <c r="F365" s="14" t="n">
        <v>7466.18</v>
      </c>
      <c r="G365" s="14" t="n">
        <v>933.27</v>
      </c>
      <c r="H365" s="14" t="n">
        <v>933.27</v>
      </c>
      <c r="I365" s="14">
        <f>SUM(K365:T365)</f>
        <v/>
      </c>
      <c r="J365" s="14">
        <f>F365-(G365+H365+I365)</f>
        <v/>
      </c>
      <c r="K365" s="14" t="n">
        <v>559.96</v>
      </c>
      <c r="L365" s="14" t="n">
        <v>559.96</v>
      </c>
      <c r="M365" s="14" t="n">
        <v>559.96</v>
      </c>
      <c r="N365" s="14" t="n">
        <v>559.96</v>
      </c>
      <c r="O365" s="14" t="n">
        <v>559.96</v>
      </c>
      <c r="P365" s="14" t="n">
        <v>559.96</v>
      </c>
      <c r="Q365" s="14" t="n">
        <v>559.96</v>
      </c>
      <c r="R365" s="14" t="n">
        <v>559.96</v>
      </c>
      <c r="S365" s="14" t="n">
        <v>559.96</v>
      </c>
      <c r="T365" s="14" t="n">
        <v>559.96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CANON-202601-003536</t>
        </is>
      </c>
      <c r="B366" s="15" t="inlineStr">
        <is>
          <t>2026-01-06</t>
        </is>
      </c>
      <c r="C366" s="15" t="inlineStr">
        <is>
          <t>Emiliano Fairweather</t>
        </is>
      </c>
      <c r="D366" s="15" t="inlineStr">
        <is>
          <t>NM</t>
        </is>
      </c>
      <c r="E366" s="16" t="n">
        <v>1205000</v>
      </c>
      <c r="F366" s="16" t="n">
        <v>9921.879999999999</v>
      </c>
      <c r="G366" s="16" t="n">
        <v>1240.23</v>
      </c>
      <c r="H366" s="16" t="n">
        <v>1240.23</v>
      </c>
      <c r="I366" s="16">
        <f>SUM(K366:T366)</f>
        <v/>
      </c>
      <c r="J366" s="16">
        <f>F366-(G366+H366+I366)</f>
        <v/>
      </c>
      <c r="K366" s="16" t="n">
        <v>744.14</v>
      </c>
      <c r="L366" s="16" t="n">
        <v>744.14</v>
      </c>
      <c r="M366" s="16" t="n">
        <v>744.14</v>
      </c>
      <c r="N366" s="16" t="n">
        <v>744.14</v>
      </c>
      <c r="O366" s="16" t="n">
        <v>744.14</v>
      </c>
      <c r="P366" s="16" t="n">
        <v>744.14</v>
      </c>
      <c r="Q366" s="16" t="n">
        <v>744.14</v>
      </c>
      <c r="R366" s="16" t="n">
        <v>744.14</v>
      </c>
      <c r="S366" s="16" t="n">
        <v>744.14</v>
      </c>
      <c r="T366" s="16" t="n">
        <v>744.14</v>
      </c>
      <c r="U366" s="16" t="n">
        <v>350</v>
      </c>
      <c r="V366" s="16" t="n">
        <v>250</v>
      </c>
      <c r="W366" s="16">
        <f>U366+V366</f>
        <v/>
      </c>
    </row>
    <row r="367">
      <c r="A367" s="3" t="inlineStr">
        <is>
          <t>CANON-202601-003537</t>
        </is>
      </c>
      <c r="B367" s="3" t="inlineStr">
        <is>
          <t>2026-01-13</t>
        </is>
      </c>
      <c r="C367" s="3" t="inlineStr">
        <is>
          <t>Ramona Chattopadhyay</t>
        </is>
      </c>
      <c r="D367" s="3" t="inlineStr">
        <is>
          <t>IL</t>
        </is>
      </c>
      <c r="E367" s="14" t="n">
        <v>425000</v>
      </c>
      <c r="F367" s="14" t="n">
        <v>7338.42</v>
      </c>
      <c r="G367" s="14" t="n">
        <v>917.3</v>
      </c>
      <c r="H367" s="14" t="n">
        <v>917.3</v>
      </c>
      <c r="I367" s="14">
        <f>SUM(K367:T367)</f>
        <v/>
      </c>
      <c r="J367" s="14">
        <f>F367-(G367+H367+I367)</f>
        <v/>
      </c>
      <c r="K367" s="14" t="n">
        <v>550.38</v>
      </c>
      <c r="L367" s="14" t="n">
        <v>550.38</v>
      </c>
      <c r="M367" s="14" t="n">
        <v>550.38</v>
      </c>
      <c r="N367" s="14" t="n">
        <v>550.38</v>
      </c>
      <c r="O367" s="14" t="n">
        <v>550.38</v>
      </c>
      <c r="P367" s="14" t="n">
        <v>550.38</v>
      </c>
      <c r="Q367" s="14" t="n">
        <v>550.38</v>
      </c>
      <c r="R367" s="14" t="n">
        <v>550.38</v>
      </c>
      <c r="S367" s="14" t="n">
        <v>550.38</v>
      </c>
      <c r="T367" s="14" t="n">
        <v>550.38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CANON-202601-003538</t>
        </is>
      </c>
      <c r="B368" s="15" t="inlineStr">
        <is>
          <t>2026-01-07</t>
        </is>
      </c>
      <c r="C368" s="15" t="inlineStr">
        <is>
          <t>Wilhelmina Delacroix</t>
        </is>
      </c>
      <c r="D368" s="15" t="inlineStr">
        <is>
          <t>TX</t>
        </is>
      </c>
      <c r="E368" s="16" t="n">
        <v>585000</v>
      </c>
      <c r="F368" s="16" t="n">
        <v>7402.54</v>
      </c>
      <c r="G368" s="16" t="n">
        <v>925.3200000000001</v>
      </c>
      <c r="H368" s="16" t="n">
        <v>925.3200000000001</v>
      </c>
      <c r="I368" s="16">
        <f>SUM(K368:T368)</f>
        <v/>
      </c>
      <c r="J368" s="16">
        <f>F368-(G368+H368+I368)</f>
        <v/>
      </c>
      <c r="K368" s="16" t="n">
        <v>555.1900000000001</v>
      </c>
      <c r="L368" s="16" t="n">
        <v>555.1900000000001</v>
      </c>
      <c r="M368" s="16" t="n">
        <v>555.1900000000001</v>
      </c>
      <c r="N368" s="16" t="n">
        <v>555.1900000000001</v>
      </c>
      <c r="O368" s="16" t="n">
        <v>555.1900000000001</v>
      </c>
      <c r="P368" s="16" t="n">
        <v>555.1900000000001</v>
      </c>
      <c r="Q368" s="16" t="n">
        <v>555.1900000000001</v>
      </c>
      <c r="R368" s="16" t="n">
        <v>555.1900000000001</v>
      </c>
      <c r="S368" s="16" t="n">
        <v>555.1900000000001</v>
      </c>
      <c r="T368" s="16" t="n">
        <v>555.1900000000001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CANON-202601-003540</t>
        </is>
      </c>
      <c r="B369" s="3" t="inlineStr">
        <is>
          <t>2026-01-15</t>
        </is>
      </c>
      <c r="C369" s="3" t="inlineStr">
        <is>
          <t>Anouk Thistlewood</t>
        </is>
      </c>
      <c r="D369" s="3" t="inlineStr">
        <is>
          <t>TX</t>
        </is>
      </c>
      <c r="E369" s="14" t="n">
        <v>695000</v>
      </c>
      <c r="F369" s="14" t="n">
        <v>12853.45</v>
      </c>
      <c r="G369" s="14" t="n">
        <v>1606.68</v>
      </c>
      <c r="H369" s="14" t="n">
        <v>1606.68</v>
      </c>
      <c r="I369" s="14">
        <f>SUM(K369:T369)</f>
        <v/>
      </c>
      <c r="J369" s="14">
        <f>F369-(G369+H369+I369)</f>
        <v/>
      </c>
      <c r="K369" s="14" t="n">
        <v>964.01</v>
      </c>
      <c r="L369" s="14" t="n">
        <v>964.01</v>
      </c>
      <c r="M369" s="14" t="n">
        <v>964.01</v>
      </c>
      <c r="N369" s="14" t="n">
        <v>964.01</v>
      </c>
      <c r="O369" s="14" t="n">
        <v>964.01</v>
      </c>
      <c r="P369" s="14" t="n">
        <v>964.01</v>
      </c>
      <c r="Q369" s="14" t="n">
        <v>964.01</v>
      </c>
      <c r="R369" s="14" t="n">
        <v>964.01</v>
      </c>
      <c r="S369" s="14" t="n">
        <v>964.01</v>
      </c>
      <c r="T369" s="14" t="n">
        <v>964.01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CANON-202601-003541</t>
        </is>
      </c>
      <c r="B370" s="15" t="inlineStr">
        <is>
          <t>2026-01-16</t>
        </is>
      </c>
      <c r="C370" s="15" t="inlineStr">
        <is>
          <t>Marisol Vasquez</t>
        </is>
      </c>
      <c r="D370" s="15" t="inlineStr">
        <is>
          <t>CA</t>
        </is>
      </c>
      <c r="E370" s="16" t="n">
        <v>655000</v>
      </c>
      <c r="F370" s="16" t="n">
        <v>9729.76</v>
      </c>
      <c r="G370" s="16" t="n">
        <v>1216.22</v>
      </c>
      <c r="H370" s="16" t="n">
        <v>1216.22</v>
      </c>
      <c r="I370" s="16">
        <f>SUM(K370:T370)</f>
        <v/>
      </c>
      <c r="J370" s="16">
        <f>F370-(G370+H370+I370)</f>
        <v/>
      </c>
      <c r="K370" s="16" t="n">
        <v>729.73</v>
      </c>
      <c r="L370" s="16" t="n">
        <v>729.73</v>
      </c>
      <c r="M370" s="16" t="n">
        <v>729.73</v>
      </c>
      <c r="N370" s="16" t="n">
        <v>729.73</v>
      </c>
      <c r="O370" s="16" t="n">
        <v>729.73</v>
      </c>
      <c r="P370" s="16" t="n">
        <v>729.73</v>
      </c>
      <c r="Q370" s="16" t="n">
        <v>729.73</v>
      </c>
      <c r="R370" s="16" t="n">
        <v>729.73</v>
      </c>
      <c r="S370" s="16" t="n">
        <v>729.73</v>
      </c>
      <c r="T370" s="16" t="n">
        <v>729.73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CANON-202601-003542</t>
        </is>
      </c>
      <c r="B371" s="3" t="inlineStr">
        <is>
          <t>2026-01-13</t>
        </is>
      </c>
      <c r="C371" s="3" t="inlineStr">
        <is>
          <t>Beatrix Rourke</t>
        </is>
      </c>
      <c r="D371" s="3" t="inlineStr">
        <is>
          <t>MD</t>
        </is>
      </c>
      <c r="E371" s="14" t="n">
        <v>355000</v>
      </c>
      <c r="F371" s="14" t="n">
        <v>5023.98</v>
      </c>
      <c r="G371" s="14" t="n">
        <v>628</v>
      </c>
      <c r="H371" s="14" t="n">
        <v>628</v>
      </c>
      <c r="I371" s="14">
        <f>SUM(K371:T371)</f>
        <v/>
      </c>
      <c r="J371" s="14">
        <f>F371-(G371+H371+I371)</f>
        <v/>
      </c>
      <c r="K371" s="14" t="n">
        <v>376.8</v>
      </c>
      <c r="L371" s="14" t="n">
        <v>376.8</v>
      </c>
      <c r="M371" s="14" t="n">
        <v>376.8</v>
      </c>
      <c r="N371" s="14" t="n">
        <v>376.8</v>
      </c>
      <c r="O371" s="14" t="n">
        <v>376.8</v>
      </c>
      <c r="P371" s="14" t="n">
        <v>376.8</v>
      </c>
      <c r="Q371" s="14" t="n">
        <v>376.8</v>
      </c>
      <c r="R371" s="14" t="n">
        <v>376.8</v>
      </c>
      <c r="S371" s="14" t="n">
        <v>376.8</v>
      </c>
      <c r="T371" s="14" t="n">
        <v>376.8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CANON-202601-003543</t>
        </is>
      </c>
      <c r="B372" s="15" t="inlineStr">
        <is>
          <t>2026-01-16</t>
        </is>
      </c>
      <c r="C372" s="15" t="inlineStr">
        <is>
          <t>Ramona Nakashima</t>
        </is>
      </c>
      <c r="D372" s="15" t="inlineStr">
        <is>
          <t>TX</t>
        </is>
      </c>
      <c r="E372" s="16" t="n">
        <v>360000</v>
      </c>
      <c r="F372" s="16" t="n">
        <v>5256.24</v>
      </c>
      <c r="G372" s="16" t="n">
        <v>657.03</v>
      </c>
      <c r="H372" s="16" t="n">
        <v>657.03</v>
      </c>
      <c r="I372" s="16">
        <f>SUM(K372:T372)</f>
        <v/>
      </c>
      <c r="J372" s="16">
        <f>F372-(G372+H372+I372)</f>
        <v/>
      </c>
      <c r="K372" s="16" t="n">
        <v>394.22</v>
      </c>
      <c r="L372" s="16" t="n">
        <v>394.22</v>
      </c>
      <c r="M372" s="16" t="n">
        <v>394.22</v>
      </c>
      <c r="N372" s="16" t="n">
        <v>394.22</v>
      </c>
      <c r="O372" s="16" t="n">
        <v>394.22</v>
      </c>
      <c r="P372" s="16" t="n">
        <v>394.22</v>
      </c>
      <c r="Q372" s="16" t="n">
        <v>394.22</v>
      </c>
      <c r="R372" s="16" t="n">
        <v>394.22</v>
      </c>
      <c r="S372" s="16" t="n">
        <v>394.22</v>
      </c>
      <c r="T372" s="16" t="n">
        <v>394.22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CANON-202601-003544</t>
        </is>
      </c>
      <c r="B373" s="3" t="inlineStr">
        <is>
          <t>2026-01-25</t>
        </is>
      </c>
      <c r="C373" s="3" t="inlineStr">
        <is>
          <t>Saoirse Farkas</t>
        </is>
      </c>
      <c r="D373" s="3" t="inlineStr">
        <is>
          <t>WI</t>
        </is>
      </c>
      <c r="E373" s="14" t="n">
        <v>320000</v>
      </c>
      <c r="F373" s="14" t="n">
        <v>4875.35</v>
      </c>
      <c r="G373" s="14" t="n">
        <v>609.42</v>
      </c>
      <c r="H373" s="14" t="n">
        <v>609.42</v>
      </c>
      <c r="I373" s="14">
        <f>SUM(K373:T373)</f>
        <v/>
      </c>
      <c r="J373" s="14">
        <f>F373-(G373+H373+I373)</f>
        <v/>
      </c>
      <c r="K373" s="14" t="n">
        <v>365.65</v>
      </c>
      <c r="L373" s="14" t="n">
        <v>365.65</v>
      </c>
      <c r="M373" s="14" t="n">
        <v>365.65</v>
      </c>
      <c r="N373" s="14" t="n">
        <v>365.65</v>
      </c>
      <c r="O373" s="14" t="n">
        <v>365.65</v>
      </c>
      <c r="P373" s="14" t="n">
        <v>365.65</v>
      </c>
      <c r="Q373" s="14" t="n">
        <v>365.65</v>
      </c>
      <c r="R373" s="14" t="n">
        <v>365.65</v>
      </c>
      <c r="S373" s="14" t="n">
        <v>365.65</v>
      </c>
      <c r="T373" s="14" t="n">
        <v>365.65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CANON-202601-003545</t>
        </is>
      </c>
      <c r="B374" s="15" t="inlineStr">
        <is>
          <t>2026-01-23</t>
        </is>
      </c>
      <c r="C374" s="15" t="inlineStr">
        <is>
          <t>Ramona Rourke</t>
        </is>
      </c>
      <c r="D374" s="15" t="inlineStr">
        <is>
          <t>LA</t>
        </is>
      </c>
      <c r="E374" s="16" t="n">
        <v>945000</v>
      </c>
      <c r="F374" s="16" t="n">
        <v>12581.83</v>
      </c>
      <c r="G374" s="16" t="n">
        <v>1572.73</v>
      </c>
      <c r="H374" s="16" t="n">
        <v>1572.73</v>
      </c>
      <c r="I374" s="16">
        <f>SUM(K374:T374)</f>
        <v/>
      </c>
      <c r="J374" s="16">
        <f>F374-(G374+H374+I374)</f>
        <v/>
      </c>
      <c r="K374" s="16" t="n">
        <v>943.64</v>
      </c>
      <c r="L374" s="16" t="n">
        <v>943.64</v>
      </c>
      <c r="M374" s="16" t="n">
        <v>943.64</v>
      </c>
      <c r="N374" s="16" t="n">
        <v>943.64</v>
      </c>
      <c r="O374" s="16" t="n">
        <v>943.64</v>
      </c>
      <c r="P374" s="16" t="n">
        <v>943.64</v>
      </c>
      <c r="Q374" s="16" t="n">
        <v>943.64</v>
      </c>
      <c r="R374" s="16" t="n">
        <v>943.64</v>
      </c>
      <c r="S374" s="16" t="n">
        <v>943.64</v>
      </c>
      <c r="T374" s="16" t="n">
        <v>943.64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CANON-202601-003548</t>
        </is>
      </c>
      <c r="B375" s="3" t="inlineStr">
        <is>
          <t>2026-01-05</t>
        </is>
      </c>
      <c r="C375" s="3" t="inlineStr">
        <is>
          <t>Emiliano Thistlewood</t>
        </is>
      </c>
      <c r="D375" s="3" t="inlineStr">
        <is>
          <t>PA</t>
        </is>
      </c>
      <c r="E375" s="14" t="n">
        <v>350000</v>
      </c>
      <c r="F375" s="14" t="n">
        <v>4443.68</v>
      </c>
      <c r="G375" s="14" t="n">
        <v>555.46</v>
      </c>
      <c r="H375" s="14" t="n">
        <v>555.46</v>
      </c>
      <c r="I375" s="14">
        <f>SUM(K375:T375)</f>
        <v/>
      </c>
      <c r="J375" s="14">
        <f>F375-(G375+H375+I375)</f>
        <v/>
      </c>
      <c r="K375" s="14" t="n">
        <v>333.28</v>
      </c>
      <c r="L375" s="14" t="n">
        <v>333.28</v>
      </c>
      <c r="M375" s="14" t="n">
        <v>333.28</v>
      </c>
      <c r="N375" s="14" t="n">
        <v>333.28</v>
      </c>
      <c r="O375" s="14" t="n">
        <v>333.28</v>
      </c>
      <c r="P375" s="14" t="n">
        <v>333.28</v>
      </c>
      <c r="Q375" s="14" t="n">
        <v>333.28</v>
      </c>
      <c r="R375" s="14" t="n">
        <v>333.28</v>
      </c>
      <c r="S375" s="14" t="n">
        <v>333.28</v>
      </c>
      <c r="T375" s="14" t="n">
        <v>333.28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CANON-202601-003549</t>
        </is>
      </c>
      <c r="B376" s="15" t="inlineStr">
        <is>
          <t>2026-01-28</t>
        </is>
      </c>
      <c r="C376" s="15" t="inlineStr">
        <is>
          <t>Lorenzo Farkas</t>
        </is>
      </c>
      <c r="D376" s="15" t="inlineStr">
        <is>
          <t>AR</t>
        </is>
      </c>
      <c r="E376" s="16" t="n">
        <v>480000</v>
      </c>
      <c r="F376" s="16" t="n">
        <v>8409.98</v>
      </c>
      <c r="G376" s="16" t="n">
        <v>1051.25</v>
      </c>
      <c r="H376" s="16" t="n">
        <v>1051.25</v>
      </c>
      <c r="I376" s="16">
        <f>SUM(K376:T376)</f>
        <v/>
      </c>
      <c r="J376" s="16">
        <f>F376-(G376+H376+I376)</f>
        <v/>
      </c>
      <c r="K376" s="16" t="n">
        <v>630.75</v>
      </c>
      <c r="L376" s="16" t="n">
        <v>630.75</v>
      </c>
      <c r="M376" s="16" t="n">
        <v>630.75</v>
      </c>
      <c r="N376" s="16" t="n">
        <v>630.75</v>
      </c>
      <c r="O376" s="16" t="n">
        <v>630.75</v>
      </c>
      <c r="P376" s="16" t="n">
        <v>630.75</v>
      </c>
      <c r="Q376" s="16" t="n">
        <v>630.75</v>
      </c>
      <c r="R376" s="16" t="n">
        <v>630.75</v>
      </c>
      <c r="S376" s="16" t="n">
        <v>630.75</v>
      </c>
      <c r="T376" s="16" t="n">
        <v>630.75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CANON-202601-003552</t>
        </is>
      </c>
      <c r="B377" s="3" t="inlineStr">
        <is>
          <t>2026-01-17</t>
        </is>
      </c>
      <c r="C377" s="3" t="inlineStr">
        <is>
          <t>Ottilie Merriweather</t>
        </is>
      </c>
      <c r="D377" s="3" t="inlineStr">
        <is>
          <t>CO</t>
        </is>
      </c>
      <c r="E377" s="14" t="n">
        <v>450000</v>
      </c>
      <c r="F377" s="14" t="n">
        <v>4022.17</v>
      </c>
      <c r="G377" s="14" t="n">
        <v>502.77</v>
      </c>
      <c r="H377" s="14" t="n">
        <v>502.77</v>
      </c>
      <c r="I377" s="14">
        <f>SUM(K377:T377)</f>
        <v/>
      </c>
      <c r="J377" s="14">
        <f>F377-(G377+H377+I377)</f>
        <v/>
      </c>
      <c r="K377" s="14" t="n">
        <v>301.66</v>
      </c>
      <c r="L377" s="14" t="n">
        <v>301.66</v>
      </c>
      <c r="M377" s="14" t="n">
        <v>301.66</v>
      </c>
      <c r="N377" s="14" t="n">
        <v>301.66</v>
      </c>
      <c r="O377" s="14" t="n">
        <v>301.66</v>
      </c>
      <c r="P377" s="14" t="n">
        <v>301.66</v>
      </c>
      <c r="Q377" s="14" t="n">
        <v>301.66</v>
      </c>
      <c r="R377" s="14" t="n">
        <v>301.66</v>
      </c>
      <c r="S377" s="14" t="n">
        <v>301.66</v>
      </c>
      <c r="T377" s="14" t="n">
        <v>301.66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CANON-202601-003553</t>
        </is>
      </c>
      <c r="B378" s="15" t="inlineStr">
        <is>
          <t>2026-01-17</t>
        </is>
      </c>
      <c r="C378" s="15" t="inlineStr">
        <is>
          <t>Sunniva Castellanos</t>
        </is>
      </c>
      <c r="D378" s="15" t="inlineStr">
        <is>
          <t>WA</t>
        </is>
      </c>
      <c r="E378" s="16" t="n">
        <v>1020000</v>
      </c>
      <c r="F378" s="16" t="n">
        <v>9116.91</v>
      </c>
      <c r="G378" s="16" t="n">
        <v>1139.61</v>
      </c>
      <c r="H378" s="16" t="n">
        <v>1139.61</v>
      </c>
      <c r="I378" s="16">
        <f>SUM(K378:T378)</f>
        <v/>
      </c>
      <c r="J378" s="16">
        <f>F378-(G378+H378+I378)</f>
        <v/>
      </c>
      <c r="K378" s="16" t="n">
        <v>683.77</v>
      </c>
      <c r="L378" s="16" t="n">
        <v>683.77</v>
      </c>
      <c r="M378" s="16" t="n">
        <v>683.77</v>
      </c>
      <c r="N378" s="16" t="n">
        <v>683.77</v>
      </c>
      <c r="O378" s="16" t="n">
        <v>683.77</v>
      </c>
      <c r="P378" s="16" t="n">
        <v>683.77</v>
      </c>
      <c r="Q378" s="16" t="n">
        <v>683.77</v>
      </c>
      <c r="R378" s="16" t="n">
        <v>683.77</v>
      </c>
      <c r="S378" s="16" t="n">
        <v>683.77</v>
      </c>
      <c r="T378" s="16" t="n">
        <v>683.77</v>
      </c>
      <c r="U378" s="16" t="n">
        <v>350</v>
      </c>
      <c r="V378" s="16" t="n">
        <v>250</v>
      </c>
      <c r="W378" s="16">
        <f>U378+V378</f>
        <v/>
      </c>
    </row>
    <row r="379">
      <c r="A379" s="3" t="inlineStr">
        <is>
          <t>CANON-202601-003555</t>
        </is>
      </c>
      <c r="B379" s="3" t="inlineStr">
        <is>
          <t>2026-01-20</t>
        </is>
      </c>
      <c r="C379" s="3" t="inlineStr">
        <is>
          <t>Wilhelmina Vandermeer</t>
        </is>
      </c>
      <c r="D379" s="3" t="inlineStr">
        <is>
          <t>OH</t>
        </is>
      </c>
      <c r="E379" s="14" t="n">
        <v>680000</v>
      </c>
      <c r="F379" s="14" t="n">
        <v>10400.41</v>
      </c>
      <c r="G379" s="14" t="n">
        <v>1300.05</v>
      </c>
      <c r="H379" s="14" t="n">
        <v>1300.05</v>
      </c>
      <c r="I379" s="14">
        <f>SUM(K379:T379)</f>
        <v/>
      </c>
      <c r="J379" s="14">
        <f>F379-(G379+H379+I379)</f>
        <v/>
      </c>
      <c r="K379" s="14" t="n">
        <v>780.03</v>
      </c>
      <c r="L379" s="14" t="n">
        <v>780.03</v>
      </c>
      <c r="M379" s="14" t="n">
        <v>780.03</v>
      </c>
      <c r="N379" s="14" t="n">
        <v>780.03</v>
      </c>
      <c r="O379" s="14" t="n">
        <v>780.03</v>
      </c>
      <c r="P379" s="14" t="n">
        <v>780.03</v>
      </c>
      <c r="Q379" s="14" t="n">
        <v>780.03</v>
      </c>
      <c r="R379" s="14" t="n">
        <v>780.03</v>
      </c>
      <c r="S379" s="14" t="n">
        <v>780.03</v>
      </c>
      <c r="T379" s="14" t="n">
        <v>780.03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CANON-202601-003556</t>
        </is>
      </c>
      <c r="B380" s="15" t="inlineStr">
        <is>
          <t>2026-01-22</t>
        </is>
      </c>
      <c r="C380" s="15" t="inlineStr">
        <is>
          <t>Aurelio Rourke</t>
        </is>
      </c>
      <c r="D380" s="15" t="inlineStr">
        <is>
          <t>NY</t>
        </is>
      </c>
      <c r="E380" s="16" t="n">
        <v>180000</v>
      </c>
      <c r="F380" s="16" t="n">
        <v>3588.26</v>
      </c>
      <c r="G380" s="16" t="n">
        <v>448.53</v>
      </c>
      <c r="H380" s="16" t="n">
        <v>448.53</v>
      </c>
      <c r="I380" s="16">
        <f>SUM(K380:T380)</f>
        <v/>
      </c>
      <c r="J380" s="16">
        <f>F380-(G380+H380+I380)</f>
        <v/>
      </c>
      <c r="K380" s="16" t="n">
        <v>269.12</v>
      </c>
      <c r="L380" s="16" t="n">
        <v>269.12</v>
      </c>
      <c r="M380" s="16" t="n">
        <v>269.12</v>
      </c>
      <c r="N380" s="16" t="n">
        <v>269.12</v>
      </c>
      <c r="O380" s="16" t="n">
        <v>269.12</v>
      </c>
      <c r="P380" s="16" t="n">
        <v>269.12</v>
      </c>
      <c r="Q380" s="16" t="n">
        <v>269.12</v>
      </c>
      <c r="R380" s="16" t="n">
        <v>269.12</v>
      </c>
      <c r="S380" s="16" t="n">
        <v>269.12</v>
      </c>
      <c r="T380" s="16" t="n">
        <v>269.12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CANON-202601-003557</t>
        </is>
      </c>
      <c r="B381" s="3" t="inlineStr">
        <is>
          <t>2026-01-27</t>
        </is>
      </c>
      <c r="C381" s="3" t="inlineStr">
        <is>
          <t>Sunniva Bellandi</t>
        </is>
      </c>
      <c r="D381" s="3" t="inlineStr">
        <is>
          <t>UT</t>
        </is>
      </c>
      <c r="E381" s="14" t="n">
        <v>315000</v>
      </c>
      <c r="F381" s="14" t="n">
        <v>5399.07</v>
      </c>
      <c r="G381" s="14" t="n">
        <v>674.88</v>
      </c>
      <c r="H381" s="14" t="n">
        <v>674.88</v>
      </c>
      <c r="I381" s="14">
        <f>SUM(K381:T381)</f>
        <v/>
      </c>
      <c r="J381" s="14">
        <f>F381-(G381+H381+I381)</f>
        <v/>
      </c>
      <c r="K381" s="14" t="n">
        <v>404.93</v>
      </c>
      <c r="L381" s="14" t="n">
        <v>404.93</v>
      </c>
      <c r="M381" s="14" t="n">
        <v>404.93</v>
      </c>
      <c r="N381" s="14" t="n">
        <v>404.93</v>
      </c>
      <c r="O381" s="14" t="n">
        <v>404.93</v>
      </c>
      <c r="P381" s="14" t="n">
        <v>404.93</v>
      </c>
      <c r="Q381" s="14" t="n">
        <v>404.93</v>
      </c>
      <c r="R381" s="14" t="n">
        <v>404.93</v>
      </c>
      <c r="S381" s="14" t="n">
        <v>404.93</v>
      </c>
      <c r="T381" s="14" t="n">
        <v>404.93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CANON-202601-003558</t>
        </is>
      </c>
      <c r="B382" s="15" t="inlineStr">
        <is>
          <t>2026-01-09</t>
        </is>
      </c>
      <c r="C382" s="15" t="inlineStr">
        <is>
          <t>Ramona Larsson</t>
        </is>
      </c>
      <c r="D382" s="15" t="inlineStr">
        <is>
          <t>WA</t>
        </is>
      </c>
      <c r="E382" s="16" t="n">
        <v>705000</v>
      </c>
      <c r="F382" s="16" t="n">
        <v>7447.1</v>
      </c>
      <c r="G382" s="16" t="n">
        <v>930.89</v>
      </c>
      <c r="H382" s="16" t="n">
        <v>930.89</v>
      </c>
      <c r="I382" s="16">
        <f>SUM(K382:T382)</f>
        <v/>
      </c>
      <c r="J382" s="16">
        <f>F382-(G382+H382+I382)</f>
        <v/>
      </c>
      <c r="K382" s="16" t="n">
        <v>558.53</v>
      </c>
      <c r="L382" s="16" t="n">
        <v>558.53</v>
      </c>
      <c r="M382" s="16" t="n">
        <v>558.53</v>
      </c>
      <c r="N382" s="16" t="n">
        <v>558.53</v>
      </c>
      <c r="O382" s="16" t="n">
        <v>558.53</v>
      </c>
      <c r="P382" s="16" t="n">
        <v>558.53</v>
      </c>
      <c r="Q382" s="16" t="n">
        <v>558.53</v>
      </c>
      <c r="R382" s="16" t="n">
        <v>558.53</v>
      </c>
      <c r="S382" s="16" t="n">
        <v>558.53</v>
      </c>
      <c r="T382" s="16" t="n">
        <v>558.53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CANON-202601-003559</t>
        </is>
      </c>
      <c r="B383" s="3" t="inlineStr">
        <is>
          <t>2026-01-26</t>
        </is>
      </c>
      <c r="C383" s="3" t="inlineStr">
        <is>
          <t>Lorenzo Fairweather</t>
        </is>
      </c>
      <c r="D383" s="3" t="inlineStr">
        <is>
          <t>OH</t>
        </is>
      </c>
      <c r="E383" s="14" t="n">
        <v>375000</v>
      </c>
      <c r="F383" s="14" t="n">
        <v>6617.91</v>
      </c>
      <c r="G383" s="14" t="n">
        <v>827.24</v>
      </c>
      <c r="H383" s="14" t="n">
        <v>827.24</v>
      </c>
      <c r="I383" s="14">
        <f>SUM(K383:T383)</f>
        <v/>
      </c>
      <c r="J383" s="14">
        <f>F383-(G383+H383+I383)</f>
        <v/>
      </c>
      <c r="K383" s="14" t="n">
        <v>496.34</v>
      </c>
      <c r="L383" s="14" t="n">
        <v>496.34</v>
      </c>
      <c r="M383" s="14" t="n">
        <v>496.34</v>
      </c>
      <c r="N383" s="14" t="n">
        <v>496.34</v>
      </c>
      <c r="O383" s="14" t="n">
        <v>496.34</v>
      </c>
      <c r="P383" s="14" t="n">
        <v>496.34</v>
      </c>
      <c r="Q383" s="14" t="n">
        <v>496.34</v>
      </c>
      <c r="R383" s="14" t="n">
        <v>496.34</v>
      </c>
      <c r="S383" s="14" t="n">
        <v>496.34</v>
      </c>
      <c r="T383" s="14" t="n">
        <v>496.34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CANON-202601-003561</t>
        </is>
      </c>
      <c r="B384" s="15" t="inlineStr">
        <is>
          <t>2026-01-18</t>
        </is>
      </c>
      <c r="C384" s="15" t="inlineStr">
        <is>
          <t>Callum Kingsford</t>
        </is>
      </c>
      <c r="D384" s="15" t="inlineStr">
        <is>
          <t>HI</t>
        </is>
      </c>
      <c r="E384" s="16" t="n">
        <v>590000</v>
      </c>
      <c r="F384" s="16" t="n">
        <v>10127.52</v>
      </c>
      <c r="G384" s="16" t="n">
        <v>1265.94</v>
      </c>
      <c r="H384" s="16" t="n">
        <v>1265.94</v>
      </c>
      <c r="I384" s="16">
        <f>SUM(K384:T384)</f>
        <v/>
      </c>
      <c r="J384" s="16">
        <f>F384-(G384+H384+I384)</f>
        <v/>
      </c>
      <c r="K384" s="16" t="n">
        <v>759.5599999999999</v>
      </c>
      <c r="L384" s="16" t="n">
        <v>759.5599999999999</v>
      </c>
      <c r="M384" s="16" t="n">
        <v>759.5599999999999</v>
      </c>
      <c r="N384" s="16" t="n">
        <v>759.5599999999999</v>
      </c>
      <c r="O384" s="16" t="n">
        <v>759.5599999999999</v>
      </c>
      <c r="P384" s="16" t="n">
        <v>759.5599999999999</v>
      </c>
      <c r="Q384" s="16" t="n">
        <v>759.5599999999999</v>
      </c>
      <c r="R384" s="16" t="n">
        <v>759.5599999999999</v>
      </c>
      <c r="S384" s="16" t="n">
        <v>759.5599999999999</v>
      </c>
      <c r="T384" s="16" t="n">
        <v>759.5599999999999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CANON-202601-003562</t>
        </is>
      </c>
      <c r="B385" s="3" t="inlineStr">
        <is>
          <t>2026-01-17</t>
        </is>
      </c>
      <c r="C385" s="3" t="inlineStr">
        <is>
          <t>Fitzgerald Blackwood</t>
        </is>
      </c>
      <c r="D385" s="3" t="inlineStr">
        <is>
          <t>CA</t>
        </is>
      </c>
      <c r="E385" s="14" t="n">
        <v>750000</v>
      </c>
      <c r="F385" s="14" t="n">
        <v>11140.94</v>
      </c>
      <c r="G385" s="14" t="n">
        <v>1392.62</v>
      </c>
      <c r="H385" s="14" t="n">
        <v>1392.62</v>
      </c>
      <c r="I385" s="14">
        <f>SUM(K385:T385)</f>
        <v/>
      </c>
      <c r="J385" s="14">
        <f>F385-(G385+H385+I385)</f>
        <v/>
      </c>
      <c r="K385" s="14" t="n">
        <v>835.5700000000001</v>
      </c>
      <c r="L385" s="14" t="n">
        <v>835.5700000000001</v>
      </c>
      <c r="M385" s="14" t="n">
        <v>835.5700000000001</v>
      </c>
      <c r="N385" s="14" t="n">
        <v>835.5700000000001</v>
      </c>
      <c r="O385" s="14" t="n">
        <v>835.5700000000001</v>
      </c>
      <c r="P385" s="14" t="n">
        <v>835.5700000000001</v>
      </c>
      <c r="Q385" s="14" t="n">
        <v>835.5700000000001</v>
      </c>
      <c r="R385" s="14" t="n">
        <v>835.5700000000001</v>
      </c>
      <c r="S385" s="14" t="n">
        <v>835.5700000000001</v>
      </c>
      <c r="T385" s="14" t="n">
        <v>835.5700000000001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CANON-202601-003563</t>
        </is>
      </c>
      <c r="B386" s="15" t="inlineStr">
        <is>
          <t>2026-01-25</t>
        </is>
      </c>
      <c r="C386" s="15" t="inlineStr">
        <is>
          <t>Aurelio Larsson</t>
        </is>
      </c>
      <c r="D386" s="15" t="inlineStr">
        <is>
          <t>SC</t>
        </is>
      </c>
      <c r="E386" s="16" t="n">
        <v>1115000</v>
      </c>
      <c r="F386" s="16" t="n">
        <v>8893.93</v>
      </c>
      <c r="G386" s="16" t="n">
        <v>1111.74</v>
      </c>
      <c r="H386" s="16" t="n">
        <v>1111.74</v>
      </c>
      <c r="I386" s="16">
        <f>SUM(K386:T386)</f>
        <v/>
      </c>
      <c r="J386" s="16">
        <f>F386-(G386+H386+I386)</f>
        <v/>
      </c>
      <c r="K386" s="16" t="n">
        <v>667.04</v>
      </c>
      <c r="L386" s="16" t="n">
        <v>667.04</v>
      </c>
      <c r="M386" s="16" t="n">
        <v>667.04</v>
      </c>
      <c r="N386" s="16" t="n">
        <v>667.04</v>
      </c>
      <c r="O386" s="16" t="n">
        <v>667.04</v>
      </c>
      <c r="P386" s="16" t="n">
        <v>667.04</v>
      </c>
      <c r="Q386" s="16" t="n">
        <v>667.04</v>
      </c>
      <c r="R386" s="16" t="n">
        <v>667.04</v>
      </c>
      <c r="S386" s="16" t="n">
        <v>667.04</v>
      </c>
      <c r="T386" s="16" t="n">
        <v>667.04</v>
      </c>
      <c r="U386" s="16" t="n">
        <v>350</v>
      </c>
      <c r="V386" s="16" t="n">
        <v>250</v>
      </c>
      <c r="W386" s="16">
        <f>U386+V386</f>
        <v/>
      </c>
    </row>
    <row r="387">
      <c r="A387" s="3" t="inlineStr">
        <is>
          <t>CANON-202601-003564</t>
        </is>
      </c>
      <c r="B387" s="3" t="inlineStr">
        <is>
          <t>2026-01-15</t>
        </is>
      </c>
      <c r="C387" s="3" t="inlineStr">
        <is>
          <t>Thaddeus Ashcombe</t>
        </is>
      </c>
      <c r="D387" s="3" t="inlineStr">
        <is>
          <t>NE</t>
        </is>
      </c>
      <c r="E387" s="14" t="n">
        <v>225000</v>
      </c>
      <c r="F387" s="14" t="n">
        <v>4555.41</v>
      </c>
      <c r="G387" s="14" t="n">
        <v>569.4299999999999</v>
      </c>
      <c r="H387" s="14" t="n">
        <v>569.4299999999999</v>
      </c>
      <c r="I387" s="14">
        <f>SUM(K387:T387)</f>
        <v/>
      </c>
      <c r="J387" s="14">
        <f>F387-(G387+H387+I387)</f>
        <v/>
      </c>
      <c r="K387" s="14" t="n">
        <v>341.66</v>
      </c>
      <c r="L387" s="14" t="n">
        <v>341.66</v>
      </c>
      <c r="M387" s="14" t="n">
        <v>341.66</v>
      </c>
      <c r="N387" s="14" t="n">
        <v>341.66</v>
      </c>
      <c r="O387" s="14" t="n">
        <v>341.66</v>
      </c>
      <c r="P387" s="14" t="n">
        <v>341.66</v>
      </c>
      <c r="Q387" s="14" t="n">
        <v>341.66</v>
      </c>
      <c r="R387" s="14" t="n">
        <v>341.66</v>
      </c>
      <c r="S387" s="14" t="n">
        <v>341.66</v>
      </c>
      <c r="T387" s="14" t="n">
        <v>341.66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CANON-202601-003565</t>
        </is>
      </c>
      <c r="B388" s="15" t="inlineStr">
        <is>
          <t>2026-01-22</t>
        </is>
      </c>
      <c r="C388" s="15" t="inlineStr">
        <is>
          <t>Cassius Fairweather</t>
        </is>
      </c>
      <c r="D388" s="15" t="inlineStr">
        <is>
          <t>SD</t>
        </is>
      </c>
      <c r="E388" s="16" t="n">
        <v>260000</v>
      </c>
      <c r="F388" s="16" t="n">
        <v>3664.13</v>
      </c>
      <c r="G388" s="16" t="n">
        <v>458.02</v>
      </c>
      <c r="H388" s="16" t="n">
        <v>458.02</v>
      </c>
      <c r="I388" s="16">
        <f>SUM(K388:T388)</f>
        <v/>
      </c>
      <c r="J388" s="16">
        <f>F388-(G388+H388+I388)</f>
        <v/>
      </c>
      <c r="K388" s="16" t="n">
        <v>274.81</v>
      </c>
      <c r="L388" s="16" t="n">
        <v>274.81</v>
      </c>
      <c r="M388" s="16" t="n">
        <v>274.81</v>
      </c>
      <c r="N388" s="16" t="n">
        <v>274.81</v>
      </c>
      <c r="O388" s="16" t="n">
        <v>274.81</v>
      </c>
      <c r="P388" s="16" t="n">
        <v>274.81</v>
      </c>
      <c r="Q388" s="16" t="n">
        <v>274.81</v>
      </c>
      <c r="R388" s="16" t="n">
        <v>274.81</v>
      </c>
      <c r="S388" s="16" t="n">
        <v>274.81</v>
      </c>
      <c r="T388" s="16" t="n">
        <v>274.81</v>
      </c>
      <c r="U388" s="16" t="n">
        <v>350</v>
      </c>
      <c r="V388" s="16" t="n">
        <v>0</v>
      </c>
      <c r="W388" s="16">
        <f>U388+V388</f>
        <v/>
      </c>
    </row>
    <row r="389">
      <c r="A389" s="3" t="inlineStr">
        <is>
          <t>CANON-202601-003566</t>
        </is>
      </c>
      <c r="B389" s="3" t="inlineStr">
        <is>
          <t>2026-01-30</t>
        </is>
      </c>
      <c r="C389" s="3" t="inlineStr">
        <is>
          <t>Emiliano Blackwood</t>
        </is>
      </c>
      <c r="D389" s="3" t="inlineStr">
        <is>
          <t>CA</t>
        </is>
      </c>
      <c r="E389" s="14" t="n">
        <v>225000</v>
      </c>
      <c r="F389" s="14" t="n">
        <v>4730.61</v>
      </c>
      <c r="G389" s="14" t="n">
        <v>591.33</v>
      </c>
      <c r="H389" s="14" t="n">
        <v>591.33</v>
      </c>
      <c r="I389" s="14">
        <f>SUM(K389:T389)</f>
        <v/>
      </c>
      <c r="J389" s="14">
        <f>F389-(G389+H389+I389)</f>
        <v/>
      </c>
      <c r="K389" s="14" t="n">
        <v>354.8</v>
      </c>
      <c r="L389" s="14" t="n">
        <v>354.8</v>
      </c>
      <c r="M389" s="14" t="n">
        <v>354.8</v>
      </c>
      <c r="N389" s="14" t="n">
        <v>354.8</v>
      </c>
      <c r="O389" s="14" t="n">
        <v>354.8</v>
      </c>
      <c r="P389" s="14" t="n">
        <v>354.8</v>
      </c>
      <c r="Q389" s="14" t="n">
        <v>354.8</v>
      </c>
      <c r="R389" s="14" t="n">
        <v>354.8</v>
      </c>
      <c r="S389" s="14" t="n">
        <v>354.8</v>
      </c>
      <c r="T389" s="14" t="n">
        <v>354.8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CANON-202601-003567</t>
        </is>
      </c>
      <c r="B390" s="15" t="inlineStr">
        <is>
          <t>2026-01-15</t>
        </is>
      </c>
      <c r="C390" s="15" t="inlineStr">
        <is>
          <t>Priya Vasquez</t>
        </is>
      </c>
      <c r="D390" s="15" t="inlineStr">
        <is>
          <t>CT</t>
        </is>
      </c>
      <c r="E390" s="16" t="n">
        <v>625000</v>
      </c>
      <c r="F390" s="16" t="n">
        <v>11257.32</v>
      </c>
      <c r="G390" s="16" t="n">
        <v>1407.16</v>
      </c>
      <c r="H390" s="16" t="n">
        <v>1407.16</v>
      </c>
      <c r="I390" s="16">
        <f>SUM(K390:T390)</f>
        <v/>
      </c>
      <c r="J390" s="16">
        <f>F390-(G390+H390+I390)</f>
        <v/>
      </c>
      <c r="K390" s="16" t="n">
        <v>844.3</v>
      </c>
      <c r="L390" s="16" t="n">
        <v>844.3</v>
      </c>
      <c r="M390" s="16" t="n">
        <v>844.3</v>
      </c>
      <c r="N390" s="16" t="n">
        <v>844.3</v>
      </c>
      <c r="O390" s="16" t="n">
        <v>844.3</v>
      </c>
      <c r="P390" s="16" t="n">
        <v>844.3</v>
      </c>
      <c r="Q390" s="16" t="n">
        <v>844.3</v>
      </c>
      <c r="R390" s="16" t="n">
        <v>844.3</v>
      </c>
      <c r="S390" s="16" t="n">
        <v>844.3</v>
      </c>
      <c r="T390" s="16" t="n">
        <v>844.3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CANON-202601-003568</t>
        </is>
      </c>
      <c r="B391" s="3" t="inlineStr">
        <is>
          <t>2026-01-09</t>
        </is>
      </c>
      <c r="C391" s="3" t="inlineStr">
        <is>
          <t>Horace Vandermeer</t>
        </is>
      </c>
      <c r="D391" s="3" t="inlineStr">
        <is>
          <t>SC</t>
        </is>
      </c>
      <c r="E391" s="14" t="n">
        <v>1025000</v>
      </c>
      <c r="F391" s="14" t="n">
        <v>7315.39</v>
      </c>
      <c r="G391" s="14" t="n">
        <v>914.42</v>
      </c>
      <c r="H391" s="14" t="n">
        <v>914.42</v>
      </c>
      <c r="I391" s="14">
        <f>SUM(K391:T391)</f>
        <v/>
      </c>
      <c r="J391" s="14">
        <f>F391-(G391+H391+I391)</f>
        <v/>
      </c>
      <c r="K391" s="14" t="n">
        <v>548.65</v>
      </c>
      <c r="L391" s="14" t="n">
        <v>548.65</v>
      </c>
      <c r="M391" s="14" t="n">
        <v>548.65</v>
      </c>
      <c r="N391" s="14" t="n">
        <v>548.65</v>
      </c>
      <c r="O391" s="14" t="n">
        <v>548.65</v>
      </c>
      <c r="P391" s="14" t="n">
        <v>548.65</v>
      </c>
      <c r="Q391" s="14" t="n">
        <v>548.65</v>
      </c>
      <c r="R391" s="14" t="n">
        <v>548.65</v>
      </c>
      <c r="S391" s="14" t="n">
        <v>548.65</v>
      </c>
      <c r="T391" s="14" t="n">
        <v>548.65</v>
      </c>
      <c r="U391" s="14" t="n">
        <v>350</v>
      </c>
      <c r="V391" s="14" t="n">
        <v>250</v>
      </c>
      <c r="W391" s="14">
        <f>U391+V391</f>
        <v/>
      </c>
    </row>
    <row r="392">
      <c r="A392" s="15" t="inlineStr">
        <is>
          <t>CANON-202601-003569</t>
        </is>
      </c>
      <c r="B392" s="15" t="inlineStr">
        <is>
          <t>2026-01-06</t>
        </is>
      </c>
      <c r="C392" s="15" t="inlineStr">
        <is>
          <t>Noor Larsson</t>
        </is>
      </c>
      <c r="D392" s="15" t="inlineStr">
        <is>
          <t>OR</t>
        </is>
      </c>
      <c r="E392" s="16" t="n">
        <v>520000</v>
      </c>
      <c r="F392" s="16" t="n">
        <v>4277.24</v>
      </c>
      <c r="G392" s="16" t="n">
        <v>534.65</v>
      </c>
      <c r="H392" s="16" t="n">
        <v>534.65</v>
      </c>
      <c r="I392" s="16">
        <f>SUM(K392:T392)</f>
        <v/>
      </c>
      <c r="J392" s="16">
        <f>F392-(G392+H392+I392)</f>
        <v/>
      </c>
      <c r="K392" s="16" t="n">
        <v>320.79</v>
      </c>
      <c r="L392" s="16" t="n">
        <v>320.79</v>
      </c>
      <c r="M392" s="16" t="n">
        <v>320.79</v>
      </c>
      <c r="N392" s="16" t="n">
        <v>320.79</v>
      </c>
      <c r="O392" s="16" t="n">
        <v>320.79</v>
      </c>
      <c r="P392" s="16" t="n">
        <v>320.79</v>
      </c>
      <c r="Q392" s="16" t="n">
        <v>320.79</v>
      </c>
      <c r="R392" s="16" t="n">
        <v>320.79</v>
      </c>
      <c r="S392" s="16" t="n">
        <v>320.79</v>
      </c>
      <c r="T392" s="16" t="n">
        <v>320.79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CANON-202601-003571</t>
        </is>
      </c>
      <c r="B393" s="3" t="inlineStr">
        <is>
          <t>2026-01-07</t>
        </is>
      </c>
      <c r="C393" s="3" t="inlineStr">
        <is>
          <t>Fitzgerald Nakashima</t>
        </is>
      </c>
      <c r="D393" s="3" t="inlineStr">
        <is>
          <t>MS</t>
        </is>
      </c>
      <c r="E393" s="14" t="n">
        <v>335000</v>
      </c>
      <c r="F393" s="14" t="n">
        <v>5061.35</v>
      </c>
      <c r="G393" s="14" t="n">
        <v>632.67</v>
      </c>
      <c r="H393" s="14" t="n">
        <v>632.67</v>
      </c>
      <c r="I393" s="14">
        <f>SUM(K393:T393)</f>
        <v/>
      </c>
      <c r="J393" s="14">
        <f>F393-(G393+H393+I393)</f>
        <v/>
      </c>
      <c r="K393" s="14" t="n">
        <v>379.6</v>
      </c>
      <c r="L393" s="14" t="n">
        <v>379.6</v>
      </c>
      <c r="M393" s="14" t="n">
        <v>379.6</v>
      </c>
      <c r="N393" s="14" t="n">
        <v>379.6</v>
      </c>
      <c r="O393" s="14" t="n">
        <v>379.6</v>
      </c>
      <c r="P393" s="14" t="n">
        <v>379.6</v>
      </c>
      <c r="Q393" s="14" t="n">
        <v>379.6</v>
      </c>
      <c r="R393" s="14" t="n">
        <v>379.6</v>
      </c>
      <c r="S393" s="14" t="n">
        <v>379.6</v>
      </c>
      <c r="T393" s="14" t="n">
        <v>379.6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CANON-202601-003572</t>
        </is>
      </c>
      <c r="B394" s="15" t="inlineStr">
        <is>
          <t>2026-01-22</t>
        </is>
      </c>
      <c r="C394" s="15" t="inlineStr">
        <is>
          <t>Lorenzo Vasquez</t>
        </is>
      </c>
      <c r="D394" s="15" t="inlineStr">
        <is>
          <t>AR</t>
        </is>
      </c>
      <c r="E394" s="16" t="n">
        <v>430000</v>
      </c>
      <c r="F394" s="16" t="n">
        <v>7533.94</v>
      </c>
      <c r="G394" s="16" t="n">
        <v>941.74</v>
      </c>
      <c r="H394" s="16" t="n">
        <v>941.74</v>
      </c>
      <c r="I394" s="16">
        <f>SUM(K394:T394)</f>
        <v/>
      </c>
      <c r="J394" s="16">
        <f>F394-(G394+H394+I394)</f>
        <v/>
      </c>
      <c r="K394" s="16" t="n">
        <v>565.05</v>
      </c>
      <c r="L394" s="16" t="n">
        <v>565.05</v>
      </c>
      <c r="M394" s="16" t="n">
        <v>565.05</v>
      </c>
      <c r="N394" s="16" t="n">
        <v>565.05</v>
      </c>
      <c r="O394" s="16" t="n">
        <v>565.05</v>
      </c>
      <c r="P394" s="16" t="n">
        <v>565.05</v>
      </c>
      <c r="Q394" s="16" t="n">
        <v>565.05</v>
      </c>
      <c r="R394" s="16" t="n">
        <v>565.05</v>
      </c>
      <c r="S394" s="16" t="n">
        <v>565.05</v>
      </c>
      <c r="T394" s="16" t="n">
        <v>565.05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CANON-202601-003573</t>
        </is>
      </c>
      <c r="B395" s="3" t="inlineStr">
        <is>
          <t>2026-01-13</t>
        </is>
      </c>
      <c r="C395" s="3" t="inlineStr">
        <is>
          <t>Everett Okonkwo</t>
        </is>
      </c>
      <c r="D395" s="3" t="inlineStr">
        <is>
          <t>VT</t>
        </is>
      </c>
      <c r="E395" s="14" t="n">
        <v>625000</v>
      </c>
      <c r="F395" s="14" t="n">
        <v>8390.09</v>
      </c>
      <c r="G395" s="14" t="n">
        <v>1048.76</v>
      </c>
      <c r="H395" s="14" t="n">
        <v>1048.76</v>
      </c>
      <c r="I395" s="14">
        <f>SUM(K395:T395)</f>
        <v/>
      </c>
      <c r="J395" s="14">
        <f>F395-(G395+H395+I395)</f>
        <v/>
      </c>
      <c r="K395" s="14" t="n">
        <v>629.26</v>
      </c>
      <c r="L395" s="14" t="n">
        <v>629.26</v>
      </c>
      <c r="M395" s="14" t="n">
        <v>629.26</v>
      </c>
      <c r="N395" s="14" t="n">
        <v>629.26</v>
      </c>
      <c r="O395" s="14" t="n">
        <v>629.26</v>
      </c>
      <c r="P395" s="14" t="n">
        <v>629.26</v>
      </c>
      <c r="Q395" s="14" t="n">
        <v>629.26</v>
      </c>
      <c r="R395" s="14" t="n">
        <v>629.26</v>
      </c>
      <c r="S395" s="14" t="n">
        <v>629.26</v>
      </c>
      <c r="T395" s="14" t="n">
        <v>629.26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CANON-202601-003576</t>
        </is>
      </c>
      <c r="B396" s="15" t="inlineStr">
        <is>
          <t>2026-01-23</t>
        </is>
      </c>
      <c r="C396" s="15" t="inlineStr">
        <is>
          <t>Desmond Rourke</t>
        </is>
      </c>
      <c r="D396" s="15" t="inlineStr">
        <is>
          <t>WV</t>
        </is>
      </c>
      <c r="E396" s="16" t="n">
        <v>430000</v>
      </c>
      <c r="F396" s="16" t="n">
        <v>7260.97</v>
      </c>
      <c r="G396" s="16" t="n">
        <v>907.62</v>
      </c>
      <c r="H396" s="16" t="n">
        <v>907.62</v>
      </c>
      <c r="I396" s="16">
        <f>SUM(K396:T396)</f>
        <v/>
      </c>
      <c r="J396" s="16">
        <f>F396-(G396+H396+I396)</f>
        <v/>
      </c>
      <c r="K396" s="16" t="n">
        <v>544.5700000000001</v>
      </c>
      <c r="L396" s="16" t="n">
        <v>544.5700000000001</v>
      </c>
      <c r="M396" s="16" t="n">
        <v>544.5700000000001</v>
      </c>
      <c r="N396" s="16" t="n">
        <v>544.5700000000001</v>
      </c>
      <c r="O396" s="16" t="n">
        <v>544.5700000000001</v>
      </c>
      <c r="P396" s="16" t="n">
        <v>544.5700000000001</v>
      </c>
      <c r="Q396" s="16" t="n">
        <v>544.5700000000001</v>
      </c>
      <c r="R396" s="16" t="n">
        <v>544.5700000000001</v>
      </c>
      <c r="S396" s="16" t="n">
        <v>544.5700000000001</v>
      </c>
      <c r="T396" s="16" t="n">
        <v>544.5700000000001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CANON-202601-003580</t>
        </is>
      </c>
      <c r="B397" s="3" t="inlineStr">
        <is>
          <t>2026-01-15</t>
        </is>
      </c>
      <c r="C397" s="3" t="inlineStr">
        <is>
          <t>Anouk Harrington</t>
        </is>
      </c>
      <c r="D397" s="3" t="inlineStr">
        <is>
          <t>WY</t>
        </is>
      </c>
      <c r="E397" s="14" t="n">
        <v>435000</v>
      </c>
      <c r="F397" s="14" t="n">
        <v>5909.46</v>
      </c>
      <c r="G397" s="14" t="n">
        <v>738.6799999999999</v>
      </c>
      <c r="H397" s="14" t="n">
        <v>738.6799999999999</v>
      </c>
      <c r="I397" s="14">
        <f>SUM(K397:T397)</f>
        <v/>
      </c>
      <c r="J397" s="14">
        <f>F397-(G397+H397+I397)</f>
        <v/>
      </c>
      <c r="K397" s="14" t="n">
        <v>443.21</v>
      </c>
      <c r="L397" s="14" t="n">
        <v>443.21</v>
      </c>
      <c r="M397" s="14" t="n">
        <v>443.21</v>
      </c>
      <c r="N397" s="14" t="n">
        <v>443.21</v>
      </c>
      <c r="O397" s="14" t="n">
        <v>443.21</v>
      </c>
      <c r="P397" s="14" t="n">
        <v>443.21</v>
      </c>
      <c r="Q397" s="14" t="n">
        <v>443.21</v>
      </c>
      <c r="R397" s="14" t="n">
        <v>443.21</v>
      </c>
      <c r="S397" s="14" t="n">
        <v>443.21</v>
      </c>
      <c r="T397" s="14" t="n">
        <v>443.21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CANON-202601-003581</t>
        </is>
      </c>
      <c r="B398" s="15" t="inlineStr">
        <is>
          <t>2026-01-02</t>
        </is>
      </c>
      <c r="C398" s="15" t="inlineStr">
        <is>
          <t>Ingrid Chattopadhyay</t>
        </is>
      </c>
      <c r="D398" s="15" t="inlineStr">
        <is>
          <t>PA</t>
        </is>
      </c>
      <c r="E398" s="16" t="n">
        <v>575000</v>
      </c>
      <c r="F398" s="16" t="n">
        <v>6326.96</v>
      </c>
      <c r="G398" s="16" t="n">
        <v>790.87</v>
      </c>
      <c r="H398" s="16" t="n">
        <v>790.87</v>
      </c>
      <c r="I398" s="16">
        <f>SUM(K398:T398)</f>
        <v/>
      </c>
      <c r="J398" s="16">
        <f>F398-(G398+H398+I398)</f>
        <v/>
      </c>
      <c r="K398" s="16" t="n">
        <v>474.52</v>
      </c>
      <c r="L398" s="16" t="n">
        <v>474.52</v>
      </c>
      <c r="M398" s="16" t="n">
        <v>474.52</v>
      </c>
      <c r="N398" s="16" t="n">
        <v>474.52</v>
      </c>
      <c r="O398" s="16" t="n">
        <v>474.52</v>
      </c>
      <c r="P398" s="16" t="n">
        <v>474.52</v>
      </c>
      <c r="Q398" s="16" t="n">
        <v>474.52</v>
      </c>
      <c r="R398" s="16" t="n">
        <v>474.52</v>
      </c>
      <c r="S398" s="16" t="n">
        <v>474.52</v>
      </c>
      <c r="T398" s="16" t="n">
        <v>474.52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CANON-202601-003582</t>
        </is>
      </c>
      <c r="B399" s="3" t="inlineStr">
        <is>
          <t>2026-01-19</t>
        </is>
      </c>
      <c r="C399" s="3" t="inlineStr">
        <is>
          <t>Ingrid Vandermeer</t>
        </is>
      </c>
      <c r="D399" s="3" t="inlineStr">
        <is>
          <t>CA</t>
        </is>
      </c>
      <c r="E399" s="14" t="n">
        <v>920000</v>
      </c>
      <c r="F399" s="14" t="n">
        <v>19973.7</v>
      </c>
      <c r="G399" s="14" t="n">
        <v>2496.71</v>
      </c>
      <c r="H399" s="14" t="n">
        <v>2496.71</v>
      </c>
      <c r="I399" s="14">
        <f>SUM(K399:T399)</f>
        <v/>
      </c>
      <c r="J399" s="14">
        <f>F399-(G399+H399+I399)</f>
        <v/>
      </c>
      <c r="K399" s="14" t="n">
        <v>1498.03</v>
      </c>
      <c r="L399" s="14" t="n">
        <v>1498.03</v>
      </c>
      <c r="M399" s="14" t="n">
        <v>1498.03</v>
      </c>
      <c r="N399" s="14" t="n">
        <v>1498.03</v>
      </c>
      <c r="O399" s="14" t="n">
        <v>1498.03</v>
      </c>
      <c r="P399" s="14" t="n">
        <v>1498.03</v>
      </c>
      <c r="Q399" s="14" t="n">
        <v>1498.03</v>
      </c>
      <c r="R399" s="14" t="n">
        <v>1498.03</v>
      </c>
      <c r="S399" s="14" t="n">
        <v>1498.03</v>
      </c>
      <c r="T399" s="14" t="n">
        <v>1498.03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CANON-202601-003585</t>
        </is>
      </c>
      <c r="B400" s="15" t="inlineStr">
        <is>
          <t>2026-01-09</t>
        </is>
      </c>
      <c r="C400" s="15" t="inlineStr">
        <is>
          <t>Emiliano Okonkwo</t>
        </is>
      </c>
      <c r="D400" s="15" t="inlineStr">
        <is>
          <t>NY</t>
        </is>
      </c>
      <c r="E400" s="16" t="n">
        <v>480000</v>
      </c>
      <c r="F400" s="16" t="n">
        <v>7800.56</v>
      </c>
      <c r="G400" s="16" t="n">
        <v>975.0700000000001</v>
      </c>
      <c r="H400" s="16" t="n">
        <v>975.0700000000001</v>
      </c>
      <c r="I400" s="16">
        <f>SUM(K400:T400)</f>
        <v/>
      </c>
      <c r="J400" s="16">
        <f>F400-(G400+H400+I400)</f>
        <v/>
      </c>
      <c r="K400" s="16" t="n">
        <v>585.04</v>
      </c>
      <c r="L400" s="16" t="n">
        <v>585.04</v>
      </c>
      <c r="M400" s="16" t="n">
        <v>585.04</v>
      </c>
      <c r="N400" s="16" t="n">
        <v>585.04</v>
      </c>
      <c r="O400" s="16" t="n">
        <v>585.04</v>
      </c>
      <c r="P400" s="16" t="n">
        <v>585.04</v>
      </c>
      <c r="Q400" s="16" t="n">
        <v>585.04</v>
      </c>
      <c r="R400" s="16" t="n">
        <v>585.04</v>
      </c>
      <c r="S400" s="16" t="n">
        <v>585.04</v>
      </c>
      <c r="T400" s="16" t="n">
        <v>585.04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CANON-202601-003586</t>
        </is>
      </c>
      <c r="B401" s="3" t="inlineStr">
        <is>
          <t>2026-01-15</t>
        </is>
      </c>
      <c r="C401" s="3" t="inlineStr">
        <is>
          <t>Horace Rourke</t>
        </is>
      </c>
      <c r="D401" s="3" t="inlineStr">
        <is>
          <t>WA</t>
        </is>
      </c>
      <c r="E401" s="14" t="n">
        <v>545000</v>
      </c>
      <c r="F401" s="14" t="n">
        <v>8414.040000000001</v>
      </c>
      <c r="G401" s="14" t="n">
        <v>1051.76</v>
      </c>
      <c r="H401" s="14" t="n">
        <v>1051.76</v>
      </c>
      <c r="I401" s="14">
        <f>SUM(K401:T401)</f>
        <v/>
      </c>
      <c r="J401" s="14">
        <f>F401-(G401+H401+I401)</f>
        <v/>
      </c>
      <c r="K401" s="14" t="n">
        <v>631.05</v>
      </c>
      <c r="L401" s="14" t="n">
        <v>631.05</v>
      </c>
      <c r="M401" s="14" t="n">
        <v>631.05</v>
      </c>
      <c r="N401" s="14" t="n">
        <v>631.05</v>
      </c>
      <c r="O401" s="14" t="n">
        <v>631.05</v>
      </c>
      <c r="P401" s="14" t="n">
        <v>631.05</v>
      </c>
      <c r="Q401" s="14" t="n">
        <v>631.05</v>
      </c>
      <c r="R401" s="14" t="n">
        <v>631.05</v>
      </c>
      <c r="S401" s="14" t="n">
        <v>631.05</v>
      </c>
      <c r="T401" s="14" t="n">
        <v>631.05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CANON-202601-003587</t>
        </is>
      </c>
      <c r="B402" s="15" t="inlineStr">
        <is>
          <t>2026-01-19</t>
        </is>
      </c>
      <c r="C402" s="15" t="inlineStr">
        <is>
          <t>Callum Montoya</t>
        </is>
      </c>
      <c r="D402" s="15" t="inlineStr">
        <is>
          <t>WA</t>
        </is>
      </c>
      <c r="E402" s="16" t="n">
        <v>1695000</v>
      </c>
      <c r="F402" s="16" t="n">
        <v>22036.59</v>
      </c>
      <c r="G402" s="16" t="n">
        <v>2754.57</v>
      </c>
      <c r="H402" s="16" t="n">
        <v>2754.57</v>
      </c>
      <c r="I402" s="16">
        <f>SUM(K402:T402)</f>
        <v/>
      </c>
      <c r="J402" s="16">
        <f>F402-(G402+H402+I402)</f>
        <v/>
      </c>
      <c r="K402" s="16" t="n">
        <v>1652.74</v>
      </c>
      <c r="L402" s="16" t="n">
        <v>1652.74</v>
      </c>
      <c r="M402" s="16" t="n">
        <v>1652.74</v>
      </c>
      <c r="N402" s="16" t="n">
        <v>1652.74</v>
      </c>
      <c r="O402" s="16" t="n">
        <v>1652.74</v>
      </c>
      <c r="P402" s="16" t="n">
        <v>1652.74</v>
      </c>
      <c r="Q402" s="16" t="n">
        <v>1652.74</v>
      </c>
      <c r="R402" s="16" t="n">
        <v>1652.74</v>
      </c>
      <c r="S402" s="16" t="n">
        <v>1652.74</v>
      </c>
      <c r="T402" s="16" t="n">
        <v>1652.74</v>
      </c>
      <c r="U402" s="16" t="n">
        <v>350</v>
      </c>
      <c r="V402" s="16" t="n">
        <v>250</v>
      </c>
      <c r="W402" s="16">
        <f>U402+V402</f>
        <v/>
      </c>
    </row>
    <row r="403">
      <c r="A403" s="3" t="inlineStr">
        <is>
          <t>CANON-202601-003589</t>
        </is>
      </c>
      <c r="B403" s="3" t="inlineStr">
        <is>
          <t>2026-01-15</t>
        </is>
      </c>
      <c r="C403" s="3" t="inlineStr">
        <is>
          <t>Ottilie Blackwood</t>
        </is>
      </c>
      <c r="D403" s="3" t="inlineStr">
        <is>
          <t>AL</t>
        </is>
      </c>
      <c r="E403" s="14" t="n">
        <v>705000</v>
      </c>
      <c r="F403" s="14" t="n">
        <v>14398.92</v>
      </c>
      <c r="G403" s="14" t="n">
        <v>1799.87</v>
      </c>
      <c r="H403" s="14" t="n">
        <v>1799.87</v>
      </c>
      <c r="I403" s="14">
        <f>SUM(K403:T403)</f>
        <v/>
      </c>
      <c r="J403" s="14">
        <f>F403-(G403+H403+I403)</f>
        <v/>
      </c>
      <c r="K403" s="14" t="n">
        <v>1079.92</v>
      </c>
      <c r="L403" s="14" t="n">
        <v>1079.92</v>
      </c>
      <c r="M403" s="14" t="n">
        <v>1079.92</v>
      </c>
      <c r="N403" s="14" t="n">
        <v>1079.92</v>
      </c>
      <c r="O403" s="14" t="n">
        <v>1079.92</v>
      </c>
      <c r="P403" s="14" t="n">
        <v>1079.92</v>
      </c>
      <c r="Q403" s="14" t="n">
        <v>1079.92</v>
      </c>
      <c r="R403" s="14" t="n">
        <v>1079.92</v>
      </c>
      <c r="S403" s="14" t="n">
        <v>1079.92</v>
      </c>
      <c r="T403" s="14" t="n">
        <v>1079.92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CANON-202601-003590</t>
        </is>
      </c>
      <c r="B404" s="15" t="inlineStr">
        <is>
          <t>2026-01-28</t>
        </is>
      </c>
      <c r="C404" s="15" t="inlineStr">
        <is>
          <t>Noor Pennington</t>
        </is>
      </c>
      <c r="D404" s="15" t="inlineStr">
        <is>
          <t>RI</t>
        </is>
      </c>
      <c r="E404" s="16" t="n">
        <v>435000</v>
      </c>
      <c r="F404" s="16" t="n">
        <v>7566.31</v>
      </c>
      <c r="G404" s="16" t="n">
        <v>945.79</v>
      </c>
      <c r="H404" s="16" t="n">
        <v>945.79</v>
      </c>
      <c r="I404" s="16">
        <f>SUM(K404:T404)</f>
        <v/>
      </c>
      <c r="J404" s="16">
        <f>F404-(G404+H404+I404)</f>
        <v/>
      </c>
      <c r="K404" s="16" t="n">
        <v>567.47</v>
      </c>
      <c r="L404" s="16" t="n">
        <v>567.47</v>
      </c>
      <c r="M404" s="16" t="n">
        <v>567.47</v>
      </c>
      <c r="N404" s="16" t="n">
        <v>567.47</v>
      </c>
      <c r="O404" s="16" t="n">
        <v>567.47</v>
      </c>
      <c r="P404" s="16" t="n">
        <v>567.47</v>
      </c>
      <c r="Q404" s="16" t="n">
        <v>567.47</v>
      </c>
      <c r="R404" s="16" t="n">
        <v>567.47</v>
      </c>
      <c r="S404" s="16" t="n">
        <v>567.47</v>
      </c>
      <c r="T404" s="16" t="n">
        <v>567.47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CANON-202601-003591</t>
        </is>
      </c>
      <c r="B405" s="3" t="inlineStr">
        <is>
          <t>2026-01-22</t>
        </is>
      </c>
      <c r="C405" s="3" t="inlineStr">
        <is>
          <t>Callum Farkas</t>
        </is>
      </c>
      <c r="D405" s="3" t="inlineStr">
        <is>
          <t>WI</t>
        </is>
      </c>
      <c r="E405" s="14" t="n">
        <v>345000</v>
      </c>
      <c r="F405" s="14" t="n">
        <v>5256.24</v>
      </c>
      <c r="G405" s="14" t="n">
        <v>657.03</v>
      </c>
      <c r="H405" s="14" t="n">
        <v>657.03</v>
      </c>
      <c r="I405" s="14">
        <f>SUM(K405:T405)</f>
        <v/>
      </c>
      <c r="J405" s="14">
        <f>F405-(G405+H405+I405)</f>
        <v/>
      </c>
      <c r="K405" s="14" t="n">
        <v>394.22</v>
      </c>
      <c r="L405" s="14" t="n">
        <v>394.22</v>
      </c>
      <c r="M405" s="14" t="n">
        <v>394.22</v>
      </c>
      <c r="N405" s="14" t="n">
        <v>394.22</v>
      </c>
      <c r="O405" s="14" t="n">
        <v>394.22</v>
      </c>
      <c r="P405" s="14" t="n">
        <v>394.22</v>
      </c>
      <c r="Q405" s="14" t="n">
        <v>394.22</v>
      </c>
      <c r="R405" s="14" t="n">
        <v>394.22</v>
      </c>
      <c r="S405" s="14" t="n">
        <v>394.22</v>
      </c>
      <c r="T405" s="14" t="n">
        <v>394.22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CANON-202601-003597</t>
        </is>
      </c>
      <c r="B406" s="15" t="inlineStr">
        <is>
          <t>2026-01-27</t>
        </is>
      </c>
      <c r="C406" s="15" t="inlineStr">
        <is>
          <t>Delphine Larsson</t>
        </is>
      </c>
      <c r="D406" s="15" t="inlineStr">
        <is>
          <t>OH</t>
        </is>
      </c>
      <c r="E406" s="16" t="n">
        <v>795000</v>
      </c>
      <c r="F406" s="16" t="n">
        <v>12159.3</v>
      </c>
      <c r="G406" s="16" t="n">
        <v>1519.91</v>
      </c>
      <c r="H406" s="16" t="n">
        <v>1519.91</v>
      </c>
      <c r="I406" s="16">
        <f>SUM(K406:T406)</f>
        <v/>
      </c>
      <c r="J406" s="16">
        <f>F406-(G406+H406+I406)</f>
        <v/>
      </c>
      <c r="K406" s="16" t="n">
        <v>911.95</v>
      </c>
      <c r="L406" s="16" t="n">
        <v>911.95</v>
      </c>
      <c r="M406" s="16" t="n">
        <v>911.95</v>
      </c>
      <c r="N406" s="16" t="n">
        <v>911.95</v>
      </c>
      <c r="O406" s="16" t="n">
        <v>911.95</v>
      </c>
      <c r="P406" s="16" t="n">
        <v>911.95</v>
      </c>
      <c r="Q406" s="16" t="n">
        <v>911.95</v>
      </c>
      <c r="R406" s="16" t="n">
        <v>911.95</v>
      </c>
      <c r="S406" s="16" t="n">
        <v>911.95</v>
      </c>
      <c r="T406" s="16" t="n">
        <v>911.95</v>
      </c>
      <c r="U406" s="16" t="n">
        <v>350</v>
      </c>
      <c r="V406" s="16" t="n">
        <v>0</v>
      </c>
      <c r="W406" s="16">
        <f>U406+V406</f>
        <v/>
      </c>
    </row>
    <row r="407">
      <c r="A407" s="3" t="inlineStr">
        <is>
          <t>CANON-202601-003599</t>
        </is>
      </c>
      <c r="B407" s="3" t="inlineStr">
        <is>
          <t>2026-01-09</t>
        </is>
      </c>
      <c r="C407" s="3" t="inlineStr">
        <is>
          <t>Ramona Nakashima</t>
        </is>
      </c>
      <c r="D407" s="3" t="inlineStr">
        <is>
          <t>ME</t>
        </is>
      </c>
      <c r="E407" s="14" t="n">
        <v>335000</v>
      </c>
      <c r="F407" s="14" t="n">
        <v>2939.84</v>
      </c>
      <c r="G407" s="14" t="n">
        <v>367.48</v>
      </c>
      <c r="H407" s="14" t="n">
        <v>367.48</v>
      </c>
      <c r="I407" s="14">
        <f>SUM(K407:T407)</f>
        <v/>
      </c>
      <c r="J407" s="14">
        <f>F407-(G407+H407+I407)</f>
        <v/>
      </c>
      <c r="K407" s="14" t="n">
        <v>220.49</v>
      </c>
      <c r="L407" s="14" t="n">
        <v>220.49</v>
      </c>
      <c r="M407" s="14" t="n">
        <v>220.49</v>
      </c>
      <c r="N407" s="14" t="n">
        <v>220.49</v>
      </c>
      <c r="O407" s="14" t="n">
        <v>220.49</v>
      </c>
      <c r="P407" s="14" t="n">
        <v>220.49</v>
      </c>
      <c r="Q407" s="14" t="n">
        <v>220.49</v>
      </c>
      <c r="R407" s="14" t="n">
        <v>220.49</v>
      </c>
      <c r="S407" s="14" t="n">
        <v>220.49</v>
      </c>
      <c r="T407" s="14" t="n">
        <v>220.49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CANON-202601-003600</t>
        </is>
      </c>
      <c r="B408" s="15" t="inlineStr">
        <is>
          <t>2026-01-03</t>
        </is>
      </c>
      <c r="C408" s="15" t="inlineStr">
        <is>
          <t>Aurelio Rourke</t>
        </is>
      </c>
      <c r="D408" s="15" t="inlineStr">
        <is>
          <t>CO</t>
        </is>
      </c>
      <c r="E408" s="16" t="n">
        <v>910000</v>
      </c>
      <c r="F408" s="16" t="n">
        <v>16097.97</v>
      </c>
      <c r="G408" s="16" t="n">
        <v>2012.25</v>
      </c>
      <c r="H408" s="16" t="n">
        <v>2012.25</v>
      </c>
      <c r="I408" s="16">
        <f>SUM(K408:T408)</f>
        <v/>
      </c>
      <c r="J408" s="16">
        <f>F408-(G408+H408+I408)</f>
        <v/>
      </c>
      <c r="K408" s="16" t="n">
        <v>1207.35</v>
      </c>
      <c r="L408" s="16" t="n">
        <v>1207.35</v>
      </c>
      <c r="M408" s="16" t="n">
        <v>1207.35</v>
      </c>
      <c r="N408" s="16" t="n">
        <v>1207.35</v>
      </c>
      <c r="O408" s="16" t="n">
        <v>1207.35</v>
      </c>
      <c r="P408" s="16" t="n">
        <v>1207.35</v>
      </c>
      <c r="Q408" s="16" t="n">
        <v>1207.35</v>
      </c>
      <c r="R408" s="16" t="n">
        <v>1207.35</v>
      </c>
      <c r="S408" s="16" t="n">
        <v>1207.35</v>
      </c>
      <c r="T408" s="16" t="n">
        <v>1207.35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CANON-202601-003601</t>
        </is>
      </c>
      <c r="B409" s="3" t="inlineStr">
        <is>
          <t>2026-01-20</t>
        </is>
      </c>
      <c r="C409" s="3" t="inlineStr">
        <is>
          <t>Beatrix Okonkwo</t>
        </is>
      </c>
      <c r="D409" s="3" t="inlineStr">
        <is>
          <t>CO</t>
        </is>
      </c>
      <c r="E409" s="14" t="n">
        <v>830000</v>
      </c>
      <c r="F409" s="14" t="n">
        <v>10046.1</v>
      </c>
      <c r="G409" s="14" t="n">
        <v>1255.76</v>
      </c>
      <c r="H409" s="14" t="n">
        <v>1255.76</v>
      </c>
      <c r="I409" s="14">
        <f>SUM(K409:T409)</f>
        <v/>
      </c>
      <c r="J409" s="14">
        <f>F409-(G409+H409+I409)</f>
        <v/>
      </c>
      <c r="K409" s="14" t="n">
        <v>753.46</v>
      </c>
      <c r="L409" s="14" t="n">
        <v>753.46</v>
      </c>
      <c r="M409" s="14" t="n">
        <v>753.46</v>
      </c>
      <c r="N409" s="14" t="n">
        <v>753.46</v>
      </c>
      <c r="O409" s="14" t="n">
        <v>753.46</v>
      </c>
      <c r="P409" s="14" t="n">
        <v>753.46</v>
      </c>
      <c r="Q409" s="14" t="n">
        <v>753.46</v>
      </c>
      <c r="R409" s="14" t="n">
        <v>753.46</v>
      </c>
      <c r="S409" s="14" t="n">
        <v>753.46</v>
      </c>
      <c r="T409" s="14" t="n">
        <v>753.46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CANON-202601-003602</t>
        </is>
      </c>
      <c r="B410" s="15" t="inlineStr">
        <is>
          <t>2026-01-03</t>
        </is>
      </c>
      <c r="C410" s="15" t="inlineStr">
        <is>
          <t>Fitzgerald Okonkwo</t>
        </is>
      </c>
      <c r="D410" s="15" t="inlineStr">
        <is>
          <t>CO</t>
        </is>
      </c>
      <c r="E410" s="16" t="n">
        <v>855000</v>
      </c>
      <c r="F410" s="16" t="n">
        <v>10348.69</v>
      </c>
      <c r="G410" s="16" t="n">
        <v>1293.59</v>
      </c>
      <c r="H410" s="16" t="n">
        <v>1293.59</v>
      </c>
      <c r="I410" s="16">
        <f>SUM(K410:T410)</f>
        <v/>
      </c>
      <c r="J410" s="16">
        <f>F410-(G410+H410+I410)</f>
        <v/>
      </c>
      <c r="K410" s="16" t="n">
        <v>776.15</v>
      </c>
      <c r="L410" s="16" t="n">
        <v>776.15</v>
      </c>
      <c r="M410" s="16" t="n">
        <v>776.15</v>
      </c>
      <c r="N410" s="16" t="n">
        <v>776.15</v>
      </c>
      <c r="O410" s="16" t="n">
        <v>776.15</v>
      </c>
      <c r="P410" s="16" t="n">
        <v>776.15</v>
      </c>
      <c r="Q410" s="16" t="n">
        <v>776.15</v>
      </c>
      <c r="R410" s="16" t="n">
        <v>776.15</v>
      </c>
      <c r="S410" s="16" t="n">
        <v>776.15</v>
      </c>
      <c r="T410" s="16" t="n">
        <v>776.15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CANON-202601-003603</t>
        </is>
      </c>
      <c r="B411" s="3" t="inlineStr">
        <is>
          <t>2026-01-14</t>
        </is>
      </c>
      <c r="C411" s="3" t="inlineStr">
        <is>
          <t>Priya Vasquez</t>
        </is>
      </c>
      <c r="D411" s="3" t="inlineStr">
        <is>
          <t>TX</t>
        </is>
      </c>
      <c r="E411" s="14" t="n">
        <v>385000</v>
      </c>
      <c r="F411" s="14" t="n">
        <v>5621.25</v>
      </c>
      <c r="G411" s="14" t="n">
        <v>702.66</v>
      </c>
      <c r="H411" s="14" t="n">
        <v>702.66</v>
      </c>
      <c r="I411" s="14">
        <f>SUM(K411:T411)</f>
        <v/>
      </c>
      <c r="J411" s="14">
        <f>F411-(G411+H411+I411)</f>
        <v/>
      </c>
      <c r="K411" s="14" t="n">
        <v>421.59</v>
      </c>
      <c r="L411" s="14" t="n">
        <v>421.59</v>
      </c>
      <c r="M411" s="14" t="n">
        <v>421.59</v>
      </c>
      <c r="N411" s="14" t="n">
        <v>421.59</v>
      </c>
      <c r="O411" s="14" t="n">
        <v>421.59</v>
      </c>
      <c r="P411" s="14" t="n">
        <v>421.59</v>
      </c>
      <c r="Q411" s="14" t="n">
        <v>421.59</v>
      </c>
      <c r="R411" s="14" t="n">
        <v>421.59</v>
      </c>
      <c r="S411" s="14" t="n">
        <v>421.59</v>
      </c>
      <c r="T411" s="14" t="n">
        <v>421.59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CANON-202601-003605</t>
        </is>
      </c>
      <c r="B412" s="15" t="inlineStr">
        <is>
          <t>2026-01-21</t>
        </is>
      </c>
      <c r="C412" s="15" t="inlineStr">
        <is>
          <t>Saoirse Okonkwo</t>
        </is>
      </c>
      <c r="D412" s="15" t="inlineStr">
        <is>
          <t>ND</t>
        </is>
      </c>
      <c r="E412" s="16" t="n">
        <v>690000</v>
      </c>
      <c r="F412" s="16" t="n">
        <v>7744.19</v>
      </c>
      <c r="G412" s="16" t="n">
        <v>968.02</v>
      </c>
      <c r="H412" s="16" t="n">
        <v>968.02</v>
      </c>
      <c r="I412" s="16">
        <f>SUM(K412:T412)</f>
        <v/>
      </c>
      <c r="J412" s="16">
        <f>F412-(G412+H412+I412)</f>
        <v/>
      </c>
      <c r="K412" s="16" t="n">
        <v>580.8099999999999</v>
      </c>
      <c r="L412" s="16" t="n">
        <v>580.8099999999999</v>
      </c>
      <c r="M412" s="16" t="n">
        <v>580.8099999999999</v>
      </c>
      <c r="N412" s="16" t="n">
        <v>580.8099999999999</v>
      </c>
      <c r="O412" s="16" t="n">
        <v>580.8099999999999</v>
      </c>
      <c r="P412" s="16" t="n">
        <v>580.8099999999999</v>
      </c>
      <c r="Q412" s="16" t="n">
        <v>580.8099999999999</v>
      </c>
      <c r="R412" s="16" t="n">
        <v>580.8099999999999</v>
      </c>
      <c r="S412" s="16" t="n">
        <v>580.8099999999999</v>
      </c>
      <c r="T412" s="16" t="n">
        <v>580.8099999999999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CANON-202601-003607</t>
        </is>
      </c>
      <c r="B413" s="3" t="inlineStr">
        <is>
          <t>2026-01-10</t>
        </is>
      </c>
      <c r="C413" s="3" t="inlineStr">
        <is>
          <t>Anouk Okonkwo</t>
        </is>
      </c>
      <c r="D413" s="3" t="inlineStr">
        <is>
          <t>FL</t>
        </is>
      </c>
      <c r="E413" s="14" t="n">
        <v>1090000</v>
      </c>
      <c r="F413" s="14" t="n">
        <v>14410.9</v>
      </c>
      <c r="G413" s="14" t="n">
        <v>1801.36</v>
      </c>
      <c r="H413" s="14" t="n">
        <v>1801.36</v>
      </c>
      <c r="I413" s="14">
        <f>SUM(K413:T413)</f>
        <v/>
      </c>
      <c r="J413" s="14">
        <f>F413-(G413+H413+I413)</f>
        <v/>
      </c>
      <c r="K413" s="14" t="n">
        <v>1080.82</v>
      </c>
      <c r="L413" s="14" t="n">
        <v>1080.82</v>
      </c>
      <c r="M413" s="14" t="n">
        <v>1080.82</v>
      </c>
      <c r="N413" s="14" t="n">
        <v>1080.82</v>
      </c>
      <c r="O413" s="14" t="n">
        <v>1080.82</v>
      </c>
      <c r="P413" s="14" t="n">
        <v>1080.82</v>
      </c>
      <c r="Q413" s="14" t="n">
        <v>1080.82</v>
      </c>
      <c r="R413" s="14" t="n">
        <v>1080.82</v>
      </c>
      <c r="S413" s="14" t="n">
        <v>1080.82</v>
      </c>
      <c r="T413" s="14" t="n">
        <v>1080.82</v>
      </c>
      <c r="U413" s="14" t="n">
        <v>350</v>
      </c>
      <c r="V413" s="14" t="n">
        <v>250</v>
      </c>
      <c r="W413" s="14">
        <f>U413+V413</f>
        <v/>
      </c>
    </row>
    <row r="414">
      <c r="A414" s="15" t="inlineStr">
        <is>
          <t>CANON-202601-003608</t>
        </is>
      </c>
      <c r="B414" s="15" t="inlineStr">
        <is>
          <t>2026-01-21</t>
        </is>
      </c>
      <c r="C414" s="15" t="inlineStr">
        <is>
          <t>Noor Delacroix</t>
        </is>
      </c>
      <c r="D414" s="15" t="inlineStr">
        <is>
          <t>SC</t>
        </is>
      </c>
      <c r="E414" s="16" t="n">
        <v>290000</v>
      </c>
      <c r="F414" s="16" t="n">
        <v>4565.56</v>
      </c>
      <c r="G414" s="16" t="n">
        <v>570.7</v>
      </c>
      <c r="H414" s="16" t="n">
        <v>570.7</v>
      </c>
      <c r="I414" s="16">
        <f>SUM(K414:T414)</f>
        <v/>
      </c>
      <c r="J414" s="16">
        <f>F414-(G414+H414+I414)</f>
        <v/>
      </c>
      <c r="K414" s="16" t="n">
        <v>342.42</v>
      </c>
      <c r="L414" s="16" t="n">
        <v>342.42</v>
      </c>
      <c r="M414" s="16" t="n">
        <v>342.42</v>
      </c>
      <c r="N414" s="16" t="n">
        <v>342.42</v>
      </c>
      <c r="O414" s="16" t="n">
        <v>342.42</v>
      </c>
      <c r="P414" s="16" t="n">
        <v>342.42</v>
      </c>
      <c r="Q414" s="16" t="n">
        <v>342.42</v>
      </c>
      <c r="R414" s="16" t="n">
        <v>342.42</v>
      </c>
      <c r="S414" s="16" t="n">
        <v>342.42</v>
      </c>
      <c r="T414" s="16" t="n">
        <v>342.42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CANON-202601-003609</t>
        </is>
      </c>
      <c r="B415" s="3" t="inlineStr">
        <is>
          <t>2026-01-04</t>
        </is>
      </c>
      <c r="C415" s="3" t="inlineStr">
        <is>
          <t>Anouk Harrington</t>
        </is>
      </c>
      <c r="D415" s="3" t="inlineStr">
        <is>
          <t>WI</t>
        </is>
      </c>
      <c r="E415" s="14" t="n">
        <v>160000</v>
      </c>
      <c r="F415" s="14" t="n">
        <v>2990.22</v>
      </c>
      <c r="G415" s="14" t="n">
        <v>373.78</v>
      </c>
      <c r="H415" s="14" t="n">
        <v>373.78</v>
      </c>
      <c r="I415" s="14">
        <f>SUM(K415:T415)</f>
        <v/>
      </c>
      <c r="J415" s="14">
        <f>F415-(G415+H415+I415)</f>
        <v/>
      </c>
      <c r="K415" s="14" t="n">
        <v>224.27</v>
      </c>
      <c r="L415" s="14" t="n">
        <v>224.27</v>
      </c>
      <c r="M415" s="14" t="n">
        <v>224.27</v>
      </c>
      <c r="N415" s="14" t="n">
        <v>224.27</v>
      </c>
      <c r="O415" s="14" t="n">
        <v>224.27</v>
      </c>
      <c r="P415" s="14" t="n">
        <v>224.27</v>
      </c>
      <c r="Q415" s="14" t="n">
        <v>224.27</v>
      </c>
      <c r="R415" s="14" t="n">
        <v>224.27</v>
      </c>
      <c r="S415" s="14" t="n">
        <v>224.27</v>
      </c>
      <c r="T415" s="14" t="n">
        <v>224.27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CANON-202601-003611</t>
        </is>
      </c>
      <c r="B416" s="15" t="inlineStr">
        <is>
          <t>2026-01-29</t>
        </is>
      </c>
      <c r="C416" s="15" t="inlineStr">
        <is>
          <t>Callum Chattopadhyay</t>
        </is>
      </c>
      <c r="D416" s="15" t="inlineStr">
        <is>
          <t>NJ</t>
        </is>
      </c>
      <c r="E416" s="16" t="n">
        <v>605000</v>
      </c>
      <c r="F416" s="16" t="n">
        <v>6057.92</v>
      </c>
      <c r="G416" s="16" t="n">
        <v>757.24</v>
      </c>
      <c r="H416" s="16" t="n">
        <v>757.24</v>
      </c>
      <c r="I416" s="16">
        <f>SUM(K416:T416)</f>
        <v/>
      </c>
      <c r="J416" s="16">
        <f>F416-(G416+H416+I416)</f>
        <v/>
      </c>
      <c r="K416" s="16" t="n">
        <v>454.34</v>
      </c>
      <c r="L416" s="16" t="n">
        <v>454.34</v>
      </c>
      <c r="M416" s="16" t="n">
        <v>454.34</v>
      </c>
      <c r="N416" s="16" t="n">
        <v>454.34</v>
      </c>
      <c r="O416" s="16" t="n">
        <v>454.34</v>
      </c>
      <c r="P416" s="16" t="n">
        <v>454.34</v>
      </c>
      <c r="Q416" s="16" t="n">
        <v>454.34</v>
      </c>
      <c r="R416" s="16" t="n">
        <v>454.34</v>
      </c>
      <c r="S416" s="16" t="n">
        <v>454.34</v>
      </c>
      <c r="T416" s="16" t="n">
        <v>454.34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CANON-202601-003612</t>
        </is>
      </c>
      <c r="B417" s="3" t="inlineStr">
        <is>
          <t>2026-01-11</t>
        </is>
      </c>
      <c r="C417" s="3" t="inlineStr">
        <is>
          <t>Emiliano Thistlewood</t>
        </is>
      </c>
      <c r="D417" s="3" t="inlineStr">
        <is>
          <t>MA</t>
        </is>
      </c>
      <c r="E417" s="14" t="n">
        <v>955000</v>
      </c>
      <c r="F417" s="14" t="n">
        <v>13135.3</v>
      </c>
      <c r="G417" s="14" t="n">
        <v>1641.91</v>
      </c>
      <c r="H417" s="14" t="n">
        <v>1641.91</v>
      </c>
      <c r="I417" s="14">
        <f>SUM(K417:T417)</f>
        <v/>
      </c>
      <c r="J417" s="14">
        <f>F417-(G417+H417+I417)</f>
        <v/>
      </c>
      <c r="K417" s="14" t="n">
        <v>985.15</v>
      </c>
      <c r="L417" s="14" t="n">
        <v>985.15</v>
      </c>
      <c r="M417" s="14" t="n">
        <v>985.15</v>
      </c>
      <c r="N417" s="14" t="n">
        <v>985.15</v>
      </c>
      <c r="O417" s="14" t="n">
        <v>985.15</v>
      </c>
      <c r="P417" s="14" t="n">
        <v>985.15</v>
      </c>
      <c r="Q417" s="14" t="n">
        <v>985.15</v>
      </c>
      <c r="R417" s="14" t="n">
        <v>985.15</v>
      </c>
      <c r="S417" s="14" t="n">
        <v>985.15</v>
      </c>
      <c r="T417" s="14" t="n">
        <v>985.15</v>
      </c>
      <c r="U417" s="14" t="n">
        <v>350</v>
      </c>
      <c r="V417" s="14" t="n">
        <v>0</v>
      </c>
      <c r="W417" s="14">
        <f>U417+V417</f>
        <v/>
      </c>
    </row>
    <row r="418">
      <c r="A418" s="15" t="inlineStr">
        <is>
          <t>CANON-202601-003614</t>
        </is>
      </c>
      <c r="B418" s="15" t="inlineStr">
        <is>
          <t>2026-01-02</t>
        </is>
      </c>
      <c r="C418" s="15" t="inlineStr">
        <is>
          <t>Horace Underwood</t>
        </is>
      </c>
      <c r="D418" s="15" t="inlineStr">
        <is>
          <t>OR</t>
        </is>
      </c>
      <c r="E418" s="16" t="n">
        <v>1950000</v>
      </c>
      <c r="F418" s="16" t="n">
        <v>29841.21</v>
      </c>
      <c r="G418" s="16" t="n">
        <v>3730.15</v>
      </c>
      <c r="H418" s="16" t="n">
        <v>3730.15</v>
      </c>
      <c r="I418" s="16">
        <f>SUM(K418:T418)</f>
        <v/>
      </c>
      <c r="J418" s="16">
        <f>F418-(G418+H418+I418)</f>
        <v/>
      </c>
      <c r="K418" s="16" t="n">
        <v>2238.09</v>
      </c>
      <c r="L418" s="16" t="n">
        <v>2238.09</v>
      </c>
      <c r="M418" s="16" t="n">
        <v>2238.09</v>
      </c>
      <c r="N418" s="16" t="n">
        <v>2238.09</v>
      </c>
      <c r="O418" s="16" t="n">
        <v>2238.09</v>
      </c>
      <c r="P418" s="16" t="n">
        <v>2238.09</v>
      </c>
      <c r="Q418" s="16" t="n">
        <v>2238.09</v>
      </c>
      <c r="R418" s="16" t="n">
        <v>2238.09</v>
      </c>
      <c r="S418" s="16" t="n">
        <v>2238.09</v>
      </c>
      <c r="T418" s="16" t="n">
        <v>2238.09</v>
      </c>
      <c r="U418" s="16" t="n">
        <v>350</v>
      </c>
      <c r="V418" s="16" t="n">
        <v>250</v>
      </c>
      <c r="W418" s="16">
        <f>U418+V418</f>
        <v/>
      </c>
    </row>
    <row r="419">
      <c r="A419" s="3" t="inlineStr">
        <is>
          <t>CANON-202601-003616</t>
        </is>
      </c>
      <c r="B419" s="3" t="inlineStr">
        <is>
          <t>2026-01-15</t>
        </is>
      </c>
      <c r="C419" s="3" t="inlineStr">
        <is>
          <t>Marisol Larsson</t>
        </is>
      </c>
      <c r="D419" s="3" t="inlineStr">
        <is>
          <t>NY</t>
        </is>
      </c>
      <c r="E419" s="14" t="n">
        <v>410000</v>
      </c>
      <c r="F419" s="14" t="n">
        <v>6662.98</v>
      </c>
      <c r="G419" s="14" t="n">
        <v>832.87</v>
      </c>
      <c r="H419" s="14" t="n">
        <v>832.87</v>
      </c>
      <c r="I419" s="14">
        <f>SUM(K419:T419)</f>
        <v/>
      </c>
      <c r="J419" s="14">
        <f>F419-(G419+H419+I419)</f>
        <v/>
      </c>
      <c r="K419" s="14" t="n">
        <v>499.72</v>
      </c>
      <c r="L419" s="14" t="n">
        <v>499.72</v>
      </c>
      <c r="M419" s="14" t="n">
        <v>499.72</v>
      </c>
      <c r="N419" s="14" t="n">
        <v>499.72</v>
      </c>
      <c r="O419" s="14" t="n">
        <v>499.72</v>
      </c>
      <c r="P419" s="14" t="n">
        <v>499.72</v>
      </c>
      <c r="Q419" s="14" t="n">
        <v>499.72</v>
      </c>
      <c r="R419" s="14" t="n">
        <v>499.72</v>
      </c>
      <c r="S419" s="14" t="n">
        <v>499.72</v>
      </c>
      <c r="T419" s="14" t="n">
        <v>499.72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CANON-202601-003617</t>
        </is>
      </c>
      <c r="B420" s="15" t="inlineStr">
        <is>
          <t>2026-01-07</t>
        </is>
      </c>
      <c r="C420" s="15" t="inlineStr">
        <is>
          <t>Horace Thistlewood</t>
        </is>
      </c>
      <c r="D420" s="15" t="inlineStr">
        <is>
          <t>WV</t>
        </is>
      </c>
      <c r="E420" s="16" t="n">
        <v>1175000</v>
      </c>
      <c r="F420" s="16" t="n">
        <v>14550.09</v>
      </c>
      <c r="G420" s="16" t="n">
        <v>1818.76</v>
      </c>
      <c r="H420" s="16" t="n">
        <v>1818.76</v>
      </c>
      <c r="I420" s="16">
        <f>SUM(K420:T420)</f>
        <v/>
      </c>
      <c r="J420" s="16">
        <f>F420-(G420+H420+I420)</f>
        <v/>
      </c>
      <c r="K420" s="16" t="n">
        <v>1091.26</v>
      </c>
      <c r="L420" s="16" t="n">
        <v>1091.26</v>
      </c>
      <c r="M420" s="16" t="n">
        <v>1091.26</v>
      </c>
      <c r="N420" s="16" t="n">
        <v>1091.26</v>
      </c>
      <c r="O420" s="16" t="n">
        <v>1091.26</v>
      </c>
      <c r="P420" s="16" t="n">
        <v>1091.26</v>
      </c>
      <c r="Q420" s="16" t="n">
        <v>1091.26</v>
      </c>
      <c r="R420" s="16" t="n">
        <v>1091.26</v>
      </c>
      <c r="S420" s="16" t="n">
        <v>1091.26</v>
      </c>
      <c r="T420" s="16" t="n">
        <v>1091.26</v>
      </c>
      <c r="U420" s="16" t="n">
        <v>350</v>
      </c>
      <c r="V420" s="16" t="n">
        <v>250</v>
      </c>
      <c r="W420" s="16">
        <f>U420+V420</f>
        <v/>
      </c>
    </row>
    <row r="421">
      <c r="A421" s="3" t="inlineStr">
        <is>
          <t>CANON-202601-003618</t>
        </is>
      </c>
      <c r="B421" s="3" t="inlineStr">
        <is>
          <t>2026-01-26</t>
        </is>
      </c>
      <c r="C421" s="3" t="inlineStr">
        <is>
          <t>Lorenzo Whitlock</t>
        </is>
      </c>
      <c r="D421" s="3" t="inlineStr">
        <is>
          <t>CA</t>
        </is>
      </c>
      <c r="E421" s="14" t="n">
        <v>990000</v>
      </c>
      <c r="F421" s="14" t="n">
        <v>17647.25</v>
      </c>
      <c r="G421" s="14" t="n">
        <v>2205.91</v>
      </c>
      <c r="H421" s="14" t="n">
        <v>2205.91</v>
      </c>
      <c r="I421" s="14">
        <f>SUM(K421:T421)</f>
        <v/>
      </c>
      <c r="J421" s="14">
        <f>F421-(G421+H421+I421)</f>
        <v/>
      </c>
      <c r="K421" s="14" t="n">
        <v>1323.54</v>
      </c>
      <c r="L421" s="14" t="n">
        <v>1323.54</v>
      </c>
      <c r="M421" s="14" t="n">
        <v>1323.54</v>
      </c>
      <c r="N421" s="14" t="n">
        <v>1323.54</v>
      </c>
      <c r="O421" s="14" t="n">
        <v>1323.54</v>
      </c>
      <c r="P421" s="14" t="n">
        <v>1323.54</v>
      </c>
      <c r="Q421" s="14" t="n">
        <v>1323.54</v>
      </c>
      <c r="R421" s="14" t="n">
        <v>1323.54</v>
      </c>
      <c r="S421" s="14" t="n">
        <v>1323.54</v>
      </c>
      <c r="T421" s="14" t="n">
        <v>1323.54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CANON-202601-003619</t>
        </is>
      </c>
      <c r="B422" s="15" t="inlineStr">
        <is>
          <t>2026-01-14</t>
        </is>
      </c>
      <c r="C422" s="15" t="inlineStr">
        <is>
          <t>Anouk Castellanos</t>
        </is>
      </c>
      <c r="D422" s="15" t="inlineStr">
        <is>
          <t>MS</t>
        </is>
      </c>
      <c r="E422" s="16" t="n">
        <v>275000</v>
      </c>
      <c r="F422" s="16" t="n">
        <v>4154.84</v>
      </c>
      <c r="G422" s="16" t="n">
        <v>519.36</v>
      </c>
      <c r="H422" s="16" t="n">
        <v>519.36</v>
      </c>
      <c r="I422" s="16">
        <f>SUM(K422:T422)</f>
        <v/>
      </c>
      <c r="J422" s="16">
        <f>F422-(G422+H422+I422)</f>
        <v/>
      </c>
      <c r="K422" s="16" t="n">
        <v>311.61</v>
      </c>
      <c r="L422" s="16" t="n">
        <v>311.61</v>
      </c>
      <c r="M422" s="16" t="n">
        <v>311.61</v>
      </c>
      <c r="N422" s="16" t="n">
        <v>311.61</v>
      </c>
      <c r="O422" s="16" t="n">
        <v>311.61</v>
      </c>
      <c r="P422" s="16" t="n">
        <v>311.61</v>
      </c>
      <c r="Q422" s="16" t="n">
        <v>311.61</v>
      </c>
      <c r="R422" s="16" t="n">
        <v>311.61</v>
      </c>
      <c r="S422" s="16" t="n">
        <v>311.61</v>
      </c>
      <c r="T422" s="16" t="n">
        <v>311.61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CANON-202601-003620</t>
        </is>
      </c>
      <c r="B423" s="3" t="inlineStr">
        <is>
          <t>2026-01-16</t>
        </is>
      </c>
      <c r="C423" s="3" t="inlineStr">
        <is>
          <t>Noor Nakashima</t>
        </is>
      </c>
      <c r="D423" s="3" t="inlineStr">
        <is>
          <t>FL</t>
        </is>
      </c>
      <c r="E423" s="14" t="n">
        <v>340000</v>
      </c>
      <c r="F423" s="14" t="n">
        <v>6129.74</v>
      </c>
      <c r="G423" s="14" t="n">
        <v>766.22</v>
      </c>
      <c r="H423" s="14" t="n">
        <v>766.22</v>
      </c>
      <c r="I423" s="14">
        <f>SUM(K423:T423)</f>
        <v/>
      </c>
      <c r="J423" s="14">
        <f>F423-(G423+H423+I423)</f>
        <v/>
      </c>
      <c r="K423" s="14" t="n">
        <v>459.73</v>
      </c>
      <c r="L423" s="14" t="n">
        <v>459.73</v>
      </c>
      <c r="M423" s="14" t="n">
        <v>459.73</v>
      </c>
      <c r="N423" s="14" t="n">
        <v>459.73</v>
      </c>
      <c r="O423" s="14" t="n">
        <v>459.73</v>
      </c>
      <c r="P423" s="14" t="n">
        <v>459.73</v>
      </c>
      <c r="Q423" s="14" t="n">
        <v>459.73</v>
      </c>
      <c r="R423" s="14" t="n">
        <v>459.73</v>
      </c>
      <c r="S423" s="14" t="n">
        <v>459.73</v>
      </c>
      <c r="T423" s="14" t="n">
        <v>459.73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CANON-202601-003621</t>
        </is>
      </c>
      <c r="B424" s="15" t="inlineStr">
        <is>
          <t>2026-01-06</t>
        </is>
      </c>
      <c r="C424" s="15" t="inlineStr">
        <is>
          <t>Leopold Montoya</t>
        </is>
      </c>
      <c r="D424" s="15" t="inlineStr">
        <is>
          <t>SC</t>
        </is>
      </c>
      <c r="E424" s="16" t="n">
        <v>1290000</v>
      </c>
      <c r="F424" s="16" t="n">
        <v>21662.81</v>
      </c>
      <c r="G424" s="16" t="n">
        <v>2707.85</v>
      </c>
      <c r="H424" s="16" t="n">
        <v>2707.85</v>
      </c>
      <c r="I424" s="16">
        <f>SUM(K424:T424)</f>
        <v/>
      </c>
      <c r="J424" s="16">
        <f>F424-(G424+H424+I424)</f>
        <v/>
      </c>
      <c r="K424" s="16" t="n">
        <v>1624.71</v>
      </c>
      <c r="L424" s="16" t="n">
        <v>1624.71</v>
      </c>
      <c r="M424" s="16" t="n">
        <v>1624.71</v>
      </c>
      <c r="N424" s="16" t="n">
        <v>1624.71</v>
      </c>
      <c r="O424" s="16" t="n">
        <v>1624.71</v>
      </c>
      <c r="P424" s="16" t="n">
        <v>1624.71</v>
      </c>
      <c r="Q424" s="16" t="n">
        <v>1624.71</v>
      </c>
      <c r="R424" s="16" t="n">
        <v>1624.71</v>
      </c>
      <c r="S424" s="16" t="n">
        <v>1624.71</v>
      </c>
      <c r="T424" s="16" t="n">
        <v>1624.71</v>
      </c>
      <c r="U424" s="16" t="n">
        <v>350</v>
      </c>
      <c r="V424" s="16" t="n">
        <v>250</v>
      </c>
      <c r="W424" s="16">
        <f>U424+V424</f>
        <v/>
      </c>
    </row>
    <row r="425">
      <c r="A425" s="3" t="inlineStr">
        <is>
          <t>CANON-202601-003622</t>
        </is>
      </c>
      <c r="B425" s="3" t="inlineStr">
        <is>
          <t>2026-01-12</t>
        </is>
      </c>
      <c r="C425" s="3" t="inlineStr">
        <is>
          <t>Everett Vandermeer</t>
        </is>
      </c>
      <c r="D425" s="3" t="inlineStr">
        <is>
          <t>TX</t>
        </is>
      </c>
      <c r="E425" s="14" t="n">
        <v>380000</v>
      </c>
      <c r="F425" s="14" t="n">
        <v>5548.25</v>
      </c>
      <c r="G425" s="14" t="n">
        <v>693.53</v>
      </c>
      <c r="H425" s="14" t="n">
        <v>693.53</v>
      </c>
      <c r="I425" s="14">
        <f>SUM(K425:T425)</f>
        <v/>
      </c>
      <c r="J425" s="14">
        <f>F425-(G425+H425+I425)</f>
        <v/>
      </c>
      <c r="K425" s="14" t="n">
        <v>416.12</v>
      </c>
      <c r="L425" s="14" t="n">
        <v>416.12</v>
      </c>
      <c r="M425" s="14" t="n">
        <v>416.12</v>
      </c>
      <c r="N425" s="14" t="n">
        <v>416.12</v>
      </c>
      <c r="O425" s="14" t="n">
        <v>416.12</v>
      </c>
      <c r="P425" s="14" t="n">
        <v>416.12</v>
      </c>
      <c r="Q425" s="14" t="n">
        <v>416.12</v>
      </c>
      <c r="R425" s="14" t="n">
        <v>416.12</v>
      </c>
      <c r="S425" s="14" t="n">
        <v>416.12</v>
      </c>
      <c r="T425" s="14" t="n">
        <v>416.12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CANON-202601-003623</t>
        </is>
      </c>
      <c r="B426" s="15" t="inlineStr">
        <is>
          <t>2026-01-16</t>
        </is>
      </c>
      <c r="C426" s="15" t="inlineStr">
        <is>
          <t>Noor Okonkwo</t>
        </is>
      </c>
      <c r="D426" s="15" t="inlineStr">
        <is>
          <t>MO</t>
        </is>
      </c>
      <c r="E426" s="16" t="n">
        <v>1610000</v>
      </c>
      <c r="F426" s="16" t="n">
        <v>15889.41</v>
      </c>
      <c r="G426" s="16" t="n">
        <v>1986.18</v>
      </c>
      <c r="H426" s="16" t="n">
        <v>1986.18</v>
      </c>
      <c r="I426" s="16">
        <f>SUM(K426:T426)</f>
        <v/>
      </c>
      <c r="J426" s="16">
        <f>F426-(G426+H426+I426)</f>
        <v/>
      </c>
      <c r="K426" s="16" t="n">
        <v>1191.71</v>
      </c>
      <c r="L426" s="16" t="n">
        <v>1191.71</v>
      </c>
      <c r="M426" s="16" t="n">
        <v>1191.71</v>
      </c>
      <c r="N426" s="16" t="n">
        <v>1191.71</v>
      </c>
      <c r="O426" s="16" t="n">
        <v>1191.71</v>
      </c>
      <c r="P426" s="16" t="n">
        <v>1191.71</v>
      </c>
      <c r="Q426" s="16" t="n">
        <v>1191.71</v>
      </c>
      <c r="R426" s="16" t="n">
        <v>1191.71</v>
      </c>
      <c r="S426" s="16" t="n">
        <v>1191.71</v>
      </c>
      <c r="T426" s="16" t="n">
        <v>1191.71</v>
      </c>
      <c r="U426" s="16" t="n">
        <v>350</v>
      </c>
      <c r="V426" s="16" t="n">
        <v>250</v>
      </c>
      <c r="W426" s="16">
        <f>U426+V426</f>
        <v/>
      </c>
    </row>
    <row r="427">
      <c r="A427" s="3" t="inlineStr">
        <is>
          <t>CANON-202601-003624</t>
        </is>
      </c>
      <c r="B427" s="3" t="inlineStr">
        <is>
          <t>2026-01-16</t>
        </is>
      </c>
      <c r="C427" s="3" t="inlineStr">
        <is>
          <t>Fenwick Chattopadhyay</t>
        </is>
      </c>
      <c r="D427" s="3" t="inlineStr">
        <is>
          <t>LA</t>
        </is>
      </c>
      <c r="E427" s="14" t="n">
        <v>335000</v>
      </c>
      <c r="F427" s="14" t="n">
        <v>5146.41</v>
      </c>
      <c r="G427" s="14" t="n">
        <v>643.3</v>
      </c>
      <c r="H427" s="14" t="n">
        <v>643.3</v>
      </c>
      <c r="I427" s="14">
        <f>SUM(K427:T427)</f>
        <v/>
      </c>
      <c r="J427" s="14">
        <f>F427-(G427+H427+I427)</f>
        <v/>
      </c>
      <c r="K427" s="14" t="n">
        <v>385.98</v>
      </c>
      <c r="L427" s="14" t="n">
        <v>385.98</v>
      </c>
      <c r="M427" s="14" t="n">
        <v>385.98</v>
      </c>
      <c r="N427" s="14" t="n">
        <v>385.98</v>
      </c>
      <c r="O427" s="14" t="n">
        <v>385.98</v>
      </c>
      <c r="P427" s="14" t="n">
        <v>385.98</v>
      </c>
      <c r="Q427" s="14" t="n">
        <v>385.98</v>
      </c>
      <c r="R427" s="14" t="n">
        <v>385.98</v>
      </c>
      <c r="S427" s="14" t="n">
        <v>385.98</v>
      </c>
      <c r="T427" s="14" t="n">
        <v>385.98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CANON-202601-003625</t>
        </is>
      </c>
      <c r="B428" s="15" t="inlineStr">
        <is>
          <t>2026-01-18</t>
        </is>
      </c>
      <c r="C428" s="15" t="inlineStr">
        <is>
          <t>Ramona Vasquez</t>
        </is>
      </c>
      <c r="D428" s="15" t="inlineStr">
        <is>
          <t>RI</t>
        </is>
      </c>
      <c r="E428" s="16" t="n">
        <v>480000</v>
      </c>
      <c r="F428" s="16" t="n">
        <v>8349.040000000001</v>
      </c>
      <c r="G428" s="16" t="n">
        <v>1043.63</v>
      </c>
      <c r="H428" s="16" t="n">
        <v>1043.63</v>
      </c>
      <c r="I428" s="16">
        <f>SUM(K428:T428)</f>
        <v/>
      </c>
      <c r="J428" s="16">
        <f>F428-(G428+H428+I428)</f>
        <v/>
      </c>
      <c r="K428" s="16" t="n">
        <v>626.1799999999999</v>
      </c>
      <c r="L428" s="16" t="n">
        <v>626.1799999999999</v>
      </c>
      <c r="M428" s="16" t="n">
        <v>626.1799999999999</v>
      </c>
      <c r="N428" s="16" t="n">
        <v>626.1799999999999</v>
      </c>
      <c r="O428" s="16" t="n">
        <v>626.1799999999999</v>
      </c>
      <c r="P428" s="16" t="n">
        <v>626.1799999999999</v>
      </c>
      <c r="Q428" s="16" t="n">
        <v>626.1799999999999</v>
      </c>
      <c r="R428" s="16" t="n">
        <v>626.1799999999999</v>
      </c>
      <c r="S428" s="16" t="n">
        <v>626.1799999999999</v>
      </c>
      <c r="T428" s="16" t="n">
        <v>626.1799999999999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CANON-202601-003627</t>
        </is>
      </c>
      <c r="B429" s="3" t="inlineStr">
        <is>
          <t>2026-01-13</t>
        </is>
      </c>
      <c r="C429" s="3" t="inlineStr">
        <is>
          <t>Ottilie Okonkwo</t>
        </is>
      </c>
      <c r="D429" s="3" t="inlineStr">
        <is>
          <t>OR</t>
        </is>
      </c>
      <c r="E429" s="14" t="n">
        <v>1630000</v>
      </c>
      <c r="F429" s="14" t="n">
        <v>17149.13</v>
      </c>
      <c r="G429" s="14" t="n">
        <v>2143.64</v>
      </c>
      <c r="H429" s="14" t="n">
        <v>2143.64</v>
      </c>
      <c r="I429" s="14">
        <f>SUM(K429:T429)</f>
        <v/>
      </c>
      <c r="J429" s="14">
        <f>F429-(G429+H429+I429)</f>
        <v/>
      </c>
      <c r="K429" s="14" t="n">
        <v>1286.18</v>
      </c>
      <c r="L429" s="14" t="n">
        <v>1286.18</v>
      </c>
      <c r="M429" s="14" t="n">
        <v>1286.18</v>
      </c>
      <c r="N429" s="14" t="n">
        <v>1286.18</v>
      </c>
      <c r="O429" s="14" t="n">
        <v>1286.18</v>
      </c>
      <c r="P429" s="14" t="n">
        <v>1286.18</v>
      </c>
      <c r="Q429" s="14" t="n">
        <v>1286.18</v>
      </c>
      <c r="R429" s="14" t="n">
        <v>1286.18</v>
      </c>
      <c r="S429" s="14" t="n">
        <v>1286.18</v>
      </c>
      <c r="T429" s="14" t="n">
        <v>1286.18</v>
      </c>
      <c r="U429" s="14" t="n">
        <v>350</v>
      </c>
      <c r="V429" s="14" t="n">
        <v>250</v>
      </c>
      <c r="W429" s="14">
        <f>U429+V429</f>
        <v/>
      </c>
    </row>
    <row r="430">
      <c r="A430" s="15" t="inlineStr">
        <is>
          <t>CANON-202601-003629</t>
        </is>
      </c>
      <c r="B430" s="15" t="inlineStr">
        <is>
          <t>2026-01-05</t>
        </is>
      </c>
      <c r="C430" s="15" t="inlineStr">
        <is>
          <t>Thaddeus Vandermeer</t>
        </is>
      </c>
      <c r="D430" s="15" t="inlineStr">
        <is>
          <t>OR</t>
        </is>
      </c>
      <c r="E430" s="16" t="n">
        <v>125000</v>
      </c>
      <c r="F430" s="16" t="n">
        <v>1362.94</v>
      </c>
      <c r="G430" s="16" t="n">
        <v>170.37</v>
      </c>
      <c r="H430" s="16" t="n">
        <v>170.37</v>
      </c>
      <c r="I430" s="16">
        <f>SUM(K430:T430)</f>
        <v/>
      </c>
      <c r="J430" s="16">
        <f>F430-(G430+H430+I430)</f>
        <v/>
      </c>
      <c r="K430" s="16" t="n">
        <v>102.22</v>
      </c>
      <c r="L430" s="16" t="n">
        <v>102.22</v>
      </c>
      <c r="M430" s="16" t="n">
        <v>102.22</v>
      </c>
      <c r="N430" s="16" t="n">
        <v>102.22</v>
      </c>
      <c r="O430" s="16" t="n">
        <v>102.22</v>
      </c>
      <c r="P430" s="16" t="n">
        <v>102.22</v>
      </c>
      <c r="Q430" s="16" t="n">
        <v>102.22</v>
      </c>
      <c r="R430" s="16" t="n">
        <v>102.22</v>
      </c>
      <c r="S430" s="16" t="n">
        <v>102.22</v>
      </c>
      <c r="T430" s="16" t="n">
        <v>102.22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CANON-202601-003631</t>
        </is>
      </c>
      <c r="B431" s="3" t="inlineStr">
        <is>
          <t>2026-01-13</t>
        </is>
      </c>
      <c r="C431" s="3" t="inlineStr">
        <is>
          <t>Delphine Delacroix</t>
        </is>
      </c>
      <c r="D431" s="3" t="inlineStr">
        <is>
          <t>SC</t>
        </is>
      </c>
      <c r="E431" s="14" t="n">
        <v>1020000</v>
      </c>
      <c r="F431" s="14" t="n">
        <v>8136.15</v>
      </c>
      <c r="G431" s="14" t="n">
        <v>1017.02</v>
      </c>
      <c r="H431" s="14" t="n">
        <v>1017.02</v>
      </c>
      <c r="I431" s="14">
        <f>SUM(K431:T431)</f>
        <v/>
      </c>
      <c r="J431" s="14">
        <f>F431-(G431+H431+I431)</f>
        <v/>
      </c>
      <c r="K431" s="14" t="n">
        <v>610.21</v>
      </c>
      <c r="L431" s="14" t="n">
        <v>610.21</v>
      </c>
      <c r="M431" s="14" t="n">
        <v>610.21</v>
      </c>
      <c r="N431" s="14" t="n">
        <v>610.21</v>
      </c>
      <c r="O431" s="14" t="n">
        <v>610.21</v>
      </c>
      <c r="P431" s="14" t="n">
        <v>610.21</v>
      </c>
      <c r="Q431" s="14" t="n">
        <v>610.21</v>
      </c>
      <c r="R431" s="14" t="n">
        <v>610.21</v>
      </c>
      <c r="S431" s="14" t="n">
        <v>610.21</v>
      </c>
      <c r="T431" s="14" t="n">
        <v>610.21</v>
      </c>
      <c r="U431" s="14" t="n">
        <v>350</v>
      </c>
      <c r="V431" s="14" t="n">
        <v>250</v>
      </c>
      <c r="W431" s="14">
        <f>U431+V431</f>
        <v/>
      </c>
    </row>
    <row r="432">
      <c r="A432" s="15" t="inlineStr">
        <is>
          <t>CANON-202601-003635</t>
        </is>
      </c>
      <c r="B432" s="15" t="inlineStr">
        <is>
          <t>2026-01-17</t>
        </is>
      </c>
      <c r="C432" s="15" t="inlineStr">
        <is>
          <t>Aurelio Vasquez</t>
        </is>
      </c>
      <c r="D432" s="15" t="inlineStr">
        <is>
          <t>ID</t>
        </is>
      </c>
      <c r="E432" s="16" t="n">
        <v>400000</v>
      </c>
      <c r="F432" s="16" t="n">
        <v>5027.7</v>
      </c>
      <c r="G432" s="16" t="n">
        <v>628.46</v>
      </c>
      <c r="H432" s="16" t="n">
        <v>628.46</v>
      </c>
      <c r="I432" s="16">
        <f>SUM(K432:T432)</f>
        <v/>
      </c>
      <c r="J432" s="16">
        <f>F432-(G432+H432+I432)</f>
        <v/>
      </c>
      <c r="K432" s="16" t="n">
        <v>377.08</v>
      </c>
      <c r="L432" s="16" t="n">
        <v>377.08</v>
      </c>
      <c r="M432" s="16" t="n">
        <v>377.08</v>
      </c>
      <c r="N432" s="16" t="n">
        <v>377.08</v>
      </c>
      <c r="O432" s="16" t="n">
        <v>377.08</v>
      </c>
      <c r="P432" s="16" t="n">
        <v>377.08</v>
      </c>
      <c r="Q432" s="16" t="n">
        <v>377.08</v>
      </c>
      <c r="R432" s="16" t="n">
        <v>377.08</v>
      </c>
      <c r="S432" s="16" t="n">
        <v>377.08</v>
      </c>
      <c r="T432" s="16" t="n">
        <v>377.08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CANON-202601-003636</t>
        </is>
      </c>
      <c r="B433" s="3" t="inlineStr">
        <is>
          <t>2026-01-11</t>
        </is>
      </c>
      <c r="C433" s="3" t="inlineStr">
        <is>
          <t>Ramona Montoya</t>
        </is>
      </c>
      <c r="D433" s="3" t="inlineStr">
        <is>
          <t>ID</t>
        </is>
      </c>
      <c r="E433" s="14" t="n">
        <v>1630000</v>
      </c>
      <c r="F433" s="14" t="n">
        <v>21853.76</v>
      </c>
      <c r="G433" s="14" t="n">
        <v>2731.72</v>
      </c>
      <c r="H433" s="14" t="n">
        <v>2731.72</v>
      </c>
      <c r="I433" s="14">
        <f>SUM(K433:T433)</f>
        <v/>
      </c>
      <c r="J433" s="14">
        <f>F433-(G433+H433+I433)</f>
        <v/>
      </c>
      <c r="K433" s="14" t="n">
        <v>1639.03</v>
      </c>
      <c r="L433" s="14" t="n">
        <v>1639.03</v>
      </c>
      <c r="M433" s="14" t="n">
        <v>1639.03</v>
      </c>
      <c r="N433" s="14" t="n">
        <v>1639.03</v>
      </c>
      <c r="O433" s="14" t="n">
        <v>1639.03</v>
      </c>
      <c r="P433" s="14" t="n">
        <v>1639.03</v>
      </c>
      <c r="Q433" s="14" t="n">
        <v>1639.03</v>
      </c>
      <c r="R433" s="14" t="n">
        <v>1639.03</v>
      </c>
      <c r="S433" s="14" t="n">
        <v>1639.03</v>
      </c>
      <c r="T433" s="14" t="n">
        <v>1639.03</v>
      </c>
      <c r="U433" s="14" t="n">
        <v>350</v>
      </c>
      <c r="V433" s="14" t="n">
        <v>250</v>
      </c>
      <c r="W433" s="14">
        <f>U433+V433</f>
        <v/>
      </c>
    </row>
    <row r="434">
      <c r="A434" s="15" t="inlineStr">
        <is>
          <t>CANON-202601-003638</t>
        </is>
      </c>
      <c r="B434" s="15" t="inlineStr">
        <is>
          <t>2026-01-09</t>
        </is>
      </c>
      <c r="C434" s="15" t="inlineStr">
        <is>
          <t>Desmond Delacroix</t>
        </is>
      </c>
      <c r="D434" s="15" t="inlineStr">
        <is>
          <t>OH</t>
        </is>
      </c>
      <c r="E434" s="16" t="n">
        <v>365000</v>
      </c>
      <c r="F434" s="16" t="n">
        <v>6441.43</v>
      </c>
      <c r="G434" s="16" t="n">
        <v>805.1799999999999</v>
      </c>
      <c r="H434" s="16" t="n">
        <v>805.1799999999999</v>
      </c>
      <c r="I434" s="16">
        <f>SUM(K434:T434)</f>
        <v/>
      </c>
      <c r="J434" s="16">
        <f>F434-(G434+H434+I434)</f>
        <v/>
      </c>
      <c r="K434" s="16" t="n">
        <v>483.11</v>
      </c>
      <c r="L434" s="16" t="n">
        <v>483.11</v>
      </c>
      <c r="M434" s="16" t="n">
        <v>483.11</v>
      </c>
      <c r="N434" s="16" t="n">
        <v>483.11</v>
      </c>
      <c r="O434" s="16" t="n">
        <v>483.11</v>
      </c>
      <c r="P434" s="16" t="n">
        <v>483.11</v>
      </c>
      <c r="Q434" s="16" t="n">
        <v>483.11</v>
      </c>
      <c r="R434" s="16" t="n">
        <v>483.11</v>
      </c>
      <c r="S434" s="16" t="n">
        <v>483.11</v>
      </c>
      <c r="T434" s="16" t="n">
        <v>483.11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CANON-202601-003639</t>
        </is>
      </c>
      <c r="B435" s="3" t="inlineStr">
        <is>
          <t>2026-01-14</t>
        </is>
      </c>
      <c r="C435" s="3" t="inlineStr">
        <is>
          <t>Emiliano Ashcombe</t>
        </is>
      </c>
      <c r="D435" s="3" t="inlineStr">
        <is>
          <t>CO</t>
        </is>
      </c>
      <c r="E435" s="14" t="n">
        <v>145000</v>
      </c>
      <c r="F435" s="14" t="n">
        <v>3834.09</v>
      </c>
      <c r="G435" s="14" t="n">
        <v>479.26</v>
      </c>
      <c r="H435" s="14" t="n">
        <v>479.26</v>
      </c>
      <c r="I435" s="14">
        <f>SUM(K435:T435)</f>
        <v/>
      </c>
      <c r="J435" s="14">
        <f>F435-(G435+H435+I435)</f>
        <v/>
      </c>
      <c r="K435" s="14" t="n">
        <v>287.56</v>
      </c>
      <c r="L435" s="14" t="n">
        <v>287.56</v>
      </c>
      <c r="M435" s="14" t="n">
        <v>287.56</v>
      </c>
      <c r="N435" s="14" t="n">
        <v>287.56</v>
      </c>
      <c r="O435" s="14" t="n">
        <v>287.56</v>
      </c>
      <c r="P435" s="14" t="n">
        <v>287.56</v>
      </c>
      <c r="Q435" s="14" t="n">
        <v>287.56</v>
      </c>
      <c r="R435" s="14" t="n">
        <v>287.56</v>
      </c>
      <c r="S435" s="14" t="n">
        <v>287.56</v>
      </c>
      <c r="T435" s="14" t="n">
        <v>287.56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CANON-202601-003641</t>
        </is>
      </c>
      <c r="B436" s="15" t="inlineStr">
        <is>
          <t>2026-01-29</t>
        </is>
      </c>
      <c r="C436" s="15" t="inlineStr">
        <is>
          <t>Lorenzo Chattopadhyay</t>
        </is>
      </c>
      <c r="D436" s="15" t="inlineStr">
        <is>
          <t>MA</t>
        </is>
      </c>
      <c r="E436" s="16" t="n">
        <v>845000</v>
      </c>
      <c r="F436" s="16" t="n">
        <v>16986.49</v>
      </c>
      <c r="G436" s="16" t="n">
        <v>2123.31</v>
      </c>
      <c r="H436" s="16" t="n">
        <v>2123.31</v>
      </c>
      <c r="I436" s="16">
        <f>SUM(K436:T436)</f>
        <v/>
      </c>
      <c r="J436" s="16">
        <f>F436-(G436+H436+I436)</f>
        <v/>
      </c>
      <c r="K436" s="16" t="n">
        <v>1273.99</v>
      </c>
      <c r="L436" s="16" t="n">
        <v>1273.99</v>
      </c>
      <c r="M436" s="16" t="n">
        <v>1273.99</v>
      </c>
      <c r="N436" s="16" t="n">
        <v>1273.99</v>
      </c>
      <c r="O436" s="16" t="n">
        <v>1273.99</v>
      </c>
      <c r="P436" s="16" t="n">
        <v>1273.99</v>
      </c>
      <c r="Q436" s="16" t="n">
        <v>1273.99</v>
      </c>
      <c r="R436" s="16" t="n">
        <v>1273.99</v>
      </c>
      <c r="S436" s="16" t="n">
        <v>1273.99</v>
      </c>
      <c r="T436" s="16" t="n">
        <v>1273.99</v>
      </c>
      <c r="U436" s="16" t="n">
        <v>350</v>
      </c>
      <c r="V436" s="16" t="n">
        <v>0</v>
      </c>
      <c r="W436" s="16">
        <f>U436+V436</f>
        <v/>
      </c>
    </row>
    <row r="437">
      <c r="A437" s="3" t="inlineStr">
        <is>
          <t>CANON-202601-003642</t>
        </is>
      </c>
      <c r="B437" s="3" t="inlineStr">
        <is>
          <t>2026-01-06</t>
        </is>
      </c>
      <c r="C437" s="3" t="inlineStr">
        <is>
          <t>Marisol Bellandi</t>
        </is>
      </c>
      <c r="D437" s="3" t="inlineStr">
        <is>
          <t>AR</t>
        </is>
      </c>
      <c r="E437" s="14" t="n">
        <v>1395000</v>
      </c>
      <c r="F437" s="14" t="n">
        <v>17923.77</v>
      </c>
      <c r="G437" s="14" t="n">
        <v>2240.47</v>
      </c>
      <c r="H437" s="14" t="n">
        <v>2240.47</v>
      </c>
      <c r="I437" s="14">
        <f>SUM(K437:T437)</f>
        <v/>
      </c>
      <c r="J437" s="14">
        <f>F437-(G437+H437+I437)</f>
        <v/>
      </c>
      <c r="K437" s="14" t="n">
        <v>1344.28</v>
      </c>
      <c r="L437" s="14" t="n">
        <v>1344.28</v>
      </c>
      <c r="M437" s="14" t="n">
        <v>1344.28</v>
      </c>
      <c r="N437" s="14" t="n">
        <v>1344.28</v>
      </c>
      <c r="O437" s="14" t="n">
        <v>1344.28</v>
      </c>
      <c r="P437" s="14" t="n">
        <v>1344.28</v>
      </c>
      <c r="Q437" s="14" t="n">
        <v>1344.28</v>
      </c>
      <c r="R437" s="14" t="n">
        <v>1344.28</v>
      </c>
      <c r="S437" s="14" t="n">
        <v>1344.28</v>
      </c>
      <c r="T437" s="14" t="n">
        <v>1344.28</v>
      </c>
      <c r="U437" s="14" t="n">
        <v>350</v>
      </c>
      <c r="V437" s="14" t="n">
        <v>250</v>
      </c>
      <c r="W437" s="14">
        <f>U437+V437</f>
        <v/>
      </c>
    </row>
    <row r="438">
      <c r="A438" s="15" t="inlineStr">
        <is>
          <t>CANON-202601-003643</t>
        </is>
      </c>
      <c r="B438" s="15" t="inlineStr">
        <is>
          <t>2026-01-01</t>
        </is>
      </c>
      <c r="C438" s="15" t="inlineStr">
        <is>
          <t>Mireille Thistlewood</t>
        </is>
      </c>
      <c r="D438" s="15" t="inlineStr">
        <is>
          <t>CA</t>
        </is>
      </c>
      <c r="E438" s="16" t="n">
        <v>1020000</v>
      </c>
      <c r="F438" s="16" t="n">
        <v>18648.22</v>
      </c>
      <c r="G438" s="16" t="n">
        <v>2331.03</v>
      </c>
      <c r="H438" s="16" t="n">
        <v>2331.03</v>
      </c>
      <c r="I438" s="16">
        <f>SUM(K438:T438)</f>
        <v/>
      </c>
      <c r="J438" s="16">
        <f>F438-(G438+H438+I438)</f>
        <v/>
      </c>
      <c r="K438" s="16" t="n">
        <v>1398.62</v>
      </c>
      <c r="L438" s="16" t="n">
        <v>1398.62</v>
      </c>
      <c r="M438" s="16" t="n">
        <v>1398.62</v>
      </c>
      <c r="N438" s="16" t="n">
        <v>1398.62</v>
      </c>
      <c r="O438" s="16" t="n">
        <v>1398.62</v>
      </c>
      <c r="P438" s="16" t="n">
        <v>1398.62</v>
      </c>
      <c r="Q438" s="16" t="n">
        <v>1398.62</v>
      </c>
      <c r="R438" s="16" t="n">
        <v>1398.62</v>
      </c>
      <c r="S438" s="16" t="n">
        <v>1398.62</v>
      </c>
      <c r="T438" s="16" t="n">
        <v>1398.62</v>
      </c>
      <c r="U438" s="16" t="n">
        <v>350</v>
      </c>
      <c r="V438" s="16" t="n">
        <v>250</v>
      </c>
      <c r="W438" s="16">
        <f>U438+V438</f>
        <v/>
      </c>
    </row>
    <row r="439">
      <c r="A439" s="3" t="inlineStr">
        <is>
          <t>CANON-202601-003644</t>
        </is>
      </c>
      <c r="B439" s="3" t="inlineStr">
        <is>
          <t>2026-01-02</t>
        </is>
      </c>
      <c r="C439" s="3" t="inlineStr">
        <is>
          <t>Anouk Castellanos</t>
        </is>
      </c>
      <c r="D439" s="3" t="inlineStr">
        <is>
          <t>TX</t>
        </is>
      </c>
      <c r="E439" s="14" t="n">
        <v>385000</v>
      </c>
      <c r="F439" s="14" t="n">
        <v>5621.25</v>
      </c>
      <c r="G439" s="14" t="n">
        <v>702.66</v>
      </c>
      <c r="H439" s="14" t="n">
        <v>702.66</v>
      </c>
      <c r="I439" s="14">
        <f>SUM(K439:T439)</f>
        <v/>
      </c>
      <c r="J439" s="14">
        <f>F439-(G439+H439+I439)</f>
        <v/>
      </c>
      <c r="K439" s="14" t="n">
        <v>421.59</v>
      </c>
      <c r="L439" s="14" t="n">
        <v>421.59</v>
      </c>
      <c r="M439" s="14" t="n">
        <v>421.59</v>
      </c>
      <c r="N439" s="14" t="n">
        <v>421.59</v>
      </c>
      <c r="O439" s="14" t="n">
        <v>421.59</v>
      </c>
      <c r="P439" s="14" t="n">
        <v>421.59</v>
      </c>
      <c r="Q439" s="14" t="n">
        <v>421.59</v>
      </c>
      <c r="R439" s="14" t="n">
        <v>421.59</v>
      </c>
      <c r="S439" s="14" t="n">
        <v>421.59</v>
      </c>
      <c r="T439" s="14" t="n">
        <v>421.59</v>
      </c>
      <c r="U439" s="14" t="n">
        <v>350</v>
      </c>
      <c r="V439" s="14" t="n">
        <v>0</v>
      </c>
      <c r="W439" s="14">
        <f>U439+V439</f>
        <v/>
      </c>
    </row>
    <row r="440">
      <c r="A440" s="15" t="inlineStr">
        <is>
          <t>CANON-202601-003647</t>
        </is>
      </c>
      <c r="B440" s="15" t="inlineStr">
        <is>
          <t>2026-01-31</t>
        </is>
      </c>
      <c r="C440" s="15" t="inlineStr">
        <is>
          <t>Marisol Fairweather</t>
        </is>
      </c>
      <c r="D440" s="15" t="inlineStr">
        <is>
          <t>NY</t>
        </is>
      </c>
      <c r="E440" s="16" t="n">
        <v>660000</v>
      </c>
      <c r="F440" s="16" t="n">
        <v>6149.44</v>
      </c>
      <c r="G440" s="16" t="n">
        <v>768.6799999999999</v>
      </c>
      <c r="H440" s="16" t="n">
        <v>768.6799999999999</v>
      </c>
      <c r="I440" s="16">
        <f>SUM(K440:T440)</f>
        <v/>
      </c>
      <c r="J440" s="16">
        <f>F440-(G440+H440+I440)</f>
        <v/>
      </c>
      <c r="K440" s="16" t="n">
        <v>461.21</v>
      </c>
      <c r="L440" s="16" t="n">
        <v>461.21</v>
      </c>
      <c r="M440" s="16" t="n">
        <v>461.21</v>
      </c>
      <c r="N440" s="16" t="n">
        <v>461.21</v>
      </c>
      <c r="O440" s="16" t="n">
        <v>461.21</v>
      </c>
      <c r="P440" s="16" t="n">
        <v>461.21</v>
      </c>
      <c r="Q440" s="16" t="n">
        <v>461.21</v>
      </c>
      <c r="R440" s="16" t="n">
        <v>461.21</v>
      </c>
      <c r="S440" s="16" t="n">
        <v>461.21</v>
      </c>
      <c r="T440" s="16" t="n">
        <v>461.21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CANON-202601-003648</t>
        </is>
      </c>
      <c r="B441" s="3" t="inlineStr">
        <is>
          <t>2026-01-15</t>
        </is>
      </c>
      <c r="C441" s="3" t="inlineStr">
        <is>
          <t>Noor Bellandi</t>
        </is>
      </c>
      <c r="D441" s="3" t="inlineStr">
        <is>
          <t>ID</t>
        </is>
      </c>
      <c r="E441" s="14" t="n">
        <v>305000</v>
      </c>
      <c r="F441" s="14" t="n">
        <v>2146.83</v>
      </c>
      <c r="G441" s="14" t="n">
        <v>268.35</v>
      </c>
      <c r="H441" s="14" t="n">
        <v>268.35</v>
      </c>
      <c r="I441" s="14">
        <f>SUM(K441:T441)</f>
        <v/>
      </c>
      <c r="J441" s="14">
        <f>F441-(G441+H441+I441)</f>
        <v/>
      </c>
      <c r="K441" s="14" t="n">
        <v>161.01</v>
      </c>
      <c r="L441" s="14" t="n">
        <v>161.01</v>
      </c>
      <c r="M441" s="14" t="n">
        <v>161.01</v>
      </c>
      <c r="N441" s="14" t="n">
        <v>161.01</v>
      </c>
      <c r="O441" s="14" t="n">
        <v>161.01</v>
      </c>
      <c r="P441" s="14" t="n">
        <v>161.01</v>
      </c>
      <c r="Q441" s="14" t="n">
        <v>161.01</v>
      </c>
      <c r="R441" s="14" t="n">
        <v>161.01</v>
      </c>
      <c r="S441" s="14" t="n">
        <v>161.01</v>
      </c>
      <c r="T441" s="14" t="n">
        <v>161.01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CANON-202601-003649</t>
        </is>
      </c>
      <c r="B442" s="15" t="inlineStr">
        <is>
          <t>2026-01-28</t>
        </is>
      </c>
      <c r="C442" s="15" t="inlineStr">
        <is>
          <t>Noor Chattopadhyay</t>
        </is>
      </c>
      <c r="D442" s="15" t="inlineStr">
        <is>
          <t>ID</t>
        </is>
      </c>
      <c r="E442" s="16" t="n">
        <v>290000</v>
      </c>
      <c r="F442" s="16" t="n">
        <v>3645.09</v>
      </c>
      <c r="G442" s="16" t="n">
        <v>455.64</v>
      </c>
      <c r="H442" s="16" t="n">
        <v>455.64</v>
      </c>
      <c r="I442" s="16">
        <f>SUM(K442:T442)</f>
        <v/>
      </c>
      <c r="J442" s="16">
        <f>F442-(G442+H442+I442)</f>
        <v/>
      </c>
      <c r="K442" s="16" t="n">
        <v>273.38</v>
      </c>
      <c r="L442" s="16" t="n">
        <v>273.38</v>
      </c>
      <c r="M442" s="16" t="n">
        <v>273.38</v>
      </c>
      <c r="N442" s="16" t="n">
        <v>273.38</v>
      </c>
      <c r="O442" s="16" t="n">
        <v>273.38</v>
      </c>
      <c r="P442" s="16" t="n">
        <v>273.38</v>
      </c>
      <c r="Q442" s="16" t="n">
        <v>273.38</v>
      </c>
      <c r="R442" s="16" t="n">
        <v>273.38</v>
      </c>
      <c r="S442" s="16" t="n">
        <v>273.38</v>
      </c>
      <c r="T442" s="16" t="n">
        <v>273.38</v>
      </c>
      <c r="U442" s="16" t="n">
        <v>350</v>
      </c>
      <c r="V442" s="16" t="n">
        <v>0</v>
      </c>
      <c r="W442" s="16">
        <f>U442+V442</f>
        <v/>
      </c>
    </row>
    <row r="443">
      <c r="A443" s="3" t="inlineStr">
        <is>
          <t>CANON-202601-003650</t>
        </is>
      </c>
      <c r="B443" s="3" t="inlineStr">
        <is>
          <t>2026-01-26</t>
        </is>
      </c>
      <c r="C443" s="3" t="inlineStr">
        <is>
          <t>Lorenzo Vandermeer</t>
        </is>
      </c>
      <c r="D443" s="3" t="inlineStr">
        <is>
          <t>KY</t>
        </is>
      </c>
      <c r="E443" s="14" t="n">
        <v>695000</v>
      </c>
      <c r="F443" s="14" t="n">
        <v>6779.09</v>
      </c>
      <c r="G443" s="14" t="n">
        <v>847.39</v>
      </c>
      <c r="H443" s="14" t="n">
        <v>847.39</v>
      </c>
      <c r="I443" s="14">
        <f>SUM(K443:T443)</f>
        <v/>
      </c>
      <c r="J443" s="14">
        <f>F443-(G443+H443+I443)</f>
        <v/>
      </c>
      <c r="K443" s="14" t="n">
        <v>508.43</v>
      </c>
      <c r="L443" s="14" t="n">
        <v>508.43</v>
      </c>
      <c r="M443" s="14" t="n">
        <v>508.43</v>
      </c>
      <c r="N443" s="14" t="n">
        <v>508.43</v>
      </c>
      <c r="O443" s="14" t="n">
        <v>508.43</v>
      </c>
      <c r="P443" s="14" t="n">
        <v>508.43</v>
      </c>
      <c r="Q443" s="14" t="n">
        <v>508.43</v>
      </c>
      <c r="R443" s="14" t="n">
        <v>508.43</v>
      </c>
      <c r="S443" s="14" t="n">
        <v>508.43</v>
      </c>
      <c r="T443" s="14" t="n">
        <v>508.43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CANON-202601-003651</t>
        </is>
      </c>
      <c r="B444" s="15" t="inlineStr">
        <is>
          <t>2026-01-09</t>
        </is>
      </c>
      <c r="C444" s="15" t="inlineStr">
        <is>
          <t>Callum Delacroix</t>
        </is>
      </c>
      <c r="D444" s="15" t="inlineStr">
        <is>
          <t>MI</t>
        </is>
      </c>
      <c r="E444" s="16" t="n">
        <v>565000</v>
      </c>
      <c r="F444" s="16" t="n">
        <v>9636.219999999999</v>
      </c>
      <c r="G444" s="16" t="n">
        <v>1204.53</v>
      </c>
      <c r="H444" s="16" t="n">
        <v>1204.53</v>
      </c>
      <c r="I444" s="16">
        <f>SUM(K444:T444)</f>
        <v/>
      </c>
      <c r="J444" s="16">
        <f>F444-(G444+H444+I444)</f>
        <v/>
      </c>
      <c r="K444" s="16" t="n">
        <v>722.72</v>
      </c>
      <c r="L444" s="16" t="n">
        <v>722.72</v>
      </c>
      <c r="M444" s="16" t="n">
        <v>722.72</v>
      </c>
      <c r="N444" s="16" t="n">
        <v>722.72</v>
      </c>
      <c r="O444" s="16" t="n">
        <v>722.72</v>
      </c>
      <c r="P444" s="16" t="n">
        <v>722.72</v>
      </c>
      <c r="Q444" s="16" t="n">
        <v>722.72</v>
      </c>
      <c r="R444" s="16" t="n">
        <v>722.72</v>
      </c>
      <c r="S444" s="16" t="n">
        <v>722.72</v>
      </c>
      <c r="T444" s="16" t="n">
        <v>722.72</v>
      </c>
      <c r="U444" s="16" t="n">
        <v>350</v>
      </c>
      <c r="V444" s="16" t="n">
        <v>0</v>
      </c>
      <c r="W444" s="16">
        <f>U444+V444</f>
        <v/>
      </c>
    </row>
    <row r="445">
      <c r="A445" s="3" t="inlineStr">
        <is>
          <t>CANON-202601-003654</t>
        </is>
      </c>
      <c r="B445" s="3" t="inlineStr">
        <is>
          <t>2026-01-28</t>
        </is>
      </c>
      <c r="C445" s="3" t="inlineStr">
        <is>
          <t>Ottilie Thistlewood</t>
        </is>
      </c>
      <c r="D445" s="3" t="inlineStr">
        <is>
          <t>AK</t>
        </is>
      </c>
      <c r="E445" s="14" t="n">
        <v>845000</v>
      </c>
      <c r="F445" s="14" t="n">
        <v>7012.02</v>
      </c>
      <c r="G445" s="14" t="n">
        <v>876.5</v>
      </c>
      <c r="H445" s="14" t="n">
        <v>876.5</v>
      </c>
      <c r="I445" s="14">
        <f>SUM(K445:T445)</f>
        <v/>
      </c>
      <c r="J445" s="14">
        <f>F445-(G445+H445+I445)</f>
        <v/>
      </c>
      <c r="K445" s="14" t="n">
        <v>525.9</v>
      </c>
      <c r="L445" s="14" t="n">
        <v>525.9</v>
      </c>
      <c r="M445" s="14" t="n">
        <v>525.9</v>
      </c>
      <c r="N445" s="14" t="n">
        <v>525.9</v>
      </c>
      <c r="O445" s="14" t="n">
        <v>525.9</v>
      </c>
      <c r="P445" s="14" t="n">
        <v>525.9</v>
      </c>
      <c r="Q445" s="14" t="n">
        <v>525.9</v>
      </c>
      <c r="R445" s="14" t="n">
        <v>525.9</v>
      </c>
      <c r="S445" s="14" t="n">
        <v>525.9</v>
      </c>
      <c r="T445" s="14" t="n">
        <v>525.9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CANON-202601-003656</t>
        </is>
      </c>
      <c r="B446" s="15" t="inlineStr">
        <is>
          <t>2026-01-05</t>
        </is>
      </c>
      <c r="C446" s="15" t="inlineStr">
        <is>
          <t>Mireille Thistlewood</t>
        </is>
      </c>
      <c r="D446" s="15" t="inlineStr">
        <is>
          <t>IL</t>
        </is>
      </c>
      <c r="E446" s="16" t="n">
        <v>750000</v>
      </c>
      <c r="F446" s="16" t="n">
        <v>7424.75</v>
      </c>
      <c r="G446" s="16" t="n">
        <v>928.09</v>
      </c>
      <c r="H446" s="16" t="n">
        <v>928.09</v>
      </c>
      <c r="I446" s="16">
        <f>SUM(K446:T446)</f>
        <v/>
      </c>
      <c r="J446" s="16">
        <f>F446-(G446+H446+I446)</f>
        <v/>
      </c>
      <c r="K446" s="16" t="n">
        <v>556.86</v>
      </c>
      <c r="L446" s="16" t="n">
        <v>556.86</v>
      </c>
      <c r="M446" s="16" t="n">
        <v>556.86</v>
      </c>
      <c r="N446" s="16" t="n">
        <v>556.86</v>
      </c>
      <c r="O446" s="16" t="n">
        <v>556.86</v>
      </c>
      <c r="P446" s="16" t="n">
        <v>556.86</v>
      </c>
      <c r="Q446" s="16" t="n">
        <v>556.86</v>
      </c>
      <c r="R446" s="16" t="n">
        <v>556.86</v>
      </c>
      <c r="S446" s="16" t="n">
        <v>556.86</v>
      </c>
      <c r="T446" s="16" t="n">
        <v>556.86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CANON-202601-003657</t>
        </is>
      </c>
      <c r="B447" s="3" t="inlineStr">
        <is>
          <t>2026-01-21</t>
        </is>
      </c>
      <c r="C447" s="3" t="inlineStr">
        <is>
          <t>Everett Farkas</t>
        </is>
      </c>
      <c r="D447" s="3" t="inlineStr">
        <is>
          <t>OR</t>
        </is>
      </c>
      <c r="E447" s="14" t="n">
        <v>550000</v>
      </c>
      <c r="F447" s="14" t="n">
        <v>6838.61</v>
      </c>
      <c r="G447" s="14" t="n">
        <v>854.83</v>
      </c>
      <c r="H447" s="14" t="n">
        <v>854.83</v>
      </c>
      <c r="I447" s="14">
        <f>SUM(K447:T447)</f>
        <v/>
      </c>
      <c r="J447" s="14">
        <f>F447-(G447+H447+I447)</f>
        <v/>
      </c>
      <c r="K447" s="14" t="n">
        <v>512.9</v>
      </c>
      <c r="L447" s="14" t="n">
        <v>512.9</v>
      </c>
      <c r="M447" s="14" t="n">
        <v>512.9</v>
      </c>
      <c r="N447" s="14" t="n">
        <v>512.9</v>
      </c>
      <c r="O447" s="14" t="n">
        <v>512.9</v>
      </c>
      <c r="P447" s="14" t="n">
        <v>512.9</v>
      </c>
      <c r="Q447" s="14" t="n">
        <v>512.9</v>
      </c>
      <c r="R447" s="14" t="n">
        <v>512.9</v>
      </c>
      <c r="S447" s="14" t="n">
        <v>512.9</v>
      </c>
      <c r="T447" s="14" t="n">
        <v>512.9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CANON-202601-003658</t>
        </is>
      </c>
      <c r="B448" s="15" t="inlineStr">
        <is>
          <t>2026-01-05</t>
        </is>
      </c>
      <c r="C448" s="15" t="inlineStr">
        <is>
          <t>Priya Vandermeer</t>
        </is>
      </c>
      <c r="D448" s="15" t="inlineStr">
        <is>
          <t>AL</t>
        </is>
      </c>
      <c r="E448" s="16" t="n">
        <v>330000</v>
      </c>
      <c r="F448" s="16" t="n">
        <v>5320.99</v>
      </c>
      <c r="G448" s="16" t="n">
        <v>665.12</v>
      </c>
      <c r="H448" s="16" t="n">
        <v>665.12</v>
      </c>
      <c r="I448" s="16">
        <f>SUM(K448:T448)</f>
        <v/>
      </c>
      <c r="J448" s="16">
        <f>F448-(G448+H448+I448)</f>
        <v/>
      </c>
      <c r="K448" s="16" t="n">
        <v>399.07</v>
      </c>
      <c r="L448" s="16" t="n">
        <v>399.07</v>
      </c>
      <c r="M448" s="16" t="n">
        <v>399.07</v>
      </c>
      <c r="N448" s="16" t="n">
        <v>399.07</v>
      </c>
      <c r="O448" s="16" t="n">
        <v>399.07</v>
      </c>
      <c r="P448" s="16" t="n">
        <v>399.07</v>
      </c>
      <c r="Q448" s="16" t="n">
        <v>399.07</v>
      </c>
      <c r="R448" s="16" t="n">
        <v>399.07</v>
      </c>
      <c r="S448" s="16" t="n">
        <v>399.07</v>
      </c>
      <c r="T448" s="16" t="n">
        <v>399.07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CANON-202601-003659</t>
        </is>
      </c>
      <c r="B449" s="3" t="inlineStr">
        <is>
          <t>2026-01-07</t>
        </is>
      </c>
      <c r="C449" s="3" t="inlineStr">
        <is>
          <t>Horace Vandermeer</t>
        </is>
      </c>
      <c r="D449" s="3" t="inlineStr">
        <is>
          <t>OK</t>
        </is>
      </c>
      <c r="E449" s="14" t="n">
        <v>210000</v>
      </c>
      <c r="F449" s="14" t="n">
        <v>4120.89</v>
      </c>
      <c r="G449" s="14" t="n">
        <v>515.11</v>
      </c>
      <c r="H449" s="14" t="n">
        <v>515.11</v>
      </c>
      <c r="I449" s="14">
        <f>SUM(K449:T449)</f>
        <v/>
      </c>
      <c r="J449" s="14">
        <f>F449-(G449+H449+I449)</f>
        <v/>
      </c>
      <c r="K449" s="14" t="n">
        <v>309.07</v>
      </c>
      <c r="L449" s="14" t="n">
        <v>309.07</v>
      </c>
      <c r="M449" s="14" t="n">
        <v>309.07</v>
      </c>
      <c r="N449" s="14" t="n">
        <v>309.07</v>
      </c>
      <c r="O449" s="14" t="n">
        <v>309.07</v>
      </c>
      <c r="P449" s="14" t="n">
        <v>309.07</v>
      </c>
      <c r="Q449" s="14" t="n">
        <v>309.07</v>
      </c>
      <c r="R449" s="14" t="n">
        <v>309.07</v>
      </c>
      <c r="S449" s="14" t="n">
        <v>309.07</v>
      </c>
      <c r="T449" s="14" t="n">
        <v>309.07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CANON-202601-003660</t>
        </is>
      </c>
      <c r="B450" s="15" t="inlineStr">
        <is>
          <t>2026-01-05</t>
        </is>
      </c>
      <c r="C450" s="15" t="inlineStr">
        <is>
          <t>Thaddeus Blackwood</t>
        </is>
      </c>
      <c r="D450" s="15" t="inlineStr">
        <is>
          <t>AL</t>
        </is>
      </c>
      <c r="E450" s="16" t="n">
        <v>1205000</v>
      </c>
      <c r="F450" s="16" t="n">
        <v>9844.370000000001</v>
      </c>
      <c r="G450" s="16" t="n">
        <v>1230.55</v>
      </c>
      <c r="H450" s="16" t="n">
        <v>1230.55</v>
      </c>
      <c r="I450" s="16">
        <f>SUM(K450:T450)</f>
        <v/>
      </c>
      <c r="J450" s="16">
        <f>F450-(G450+H450+I450)</f>
        <v/>
      </c>
      <c r="K450" s="16" t="n">
        <v>738.33</v>
      </c>
      <c r="L450" s="16" t="n">
        <v>738.33</v>
      </c>
      <c r="M450" s="16" t="n">
        <v>738.33</v>
      </c>
      <c r="N450" s="16" t="n">
        <v>738.33</v>
      </c>
      <c r="O450" s="16" t="n">
        <v>738.33</v>
      </c>
      <c r="P450" s="16" t="n">
        <v>738.33</v>
      </c>
      <c r="Q450" s="16" t="n">
        <v>738.33</v>
      </c>
      <c r="R450" s="16" t="n">
        <v>738.33</v>
      </c>
      <c r="S450" s="16" t="n">
        <v>738.33</v>
      </c>
      <c r="T450" s="16" t="n">
        <v>738.33</v>
      </c>
      <c r="U450" s="16" t="n">
        <v>350</v>
      </c>
      <c r="V450" s="16" t="n">
        <v>250</v>
      </c>
      <c r="W450" s="16">
        <f>U450+V450</f>
        <v/>
      </c>
    </row>
    <row r="451">
      <c r="A451" s="3" t="inlineStr">
        <is>
          <t>CANON-202601-003663</t>
        </is>
      </c>
      <c r="B451" s="3" t="inlineStr">
        <is>
          <t>2026-01-17</t>
        </is>
      </c>
      <c r="C451" s="3" t="inlineStr">
        <is>
          <t>Aurelio Pennington</t>
        </is>
      </c>
      <c r="D451" s="3" t="inlineStr">
        <is>
          <t>CO</t>
        </is>
      </c>
      <c r="E451" s="14" t="n">
        <v>345000</v>
      </c>
      <c r="F451" s="14" t="n">
        <v>4818.22</v>
      </c>
      <c r="G451" s="14" t="n">
        <v>602.28</v>
      </c>
      <c r="H451" s="14" t="n">
        <v>602.28</v>
      </c>
      <c r="I451" s="14">
        <f>SUM(K451:T451)</f>
        <v/>
      </c>
      <c r="J451" s="14">
        <f>F451-(G451+H451+I451)</f>
        <v/>
      </c>
      <c r="K451" s="14" t="n">
        <v>361.37</v>
      </c>
      <c r="L451" s="14" t="n">
        <v>361.37</v>
      </c>
      <c r="M451" s="14" t="n">
        <v>361.37</v>
      </c>
      <c r="N451" s="14" t="n">
        <v>361.37</v>
      </c>
      <c r="O451" s="14" t="n">
        <v>361.37</v>
      </c>
      <c r="P451" s="14" t="n">
        <v>361.37</v>
      </c>
      <c r="Q451" s="14" t="n">
        <v>361.37</v>
      </c>
      <c r="R451" s="14" t="n">
        <v>361.37</v>
      </c>
      <c r="S451" s="14" t="n">
        <v>361.37</v>
      </c>
      <c r="T451" s="14" t="n">
        <v>361.37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CANON-202601-003664</t>
        </is>
      </c>
      <c r="B452" s="15" t="inlineStr">
        <is>
          <t>2026-01-05</t>
        </is>
      </c>
      <c r="C452" s="15" t="inlineStr">
        <is>
          <t>Fenwick Merriweather</t>
        </is>
      </c>
      <c r="D452" s="15" t="inlineStr">
        <is>
          <t>VT</t>
        </is>
      </c>
      <c r="E452" s="16" t="n">
        <v>1030000</v>
      </c>
      <c r="F452" s="16" t="n">
        <v>17017.69</v>
      </c>
      <c r="G452" s="16" t="n">
        <v>2127.21</v>
      </c>
      <c r="H452" s="16" t="n">
        <v>2127.21</v>
      </c>
      <c r="I452" s="16">
        <f>SUM(K452:T452)</f>
        <v/>
      </c>
      <c r="J452" s="16">
        <f>F452-(G452+H452+I452)</f>
        <v/>
      </c>
      <c r="K452" s="16" t="n">
        <v>1276.33</v>
      </c>
      <c r="L452" s="16" t="n">
        <v>1276.33</v>
      </c>
      <c r="M452" s="16" t="n">
        <v>1276.33</v>
      </c>
      <c r="N452" s="16" t="n">
        <v>1276.33</v>
      </c>
      <c r="O452" s="16" t="n">
        <v>1276.33</v>
      </c>
      <c r="P452" s="16" t="n">
        <v>1276.33</v>
      </c>
      <c r="Q452" s="16" t="n">
        <v>1276.33</v>
      </c>
      <c r="R452" s="16" t="n">
        <v>1276.33</v>
      </c>
      <c r="S452" s="16" t="n">
        <v>1276.33</v>
      </c>
      <c r="T452" s="16" t="n">
        <v>1276.33</v>
      </c>
      <c r="U452" s="16" t="n">
        <v>350</v>
      </c>
      <c r="V452" s="16" t="n">
        <v>250</v>
      </c>
      <c r="W452" s="16">
        <f>U452+V452</f>
        <v/>
      </c>
    </row>
    <row r="453">
      <c r="A453" s="3" t="inlineStr">
        <is>
          <t>CANON-202601-003666</t>
        </is>
      </c>
      <c r="B453" s="3" t="inlineStr">
        <is>
          <t>2026-01-27</t>
        </is>
      </c>
      <c r="C453" s="3" t="inlineStr">
        <is>
          <t>Everett Pennington</t>
        </is>
      </c>
      <c r="D453" s="3" t="inlineStr">
        <is>
          <t>PA</t>
        </is>
      </c>
      <c r="E453" s="14" t="n">
        <v>975000</v>
      </c>
      <c r="F453" s="14" t="n">
        <v>10728.31</v>
      </c>
      <c r="G453" s="14" t="n">
        <v>1341.04</v>
      </c>
      <c r="H453" s="14" t="n">
        <v>1341.04</v>
      </c>
      <c r="I453" s="14">
        <f>SUM(K453:T453)</f>
        <v/>
      </c>
      <c r="J453" s="14">
        <f>F453-(G453+H453+I453)</f>
        <v/>
      </c>
      <c r="K453" s="14" t="n">
        <v>804.62</v>
      </c>
      <c r="L453" s="14" t="n">
        <v>804.62</v>
      </c>
      <c r="M453" s="14" t="n">
        <v>804.62</v>
      </c>
      <c r="N453" s="14" t="n">
        <v>804.62</v>
      </c>
      <c r="O453" s="14" t="n">
        <v>804.62</v>
      </c>
      <c r="P453" s="14" t="n">
        <v>804.62</v>
      </c>
      <c r="Q453" s="14" t="n">
        <v>804.62</v>
      </c>
      <c r="R453" s="14" t="n">
        <v>804.62</v>
      </c>
      <c r="S453" s="14" t="n">
        <v>804.62</v>
      </c>
      <c r="T453" s="14" t="n">
        <v>804.62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CANON-202601-003669</t>
        </is>
      </c>
      <c r="B454" s="15" t="inlineStr">
        <is>
          <t>2026-01-15</t>
        </is>
      </c>
      <c r="C454" s="15" t="inlineStr">
        <is>
          <t>Thaddeus Okonkwo</t>
        </is>
      </c>
      <c r="D454" s="15" t="inlineStr">
        <is>
          <t>WA</t>
        </is>
      </c>
      <c r="E454" s="16" t="n">
        <v>545000</v>
      </c>
      <c r="F454" s="16" t="n">
        <v>5756.97</v>
      </c>
      <c r="G454" s="16" t="n">
        <v>719.62</v>
      </c>
      <c r="H454" s="16" t="n">
        <v>719.62</v>
      </c>
      <c r="I454" s="16">
        <f>SUM(K454:T454)</f>
        <v/>
      </c>
      <c r="J454" s="16">
        <f>F454-(G454+H454+I454)</f>
        <v/>
      </c>
      <c r="K454" s="16" t="n">
        <v>431.77</v>
      </c>
      <c r="L454" s="16" t="n">
        <v>431.77</v>
      </c>
      <c r="M454" s="16" t="n">
        <v>431.77</v>
      </c>
      <c r="N454" s="16" t="n">
        <v>431.77</v>
      </c>
      <c r="O454" s="16" t="n">
        <v>431.77</v>
      </c>
      <c r="P454" s="16" t="n">
        <v>431.77</v>
      </c>
      <c r="Q454" s="16" t="n">
        <v>431.77</v>
      </c>
      <c r="R454" s="16" t="n">
        <v>431.77</v>
      </c>
      <c r="S454" s="16" t="n">
        <v>431.77</v>
      </c>
      <c r="T454" s="16" t="n">
        <v>431.77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CANON-202601-003670</t>
        </is>
      </c>
      <c r="B455" s="3" t="inlineStr">
        <is>
          <t>2026-01-19</t>
        </is>
      </c>
      <c r="C455" s="3" t="inlineStr">
        <is>
          <t>Wilhelmina Pennington</t>
        </is>
      </c>
      <c r="D455" s="3" t="inlineStr">
        <is>
          <t>MA</t>
        </is>
      </c>
      <c r="E455" s="14" t="n">
        <v>1650000</v>
      </c>
      <c r="F455" s="14" t="n">
        <v>27931.7</v>
      </c>
      <c r="G455" s="14" t="n">
        <v>3491.46</v>
      </c>
      <c r="H455" s="14" t="n">
        <v>3491.46</v>
      </c>
      <c r="I455" s="14">
        <f>SUM(K455:T455)</f>
        <v/>
      </c>
      <c r="J455" s="14">
        <f>F455-(G455+H455+I455)</f>
        <v/>
      </c>
      <c r="K455" s="14" t="n">
        <v>2094.88</v>
      </c>
      <c r="L455" s="14" t="n">
        <v>2094.88</v>
      </c>
      <c r="M455" s="14" t="n">
        <v>2094.88</v>
      </c>
      <c r="N455" s="14" t="n">
        <v>2094.88</v>
      </c>
      <c r="O455" s="14" t="n">
        <v>2094.88</v>
      </c>
      <c r="P455" s="14" t="n">
        <v>2094.88</v>
      </c>
      <c r="Q455" s="14" t="n">
        <v>2094.88</v>
      </c>
      <c r="R455" s="14" t="n">
        <v>2094.88</v>
      </c>
      <c r="S455" s="14" t="n">
        <v>2094.88</v>
      </c>
      <c r="T455" s="14" t="n">
        <v>2094.88</v>
      </c>
      <c r="U455" s="14" t="n">
        <v>350</v>
      </c>
      <c r="V455" s="14" t="n">
        <v>250</v>
      </c>
      <c r="W455" s="14">
        <f>U455+V455</f>
        <v/>
      </c>
    </row>
    <row r="456">
      <c r="A456" s="15" t="inlineStr">
        <is>
          <t>CANON-202601-003671</t>
        </is>
      </c>
      <c r="B456" s="15" t="inlineStr">
        <is>
          <t>2026-01-22</t>
        </is>
      </c>
      <c r="C456" s="15" t="inlineStr">
        <is>
          <t>Saoirse Kingsford</t>
        </is>
      </c>
      <c r="D456" s="15" t="inlineStr">
        <is>
          <t>SC</t>
        </is>
      </c>
      <c r="E456" s="16" t="n">
        <v>980000</v>
      </c>
      <c r="F456" s="16" t="n">
        <v>19542.71</v>
      </c>
      <c r="G456" s="16" t="n">
        <v>2442.84</v>
      </c>
      <c r="H456" s="16" t="n">
        <v>2442.84</v>
      </c>
      <c r="I456" s="16">
        <f>SUM(K456:T456)</f>
        <v/>
      </c>
      <c r="J456" s="16">
        <f>F456-(G456+H456+I456)</f>
        <v/>
      </c>
      <c r="K456" s="16" t="n">
        <v>1465.7</v>
      </c>
      <c r="L456" s="16" t="n">
        <v>1465.7</v>
      </c>
      <c r="M456" s="16" t="n">
        <v>1465.7</v>
      </c>
      <c r="N456" s="16" t="n">
        <v>1465.7</v>
      </c>
      <c r="O456" s="16" t="n">
        <v>1465.7</v>
      </c>
      <c r="P456" s="16" t="n">
        <v>1465.7</v>
      </c>
      <c r="Q456" s="16" t="n">
        <v>1465.7</v>
      </c>
      <c r="R456" s="16" t="n">
        <v>1465.7</v>
      </c>
      <c r="S456" s="16" t="n">
        <v>1465.7</v>
      </c>
      <c r="T456" s="16" t="n">
        <v>1465.7</v>
      </c>
      <c r="U456" s="16" t="n">
        <v>350</v>
      </c>
      <c r="V456" s="16" t="n">
        <v>0</v>
      </c>
      <c r="W456" s="16">
        <f>U456+V456</f>
        <v/>
      </c>
    </row>
    <row r="457">
      <c r="A457" s="3" t="inlineStr">
        <is>
          <t>CANON-202601-003672</t>
        </is>
      </c>
      <c r="B457" s="3" t="inlineStr">
        <is>
          <t>2026-01-03</t>
        </is>
      </c>
      <c r="C457" s="3" t="inlineStr">
        <is>
          <t>Priya Underwood</t>
        </is>
      </c>
      <c r="D457" s="3" t="inlineStr">
        <is>
          <t>TX</t>
        </is>
      </c>
      <c r="E457" s="14" t="n">
        <v>410000</v>
      </c>
      <c r="F457" s="14" t="n">
        <v>5986.27</v>
      </c>
      <c r="G457" s="14" t="n">
        <v>748.28</v>
      </c>
      <c r="H457" s="14" t="n">
        <v>748.28</v>
      </c>
      <c r="I457" s="14">
        <f>SUM(K457:T457)</f>
        <v/>
      </c>
      <c r="J457" s="14">
        <f>F457-(G457+H457+I457)</f>
        <v/>
      </c>
      <c r="K457" s="14" t="n">
        <v>448.97</v>
      </c>
      <c r="L457" s="14" t="n">
        <v>448.97</v>
      </c>
      <c r="M457" s="14" t="n">
        <v>448.97</v>
      </c>
      <c r="N457" s="14" t="n">
        <v>448.97</v>
      </c>
      <c r="O457" s="14" t="n">
        <v>448.97</v>
      </c>
      <c r="P457" s="14" t="n">
        <v>448.97</v>
      </c>
      <c r="Q457" s="14" t="n">
        <v>448.97</v>
      </c>
      <c r="R457" s="14" t="n">
        <v>448.97</v>
      </c>
      <c r="S457" s="14" t="n">
        <v>448.97</v>
      </c>
      <c r="T457" s="14" t="n">
        <v>448.97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CANON-202601-003673</t>
        </is>
      </c>
      <c r="B458" s="15" t="inlineStr">
        <is>
          <t>2026-01-15</t>
        </is>
      </c>
      <c r="C458" s="15" t="inlineStr">
        <is>
          <t>Wilhelmina Chattopadhyay</t>
        </is>
      </c>
      <c r="D458" s="15" t="inlineStr">
        <is>
          <t>OH</t>
        </is>
      </c>
      <c r="E458" s="16" t="n">
        <v>440000</v>
      </c>
      <c r="F458" s="16" t="n">
        <v>7765.01</v>
      </c>
      <c r="G458" s="16" t="n">
        <v>970.63</v>
      </c>
      <c r="H458" s="16" t="n">
        <v>970.63</v>
      </c>
      <c r="I458" s="16">
        <f>SUM(K458:T458)</f>
        <v/>
      </c>
      <c r="J458" s="16">
        <f>F458-(G458+H458+I458)</f>
        <v/>
      </c>
      <c r="K458" s="16" t="n">
        <v>582.38</v>
      </c>
      <c r="L458" s="16" t="n">
        <v>582.38</v>
      </c>
      <c r="M458" s="16" t="n">
        <v>582.38</v>
      </c>
      <c r="N458" s="16" t="n">
        <v>582.38</v>
      </c>
      <c r="O458" s="16" t="n">
        <v>582.38</v>
      </c>
      <c r="P458" s="16" t="n">
        <v>582.38</v>
      </c>
      <c r="Q458" s="16" t="n">
        <v>582.38</v>
      </c>
      <c r="R458" s="16" t="n">
        <v>582.38</v>
      </c>
      <c r="S458" s="16" t="n">
        <v>582.38</v>
      </c>
      <c r="T458" s="16" t="n">
        <v>582.38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CANON-202601-003674</t>
        </is>
      </c>
      <c r="B459" s="3" t="inlineStr">
        <is>
          <t>2026-01-11</t>
        </is>
      </c>
      <c r="C459" s="3" t="inlineStr">
        <is>
          <t>Fenwick Rourke</t>
        </is>
      </c>
      <c r="D459" s="3" t="inlineStr">
        <is>
          <t>NY</t>
        </is>
      </c>
      <c r="E459" s="14" t="n">
        <v>525000</v>
      </c>
      <c r="F459" s="14" t="n">
        <v>7394.28</v>
      </c>
      <c r="G459" s="14" t="n">
        <v>924.28</v>
      </c>
      <c r="H459" s="14" t="n">
        <v>924.28</v>
      </c>
      <c r="I459" s="14">
        <f>SUM(K459:T459)</f>
        <v/>
      </c>
      <c r="J459" s="14">
        <f>F459-(G459+H459+I459)</f>
        <v/>
      </c>
      <c r="K459" s="14" t="n">
        <v>554.5700000000001</v>
      </c>
      <c r="L459" s="14" t="n">
        <v>554.5700000000001</v>
      </c>
      <c r="M459" s="14" t="n">
        <v>554.5700000000001</v>
      </c>
      <c r="N459" s="14" t="n">
        <v>554.5700000000001</v>
      </c>
      <c r="O459" s="14" t="n">
        <v>554.5700000000001</v>
      </c>
      <c r="P459" s="14" t="n">
        <v>554.5700000000001</v>
      </c>
      <c r="Q459" s="14" t="n">
        <v>554.5700000000001</v>
      </c>
      <c r="R459" s="14" t="n">
        <v>554.5700000000001</v>
      </c>
      <c r="S459" s="14" t="n">
        <v>554.5700000000001</v>
      </c>
      <c r="T459" s="14" t="n">
        <v>554.5700000000001</v>
      </c>
      <c r="U459" s="14" t="n">
        <v>350</v>
      </c>
      <c r="V459" s="14" t="n">
        <v>0</v>
      </c>
      <c r="W459" s="14">
        <f>U459+V459</f>
        <v/>
      </c>
    </row>
    <row r="460">
      <c r="A460" s="15" t="inlineStr">
        <is>
          <t>CANON-202601-003675</t>
        </is>
      </c>
      <c r="B460" s="15" t="inlineStr">
        <is>
          <t>2026-01-01</t>
        </is>
      </c>
      <c r="C460" s="15" t="inlineStr">
        <is>
          <t>Cassius Fairweather</t>
        </is>
      </c>
      <c r="D460" s="15" t="inlineStr">
        <is>
          <t>NY</t>
        </is>
      </c>
      <c r="E460" s="16" t="n">
        <v>370000</v>
      </c>
      <c r="F460" s="16" t="n">
        <v>6012.94</v>
      </c>
      <c r="G460" s="16" t="n">
        <v>751.62</v>
      </c>
      <c r="H460" s="16" t="n">
        <v>751.62</v>
      </c>
      <c r="I460" s="16">
        <f>SUM(K460:T460)</f>
        <v/>
      </c>
      <c r="J460" s="16">
        <f>F460-(G460+H460+I460)</f>
        <v/>
      </c>
      <c r="K460" s="16" t="n">
        <v>450.97</v>
      </c>
      <c r="L460" s="16" t="n">
        <v>450.97</v>
      </c>
      <c r="M460" s="16" t="n">
        <v>450.97</v>
      </c>
      <c r="N460" s="16" t="n">
        <v>450.97</v>
      </c>
      <c r="O460" s="16" t="n">
        <v>450.97</v>
      </c>
      <c r="P460" s="16" t="n">
        <v>450.97</v>
      </c>
      <c r="Q460" s="16" t="n">
        <v>450.97</v>
      </c>
      <c r="R460" s="16" t="n">
        <v>450.97</v>
      </c>
      <c r="S460" s="16" t="n">
        <v>450.97</v>
      </c>
      <c r="T460" s="16" t="n">
        <v>450.97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CANON-202601-003676</t>
        </is>
      </c>
      <c r="B461" s="3" t="inlineStr">
        <is>
          <t>2026-01-16</t>
        </is>
      </c>
      <c r="C461" s="3" t="inlineStr">
        <is>
          <t>Lorenzo Harrington</t>
        </is>
      </c>
      <c r="D461" s="3" t="inlineStr">
        <is>
          <t>IN</t>
        </is>
      </c>
      <c r="E461" s="14" t="n">
        <v>925000</v>
      </c>
      <c r="F461" s="14" t="n">
        <v>7318.86</v>
      </c>
      <c r="G461" s="14" t="n">
        <v>914.86</v>
      </c>
      <c r="H461" s="14" t="n">
        <v>914.86</v>
      </c>
      <c r="I461" s="14">
        <f>SUM(K461:T461)</f>
        <v/>
      </c>
      <c r="J461" s="14">
        <f>F461-(G461+H461+I461)</f>
        <v/>
      </c>
      <c r="K461" s="14" t="n">
        <v>548.91</v>
      </c>
      <c r="L461" s="14" t="n">
        <v>548.91</v>
      </c>
      <c r="M461" s="14" t="n">
        <v>548.91</v>
      </c>
      <c r="N461" s="14" t="n">
        <v>548.91</v>
      </c>
      <c r="O461" s="14" t="n">
        <v>548.91</v>
      </c>
      <c r="P461" s="14" t="n">
        <v>548.91</v>
      </c>
      <c r="Q461" s="14" t="n">
        <v>548.91</v>
      </c>
      <c r="R461" s="14" t="n">
        <v>548.91</v>
      </c>
      <c r="S461" s="14" t="n">
        <v>548.91</v>
      </c>
      <c r="T461" s="14" t="n">
        <v>548.91</v>
      </c>
      <c r="U461" s="14" t="n">
        <v>350</v>
      </c>
      <c r="V461" s="14" t="n">
        <v>0</v>
      </c>
      <c r="W461" s="14">
        <f>U461+V461</f>
        <v/>
      </c>
    </row>
    <row r="462">
      <c r="A462" s="15" t="inlineStr">
        <is>
          <t>CANON-202601-003677</t>
        </is>
      </c>
      <c r="B462" s="15" t="inlineStr">
        <is>
          <t>2026-01-19</t>
        </is>
      </c>
      <c r="C462" s="15" t="inlineStr">
        <is>
          <t>Aurelio Fairweather</t>
        </is>
      </c>
      <c r="D462" s="15" t="inlineStr">
        <is>
          <t>MI</t>
        </is>
      </c>
      <c r="E462" s="16" t="n">
        <v>430000</v>
      </c>
      <c r="F462" s="16" t="n">
        <v>12975.12</v>
      </c>
      <c r="G462" s="16" t="n">
        <v>1621.89</v>
      </c>
      <c r="H462" s="16" t="n">
        <v>1621.89</v>
      </c>
      <c r="I462" s="16">
        <f>SUM(K462:T462)</f>
        <v/>
      </c>
      <c r="J462" s="16">
        <f>F462-(G462+H462+I462)</f>
        <v/>
      </c>
      <c r="K462" s="16" t="n">
        <v>973.13</v>
      </c>
      <c r="L462" s="16" t="n">
        <v>973.13</v>
      </c>
      <c r="M462" s="16" t="n">
        <v>973.13</v>
      </c>
      <c r="N462" s="16" t="n">
        <v>973.13</v>
      </c>
      <c r="O462" s="16" t="n">
        <v>973.13</v>
      </c>
      <c r="P462" s="16" t="n">
        <v>973.13</v>
      </c>
      <c r="Q462" s="16" t="n">
        <v>973.13</v>
      </c>
      <c r="R462" s="16" t="n">
        <v>973.13</v>
      </c>
      <c r="S462" s="16" t="n">
        <v>973.13</v>
      </c>
      <c r="T462" s="16" t="n">
        <v>973.13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CANON-202601-003678</t>
        </is>
      </c>
      <c r="B463" s="3" t="inlineStr">
        <is>
          <t>2026-01-12</t>
        </is>
      </c>
      <c r="C463" s="3" t="inlineStr">
        <is>
          <t>Ottilie Farkas</t>
        </is>
      </c>
      <c r="D463" s="3" t="inlineStr">
        <is>
          <t>OH</t>
        </is>
      </c>
      <c r="E463" s="14" t="n">
        <v>920000</v>
      </c>
      <c r="F463" s="14" t="n">
        <v>20565.52</v>
      </c>
      <c r="G463" s="14" t="n">
        <v>2570.69</v>
      </c>
      <c r="H463" s="14" t="n">
        <v>2570.69</v>
      </c>
      <c r="I463" s="14">
        <f>SUM(K463:T463)</f>
        <v/>
      </c>
      <c r="J463" s="14">
        <f>F463-(G463+H463+I463)</f>
        <v/>
      </c>
      <c r="K463" s="14" t="n">
        <v>1542.41</v>
      </c>
      <c r="L463" s="14" t="n">
        <v>1542.41</v>
      </c>
      <c r="M463" s="14" t="n">
        <v>1542.41</v>
      </c>
      <c r="N463" s="14" t="n">
        <v>1542.41</v>
      </c>
      <c r="O463" s="14" t="n">
        <v>1542.41</v>
      </c>
      <c r="P463" s="14" t="n">
        <v>1542.41</v>
      </c>
      <c r="Q463" s="14" t="n">
        <v>1542.41</v>
      </c>
      <c r="R463" s="14" t="n">
        <v>1542.41</v>
      </c>
      <c r="S463" s="14" t="n">
        <v>1542.41</v>
      </c>
      <c r="T463" s="14" t="n">
        <v>1542.41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CANON-202601-003679</t>
        </is>
      </c>
      <c r="B464" s="15" t="inlineStr">
        <is>
          <t>2026-01-09</t>
        </is>
      </c>
      <c r="C464" s="15" t="inlineStr">
        <is>
          <t>Thaddeus Chattopadhyay</t>
        </is>
      </c>
      <c r="D464" s="15" t="inlineStr">
        <is>
          <t>RI</t>
        </is>
      </c>
      <c r="E464" s="16" t="n">
        <v>1020000</v>
      </c>
      <c r="F464" s="16" t="n">
        <v>8042.9</v>
      </c>
      <c r="G464" s="16" t="n">
        <v>1005.36</v>
      </c>
      <c r="H464" s="16" t="n">
        <v>1005.36</v>
      </c>
      <c r="I464" s="16">
        <f>SUM(K464:T464)</f>
        <v/>
      </c>
      <c r="J464" s="16">
        <f>F464-(G464+H464+I464)</f>
        <v/>
      </c>
      <c r="K464" s="16" t="n">
        <v>603.22</v>
      </c>
      <c r="L464" s="16" t="n">
        <v>603.22</v>
      </c>
      <c r="M464" s="16" t="n">
        <v>603.22</v>
      </c>
      <c r="N464" s="16" t="n">
        <v>603.22</v>
      </c>
      <c r="O464" s="16" t="n">
        <v>603.22</v>
      </c>
      <c r="P464" s="16" t="n">
        <v>603.22</v>
      </c>
      <c r="Q464" s="16" t="n">
        <v>603.22</v>
      </c>
      <c r="R464" s="16" t="n">
        <v>603.22</v>
      </c>
      <c r="S464" s="16" t="n">
        <v>603.22</v>
      </c>
      <c r="T464" s="16" t="n">
        <v>603.22</v>
      </c>
      <c r="U464" s="16" t="n">
        <v>350</v>
      </c>
      <c r="V464" s="16" t="n">
        <v>250</v>
      </c>
      <c r="W464" s="16">
        <f>U464+V464</f>
        <v/>
      </c>
    </row>
    <row r="465">
      <c r="A465" s="3" t="inlineStr">
        <is>
          <t>CANON-202601-003680</t>
        </is>
      </c>
      <c r="B465" s="3" t="inlineStr">
        <is>
          <t>2026-01-10</t>
        </is>
      </c>
      <c r="C465" s="3" t="inlineStr">
        <is>
          <t>Marisol Castellanos</t>
        </is>
      </c>
      <c r="D465" s="3" t="inlineStr">
        <is>
          <t>MD</t>
        </is>
      </c>
      <c r="E465" s="14" t="n">
        <v>700000</v>
      </c>
      <c r="F465" s="14" t="n">
        <v>7317.26</v>
      </c>
      <c r="G465" s="14" t="n">
        <v>914.66</v>
      </c>
      <c r="H465" s="14" t="n">
        <v>914.66</v>
      </c>
      <c r="I465" s="14">
        <f>SUM(K465:T465)</f>
        <v/>
      </c>
      <c r="J465" s="14">
        <f>F465-(G465+H465+I465)</f>
        <v/>
      </c>
      <c r="K465" s="14" t="n">
        <v>548.79</v>
      </c>
      <c r="L465" s="14" t="n">
        <v>548.79</v>
      </c>
      <c r="M465" s="14" t="n">
        <v>548.79</v>
      </c>
      <c r="N465" s="14" t="n">
        <v>548.79</v>
      </c>
      <c r="O465" s="14" t="n">
        <v>548.79</v>
      </c>
      <c r="P465" s="14" t="n">
        <v>548.79</v>
      </c>
      <c r="Q465" s="14" t="n">
        <v>548.79</v>
      </c>
      <c r="R465" s="14" t="n">
        <v>548.79</v>
      </c>
      <c r="S465" s="14" t="n">
        <v>548.79</v>
      </c>
      <c r="T465" s="14" t="n">
        <v>548.79</v>
      </c>
      <c r="U465" s="14" t="n">
        <v>350</v>
      </c>
      <c r="V465" s="14" t="n">
        <v>0</v>
      </c>
      <c r="W465" s="14">
        <f>U465+V465</f>
        <v/>
      </c>
    </row>
    <row r="466">
      <c r="A466" s="15" t="inlineStr">
        <is>
          <t>CANON-202601-003682</t>
        </is>
      </c>
      <c r="B466" s="15" t="inlineStr">
        <is>
          <t>2026-01-17</t>
        </is>
      </c>
      <c r="C466" s="15" t="inlineStr">
        <is>
          <t>Cassius Thistlewood</t>
        </is>
      </c>
      <c r="D466" s="15" t="inlineStr">
        <is>
          <t>MA</t>
        </is>
      </c>
      <c r="E466" s="16" t="n">
        <v>200000</v>
      </c>
      <c r="F466" s="16" t="n">
        <v>2412.28</v>
      </c>
      <c r="G466" s="16" t="n">
        <v>301.54</v>
      </c>
      <c r="H466" s="16" t="n">
        <v>301.54</v>
      </c>
      <c r="I466" s="16">
        <f>SUM(K466:T466)</f>
        <v/>
      </c>
      <c r="J466" s="16">
        <f>F466-(G466+H466+I466)</f>
        <v/>
      </c>
      <c r="K466" s="16" t="n">
        <v>180.92</v>
      </c>
      <c r="L466" s="16" t="n">
        <v>180.92</v>
      </c>
      <c r="M466" s="16" t="n">
        <v>180.92</v>
      </c>
      <c r="N466" s="16" t="n">
        <v>180.92</v>
      </c>
      <c r="O466" s="16" t="n">
        <v>180.92</v>
      </c>
      <c r="P466" s="16" t="n">
        <v>180.92</v>
      </c>
      <c r="Q466" s="16" t="n">
        <v>180.92</v>
      </c>
      <c r="R466" s="16" t="n">
        <v>180.92</v>
      </c>
      <c r="S466" s="16" t="n">
        <v>180.92</v>
      </c>
      <c r="T466" s="16" t="n">
        <v>180.92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CANON-202601-003683</t>
        </is>
      </c>
      <c r="B467" s="3" t="inlineStr">
        <is>
          <t>2026-01-30</t>
        </is>
      </c>
      <c r="C467" s="3" t="inlineStr">
        <is>
          <t>Emiliano Montoya</t>
        </is>
      </c>
      <c r="D467" s="3" t="inlineStr">
        <is>
          <t>NY</t>
        </is>
      </c>
      <c r="E467" s="14" t="n">
        <v>465000</v>
      </c>
      <c r="F467" s="14" t="n">
        <v>4836.35</v>
      </c>
      <c r="G467" s="14" t="n">
        <v>604.54</v>
      </c>
      <c r="H467" s="14" t="n">
        <v>604.54</v>
      </c>
      <c r="I467" s="14">
        <f>SUM(K467:T467)</f>
        <v/>
      </c>
      <c r="J467" s="14">
        <f>F467-(G467+H467+I467)</f>
        <v/>
      </c>
      <c r="K467" s="14" t="n">
        <v>362.73</v>
      </c>
      <c r="L467" s="14" t="n">
        <v>362.73</v>
      </c>
      <c r="M467" s="14" t="n">
        <v>362.73</v>
      </c>
      <c r="N467" s="14" t="n">
        <v>362.73</v>
      </c>
      <c r="O467" s="14" t="n">
        <v>362.73</v>
      </c>
      <c r="P467" s="14" t="n">
        <v>362.73</v>
      </c>
      <c r="Q467" s="14" t="n">
        <v>362.73</v>
      </c>
      <c r="R467" s="14" t="n">
        <v>362.73</v>
      </c>
      <c r="S467" s="14" t="n">
        <v>362.73</v>
      </c>
      <c r="T467" s="14" t="n">
        <v>362.73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CANON-202601-003685</t>
        </is>
      </c>
      <c r="B468" s="15" t="inlineStr">
        <is>
          <t>2026-01-25</t>
        </is>
      </c>
      <c r="C468" s="15" t="inlineStr">
        <is>
          <t>Ottilie Merriweather</t>
        </is>
      </c>
      <c r="D468" s="15" t="inlineStr">
        <is>
          <t>WV</t>
        </is>
      </c>
      <c r="E468" s="16" t="n">
        <v>230000</v>
      </c>
      <c r="F468" s="16" t="n">
        <v>4764.1</v>
      </c>
      <c r="G468" s="16" t="n">
        <v>595.51</v>
      </c>
      <c r="H468" s="16" t="n">
        <v>595.51</v>
      </c>
      <c r="I468" s="16">
        <f>SUM(K468:T468)</f>
        <v/>
      </c>
      <c r="J468" s="16">
        <f>F468-(G468+H468+I468)</f>
        <v/>
      </c>
      <c r="K468" s="16" t="n">
        <v>357.31</v>
      </c>
      <c r="L468" s="16" t="n">
        <v>357.31</v>
      </c>
      <c r="M468" s="16" t="n">
        <v>357.31</v>
      </c>
      <c r="N468" s="16" t="n">
        <v>357.31</v>
      </c>
      <c r="O468" s="16" t="n">
        <v>357.31</v>
      </c>
      <c r="P468" s="16" t="n">
        <v>357.31</v>
      </c>
      <c r="Q468" s="16" t="n">
        <v>357.31</v>
      </c>
      <c r="R468" s="16" t="n">
        <v>357.31</v>
      </c>
      <c r="S468" s="16" t="n">
        <v>357.31</v>
      </c>
      <c r="T468" s="16" t="n">
        <v>357.31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CANON-202601-003687</t>
        </is>
      </c>
      <c r="B469" s="3" t="inlineStr">
        <is>
          <t>2026-01-26</t>
        </is>
      </c>
      <c r="C469" s="3" t="inlineStr">
        <is>
          <t>Callum Vasquez</t>
        </is>
      </c>
      <c r="D469" s="3" t="inlineStr">
        <is>
          <t>AR</t>
        </is>
      </c>
      <c r="E469" s="14" t="n">
        <v>820000</v>
      </c>
      <c r="F469" s="14" t="n">
        <v>12451.44</v>
      </c>
      <c r="G469" s="14" t="n">
        <v>1556.43</v>
      </c>
      <c r="H469" s="14" t="n">
        <v>1556.43</v>
      </c>
      <c r="I469" s="14">
        <f>SUM(K469:T469)</f>
        <v/>
      </c>
      <c r="J469" s="14">
        <f>F469-(G469+H469+I469)</f>
        <v/>
      </c>
      <c r="K469" s="14" t="n">
        <v>933.86</v>
      </c>
      <c r="L469" s="14" t="n">
        <v>933.86</v>
      </c>
      <c r="M469" s="14" t="n">
        <v>933.86</v>
      </c>
      <c r="N469" s="14" t="n">
        <v>933.86</v>
      </c>
      <c r="O469" s="14" t="n">
        <v>933.86</v>
      </c>
      <c r="P469" s="14" t="n">
        <v>933.86</v>
      </c>
      <c r="Q469" s="14" t="n">
        <v>933.86</v>
      </c>
      <c r="R469" s="14" t="n">
        <v>933.86</v>
      </c>
      <c r="S469" s="14" t="n">
        <v>933.86</v>
      </c>
      <c r="T469" s="14" t="n">
        <v>933.86</v>
      </c>
      <c r="U469" s="14" t="n">
        <v>350</v>
      </c>
      <c r="V469" s="14" t="n">
        <v>0</v>
      </c>
      <c r="W469" s="14">
        <f>U469+V469</f>
        <v/>
      </c>
    </row>
    <row r="470">
      <c r="A470" s="15" t="inlineStr">
        <is>
          <t>CANON-202601-003688</t>
        </is>
      </c>
      <c r="B470" s="15" t="inlineStr">
        <is>
          <t>2026-01-05</t>
        </is>
      </c>
      <c r="C470" s="15" t="inlineStr">
        <is>
          <t>Anouk Nakashima</t>
        </is>
      </c>
      <c r="D470" s="15" t="inlineStr">
        <is>
          <t>CT</t>
        </is>
      </c>
      <c r="E470" s="16" t="n">
        <v>520000</v>
      </c>
      <c r="F470" s="16" t="n">
        <v>6408.38</v>
      </c>
      <c r="G470" s="16" t="n">
        <v>801.05</v>
      </c>
      <c r="H470" s="16" t="n">
        <v>801.05</v>
      </c>
      <c r="I470" s="16">
        <f>SUM(K470:T470)</f>
        <v/>
      </c>
      <c r="J470" s="16">
        <f>F470-(G470+H470+I470)</f>
        <v/>
      </c>
      <c r="K470" s="16" t="n">
        <v>480.63</v>
      </c>
      <c r="L470" s="16" t="n">
        <v>480.63</v>
      </c>
      <c r="M470" s="16" t="n">
        <v>480.63</v>
      </c>
      <c r="N470" s="16" t="n">
        <v>480.63</v>
      </c>
      <c r="O470" s="16" t="n">
        <v>480.63</v>
      </c>
      <c r="P470" s="16" t="n">
        <v>480.63</v>
      </c>
      <c r="Q470" s="16" t="n">
        <v>480.63</v>
      </c>
      <c r="R470" s="16" t="n">
        <v>480.63</v>
      </c>
      <c r="S470" s="16" t="n">
        <v>480.63</v>
      </c>
      <c r="T470" s="16" t="n">
        <v>480.63</v>
      </c>
      <c r="U470" s="16" t="n">
        <v>350</v>
      </c>
      <c r="V470" s="16" t="n">
        <v>0</v>
      </c>
      <c r="W470" s="16">
        <f>U470+V470</f>
        <v/>
      </c>
    </row>
    <row r="471">
      <c r="A471" s="3" t="inlineStr">
        <is>
          <t>CANON-202601-003689</t>
        </is>
      </c>
      <c r="B471" s="3" t="inlineStr">
        <is>
          <t>2026-01-04</t>
        </is>
      </c>
      <c r="C471" s="3" t="inlineStr">
        <is>
          <t>Anouk Pennington</t>
        </is>
      </c>
      <c r="D471" s="3" t="inlineStr">
        <is>
          <t>CO</t>
        </is>
      </c>
      <c r="E471" s="14" t="n">
        <v>420000</v>
      </c>
      <c r="F471" s="14" t="n">
        <v>6882.37</v>
      </c>
      <c r="G471" s="14" t="n">
        <v>860.3</v>
      </c>
      <c r="H471" s="14" t="n">
        <v>860.3</v>
      </c>
      <c r="I471" s="14">
        <f>SUM(K471:T471)</f>
        <v/>
      </c>
      <c r="J471" s="14">
        <f>F471-(G471+H471+I471)</f>
        <v/>
      </c>
      <c r="K471" s="14" t="n">
        <v>516.1799999999999</v>
      </c>
      <c r="L471" s="14" t="n">
        <v>516.1799999999999</v>
      </c>
      <c r="M471" s="14" t="n">
        <v>516.1799999999999</v>
      </c>
      <c r="N471" s="14" t="n">
        <v>516.1799999999999</v>
      </c>
      <c r="O471" s="14" t="n">
        <v>516.1799999999999</v>
      </c>
      <c r="P471" s="14" t="n">
        <v>516.1799999999999</v>
      </c>
      <c r="Q471" s="14" t="n">
        <v>516.1799999999999</v>
      </c>
      <c r="R471" s="14" t="n">
        <v>516.1799999999999</v>
      </c>
      <c r="S471" s="14" t="n">
        <v>516.1799999999999</v>
      </c>
      <c r="T471" s="14" t="n">
        <v>516.1799999999999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CANON-202601-003690</t>
        </is>
      </c>
      <c r="B472" s="15" t="inlineStr">
        <is>
          <t>2026-01-17</t>
        </is>
      </c>
      <c r="C472" s="15" t="inlineStr">
        <is>
          <t>Cassius Rourke</t>
        </is>
      </c>
      <c r="D472" s="15" t="inlineStr">
        <is>
          <t>SD</t>
        </is>
      </c>
      <c r="E472" s="16" t="n">
        <v>825000</v>
      </c>
      <c r="F472" s="16" t="n">
        <v>10076.36</v>
      </c>
      <c r="G472" s="16" t="n">
        <v>1259.55</v>
      </c>
      <c r="H472" s="16" t="n">
        <v>1259.55</v>
      </c>
      <c r="I472" s="16">
        <f>SUM(K472:T472)</f>
        <v/>
      </c>
      <c r="J472" s="16">
        <f>F472-(G472+H472+I472)</f>
        <v/>
      </c>
      <c r="K472" s="16" t="n">
        <v>755.73</v>
      </c>
      <c r="L472" s="16" t="n">
        <v>755.73</v>
      </c>
      <c r="M472" s="16" t="n">
        <v>755.73</v>
      </c>
      <c r="N472" s="16" t="n">
        <v>755.73</v>
      </c>
      <c r="O472" s="16" t="n">
        <v>755.73</v>
      </c>
      <c r="P472" s="16" t="n">
        <v>755.73</v>
      </c>
      <c r="Q472" s="16" t="n">
        <v>755.73</v>
      </c>
      <c r="R472" s="16" t="n">
        <v>755.73</v>
      </c>
      <c r="S472" s="16" t="n">
        <v>755.73</v>
      </c>
      <c r="T472" s="16" t="n">
        <v>755.73</v>
      </c>
      <c r="U472" s="16" t="n">
        <v>350</v>
      </c>
      <c r="V472" s="16" t="n">
        <v>0</v>
      </c>
      <c r="W472" s="16">
        <f>U472+V472</f>
        <v/>
      </c>
    </row>
    <row r="473">
      <c r="A473" s="3" t="inlineStr">
        <is>
          <t>CANON-202601-003692</t>
        </is>
      </c>
      <c r="B473" s="3" t="inlineStr">
        <is>
          <t>2026-01-16</t>
        </is>
      </c>
      <c r="C473" s="3" t="inlineStr">
        <is>
          <t>Ramona Larsson</t>
        </is>
      </c>
      <c r="D473" s="3" t="inlineStr">
        <is>
          <t>NY</t>
        </is>
      </c>
      <c r="E473" s="14" t="n">
        <v>355000</v>
      </c>
      <c r="F473" s="14" t="n">
        <v>5769.17</v>
      </c>
      <c r="G473" s="14" t="n">
        <v>721.15</v>
      </c>
      <c r="H473" s="14" t="n">
        <v>721.15</v>
      </c>
      <c r="I473" s="14">
        <f>SUM(K473:T473)</f>
        <v/>
      </c>
      <c r="J473" s="14">
        <f>F473-(G473+H473+I473)</f>
        <v/>
      </c>
      <c r="K473" s="14" t="n">
        <v>432.69</v>
      </c>
      <c r="L473" s="14" t="n">
        <v>432.69</v>
      </c>
      <c r="M473" s="14" t="n">
        <v>432.69</v>
      </c>
      <c r="N473" s="14" t="n">
        <v>432.69</v>
      </c>
      <c r="O473" s="14" t="n">
        <v>432.69</v>
      </c>
      <c r="P473" s="14" t="n">
        <v>432.69</v>
      </c>
      <c r="Q473" s="14" t="n">
        <v>432.69</v>
      </c>
      <c r="R473" s="14" t="n">
        <v>432.69</v>
      </c>
      <c r="S473" s="14" t="n">
        <v>432.69</v>
      </c>
      <c r="T473" s="14" t="n">
        <v>432.69</v>
      </c>
      <c r="U473" s="14" t="n">
        <v>350</v>
      </c>
      <c r="V473" s="14" t="n">
        <v>0</v>
      </c>
      <c r="W473" s="14">
        <f>U473+V473</f>
        <v/>
      </c>
    </row>
    <row r="474">
      <c r="A474" s="15" t="inlineStr">
        <is>
          <t>CANON-202601-003693</t>
        </is>
      </c>
      <c r="B474" s="15" t="inlineStr">
        <is>
          <t>2026-01-03</t>
        </is>
      </c>
      <c r="C474" s="15" t="inlineStr">
        <is>
          <t>Cassius Pennington</t>
        </is>
      </c>
      <c r="D474" s="15" t="inlineStr">
        <is>
          <t>NM</t>
        </is>
      </c>
      <c r="E474" s="16" t="n">
        <v>1400000</v>
      </c>
      <c r="F474" s="16" t="n">
        <v>24268.42</v>
      </c>
      <c r="G474" s="16" t="n">
        <v>3033.55</v>
      </c>
      <c r="H474" s="16" t="n">
        <v>3033.55</v>
      </c>
      <c r="I474" s="16">
        <f>SUM(K474:T474)</f>
        <v/>
      </c>
      <c r="J474" s="16">
        <f>F474-(G474+H474+I474)</f>
        <v/>
      </c>
      <c r="K474" s="16" t="n">
        <v>1820.13</v>
      </c>
      <c r="L474" s="16" t="n">
        <v>1820.13</v>
      </c>
      <c r="M474" s="16" t="n">
        <v>1820.13</v>
      </c>
      <c r="N474" s="16" t="n">
        <v>1820.13</v>
      </c>
      <c r="O474" s="16" t="n">
        <v>1820.13</v>
      </c>
      <c r="P474" s="16" t="n">
        <v>1820.13</v>
      </c>
      <c r="Q474" s="16" t="n">
        <v>1820.13</v>
      </c>
      <c r="R474" s="16" t="n">
        <v>1820.13</v>
      </c>
      <c r="S474" s="16" t="n">
        <v>1820.13</v>
      </c>
      <c r="T474" s="16" t="n">
        <v>1820.13</v>
      </c>
      <c r="U474" s="16" t="n">
        <v>350</v>
      </c>
      <c r="V474" s="16" t="n">
        <v>250</v>
      </c>
      <c r="W474" s="16">
        <f>U474+V474</f>
        <v/>
      </c>
    </row>
    <row r="475">
      <c r="A475" s="3" t="inlineStr">
        <is>
          <t>CANON-202601-003694</t>
        </is>
      </c>
      <c r="B475" s="3" t="inlineStr">
        <is>
          <t>2026-01-13</t>
        </is>
      </c>
      <c r="C475" s="3" t="inlineStr">
        <is>
          <t>Wilhelmina Kingsford</t>
        </is>
      </c>
      <c r="D475" s="3" t="inlineStr">
        <is>
          <t>MA</t>
        </is>
      </c>
      <c r="E475" s="14" t="n">
        <v>995000</v>
      </c>
      <c r="F475" s="14" t="n">
        <v>13685.48</v>
      </c>
      <c r="G475" s="14" t="n">
        <v>1710.68</v>
      </c>
      <c r="H475" s="14" t="n">
        <v>1710.68</v>
      </c>
      <c r="I475" s="14">
        <f>SUM(K475:T475)</f>
        <v/>
      </c>
      <c r="J475" s="14">
        <f>F475-(G475+H475+I475)</f>
        <v/>
      </c>
      <c r="K475" s="14" t="n">
        <v>1026.41</v>
      </c>
      <c r="L475" s="14" t="n">
        <v>1026.41</v>
      </c>
      <c r="M475" s="14" t="n">
        <v>1026.41</v>
      </c>
      <c r="N475" s="14" t="n">
        <v>1026.41</v>
      </c>
      <c r="O475" s="14" t="n">
        <v>1026.41</v>
      </c>
      <c r="P475" s="14" t="n">
        <v>1026.41</v>
      </c>
      <c r="Q475" s="14" t="n">
        <v>1026.41</v>
      </c>
      <c r="R475" s="14" t="n">
        <v>1026.41</v>
      </c>
      <c r="S475" s="14" t="n">
        <v>1026.41</v>
      </c>
      <c r="T475" s="14" t="n">
        <v>1026.41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CANON-202601-003695</t>
        </is>
      </c>
      <c r="B476" s="15" t="inlineStr">
        <is>
          <t>2026-01-19</t>
        </is>
      </c>
      <c r="C476" s="15" t="inlineStr">
        <is>
          <t>Delphine Thistlewood</t>
        </is>
      </c>
      <c r="D476" s="15" t="inlineStr">
        <is>
          <t>IL</t>
        </is>
      </c>
      <c r="E476" s="16" t="n">
        <v>405000</v>
      </c>
      <c r="F476" s="16" t="n">
        <v>10722.72</v>
      </c>
      <c r="G476" s="16" t="n">
        <v>1340.34</v>
      </c>
      <c r="H476" s="16" t="n">
        <v>1340.34</v>
      </c>
      <c r="I476" s="16">
        <f>SUM(K476:T476)</f>
        <v/>
      </c>
      <c r="J476" s="16">
        <f>F476-(G476+H476+I476)</f>
        <v/>
      </c>
      <c r="K476" s="16" t="n">
        <v>804.2</v>
      </c>
      <c r="L476" s="16" t="n">
        <v>804.2</v>
      </c>
      <c r="M476" s="16" t="n">
        <v>804.2</v>
      </c>
      <c r="N476" s="16" t="n">
        <v>804.2</v>
      </c>
      <c r="O476" s="16" t="n">
        <v>804.2</v>
      </c>
      <c r="P476" s="16" t="n">
        <v>804.2</v>
      </c>
      <c r="Q476" s="16" t="n">
        <v>804.2</v>
      </c>
      <c r="R476" s="16" t="n">
        <v>804.2</v>
      </c>
      <c r="S476" s="16" t="n">
        <v>804.2</v>
      </c>
      <c r="T476" s="16" t="n">
        <v>804.2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CANON-202601-003696</t>
        </is>
      </c>
      <c r="B477" s="3" t="inlineStr">
        <is>
          <t>2026-01-19</t>
        </is>
      </c>
      <c r="C477" s="3" t="inlineStr">
        <is>
          <t>Wilhelmina Ashcombe</t>
        </is>
      </c>
      <c r="D477" s="3" t="inlineStr">
        <is>
          <t>NE</t>
        </is>
      </c>
      <c r="E477" s="14" t="n">
        <v>290000</v>
      </c>
      <c r="F477" s="14" t="n">
        <v>4786.48</v>
      </c>
      <c r="G477" s="14" t="n">
        <v>598.3099999999999</v>
      </c>
      <c r="H477" s="14" t="n">
        <v>598.3099999999999</v>
      </c>
      <c r="I477" s="14">
        <f>SUM(K477:T477)</f>
        <v/>
      </c>
      <c r="J477" s="14">
        <f>F477-(G477+H477+I477)</f>
        <v/>
      </c>
      <c r="K477" s="14" t="n">
        <v>358.99</v>
      </c>
      <c r="L477" s="14" t="n">
        <v>358.99</v>
      </c>
      <c r="M477" s="14" t="n">
        <v>358.99</v>
      </c>
      <c r="N477" s="14" t="n">
        <v>358.99</v>
      </c>
      <c r="O477" s="14" t="n">
        <v>358.99</v>
      </c>
      <c r="P477" s="14" t="n">
        <v>358.99</v>
      </c>
      <c r="Q477" s="14" t="n">
        <v>358.99</v>
      </c>
      <c r="R477" s="14" t="n">
        <v>358.99</v>
      </c>
      <c r="S477" s="14" t="n">
        <v>358.99</v>
      </c>
      <c r="T477" s="14" t="n">
        <v>358.99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CANON-202601-003697</t>
        </is>
      </c>
      <c r="B478" s="15" t="inlineStr">
        <is>
          <t>2026-01-22</t>
        </is>
      </c>
      <c r="C478" s="15" t="inlineStr">
        <is>
          <t>Ramona Montoya</t>
        </is>
      </c>
      <c r="D478" s="15" t="inlineStr">
        <is>
          <t>WY</t>
        </is>
      </c>
      <c r="E478" s="16" t="n">
        <v>715000</v>
      </c>
      <c r="F478" s="16" t="n">
        <v>8418.15</v>
      </c>
      <c r="G478" s="16" t="n">
        <v>1052.27</v>
      </c>
      <c r="H478" s="16" t="n">
        <v>1052.27</v>
      </c>
      <c r="I478" s="16">
        <f>SUM(K478:T478)</f>
        <v/>
      </c>
      <c r="J478" s="16">
        <f>F478-(G478+H478+I478)</f>
        <v/>
      </c>
      <c r="K478" s="16" t="n">
        <v>631.36</v>
      </c>
      <c r="L478" s="16" t="n">
        <v>631.36</v>
      </c>
      <c r="M478" s="16" t="n">
        <v>631.36</v>
      </c>
      <c r="N478" s="16" t="n">
        <v>631.36</v>
      </c>
      <c r="O478" s="16" t="n">
        <v>631.36</v>
      </c>
      <c r="P478" s="16" t="n">
        <v>631.36</v>
      </c>
      <c r="Q478" s="16" t="n">
        <v>631.36</v>
      </c>
      <c r="R478" s="16" t="n">
        <v>631.36</v>
      </c>
      <c r="S478" s="16" t="n">
        <v>631.36</v>
      </c>
      <c r="T478" s="16" t="n">
        <v>631.36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CANON-202601-003698</t>
        </is>
      </c>
      <c r="B479" s="3" t="inlineStr">
        <is>
          <t>2026-01-23</t>
        </is>
      </c>
      <c r="C479" s="3" t="inlineStr">
        <is>
          <t>Thaddeus Farkas</t>
        </is>
      </c>
      <c r="D479" s="3" t="inlineStr">
        <is>
          <t>RI</t>
        </is>
      </c>
      <c r="E479" s="14" t="n">
        <v>1045000</v>
      </c>
      <c r="F479" s="14" t="n">
        <v>8240.040000000001</v>
      </c>
      <c r="G479" s="14" t="n">
        <v>1030.01</v>
      </c>
      <c r="H479" s="14" t="n">
        <v>1030.01</v>
      </c>
      <c r="I479" s="14">
        <f>SUM(K479:T479)</f>
        <v/>
      </c>
      <c r="J479" s="14">
        <f>F479-(G479+H479+I479)</f>
        <v/>
      </c>
      <c r="K479" s="14" t="n">
        <v>618</v>
      </c>
      <c r="L479" s="14" t="n">
        <v>618</v>
      </c>
      <c r="M479" s="14" t="n">
        <v>618</v>
      </c>
      <c r="N479" s="14" t="n">
        <v>618</v>
      </c>
      <c r="O479" s="14" t="n">
        <v>618</v>
      </c>
      <c r="P479" s="14" t="n">
        <v>618</v>
      </c>
      <c r="Q479" s="14" t="n">
        <v>618</v>
      </c>
      <c r="R479" s="14" t="n">
        <v>618</v>
      </c>
      <c r="S479" s="14" t="n">
        <v>618</v>
      </c>
      <c r="T479" s="14" t="n">
        <v>618</v>
      </c>
      <c r="U479" s="14" t="n">
        <v>350</v>
      </c>
      <c r="V479" s="14" t="n">
        <v>250</v>
      </c>
      <c r="W479" s="14">
        <f>U479+V479</f>
        <v/>
      </c>
    </row>
    <row r="480">
      <c r="A480" s="15" t="inlineStr">
        <is>
          <t>CANON-202601-003699</t>
        </is>
      </c>
      <c r="B480" s="15" t="inlineStr">
        <is>
          <t>2026-01-11</t>
        </is>
      </c>
      <c r="C480" s="15" t="inlineStr">
        <is>
          <t>Horace Farkas</t>
        </is>
      </c>
      <c r="D480" s="15" t="inlineStr">
        <is>
          <t>NY</t>
        </is>
      </c>
      <c r="E480" s="16" t="n">
        <v>395000</v>
      </c>
      <c r="F480" s="16" t="n">
        <v>6419.21</v>
      </c>
      <c r="G480" s="16" t="n">
        <v>802.4</v>
      </c>
      <c r="H480" s="16" t="n">
        <v>802.4</v>
      </c>
      <c r="I480" s="16">
        <f>SUM(K480:T480)</f>
        <v/>
      </c>
      <c r="J480" s="16">
        <f>F480-(G480+H480+I480)</f>
        <v/>
      </c>
      <c r="K480" s="16" t="n">
        <v>481.44</v>
      </c>
      <c r="L480" s="16" t="n">
        <v>481.44</v>
      </c>
      <c r="M480" s="16" t="n">
        <v>481.44</v>
      </c>
      <c r="N480" s="16" t="n">
        <v>481.44</v>
      </c>
      <c r="O480" s="16" t="n">
        <v>481.44</v>
      </c>
      <c r="P480" s="16" t="n">
        <v>481.44</v>
      </c>
      <c r="Q480" s="16" t="n">
        <v>481.44</v>
      </c>
      <c r="R480" s="16" t="n">
        <v>481.44</v>
      </c>
      <c r="S480" s="16" t="n">
        <v>481.44</v>
      </c>
      <c r="T480" s="16" t="n">
        <v>481.44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CANON-202601-003700</t>
        </is>
      </c>
      <c r="B481" s="3" t="inlineStr">
        <is>
          <t>2026-01-29</t>
        </is>
      </c>
      <c r="C481" s="3" t="inlineStr">
        <is>
          <t>Saoirse Okonkwo</t>
        </is>
      </c>
      <c r="D481" s="3" t="inlineStr">
        <is>
          <t>TN</t>
        </is>
      </c>
      <c r="E481" s="14" t="n">
        <v>325000</v>
      </c>
      <c r="F481" s="14" t="n">
        <v>4043.75</v>
      </c>
      <c r="G481" s="14" t="n">
        <v>505.47</v>
      </c>
      <c r="H481" s="14" t="n">
        <v>505.47</v>
      </c>
      <c r="I481" s="14">
        <f>SUM(K481:T481)</f>
        <v/>
      </c>
      <c r="J481" s="14">
        <f>F481-(G481+H481+I481)</f>
        <v/>
      </c>
      <c r="K481" s="14" t="n">
        <v>303.28</v>
      </c>
      <c r="L481" s="14" t="n">
        <v>303.28</v>
      </c>
      <c r="M481" s="14" t="n">
        <v>303.28</v>
      </c>
      <c r="N481" s="14" t="n">
        <v>303.28</v>
      </c>
      <c r="O481" s="14" t="n">
        <v>303.28</v>
      </c>
      <c r="P481" s="14" t="n">
        <v>303.28</v>
      </c>
      <c r="Q481" s="14" t="n">
        <v>303.28</v>
      </c>
      <c r="R481" s="14" t="n">
        <v>303.28</v>
      </c>
      <c r="S481" s="14" t="n">
        <v>303.28</v>
      </c>
      <c r="T481" s="14" t="n">
        <v>303.28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CANON-202601-003701</t>
        </is>
      </c>
      <c r="B482" s="15" t="inlineStr">
        <is>
          <t>2026-01-31</t>
        </is>
      </c>
      <c r="C482" s="15" t="inlineStr">
        <is>
          <t>Anouk Kingsford</t>
        </is>
      </c>
      <c r="D482" s="15" t="inlineStr">
        <is>
          <t>LA</t>
        </is>
      </c>
      <c r="E482" s="16" t="n">
        <v>870000</v>
      </c>
      <c r="F482" s="16" t="n">
        <v>16929.4</v>
      </c>
      <c r="G482" s="16" t="n">
        <v>2116.18</v>
      </c>
      <c r="H482" s="16" t="n">
        <v>2116.18</v>
      </c>
      <c r="I482" s="16">
        <f>SUM(K482:T482)</f>
        <v/>
      </c>
      <c r="J482" s="16">
        <f>F482-(G482+H482+I482)</f>
        <v/>
      </c>
      <c r="K482" s="16" t="n">
        <v>1269.71</v>
      </c>
      <c r="L482" s="16" t="n">
        <v>1269.71</v>
      </c>
      <c r="M482" s="16" t="n">
        <v>1269.71</v>
      </c>
      <c r="N482" s="16" t="n">
        <v>1269.71</v>
      </c>
      <c r="O482" s="16" t="n">
        <v>1269.71</v>
      </c>
      <c r="P482" s="16" t="n">
        <v>1269.71</v>
      </c>
      <c r="Q482" s="16" t="n">
        <v>1269.71</v>
      </c>
      <c r="R482" s="16" t="n">
        <v>1269.71</v>
      </c>
      <c r="S482" s="16" t="n">
        <v>1269.71</v>
      </c>
      <c r="T482" s="16" t="n">
        <v>1269.71</v>
      </c>
      <c r="U482" s="16" t="n">
        <v>350</v>
      </c>
      <c r="V482" s="16" t="n">
        <v>0</v>
      </c>
      <c r="W482" s="16">
        <f>U482+V482</f>
        <v/>
      </c>
    </row>
    <row r="483">
      <c r="A483" s="3" t="inlineStr">
        <is>
          <t>CANON-202601-003702</t>
        </is>
      </c>
      <c r="B483" s="3" t="inlineStr">
        <is>
          <t>2026-01-16</t>
        </is>
      </c>
      <c r="C483" s="3" t="inlineStr">
        <is>
          <t>Mireille Blackwood</t>
        </is>
      </c>
      <c r="D483" s="3" t="inlineStr">
        <is>
          <t>TX</t>
        </is>
      </c>
      <c r="E483" s="14" t="n">
        <v>285000</v>
      </c>
      <c r="F483" s="14" t="n">
        <v>4161.19</v>
      </c>
      <c r="G483" s="14" t="n">
        <v>520.15</v>
      </c>
      <c r="H483" s="14" t="n">
        <v>520.15</v>
      </c>
      <c r="I483" s="14">
        <f>SUM(K483:T483)</f>
        <v/>
      </c>
      <c r="J483" s="14">
        <f>F483-(G483+H483+I483)</f>
        <v/>
      </c>
      <c r="K483" s="14" t="n">
        <v>312.09</v>
      </c>
      <c r="L483" s="14" t="n">
        <v>312.09</v>
      </c>
      <c r="M483" s="14" t="n">
        <v>312.09</v>
      </c>
      <c r="N483" s="14" t="n">
        <v>312.09</v>
      </c>
      <c r="O483" s="14" t="n">
        <v>312.09</v>
      </c>
      <c r="P483" s="14" t="n">
        <v>312.09</v>
      </c>
      <c r="Q483" s="14" t="n">
        <v>312.09</v>
      </c>
      <c r="R483" s="14" t="n">
        <v>312.09</v>
      </c>
      <c r="S483" s="14" t="n">
        <v>312.09</v>
      </c>
      <c r="T483" s="14" t="n">
        <v>312.09</v>
      </c>
      <c r="U483" s="14" t="n">
        <v>350</v>
      </c>
      <c r="V483" s="14" t="n">
        <v>0</v>
      </c>
      <c r="W483" s="14">
        <f>U483+V483</f>
        <v/>
      </c>
    </row>
    <row r="484">
      <c r="A484" s="15" t="inlineStr">
        <is>
          <t>CANON-202601-003705</t>
        </is>
      </c>
      <c r="B484" s="15" t="inlineStr">
        <is>
          <t>2026-01-11</t>
        </is>
      </c>
      <c r="C484" s="15" t="inlineStr">
        <is>
          <t>Fitzgerald Whitlock</t>
        </is>
      </c>
      <c r="D484" s="15" t="inlineStr">
        <is>
          <t>NY</t>
        </is>
      </c>
      <c r="E484" s="16" t="n">
        <v>725000</v>
      </c>
      <c r="F484" s="16" t="n">
        <v>10211.15</v>
      </c>
      <c r="G484" s="16" t="n">
        <v>1276.39</v>
      </c>
      <c r="H484" s="16" t="n">
        <v>1276.39</v>
      </c>
      <c r="I484" s="16">
        <f>SUM(K484:T484)</f>
        <v/>
      </c>
      <c r="J484" s="16">
        <f>F484-(G484+H484+I484)</f>
        <v/>
      </c>
      <c r="K484" s="16" t="n">
        <v>765.84</v>
      </c>
      <c r="L484" s="16" t="n">
        <v>765.84</v>
      </c>
      <c r="M484" s="16" t="n">
        <v>765.84</v>
      </c>
      <c r="N484" s="16" t="n">
        <v>765.84</v>
      </c>
      <c r="O484" s="16" t="n">
        <v>765.84</v>
      </c>
      <c r="P484" s="16" t="n">
        <v>765.84</v>
      </c>
      <c r="Q484" s="16" t="n">
        <v>765.84</v>
      </c>
      <c r="R484" s="16" t="n">
        <v>765.84</v>
      </c>
      <c r="S484" s="16" t="n">
        <v>765.84</v>
      </c>
      <c r="T484" s="16" t="n">
        <v>765.84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CANON-202601-003706</t>
        </is>
      </c>
      <c r="B485" s="3" t="inlineStr">
        <is>
          <t>2026-01-29</t>
        </is>
      </c>
      <c r="C485" s="3" t="inlineStr">
        <is>
          <t>Saoirse Whitlock</t>
        </is>
      </c>
      <c r="D485" s="3" t="inlineStr">
        <is>
          <t>WI</t>
        </is>
      </c>
      <c r="E485" s="14" t="n">
        <v>440000</v>
      </c>
      <c r="F485" s="14" t="n">
        <v>6703.61</v>
      </c>
      <c r="G485" s="14" t="n">
        <v>837.95</v>
      </c>
      <c r="H485" s="14" t="n">
        <v>837.95</v>
      </c>
      <c r="I485" s="14">
        <f>SUM(K485:T485)</f>
        <v/>
      </c>
      <c r="J485" s="14">
        <f>F485-(G485+H485+I485)</f>
        <v/>
      </c>
      <c r="K485" s="14" t="n">
        <v>502.77</v>
      </c>
      <c r="L485" s="14" t="n">
        <v>502.77</v>
      </c>
      <c r="M485" s="14" t="n">
        <v>502.77</v>
      </c>
      <c r="N485" s="14" t="n">
        <v>502.77</v>
      </c>
      <c r="O485" s="14" t="n">
        <v>502.77</v>
      </c>
      <c r="P485" s="14" t="n">
        <v>502.77</v>
      </c>
      <c r="Q485" s="14" t="n">
        <v>502.77</v>
      </c>
      <c r="R485" s="14" t="n">
        <v>502.77</v>
      </c>
      <c r="S485" s="14" t="n">
        <v>502.77</v>
      </c>
      <c r="T485" s="14" t="n">
        <v>502.77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CANON-202601-003707</t>
        </is>
      </c>
      <c r="B486" s="15" t="inlineStr">
        <is>
          <t>2026-01-14</t>
        </is>
      </c>
      <c r="C486" s="15" t="inlineStr">
        <is>
          <t>Thaddeus Montoya</t>
        </is>
      </c>
      <c r="D486" s="15" t="inlineStr">
        <is>
          <t>AR</t>
        </is>
      </c>
      <c r="E486" s="16" t="n">
        <v>320000</v>
      </c>
      <c r="F486" s="16" t="n">
        <v>5606.66</v>
      </c>
      <c r="G486" s="16" t="n">
        <v>700.83</v>
      </c>
      <c r="H486" s="16" t="n">
        <v>700.83</v>
      </c>
      <c r="I486" s="16">
        <f>SUM(K486:T486)</f>
        <v/>
      </c>
      <c r="J486" s="16">
        <f>F486-(G486+H486+I486)</f>
        <v/>
      </c>
      <c r="K486" s="16" t="n">
        <v>420.5</v>
      </c>
      <c r="L486" s="16" t="n">
        <v>420.5</v>
      </c>
      <c r="M486" s="16" t="n">
        <v>420.5</v>
      </c>
      <c r="N486" s="16" t="n">
        <v>420.5</v>
      </c>
      <c r="O486" s="16" t="n">
        <v>420.5</v>
      </c>
      <c r="P486" s="16" t="n">
        <v>420.5</v>
      </c>
      <c r="Q486" s="16" t="n">
        <v>420.5</v>
      </c>
      <c r="R486" s="16" t="n">
        <v>420.5</v>
      </c>
      <c r="S486" s="16" t="n">
        <v>420.5</v>
      </c>
      <c r="T486" s="16" t="n">
        <v>420.5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CANON-202601-003710</t>
        </is>
      </c>
      <c r="B487" s="3" t="inlineStr">
        <is>
          <t>2026-01-25</t>
        </is>
      </c>
      <c r="C487" s="3" t="inlineStr">
        <is>
          <t>Beatrix Whitlock</t>
        </is>
      </c>
      <c r="D487" s="3" t="inlineStr">
        <is>
          <t>FL</t>
        </is>
      </c>
      <c r="E487" s="14" t="n">
        <v>685000</v>
      </c>
      <c r="F487" s="14" t="n">
        <v>10703</v>
      </c>
      <c r="G487" s="14" t="n">
        <v>1337.88</v>
      </c>
      <c r="H487" s="14" t="n">
        <v>1337.88</v>
      </c>
      <c r="I487" s="14">
        <f>SUM(K487:T487)</f>
        <v/>
      </c>
      <c r="J487" s="14">
        <f>F487-(G487+H487+I487)</f>
        <v/>
      </c>
      <c r="K487" s="14" t="n">
        <v>802.73</v>
      </c>
      <c r="L487" s="14" t="n">
        <v>802.73</v>
      </c>
      <c r="M487" s="14" t="n">
        <v>802.73</v>
      </c>
      <c r="N487" s="14" t="n">
        <v>802.73</v>
      </c>
      <c r="O487" s="14" t="n">
        <v>802.73</v>
      </c>
      <c r="P487" s="14" t="n">
        <v>802.73</v>
      </c>
      <c r="Q487" s="14" t="n">
        <v>802.73</v>
      </c>
      <c r="R487" s="14" t="n">
        <v>802.73</v>
      </c>
      <c r="S487" s="14" t="n">
        <v>802.73</v>
      </c>
      <c r="T487" s="14" t="n">
        <v>802.73</v>
      </c>
      <c r="U487" s="14" t="n">
        <v>350</v>
      </c>
      <c r="V487" s="14" t="n">
        <v>0</v>
      </c>
      <c r="W487" s="14">
        <f>U487+V487</f>
        <v/>
      </c>
    </row>
    <row r="488">
      <c r="A488" s="15" t="inlineStr">
        <is>
          <t>CANON-202601-003711</t>
        </is>
      </c>
      <c r="B488" s="15" t="inlineStr">
        <is>
          <t>2026-01-22</t>
        </is>
      </c>
      <c r="C488" s="15" t="inlineStr">
        <is>
          <t>Ottilie Kingsford</t>
        </is>
      </c>
      <c r="D488" s="15" t="inlineStr">
        <is>
          <t>RI</t>
        </is>
      </c>
      <c r="E488" s="16" t="n">
        <v>1290000</v>
      </c>
      <c r="F488" s="16" t="n">
        <v>23933.91</v>
      </c>
      <c r="G488" s="16" t="n">
        <v>2991.74</v>
      </c>
      <c r="H488" s="16" t="n">
        <v>2991.74</v>
      </c>
      <c r="I488" s="16">
        <f>SUM(K488:T488)</f>
        <v/>
      </c>
      <c r="J488" s="16">
        <f>F488-(G488+H488+I488)</f>
        <v/>
      </c>
      <c r="K488" s="16" t="n">
        <v>1795.04</v>
      </c>
      <c r="L488" s="16" t="n">
        <v>1795.04</v>
      </c>
      <c r="M488" s="16" t="n">
        <v>1795.04</v>
      </c>
      <c r="N488" s="16" t="n">
        <v>1795.04</v>
      </c>
      <c r="O488" s="16" t="n">
        <v>1795.04</v>
      </c>
      <c r="P488" s="16" t="n">
        <v>1795.04</v>
      </c>
      <c r="Q488" s="16" t="n">
        <v>1795.04</v>
      </c>
      <c r="R488" s="16" t="n">
        <v>1795.04</v>
      </c>
      <c r="S488" s="16" t="n">
        <v>1795.04</v>
      </c>
      <c r="T488" s="16" t="n">
        <v>1795.04</v>
      </c>
      <c r="U488" s="16" t="n">
        <v>350</v>
      </c>
      <c r="V488" s="16" t="n">
        <v>250</v>
      </c>
      <c r="W488" s="16">
        <f>U488+V488</f>
        <v/>
      </c>
    </row>
    <row r="489">
      <c r="A489" s="3" t="inlineStr">
        <is>
          <t>CANON-202601-003712</t>
        </is>
      </c>
      <c r="B489" s="3" t="inlineStr">
        <is>
          <t>2026-01-16</t>
        </is>
      </c>
      <c r="C489" s="3" t="inlineStr">
        <is>
          <t>Beatrix Delacroix</t>
        </is>
      </c>
      <c r="D489" s="3" t="inlineStr">
        <is>
          <t>ME</t>
        </is>
      </c>
      <c r="E489" s="14" t="n">
        <v>505000</v>
      </c>
      <c r="F489" s="14" t="n">
        <v>6001.25</v>
      </c>
      <c r="G489" s="14" t="n">
        <v>750.16</v>
      </c>
      <c r="H489" s="14" t="n">
        <v>750.16</v>
      </c>
      <c r="I489" s="14">
        <f>SUM(K489:T489)</f>
        <v/>
      </c>
      <c r="J489" s="14">
        <f>F489-(G489+H489+I489)</f>
        <v/>
      </c>
      <c r="K489" s="14" t="n">
        <v>450.09</v>
      </c>
      <c r="L489" s="14" t="n">
        <v>450.09</v>
      </c>
      <c r="M489" s="14" t="n">
        <v>450.09</v>
      </c>
      <c r="N489" s="14" t="n">
        <v>450.09</v>
      </c>
      <c r="O489" s="14" t="n">
        <v>450.09</v>
      </c>
      <c r="P489" s="14" t="n">
        <v>450.09</v>
      </c>
      <c r="Q489" s="14" t="n">
        <v>450.09</v>
      </c>
      <c r="R489" s="14" t="n">
        <v>450.09</v>
      </c>
      <c r="S489" s="14" t="n">
        <v>450.09</v>
      </c>
      <c r="T489" s="14" t="n">
        <v>450.09</v>
      </c>
      <c r="U489" s="14" t="n">
        <v>350</v>
      </c>
      <c r="V489" s="14" t="n">
        <v>0</v>
      </c>
      <c r="W489" s="14">
        <f>U489+V489</f>
        <v/>
      </c>
    </row>
    <row r="490">
      <c r="A490" s="15" t="inlineStr">
        <is>
          <t>CANON-202601-003713</t>
        </is>
      </c>
      <c r="B490" s="15" t="inlineStr">
        <is>
          <t>2026-01-28</t>
        </is>
      </c>
      <c r="C490" s="15" t="inlineStr">
        <is>
          <t>Marisol Chattopadhyay</t>
        </is>
      </c>
      <c r="D490" s="15" t="inlineStr">
        <is>
          <t>NH</t>
        </is>
      </c>
      <c r="E490" s="16" t="n">
        <v>455000</v>
      </c>
      <c r="F490" s="16" t="n">
        <v>6007.86</v>
      </c>
      <c r="G490" s="16" t="n">
        <v>750.98</v>
      </c>
      <c r="H490" s="16" t="n">
        <v>750.98</v>
      </c>
      <c r="I490" s="16">
        <f>SUM(K490:T490)</f>
        <v/>
      </c>
      <c r="J490" s="16">
        <f>F490-(G490+H490+I490)</f>
        <v/>
      </c>
      <c r="K490" s="16" t="n">
        <v>450.59</v>
      </c>
      <c r="L490" s="16" t="n">
        <v>450.59</v>
      </c>
      <c r="M490" s="16" t="n">
        <v>450.59</v>
      </c>
      <c r="N490" s="16" t="n">
        <v>450.59</v>
      </c>
      <c r="O490" s="16" t="n">
        <v>450.59</v>
      </c>
      <c r="P490" s="16" t="n">
        <v>450.59</v>
      </c>
      <c r="Q490" s="16" t="n">
        <v>450.59</v>
      </c>
      <c r="R490" s="16" t="n">
        <v>450.59</v>
      </c>
      <c r="S490" s="16" t="n">
        <v>450.59</v>
      </c>
      <c r="T490" s="16" t="n">
        <v>450.59</v>
      </c>
      <c r="U490" s="16" t="n">
        <v>350</v>
      </c>
      <c r="V490" s="16" t="n">
        <v>0</v>
      </c>
      <c r="W490" s="16">
        <f>U490+V490</f>
        <v/>
      </c>
    </row>
    <row r="491">
      <c r="A491" s="3" t="inlineStr">
        <is>
          <t>CANON-202601-003716</t>
        </is>
      </c>
      <c r="B491" s="3" t="inlineStr">
        <is>
          <t>2026-01-15</t>
        </is>
      </c>
      <c r="C491" s="3" t="inlineStr">
        <is>
          <t>Aurelio Blackwood</t>
        </is>
      </c>
      <c r="D491" s="3" t="inlineStr">
        <is>
          <t>CA</t>
        </is>
      </c>
      <c r="E491" s="14" t="n">
        <v>335000</v>
      </c>
      <c r="F491" s="14" t="n">
        <v>5741.86</v>
      </c>
      <c r="G491" s="14" t="n">
        <v>717.73</v>
      </c>
      <c r="H491" s="14" t="n">
        <v>717.73</v>
      </c>
      <c r="I491" s="14">
        <f>SUM(K491:T491)</f>
        <v/>
      </c>
      <c r="J491" s="14">
        <f>F491-(G491+H491+I491)</f>
        <v/>
      </c>
      <c r="K491" s="14" t="n">
        <v>430.64</v>
      </c>
      <c r="L491" s="14" t="n">
        <v>430.64</v>
      </c>
      <c r="M491" s="14" t="n">
        <v>430.64</v>
      </c>
      <c r="N491" s="14" t="n">
        <v>430.64</v>
      </c>
      <c r="O491" s="14" t="n">
        <v>430.64</v>
      </c>
      <c r="P491" s="14" t="n">
        <v>430.64</v>
      </c>
      <c r="Q491" s="14" t="n">
        <v>430.64</v>
      </c>
      <c r="R491" s="14" t="n">
        <v>430.64</v>
      </c>
      <c r="S491" s="14" t="n">
        <v>430.64</v>
      </c>
      <c r="T491" s="14" t="n">
        <v>430.64</v>
      </c>
      <c r="U491" s="14" t="n">
        <v>350</v>
      </c>
      <c r="V491" s="14" t="n">
        <v>0</v>
      </c>
      <c r="W491" s="14">
        <f>U491+V491</f>
        <v/>
      </c>
    </row>
    <row r="492">
      <c r="A492" s="15" t="inlineStr">
        <is>
          <t>CANON-202601-003717</t>
        </is>
      </c>
      <c r="B492" s="15" t="inlineStr">
        <is>
          <t>2026-01-19</t>
        </is>
      </c>
      <c r="C492" s="15" t="inlineStr">
        <is>
          <t>Emiliano Larsson</t>
        </is>
      </c>
      <c r="D492" s="15" t="inlineStr">
        <is>
          <t>NC</t>
        </is>
      </c>
      <c r="E492" s="16" t="n">
        <v>545000</v>
      </c>
      <c r="F492" s="16" t="n">
        <v>6896.38</v>
      </c>
      <c r="G492" s="16" t="n">
        <v>862.05</v>
      </c>
      <c r="H492" s="16" t="n">
        <v>862.05</v>
      </c>
      <c r="I492" s="16">
        <f>SUM(K492:T492)</f>
        <v/>
      </c>
      <c r="J492" s="16">
        <f>F492-(G492+H492+I492)</f>
        <v/>
      </c>
      <c r="K492" s="16" t="n">
        <v>517.23</v>
      </c>
      <c r="L492" s="16" t="n">
        <v>517.23</v>
      </c>
      <c r="M492" s="16" t="n">
        <v>517.23</v>
      </c>
      <c r="N492" s="16" t="n">
        <v>517.23</v>
      </c>
      <c r="O492" s="16" t="n">
        <v>517.23</v>
      </c>
      <c r="P492" s="16" t="n">
        <v>517.23</v>
      </c>
      <c r="Q492" s="16" t="n">
        <v>517.23</v>
      </c>
      <c r="R492" s="16" t="n">
        <v>517.23</v>
      </c>
      <c r="S492" s="16" t="n">
        <v>517.23</v>
      </c>
      <c r="T492" s="16" t="n">
        <v>517.23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CANON-202601-003718</t>
        </is>
      </c>
      <c r="B493" s="3" t="inlineStr">
        <is>
          <t>2026-01-02</t>
        </is>
      </c>
      <c r="C493" s="3" t="inlineStr">
        <is>
          <t>Cassius Vasquez</t>
        </is>
      </c>
      <c r="D493" s="3" t="inlineStr">
        <is>
          <t>TX</t>
        </is>
      </c>
      <c r="E493" s="14" t="n">
        <v>250000</v>
      </c>
      <c r="F493" s="14" t="n">
        <v>5596.92</v>
      </c>
      <c r="G493" s="14" t="n">
        <v>699.62</v>
      </c>
      <c r="H493" s="14" t="n">
        <v>699.62</v>
      </c>
      <c r="I493" s="14">
        <f>SUM(K493:T493)</f>
        <v/>
      </c>
      <c r="J493" s="14">
        <f>F493-(G493+H493+I493)</f>
        <v/>
      </c>
      <c r="K493" s="14" t="n">
        <v>419.77</v>
      </c>
      <c r="L493" s="14" t="n">
        <v>419.77</v>
      </c>
      <c r="M493" s="14" t="n">
        <v>419.77</v>
      </c>
      <c r="N493" s="14" t="n">
        <v>419.77</v>
      </c>
      <c r="O493" s="14" t="n">
        <v>419.77</v>
      </c>
      <c r="P493" s="14" t="n">
        <v>419.77</v>
      </c>
      <c r="Q493" s="14" t="n">
        <v>419.77</v>
      </c>
      <c r="R493" s="14" t="n">
        <v>419.77</v>
      </c>
      <c r="S493" s="14" t="n">
        <v>419.77</v>
      </c>
      <c r="T493" s="14" t="n">
        <v>419.77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CANON-202601-003719</t>
        </is>
      </c>
      <c r="B494" s="15" t="inlineStr">
        <is>
          <t>2026-01-06</t>
        </is>
      </c>
      <c r="C494" s="15" t="inlineStr">
        <is>
          <t>Ramona Fairweather</t>
        </is>
      </c>
      <c r="D494" s="15" t="inlineStr">
        <is>
          <t>NV</t>
        </is>
      </c>
      <c r="E494" s="16" t="n">
        <v>620000</v>
      </c>
      <c r="F494" s="16" t="n">
        <v>7981.87</v>
      </c>
      <c r="G494" s="16" t="n">
        <v>997.73</v>
      </c>
      <c r="H494" s="16" t="n">
        <v>997.73</v>
      </c>
      <c r="I494" s="16">
        <f>SUM(K494:T494)</f>
        <v/>
      </c>
      <c r="J494" s="16">
        <f>F494-(G494+H494+I494)</f>
        <v/>
      </c>
      <c r="K494" s="16" t="n">
        <v>598.64</v>
      </c>
      <c r="L494" s="16" t="n">
        <v>598.64</v>
      </c>
      <c r="M494" s="16" t="n">
        <v>598.64</v>
      </c>
      <c r="N494" s="16" t="n">
        <v>598.64</v>
      </c>
      <c r="O494" s="16" t="n">
        <v>598.64</v>
      </c>
      <c r="P494" s="16" t="n">
        <v>598.64</v>
      </c>
      <c r="Q494" s="16" t="n">
        <v>598.64</v>
      </c>
      <c r="R494" s="16" t="n">
        <v>598.64</v>
      </c>
      <c r="S494" s="16" t="n">
        <v>598.64</v>
      </c>
      <c r="T494" s="16" t="n">
        <v>598.64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CANON-202601-003720</t>
        </is>
      </c>
      <c r="B495" s="3" t="inlineStr">
        <is>
          <t>2026-01-02</t>
        </is>
      </c>
      <c r="C495" s="3" t="inlineStr">
        <is>
          <t>Mireille Delacroix</t>
        </is>
      </c>
      <c r="D495" s="3" t="inlineStr">
        <is>
          <t>MA</t>
        </is>
      </c>
      <c r="E495" s="14" t="n">
        <v>325000</v>
      </c>
      <c r="F495" s="14" t="n">
        <v>3301.02</v>
      </c>
      <c r="G495" s="14" t="n">
        <v>412.63</v>
      </c>
      <c r="H495" s="14" t="n">
        <v>412.63</v>
      </c>
      <c r="I495" s="14">
        <f>SUM(K495:T495)</f>
        <v/>
      </c>
      <c r="J495" s="14">
        <f>F495-(G495+H495+I495)</f>
        <v/>
      </c>
      <c r="K495" s="14" t="n">
        <v>247.58</v>
      </c>
      <c r="L495" s="14" t="n">
        <v>247.58</v>
      </c>
      <c r="M495" s="14" t="n">
        <v>247.58</v>
      </c>
      <c r="N495" s="14" t="n">
        <v>247.58</v>
      </c>
      <c r="O495" s="14" t="n">
        <v>247.58</v>
      </c>
      <c r="P495" s="14" t="n">
        <v>247.58</v>
      </c>
      <c r="Q495" s="14" t="n">
        <v>247.58</v>
      </c>
      <c r="R495" s="14" t="n">
        <v>247.58</v>
      </c>
      <c r="S495" s="14" t="n">
        <v>247.58</v>
      </c>
      <c r="T495" s="14" t="n">
        <v>247.58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CANON-202601-003722</t>
        </is>
      </c>
      <c r="B496" s="15" t="inlineStr">
        <is>
          <t>2026-01-14</t>
        </is>
      </c>
      <c r="C496" s="15" t="inlineStr">
        <is>
          <t>Callum Farkas</t>
        </is>
      </c>
      <c r="D496" s="15" t="inlineStr">
        <is>
          <t>CO</t>
        </is>
      </c>
      <c r="E496" s="16" t="n">
        <v>505000</v>
      </c>
      <c r="F496" s="16" t="n">
        <v>6112.39</v>
      </c>
      <c r="G496" s="16" t="n">
        <v>764.05</v>
      </c>
      <c r="H496" s="16" t="n">
        <v>764.05</v>
      </c>
      <c r="I496" s="16">
        <f>SUM(K496:T496)</f>
        <v/>
      </c>
      <c r="J496" s="16">
        <f>F496-(G496+H496+I496)</f>
        <v/>
      </c>
      <c r="K496" s="16" t="n">
        <v>458.43</v>
      </c>
      <c r="L496" s="16" t="n">
        <v>458.43</v>
      </c>
      <c r="M496" s="16" t="n">
        <v>458.43</v>
      </c>
      <c r="N496" s="16" t="n">
        <v>458.43</v>
      </c>
      <c r="O496" s="16" t="n">
        <v>458.43</v>
      </c>
      <c r="P496" s="16" t="n">
        <v>458.43</v>
      </c>
      <c r="Q496" s="16" t="n">
        <v>458.43</v>
      </c>
      <c r="R496" s="16" t="n">
        <v>458.43</v>
      </c>
      <c r="S496" s="16" t="n">
        <v>458.43</v>
      </c>
      <c r="T496" s="16" t="n">
        <v>458.43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CANON-202601-003724</t>
        </is>
      </c>
      <c r="B497" s="3" t="inlineStr">
        <is>
          <t>2026-01-22</t>
        </is>
      </c>
      <c r="C497" s="3" t="inlineStr">
        <is>
          <t>Lorenzo Underwood</t>
        </is>
      </c>
      <c r="D497" s="3" t="inlineStr">
        <is>
          <t>CO</t>
        </is>
      </c>
      <c r="E497" s="14" t="n">
        <v>690000</v>
      </c>
      <c r="F497" s="14" t="n">
        <v>8351.58</v>
      </c>
      <c r="G497" s="14" t="n">
        <v>1043.95</v>
      </c>
      <c r="H497" s="14" t="n">
        <v>1043.95</v>
      </c>
      <c r="I497" s="14">
        <f>SUM(K497:T497)</f>
        <v/>
      </c>
      <c r="J497" s="14">
        <f>F497-(G497+H497+I497)</f>
        <v/>
      </c>
      <c r="K497" s="14" t="n">
        <v>626.37</v>
      </c>
      <c r="L497" s="14" t="n">
        <v>626.37</v>
      </c>
      <c r="M497" s="14" t="n">
        <v>626.37</v>
      </c>
      <c r="N497" s="14" t="n">
        <v>626.37</v>
      </c>
      <c r="O497" s="14" t="n">
        <v>626.37</v>
      </c>
      <c r="P497" s="14" t="n">
        <v>626.37</v>
      </c>
      <c r="Q497" s="14" t="n">
        <v>626.37</v>
      </c>
      <c r="R497" s="14" t="n">
        <v>626.37</v>
      </c>
      <c r="S497" s="14" t="n">
        <v>626.37</v>
      </c>
      <c r="T497" s="14" t="n">
        <v>626.37</v>
      </c>
      <c r="U497" s="14" t="n">
        <v>350</v>
      </c>
      <c r="V497" s="14" t="n">
        <v>0</v>
      </c>
      <c r="W497" s="14">
        <f>U497+V497</f>
        <v/>
      </c>
    </row>
    <row r="498">
      <c r="A498" s="15" t="inlineStr">
        <is>
          <t>CANON-202601-003725</t>
        </is>
      </c>
      <c r="B498" s="15" t="inlineStr">
        <is>
          <t>2026-01-08</t>
        </is>
      </c>
      <c r="C498" s="15" t="inlineStr">
        <is>
          <t>Leopold Vandermeer</t>
        </is>
      </c>
      <c r="D498" s="15" t="inlineStr">
        <is>
          <t>NJ</t>
        </is>
      </c>
      <c r="E498" s="16" t="n">
        <v>765000</v>
      </c>
      <c r="F498" s="16" t="n">
        <v>7660.02</v>
      </c>
      <c r="G498" s="16" t="n">
        <v>957.5</v>
      </c>
      <c r="H498" s="16" t="n">
        <v>957.5</v>
      </c>
      <c r="I498" s="16">
        <f>SUM(K498:T498)</f>
        <v/>
      </c>
      <c r="J498" s="16">
        <f>F498-(G498+H498+I498)</f>
        <v/>
      </c>
      <c r="K498" s="16" t="n">
        <v>574.5</v>
      </c>
      <c r="L498" s="16" t="n">
        <v>574.5</v>
      </c>
      <c r="M498" s="16" t="n">
        <v>574.5</v>
      </c>
      <c r="N498" s="16" t="n">
        <v>574.5</v>
      </c>
      <c r="O498" s="16" t="n">
        <v>574.5</v>
      </c>
      <c r="P498" s="16" t="n">
        <v>574.5</v>
      </c>
      <c r="Q498" s="16" t="n">
        <v>574.5</v>
      </c>
      <c r="R498" s="16" t="n">
        <v>574.5</v>
      </c>
      <c r="S498" s="16" t="n">
        <v>574.5</v>
      </c>
      <c r="T498" s="16" t="n">
        <v>574.5</v>
      </c>
      <c r="U498" s="16" t="n">
        <v>350</v>
      </c>
      <c r="V498" s="16" t="n">
        <v>0</v>
      </c>
      <c r="W498" s="16">
        <f>U498+V498</f>
        <v/>
      </c>
    </row>
    <row r="499">
      <c r="A499" s="3" t="inlineStr">
        <is>
          <t>CANON-202601-003726</t>
        </is>
      </c>
      <c r="B499" s="3" t="inlineStr">
        <is>
          <t>2026-01-22</t>
        </is>
      </c>
      <c r="C499" s="3" t="inlineStr">
        <is>
          <t>Emiliano Underwood</t>
        </is>
      </c>
      <c r="D499" s="3" t="inlineStr">
        <is>
          <t>NH</t>
        </is>
      </c>
      <c r="E499" s="14" t="n">
        <v>840000</v>
      </c>
      <c r="F499" s="14" t="n">
        <v>9612.559999999999</v>
      </c>
      <c r="G499" s="14" t="n">
        <v>1201.57</v>
      </c>
      <c r="H499" s="14" t="n">
        <v>1201.57</v>
      </c>
      <c r="I499" s="14">
        <f>SUM(K499:T499)</f>
        <v/>
      </c>
      <c r="J499" s="14">
        <f>F499-(G499+H499+I499)</f>
        <v/>
      </c>
      <c r="K499" s="14" t="n">
        <v>720.9400000000001</v>
      </c>
      <c r="L499" s="14" t="n">
        <v>720.9400000000001</v>
      </c>
      <c r="M499" s="14" t="n">
        <v>720.9400000000001</v>
      </c>
      <c r="N499" s="14" t="n">
        <v>720.9400000000001</v>
      </c>
      <c r="O499" s="14" t="n">
        <v>720.9400000000001</v>
      </c>
      <c r="P499" s="14" t="n">
        <v>720.9400000000001</v>
      </c>
      <c r="Q499" s="14" t="n">
        <v>720.9400000000001</v>
      </c>
      <c r="R499" s="14" t="n">
        <v>720.9400000000001</v>
      </c>
      <c r="S499" s="14" t="n">
        <v>720.9400000000001</v>
      </c>
      <c r="T499" s="14" t="n">
        <v>720.9400000000001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CANON-202601-003728</t>
        </is>
      </c>
      <c r="B500" s="15" t="inlineStr">
        <is>
          <t>2026-01-13</t>
        </is>
      </c>
      <c r="C500" s="15" t="inlineStr">
        <is>
          <t>Horace Harrington</t>
        </is>
      </c>
      <c r="D500" s="15" t="inlineStr">
        <is>
          <t>FL</t>
        </is>
      </c>
      <c r="E500" s="16" t="n">
        <v>1505000</v>
      </c>
      <c r="F500" s="16" t="n">
        <v>13747.44</v>
      </c>
      <c r="G500" s="16" t="n">
        <v>1718.43</v>
      </c>
      <c r="H500" s="16" t="n">
        <v>1718.43</v>
      </c>
      <c r="I500" s="16">
        <f>SUM(K500:T500)</f>
        <v/>
      </c>
      <c r="J500" s="16">
        <f>F500-(G500+H500+I500)</f>
        <v/>
      </c>
      <c r="K500" s="16" t="n">
        <v>1031.06</v>
      </c>
      <c r="L500" s="16" t="n">
        <v>1031.06</v>
      </c>
      <c r="M500" s="16" t="n">
        <v>1031.06</v>
      </c>
      <c r="N500" s="16" t="n">
        <v>1031.06</v>
      </c>
      <c r="O500" s="16" t="n">
        <v>1031.06</v>
      </c>
      <c r="P500" s="16" t="n">
        <v>1031.06</v>
      </c>
      <c r="Q500" s="16" t="n">
        <v>1031.06</v>
      </c>
      <c r="R500" s="16" t="n">
        <v>1031.06</v>
      </c>
      <c r="S500" s="16" t="n">
        <v>1031.06</v>
      </c>
      <c r="T500" s="16" t="n">
        <v>1031.06</v>
      </c>
      <c r="U500" s="16" t="n">
        <v>350</v>
      </c>
      <c r="V500" s="16" t="n">
        <v>250</v>
      </c>
      <c r="W500" s="16">
        <f>U500+V500</f>
        <v/>
      </c>
    </row>
    <row r="501">
      <c r="A501" s="3" t="inlineStr">
        <is>
          <t>CANON-202601-003729</t>
        </is>
      </c>
      <c r="B501" s="3" t="inlineStr">
        <is>
          <t>2026-01-26</t>
        </is>
      </c>
      <c r="C501" s="3" t="inlineStr">
        <is>
          <t>Ottilie Okonkwo</t>
        </is>
      </c>
      <c r="D501" s="3" t="inlineStr">
        <is>
          <t>DE</t>
        </is>
      </c>
      <c r="E501" s="14" t="n">
        <v>825000</v>
      </c>
      <c r="F501" s="14" t="n">
        <v>7506.65</v>
      </c>
      <c r="G501" s="14" t="n">
        <v>938.33</v>
      </c>
      <c r="H501" s="14" t="n">
        <v>938.33</v>
      </c>
      <c r="I501" s="14">
        <f>SUM(K501:T501)</f>
        <v/>
      </c>
      <c r="J501" s="14">
        <f>F501-(G501+H501+I501)</f>
        <v/>
      </c>
      <c r="K501" s="14" t="n">
        <v>563</v>
      </c>
      <c r="L501" s="14" t="n">
        <v>563</v>
      </c>
      <c r="M501" s="14" t="n">
        <v>563</v>
      </c>
      <c r="N501" s="14" t="n">
        <v>563</v>
      </c>
      <c r="O501" s="14" t="n">
        <v>563</v>
      </c>
      <c r="P501" s="14" t="n">
        <v>563</v>
      </c>
      <c r="Q501" s="14" t="n">
        <v>563</v>
      </c>
      <c r="R501" s="14" t="n">
        <v>563</v>
      </c>
      <c r="S501" s="14" t="n">
        <v>563</v>
      </c>
      <c r="T501" s="14" t="n">
        <v>563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CANON-202601-003730</t>
        </is>
      </c>
      <c r="B502" s="15" t="inlineStr">
        <is>
          <t>2026-01-04</t>
        </is>
      </c>
      <c r="C502" s="15" t="inlineStr">
        <is>
          <t>Anouk Montoya</t>
        </is>
      </c>
      <c r="D502" s="15" t="inlineStr">
        <is>
          <t>OH</t>
        </is>
      </c>
      <c r="E502" s="16" t="n">
        <v>265000</v>
      </c>
      <c r="F502" s="16" t="n">
        <v>4676.65</v>
      </c>
      <c r="G502" s="16" t="n">
        <v>584.58</v>
      </c>
      <c r="H502" s="16" t="n">
        <v>584.58</v>
      </c>
      <c r="I502" s="16">
        <f>SUM(K502:T502)</f>
        <v/>
      </c>
      <c r="J502" s="16">
        <f>F502-(G502+H502+I502)</f>
        <v/>
      </c>
      <c r="K502" s="16" t="n">
        <v>350.75</v>
      </c>
      <c r="L502" s="16" t="n">
        <v>350.75</v>
      </c>
      <c r="M502" s="16" t="n">
        <v>350.75</v>
      </c>
      <c r="N502" s="16" t="n">
        <v>350.75</v>
      </c>
      <c r="O502" s="16" t="n">
        <v>350.75</v>
      </c>
      <c r="P502" s="16" t="n">
        <v>350.75</v>
      </c>
      <c r="Q502" s="16" t="n">
        <v>350.75</v>
      </c>
      <c r="R502" s="16" t="n">
        <v>350.75</v>
      </c>
      <c r="S502" s="16" t="n">
        <v>350.75</v>
      </c>
      <c r="T502" s="16" t="n">
        <v>350.75</v>
      </c>
      <c r="U502" s="16" t="n">
        <v>350</v>
      </c>
      <c r="V502" s="16" t="n">
        <v>0</v>
      </c>
      <c r="W502" s="16">
        <f>U502+V502</f>
        <v/>
      </c>
    </row>
    <row r="503">
      <c r="A503" s="3" t="inlineStr">
        <is>
          <t>CANON-202601-003732</t>
        </is>
      </c>
      <c r="B503" s="3" t="inlineStr">
        <is>
          <t>2026-01-06</t>
        </is>
      </c>
      <c r="C503" s="3" t="inlineStr">
        <is>
          <t>Aurelio Larsson</t>
        </is>
      </c>
      <c r="D503" s="3" t="inlineStr">
        <is>
          <t>TX</t>
        </is>
      </c>
      <c r="E503" s="14" t="n">
        <v>340000</v>
      </c>
      <c r="F503" s="14" t="n">
        <v>4964.23</v>
      </c>
      <c r="G503" s="14" t="n">
        <v>620.53</v>
      </c>
      <c r="H503" s="14" t="n">
        <v>620.53</v>
      </c>
      <c r="I503" s="14">
        <f>SUM(K503:T503)</f>
        <v/>
      </c>
      <c r="J503" s="14">
        <f>F503-(G503+H503+I503)</f>
        <v/>
      </c>
      <c r="K503" s="14" t="n">
        <v>372.32</v>
      </c>
      <c r="L503" s="14" t="n">
        <v>372.32</v>
      </c>
      <c r="M503" s="14" t="n">
        <v>372.32</v>
      </c>
      <c r="N503" s="14" t="n">
        <v>372.32</v>
      </c>
      <c r="O503" s="14" t="n">
        <v>372.32</v>
      </c>
      <c r="P503" s="14" t="n">
        <v>372.32</v>
      </c>
      <c r="Q503" s="14" t="n">
        <v>372.32</v>
      </c>
      <c r="R503" s="14" t="n">
        <v>372.32</v>
      </c>
      <c r="S503" s="14" t="n">
        <v>372.32</v>
      </c>
      <c r="T503" s="14" t="n">
        <v>372.32</v>
      </c>
      <c r="U503" s="14" t="n">
        <v>350</v>
      </c>
      <c r="V503" s="14" t="n">
        <v>0</v>
      </c>
      <c r="W503" s="14">
        <f>U503+V503</f>
        <v/>
      </c>
    </row>
    <row r="504">
      <c r="A504" s="9" t="inlineStr">
        <is>
          <t>TOTAL</t>
        </is>
      </c>
      <c r="E504" s="10">
        <f>SUM(E5:E503)</f>
        <v/>
      </c>
      <c r="F504" s="10">
        <f>SUM(F5:F503)</f>
        <v/>
      </c>
      <c r="G504" s="10">
        <f>SUM(G5:G503)</f>
        <v/>
      </c>
      <c r="H504" s="10">
        <f>SUM(H5:H503)</f>
        <v/>
      </c>
      <c r="I504" s="10">
        <f>SUM(I5:I503)</f>
        <v/>
      </c>
      <c r="J504" s="10">
        <f>SUM(J5:J503)</f>
        <v/>
      </c>
      <c r="K504" s="10">
        <f>SUM(K5:K503)</f>
        <v/>
      </c>
      <c r="L504" s="10">
        <f>SUM(L5:L503)</f>
        <v/>
      </c>
      <c r="M504" s="10">
        <f>SUM(M5:M503)</f>
        <v/>
      </c>
      <c r="N504" s="10">
        <f>SUM(N5:N503)</f>
        <v/>
      </c>
      <c r="O504" s="10">
        <f>SUM(O5:O503)</f>
        <v/>
      </c>
      <c r="P504" s="10">
        <f>SUM(P5:P503)</f>
        <v/>
      </c>
      <c r="Q504" s="10">
        <f>SUM(Q5:Q503)</f>
        <v/>
      </c>
      <c r="R504" s="10">
        <f>SUM(R5:R503)</f>
        <v/>
      </c>
      <c r="S504" s="10">
        <f>SUM(S5:S503)</f>
        <v/>
      </c>
      <c r="T504" s="10">
        <f>SUM(T5:T503)</f>
        <v/>
      </c>
      <c r="U504" s="10">
        <f>SUM(U5:U503)</f>
        <v/>
      </c>
      <c r="V504" s="10">
        <f>SUM(V5:V503)</f>
        <v/>
      </c>
      <c r="W504" s="10">
        <f>SUM(W5:W503)</f>
        <v/>
      </c>
    </row>
    <row r="505">
      <c r="A505" s="5" t="inlineStr">
        <is>
          <t>Foot check: Premium − (B+T+M+Resid)</t>
        </is>
      </c>
      <c r="F505" s="17">
        <f>F504-(G504+H504+I504+J504)</f>
        <v/>
      </c>
    </row>
    <row r="506">
      <c r="A506" s="5" t="inlineStr">
        <is>
          <t>Foot check: Markets − Σ(10 syndicates)</t>
        </is>
      </c>
      <c r="I506" s="17">
        <f>I504-SUM(K504:T504)</f>
        <v/>
      </c>
    </row>
  </sheetData>
  <autoFilter ref="A4:W503"/>
  <mergeCells count="2">
    <mergeCell ref="A2:W2"/>
    <mergeCell ref="A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W5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2026-02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CANON-202602-003733</t>
        </is>
      </c>
      <c r="B5" s="3" t="inlineStr">
        <is>
          <t>2026-02-26</t>
        </is>
      </c>
      <c r="C5" s="3" t="inlineStr">
        <is>
          <t>Fitzgerald Bellandi</t>
        </is>
      </c>
      <c r="D5" s="3" t="inlineStr">
        <is>
          <t>IA</t>
        </is>
      </c>
      <c r="E5" s="14" t="n">
        <v>550000</v>
      </c>
      <c r="F5" s="14" t="n">
        <v>9534.34</v>
      </c>
      <c r="G5" s="14" t="n">
        <v>1191.79</v>
      </c>
      <c r="H5" s="14" t="n">
        <v>1191.79</v>
      </c>
      <c r="I5" s="14">
        <f>SUM(K5:T5)</f>
        <v/>
      </c>
      <c r="J5" s="14">
        <f>F5-(G5+H5+I5)</f>
        <v/>
      </c>
      <c r="K5" s="14" t="n">
        <v>715.08</v>
      </c>
      <c r="L5" s="14" t="n">
        <v>715.08</v>
      </c>
      <c r="M5" s="14" t="n">
        <v>715.08</v>
      </c>
      <c r="N5" s="14" t="n">
        <v>715.08</v>
      </c>
      <c r="O5" s="14" t="n">
        <v>715.08</v>
      </c>
      <c r="P5" s="14" t="n">
        <v>715.08</v>
      </c>
      <c r="Q5" s="14" t="n">
        <v>715.08</v>
      </c>
      <c r="R5" s="14" t="n">
        <v>715.08</v>
      </c>
      <c r="S5" s="14" t="n">
        <v>715.08</v>
      </c>
      <c r="T5" s="14" t="n">
        <v>715.08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CANON-202602-003734</t>
        </is>
      </c>
      <c r="B6" s="15" t="inlineStr">
        <is>
          <t>2026-02-12</t>
        </is>
      </c>
      <c r="C6" s="15" t="inlineStr">
        <is>
          <t>Everett Castellanos</t>
        </is>
      </c>
      <c r="D6" s="15" t="inlineStr">
        <is>
          <t>OH</t>
        </is>
      </c>
      <c r="E6" s="16" t="n">
        <v>205000</v>
      </c>
      <c r="F6" s="16" t="n">
        <v>4348.79</v>
      </c>
      <c r="G6" s="16" t="n">
        <v>543.6</v>
      </c>
      <c r="H6" s="16" t="n">
        <v>543.6</v>
      </c>
      <c r="I6" s="16">
        <f>SUM(K6:T6)</f>
        <v/>
      </c>
      <c r="J6" s="16">
        <f>F6-(G6+H6+I6)</f>
        <v/>
      </c>
      <c r="K6" s="16" t="n">
        <v>326.16</v>
      </c>
      <c r="L6" s="16" t="n">
        <v>326.16</v>
      </c>
      <c r="M6" s="16" t="n">
        <v>326.16</v>
      </c>
      <c r="N6" s="16" t="n">
        <v>326.16</v>
      </c>
      <c r="O6" s="16" t="n">
        <v>326.16</v>
      </c>
      <c r="P6" s="16" t="n">
        <v>326.16</v>
      </c>
      <c r="Q6" s="16" t="n">
        <v>326.16</v>
      </c>
      <c r="R6" s="16" t="n">
        <v>326.16</v>
      </c>
      <c r="S6" s="16" t="n">
        <v>326.16</v>
      </c>
      <c r="T6" s="16" t="n">
        <v>326.16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CANON-202602-003735</t>
        </is>
      </c>
      <c r="B7" s="3" t="inlineStr">
        <is>
          <t>2026-02-10</t>
        </is>
      </c>
      <c r="C7" s="3" t="inlineStr">
        <is>
          <t>Thaddeus Larsson</t>
        </is>
      </c>
      <c r="D7" s="3" t="inlineStr">
        <is>
          <t>WI</t>
        </is>
      </c>
      <c r="E7" s="14" t="n">
        <v>635000</v>
      </c>
      <c r="F7" s="14" t="n">
        <v>8216.370000000001</v>
      </c>
      <c r="G7" s="14" t="n">
        <v>1027.05</v>
      </c>
      <c r="H7" s="14" t="n">
        <v>1027.05</v>
      </c>
      <c r="I7" s="14">
        <f>SUM(K7:T7)</f>
        <v/>
      </c>
      <c r="J7" s="14">
        <f>F7-(G7+H7+I7)</f>
        <v/>
      </c>
      <c r="K7" s="14" t="n">
        <v>616.23</v>
      </c>
      <c r="L7" s="14" t="n">
        <v>616.23</v>
      </c>
      <c r="M7" s="14" t="n">
        <v>616.23</v>
      </c>
      <c r="N7" s="14" t="n">
        <v>616.23</v>
      </c>
      <c r="O7" s="14" t="n">
        <v>616.23</v>
      </c>
      <c r="P7" s="14" t="n">
        <v>616.23</v>
      </c>
      <c r="Q7" s="14" t="n">
        <v>616.23</v>
      </c>
      <c r="R7" s="14" t="n">
        <v>616.23</v>
      </c>
      <c r="S7" s="14" t="n">
        <v>616.23</v>
      </c>
      <c r="T7" s="14" t="n">
        <v>616.23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CANON-202602-003736</t>
        </is>
      </c>
      <c r="B8" s="15" t="inlineStr">
        <is>
          <t>2026-02-27</t>
        </is>
      </c>
      <c r="C8" s="15" t="inlineStr">
        <is>
          <t>Desmond Farkas</t>
        </is>
      </c>
      <c r="D8" s="15" t="inlineStr">
        <is>
          <t>CA</t>
        </is>
      </c>
      <c r="E8" s="16" t="n">
        <v>415000</v>
      </c>
      <c r="F8" s="16" t="n">
        <v>6970.36</v>
      </c>
      <c r="G8" s="16" t="n">
        <v>871.29</v>
      </c>
      <c r="H8" s="16" t="n">
        <v>871.29</v>
      </c>
      <c r="I8" s="16">
        <f>SUM(K8:T8)</f>
        <v/>
      </c>
      <c r="J8" s="16">
        <f>F8-(G8+H8+I8)</f>
        <v/>
      </c>
      <c r="K8" s="16" t="n">
        <v>522.78</v>
      </c>
      <c r="L8" s="16" t="n">
        <v>522.78</v>
      </c>
      <c r="M8" s="16" t="n">
        <v>522.78</v>
      </c>
      <c r="N8" s="16" t="n">
        <v>522.78</v>
      </c>
      <c r="O8" s="16" t="n">
        <v>522.78</v>
      </c>
      <c r="P8" s="16" t="n">
        <v>522.78</v>
      </c>
      <c r="Q8" s="16" t="n">
        <v>522.78</v>
      </c>
      <c r="R8" s="16" t="n">
        <v>522.78</v>
      </c>
      <c r="S8" s="16" t="n">
        <v>522.78</v>
      </c>
      <c r="T8" s="16" t="n">
        <v>522.78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CANON-202602-003737</t>
        </is>
      </c>
      <c r="B9" s="3" t="inlineStr">
        <is>
          <t>2026-02-11</t>
        </is>
      </c>
      <c r="C9" s="3" t="inlineStr">
        <is>
          <t>Emiliano Thistlewood</t>
        </is>
      </c>
      <c r="D9" s="3" t="inlineStr">
        <is>
          <t>FL</t>
        </is>
      </c>
      <c r="E9" s="14" t="n">
        <v>460000</v>
      </c>
      <c r="F9" s="14" t="n">
        <v>9535.43</v>
      </c>
      <c r="G9" s="14" t="n">
        <v>1191.93</v>
      </c>
      <c r="H9" s="14" t="n">
        <v>1191.93</v>
      </c>
      <c r="I9" s="14">
        <f>SUM(K9:T9)</f>
        <v/>
      </c>
      <c r="J9" s="14">
        <f>F9-(G9+H9+I9)</f>
        <v/>
      </c>
      <c r="K9" s="14" t="n">
        <v>715.16</v>
      </c>
      <c r="L9" s="14" t="n">
        <v>715.16</v>
      </c>
      <c r="M9" s="14" t="n">
        <v>715.16</v>
      </c>
      <c r="N9" s="14" t="n">
        <v>715.16</v>
      </c>
      <c r="O9" s="14" t="n">
        <v>715.16</v>
      </c>
      <c r="P9" s="14" t="n">
        <v>715.16</v>
      </c>
      <c r="Q9" s="14" t="n">
        <v>715.16</v>
      </c>
      <c r="R9" s="14" t="n">
        <v>715.16</v>
      </c>
      <c r="S9" s="14" t="n">
        <v>715.16</v>
      </c>
      <c r="T9" s="14" t="n">
        <v>715.16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CANON-202602-003738</t>
        </is>
      </c>
      <c r="B10" s="15" t="inlineStr">
        <is>
          <t>2026-02-05</t>
        </is>
      </c>
      <c r="C10" s="15" t="inlineStr">
        <is>
          <t>Delphine Whitlock</t>
        </is>
      </c>
      <c r="D10" s="15" t="inlineStr">
        <is>
          <t>HI</t>
        </is>
      </c>
      <c r="E10" s="16" t="n">
        <v>910000</v>
      </c>
      <c r="F10" s="16" t="n">
        <v>8438.49</v>
      </c>
      <c r="G10" s="16" t="n">
        <v>1054.81</v>
      </c>
      <c r="H10" s="16" t="n">
        <v>1054.81</v>
      </c>
      <c r="I10" s="16">
        <f>SUM(K10:T10)</f>
        <v/>
      </c>
      <c r="J10" s="16">
        <f>F10-(G10+H10+I10)</f>
        <v/>
      </c>
      <c r="K10" s="16" t="n">
        <v>632.89</v>
      </c>
      <c r="L10" s="16" t="n">
        <v>632.89</v>
      </c>
      <c r="M10" s="16" t="n">
        <v>632.89</v>
      </c>
      <c r="N10" s="16" t="n">
        <v>632.89</v>
      </c>
      <c r="O10" s="16" t="n">
        <v>632.89</v>
      </c>
      <c r="P10" s="16" t="n">
        <v>632.89</v>
      </c>
      <c r="Q10" s="16" t="n">
        <v>632.89</v>
      </c>
      <c r="R10" s="16" t="n">
        <v>632.89</v>
      </c>
      <c r="S10" s="16" t="n">
        <v>632.89</v>
      </c>
      <c r="T10" s="16" t="n">
        <v>632.89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CANON-202602-003740</t>
        </is>
      </c>
      <c r="B11" s="3" t="inlineStr">
        <is>
          <t>2026-02-05</t>
        </is>
      </c>
      <c r="C11" s="3" t="inlineStr">
        <is>
          <t>Anouk Montoya</t>
        </is>
      </c>
      <c r="D11" s="3" t="inlineStr">
        <is>
          <t>MO</t>
        </is>
      </c>
      <c r="E11" s="14" t="n">
        <v>800000</v>
      </c>
      <c r="F11" s="14" t="n">
        <v>9143.68</v>
      </c>
      <c r="G11" s="14" t="n">
        <v>1142.96</v>
      </c>
      <c r="H11" s="14" t="n">
        <v>1142.96</v>
      </c>
      <c r="I11" s="14">
        <f>SUM(K11:T11)</f>
        <v/>
      </c>
      <c r="J11" s="14">
        <f>F11-(G11+H11+I11)</f>
        <v/>
      </c>
      <c r="K11" s="14" t="n">
        <v>685.78</v>
      </c>
      <c r="L11" s="14" t="n">
        <v>685.78</v>
      </c>
      <c r="M11" s="14" t="n">
        <v>685.78</v>
      </c>
      <c r="N11" s="14" t="n">
        <v>685.78</v>
      </c>
      <c r="O11" s="14" t="n">
        <v>685.78</v>
      </c>
      <c r="P11" s="14" t="n">
        <v>685.78</v>
      </c>
      <c r="Q11" s="14" t="n">
        <v>685.78</v>
      </c>
      <c r="R11" s="14" t="n">
        <v>685.78</v>
      </c>
      <c r="S11" s="14" t="n">
        <v>685.78</v>
      </c>
      <c r="T11" s="14" t="n">
        <v>685.78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CANON-202602-003741</t>
        </is>
      </c>
      <c r="B12" s="15" t="inlineStr">
        <is>
          <t>2026-02-11</t>
        </is>
      </c>
      <c r="C12" s="15" t="inlineStr">
        <is>
          <t>Priya Underwood</t>
        </is>
      </c>
      <c r="D12" s="15" t="inlineStr">
        <is>
          <t>KS</t>
        </is>
      </c>
      <c r="E12" s="16" t="n">
        <v>500000</v>
      </c>
      <c r="F12" s="16" t="n">
        <v>5229.58</v>
      </c>
      <c r="G12" s="16" t="n">
        <v>653.7</v>
      </c>
      <c r="H12" s="16" t="n">
        <v>653.7</v>
      </c>
      <c r="I12" s="16">
        <f>SUM(K12:T12)</f>
        <v/>
      </c>
      <c r="J12" s="16">
        <f>F12-(G12+H12+I12)</f>
        <v/>
      </c>
      <c r="K12" s="16" t="n">
        <v>392.22</v>
      </c>
      <c r="L12" s="16" t="n">
        <v>392.22</v>
      </c>
      <c r="M12" s="16" t="n">
        <v>392.22</v>
      </c>
      <c r="N12" s="16" t="n">
        <v>392.22</v>
      </c>
      <c r="O12" s="16" t="n">
        <v>392.22</v>
      </c>
      <c r="P12" s="16" t="n">
        <v>392.22</v>
      </c>
      <c r="Q12" s="16" t="n">
        <v>392.22</v>
      </c>
      <c r="R12" s="16" t="n">
        <v>392.22</v>
      </c>
      <c r="S12" s="16" t="n">
        <v>392.22</v>
      </c>
      <c r="T12" s="16" t="n">
        <v>392.22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CANON-202602-003744</t>
        </is>
      </c>
      <c r="B13" s="3" t="inlineStr">
        <is>
          <t>2026-02-01</t>
        </is>
      </c>
      <c r="C13" s="3" t="inlineStr">
        <is>
          <t>Desmond Pennington</t>
        </is>
      </c>
      <c r="D13" s="3" t="inlineStr">
        <is>
          <t>TX</t>
        </is>
      </c>
      <c r="E13" s="14" t="n">
        <v>970000</v>
      </c>
      <c r="F13" s="14" t="n">
        <v>12028.04</v>
      </c>
      <c r="G13" s="14" t="n">
        <v>1503.51</v>
      </c>
      <c r="H13" s="14" t="n">
        <v>1503.51</v>
      </c>
      <c r="I13" s="14">
        <f>SUM(K13:T13)</f>
        <v/>
      </c>
      <c r="J13" s="14">
        <f>F13-(G13+H13+I13)</f>
        <v/>
      </c>
      <c r="K13" s="14" t="n">
        <v>902.1</v>
      </c>
      <c r="L13" s="14" t="n">
        <v>902.1</v>
      </c>
      <c r="M13" s="14" t="n">
        <v>902.1</v>
      </c>
      <c r="N13" s="14" t="n">
        <v>902.1</v>
      </c>
      <c r="O13" s="14" t="n">
        <v>902.1</v>
      </c>
      <c r="P13" s="14" t="n">
        <v>902.1</v>
      </c>
      <c r="Q13" s="14" t="n">
        <v>902.1</v>
      </c>
      <c r="R13" s="14" t="n">
        <v>902.1</v>
      </c>
      <c r="S13" s="14" t="n">
        <v>902.1</v>
      </c>
      <c r="T13" s="14" t="n">
        <v>902.1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CANON-202602-003746</t>
        </is>
      </c>
      <c r="B14" s="15" t="inlineStr">
        <is>
          <t>2026-02-06</t>
        </is>
      </c>
      <c r="C14" s="15" t="inlineStr">
        <is>
          <t>Priya Underwood</t>
        </is>
      </c>
      <c r="D14" s="15" t="inlineStr">
        <is>
          <t>WA</t>
        </is>
      </c>
      <c r="E14" s="16" t="n">
        <v>785000</v>
      </c>
      <c r="F14" s="16" t="n">
        <v>5375.53</v>
      </c>
      <c r="G14" s="16" t="n">
        <v>671.9400000000001</v>
      </c>
      <c r="H14" s="16" t="n">
        <v>671.9400000000001</v>
      </c>
      <c r="I14" s="16">
        <f>SUM(K14:T14)</f>
        <v/>
      </c>
      <c r="J14" s="16">
        <f>F14-(G14+H14+I14)</f>
        <v/>
      </c>
      <c r="K14" s="16" t="n">
        <v>403.16</v>
      </c>
      <c r="L14" s="16" t="n">
        <v>403.16</v>
      </c>
      <c r="M14" s="16" t="n">
        <v>403.16</v>
      </c>
      <c r="N14" s="16" t="n">
        <v>403.16</v>
      </c>
      <c r="O14" s="16" t="n">
        <v>403.16</v>
      </c>
      <c r="P14" s="16" t="n">
        <v>403.16</v>
      </c>
      <c r="Q14" s="16" t="n">
        <v>403.16</v>
      </c>
      <c r="R14" s="16" t="n">
        <v>403.16</v>
      </c>
      <c r="S14" s="16" t="n">
        <v>403.16</v>
      </c>
      <c r="T14" s="16" t="n">
        <v>403.16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CANON-202602-003748</t>
        </is>
      </c>
      <c r="B15" s="3" t="inlineStr">
        <is>
          <t>2026-02-23</t>
        </is>
      </c>
      <c r="C15" s="3" t="inlineStr">
        <is>
          <t>Everett Ashcombe</t>
        </is>
      </c>
      <c r="D15" s="3" t="inlineStr">
        <is>
          <t>MT</t>
        </is>
      </c>
      <c r="E15" s="14" t="n">
        <v>830000</v>
      </c>
      <c r="F15" s="14" t="n">
        <v>12164.56</v>
      </c>
      <c r="G15" s="14" t="n">
        <v>1520.57</v>
      </c>
      <c r="H15" s="14" t="n">
        <v>1520.57</v>
      </c>
      <c r="I15" s="14">
        <f>SUM(K15:T15)</f>
        <v/>
      </c>
      <c r="J15" s="14">
        <f>F15-(G15+H15+I15)</f>
        <v/>
      </c>
      <c r="K15" s="14" t="n">
        <v>912.34</v>
      </c>
      <c r="L15" s="14" t="n">
        <v>912.34</v>
      </c>
      <c r="M15" s="14" t="n">
        <v>912.34</v>
      </c>
      <c r="N15" s="14" t="n">
        <v>912.34</v>
      </c>
      <c r="O15" s="14" t="n">
        <v>912.34</v>
      </c>
      <c r="P15" s="14" t="n">
        <v>912.34</v>
      </c>
      <c r="Q15" s="14" t="n">
        <v>912.34</v>
      </c>
      <c r="R15" s="14" t="n">
        <v>912.34</v>
      </c>
      <c r="S15" s="14" t="n">
        <v>912.34</v>
      </c>
      <c r="T15" s="14" t="n">
        <v>912.34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CANON-202602-003749</t>
        </is>
      </c>
      <c r="B16" s="15" t="inlineStr">
        <is>
          <t>2026-02-22</t>
        </is>
      </c>
      <c r="C16" s="15" t="inlineStr">
        <is>
          <t>Sunniva Harrington</t>
        </is>
      </c>
      <c r="D16" s="15" t="inlineStr">
        <is>
          <t>NJ</t>
        </is>
      </c>
      <c r="E16" s="16" t="n">
        <v>940000</v>
      </c>
      <c r="F16" s="16" t="n">
        <v>11068.17</v>
      </c>
      <c r="G16" s="16" t="n">
        <v>1383.52</v>
      </c>
      <c r="H16" s="16" t="n">
        <v>1383.52</v>
      </c>
      <c r="I16" s="16">
        <f>SUM(K16:T16)</f>
        <v/>
      </c>
      <c r="J16" s="16">
        <f>F16-(G16+H16+I16)</f>
        <v/>
      </c>
      <c r="K16" s="16" t="n">
        <v>830.11</v>
      </c>
      <c r="L16" s="16" t="n">
        <v>830.11</v>
      </c>
      <c r="M16" s="16" t="n">
        <v>830.11</v>
      </c>
      <c r="N16" s="16" t="n">
        <v>830.11</v>
      </c>
      <c r="O16" s="16" t="n">
        <v>830.11</v>
      </c>
      <c r="P16" s="16" t="n">
        <v>830.11</v>
      </c>
      <c r="Q16" s="16" t="n">
        <v>830.11</v>
      </c>
      <c r="R16" s="16" t="n">
        <v>830.11</v>
      </c>
      <c r="S16" s="16" t="n">
        <v>830.11</v>
      </c>
      <c r="T16" s="16" t="n">
        <v>830.11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CANON-202602-003750</t>
        </is>
      </c>
      <c r="B17" s="3" t="inlineStr">
        <is>
          <t>2026-02-26</t>
        </is>
      </c>
      <c r="C17" s="3" t="inlineStr">
        <is>
          <t>Lorenzo Vandermeer</t>
        </is>
      </c>
      <c r="D17" s="3" t="inlineStr">
        <is>
          <t>CT</t>
        </is>
      </c>
      <c r="E17" s="14" t="n">
        <v>335000</v>
      </c>
      <c r="F17" s="14" t="n">
        <v>2987.56</v>
      </c>
      <c r="G17" s="14" t="n">
        <v>373.44</v>
      </c>
      <c r="H17" s="14" t="n">
        <v>373.44</v>
      </c>
      <c r="I17" s="14">
        <f>SUM(K17:T17)</f>
        <v/>
      </c>
      <c r="J17" s="14">
        <f>F17-(G17+H17+I17)</f>
        <v/>
      </c>
      <c r="K17" s="14" t="n">
        <v>224.07</v>
      </c>
      <c r="L17" s="14" t="n">
        <v>224.07</v>
      </c>
      <c r="M17" s="14" t="n">
        <v>224.07</v>
      </c>
      <c r="N17" s="14" t="n">
        <v>224.07</v>
      </c>
      <c r="O17" s="14" t="n">
        <v>224.07</v>
      </c>
      <c r="P17" s="14" t="n">
        <v>224.07</v>
      </c>
      <c r="Q17" s="14" t="n">
        <v>224.07</v>
      </c>
      <c r="R17" s="14" t="n">
        <v>224.07</v>
      </c>
      <c r="S17" s="14" t="n">
        <v>224.07</v>
      </c>
      <c r="T17" s="14" t="n">
        <v>224.07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CANON-202602-003751</t>
        </is>
      </c>
      <c r="B18" s="15" t="inlineStr">
        <is>
          <t>2026-02-14</t>
        </is>
      </c>
      <c r="C18" s="15" t="inlineStr">
        <is>
          <t>Beatrix Thistlewood</t>
        </is>
      </c>
      <c r="D18" s="15" t="inlineStr">
        <is>
          <t>KS</t>
        </is>
      </c>
      <c r="E18" s="16" t="n">
        <v>500000</v>
      </c>
      <c r="F18" s="16" t="n">
        <v>3459.57</v>
      </c>
      <c r="G18" s="16" t="n">
        <v>432.45</v>
      </c>
      <c r="H18" s="16" t="n">
        <v>432.45</v>
      </c>
      <c r="I18" s="16">
        <f>SUM(K18:T18)</f>
        <v/>
      </c>
      <c r="J18" s="16">
        <f>F18-(G18+H18+I18)</f>
        <v/>
      </c>
      <c r="K18" s="16" t="n">
        <v>259.47</v>
      </c>
      <c r="L18" s="16" t="n">
        <v>259.47</v>
      </c>
      <c r="M18" s="16" t="n">
        <v>259.47</v>
      </c>
      <c r="N18" s="16" t="n">
        <v>259.47</v>
      </c>
      <c r="O18" s="16" t="n">
        <v>259.47</v>
      </c>
      <c r="P18" s="16" t="n">
        <v>259.47</v>
      </c>
      <c r="Q18" s="16" t="n">
        <v>259.47</v>
      </c>
      <c r="R18" s="16" t="n">
        <v>259.47</v>
      </c>
      <c r="S18" s="16" t="n">
        <v>259.47</v>
      </c>
      <c r="T18" s="16" t="n">
        <v>259.47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CANON-202602-003752</t>
        </is>
      </c>
      <c r="B19" s="3" t="inlineStr">
        <is>
          <t>2026-02-27</t>
        </is>
      </c>
      <c r="C19" s="3" t="inlineStr">
        <is>
          <t>Everett Vandermeer</t>
        </is>
      </c>
      <c r="D19" s="3" t="inlineStr">
        <is>
          <t>NC</t>
        </is>
      </c>
      <c r="E19" s="14" t="n">
        <v>615000</v>
      </c>
      <c r="F19" s="14" t="n">
        <v>11145.72</v>
      </c>
      <c r="G19" s="14" t="n">
        <v>1393.21</v>
      </c>
      <c r="H19" s="14" t="n">
        <v>1393.21</v>
      </c>
      <c r="I19" s="14">
        <f>SUM(K19:T19)</f>
        <v/>
      </c>
      <c r="J19" s="14">
        <f>F19-(G19+H19+I19)</f>
        <v/>
      </c>
      <c r="K19" s="14" t="n">
        <v>835.9299999999999</v>
      </c>
      <c r="L19" s="14" t="n">
        <v>835.9299999999999</v>
      </c>
      <c r="M19" s="14" t="n">
        <v>835.9299999999999</v>
      </c>
      <c r="N19" s="14" t="n">
        <v>835.9299999999999</v>
      </c>
      <c r="O19" s="14" t="n">
        <v>835.9299999999999</v>
      </c>
      <c r="P19" s="14" t="n">
        <v>835.9299999999999</v>
      </c>
      <c r="Q19" s="14" t="n">
        <v>835.9299999999999</v>
      </c>
      <c r="R19" s="14" t="n">
        <v>835.9299999999999</v>
      </c>
      <c r="S19" s="14" t="n">
        <v>835.9299999999999</v>
      </c>
      <c r="T19" s="14" t="n">
        <v>835.9299999999999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CANON-202602-003753</t>
        </is>
      </c>
      <c r="B20" s="15" t="inlineStr">
        <is>
          <t>2026-02-16</t>
        </is>
      </c>
      <c r="C20" s="15" t="inlineStr">
        <is>
          <t>Horace Kingsford</t>
        </is>
      </c>
      <c r="D20" s="15" t="inlineStr">
        <is>
          <t>NE</t>
        </is>
      </c>
      <c r="E20" s="16" t="n">
        <v>355000</v>
      </c>
      <c r="F20" s="16" t="n">
        <v>3674.72</v>
      </c>
      <c r="G20" s="16" t="n">
        <v>459.34</v>
      </c>
      <c r="H20" s="16" t="n">
        <v>459.34</v>
      </c>
      <c r="I20" s="16">
        <f>SUM(K20:T20)</f>
        <v/>
      </c>
      <c r="J20" s="16">
        <f>F20-(G20+H20+I20)</f>
        <v/>
      </c>
      <c r="K20" s="16" t="n">
        <v>275.6</v>
      </c>
      <c r="L20" s="16" t="n">
        <v>275.6</v>
      </c>
      <c r="M20" s="16" t="n">
        <v>275.6</v>
      </c>
      <c r="N20" s="16" t="n">
        <v>275.6</v>
      </c>
      <c r="O20" s="16" t="n">
        <v>275.6</v>
      </c>
      <c r="P20" s="16" t="n">
        <v>275.6</v>
      </c>
      <c r="Q20" s="16" t="n">
        <v>275.6</v>
      </c>
      <c r="R20" s="16" t="n">
        <v>275.6</v>
      </c>
      <c r="S20" s="16" t="n">
        <v>275.6</v>
      </c>
      <c r="T20" s="16" t="n">
        <v>275.6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CANON-202602-003754</t>
        </is>
      </c>
      <c r="B21" s="3" t="inlineStr">
        <is>
          <t>2026-02-01</t>
        </is>
      </c>
      <c r="C21" s="3" t="inlineStr">
        <is>
          <t>Anouk Kingsford</t>
        </is>
      </c>
      <c r="D21" s="3" t="inlineStr">
        <is>
          <t>PA</t>
        </is>
      </c>
      <c r="E21" s="14" t="n">
        <v>1000000</v>
      </c>
      <c r="F21" s="14" t="n">
        <v>9123.77</v>
      </c>
      <c r="G21" s="14" t="n">
        <v>1140.47</v>
      </c>
      <c r="H21" s="14" t="n">
        <v>1140.47</v>
      </c>
      <c r="I21" s="14">
        <f>SUM(K21:T21)</f>
        <v/>
      </c>
      <c r="J21" s="14">
        <f>F21-(G21+H21+I21)</f>
        <v/>
      </c>
      <c r="K21" s="14" t="n">
        <v>684.28</v>
      </c>
      <c r="L21" s="14" t="n">
        <v>684.28</v>
      </c>
      <c r="M21" s="14" t="n">
        <v>684.28</v>
      </c>
      <c r="N21" s="14" t="n">
        <v>684.28</v>
      </c>
      <c r="O21" s="14" t="n">
        <v>684.28</v>
      </c>
      <c r="P21" s="14" t="n">
        <v>684.28</v>
      </c>
      <c r="Q21" s="14" t="n">
        <v>684.28</v>
      </c>
      <c r="R21" s="14" t="n">
        <v>684.28</v>
      </c>
      <c r="S21" s="14" t="n">
        <v>684.28</v>
      </c>
      <c r="T21" s="14" t="n">
        <v>684.28</v>
      </c>
      <c r="U21" s="14" t="n">
        <v>350</v>
      </c>
      <c r="V21" s="14" t="n">
        <v>250</v>
      </c>
      <c r="W21" s="14">
        <f>U21+V21</f>
        <v/>
      </c>
    </row>
    <row r="22">
      <c r="A22" s="15" t="inlineStr">
        <is>
          <t>CANON-202602-003756</t>
        </is>
      </c>
      <c r="B22" s="15" t="inlineStr">
        <is>
          <t>2026-02-07</t>
        </is>
      </c>
      <c r="C22" s="15" t="inlineStr">
        <is>
          <t>Mireille Blackwood</t>
        </is>
      </c>
      <c r="D22" s="15" t="inlineStr">
        <is>
          <t>TX</t>
        </is>
      </c>
      <c r="E22" s="16" t="n">
        <v>470000</v>
      </c>
      <c r="F22" s="16" t="n">
        <v>4303.76</v>
      </c>
      <c r="G22" s="16" t="n">
        <v>537.97</v>
      </c>
      <c r="H22" s="16" t="n">
        <v>537.97</v>
      </c>
      <c r="I22" s="16">
        <f>SUM(K22:T22)</f>
        <v/>
      </c>
      <c r="J22" s="16">
        <f>F22-(G22+H22+I22)</f>
        <v/>
      </c>
      <c r="K22" s="16" t="n">
        <v>322.78</v>
      </c>
      <c r="L22" s="16" t="n">
        <v>322.78</v>
      </c>
      <c r="M22" s="16" t="n">
        <v>322.78</v>
      </c>
      <c r="N22" s="16" t="n">
        <v>322.78</v>
      </c>
      <c r="O22" s="16" t="n">
        <v>322.78</v>
      </c>
      <c r="P22" s="16" t="n">
        <v>322.78</v>
      </c>
      <c r="Q22" s="16" t="n">
        <v>322.78</v>
      </c>
      <c r="R22" s="16" t="n">
        <v>322.78</v>
      </c>
      <c r="S22" s="16" t="n">
        <v>322.78</v>
      </c>
      <c r="T22" s="16" t="n">
        <v>322.78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CANON-202602-003757</t>
        </is>
      </c>
      <c r="B23" s="3" t="inlineStr">
        <is>
          <t>2026-02-04</t>
        </is>
      </c>
      <c r="C23" s="3" t="inlineStr">
        <is>
          <t>Saoirse Castellanos</t>
        </is>
      </c>
      <c r="D23" s="3" t="inlineStr">
        <is>
          <t>PA</t>
        </is>
      </c>
      <c r="E23" s="14" t="n">
        <v>430000</v>
      </c>
      <c r="F23" s="14" t="n">
        <v>5349.85</v>
      </c>
      <c r="G23" s="14" t="n">
        <v>668.73</v>
      </c>
      <c r="H23" s="14" t="n">
        <v>668.73</v>
      </c>
      <c r="I23" s="14">
        <f>SUM(K23:T23)</f>
        <v/>
      </c>
      <c r="J23" s="14">
        <f>F23-(G23+H23+I23)</f>
        <v/>
      </c>
      <c r="K23" s="14" t="n">
        <v>401.24</v>
      </c>
      <c r="L23" s="14" t="n">
        <v>401.24</v>
      </c>
      <c r="M23" s="14" t="n">
        <v>401.24</v>
      </c>
      <c r="N23" s="14" t="n">
        <v>401.24</v>
      </c>
      <c r="O23" s="14" t="n">
        <v>401.24</v>
      </c>
      <c r="P23" s="14" t="n">
        <v>401.24</v>
      </c>
      <c r="Q23" s="14" t="n">
        <v>401.24</v>
      </c>
      <c r="R23" s="14" t="n">
        <v>401.24</v>
      </c>
      <c r="S23" s="14" t="n">
        <v>401.24</v>
      </c>
      <c r="T23" s="14" t="n">
        <v>401.24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CANON-202602-003759</t>
        </is>
      </c>
      <c r="B24" s="15" t="inlineStr">
        <is>
          <t>2026-02-15</t>
        </is>
      </c>
      <c r="C24" s="15" t="inlineStr">
        <is>
          <t>Fenwick Okonkwo</t>
        </is>
      </c>
      <c r="D24" s="15" t="inlineStr">
        <is>
          <t>GA</t>
        </is>
      </c>
      <c r="E24" s="16" t="n">
        <v>380000</v>
      </c>
      <c r="F24" s="16" t="n">
        <v>5295.11</v>
      </c>
      <c r="G24" s="16" t="n">
        <v>661.89</v>
      </c>
      <c r="H24" s="16" t="n">
        <v>661.89</v>
      </c>
      <c r="I24" s="16">
        <f>SUM(K24:T24)</f>
        <v/>
      </c>
      <c r="J24" s="16">
        <f>F24-(G24+H24+I24)</f>
        <v/>
      </c>
      <c r="K24" s="16" t="n">
        <v>397.13</v>
      </c>
      <c r="L24" s="16" t="n">
        <v>397.13</v>
      </c>
      <c r="M24" s="16" t="n">
        <v>397.13</v>
      </c>
      <c r="N24" s="16" t="n">
        <v>397.13</v>
      </c>
      <c r="O24" s="16" t="n">
        <v>397.13</v>
      </c>
      <c r="P24" s="16" t="n">
        <v>397.13</v>
      </c>
      <c r="Q24" s="16" t="n">
        <v>397.13</v>
      </c>
      <c r="R24" s="16" t="n">
        <v>397.13</v>
      </c>
      <c r="S24" s="16" t="n">
        <v>397.13</v>
      </c>
      <c r="T24" s="16" t="n">
        <v>397.13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CANON-202602-003760</t>
        </is>
      </c>
      <c r="B25" s="3" t="inlineStr">
        <is>
          <t>2026-02-26</t>
        </is>
      </c>
      <c r="C25" s="3" t="inlineStr">
        <is>
          <t>Beatrix Pennington</t>
        </is>
      </c>
      <c r="D25" s="3" t="inlineStr">
        <is>
          <t>FL</t>
        </is>
      </c>
      <c r="E25" s="14" t="n">
        <v>1905000</v>
      </c>
      <c r="F25" s="14" t="n">
        <v>24680.72</v>
      </c>
      <c r="G25" s="14" t="n">
        <v>3085.09</v>
      </c>
      <c r="H25" s="14" t="n">
        <v>3085.09</v>
      </c>
      <c r="I25" s="14">
        <f>SUM(K25:T25)</f>
        <v/>
      </c>
      <c r="J25" s="14">
        <f>F25-(G25+H25+I25)</f>
        <v/>
      </c>
      <c r="K25" s="14" t="n">
        <v>1851.05</v>
      </c>
      <c r="L25" s="14" t="n">
        <v>1851.05</v>
      </c>
      <c r="M25" s="14" t="n">
        <v>1851.05</v>
      </c>
      <c r="N25" s="14" t="n">
        <v>1851.05</v>
      </c>
      <c r="O25" s="14" t="n">
        <v>1851.05</v>
      </c>
      <c r="P25" s="14" t="n">
        <v>1851.05</v>
      </c>
      <c r="Q25" s="14" t="n">
        <v>1851.05</v>
      </c>
      <c r="R25" s="14" t="n">
        <v>1851.05</v>
      </c>
      <c r="S25" s="14" t="n">
        <v>1851.05</v>
      </c>
      <c r="T25" s="14" t="n">
        <v>1851.05</v>
      </c>
      <c r="U25" s="14" t="n">
        <v>350</v>
      </c>
      <c r="V25" s="14" t="n">
        <v>250</v>
      </c>
      <c r="W25" s="14">
        <f>U25+V25</f>
        <v/>
      </c>
    </row>
    <row r="26">
      <c r="A26" s="15" t="inlineStr">
        <is>
          <t>CANON-202602-003761</t>
        </is>
      </c>
      <c r="B26" s="15" t="inlineStr">
        <is>
          <t>2026-02-19</t>
        </is>
      </c>
      <c r="C26" s="15" t="inlineStr">
        <is>
          <t>Aurelio Thistlewood</t>
        </is>
      </c>
      <c r="D26" s="15" t="inlineStr">
        <is>
          <t>CA</t>
        </is>
      </c>
      <c r="E26" s="16" t="n">
        <v>1160000</v>
      </c>
      <c r="F26" s="16" t="n">
        <v>9871.59</v>
      </c>
      <c r="G26" s="16" t="n">
        <v>1233.95</v>
      </c>
      <c r="H26" s="16" t="n">
        <v>1233.95</v>
      </c>
      <c r="I26" s="16">
        <f>SUM(K26:T26)</f>
        <v/>
      </c>
      <c r="J26" s="16">
        <f>F26-(G26+H26+I26)</f>
        <v/>
      </c>
      <c r="K26" s="16" t="n">
        <v>740.37</v>
      </c>
      <c r="L26" s="16" t="n">
        <v>740.37</v>
      </c>
      <c r="M26" s="16" t="n">
        <v>740.37</v>
      </c>
      <c r="N26" s="16" t="n">
        <v>740.37</v>
      </c>
      <c r="O26" s="16" t="n">
        <v>740.37</v>
      </c>
      <c r="P26" s="16" t="n">
        <v>740.37</v>
      </c>
      <c r="Q26" s="16" t="n">
        <v>740.37</v>
      </c>
      <c r="R26" s="16" t="n">
        <v>740.37</v>
      </c>
      <c r="S26" s="16" t="n">
        <v>740.37</v>
      </c>
      <c r="T26" s="16" t="n">
        <v>740.37</v>
      </c>
      <c r="U26" s="16" t="n">
        <v>350</v>
      </c>
      <c r="V26" s="16" t="n">
        <v>250</v>
      </c>
      <c r="W26" s="16">
        <f>U26+V26</f>
        <v/>
      </c>
    </row>
    <row r="27">
      <c r="A27" s="3" t="inlineStr">
        <is>
          <t>CANON-202602-003762</t>
        </is>
      </c>
      <c r="B27" s="3" t="inlineStr">
        <is>
          <t>2026-02-24</t>
        </is>
      </c>
      <c r="C27" s="3" t="inlineStr">
        <is>
          <t>Leopold Farkas</t>
        </is>
      </c>
      <c r="D27" s="3" t="inlineStr">
        <is>
          <t>WA</t>
        </is>
      </c>
      <c r="E27" s="14" t="n">
        <v>1950000</v>
      </c>
      <c r="F27" s="14" t="n">
        <v>10558.37</v>
      </c>
      <c r="G27" s="14" t="n">
        <v>1319.8</v>
      </c>
      <c r="H27" s="14" t="n">
        <v>1319.8</v>
      </c>
      <c r="I27" s="14">
        <f>SUM(K27:T27)</f>
        <v/>
      </c>
      <c r="J27" s="14">
        <f>F27-(G27+H27+I27)</f>
        <v/>
      </c>
      <c r="K27" s="14" t="n">
        <v>791.88</v>
      </c>
      <c r="L27" s="14" t="n">
        <v>791.88</v>
      </c>
      <c r="M27" s="14" t="n">
        <v>791.88</v>
      </c>
      <c r="N27" s="14" t="n">
        <v>791.88</v>
      </c>
      <c r="O27" s="14" t="n">
        <v>791.88</v>
      </c>
      <c r="P27" s="14" t="n">
        <v>791.88</v>
      </c>
      <c r="Q27" s="14" t="n">
        <v>791.88</v>
      </c>
      <c r="R27" s="14" t="n">
        <v>791.88</v>
      </c>
      <c r="S27" s="14" t="n">
        <v>791.88</v>
      </c>
      <c r="T27" s="14" t="n">
        <v>791.88</v>
      </c>
      <c r="U27" s="14" t="n">
        <v>350</v>
      </c>
      <c r="V27" s="14" t="n">
        <v>250</v>
      </c>
      <c r="W27" s="14">
        <f>U27+V27</f>
        <v/>
      </c>
    </row>
    <row r="28">
      <c r="A28" s="15" t="inlineStr">
        <is>
          <t>CANON-202602-003763</t>
        </is>
      </c>
      <c r="B28" s="15" t="inlineStr">
        <is>
          <t>2026-02-11</t>
        </is>
      </c>
      <c r="C28" s="15" t="inlineStr">
        <is>
          <t>Beatrix Underwood</t>
        </is>
      </c>
      <c r="D28" s="15" t="inlineStr">
        <is>
          <t>CT</t>
        </is>
      </c>
      <c r="E28" s="16" t="n">
        <v>770000</v>
      </c>
      <c r="F28" s="16" t="n">
        <v>13590.77</v>
      </c>
      <c r="G28" s="16" t="n">
        <v>1698.85</v>
      </c>
      <c r="H28" s="16" t="n">
        <v>1698.85</v>
      </c>
      <c r="I28" s="16">
        <f>SUM(K28:T28)</f>
        <v/>
      </c>
      <c r="J28" s="16">
        <f>F28-(G28+H28+I28)</f>
        <v/>
      </c>
      <c r="K28" s="16" t="n">
        <v>1019.31</v>
      </c>
      <c r="L28" s="16" t="n">
        <v>1019.31</v>
      </c>
      <c r="M28" s="16" t="n">
        <v>1019.31</v>
      </c>
      <c r="N28" s="16" t="n">
        <v>1019.31</v>
      </c>
      <c r="O28" s="16" t="n">
        <v>1019.31</v>
      </c>
      <c r="P28" s="16" t="n">
        <v>1019.31</v>
      </c>
      <c r="Q28" s="16" t="n">
        <v>1019.31</v>
      </c>
      <c r="R28" s="16" t="n">
        <v>1019.31</v>
      </c>
      <c r="S28" s="16" t="n">
        <v>1019.31</v>
      </c>
      <c r="T28" s="16" t="n">
        <v>1019.31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CANON-202602-003764</t>
        </is>
      </c>
      <c r="B29" s="3" t="inlineStr">
        <is>
          <t>2026-02-17</t>
        </is>
      </c>
      <c r="C29" s="3" t="inlineStr">
        <is>
          <t>Leopold Farkas</t>
        </is>
      </c>
      <c r="D29" s="3" t="inlineStr">
        <is>
          <t>TX</t>
        </is>
      </c>
      <c r="E29" s="14" t="n">
        <v>1635000</v>
      </c>
      <c r="F29" s="14" t="n">
        <v>24952.69</v>
      </c>
      <c r="G29" s="14" t="n">
        <v>3119.09</v>
      </c>
      <c r="H29" s="14" t="n">
        <v>3119.09</v>
      </c>
      <c r="I29" s="14">
        <f>SUM(K29:T29)</f>
        <v/>
      </c>
      <c r="J29" s="14">
        <f>F29-(G29+H29+I29)</f>
        <v/>
      </c>
      <c r="K29" s="14" t="n">
        <v>1871.45</v>
      </c>
      <c r="L29" s="14" t="n">
        <v>1871.45</v>
      </c>
      <c r="M29" s="14" t="n">
        <v>1871.45</v>
      </c>
      <c r="N29" s="14" t="n">
        <v>1871.45</v>
      </c>
      <c r="O29" s="14" t="n">
        <v>1871.45</v>
      </c>
      <c r="P29" s="14" t="n">
        <v>1871.45</v>
      </c>
      <c r="Q29" s="14" t="n">
        <v>1871.45</v>
      </c>
      <c r="R29" s="14" t="n">
        <v>1871.45</v>
      </c>
      <c r="S29" s="14" t="n">
        <v>1871.45</v>
      </c>
      <c r="T29" s="14" t="n">
        <v>1871.45</v>
      </c>
      <c r="U29" s="14" t="n">
        <v>350</v>
      </c>
      <c r="V29" s="14" t="n">
        <v>250</v>
      </c>
      <c r="W29" s="14">
        <f>U29+V29</f>
        <v/>
      </c>
    </row>
    <row r="30">
      <c r="A30" s="15" t="inlineStr">
        <is>
          <t>CANON-202602-003765</t>
        </is>
      </c>
      <c r="B30" s="15" t="inlineStr">
        <is>
          <t>2026-02-03</t>
        </is>
      </c>
      <c r="C30" s="15" t="inlineStr">
        <is>
          <t>Cassius Fairweather</t>
        </is>
      </c>
      <c r="D30" s="15" t="inlineStr">
        <is>
          <t>WV</t>
        </is>
      </c>
      <c r="E30" s="16" t="n">
        <v>655000</v>
      </c>
      <c r="F30" s="16" t="n">
        <v>9393.299999999999</v>
      </c>
      <c r="G30" s="16" t="n">
        <v>1174.16</v>
      </c>
      <c r="H30" s="16" t="n">
        <v>1174.16</v>
      </c>
      <c r="I30" s="16">
        <f>SUM(K30:T30)</f>
        <v/>
      </c>
      <c r="J30" s="16">
        <f>F30-(G30+H30+I30)</f>
        <v/>
      </c>
      <c r="K30" s="16" t="n">
        <v>704.5</v>
      </c>
      <c r="L30" s="16" t="n">
        <v>704.5</v>
      </c>
      <c r="M30" s="16" t="n">
        <v>704.5</v>
      </c>
      <c r="N30" s="16" t="n">
        <v>704.5</v>
      </c>
      <c r="O30" s="16" t="n">
        <v>704.5</v>
      </c>
      <c r="P30" s="16" t="n">
        <v>704.5</v>
      </c>
      <c r="Q30" s="16" t="n">
        <v>704.5</v>
      </c>
      <c r="R30" s="16" t="n">
        <v>704.5</v>
      </c>
      <c r="S30" s="16" t="n">
        <v>704.5</v>
      </c>
      <c r="T30" s="16" t="n">
        <v>704.5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CANON-202602-003766</t>
        </is>
      </c>
      <c r="B31" s="3" t="inlineStr">
        <is>
          <t>2026-02-03</t>
        </is>
      </c>
      <c r="C31" s="3" t="inlineStr">
        <is>
          <t>Emiliano Okonkwo</t>
        </is>
      </c>
      <c r="D31" s="3" t="inlineStr">
        <is>
          <t>AK</t>
        </is>
      </c>
      <c r="E31" s="14" t="n">
        <v>205000</v>
      </c>
      <c r="F31" s="14" t="n">
        <v>3566.63</v>
      </c>
      <c r="G31" s="14" t="n">
        <v>445.83</v>
      </c>
      <c r="H31" s="14" t="n">
        <v>445.83</v>
      </c>
      <c r="I31" s="14">
        <f>SUM(K31:T31)</f>
        <v/>
      </c>
      <c r="J31" s="14">
        <f>F31-(G31+H31+I31)</f>
        <v/>
      </c>
      <c r="K31" s="14" t="n">
        <v>267.5</v>
      </c>
      <c r="L31" s="14" t="n">
        <v>267.5</v>
      </c>
      <c r="M31" s="14" t="n">
        <v>267.5</v>
      </c>
      <c r="N31" s="14" t="n">
        <v>267.5</v>
      </c>
      <c r="O31" s="14" t="n">
        <v>267.5</v>
      </c>
      <c r="P31" s="14" t="n">
        <v>267.5</v>
      </c>
      <c r="Q31" s="14" t="n">
        <v>267.5</v>
      </c>
      <c r="R31" s="14" t="n">
        <v>267.5</v>
      </c>
      <c r="S31" s="14" t="n">
        <v>267.5</v>
      </c>
      <c r="T31" s="14" t="n">
        <v>267.5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CANON-202602-003769</t>
        </is>
      </c>
      <c r="B32" s="15" t="inlineStr">
        <is>
          <t>2026-02-17</t>
        </is>
      </c>
      <c r="C32" s="15" t="inlineStr">
        <is>
          <t>Everett Pennington</t>
        </is>
      </c>
      <c r="D32" s="15" t="inlineStr">
        <is>
          <t>MI</t>
        </is>
      </c>
      <c r="E32" s="16" t="n">
        <v>440000</v>
      </c>
      <c r="F32" s="16" t="n">
        <v>8485.110000000001</v>
      </c>
      <c r="G32" s="16" t="n">
        <v>1060.64</v>
      </c>
      <c r="H32" s="16" t="n">
        <v>1060.64</v>
      </c>
      <c r="I32" s="16">
        <f>SUM(K32:T32)</f>
        <v/>
      </c>
      <c r="J32" s="16">
        <f>F32-(G32+H32+I32)</f>
        <v/>
      </c>
      <c r="K32" s="16" t="n">
        <v>636.38</v>
      </c>
      <c r="L32" s="16" t="n">
        <v>636.38</v>
      </c>
      <c r="M32" s="16" t="n">
        <v>636.38</v>
      </c>
      <c r="N32" s="16" t="n">
        <v>636.38</v>
      </c>
      <c r="O32" s="16" t="n">
        <v>636.38</v>
      </c>
      <c r="P32" s="16" t="n">
        <v>636.38</v>
      </c>
      <c r="Q32" s="16" t="n">
        <v>636.38</v>
      </c>
      <c r="R32" s="16" t="n">
        <v>636.38</v>
      </c>
      <c r="S32" s="16" t="n">
        <v>636.38</v>
      </c>
      <c r="T32" s="16" t="n">
        <v>636.38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CANON-202602-003771</t>
        </is>
      </c>
      <c r="B33" s="3" t="inlineStr">
        <is>
          <t>2026-02-13</t>
        </is>
      </c>
      <c r="C33" s="3" t="inlineStr">
        <is>
          <t>Beatrix Vandermeer</t>
        </is>
      </c>
      <c r="D33" s="3" t="inlineStr">
        <is>
          <t>MO</t>
        </is>
      </c>
      <c r="E33" s="14" t="n">
        <v>1670000</v>
      </c>
      <c r="F33" s="14" t="n">
        <v>16150.9</v>
      </c>
      <c r="G33" s="14" t="n">
        <v>2018.86</v>
      </c>
      <c r="H33" s="14" t="n">
        <v>2018.86</v>
      </c>
      <c r="I33" s="14">
        <f>SUM(K33:T33)</f>
        <v/>
      </c>
      <c r="J33" s="14">
        <f>F33-(G33+H33+I33)</f>
        <v/>
      </c>
      <c r="K33" s="14" t="n">
        <v>1211.32</v>
      </c>
      <c r="L33" s="14" t="n">
        <v>1211.32</v>
      </c>
      <c r="M33" s="14" t="n">
        <v>1211.32</v>
      </c>
      <c r="N33" s="14" t="n">
        <v>1211.32</v>
      </c>
      <c r="O33" s="14" t="n">
        <v>1211.32</v>
      </c>
      <c r="P33" s="14" t="n">
        <v>1211.32</v>
      </c>
      <c r="Q33" s="14" t="n">
        <v>1211.32</v>
      </c>
      <c r="R33" s="14" t="n">
        <v>1211.32</v>
      </c>
      <c r="S33" s="14" t="n">
        <v>1211.32</v>
      </c>
      <c r="T33" s="14" t="n">
        <v>1211.32</v>
      </c>
      <c r="U33" s="14" t="n">
        <v>350</v>
      </c>
      <c r="V33" s="14" t="n">
        <v>250</v>
      </c>
      <c r="W33" s="14">
        <f>U33+V33</f>
        <v/>
      </c>
    </row>
    <row r="34">
      <c r="A34" s="15" t="inlineStr">
        <is>
          <t>CANON-202602-003772</t>
        </is>
      </c>
      <c r="B34" s="15" t="inlineStr">
        <is>
          <t>2026-02-26</t>
        </is>
      </c>
      <c r="C34" s="15" t="inlineStr">
        <is>
          <t>Noor Chattopadhyay</t>
        </is>
      </c>
      <c r="D34" s="15" t="inlineStr">
        <is>
          <t>MO</t>
        </is>
      </c>
      <c r="E34" s="16" t="n">
        <v>440000</v>
      </c>
      <c r="F34" s="16" t="n">
        <v>5802.72</v>
      </c>
      <c r="G34" s="16" t="n">
        <v>725.34</v>
      </c>
      <c r="H34" s="16" t="n">
        <v>725.34</v>
      </c>
      <c r="I34" s="16">
        <f>SUM(K34:T34)</f>
        <v/>
      </c>
      <c r="J34" s="16">
        <f>F34-(G34+H34+I34)</f>
        <v/>
      </c>
      <c r="K34" s="16" t="n">
        <v>435.2</v>
      </c>
      <c r="L34" s="16" t="n">
        <v>435.2</v>
      </c>
      <c r="M34" s="16" t="n">
        <v>435.2</v>
      </c>
      <c r="N34" s="16" t="n">
        <v>435.2</v>
      </c>
      <c r="O34" s="16" t="n">
        <v>435.2</v>
      </c>
      <c r="P34" s="16" t="n">
        <v>435.2</v>
      </c>
      <c r="Q34" s="16" t="n">
        <v>435.2</v>
      </c>
      <c r="R34" s="16" t="n">
        <v>435.2</v>
      </c>
      <c r="S34" s="16" t="n">
        <v>435.2</v>
      </c>
      <c r="T34" s="16" t="n">
        <v>435.2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CANON-202602-003773</t>
        </is>
      </c>
      <c r="B35" s="3" t="inlineStr">
        <is>
          <t>2026-02-08</t>
        </is>
      </c>
      <c r="C35" s="3" t="inlineStr">
        <is>
          <t>Fenwick Rourke</t>
        </is>
      </c>
      <c r="D35" s="3" t="inlineStr">
        <is>
          <t>TX</t>
        </is>
      </c>
      <c r="E35" s="14" t="n">
        <v>1595000</v>
      </c>
      <c r="F35" s="14" t="n">
        <v>16735.28</v>
      </c>
      <c r="G35" s="14" t="n">
        <v>2091.91</v>
      </c>
      <c r="H35" s="14" t="n">
        <v>2091.91</v>
      </c>
      <c r="I35" s="14">
        <f>SUM(K35:T35)</f>
        <v/>
      </c>
      <c r="J35" s="14">
        <f>F35-(G35+H35+I35)</f>
        <v/>
      </c>
      <c r="K35" s="14" t="n">
        <v>1255.15</v>
      </c>
      <c r="L35" s="14" t="n">
        <v>1255.15</v>
      </c>
      <c r="M35" s="14" t="n">
        <v>1255.15</v>
      </c>
      <c r="N35" s="14" t="n">
        <v>1255.15</v>
      </c>
      <c r="O35" s="14" t="n">
        <v>1255.15</v>
      </c>
      <c r="P35" s="14" t="n">
        <v>1255.15</v>
      </c>
      <c r="Q35" s="14" t="n">
        <v>1255.15</v>
      </c>
      <c r="R35" s="14" t="n">
        <v>1255.15</v>
      </c>
      <c r="S35" s="14" t="n">
        <v>1255.15</v>
      </c>
      <c r="T35" s="14" t="n">
        <v>1255.15</v>
      </c>
      <c r="U35" s="14" t="n">
        <v>350</v>
      </c>
      <c r="V35" s="14" t="n">
        <v>250</v>
      </c>
      <c r="W35" s="14">
        <f>U35+V35</f>
        <v/>
      </c>
    </row>
    <row r="36">
      <c r="A36" s="15" t="inlineStr">
        <is>
          <t>CANON-202602-003774</t>
        </is>
      </c>
      <c r="B36" s="15" t="inlineStr">
        <is>
          <t>2026-02-27</t>
        </is>
      </c>
      <c r="C36" s="15" t="inlineStr">
        <is>
          <t>Ramona Rourke</t>
        </is>
      </c>
      <c r="D36" s="15" t="inlineStr">
        <is>
          <t>MA</t>
        </is>
      </c>
      <c r="E36" s="16" t="n">
        <v>410000</v>
      </c>
      <c r="F36" s="16" t="n">
        <v>6376.27</v>
      </c>
      <c r="G36" s="16" t="n">
        <v>797.03</v>
      </c>
      <c r="H36" s="16" t="n">
        <v>797.03</v>
      </c>
      <c r="I36" s="16">
        <f>SUM(K36:T36)</f>
        <v/>
      </c>
      <c r="J36" s="16">
        <f>F36-(G36+H36+I36)</f>
        <v/>
      </c>
      <c r="K36" s="16" t="n">
        <v>478.22</v>
      </c>
      <c r="L36" s="16" t="n">
        <v>478.22</v>
      </c>
      <c r="M36" s="16" t="n">
        <v>478.22</v>
      </c>
      <c r="N36" s="16" t="n">
        <v>478.22</v>
      </c>
      <c r="O36" s="16" t="n">
        <v>478.22</v>
      </c>
      <c r="P36" s="16" t="n">
        <v>478.22</v>
      </c>
      <c r="Q36" s="16" t="n">
        <v>478.22</v>
      </c>
      <c r="R36" s="16" t="n">
        <v>478.22</v>
      </c>
      <c r="S36" s="16" t="n">
        <v>478.22</v>
      </c>
      <c r="T36" s="16" t="n">
        <v>478.22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CANON-202602-003775</t>
        </is>
      </c>
      <c r="B37" s="3" t="inlineStr">
        <is>
          <t>2026-02-03</t>
        </is>
      </c>
      <c r="C37" s="3" t="inlineStr">
        <is>
          <t>Aurelio Underwood</t>
        </is>
      </c>
      <c r="D37" s="3" t="inlineStr">
        <is>
          <t>WI</t>
        </is>
      </c>
      <c r="E37" s="14" t="n">
        <v>520000</v>
      </c>
      <c r="F37" s="14" t="n">
        <v>6728.37</v>
      </c>
      <c r="G37" s="14" t="n">
        <v>841.05</v>
      </c>
      <c r="H37" s="14" t="n">
        <v>841.05</v>
      </c>
      <c r="I37" s="14">
        <f>SUM(K37:T37)</f>
        <v/>
      </c>
      <c r="J37" s="14">
        <f>F37-(G37+H37+I37)</f>
        <v/>
      </c>
      <c r="K37" s="14" t="n">
        <v>504.63</v>
      </c>
      <c r="L37" s="14" t="n">
        <v>504.63</v>
      </c>
      <c r="M37" s="14" t="n">
        <v>504.63</v>
      </c>
      <c r="N37" s="14" t="n">
        <v>504.63</v>
      </c>
      <c r="O37" s="14" t="n">
        <v>504.63</v>
      </c>
      <c r="P37" s="14" t="n">
        <v>504.63</v>
      </c>
      <c r="Q37" s="14" t="n">
        <v>504.63</v>
      </c>
      <c r="R37" s="14" t="n">
        <v>504.63</v>
      </c>
      <c r="S37" s="14" t="n">
        <v>504.63</v>
      </c>
      <c r="T37" s="14" t="n">
        <v>504.63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CANON-202602-003777</t>
        </is>
      </c>
      <c r="B38" s="15" t="inlineStr">
        <is>
          <t>2026-02-20</t>
        </is>
      </c>
      <c r="C38" s="15" t="inlineStr">
        <is>
          <t>Delphine Merriweather</t>
        </is>
      </c>
      <c r="D38" s="15" t="inlineStr">
        <is>
          <t>CO</t>
        </is>
      </c>
      <c r="E38" s="16" t="n">
        <v>395000</v>
      </c>
      <c r="F38" s="16" t="n">
        <v>5405.83</v>
      </c>
      <c r="G38" s="16" t="n">
        <v>675.73</v>
      </c>
      <c r="H38" s="16" t="n">
        <v>675.73</v>
      </c>
      <c r="I38" s="16">
        <f>SUM(K38:T38)</f>
        <v/>
      </c>
      <c r="J38" s="16">
        <f>F38-(G38+H38+I38)</f>
        <v/>
      </c>
      <c r="K38" s="16" t="n">
        <v>405.44</v>
      </c>
      <c r="L38" s="16" t="n">
        <v>405.44</v>
      </c>
      <c r="M38" s="16" t="n">
        <v>405.44</v>
      </c>
      <c r="N38" s="16" t="n">
        <v>405.44</v>
      </c>
      <c r="O38" s="16" t="n">
        <v>405.44</v>
      </c>
      <c r="P38" s="16" t="n">
        <v>405.44</v>
      </c>
      <c r="Q38" s="16" t="n">
        <v>405.44</v>
      </c>
      <c r="R38" s="16" t="n">
        <v>405.44</v>
      </c>
      <c r="S38" s="16" t="n">
        <v>405.44</v>
      </c>
      <c r="T38" s="16" t="n">
        <v>405.44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CANON-202602-003778</t>
        </is>
      </c>
      <c r="B39" s="3" t="inlineStr">
        <is>
          <t>2026-02-11</t>
        </is>
      </c>
      <c r="C39" s="3" t="inlineStr">
        <is>
          <t>Delphine Nakashima</t>
        </is>
      </c>
      <c r="D39" s="3" t="inlineStr">
        <is>
          <t>CA</t>
        </is>
      </c>
      <c r="E39" s="14" t="n">
        <v>530000</v>
      </c>
      <c r="F39" s="14" t="n">
        <v>7714.98</v>
      </c>
      <c r="G39" s="14" t="n">
        <v>964.37</v>
      </c>
      <c r="H39" s="14" t="n">
        <v>964.37</v>
      </c>
      <c r="I39" s="14">
        <f>SUM(K39:T39)</f>
        <v/>
      </c>
      <c r="J39" s="14">
        <f>F39-(G39+H39+I39)</f>
        <v/>
      </c>
      <c r="K39" s="14" t="n">
        <v>578.62</v>
      </c>
      <c r="L39" s="14" t="n">
        <v>578.62</v>
      </c>
      <c r="M39" s="14" t="n">
        <v>578.62</v>
      </c>
      <c r="N39" s="14" t="n">
        <v>578.62</v>
      </c>
      <c r="O39" s="14" t="n">
        <v>578.62</v>
      </c>
      <c r="P39" s="14" t="n">
        <v>578.62</v>
      </c>
      <c r="Q39" s="14" t="n">
        <v>578.62</v>
      </c>
      <c r="R39" s="14" t="n">
        <v>578.62</v>
      </c>
      <c r="S39" s="14" t="n">
        <v>578.62</v>
      </c>
      <c r="T39" s="14" t="n">
        <v>578.62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CANON-202602-003779</t>
        </is>
      </c>
      <c r="B40" s="15" t="inlineStr">
        <is>
          <t>2026-02-03</t>
        </is>
      </c>
      <c r="C40" s="15" t="inlineStr">
        <is>
          <t>Saoirse Delacroix</t>
        </is>
      </c>
      <c r="D40" s="15" t="inlineStr">
        <is>
          <t>VA</t>
        </is>
      </c>
      <c r="E40" s="16" t="n">
        <v>885000</v>
      </c>
      <c r="F40" s="16" t="n">
        <v>10401.47</v>
      </c>
      <c r="G40" s="16" t="n">
        <v>1300.18</v>
      </c>
      <c r="H40" s="16" t="n">
        <v>1300.18</v>
      </c>
      <c r="I40" s="16">
        <f>SUM(K40:T40)</f>
        <v/>
      </c>
      <c r="J40" s="16">
        <f>F40-(G40+H40+I40)</f>
        <v/>
      </c>
      <c r="K40" s="16" t="n">
        <v>780.11</v>
      </c>
      <c r="L40" s="16" t="n">
        <v>780.11</v>
      </c>
      <c r="M40" s="16" t="n">
        <v>780.11</v>
      </c>
      <c r="N40" s="16" t="n">
        <v>780.11</v>
      </c>
      <c r="O40" s="16" t="n">
        <v>780.11</v>
      </c>
      <c r="P40" s="16" t="n">
        <v>780.11</v>
      </c>
      <c r="Q40" s="16" t="n">
        <v>780.11</v>
      </c>
      <c r="R40" s="16" t="n">
        <v>780.11</v>
      </c>
      <c r="S40" s="16" t="n">
        <v>780.11</v>
      </c>
      <c r="T40" s="16" t="n">
        <v>780.11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CANON-202602-003780</t>
        </is>
      </c>
      <c r="B41" s="3" t="inlineStr">
        <is>
          <t>2026-02-07</t>
        </is>
      </c>
      <c r="C41" s="3" t="inlineStr">
        <is>
          <t>Cassius Pennington</t>
        </is>
      </c>
      <c r="D41" s="3" t="inlineStr">
        <is>
          <t>MI</t>
        </is>
      </c>
      <c r="E41" s="14" t="n">
        <v>665000</v>
      </c>
      <c r="F41" s="14" t="n">
        <v>11114.2</v>
      </c>
      <c r="G41" s="14" t="n">
        <v>1389.28</v>
      </c>
      <c r="H41" s="14" t="n">
        <v>1389.28</v>
      </c>
      <c r="I41" s="14">
        <f>SUM(K41:T41)</f>
        <v/>
      </c>
      <c r="J41" s="14">
        <f>F41-(G41+H41+I41)</f>
        <v/>
      </c>
      <c r="K41" s="14" t="n">
        <v>833.5700000000001</v>
      </c>
      <c r="L41" s="14" t="n">
        <v>833.5700000000001</v>
      </c>
      <c r="M41" s="14" t="n">
        <v>833.5700000000001</v>
      </c>
      <c r="N41" s="14" t="n">
        <v>833.5700000000001</v>
      </c>
      <c r="O41" s="14" t="n">
        <v>833.5700000000001</v>
      </c>
      <c r="P41" s="14" t="n">
        <v>833.5700000000001</v>
      </c>
      <c r="Q41" s="14" t="n">
        <v>833.5700000000001</v>
      </c>
      <c r="R41" s="14" t="n">
        <v>833.5700000000001</v>
      </c>
      <c r="S41" s="14" t="n">
        <v>833.5700000000001</v>
      </c>
      <c r="T41" s="14" t="n">
        <v>833.5700000000001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CANON-202602-003781</t>
        </is>
      </c>
      <c r="B42" s="15" t="inlineStr">
        <is>
          <t>2026-02-10</t>
        </is>
      </c>
      <c r="C42" s="15" t="inlineStr">
        <is>
          <t>Emiliano Vandermeer</t>
        </is>
      </c>
      <c r="D42" s="15" t="inlineStr">
        <is>
          <t>CA</t>
        </is>
      </c>
      <c r="E42" s="16" t="n">
        <v>840000</v>
      </c>
      <c r="F42" s="16" t="n">
        <v>17870.99</v>
      </c>
      <c r="G42" s="16" t="n">
        <v>2233.87</v>
      </c>
      <c r="H42" s="16" t="n">
        <v>2233.87</v>
      </c>
      <c r="I42" s="16">
        <f>SUM(K42:T42)</f>
        <v/>
      </c>
      <c r="J42" s="16">
        <f>F42-(G42+H42+I42)</f>
        <v/>
      </c>
      <c r="K42" s="16" t="n">
        <v>1340.32</v>
      </c>
      <c r="L42" s="16" t="n">
        <v>1340.32</v>
      </c>
      <c r="M42" s="16" t="n">
        <v>1340.32</v>
      </c>
      <c r="N42" s="16" t="n">
        <v>1340.32</v>
      </c>
      <c r="O42" s="16" t="n">
        <v>1340.32</v>
      </c>
      <c r="P42" s="16" t="n">
        <v>1340.32</v>
      </c>
      <c r="Q42" s="16" t="n">
        <v>1340.32</v>
      </c>
      <c r="R42" s="16" t="n">
        <v>1340.32</v>
      </c>
      <c r="S42" s="16" t="n">
        <v>1340.32</v>
      </c>
      <c r="T42" s="16" t="n">
        <v>1340.32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CANON-202602-003784</t>
        </is>
      </c>
      <c r="B43" s="3" t="inlineStr">
        <is>
          <t>2026-02-09</t>
        </is>
      </c>
      <c r="C43" s="3" t="inlineStr">
        <is>
          <t>Mireille Chattopadhyay</t>
        </is>
      </c>
      <c r="D43" s="3" t="inlineStr">
        <is>
          <t>NV</t>
        </is>
      </c>
      <c r="E43" s="14" t="n">
        <v>615000</v>
      </c>
      <c r="F43" s="14" t="n">
        <v>7758.65</v>
      </c>
      <c r="G43" s="14" t="n">
        <v>969.83</v>
      </c>
      <c r="H43" s="14" t="n">
        <v>969.83</v>
      </c>
      <c r="I43" s="14">
        <f>SUM(K43:T43)</f>
        <v/>
      </c>
      <c r="J43" s="14">
        <f>F43-(G43+H43+I43)</f>
        <v/>
      </c>
      <c r="K43" s="14" t="n">
        <v>581.9</v>
      </c>
      <c r="L43" s="14" t="n">
        <v>581.9</v>
      </c>
      <c r="M43" s="14" t="n">
        <v>581.9</v>
      </c>
      <c r="N43" s="14" t="n">
        <v>581.9</v>
      </c>
      <c r="O43" s="14" t="n">
        <v>581.9</v>
      </c>
      <c r="P43" s="14" t="n">
        <v>581.9</v>
      </c>
      <c r="Q43" s="14" t="n">
        <v>581.9</v>
      </c>
      <c r="R43" s="14" t="n">
        <v>581.9</v>
      </c>
      <c r="S43" s="14" t="n">
        <v>581.9</v>
      </c>
      <c r="T43" s="14" t="n">
        <v>581.9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CANON-202602-003786</t>
        </is>
      </c>
      <c r="B44" s="15" t="inlineStr">
        <is>
          <t>2026-02-23</t>
        </is>
      </c>
      <c r="C44" s="15" t="inlineStr">
        <is>
          <t>Horace Harrington</t>
        </is>
      </c>
      <c r="D44" s="15" t="inlineStr">
        <is>
          <t>NY</t>
        </is>
      </c>
      <c r="E44" s="16" t="n">
        <v>1950000</v>
      </c>
      <c r="F44" s="16" t="n">
        <v>22772.94</v>
      </c>
      <c r="G44" s="16" t="n">
        <v>2846.62</v>
      </c>
      <c r="H44" s="16" t="n">
        <v>2846.62</v>
      </c>
      <c r="I44" s="16">
        <f>SUM(K44:T44)</f>
        <v/>
      </c>
      <c r="J44" s="16">
        <f>F44-(G44+H44+I44)</f>
        <v/>
      </c>
      <c r="K44" s="16" t="n">
        <v>1707.97</v>
      </c>
      <c r="L44" s="16" t="n">
        <v>1707.97</v>
      </c>
      <c r="M44" s="16" t="n">
        <v>1707.97</v>
      </c>
      <c r="N44" s="16" t="n">
        <v>1707.97</v>
      </c>
      <c r="O44" s="16" t="n">
        <v>1707.97</v>
      </c>
      <c r="P44" s="16" t="n">
        <v>1707.97</v>
      </c>
      <c r="Q44" s="16" t="n">
        <v>1707.97</v>
      </c>
      <c r="R44" s="16" t="n">
        <v>1707.97</v>
      </c>
      <c r="S44" s="16" t="n">
        <v>1707.97</v>
      </c>
      <c r="T44" s="16" t="n">
        <v>1707.97</v>
      </c>
      <c r="U44" s="16" t="n">
        <v>350</v>
      </c>
      <c r="V44" s="16" t="n">
        <v>250</v>
      </c>
      <c r="W44" s="16">
        <f>U44+V44</f>
        <v/>
      </c>
    </row>
    <row r="45">
      <c r="A45" s="3" t="inlineStr">
        <is>
          <t>CANON-202602-003787</t>
        </is>
      </c>
      <c r="B45" s="3" t="inlineStr">
        <is>
          <t>2026-02-20</t>
        </is>
      </c>
      <c r="C45" s="3" t="inlineStr">
        <is>
          <t>Fenwick Montoya</t>
        </is>
      </c>
      <c r="D45" s="3" t="inlineStr">
        <is>
          <t>CO</t>
        </is>
      </c>
      <c r="E45" s="14" t="n">
        <v>440000</v>
      </c>
      <c r="F45" s="14" t="n">
        <v>6021.69</v>
      </c>
      <c r="G45" s="14" t="n">
        <v>752.71</v>
      </c>
      <c r="H45" s="14" t="n">
        <v>752.71</v>
      </c>
      <c r="I45" s="14">
        <f>SUM(K45:T45)</f>
        <v/>
      </c>
      <c r="J45" s="14">
        <f>F45-(G45+H45+I45)</f>
        <v/>
      </c>
      <c r="K45" s="14" t="n">
        <v>451.63</v>
      </c>
      <c r="L45" s="14" t="n">
        <v>451.63</v>
      </c>
      <c r="M45" s="14" t="n">
        <v>451.63</v>
      </c>
      <c r="N45" s="14" t="n">
        <v>451.63</v>
      </c>
      <c r="O45" s="14" t="n">
        <v>451.63</v>
      </c>
      <c r="P45" s="14" t="n">
        <v>451.63</v>
      </c>
      <c r="Q45" s="14" t="n">
        <v>451.63</v>
      </c>
      <c r="R45" s="14" t="n">
        <v>451.63</v>
      </c>
      <c r="S45" s="14" t="n">
        <v>451.63</v>
      </c>
      <c r="T45" s="14" t="n">
        <v>451.63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CANON-202602-003789</t>
        </is>
      </c>
      <c r="B46" s="15" t="inlineStr">
        <is>
          <t>2026-02-23</t>
        </is>
      </c>
      <c r="C46" s="15" t="inlineStr">
        <is>
          <t>Sunniva Harrington</t>
        </is>
      </c>
      <c r="D46" s="15" t="inlineStr">
        <is>
          <t>WI</t>
        </is>
      </c>
      <c r="E46" s="16" t="n">
        <v>105000</v>
      </c>
      <c r="F46" s="16" t="n">
        <v>1922.96</v>
      </c>
      <c r="G46" s="16" t="n">
        <v>240.37</v>
      </c>
      <c r="H46" s="16" t="n">
        <v>240.37</v>
      </c>
      <c r="I46" s="16">
        <f>SUM(K46:T46)</f>
        <v/>
      </c>
      <c r="J46" s="16">
        <f>F46-(G46+H46+I46)</f>
        <v/>
      </c>
      <c r="K46" s="16" t="n">
        <v>144.22</v>
      </c>
      <c r="L46" s="16" t="n">
        <v>144.22</v>
      </c>
      <c r="M46" s="16" t="n">
        <v>144.22</v>
      </c>
      <c r="N46" s="16" t="n">
        <v>144.22</v>
      </c>
      <c r="O46" s="16" t="n">
        <v>144.22</v>
      </c>
      <c r="P46" s="16" t="n">
        <v>144.22</v>
      </c>
      <c r="Q46" s="16" t="n">
        <v>144.22</v>
      </c>
      <c r="R46" s="16" t="n">
        <v>144.22</v>
      </c>
      <c r="S46" s="16" t="n">
        <v>144.22</v>
      </c>
      <c r="T46" s="16" t="n">
        <v>144.22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CANON-202602-003790</t>
        </is>
      </c>
      <c r="B47" s="3" t="inlineStr">
        <is>
          <t>2026-02-20</t>
        </is>
      </c>
      <c r="C47" s="3" t="inlineStr">
        <is>
          <t>Beatrix Okonkwo</t>
        </is>
      </c>
      <c r="D47" s="3" t="inlineStr">
        <is>
          <t>ME</t>
        </is>
      </c>
      <c r="E47" s="14" t="n">
        <v>775000</v>
      </c>
      <c r="F47" s="14" t="n">
        <v>9025.07</v>
      </c>
      <c r="G47" s="14" t="n">
        <v>1128.13</v>
      </c>
      <c r="H47" s="14" t="n">
        <v>1128.13</v>
      </c>
      <c r="I47" s="14">
        <f>SUM(K47:T47)</f>
        <v/>
      </c>
      <c r="J47" s="14">
        <f>F47-(G47+H47+I47)</f>
        <v/>
      </c>
      <c r="K47" s="14" t="n">
        <v>676.88</v>
      </c>
      <c r="L47" s="14" t="n">
        <v>676.88</v>
      </c>
      <c r="M47" s="14" t="n">
        <v>676.88</v>
      </c>
      <c r="N47" s="14" t="n">
        <v>676.88</v>
      </c>
      <c r="O47" s="14" t="n">
        <v>676.88</v>
      </c>
      <c r="P47" s="14" t="n">
        <v>676.88</v>
      </c>
      <c r="Q47" s="14" t="n">
        <v>676.88</v>
      </c>
      <c r="R47" s="14" t="n">
        <v>676.88</v>
      </c>
      <c r="S47" s="14" t="n">
        <v>676.88</v>
      </c>
      <c r="T47" s="14" t="n">
        <v>676.88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CANON-202602-003792</t>
        </is>
      </c>
      <c r="B48" s="15" t="inlineStr">
        <is>
          <t>2026-02-17</t>
        </is>
      </c>
      <c r="C48" s="15" t="inlineStr">
        <is>
          <t>Fitzgerald Delacroix</t>
        </is>
      </c>
      <c r="D48" s="15" t="inlineStr">
        <is>
          <t>CA</t>
        </is>
      </c>
      <c r="E48" s="16" t="n">
        <v>420000</v>
      </c>
      <c r="F48" s="16" t="n">
        <v>7054.33</v>
      </c>
      <c r="G48" s="16" t="n">
        <v>881.79</v>
      </c>
      <c r="H48" s="16" t="n">
        <v>881.79</v>
      </c>
      <c r="I48" s="16">
        <f>SUM(K48:T48)</f>
        <v/>
      </c>
      <c r="J48" s="16">
        <f>F48-(G48+H48+I48)</f>
        <v/>
      </c>
      <c r="K48" s="16" t="n">
        <v>529.0700000000001</v>
      </c>
      <c r="L48" s="16" t="n">
        <v>529.0700000000001</v>
      </c>
      <c r="M48" s="16" t="n">
        <v>529.0700000000001</v>
      </c>
      <c r="N48" s="16" t="n">
        <v>529.0700000000001</v>
      </c>
      <c r="O48" s="16" t="n">
        <v>529.0700000000001</v>
      </c>
      <c r="P48" s="16" t="n">
        <v>529.0700000000001</v>
      </c>
      <c r="Q48" s="16" t="n">
        <v>529.0700000000001</v>
      </c>
      <c r="R48" s="16" t="n">
        <v>529.0700000000001</v>
      </c>
      <c r="S48" s="16" t="n">
        <v>529.0700000000001</v>
      </c>
      <c r="T48" s="16" t="n">
        <v>529.0700000000001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CANON-202602-003793</t>
        </is>
      </c>
      <c r="B49" s="3" t="inlineStr">
        <is>
          <t>2026-02-03</t>
        </is>
      </c>
      <c r="C49" s="3" t="inlineStr">
        <is>
          <t>Priya Farkas</t>
        </is>
      </c>
      <c r="D49" s="3" t="inlineStr">
        <is>
          <t>AK</t>
        </is>
      </c>
      <c r="E49" s="14" t="n">
        <v>645000</v>
      </c>
      <c r="F49" s="14" t="n">
        <v>11587.78</v>
      </c>
      <c r="G49" s="14" t="n">
        <v>1448.47</v>
      </c>
      <c r="H49" s="14" t="n">
        <v>1448.47</v>
      </c>
      <c r="I49" s="14">
        <f>SUM(K49:T49)</f>
        <v/>
      </c>
      <c r="J49" s="14">
        <f>F49-(G49+H49+I49)</f>
        <v/>
      </c>
      <c r="K49" s="14" t="n">
        <v>869.08</v>
      </c>
      <c r="L49" s="14" t="n">
        <v>869.08</v>
      </c>
      <c r="M49" s="14" t="n">
        <v>869.08</v>
      </c>
      <c r="N49" s="14" t="n">
        <v>869.08</v>
      </c>
      <c r="O49" s="14" t="n">
        <v>869.08</v>
      </c>
      <c r="P49" s="14" t="n">
        <v>869.08</v>
      </c>
      <c r="Q49" s="14" t="n">
        <v>869.08</v>
      </c>
      <c r="R49" s="14" t="n">
        <v>869.08</v>
      </c>
      <c r="S49" s="14" t="n">
        <v>869.08</v>
      </c>
      <c r="T49" s="14" t="n">
        <v>869.08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CANON-202602-003794</t>
        </is>
      </c>
      <c r="B50" s="15" t="inlineStr">
        <is>
          <t>2026-02-13</t>
        </is>
      </c>
      <c r="C50" s="15" t="inlineStr">
        <is>
          <t>Anouk Thistlewood</t>
        </is>
      </c>
      <c r="D50" s="15" t="inlineStr">
        <is>
          <t>MS</t>
        </is>
      </c>
      <c r="E50" s="16" t="n">
        <v>145000</v>
      </c>
      <c r="F50" s="16" t="n">
        <v>2633.39</v>
      </c>
      <c r="G50" s="16" t="n">
        <v>329.17</v>
      </c>
      <c r="H50" s="16" t="n">
        <v>329.17</v>
      </c>
      <c r="I50" s="16">
        <f>SUM(K50:T50)</f>
        <v/>
      </c>
      <c r="J50" s="16">
        <f>F50-(G50+H50+I50)</f>
        <v/>
      </c>
      <c r="K50" s="16" t="n">
        <v>197.5</v>
      </c>
      <c r="L50" s="16" t="n">
        <v>197.5</v>
      </c>
      <c r="M50" s="16" t="n">
        <v>197.5</v>
      </c>
      <c r="N50" s="16" t="n">
        <v>197.5</v>
      </c>
      <c r="O50" s="16" t="n">
        <v>197.5</v>
      </c>
      <c r="P50" s="16" t="n">
        <v>197.5</v>
      </c>
      <c r="Q50" s="16" t="n">
        <v>197.5</v>
      </c>
      <c r="R50" s="16" t="n">
        <v>197.5</v>
      </c>
      <c r="S50" s="16" t="n">
        <v>197.5</v>
      </c>
      <c r="T50" s="16" t="n">
        <v>197.5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CANON-202602-003796</t>
        </is>
      </c>
      <c r="B51" s="3" t="inlineStr">
        <is>
          <t>2026-02-11</t>
        </is>
      </c>
      <c r="C51" s="3" t="inlineStr">
        <is>
          <t>Horace Larsson</t>
        </is>
      </c>
      <c r="D51" s="3" t="inlineStr">
        <is>
          <t>DE</t>
        </is>
      </c>
      <c r="E51" s="14" t="n">
        <v>1435000</v>
      </c>
      <c r="F51" s="14" t="n">
        <v>16365.77</v>
      </c>
      <c r="G51" s="14" t="n">
        <v>2045.72</v>
      </c>
      <c r="H51" s="14" t="n">
        <v>2045.72</v>
      </c>
      <c r="I51" s="14">
        <f>SUM(K51:T51)</f>
        <v/>
      </c>
      <c r="J51" s="14">
        <f>F51-(G51+H51+I51)</f>
        <v/>
      </c>
      <c r="K51" s="14" t="n">
        <v>1227.43</v>
      </c>
      <c r="L51" s="14" t="n">
        <v>1227.43</v>
      </c>
      <c r="M51" s="14" t="n">
        <v>1227.43</v>
      </c>
      <c r="N51" s="14" t="n">
        <v>1227.43</v>
      </c>
      <c r="O51" s="14" t="n">
        <v>1227.43</v>
      </c>
      <c r="P51" s="14" t="n">
        <v>1227.43</v>
      </c>
      <c r="Q51" s="14" t="n">
        <v>1227.43</v>
      </c>
      <c r="R51" s="14" t="n">
        <v>1227.43</v>
      </c>
      <c r="S51" s="14" t="n">
        <v>1227.43</v>
      </c>
      <c r="T51" s="14" t="n">
        <v>1227.43</v>
      </c>
      <c r="U51" s="14" t="n">
        <v>350</v>
      </c>
      <c r="V51" s="14" t="n">
        <v>250</v>
      </c>
      <c r="W51" s="14">
        <f>U51+V51</f>
        <v/>
      </c>
    </row>
    <row r="52">
      <c r="A52" s="15" t="inlineStr">
        <is>
          <t>CANON-202602-003797</t>
        </is>
      </c>
      <c r="B52" s="15" t="inlineStr">
        <is>
          <t>2026-02-14</t>
        </is>
      </c>
      <c r="C52" s="15" t="inlineStr">
        <is>
          <t>Fitzgerald Pennington</t>
        </is>
      </c>
      <c r="D52" s="15" t="inlineStr">
        <is>
          <t>CA</t>
        </is>
      </c>
      <c r="E52" s="16" t="n">
        <v>650000</v>
      </c>
      <c r="F52" s="16" t="n">
        <v>9461.77</v>
      </c>
      <c r="G52" s="16" t="n">
        <v>1182.72</v>
      </c>
      <c r="H52" s="16" t="n">
        <v>1182.72</v>
      </c>
      <c r="I52" s="16">
        <f>SUM(K52:T52)</f>
        <v/>
      </c>
      <c r="J52" s="16">
        <f>F52-(G52+H52+I52)</f>
        <v/>
      </c>
      <c r="K52" s="16" t="n">
        <v>709.63</v>
      </c>
      <c r="L52" s="16" t="n">
        <v>709.63</v>
      </c>
      <c r="M52" s="16" t="n">
        <v>709.63</v>
      </c>
      <c r="N52" s="16" t="n">
        <v>709.63</v>
      </c>
      <c r="O52" s="16" t="n">
        <v>709.63</v>
      </c>
      <c r="P52" s="16" t="n">
        <v>709.63</v>
      </c>
      <c r="Q52" s="16" t="n">
        <v>709.63</v>
      </c>
      <c r="R52" s="16" t="n">
        <v>709.63</v>
      </c>
      <c r="S52" s="16" t="n">
        <v>709.63</v>
      </c>
      <c r="T52" s="16" t="n">
        <v>709.63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CANON-202602-003798</t>
        </is>
      </c>
      <c r="B53" s="3" t="inlineStr">
        <is>
          <t>2026-02-18</t>
        </is>
      </c>
      <c r="C53" s="3" t="inlineStr">
        <is>
          <t>Callum Okonkwo</t>
        </is>
      </c>
      <c r="D53" s="3" t="inlineStr">
        <is>
          <t>RI</t>
        </is>
      </c>
      <c r="E53" s="14" t="n">
        <v>680000</v>
      </c>
      <c r="F53" s="14" t="n">
        <v>14681.31</v>
      </c>
      <c r="G53" s="14" t="n">
        <v>1835.16</v>
      </c>
      <c r="H53" s="14" t="n">
        <v>1835.16</v>
      </c>
      <c r="I53" s="14">
        <f>SUM(K53:T53)</f>
        <v/>
      </c>
      <c r="J53" s="14">
        <f>F53-(G53+H53+I53)</f>
        <v/>
      </c>
      <c r="K53" s="14" t="n">
        <v>1101.1</v>
      </c>
      <c r="L53" s="14" t="n">
        <v>1101.1</v>
      </c>
      <c r="M53" s="14" t="n">
        <v>1101.1</v>
      </c>
      <c r="N53" s="14" t="n">
        <v>1101.1</v>
      </c>
      <c r="O53" s="14" t="n">
        <v>1101.1</v>
      </c>
      <c r="P53" s="14" t="n">
        <v>1101.1</v>
      </c>
      <c r="Q53" s="14" t="n">
        <v>1101.1</v>
      </c>
      <c r="R53" s="14" t="n">
        <v>1101.1</v>
      </c>
      <c r="S53" s="14" t="n">
        <v>1101.1</v>
      </c>
      <c r="T53" s="14" t="n">
        <v>1101.1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CANON-202602-003799</t>
        </is>
      </c>
      <c r="B54" s="15" t="inlineStr">
        <is>
          <t>2026-02-26</t>
        </is>
      </c>
      <c r="C54" s="15" t="inlineStr">
        <is>
          <t>Delphine Pennington</t>
        </is>
      </c>
      <c r="D54" s="15" t="inlineStr">
        <is>
          <t>MT</t>
        </is>
      </c>
      <c r="E54" s="16" t="n">
        <v>405000</v>
      </c>
      <c r="F54" s="16" t="n">
        <v>4686.09</v>
      </c>
      <c r="G54" s="16" t="n">
        <v>585.76</v>
      </c>
      <c r="H54" s="16" t="n">
        <v>585.76</v>
      </c>
      <c r="I54" s="16">
        <f>SUM(K54:T54)</f>
        <v/>
      </c>
      <c r="J54" s="16">
        <f>F54-(G54+H54+I54)</f>
        <v/>
      </c>
      <c r="K54" s="16" t="n">
        <v>351.46</v>
      </c>
      <c r="L54" s="16" t="n">
        <v>351.46</v>
      </c>
      <c r="M54" s="16" t="n">
        <v>351.46</v>
      </c>
      <c r="N54" s="16" t="n">
        <v>351.46</v>
      </c>
      <c r="O54" s="16" t="n">
        <v>351.46</v>
      </c>
      <c r="P54" s="16" t="n">
        <v>351.46</v>
      </c>
      <c r="Q54" s="16" t="n">
        <v>351.46</v>
      </c>
      <c r="R54" s="16" t="n">
        <v>351.46</v>
      </c>
      <c r="S54" s="16" t="n">
        <v>351.46</v>
      </c>
      <c r="T54" s="16" t="n">
        <v>351.46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CANON-202602-003802</t>
        </is>
      </c>
      <c r="B55" s="3" t="inlineStr">
        <is>
          <t>2026-02-24</t>
        </is>
      </c>
      <c r="C55" s="3" t="inlineStr">
        <is>
          <t>Fitzgerald Nakashima</t>
        </is>
      </c>
      <c r="D55" s="3" t="inlineStr">
        <is>
          <t>CO</t>
        </is>
      </c>
      <c r="E55" s="14" t="n">
        <v>130000</v>
      </c>
      <c r="F55" s="14" t="n">
        <v>2182.4</v>
      </c>
      <c r="G55" s="14" t="n">
        <v>272.8</v>
      </c>
      <c r="H55" s="14" t="n">
        <v>272.8</v>
      </c>
      <c r="I55" s="14">
        <f>SUM(K55:T55)</f>
        <v/>
      </c>
      <c r="J55" s="14">
        <f>F55-(G55+H55+I55)</f>
        <v/>
      </c>
      <c r="K55" s="14" t="n">
        <v>163.68</v>
      </c>
      <c r="L55" s="14" t="n">
        <v>163.68</v>
      </c>
      <c r="M55" s="14" t="n">
        <v>163.68</v>
      </c>
      <c r="N55" s="14" t="n">
        <v>163.68</v>
      </c>
      <c r="O55" s="14" t="n">
        <v>163.68</v>
      </c>
      <c r="P55" s="14" t="n">
        <v>163.68</v>
      </c>
      <c r="Q55" s="14" t="n">
        <v>163.68</v>
      </c>
      <c r="R55" s="14" t="n">
        <v>163.68</v>
      </c>
      <c r="S55" s="14" t="n">
        <v>163.68</v>
      </c>
      <c r="T55" s="14" t="n">
        <v>163.68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CANON-202602-003803</t>
        </is>
      </c>
      <c r="B56" s="15" t="inlineStr">
        <is>
          <t>2026-02-01</t>
        </is>
      </c>
      <c r="C56" s="15" t="inlineStr">
        <is>
          <t>Sunniva Thistlewood</t>
        </is>
      </c>
      <c r="D56" s="15" t="inlineStr">
        <is>
          <t>NY</t>
        </is>
      </c>
      <c r="E56" s="16" t="n">
        <v>105000</v>
      </c>
      <c r="F56" s="16" t="n">
        <v>2051.16</v>
      </c>
      <c r="G56" s="16" t="n">
        <v>256.39</v>
      </c>
      <c r="H56" s="16" t="n">
        <v>256.39</v>
      </c>
      <c r="I56" s="16">
        <f>SUM(K56:T56)</f>
        <v/>
      </c>
      <c r="J56" s="16">
        <f>F56-(G56+H56+I56)</f>
        <v/>
      </c>
      <c r="K56" s="16" t="n">
        <v>153.84</v>
      </c>
      <c r="L56" s="16" t="n">
        <v>153.84</v>
      </c>
      <c r="M56" s="16" t="n">
        <v>153.84</v>
      </c>
      <c r="N56" s="16" t="n">
        <v>153.84</v>
      </c>
      <c r="O56" s="16" t="n">
        <v>153.84</v>
      </c>
      <c r="P56" s="16" t="n">
        <v>153.84</v>
      </c>
      <c r="Q56" s="16" t="n">
        <v>153.84</v>
      </c>
      <c r="R56" s="16" t="n">
        <v>153.84</v>
      </c>
      <c r="S56" s="16" t="n">
        <v>153.84</v>
      </c>
      <c r="T56" s="16" t="n">
        <v>153.84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CANON-202602-003804</t>
        </is>
      </c>
      <c r="B57" s="3" t="inlineStr">
        <is>
          <t>2026-02-18</t>
        </is>
      </c>
      <c r="C57" s="3" t="inlineStr">
        <is>
          <t>Horace Montoya</t>
        </is>
      </c>
      <c r="D57" s="3" t="inlineStr">
        <is>
          <t>FL</t>
        </is>
      </c>
      <c r="E57" s="14" t="n">
        <v>1380000</v>
      </c>
      <c r="F57" s="14" t="n">
        <v>12352.72</v>
      </c>
      <c r="G57" s="14" t="n">
        <v>1544.09</v>
      </c>
      <c r="H57" s="14" t="n">
        <v>1544.09</v>
      </c>
      <c r="I57" s="14">
        <f>SUM(K57:T57)</f>
        <v/>
      </c>
      <c r="J57" s="14">
        <f>F57-(G57+H57+I57)</f>
        <v/>
      </c>
      <c r="K57" s="14" t="n">
        <v>926.45</v>
      </c>
      <c r="L57" s="14" t="n">
        <v>926.45</v>
      </c>
      <c r="M57" s="14" t="n">
        <v>926.45</v>
      </c>
      <c r="N57" s="14" t="n">
        <v>926.45</v>
      </c>
      <c r="O57" s="14" t="n">
        <v>926.45</v>
      </c>
      <c r="P57" s="14" t="n">
        <v>926.45</v>
      </c>
      <c r="Q57" s="14" t="n">
        <v>926.45</v>
      </c>
      <c r="R57" s="14" t="n">
        <v>926.45</v>
      </c>
      <c r="S57" s="14" t="n">
        <v>926.45</v>
      </c>
      <c r="T57" s="14" t="n">
        <v>926.45</v>
      </c>
      <c r="U57" s="14" t="n">
        <v>350</v>
      </c>
      <c r="V57" s="14" t="n">
        <v>250</v>
      </c>
      <c r="W57" s="14">
        <f>U57+V57</f>
        <v/>
      </c>
    </row>
    <row r="58">
      <c r="A58" s="15" t="inlineStr">
        <is>
          <t>CANON-202602-003805</t>
        </is>
      </c>
      <c r="B58" s="15" t="inlineStr">
        <is>
          <t>2026-02-02</t>
        </is>
      </c>
      <c r="C58" s="15" t="inlineStr">
        <is>
          <t>Beatrix Merriweather</t>
        </is>
      </c>
      <c r="D58" s="15" t="inlineStr">
        <is>
          <t>FL</t>
        </is>
      </c>
      <c r="E58" s="16" t="n">
        <v>700000</v>
      </c>
      <c r="F58" s="16" t="n">
        <v>10717.95</v>
      </c>
      <c r="G58" s="16" t="n">
        <v>1339.74</v>
      </c>
      <c r="H58" s="16" t="n">
        <v>1339.74</v>
      </c>
      <c r="I58" s="16">
        <f>SUM(K58:T58)</f>
        <v/>
      </c>
      <c r="J58" s="16">
        <f>F58-(G58+H58+I58)</f>
        <v/>
      </c>
      <c r="K58" s="16" t="n">
        <v>803.85</v>
      </c>
      <c r="L58" s="16" t="n">
        <v>803.85</v>
      </c>
      <c r="M58" s="16" t="n">
        <v>803.85</v>
      </c>
      <c r="N58" s="16" t="n">
        <v>803.85</v>
      </c>
      <c r="O58" s="16" t="n">
        <v>803.85</v>
      </c>
      <c r="P58" s="16" t="n">
        <v>803.85</v>
      </c>
      <c r="Q58" s="16" t="n">
        <v>803.85</v>
      </c>
      <c r="R58" s="16" t="n">
        <v>803.85</v>
      </c>
      <c r="S58" s="16" t="n">
        <v>803.85</v>
      </c>
      <c r="T58" s="16" t="n">
        <v>803.85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CANON-202602-003806</t>
        </is>
      </c>
      <c r="B59" s="3" t="inlineStr">
        <is>
          <t>2026-02-24</t>
        </is>
      </c>
      <c r="C59" s="3" t="inlineStr">
        <is>
          <t>Lorenzo Vandermeer</t>
        </is>
      </c>
      <c r="D59" s="3" t="inlineStr">
        <is>
          <t>TN</t>
        </is>
      </c>
      <c r="E59" s="14" t="n">
        <v>535000</v>
      </c>
      <c r="F59" s="14" t="n">
        <v>6784</v>
      </c>
      <c r="G59" s="14" t="n">
        <v>848</v>
      </c>
      <c r="H59" s="14" t="n">
        <v>848</v>
      </c>
      <c r="I59" s="14">
        <f>SUM(K59:T59)</f>
        <v/>
      </c>
      <c r="J59" s="14">
        <f>F59-(G59+H59+I59)</f>
        <v/>
      </c>
      <c r="K59" s="14" t="n">
        <v>508.8</v>
      </c>
      <c r="L59" s="14" t="n">
        <v>508.8</v>
      </c>
      <c r="M59" s="14" t="n">
        <v>508.8</v>
      </c>
      <c r="N59" s="14" t="n">
        <v>508.8</v>
      </c>
      <c r="O59" s="14" t="n">
        <v>508.8</v>
      </c>
      <c r="P59" s="14" t="n">
        <v>508.8</v>
      </c>
      <c r="Q59" s="14" t="n">
        <v>508.8</v>
      </c>
      <c r="R59" s="14" t="n">
        <v>508.8</v>
      </c>
      <c r="S59" s="14" t="n">
        <v>508.8</v>
      </c>
      <c r="T59" s="14" t="n">
        <v>508.8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CANON-202602-003807</t>
        </is>
      </c>
      <c r="B60" s="15" t="inlineStr">
        <is>
          <t>2026-02-03</t>
        </is>
      </c>
      <c r="C60" s="15" t="inlineStr">
        <is>
          <t>Delphine Rourke</t>
        </is>
      </c>
      <c r="D60" s="15" t="inlineStr">
        <is>
          <t>GA</t>
        </is>
      </c>
      <c r="E60" s="16" t="n">
        <v>685000</v>
      </c>
      <c r="F60" s="16" t="n">
        <v>8272.450000000001</v>
      </c>
      <c r="G60" s="16" t="n">
        <v>1034.06</v>
      </c>
      <c r="H60" s="16" t="n">
        <v>1034.06</v>
      </c>
      <c r="I60" s="16">
        <f>SUM(K60:T60)</f>
        <v/>
      </c>
      <c r="J60" s="16">
        <f>F60-(G60+H60+I60)</f>
        <v/>
      </c>
      <c r="K60" s="16" t="n">
        <v>620.4299999999999</v>
      </c>
      <c r="L60" s="16" t="n">
        <v>620.4299999999999</v>
      </c>
      <c r="M60" s="16" t="n">
        <v>620.4299999999999</v>
      </c>
      <c r="N60" s="16" t="n">
        <v>620.4299999999999</v>
      </c>
      <c r="O60" s="16" t="n">
        <v>620.4299999999999</v>
      </c>
      <c r="P60" s="16" t="n">
        <v>620.4299999999999</v>
      </c>
      <c r="Q60" s="16" t="n">
        <v>620.4299999999999</v>
      </c>
      <c r="R60" s="16" t="n">
        <v>620.4299999999999</v>
      </c>
      <c r="S60" s="16" t="n">
        <v>620.4299999999999</v>
      </c>
      <c r="T60" s="16" t="n">
        <v>620.4299999999999</v>
      </c>
      <c r="U60" s="16" t="n">
        <v>350</v>
      </c>
      <c r="V60" s="16" t="n">
        <v>0</v>
      </c>
      <c r="W60" s="16">
        <f>U60+V60</f>
        <v/>
      </c>
    </row>
    <row r="61">
      <c r="A61" s="3" t="inlineStr">
        <is>
          <t>CANON-202602-003811</t>
        </is>
      </c>
      <c r="B61" s="3" t="inlineStr">
        <is>
          <t>2026-02-10</t>
        </is>
      </c>
      <c r="C61" s="3" t="inlineStr">
        <is>
          <t>Aurelio Castellanos</t>
        </is>
      </c>
      <c r="D61" s="3" t="inlineStr">
        <is>
          <t>NH</t>
        </is>
      </c>
      <c r="E61" s="14" t="n">
        <v>1950000</v>
      </c>
      <c r="F61" s="14" t="n">
        <v>12783.9</v>
      </c>
      <c r="G61" s="14" t="n">
        <v>1597.99</v>
      </c>
      <c r="H61" s="14" t="n">
        <v>1597.99</v>
      </c>
      <c r="I61" s="14">
        <f>SUM(K61:T61)</f>
        <v/>
      </c>
      <c r="J61" s="14">
        <f>F61-(G61+H61+I61)</f>
        <v/>
      </c>
      <c r="K61" s="14" t="n">
        <v>958.79</v>
      </c>
      <c r="L61" s="14" t="n">
        <v>958.79</v>
      </c>
      <c r="M61" s="14" t="n">
        <v>958.79</v>
      </c>
      <c r="N61" s="14" t="n">
        <v>958.79</v>
      </c>
      <c r="O61" s="14" t="n">
        <v>958.79</v>
      </c>
      <c r="P61" s="14" t="n">
        <v>958.79</v>
      </c>
      <c r="Q61" s="14" t="n">
        <v>958.79</v>
      </c>
      <c r="R61" s="14" t="n">
        <v>958.79</v>
      </c>
      <c r="S61" s="14" t="n">
        <v>958.79</v>
      </c>
      <c r="T61" s="14" t="n">
        <v>958.79</v>
      </c>
      <c r="U61" s="14" t="n">
        <v>350</v>
      </c>
      <c r="V61" s="14" t="n">
        <v>250</v>
      </c>
      <c r="W61" s="14">
        <f>U61+V61</f>
        <v/>
      </c>
    </row>
    <row r="62">
      <c r="A62" s="15" t="inlineStr">
        <is>
          <t>CANON-202602-003812</t>
        </is>
      </c>
      <c r="B62" s="15" t="inlineStr">
        <is>
          <t>2026-02-06</t>
        </is>
      </c>
      <c r="C62" s="15" t="inlineStr">
        <is>
          <t>Sunniva Vasquez</t>
        </is>
      </c>
      <c r="D62" s="15" t="inlineStr">
        <is>
          <t>PA</t>
        </is>
      </c>
      <c r="E62" s="16" t="n">
        <v>320000</v>
      </c>
      <c r="F62" s="16" t="n">
        <v>3981.28</v>
      </c>
      <c r="G62" s="16" t="n">
        <v>497.66</v>
      </c>
      <c r="H62" s="16" t="n">
        <v>497.66</v>
      </c>
      <c r="I62" s="16">
        <f>SUM(K62:T62)</f>
        <v/>
      </c>
      <c r="J62" s="16">
        <f>F62-(G62+H62+I62)</f>
        <v/>
      </c>
      <c r="K62" s="16" t="n">
        <v>298.6</v>
      </c>
      <c r="L62" s="16" t="n">
        <v>298.6</v>
      </c>
      <c r="M62" s="16" t="n">
        <v>298.6</v>
      </c>
      <c r="N62" s="16" t="n">
        <v>298.6</v>
      </c>
      <c r="O62" s="16" t="n">
        <v>298.6</v>
      </c>
      <c r="P62" s="16" t="n">
        <v>298.6</v>
      </c>
      <c r="Q62" s="16" t="n">
        <v>298.6</v>
      </c>
      <c r="R62" s="16" t="n">
        <v>298.6</v>
      </c>
      <c r="S62" s="16" t="n">
        <v>298.6</v>
      </c>
      <c r="T62" s="16" t="n">
        <v>298.6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CANON-202602-003813</t>
        </is>
      </c>
      <c r="B63" s="3" t="inlineStr">
        <is>
          <t>2026-02-12</t>
        </is>
      </c>
      <c r="C63" s="3" t="inlineStr">
        <is>
          <t>Desmond Larsson</t>
        </is>
      </c>
      <c r="D63" s="3" t="inlineStr">
        <is>
          <t>NE</t>
        </is>
      </c>
      <c r="E63" s="14" t="n">
        <v>1325000</v>
      </c>
      <c r="F63" s="14" t="n">
        <v>22859.2</v>
      </c>
      <c r="G63" s="14" t="n">
        <v>2857.4</v>
      </c>
      <c r="H63" s="14" t="n">
        <v>2857.4</v>
      </c>
      <c r="I63" s="14">
        <f>SUM(K63:T63)</f>
        <v/>
      </c>
      <c r="J63" s="14">
        <f>F63-(G63+H63+I63)</f>
        <v/>
      </c>
      <c r="K63" s="14" t="n">
        <v>1714.44</v>
      </c>
      <c r="L63" s="14" t="n">
        <v>1714.44</v>
      </c>
      <c r="M63" s="14" t="n">
        <v>1714.44</v>
      </c>
      <c r="N63" s="14" t="n">
        <v>1714.44</v>
      </c>
      <c r="O63" s="14" t="n">
        <v>1714.44</v>
      </c>
      <c r="P63" s="14" t="n">
        <v>1714.44</v>
      </c>
      <c r="Q63" s="14" t="n">
        <v>1714.44</v>
      </c>
      <c r="R63" s="14" t="n">
        <v>1714.44</v>
      </c>
      <c r="S63" s="14" t="n">
        <v>1714.44</v>
      </c>
      <c r="T63" s="14" t="n">
        <v>1714.44</v>
      </c>
      <c r="U63" s="14" t="n">
        <v>350</v>
      </c>
      <c r="V63" s="14" t="n">
        <v>250</v>
      </c>
      <c r="W63" s="14">
        <f>U63+V63</f>
        <v/>
      </c>
    </row>
    <row r="64">
      <c r="A64" s="15" t="inlineStr">
        <is>
          <t>CANON-202602-003815</t>
        </is>
      </c>
      <c r="B64" s="15" t="inlineStr">
        <is>
          <t>2026-02-22</t>
        </is>
      </c>
      <c r="C64" s="15" t="inlineStr">
        <is>
          <t>Everett Castellanos</t>
        </is>
      </c>
      <c r="D64" s="15" t="inlineStr">
        <is>
          <t>NM</t>
        </is>
      </c>
      <c r="E64" s="16" t="n">
        <v>615000</v>
      </c>
      <c r="F64" s="16" t="n">
        <v>12405.68</v>
      </c>
      <c r="G64" s="16" t="n">
        <v>1550.71</v>
      </c>
      <c r="H64" s="16" t="n">
        <v>1550.71</v>
      </c>
      <c r="I64" s="16">
        <f>SUM(K64:T64)</f>
        <v/>
      </c>
      <c r="J64" s="16">
        <f>F64-(G64+H64+I64)</f>
        <v/>
      </c>
      <c r="K64" s="16" t="n">
        <v>930.4299999999999</v>
      </c>
      <c r="L64" s="16" t="n">
        <v>930.4299999999999</v>
      </c>
      <c r="M64" s="16" t="n">
        <v>930.4299999999999</v>
      </c>
      <c r="N64" s="16" t="n">
        <v>930.4299999999999</v>
      </c>
      <c r="O64" s="16" t="n">
        <v>930.4299999999999</v>
      </c>
      <c r="P64" s="16" t="n">
        <v>930.4299999999999</v>
      </c>
      <c r="Q64" s="16" t="n">
        <v>930.4299999999999</v>
      </c>
      <c r="R64" s="16" t="n">
        <v>930.4299999999999</v>
      </c>
      <c r="S64" s="16" t="n">
        <v>930.4299999999999</v>
      </c>
      <c r="T64" s="16" t="n">
        <v>930.4299999999999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CANON-202602-003816</t>
        </is>
      </c>
      <c r="B65" s="3" t="inlineStr">
        <is>
          <t>2026-02-13</t>
        </is>
      </c>
      <c r="C65" s="3" t="inlineStr">
        <is>
          <t>Mireille Farkas</t>
        </is>
      </c>
      <c r="D65" s="3" t="inlineStr">
        <is>
          <t>MI</t>
        </is>
      </c>
      <c r="E65" s="14" t="n">
        <v>1050000</v>
      </c>
      <c r="F65" s="14" t="n">
        <v>21598.46</v>
      </c>
      <c r="G65" s="14" t="n">
        <v>2699.81</v>
      </c>
      <c r="H65" s="14" t="n">
        <v>2699.81</v>
      </c>
      <c r="I65" s="14">
        <f>SUM(K65:T65)</f>
        <v/>
      </c>
      <c r="J65" s="14">
        <f>F65-(G65+H65+I65)</f>
        <v/>
      </c>
      <c r="K65" s="14" t="n">
        <v>1619.88</v>
      </c>
      <c r="L65" s="14" t="n">
        <v>1619.88</v>
      </c>
      <c r="M65" s="14" t="n">
        <v>1619.88</v>
      </c>
      <c r="N65" s="14" t="n">
        <v>1619.88</v>
      </c>
      <c r="O65" s="14" t="n">
        <v>1619.88</v>
      </c>
      <c r="P65" s="14" t="n">
        <v>1619.88</v>
      </c>
      <c r="Q65" s="14" t="n">
        <v>1619.88</v>
      </c>
      <c r="R65" s="14" t="n">
        <v>1619.88</v>
      </c>
      <c r="S65" s="14" t="n">
        <v>1619.88</v>
      </c>
      <c r="T65" s="14" t="n">
        <v>1619.88</v>
      </c>
      <c r="U65" s="14" t="n">
        <v>350</v>
      </c>
      <c r="V65" s="14" t="n">
        <v>250</v>
      </c>
      <c r="W65" s="14">
        <f>U65+V65</f>
        <v/>
      </c>
    </row>
    <row r="66">
      <c r="A66" s="15" t="inlineStr">
        <is>
          <t>CANON-202602-003817</t>
        </is>
      </c>
      <c r="B66" s="15" t="inlineStr">
        <is>
          <t>2026-02-08</t>
        </is>
      </c>
      <c r="C66" s="15" t="inlineStr">
        <is>
          <t>Callum Thistlewood</t>
        </is>
      </c>
      <c r="D66" s="15" t="inlineStr">
        <is>
          <t>NJ</t>
        </is>
      </c>
      <c r="E66" s="16" t="n">
        <v>675000</v>
      </c>
      <c r="F66" s="16" t="n">
        <v>6623.23</v>
      </c>
      <c r="G66" s="16" t="n">
        <v>827.9</v>
      </c>
      <c r="H66" s="16" t="n">
        <v>827.9</v>
      </c>
      <c r="I66" s="16">
        <f>SUM(K66:T66)</f>
        <v/>
      </c>
      <c r="J66" s="16">
        <f>F66-(G66+H66+I66)</f>
        <v/>
      </c>
      <c r="K66" s="16" t="n">
        <v>496.74</v>
      </c>
      <c r="L66" s="16" t="n">
        <v>496.74</v>
      </c>
      <c r="M66" s="16" t="n">
        <v>496.74</v>
      </c>
      <c r="N66" s="16" t="n">
        <v>496.74</v>
      </c>
      <c r="O66" s="16" t="n">
        <v>496.74</v>
      </c>
      <c r="P66" s="16" t="n">
        <v>496.74</v>
      </c>
      <c r="Q66" s="16" t="n">
        <v>496.74</v>
      </c>
      <c r="R66" s="16" t="n">
        <v>496.74</v>
      </c>
      <c r="S66" s="16" t="n">
        <v>496.74</v>
      </c>
      <c r="T66" s="16" t="n">
        <v>496.74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CANON-202602-003818</t>
        </is>
      </c>
      <c r="B67" s="3" t="inlineStr">
        <is>
          <t>2026-02-22</t>
        </is>
      </c>
      <c r="C67" s="3" t="inlineStr">
        <is>
          <t>Everett Vasquez</t>
        </is>
      </c>
      <c r="D67" s="3" t="inlineStr">
        <is>
          <t>NJ</t>
        </is>
      </c>
      <c r="E67" s="14" t="n">
        <v>385000</v>
      </c>
      <c r="F67" s="14" t="n">
        <v>4358.88</v>
      </c>
      <c r="G67" s="14" t="n">
        <v>544.86</v>
      </c>
      <c r="H67" s="14" t="n">
        <v>544.86</v>
      </c>
      <c r="I67" s="14">
        <f>SUM(K67:T67)</f>
        <v/>
      </c>
      <c r="J67" s="14">
        <f>F67-(G67+H67+I67)</f>
        <v/>
      </c>
      <c r="K67" s="14" t="n">
        <v>326.92</v>
      </c>
      <c r="L67" s="14" t="n">
        <v>326.92</v>
      </c>
      <c r="M67" s="14" t="n">
        <v>326.92</v>
      </c>
      <c r="N67" s="14" t="n">
        <v>326.92</v>
      </c>
      <c r="O67" s="14" t="n">
        <v>326.92</v>
      </c>
      <c r="P67" s="14" t="n">
        <v>326.92</v>
      </c>
      <c r="Q67" s="14" t="n">
        <v>326.92</v>
      </c>
      <c r="R67" s="14" t="n">
        <v>326.92</v>
      </c>
      <c r="S67" s="14" t="n">
        <v>326.92</v>
      </c>
      <c r="T67" s="14" t="n">
        <v>326.92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CANON-202602-003819</t>
        </is>
      </c>
      <c r="B68" s="15" t="inlineStr">
        <is>
          <t>2026-02-26</t>
        </is>
      </c>
      <c r="C68" s="15" t="inlineStr">
        <is>
          <t>Ottilie Farkas</t>
        </is>
      </c>
      <c r="D68" s="15" t="inlineStr">
        <is>
          <t>AL</t>
        </is>
      </c>
      <c r="E68" s="16" t="n">
        <v>895000</v>
      </c>
      <c r="F68" s="16" t="n">
        <v>8107.88</v>
      </c>
      <c r="G68" s="16" t="n">
        <v>1013.49</v>
      </c>
      <c r="H68" s="16" t="n">
        <v>1013.49</v>
      </c>
      <c r="I68" s="16">
        <f>SUM(K68:T68)</f>
        <v/>
      </c>
      <c r="J68" s="16">
        <f>F68-(G68+H68+I68)</f>
        <v/>
      </c>
      <c r="K68" s="16" t="n">
        <v>608.09</v>
      </c>
      <c r="L68" s="16" t="n">
        <v>608.09</v>
      </c>
      <c r="M68" s="16" t="n">
        <v>608.09</v>
      </c>
      <c r="N68" s="16" t="n">
        <v>608.09</v>
      </c>
      <c r="O68" s="16" t="n">
        <v>608.09</v>
      </c>
      <c r="P68" s="16" t="n">
        <v>608.09</v>
      </c>
      <c r="Q68" s="16" t="n">
        <v>608.09</v>
      </c>
      <c r="R68" s="16" t="n">
        <v>608.09</v>
      </c>
      <c r="S68" s="16" t="n">
        <v>608.09</v>
      </c>
      <c r="T68" s="16" t="n">
        <v>608.09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CANON-202602-003820</t>
        </is>
      </c>
      <c r="B69" s="3" t="inlineStr">
        <is>
          <t>2026-02-02</t>
        </is>
      </c>
      <c r="C69" s="3" t="inlineStr">
        <is>
          <t>Mireille Rourke</t>
        </is>
      </c>
      <c r="D69" s="3" t="inlineStr">
        <is>
          <t>MT</t>
        </is>
      </c>
      <c r="E69" s="14" t="n">
        <v>255000</v>
      </c>
      <c r="F69" s="14" t="n">
        <v>4524.11</v>
      </c>
      <c r="G69" s="14" t="n">
        <v>565.51</v>
      </c>
      <c r="H69" s="14" t="n">
        <v>565.51</v>
      </c>
      <c r="I69" s="14">
        <f>SUM(K69:T69)</f>
        <v/>
      </c>
      <c r="J69" s="14">
        <f>F69-(G69+H69+I69)</f>
        <v/>
      </c>
      <c r="K69" s="14" t="n">
        <v>339.31</v>
      </c>
      <c r="L69" s="14" t="n">
        <v>339.31</v>
      </c>
      <c r="M69" s="14" t="n">
        <v>339.31</v>
      </c>
      <c r="N69" s="14" t="n">
        <v>339.31</v>
      </c>
      <c r="O69" s="14" t="n">
        <v>339.31</v>
      </c>
      <c r="P69" s="14" t="n">
        <v>339.31</v>
      </c>
      <c r="Q69" s="14" t="n">
        <v>339.31</v>
      </c>
      <c r="R69" s="14" t="n">
        <v>339.31</v>
      </c>
      <c r="S69" s="14" t="n">
        <v>339.31</v>
      </c>
      <c r="T69" s="14" t="n">
        <v>339.31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CANON-202602-003821</t>
        </is>
      </c>
      <c r="B70" s="15" t="inlineStr">
        <is>
          <t>2026-02-22</t>
        </is>
      </c>
      <c r="C70" s="15" t="inlineStr">
        <is>
          <t>Fitzgerald Kingsford</t>
        </is>
      </c>
      <c r="D70" s="15" t="inlineStr">
        <is>
          <t>MN</t>
        </is>
      </c>
      <c r="E70" s="16" t="n">
        <v>220000</v>
      </c>
      <c r="F70" s="16" t="n">
        <v>4431.97</v>
      </c>
      <c r="G70" s="16" t="n">
        <v>554</v>
      </c>
      <c r="H70" s="16" t="n">
        <v>554</v>
      </c>
      <c r="I70" s="16">
        <f>SUM(K70:T70)</f>
        <v/>
      </c>
      <c r="J70" s="16">
        <f>F70-(G70+H70+I70)</f>
        <v/>
      </c>
      <c r="K70" s="16" t="n">
        <v>332.4</v>
      </c>
      <c r="L70" s="16" t="n">
        <v>332.4</v>
      </c>
      <c r="M70" s="16" t="n">
        <v>332.4</v>
      </c>
      <c r="N70" s="16" t="n">
        <v>332.4</v>
      </c>
      <c r="O70" s="16" t="n">
        <v>332.4</v>
      </c>
      <c r="P70" s="16" t="n">
        <v>332.4</v>
      </c>
      <c r="Q70" s="16" t="n">
        <v>332.4</v>
      </c>
      <c r="R70" s="16" t="n">
        <v>332.4</v>
      </c>
      <c r="S70" s="16" t="n">
        <v>332.4</v>
      </c>
      <c r="T70" s="16" t="n">
        <v>332.4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CANON-202602-003824</t>
        </is>
      </c>
      <c r="B71" s="3" t="inlineStr">
        <is>
          <t>2026-02-25</t>
        </is>
      </c>
      <c r="C71" s="3" t="inlineStr">
        <is>
          <t>Everett Nakashima</t>
        </is>
      </c>
      <c r="D71" s="3" t="inlineStr">
        <is>
          <t>WY</t>
        </is>
      </c>
      <c r="E71" s="14" t="n">
        <v>955000</v>
      </c>
      <c r="F71" s="14" t="n">
        <v>11018.24</v>
      </c>
      <c r="G71" s="14" t="n">
        <v>1377.28</v>
      </c>
      <c r="H71" s="14" t="n">
        <v>1377.28</v>
      </c>
      <c r="I71" s="14">
        <f>SUM(K71:T71)</f>
        <v/>
      </c>
      <c r="J71" s="14">
        <f>F71-(G71+H71+I71)</f>
        <v/>
      </c>
      <c r="K71" s="14" t="n">
        <v>826.37</v>
      </c>
      <c r="L71" s="14" t="n">
        <v>826.37</v>
      </c>
      <c r="M71" s="14" t="n">
        <v>826.37</v>
      </c>
      <c r="N71" s="14" t="n">
        <v>826.37</v>
      </c>
      <c r="O71" s="14" t="n">
        <v>826.37</v>
      </c>
      <c r="P71" s="14" t="n">
        <v>826.37</v>
      </c>
      <c r="Q71" s="14" t="n">
        <v>826.37</v>
      </c>
      <c r="R71" s="14" t="n">
        <v>826.37</v>
      </c>
      <c r="S71" s="14" t="n">
        <v>826.37</v>
      </c>
      <c r="T71" s="14" t="n">
        <v>826.37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CANON-202602-003825</t>
        </is>
      </c>
      <c r="B72" s="15" t="inlineStr">
        <is>
          <t>2026-02-13</t>
        </is>
      </c>
      <c r="C72" s="15" t="inlineStr">
        <is>
          <t>Aurelio Okonkwo</t>
        </is>
      </c>
      <c r="D72" s="15" t="inlineStr">
        <is>
          <t>TX</t>
        </is>
      </c>
      <c r="E72" s="16" t="n">
        <v>400000</v>
      </c>
      <c r="F72" s="16" t="n">
        <v>5723.09</v>
      </c>
      <c r="G72" s="16" t="n">
        <v>715.39</v>
      </c>
      <c r="H72" s="16" t="n">
        <v>715.39</v>
      </c>
      <c r="I72" s="16">
        <f>SUM(K72:T72)</f>
        <v/>
      </c>
      <c r="J72" s="16">
        <f>F72-(G72+H72+I72)</f>
        <v/>
      </c>
      <c r="K72" s="16" t="n">
        <v>429.23</v>
      </c>
      <c r="L72" s="16" t="n">
        <v>429.23</v>
      </c>
      <c r="M72" s="16" t="n">
        <v>429.23</v>
      </c>
      <c r="N72" s="16" t="n">
        <v>429.23</v>
      </c>
      <c r="O72" s="16" t="n">
        <v>429.23</v>
      </c>
      <c r="P72" s="16" t="n">
        <v>429.23</v>
      </c>
      <c r="Q72" s="16" t="n">
        <v>429.23</v>
      </c>
      <c r="R72" s="16" t="n">
        <v>429.23</v>
      </c>
      <c r="S72" s="16" t="n">
        <v>429.23</v>
      </c>
      <c r="T72" s="16" t="n">
        <v>429.23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CANON-202602-003826</t>
        </is>
      </c>
      <c r="B73" s="3" t="inlineStr">
        <is>
          <t>2026-02-14</t>
        </is>
      </c>
      <c r="C73" s="3" t="inlineStr">
        <is>
          <t>Fenwick Thistlewood</t>
        </is>
      </c>
      <c r="D73" s="3" t="inlineStr">
        <is>
          <t>SC</t>
        </is>
      </c>
      <c r="E73" s="14" t="n">
        <v>1150000</v>
      </c>
      <c r="F73" s="14" t="n">
        <v>18924.37</v>
      </c>
      <c r="G73" s="14" t="n">
        <v>2365.55</v>
      </c>
      <c r="H73" s="14" t="n">
        <v>2365.55</v>
      </c>
      <c r="I73" s="14">
        <f>SUM(K73:T73)</f>
        <v/>
      </c>
      <c r="J73" s="14">
        <f>F73-(G73+H73+I73)</f>
        <v/>
      </c>
      <c r="K73" s="14" t="n">
        <v>1419.33</v>
      </c>
      <c r="L73" s="14" t="n">
        <v>1419.33</v>
      </c>
      <c r="M73" s="14" t="n">
        <v>1419.33</v>
      </c>
      <c r="N73" s="14" t="n">
        <v>1419.33</v>
      </c>
      <c r="O73" s="14" t="n">
        <v>1419.33</v>
      </c>
      <c r="P73" s="14" t="n">
        <v>1419.33</v>
      </c>
      <c r="Q73" s="14" t="n">
        <v>1419.33</v>
      </c>
      <c r="R73" s="14" t="n">
        <v>1419.33</v>
      </c>
      <c r="S73" s="14" t="n">
        <v>1419.33</v>
      </c>
      <c r="T73" s="14" t="n">
        <v>1419.33</v>
      </c>
      <c r="U73" s="14" t="n">
        <v>350</v>
      </c>
      <c r="V73" s="14" t="n">
        <v>250</v>
      </c>
      <c r="W73" s="14">
        <f>U73+V73</f>
        <v/>
      </c>
    </row>
    <row r="74">
      <c r="A74" s="15" t="inlineStr">
        <is>
          <t>CANON-202602-003827</t>
        </is>
      </c>
      <c r="B74" s="15" t="inlineStr">
        <is>
          <t>2026-02-02</t>
        </is>
      </c>
      <c r="C74" s="15" t="inlineStr">
        <is>
          <t>Aurelio Okonkwo</t>
        </is>
      </c>
      <c r="D74" s="15" t="inlineStr">
        <is>
          <t>RI</t>
        </is>
      </c>
      <c r="E74" s="16" t="n">
        <v>665000</v>
      </c>
      <c r="F74" s="16" t="n">
        <v>6498.64</v>
      </c>
      <c r="G74" s="16" t="n">
        <v>812.33</v>
      </c>
      <c r="H74" s="16" t="n">
        <v>812.33</v>
      </c>
      <c r="I74" s="16">
        <f>SUM(K74:T74)</f>
        <v/>
      </c>
      <c r="J74" s="16">
        <f>F74-(G74+H74+I74)</f>
        <v/>
      </c>
      <c r="K74" s="16" t="n">
        <v>487.4</v>
      </c>
      <c r="L74" s="16" t="n">
        <v>487.4</v>
      </c>
      <c r="M74" s="16" t="n">
        <v>487.4</v>
      </c>
      <c r="N74" s="16" t="n">
        <v>487.4</v>
      </c>
      <c r="O74" s="16" t="n">
        <v>487.4</v>
      </c>
      <c r="P74" s="16" t="n">
        <v>487.4</v>
      </c>
      <c r="Q74" s="16" t="n">
        <v>487.4</v>
      </c>
      <c r="R74" s="16" t="n">
        <v>487.4</v>
      </c>
      <c r="S74" s="16" t="n">
        <v>487.4</v>
      </c>
      <c r="T74" s="16" t="n">
        <v>487.4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CANON-202602-003828</t>
        </is>
      </c>
      <c r="B75" s="3" t="inlineStr">
        <is>
          <t>2026-02-12</t>
        </is>
      </c>
      <c r="C75" s="3" t="inlineStr">
        <is>
          <t>Wilhelmina Harrington</t>
        </is>
      </c>
      <c r="D75" s="3" t="inlineStr">
        <is>
          <t>FL</t>
        </is>
      </c>
      <c r="E75" s="14" t="n">
        <v>1865000</v>
      </c>
      <c r="F75" s="14" t="n">
        <v>24162.49</v>
      </c>
      <c r="G75" s="14" t="n">
        <v>3020.31</v>
      </c>
      <c r="H75" s="14" t="n">
        <v>3020.31</v>
      </c>
      <c r="I75" s="14">
        <f>SUM(K75:T75)</f>
        <v/>
      </c>
      <c r="J75" s="14">
        <f>F75-(G75+H75+I75)</f>
        <v/>
      </c>
      <c r="K75" s="14" t="n">
        <v>1812.19</v>
      </c>
      <c r="L75" s="14" t="n">
        <v>1812.19</v>
      </c>
      <c r="M75" s="14" t="n">
        <v>1812.19</v>
      </c>
      <c r="N75" s="14" t="n">
        <v>1812.19</v>
      </c>
      <c r="O75" s="14" t="n">
        <v>1812.19</v>
      </c>
      <c r="P75" s="14" t="n">
        <v>1812.19</v>
      </c>
      <c r="Q75" s="14" t="n">
        <v>1812.19</v>
      </c>
      <c r="R75" s="14" t="n">
        <v>1812.19</v>
      </c>
      <c r="S75" s="14" t="n">
        <v>1812.19</v>
      </c>
      <c r="T75" s="14" t="n">
        <v>1812.19</v>
      </c>
      <c r="U75" s="14" t="n">
        <v>350</v>
      </c>
      <c r="V75" s="14" t="n">
        <v>250</v>
      </c>
      <c r="W75" s="14">
        <f>U75+V75</f>
        <v/>
      </c>
    </row>
    <row r="76">
      <c r="A76" s="15" t="inlineStr">
        <is>
          <t>CANON-202602-003830</t>
        </is>
      </c>
      <c r="B76" s="15" t="inlineStr">
        <is>
          <t>2026-02-26</t>
        </is>
      </c>
      <c r="C76" s="15" t="inlineStr">
        <is>
          <t>Cassius Merriweather</t>
        </is>
      </c>
      <c r="D76" s="15" t="inlineStr">
        <is>
          <t>CO</t>
        </is>
      </c>
      <c r="E76" s="16" t="n">
        <v>430000</v>
      </c>
      <c r="F76" s="16" t="n">
        <v>5884.84</v>
      </c>
      <c r="G76" s="16" t="n">
        <v>735.61</v>
      </c>
      <c r="H76" s="16" t="n">
        <v>735.61</v>
      </c>
      <c r="I76" s="16">
        <f>SUM(K76:T76)</f>
        <v/>
      </c>
      <c r="J76" s="16">
        <f>F76-(G76+H76+I76)</f>
        <v/>
      </c>
      <c r="K76" s="16" t="n">
        <v>441.36</v>
      </c>
      <c r="L76" s="16" t="n">
        <v>441.36</v>
      </c>
      <c r="M76" s="16" t="n">
        <v>441.36</v>
      </c>
      <c r="N76" s="16" t="n">
        <v>441.36</v>
      </c>
      <c r="O76" s="16" t="n">
        <v>441.36</v>
      </c>
      <c r="P76" s="16" t="n">
        <v>441.36</v>
      </c>
      <c r="Q76" s="16" t="n">
        <v>441.36</v>
      </c>
      <c r="R76" s="16" t="n">
        <v>441.36</v>
      </c>
      <c r="S76" s="16" t="n">
        <v>441.36</v>
      </c>
      <c r="T76" s="16" t="n">
        <v>441.36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CANON-202602-003832</t>
        </is>
      </c>
      <c r="B77" s="3" t="inlineStr">
        <is>
          <t>2026-02-22</t>
        </is>
      </c>
      <c r="C77" s="3" t="inlineStr">
        <is>
          <t>Fenwick Whitlock</t>
        </is>
      </c>
      <c r="D77" s="3" t="inlineStr">
        <is>
          <t>VT</t>
        </is>
      </c>
      <c r="E77" s="14" t="n">
        <v>1490000</v>
      </c>
      <c r="F77" s="14" t="n">
        <v>16585.19</v>
      </c>
      <c r="G77" s="14" t="n">
        <v>2073.15</v>
      </c>
      <c r="H77" s="14" t="n">
        <v>2073.15</v>
      </c>
      <c r="I77" s="14">
        <f>SUM(K77:T77)</f>
        <v/>
      </c>
      <c r="J77" s="14">
        <f>F77-(G77+H77+I77)</f>
        <v/>
      </c>
      <c r="K77" s="14" t="n">
        <v>1243.89</v>
      </c>
      <c r="L77" s="14" t="n">
        <v>1243.89</v>
      </c>
      <c r="M77" s="14" t="n">
        <v>1243.89</v>
      </c>
      <c r="N77" s="14" t="n">
        <v>1243.89</v>
      </c>
      <c r="O77" s="14" t="n">
        <v>1243.89</v>
      </c>
      <c r="P77" s="14" t="n">
        <v>1243.89</v>
      </c>
      <c r="Q77" s="14" t="n">
        <v>1243.89</v>
      </c>
      <c r="R77" s="14" t="n">
        <v>1243.89</v>
      </c>
      <c r="S77" s="14" t="n">
        <v>1243.89</v>
      </c>
      <c r="T77" s="14" t="n">
        <v>1243.89</v>
      </c>
      <c r="U77" s="14" t="n">
        <v>350</v>
      </c>
      <c r="V77" s="14" t="n">
        <v>250</v>
      </c>
      <c r="W77" s="14">
        <f>U77+V77</f>
        <v/>
      </c>
    </row>
    <row r="78">
      <c r="A78" s="15" t="inlineStr">
        <is>
          <t>CANON-202602-003833</t>
        </is>
      </c>
      <c r="B78" s="15" t="inlineStr">
        <is>
          <t>2026-02-05</t>
        </is>
      </c>
      <c r="C78" s="15" t="inlineStr">
        <is>
          <t>Thaddeus Bellandi</t>
        </is>
      </c>
      <c r="D78" s="15" t="inlineStr">
        <is>
          <t>ND</t>
        </is>
      </c>
      <c r="E78" s="16" t="n">
        <v>435000</v>
      </c>
      <c r="F78" s="16" t="n">
        <v>5520.29</v>
      </c>
      <c r="G78" s="16" t="n">
        <v>690.04</v>
      </c>
      <c r="H78" s="16" t="n">
        <v>690.04</v>
      </c>
      <c r="I78" s="16">
        <f>SUM(K78:T78)</f>
        <v/>
      </c>
      <c r="J78" s="16">
        <f>F78-(G78+H78+I78)</f>
        <v/>
      </c>
      <c r="K78" s="16" t="n">
        <v>414.02</v>
      </c>
      <c r="L78" s="16" t="n">
        <v>414.02</v>
      </c>
      <c r="M78" s="16" t="n">
        <v>414.02</v>
      </c>
      <c r="N78" s="16" t="n">
        <v>414.02</v>
      </c>
      <c r="O78" s="16" t="n">
        <v>414.02</v>
      </c>
      <c r="P78" s="16" t="n">
        <v>414.02</v>
      </c>
      <c r="Q78" s="16" t="n">
        <v>414.02</v>
      </c>
      <c r="R78" s="16" t="n">
        <v>414.02</v>
      </c>
      <c r="S78" s="16" t="n">
        <v>414.02</v>
      </c>
      <c r="T78" s="16" t="n">
        <v>414.02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CANON-202602-003834</t>
        </is>
      </c>
      <c r="B79" s="3" t="inlineStr">
        <is>
          <t>2026-02-08</t>
        </is>
      </c>
      <c r="C79" s="3" t="inlineStr">
        <is>
          <t>Leopold Delacroix</t>
        </is>
      </c>
      <c r="D79" s="3" t="inlineStr">
        <is>
          <t>MA</t>
        </is>
      </c>
      <c r="E79" s="14" t="n">
        <v>630000</v>
      </c>
      <c r="F79" s="14" t="n">
        <v>8491.33</v>
      </c>
      <c r="G79" s="14" t="n">
        <v>1061.42</v>
      </c>
      <c r="H79" s="14" t="n">
        <v>1061.42</v>
      </c>
      <c r="I79" s="14">
        <f>SUM(K79:T79)</f>
        <v/>
      </c>
      <c r="J79" s="14">
        <f>F79-(G79+H79+I79)</f>
        <v/>
      </c>
      <c r="K79" s="14" t="n">
        <v>636.85</v>
      </c>
      <c r="L79" s="14" t="n">
        <v>636.85</v>
      </c>
      <c r="M79" s="14" t="n">
        <v>636.85</v>
      </c>
      <c r="N79" s="14" t="n">
        <v>636.85</v>
      </c>
      <c r="O79" s="14" t="n">
        <v>636.85</v>
      </c>
      <c r="P79" s="14" t="n">
        <v>636.85</v>
      </c>
      <c r="Q79" s="14" t="n">
        <v>636.85</v>
      </c>
      <c r="R79" s="14" t="n">
        <v>636.85</v>
      </c>
      <c r="S79" s="14" t="n">
        <v>636.85</v>
      </c>
      <c r="T79" s="14" t="n">
        <v>636.85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CANON-202602-003835</t>
        </is>
      </c>
      <c r="B80" s="15" t="inlineStr">
        <is>
          <t>2026-02-10</t>
        </is>
      </c>
      <c r="C80" s="15" t="inlineStr">
        <is>
          <t>Beatrix Vasquez</t>
        </is>
      </c>
      <c r="D80" s="15" t="inlineStr">
        <is>
          <t>KS</t>
        </is>
      </c>
      <c r="E80" s="16" t="n">
        <v>660000</v>
      </c>
      <c r="F80" s="16" t="n">
        <v>4566.64</v>
      </c>
      <c r="G80" s="16" t="n">
        <v>570.83</v>
      </c>
      <c r="H80" s="16" t="n">
        <v>570.83</v>
      </c>
      <c r="I80" s="16">
        <f>SUM(K80:T80)</f>
        <v/>
      </c>
      <c r="J80" s="16">
        <f>F80-(G80+H80+I80)</f>
        <v/>
      </c>
      <c r="K80" s="16" t="n">
        <v>342.5</v>
      </c>
      <c r="L80" s="16" t="n">
        <v>342.5</v>
      </c>
      <c r="M80" s="16" t="n">
        <v>342.5</v>
      </c>
      <c r="N80" s="16" t="n">
        <v>342.5</v>
      </c>
      <c r="O80" s="16" t="n">
        <v>342.5</v>
      </c>
      <c r="P80" s="16" t="n">
        <v>342.5</v>
      </c>
      <c r="Q80" s="16" t="n">
        <v>342.5</v>
      </c>
      <c r="R80" s="16" t="n">
        <v>342.5</v>
      </c>
      <c r="S80" s="16" t="n">
        <v>342.5</v>
      </c>
      <c r="T80" s="16" t="n">
        <v>342.5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CANON-202602-003836</t>
        </is>
      </c>
      <c r="B81" s="3" t="inlineStr">
        <is>
          <t>2026-02-16</t>
        </is>
      </c>
      <c r="C81" s="3" t="inlineStr">
        <is>
          <t>Priya Pennington</t>
        </is>
      </c>
      <c r="D81" s="3" t="inlineStr">
        <is>
          <t>IL</t>
        </is>
      </c>
      <c r="E81" s="14" t="n">
        <v>450000</v>
      </c>
      <c r="F81" s="14" t="n">
        <v>4873.09</v>
      </c>
      <c r="G81" s="14" t="n">
        <v>609.14</v>
      </c>
      <c r="H81" s="14" t="n">
        <v>609.14</v>
      </c>
      <c r="I81" s="14">
        <f>SUM(K81:T81)</f>
        <v/>
      </c>
      <c r="J81" s="14">
        <f>F81-(G81+H81+I81)</f>
        <v/>
      </c>
      <c r="K81" s="14" t="n">
        <v>365.48</v>
      </c>
      <c r="L81" s="14" t="n">
        <v>365.48</v>
      </c>
      <c r="M81" s="14" t="n">
        <v>365.48</v>
      </c>
      <c r="N81" s="14" t="n">
        <v>365.48</v>
      </c>
      <c r="O81" s="14" t="n">
        <v>365.48</v>
      </c>
      <c r="P81" s="14" t="n">
        <v>365.48</v>
      </c>
      <c r="Q81" s="14" t="n">
        <v>365.48</v>
      </c>
      <c r="R81" s="14" t="n">
        <v>365.48</v>
      </c>
      <c r="S81" s="14" t="n">
        <v>365.48</v>
      </c>
      <c r="T81" s="14" t="n">
        <v>365.48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CANON-202602-003837</t>
        </is>
      </c>
      <c r="B82" s="15" t="inlineStr">
        <is>
          <t>2026-02-26</t>
        </is>
      </c>
      <c r="C82" s="15" t="inlineStr">
        <is>
          <t>Anouk Larsson</t>
        </is>
      </c>
      <c r="D82" s="15" t="inlineStr">
        <is>
          <t>NY</t>
        </is>
      </c>
      <c r="E82" s="16" t="n">
        <v>960000</v>
      </c>
      <c r="F82" s="16" t="n">
        <v>13249.71</v>
      </c>
      <c r="G82" s="16" t="n">
        <v>1656.21</v>
      </c>
      <c r="H82" s="16" t="n">
        <v>1656.21</v>
      </c>
      <c r="I82" s="16">
        <f>SUM(K82:T82)</f>
        <v/>
      </c>
      <c r="J82" s="16">
        <f>F82-(G82+H82+I82)</f>
        <v/>
      </c>
      <c r="K82" s="16" t="n">
        <v>993.73</v>
      </c>
      <c r="L82" s="16" t="n">
        <v>993.73</v>
      </c>
      <c r="M82" s="16" t="n">
        <v>993.73</v>
      </c>
      <c r="N82" s="16" t="n">
        <v>993.73</v>
      </c>
      <c r="O82" s="16" t="n">
        <v>993.73</v>
      </c>
      <c r="P82" s="16" t="n">
        <v>993.73</v>
      </c>
      <c r="Q82" s="16" t="n">
        <v>993.73</v>
      </c>
      <c r="R82" s="16" t="n">
        <v>993.73</v>
      </c>
      <c r="S82" s="16" t="n">
        <v>993.73</v>
      </c>
      <c r="T82" s="16" t="n">
        <v>993.73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CANON-202602-003843</t>
        </is>
      </c>
      <c r="B83" s="3" t="inlineStr">
        <is>
          <t>2026-02-09</t>
        </is>
      </c>
      <c r="C83" s="3" t="inlineStr">
        <is>
          <t>Beatrix Vasquez</t>
        </is>
      </c>
      <c r="D83" s="3" t="inlineStr">
        <is>
          <t>TX</t>
        </is>
      </c>
      <c r="E83" s="14" t="n">
        <v>510000</v>
      </c>
      <c r="F83" s="14" t="n">
        <v>6324.02</v>
      </c>
      <c r="G83" s="14" t="n">
        <v>790.5</v>
      </c>
      <c r="H83" s="14" t="n">
        <v>790.5</v>
      </c>
      <c r="I83" s="14">
        <f>SUM(K83:T83)</f>
        <v/>
      </c>
      <c r="J83" s="14">
        <f>F83-(G83+H83+I83)</f>
        <v/>
      </c>
      <c r="K83" s="14" t="n">
        <v>474.3</v>
      </c>
      <c r="L83" s="14" t="n">
        <v>474.3</v>
      </c>
      <c r="M83" s="14" t="n">
        <v>474.3</v>
      </c>
      <c r="N83" s="14" t="n">
        <v>474.3</v>
      </c>
      <c r="O83" s="14" t="n">
        <v>474.3</v>
      </c>
      <c r="P83" s="14" t="n">
        <v>474.3</v>
      </c>
      <c r="Q83" s="14" t="n">
        <v>474.3</v>
      </c>
      <c r="R83" s="14" t="n">
        <v>474.3</v>
      </c>
      <c r="S83" s="14" t="n">
        <v>474.3</v>
      </c>
      <c r="T83" s="14" t="n">
        <v>474.3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CANON-202602-003847</t>
        </is>
      </c>
      <c r="B84" s="15" t="inlineStr">
        <is>
          <t>2026-02-25</t>
        </is>
      </c>
      <c r="C84" s="15" t="inlineStr">
        <is>
          <t>Thaddeus Whitlock</t>
        </is>
      </c>
      <c r="D84" s="15" t="inlineStr">
        <is>
          <t>OK</t>
        </is>
      </c>
      <c r="E84" s="16" t="n">
        <v>475000</v>
      </c>
      <c r="F84" s="16" t="n">
        <v>11417.57</v>
      </c>
      <c r="G84" s="16" t="n">
        <v>1427.2</v>
      </c>
      <c r="H84" s="16" t="n">
        <v>1427.2</v>
      </c>
      <c r="I84" s="16">
        <f>SUM(K84:T84)</f>
        <v/>
      </c>
      <c r="J84" s="16">
        <f>F84-(G84+H84+I84)</f>
        <v/>
      </c>
      <c r="K84" s="16" t="n">
        <v>856.3200000000001</v>
      </c>
      <c r="L84" s="16" t="n">
        <v>856.3200000000001</v>
      </c>
      <c r="M84" s="16" t="n">
        <v>856.3200000000001</v>
      </c>
      <c r="N84" s="16" t="n">
        <v>856.3200000000001</v>
      </c>
      <c r="O84" s="16" t="n">
        <v>856.3200000000001</v>
      </c>
      <c r="P84" s="16" t="n">
        <v>856.3200000000001</v>
      </c>
      <c r="Q84" s="16" t="n">
        <v>856.3200000000001</v>
      </c>
      <c r="R84" s="16" t="n">
        <v>856.3200000000001</v>
      </c>
      <c r="S84" s="16" t="n">
        <v>856.3200000000001</v>
      </c>
      <c r="T84" s="16" t="n">
        <v>856.3200000000001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CANON-202602-003848</t>
        </is>
      </c>
      <c r="B85" s="3" t="inlineStr">
        <is>
          <t>2026-02-20</t>
        </is>
      </c>
      <c r="C85" s="3" t="inlineStr">
        <is>
          <t>Mireille Fairweather</t>
        </is>
      </c>
      <c r="D85" s="3" t="inlineStr">
        <is>
          <t>NJ</t>
        </is>
      </c>
      <c r="E85" s="14" t="n">
        <v>375000</v>
      </c>
      <c r="F85" s="14" t="n">
        <v>2717.23</v>
      </c>
      <c r="G85" s="14" t="n">
        <v>339.65</v>
      </c>
      <c r="H85" s="14" t="n">
        <v>339.65</v>
      </c>
      <c r="I85" s="14">
        <f>SUM(K85:T85)</f>
        <v/>
      </c>
      <c r="J85" s="14">
        <f>F85-(G85+H85+I85)</f>
        <v/>
      </c>
      <c r="K85" s="14" t="n">
        <v>203.79</v>
      </c>
      <c r="L85" s="14" t="n">
        <v>203.79</v>
      </c>
      <c r="M85" s="14" t="n">
        <v>203.79</v>
      </c>
      <c r="N85" s="14" t="n">
        <v>203.79</v>
      </c>
      <c r="O85" s="14" t="n">
        <v>203.79</v>
      </c>
      <c r="P85" s="14" t="n">
        <v>203.79</v>
      </c>
      <c r="Q85" s="14" t="n">
        <v>203.79</v>
      </c>
      <c r="R85" s="14" t="n">
        <v>203.79</v>
      </c>
      <c r="S85" s="14" t="n">
        <v>203.79</v>
      </c>
      <c r="T85" s="14" t="n">
        <v>203.79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CANON-202602-003849</t>
        </is>
      </c>
      <c r="B86" s="15" t="inlineStr">
        <is>
          <t>2026-02-12</t>
        </is>
      </c>
      <c r="C86" s="15" t="inlineStr">
        <is>
          <t>Ramona Vasquez</t>
        </is>
      </c>
      <c r="D86" s="15" t="inlineStr">
        <is>
          <t>ID</t>
        </is>
      </c>
      <c r="E86" s="16" t="n">
        <v>210000</v>
      </c>
      <c r="F86" s="16" t="n">
        <v>3172.88</v>
      </c>
      <c r="G86" s="16" t="n">
        <v>396.61</v>
      </c>
      <c r="H86" s="16" t="n">
        <v>396.61</v>
      </c>
      <c r="I86" s="16">
        <f>SUM(K86:T86)</f>
        <v/>
      </c>
      <c r="J86" s="16">
        <f>F86-(G86+H86+I86)</f>
        <v/>
      </c>
      <c r="K86" s="16" t="n">
        <v>237.97</v>
      </c>
      <c r="L86" s="16" t="n">
        <v>237.97</v>
      </c>
      <c r="M86" s="16" t="n">
        <v>237.97</v>
      </c>
      <c r="N86" s="16" t="n">
        <v>237.97</v>
      </c>
      <c r="O86" s="16" t="n">
        <v>237.97</v>
      </c>
      <c r="P86" s="16" t="n">
        <v>237.97</v>
      </c>
      <c r="Q86" s="16" t="n">
        <v>237.97</v>
      </c>
      <c r="R86" s="16" t="n">
        <v>237.97</v>
      </c>
      <c r="S86" s="16" t="n">
        <v>237.97</v>
      </c>
      <c r="T86" s="16" t="n">
        <v>237.97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CANON-202602-003850</t>
        </is>
      </c>
      <c r="B87" s="3" t="inlineStr">
        <is>
          <t>2026-02-23</t>
        </is>
      </c>
      <c r="C87" s="3" t="inlineStr">
        <is>
          <t>Fitzgerald Nakashima</t>
        </is>
      </c>
      <c r="D87" s="3" t="inlineStr">
        <is>
          <t>IN</t>
        </is>
      </c>
      <c r="E87" s="14" t="n">
        <v>1625000</v>
      </c>
      <c r="F87" s="14" t="n">
        <v>26525.3</v>
      </c>
      <c r="G87" s="14" t="n">
        <v>3315.66</v>
      </c>
      <c r="H87" s="14" t="n">
        <v>3315.66</v>
      </c>
      <c r="I87" s="14">
        <f>SUM(K87:T87)</f>
        <v/>
      </c>
      <c r="J87" s="14">
        <f>F87-(G87+H87+I87)</f>
        <v/>
      </c>
      <c r="K87" s="14" t="n">
        <v>1989.4</v>
      </c>
      <c r="L87" s="14" t="n">
        <v>1989.4</v>
      </c>
      <c r="M87" s="14" t="n">
        <v>1989.4</v>
      </c>
      <c r="N87" s="14" t="n">
        <v>1989.4</v>
      </c>
      <c r="O87" s="14" t="n">
        <v>1989.4</v>
      </c>
      <c r="P87" s="14" t="n">
        <v>1989.4</v>
      </c>
      <c r="Q87" s="14" t="n">
        <v>1989.4</v>
      </c>
      <c r="R87" s="14" t="n">
        <v>1989.4</v>
      </c>
      <c r="S87" s="14" t="n">
        <v>1989.4</v>
      </c>
      <c r="T87" s="14" t="n">
        <v>1989.4</v>
      </c>
      <c r="U87" s="14" t="n">
        <v>350</v>
      </c>
      <c r="V87" s="14" t="n">
        <v>250</v>
      </c>
      <c r="W87" s="14">
        <f>U87+V87</f>
        <v/>
      </c>
    </row>
    <row r="88">
      <c r="A88" s="15" t="inlineStr">
        <is>
          <t>CANON-202602-003852</t>
        </is>
      </c>
      <c r="B88" s="15" t="inlineStr">
        <is>
          <t>2026-02-05</t>
        </is>
      </c>
      <c r="C88" s="15" t="inlineStr">
        <is>
          <t>Lorenzo Larsson</t>
        </is>
      </c>
      <c r="D88" s="15" t="inlineStr">
        <is>
          <t>MT</t>
        </is>
      </c>
      <c r="E88" s="16" t="n">
        <v>395000</v>
      </c>
      <c r="F88" s="16" t="n">
        <v>2559.42</v>
      </c>
      <c r="G88" s="16" t="n">
        <v>319.93</v>
      </c>
      <c r="H88" s="16" t="n">
        <v>319.93</v>
      </c>
      <c r="I88" s="16">
        <f>SUM(K88:T88)</f>
        <v/>
      </c>
      <c r="J88" s="16">
        <f>F88-(G88+H88+I88)</f>
        <v/>
      </c>
      <c r="K88" s="16" t="n">
        <v>191.96</v>
      </c>
      <c r="L88" s="16" t="n">
        <v>191.96</v>
      </c>
      <c r="M88" s="16" t="n">
        <v>191.96</v>
      </c>
      <c r="N88" s="16" t="n">
        <v>191.96</v>
      </c>
      <c r="O88" s="16" t="n">
        <v>191.96</v>
      </c>
      <c r="P88" s="16" t="n">
        <v>191.96</v>
      </c>
      <c r="Q88" s="16" t="n">
        <v>191.96</v>
      </c>
      <c r="R88" s="16" t="n">
        <v>191.96</v>
      </c>
      <c r="S88" s="16" t="n">
        <v>191.96</v>
      </c>
      <c r="T88" s="16" t="n">
        <v>191.96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CANON-202602-003853</t>
        </is>
      </c>
      <c r="B89" s="3" t="inlineStr">
        <is>
          <t>2026-02-02</t>
        </is>
      </c>
      <c r="C89" s="3" t="inlineStr">
        <is>
          <t>Desmond Montoya</t>
        </is>
      </c>
      <c r="D89" s="3" t="inlineStr">
        <is>
          <t>NY</t>
        </is>
      </c>
      <c r="E89" s="14" t="n">
        <v>685000</v>
      </c>
      <c r="F89" s="14" t="n">
        <v>9454.219999999999</v>
      </c>
      <c r="G89" s="14" t="n">
        <v>1181.78</v>
      </c>
      <c r="H89" s="14" t="n">
        <v>1181.78</v>
      </c>
      <c r="I89" s="14">
        <f>SUM(K89:T89)</f>
        <v/>
      </c>
      <c r="J89" s="14">
        <f>F89-(G89+H89+I89)</f>
        <v/>
      </c>
      <c r="K89" s="14" t="n">
        <v>709.0700000000001</v>
      </c>
      <c r="L89" s="14" t="n">
        <v>709.0700000000001</v>
      </c>
      <c r="M89" s="14" t="n">
        <v>709.0700000000001</v>
      </c>
      <c r="N89" s="14" t="n">
        <v>709.0700000000001</v>
      </c>
      <c r="O89" s="14" t="n">
        <v>709.0700000000001</v>
      </c>
      <c r="P89" s="14" t="n">
        <v>709.0700000000001</v>
      </c>
      <c r="Q89" s="14" t="n">
        <v>709.0700000000001</v>
      </c>
      <c r="R89" s="14" t="n">
        <v>709.0700000000001</v>
      </c>
      <c r="S89" s="14" t="n">
        <v>709.0700000000001</v>
      </c>
      <c r="T89" s="14" t="n">
        <v>709.0700000000001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CANON-202602-003854</t>
        </is>
      </c>
      <c r="B90" s="15" t="inlineStr">
        <is>
          <t>2026-02-20</t>
        </is>
      </c>
      <c r="C90" s="15" t="inlineStr">
        <is>
          <t>Noor Blackwood</t>
        </is>
      </c>
      <c r="D90" s="15" t="inlineStr">
        <is>
          <t>IN</t>
        </is>
      </c>
      <c r="E90" s="16" t="n">
        <v>890000</v>
      </c>
      <c r="F90" s="16" t="n">
        <v>11803.76</v>
      </c>
      <c r="G90" s="16" t="n">
        <v>1475.47</v>
      </c>
      <c r="H90" s="16" t="n">
        <v>1475.47</v>
      </c>
      <c r="I90" s="16">
        <f>SUM(K90:T90)</f>
        <v/>
      </c>
      <c r="J90" s="16">
        <f>F90-(G90+H90+I90)</f>
        <v/>
      </c>
      <c r="K90" s="16" t="n">
        <v>885.28</v>
      </c>
      <c r="L90" s="16" t="n">
        <v>885.28</v>
      </c>
      <c r="M90" s="16" t="n">
        <v>885.28</v>
      </c>
      <c r="N90" s="16" t="n">
        <v>885.28</v>
      </c>
      <c r="O90" s="16" t="n">
        <v>885.28</v>
      </c>
      <c r="P90" s="16" t="n">
        <v>885.28</v>
      </c>
      <c r="Q90" s="16" t="n">
        <v>885.28</v>
      </c>
      <c r="R90" s="16" t="n">
        <v>885.28</v>
      </c>
      <c r="S90" s="16" t="n">
        <v>885.28</v>
      </c>
      <c r="T90" s="16" t="n">
        <v>885.28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CANON-202602-003855</t>
        </is>
      </c>
      <c r="B91" s="3" t="inlineStr">
        <is>
          <t>2026-02-17</t>
        </is>
      </c>
      <c r="C91" s="3" t="inlineStr">
        <is>
          <t>Lorenzo Okonkwo</t>
        </is>
      </c>
      <c r="D91" s="3" t="inlineStr">
        <is>
          <t>NM</t>
        </is>
      </c>
      <c r="E91" s="14" t="n">
        <v>220000</v>
      </c>
      <c r="F91" s="14" t="n">
        <v>4297.66</v>
      </c>
      <c r="G91" s="14" t="n">
        <v>537.21</v>
      </c>
      <c r="H91" s="14" t="n">
        <v>537.21</v>
      </c>
      <c r="I91" s="14">
        <f>SUM(K91:T91)</f>
        <v/>
      </c>
      <c r="J91" s="14">
        <f>F91-(G91+H91+I91)</f>
        <v/>
      </c>
      <c r="K91" s="14" t="n">
        <v>322.32</v>
      </c>
      <c r="L91" s="14" t="n">
        <v>322.32</v>
      </c>
      <c r="M91" s="14" t="n">
        <v>322.32</v>
      </c>
      <c r="N91" s="14" t="n">
        <v>322.32</v>
      </c>
      <c r="O91" s="14" t="n">
        <v>322.32</v>
      </c>
      <c r="P91" s="14" t="n">
        <v>322.32</v>
      </c>
      <c r="Q91" s="14" t="n">
        <v>322.32</v>
      </c>
      <c r="R91" s="14" t="n">
        <v>322.32</v>
      </c>
      <c r="S91" s="14" t="n">
        <v>322.32</v>
      </c>
      <c r="T91" s="14" t="n">
        <v>322.32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CANON-202602-003858</t>
        </is>
      </c>
      <c r="B92" s="15" t="inlineStr">
        <is>
          <t>2026-02-13</t>
        </is>
      </c>
      <c r="C92" s="15" t="inlineStr">
        <is>
          <t>Emiliano Merriweather</t>
        </is>
      </c>
      <c r="D92" s="15" t="inlineStr">
        <is>
          <t>NJ</t>
        </is>
      </c>
      <c r="E92" s="16" t="n">
        <v>560000</v>
      </c>
      <c r="F92" s="16" t="n">
        <v>5494.83</v>
      </c>
      <c r="G92" s="16" t="n">
        <v>686.85</v>
      </c>
      <c r="H92" s="16" t="n">
        <v>686.85</v>
      </c>
      <c r="I92" s="16">
        <f>SUM(K92:T92)</f>
        <v/>
      </c>
      <c r="J92" s="16">
        <f>F92-(G92+H92+I92)</f>
        <v/>
      </c>
      <c r="K92" s="16" t="n">
        <v>412.11</v>
      </c>
      <c r="L92" s="16" t="n">
        <v>412.11</v>
      </c>
      <c r="M92" s="16" t="n">
        <v>412.11</v>
      </c>
      <c r="N92" s="16" t="n">
        <v>412.11</v>
      </c>
      <c r="O92" s="16" t="n">
        <v>412.11</v>
      </c>
      <c r="P92" s="16" t="n">
        <v>412.11</v>
      </c>
      <c r="Q92" s="16" t="n">
        <v>412.11</v>
      </c>
      <c r="R92" s="16" t="n">
        <v>412.11</v>
      </c>
      <c r="S92" s="16" t="n">
        <v>412.11</v>
      </c>
      <c r="T92" s="16" t="n">
        <v>412.11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CANON-202602-003859</t>
        </is>
      </c>
      <c r="B93" s="3" t="inlineStr">
        <is>
          <t>2026-02-15</t>
        </is>
      </c>
      <c r="C93" s="3" t="inlineStr">
        <is>
          <t>Wilhelmina Fairweather</t>
        </is>
      </c>
      <c r="D93" s="3" t="inlineStr">
        <is>
          <t>VA</t>
        </is>
      </c>
      <c r="E93" s="14" t="n">
        <v>1195000</v>
      </c>
      <c r="F93" s="14" t="n">
        <v>14693.16</v>
      </c>
      <c r="G93" s="14" t="n">
        <v>1836.64</v>
      </c>
      <c r="H93" s="14" t="n">
        <v>1836.64</v>
      </c>
      <c r="I93" s="14">
        <f>SUM(K93:T93)</f>
        <v/>
      </c>
      <c r="J93" s="14">
        <f>F93-(G93+H93+I93)</f>
        <v/>
      </c>
      <c r="K93" s="14" t="n">
        <v>1101.99</v>
      </c>
      <c r="L93" s="14" t="n">
        <v>1101.99</v>
      </c>
      <c r="M93" s="14" t="n">
        <v>1101.99</v>
      </c>
      <c r="N93" s="14" t="n">
        <v>1101.99</v>
      </c>
      <c r="O93" s="14" t="n">
        <v>1101.99</v>
      </c>
      <c r="P93" s="14" t="n">
        <v>1101.99</v>
      </c>
      <c r="Q93" s="14" t="n">
        <v>1101.99</v>
      </c>
      <c r="R93" s="14" t="n">
        <v>1101.99</v>
      </c>
      <c r="S93" s="14" t="n">
        <v>1101.99</v>
      </c>
      <c r="T93" s="14" t="n">
        <v>1101.99</v>
      </c>
      <c r="U93" s="14" t="n">
        <v>350</v>
      </c>
      <c r="V93" s="14" t="n">
        <v>250</v>
      </c>
      <c r="W93" s="14">
        <f>U93+V93</f>
        <v/>
      </c>
    </row>
    <row r="94">
      <c r="A94" s="15" t="inlineStr">
        <is>
          <t>CANON-202602-003860</t>
        </is>
      </c>
      <c r="B94" s="15" t="inlineStr">
        <is>
          <t>2026-02-27</t>
        </is>
      </c>
      <c r="C94" s="15" t="inlineStr">
        <is>
          <t>Ottilie Vasquez</t>
        </is>
      </c>
      <c r="D94" s="15" t="inlineStr">
        <is>
          <t>TX</t>
        </is>
      </c>
      <c r="E94" s="16" t="n">
        <v>565000</v>
      </c>
      <c r="F94" s="16" t="n">
        <v>4095.82</v>
      </c>
      <c r="G94" s="16" t="n">
        <v>511.98</v>
      </c>
      <c r="H94" s="16" t="n">
        <v>511.98</v>
      </c>
      <c r="I94" s="16">
        <f>SUM(K94:T94)</f>
        <v/>
      </c>
      <c r="J94" s="16">
        <f>F94-(G94+H94+I94)</f>
        <v/>
      </c>
      <c r="K94" s="16" t="n">
        <v>307.19</v>
      </c>
      <c r="L94" s="16" t="n">
        <v>307.19</v>
      </c>
      <c r="M94" s="16" t="n">
        <v>307.19</v>
      </c>
      <c r="N94" s="16" t="n">
        <v>307.19</v>
      </c>
      <c r="O94" s="16" t="n">
        <v>307.19</v>
      </c>
      <c r="P94" s="16" t="n">
        <v>307.19</v>
      </c>
      <c r="Q94" s="16" t="n">
        <v>307.19</v>
      </c>
      <c r="R94" s="16" t="n">
        <v>307.19</v>
      </c>
      <c r="S94" s="16" t="n">
        <v>307.19</v>
      </c>
      <c r="T94" s="16" t="n">
        <v>307.19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CANON-202602-003861</t>
        </is>
      </c>
      <c r="B95" s="3" t="inlineStr">
        <is>
          <t>2026-02-27</t>
        </is>
      </c>
      <c r="C95" s="3" t="inlineStr">
        <is>
          <t>Sunniva Harrington</t>
        </is>
      </c>
      <c r="D95" s="3" t="inlineStr">
        <is>
          <t>CA</t>
        </is>
      </c>
      <c r="E95" s="14" t="n">
        <v>615000</v>
      </c>
      <c r="F95" s="14" t="n">
        <v>13084.11</v>
      </c>
      <c r="G95" s="14" t="n">
        <v>1635.51</v>
      </c>
      <c r="H95" s="14" t="n">
        <v>1635.51</v>
      </c>
      <c r="I95" s="14">
        <f>SUM(K95:T95)</f>
        <v/>
      </c>
      <c r="J95" s="14">
        <f>F95-(G95+H95+I95)</f>
        <v/>
      </c>
      <c r="K95" s="14" t="n">
        <v>981.3099999999999</v>
      </c>
      <c r="L95" s="14" t="n">
        <v>981.3099999999999</v>
      </c>
      <c r="M95" s="14" t="n">
        <v>981.3099999999999</v>
      </c>
      <c r="N95" s="14" t="n">
        <v>981.3099999999999</v>
      </c>
      <c r="O95" s="14" t="n">
        <v>981.3099999999999</v>
      </c>
      <c r="P95" s="14" t="n">
        <v>981.3099999999999</v>
      </c>
      <c r="Q95" s="14" t="n">
        <v>981.3099999999999</v>
      </c>
      <c r="R95" s="14" t="n">
        <v>981.3099999999999</v>
      </c>
      <c r="S95" s="14" t="n">
        <v>981.3099999999999</v>
      </c>
      <c r="T95" s="14" t="n">
        <v>981.3099999999999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CANON-202602-003864</t>
        </is>
      </c>
      <c r="B96" s="15" t="inlineStr">
        <is>
          <t>2026-02-03</t>
        </is>
      </c>
      <c r="C96" s="15" t="inlineStr">
        <is>
          <t>Desmond Rourke</t>
        </is>
      </c>
      <c r="D96" s="15" t="inlineStr">
        <is>
          <t>PA</t>
        </is>
      </c>
      <c r="E96" s="16" t="n">
        <v>650000</v>
      </c>
      <c r="F96" s="16" t="n">
        <v>7008.72</v>
      </c>
      <c r="G96" s="16" t="n">
        <v>876.09</v>
      </c>
      <c r="H96" s="16" t="n">
        <v>876.09</v>
      </c>
      <c r="I96" s="16">
        <f>SUM(K96:T96)</f>
        <v/>
      </c>
      <c r="J96" s="16">
        <f>F96-(G96+H96+I96)</f>
        <v/>
      </c>
      <c r="K96" s="16" t="n">
        <v>525.65</v>
      </c>
      <c r="L96" s="16" t="n">
        <v>525.65</v>
      </c>
      <c r="M96" s="16" t="n">
        <v>525.65</v>
      </c>
      <c r="N96" s="16" t="n">
        <v>525.65</v>
      </c>
      <c r="O96" s="16" t="n">
        <v>525.65</v>
      </c>
      <c r="P96" s="16" t="n">
        <v>525.65</v>
      </c>
      <c r="Q96" s="16" t="n">
        <v>525.65</v>
      </c>
      <c r="R96" s="16" t="n">
        <v>525.65</v>
      </c>
      <c r="S96" s="16" t="n">
        <v>525.65</v>
      </c>
      <c r="T96" s="16" t="n">
        <v>525.65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CANON-202602-003865</t>
        </is>
      </c>
      <c r="B97" s="3" t="inlineStr">
        <is>
          <t>2026-02-13</t>
        </is>
      </c>
      <c r="C97" s="3" t="inlineStr">
        <is>
          <t>Thaddeus Rourke</t>
        </is>
      </c>
      <c r="D97" s="3" t="inlineStr">
        <is>
          <t>NY</t>
        </is>
      </c>
      <c r="E97" s="14" t="n">
        <v>360000</v>
      </c>
      <c r="F97" s="14" t="n">
        <v>5733.04</v>
      </c>
      <c r="G97" s="14" t="n">
        <v>716.63</v>
      </c>
      <c r="H97" s="14" t="n">
        <v>716.63</v>
      </c>
      <c r="I97" s="14">
        <f>SUM(K97:T97)</f>
        <v/>
      </c>
      <c r="J97" s="14">
        <f>F97-(G97+H97+I97)</f>
        <v/>
      </c>
      <c r="K97" s="14" t="n">
        <v>429.98</v>
      </c>
      <c r="L97" s="14" t="n">
        <v>429.98</v>
      </c>
      <c r="M97" s="14" t="n">
        <v>429.98</v>
      </c>
      <c r="N97" s="14" t="n">
        <v>429.98</v>
      </c>
      <c r="O97" s="14" t="n">
        <v>429.98</v>
      </c>
      <c r="P97" s="14" t="n">
        <v>429.98</v>
      </c>
      <c r="Q97" s="14" t="n">
        <v>429.98</v>
      </c>
      <c r="R97" s="14" t="n">
        <v>429.98</v>
      </c>
      <c r="S97" s="14" t="n">
        <v>429.98</v>
      </c>
      <c r="T97" s="14" t="n">
        <v>429.98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CANON-202602-003866</t>
        </is>
      </c>
      <c r="B98" s="15" t="inlineStr">
        <is>
          <t>2026-02-18</t>
        </is>
      </c>
      <c r="C98" s="15" t="inlineStr">
        <is>
          <t>Leopold Underwood</t>
        </is>
      </c>
      <c r="D98" s="15" t="inlineStr">
        <is>
          <t>WI</t>
        </is>
      </c>
      <c r="E98" s="16" t="n">
        <v>565000</v>
      </c>
      <c r="F98" s="16" t="n">
        <v>7310.63</v>
      </c>
      <c r="G98" s="16" t="n">
        <v>913.83</v>
      </c>
      <c r="H98" s="16" t="n">
        <v>913.83</v>
      </c>
      <c r="I98" s="16">
        <f>SUM(K98:T98)</f>
        <v/>
      </c>
      <c r="J98" s="16">
        <f>F98-(G98+H98+I98)</f>
        <v/>
      </c>
      <c r="K98" s="16" t="n">
        <v>548.3</v>
      </c>
      <c r="L98" s="16" t="n">
        <v>548.3</v>
      </c>
      <c r="M98" s="16" t="n">
        <v>548.3</v>
      </c>
      <c r="N98" s="16" t="n">
        <v>548.3</v>
      </c>
      <c r="O98" s="16" t="n">
        <v>548.3</v>
      </c>
      <c r="P98" s="16" t="n">
        <v>548.3</v>
      </c>
      <c r="Q98" s="16" t="n">
        <v>548.3</v>
      </c>
      <c r="R98" s="16" t="n">
        <v>548.3</v>
      </c>
      <c r="S98" s="16" t="n">
        <v>548.3</v>
      </c>
      <c r="T98" s="16" t="n">
        <v>548.3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CANON-202602-003867</t>
        </is>
      </c>
      <c r="B99" s="3" t="inlineStr">
        <is>
          <t>2026-02-17</t>
        </is>
      </c>
      <c r="C99" s="3" t="inlineStr">
        <is>
          <t>Ramona Harrington</t>
        </is>
      </c>
      <c r="D99" s="3" t="inlineStr">
        <is>
          <t>WI</t>
        </is>
      </c>
      <c r="E99" s="14" t="n">
        <v>355000</v>
      </c>
      <c r="F99" s="14" t="n">
        <v>6218.77</v>
      </c>
      <c r="G99" s="14" t="n">
        <v>777.35</v>
      </c>
      <c r="H99" s="14" t="n">
        <v>777.35</v>
      </c>
      <c r="I99" s="14">
        <f>SUM(K99:T99)</f>
        <v/>
      </c>
      <c r="J99" s="14">
        <f>F99-(G99+H99+I99)</f>
        <v/>
      </c>
      <c r="K99" s="14" t="n">
        <v>466.41</v>
      </c>
      <c r="L99" s="14" t="n">
        <v>466.41</v>
      </c>
      <c r="M99" s="14" t="n">
        <v>466.41</v>
      </c>
      <c r="N99" s="14" t="n">
        <v>466.41</v>
      </c>
      <c r="O99" s="14" t="n">
        <v>466.41</v>
      </c>
      <c r="P99" s="14" t="n">
        <v>466.41</v>
      </c>
      <c r="Q99" s="14" t="n">
        <v>466.41</v>
      </c>
      <c r="R99" s="14" t="n">
        <v>466.41</v>
      </c>
      <c r="S99" s="14" t="n">
        <v>466.41</v>
      </c>
      <c r="T99" s="14" t="n">
        <v>466.41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CANON-202602-003868</t>
        </is>
      </c>
      <c r="B100" s="15" t="inlineStr">
        <is>
          <t>2026-02-14</t>
        </is>
      </c>
      <c r="C100" s="15" t="inlineStr">
        <is>
          <t>Callum Chattopadhyay</t>
        </is>
      </c>
      <c r="D100" s="15" t="inlineStr">
        <is>
          <t>SD</t>
        </is>
      </c>
      <c r="E100" s="16" t="n">
        <v>690000</v>
      </c>
      <c r="F100" s="16" t="n">
        <v>8258.42</v>
      </c>
      <c r="G100" s="16" t="n">
        <v>1032.3</v>
      </c>
      <c r="H100" s="16" t="n">
        <v>1032.3</v>
      </c>
      <c r="I100" s="16">
        <f>SUM(K100:T100)</f>
        <v/>
      </c>
      <c r="J100" s="16">
        <f>F100-(G100+H100+I100)</f>
        <v/>
      </c>
      <c r="K100" s="16" t="n">
        <v>619.38</v>
      </c>
      <c r="L100" s="16" t="n">
        <v>619.38</v>
      </c>
      <c r="M100" s="16" t="n">
        <v>619.38</v>
      </c>
      <c r="N100" s="16" t="n">
        <v>619.38</v>
      </c>
      <c r="O100" s="16" t="n">
        <v>619.38</v>
      </c>
      <c r="P100" s="16" t="n">
        <v>619.38</v>
      </c>
      <c r="Q100" s="16" t="n">
        <v>619.38</v>
      </c>
      <c r="R100" s="16" t="n">
        <v>619.38</v>
      </c>
      <c r="S100" s="16" t="n">
        <v>619.38</v>
      </c>
      <c r="T100" s="16" t="n">
        <v>619.38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CANON-202602-003871</t>
        </is>
      </c>
      <c r="B101" s="3" t="inlineStr">
        <is>
          <t>2026-02-06</t>
        </is>
      </c>
      <c r="C101" s="3" t="inlineStr">
        <is>
          <t>Fenwick Ashcombe</t>
        </is>
      </c>
      <c r="D101" s="3" t="inlineStr">
        <is>
          <t>NE</t>
        </is>
      </c>
      <c r="E101" s="14" t="n">
        <v>375000</v>
      </c>
      <c r="F101" s="14" t="n">
        <v>6065.23</v>
      </c>
      <c r="G101" s="14" t="n">
        <v>758.15</v>
      </c>
      <c r="H101" s="14" t="n">
        <v>758.15</v>
      </c>
      <c r="I101" s="14">
        <f>SUM(K101:T101)</f>
        <v/>
      </c>
      <c r="J101" s="14">
        <f>F101-(G101+H101+I101)</f>
        <v/>
      </c>
      <c r="K101" s="14" t="n">
        <v>454.89</v>
      </c>
      <c r="L101" s="14" t="n">
        <v>454.89</v>
      </c>
      <c r="M101" s="14" t="n">
        <v>454.89</v>
      </c>
      <c r="N101" s="14" t="n">
        <v>454.89</v>
      </c>
      <c r="O101" s="14" t="n">
        <v>454.89</v>
      </c>
      <c r="P101" s="14" t="n">
        <v>454.89</v>
      </c>
      <c r="Q101" s="14" t="n">
        <v>454.89</v>
      </c>
      <c r="R101" s="14" t="n">
        <v>454.89</v>
      </c>
      <c r="S101" s="14" t="n">
        <v>454.89</v>
      </c>
      <c r="T101" s="14" t="n">
        <v>454.89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CANON-202602-003872</t>
        </is>
      </c>
      <c r="B102" s="15" t="inlineStr">
        <is>
          <t>2026-02-27</t>
        </is>
      </c>
      <c r="C102" s="15" t="inlineStr">
        <is>
          <t>Saoirse Pennington</t>
        </is>
      </c>
      <c r="D102" s="15" t="inlineStr">
        <is>
          <t>WA</t>
        </is>
      </c>
      <c r="E102" s="16" t="n">
        <v>995000</v>
      </c>
      <c r="F102" s="16" t="n">
        <v>10299.58</v>
      </c>
      <c r="G102" s="16" t="n">
        <v>1287.45</v>
      </c>
      <c r="H102" s="16" t="n">
        <v>1287.45</v>
      </c>
      <c r="I102" s="16">
        <f>SUM(K102:T102)</f>
        <v/>
      </c>
      <c r="J102" s="16">
        <f>F102-(G102+H102+I102)</f>
        <v/>
      </c>
      <c r="K102" s="16" t="n">
        <v>772.47</v>
      </c>
      <c r="L102" s="16" t="n">
        <v>772.47</v>
      </c>
      <c r="M102" s="16" t="n">
        <v>772.47</v>
      </c>
      <c r="N102" s="16" t="n">
        <v>772.47</v>
      </c>
      <c r="O102" s="16" t="n">
        <v>772.47</v>
      </c>
      <c r="P102" s="16" t="n">
        <v>772.47</v>
      </c>
      <c r="Q102" s="16" t="n">
        <v>772.47</v>
      </c>
      <c r="R102" s="16" t="n">
        <v>772.47</v>
      </c>
      <c r="S102" s="16" t="n">
        <v>772.47</v>
      </c>
      <c r="T102" s="16" t="n">
        <v>772.47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CANON-202602-003874</t>
        </is>
      </c>
      <c r="B103" s="3" t="inlineStr">
        <is>
          <t>2026-02-06</t>
        </is>
      </c>
      <c r="C103" s="3" t="inlineStr">
        <is>
          <t>Thaddeus Rourke</t>
        </is>
      </c>
      <c r="D103" s="3" t="inlineStr">
        <is>
          <t>OK</t>
        </is>
      </c>
      <c r="E103" s="14" t="n">
        <v>465000</v>
      </c>
      <c r="F103" s="14" t="n">
        <v>7289.48</v>
      </c>
      <c r="G103" s="14" t="n">
        <v>911.1799999999999</v>
      </c>
      <c r="H103" s="14" t="n">
        <v>911.1799999999999</v>
      </c>
      <c r="I103" s="14">
        <f>SUM(K103:T103)</f>
        <v/>
      </c>
      <c r="J103" s="14">
        <f>F103-(G103+H103+I103)</f>
        <v/>
      </c>
      <c r="K103" s="14" t="n">
        <v>546.71</v>
      </c>
      <c r="L103" s="14" t="n">
        <v>546.71</v>
      </c>
      <c r="M103" s="14" t="n">
        <v>546.71</v>
      </c>
      <c r="N103" s="14" t="n">
        <v>546.71</v>
      </c>
      <c r="O103" s="14" t="n">
        <v>546.71</v>
      </c>
      <c r="P103" s="14" t="n">
        <v>546.71</v>
      </c>
      <c r="Q103" s="14" t="n">
        <v>546.71</v>
      </c>
      <c r="R103" s="14" t="n">
        <v>546.71</v>
      </c>
      <c r="S103" s="14" t="n">
        <v>546.71</v>
      </c>
      <c r="T103" s="14" t="n">
        <v>546.71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CANON-202602-003875</t>
        </is>
      </c>
      <c r="B104" s="15" t="inlineStr">
        <is>
          <t>2026-02-08</t>
        </is>
      </c>
      <c r="C104" s="15" t="inlineStr">
        <is>
          <t>Thaddeus Whitlock</t>
        </is>
      </c>
      <c r="D104" s="15" t="inlineStr">
        <is>
          <t>PA</t>
        </is>
      </c>
      <c r="E104" s="16" t="n">
        <v>960000</v>
      </c>
      <c r="F104" s="16" t="n">
        <v>10351.33</v>
      </c>
      <c r="G104" s="16" t="n">
        <v>1293.92</v>
      </c>
      <c r="H104" s="16" t="n">
        <v>1293.92</v>
      </c>
      <c r="I104" s="16">
        <f>SUM(K104:T104)</f>
        <v/>
      </c>
      <c r="J104" s="16">
        <f>F104-(G104+H104+I104)</f>
        <v/>
      </c>
      <c r="K104" s="16" t="n">
        <v>776.35</v>
      </c>
      <c r="L104" s="16" t="n">
        <v>776.35</v>
      </c>
      <c r="M104" s="16" t="n">
        <v>776.35</v>
      </c>
      <c r="N104" s="16" t="n">
        <v>776.35</v>
      </c>
      <c r="O104" s="16" t="n">
        <v>776.35</v>
      </c>
      <c r="P104" s="16" t="n">
        <v>776.35</v>
      </c>
      <c r="Q104" s="16" t="n">
        <v>776.35</v>
      </c>
      <c r="R104" s="16" t="n">
        <v>776.35</v>
      </c>
      <c r="S104" s="16" t="n">
        <v>776.35</v>
      </c>
      <c r="T104" s="16" t="n">
        <v>776.35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CANON-202602-003876</t>
        </is>
      </c>
      <c r="B105" s="3" t="inlineStr">
        <is>
          <t>2026-02-16</t>
        </is>
      </c>
      <c r="C105" s="3" t="inlineStr">
        <is>
          <t>Fitzgerald Larsson</t>
        </is>
      </c>
      <c r="D105" s="3" t="inlineStr">
        <is>
          <t>OH</t>
        </is>
      </c>
      <c r="E105" s="14" t="n">
        <v>615000</v>
      </c>
      <c r="F105" s="14" t="n">
        <v>9217.540000000001</v>
      </c>
      <c r="G105" s="14" t="n">
        <v>1152.19</v>
      </c>
      <c r="H105" s="14" t="n">
        <v>1152.19</v>
      </c>
      <c r="I105" s="14">
        <f>SUM(K105:T105)</f>
        <v/>
      </c>
      <c r="J105" s="14">
        <f>F105-(G105+H105+I105)</f>
        <v/>
      </c>
      <c r="K105" s="14" t="n">
        <v>691.3200000000001</v>
      </c>
      <c r="L105" s="14" t="n">
        <v>691.3200000000001</v>
      </c>
      <c r="M105" s="14" t="n">
        <v>691.3200000000001</v>
      </c>
      <c r="N105" s="14" t="n">
        <v>691.3200000000001</v>
      </c>
      <c r="O105" s="14" t="n">
        <v>691.3200000000001</v>
      </c>
      <c r="P105" s="14" t="n">
        <v>691.3200000000001</v>
      </c>
      <c r="Q105" s="14" t="n">
        <v>691.3200000000001</v>
      </c>
      <c r="R105" s="14" t="n">
        <v>691.3200000000001</v>
      </c>
      <c r="S105" s="14" t="n">
        <v>691.3200000000001</v>
      </c>
      <c r="T105" s="14" t="n">
        <v>691.3200000000001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CANON-202602-003877</t>
        </is>
      </c>
      <c r="B106" s="15" t="inlineStr">
        <is>
          <t>2026-02-07</t>
        </is>
      </c>
      <c r="C106" s="15" t="inlineStr">
        <is>
          <t>Priya Castellanos</t>
        </is>
      </c>
      <c r="D106" s="15" t="inlineStr">
        <is>
          <t>CA</t>
        </is>
      </c>
      <c r="E106" s="16" t="n">
        <v>1785000</v>
      </c>
      <c r="F106" s="16" t="n">
        <v>15190.33</v>
      </c>
      <c r="G106" s="16" t="n">
        <v>1898.79</v>
      </c>
      <c r="H106" s="16" t="n">
        <v>1898.79</v>
      </c>
      <c r="I106" s="16">
        <f>SUM(K106:T106)</f>
        <v/>
      </c>
      <c r="J106" s="16">
        <f>F106-(G106+H106+I106)</f>
        <v/>
      </c>
      <c r="K106" s="16" t="n">
        <v>1139.27</v>
      </c>
      <c r="L106" s="16" t="n">
        <v>1139.27</v>
      </c>
      <c r="M106" s="16" t="n">
        <v>1139.27</v>
      </c>
      <c r="N106" s="16" t="n">
        <v>1139.27</v>
      </c>
      <c r="O106" s="16" t="n">
        <v>1139.27</v>
      </c>
      <c r="P106" s="16" t="n">
        <v>1139.27</v>
      </c>
      <c r="Q106" s="16" t="n">
        <v>1139.27</v>
      </c>
      <c r="R106" s="16" t="n">
        <v>1139.27</v>
      </c>
      <c r="S106" s="16" t="n">
        <v>1139.27</v>
      </c>
      <c r="T106" s="16" t="n">
        <v>1139.27</v>
      </c>
      <c r="U106" s="16" t="n">
        <v>350</v>
      </c>
      <c r="V106" s="16" t="n">
        <v>250</v>
      </c>
      <c r="W106" s="16">
        <f>U106+V106</f>
        <v/>
      </c>
    </row>
    <row r="107">
      <c r="A107" s="3" t="inlineStr">
        <is>
          <t>CANON-202602-003878</t>
        </is>
      </c>
      <c r="B107" s="3" t="inlineStr">
        <is>
          <t>2026-02-14</t>
        </is>
      </c>
      <c r="C107" s="3" t="inlineStr">
        <is>
          <t>Cassius Larsson</t>
        </is>
      </c>
      <c r="D107" s="3" t="inlineStr">
        <is>
          <t>AK</t>
        </is>
      </c>
      <c r="E107" s="14" t="n">
        <v>705000</v>
      </c>
      <c r="F107" s="14" t="n">
        <v>8666.01</v>
      </c>
      <c r="G107" s="14" t="n">
        <v>1083.25</v>
      </c>
      <c r="H107" s="14" t="n">
        <v>1083.25</v>
      </c>
      <c r="I107" s="14">
        <f>SUM(K107:T107)</f>
        <v/>
      </c>
      <c r="J107" s="14">
        <f>F107-(G107+H107+I107)</f>
        <v/>
      </c>
      <c r="K107" s="14" t="n">
        <v>649.95</v>
      </c>
      <c r="L107" s="14" t="n">
        <v>649.95</v>
      </c>
      <c r="M107" s="14" t="n">
        <v>649.95</v>
      </c>
      <c r="N107" s="14" t="n">
        <v>649.95</v>
      </c>
      <c r="O107" s="14" t="n">
        <v>649.95</v>
      </c>
      <c r="P107" s="14" t="n">
        <v>649.95</v>
      </c>
      <c r="Q107" s="14" t="n">
        <v>649.95</v>
      </c>
      <c r="R107" s="14" t="n">
        <v>649.95</v>
      </c>
      <c r="S107" s="14" t="n">
        <v>649.95</v>
      </c>
      <c r="T107" s="14" t="n">
        <v>649.95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CANON-202602-003879</t>
        </is>
      </c>
      <c r="B108" s="15" t="inlineStr">
        <is>
          <t>2026-02-15</t>
        </is>
      </c>
      <c r="C108" s="15" t="inlineStr">
        <is>
          <t>Lorenzo Farkas</t>
        </is>
      </c>
      <c r="D108" s="15" t="inlineStr">
        <is>
          <t>VT</t>
        </is>
      </c>
      <c r="E108" s="16" t="n">
        <v>490000</v>
      </c>
      <c r="F108" s="16" t="n">
        <v>7437.53</v>
      </c>
      <c r="G108" s="16" t="n">
        <v>929.6900000000001</v>
      </c>
      <c r="H108" s="16" t="n">
        <v>929.6900000000001</v>
      </c>
      <c r="I108" s="16">
        <f>SUM(K108:T108)</f>
        <v/>
      </c>
      <c r="J108" s="16">
        <f>F108-(G108+H108+I108)</f>
        <v/>
      </c>
      <c r="K108" s="16" t="n">
        <v>557.8099999999999</v>
      </c>
      <c r="L108" s="16" t="n">
        <v>557.8099999999999</v>
      </c>
      <c r="M108" s="16" t="n">
        <v>557.8099999999999</v>
      </c>
      <c r="N108" s="16" t="n">
        <v>557.8099999999999</v>
      </c>
      <c r="O108" s="16" t="n">
        <v>557.8099999999999</v>
      </c>
      <c r="P108" s="16" t="n">
        <v>557.8099999999999</v>
      </c>
      <c r="Q108" s="16" t="n">
        <v>557.8099999999999</v>
      </c>
      <c r="R108" s="16" t="n">
        <v>557.8099999999999</v>
      </c>
      <c r="S108" s="16" t="n">
        <v>557.8099999999999</v>
      </c>
      <c r="T108" s="16" t="n">
        <v>557.8099999999999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CANON-202602-003881</t>
        </is>
      </c>
      <c r="B109" s="3" t="inlineStr">
        <is>
          <t>2026-02-28</t>
        </is>
      </c>
      <c r="C109" s="3" t="inlineStr">
        <is>
          <t>Aurelio Nakashima</t>
        </is>
      </c>
      <c r="D109" s="3" t="inlineStr">
        <is>
          <t>IL</t>
        </is>
      </c>
      <c r="E109" s="14" t="n">
        <v>1610000</v>
      </c>
      <c r="F109" s="14" t="n">
        <v>29058.06</v>
      </c>
      <c r="G109" s="14" t="n">
        <v>3632.26</v>
      </c>
      <c r="H109" s="14" t="n">
        <v>3632.26</v>
      </c>
      <c r="I109" s="14">
        <f>SUM(K109:T109)</f>
        <v/>
      </c>
      <c r="J109" s="14">
        <f>F109-(G109+H109+I109)</f>
        <v/>
      </c>
      <c r="K109" s="14" t="n">
        <v>2179.35</v>
      </c>
      <c r="L109" s="14" t="n">
        <v>2179.35</v>
      </c>
      <c r="M109" s="14" t="n">
        <v>2179.35</v>
      </c>
      <c r="N109" s="14" t="n">
        <v>2179.35</v>
      </c>
      <c r="O109" s="14" t="n">
        <v>2179.35</v>
      </c>
      <c r="P109" s="14" t="n">
        <v>2179.35</v>
      </c>
      <c r="Q109" s="14" t="n">
        <v>2179.35</v>
      </c>
      <c r="R109" s="14" t="n">
        <v>2179.35</v>
      </c>
      <c r="S109" s="14" t="n">
        <v>2179.35</v>
      </c>
      <c r="T109" s="14" t="n">
        <v>2179.35</v>
      </c>
      <c r="U109" s="14" t="n">
        <v>350</v>
      </c>
      <c r="V109" s="14" t="n">
        <v>250</v>
      </c>
      <c r="W109" s="14">
        <f>U109+V109</f>
        <v/>
      </c>
    </row>
    <row r="110">
      <c r="A110" s="15" t="inlineStr">
        <is>
          <t>CANON-202602-003882</t>
        </is>
      </c>
      <c r="B110" s="15" t="inlineStr">
        <is>
          <t>2026-02-11</t>
        </is>
      </c>
      <c r="C110" s="15" t="inlineStr">
        <is>
          <t>Noor Whitlock</t>
        </is>
      </c>
      <c r="D110" s="15" t="inlineStr">
        <is>
          <t>IN</t>
        </is>
      </c>
      <c r="E110" s="16" t="n">
        <v>490000</v>
      </c>
      <c r="F110" s="16" t="n">
        <v>7498.49</v>
      </c>
      <c r="G110" s="16" t="n">
        <v>937.3099999999999</v>
      </c>
      <c r="H110" s="16" t="n">
        <v>937.3099999999999</v>
      </c>
      <c r="I110" s="16">
        <f>SUM(K110:T110)</f>
        <v/>
      </c>
      <c r="J110" s="16">
        <f>F110-(G110+H110+I110)</f>
        <v/>
      </c>
      <c r="K110" s="16" t="n">
        <v>562.39</v>
      </c>
      <c r="L110" s="16" t="n">
        <v>562.39</v>
      </c>
      <c r="M110" s="16" t="n">
        <v>562.39</v>
      </c>
      <c r="N110" s="16" t="n">
        <v>562.39</v>
      </c>
      <c r="O110" s="16" t="n">
        <v>562.39</v>
      </c>
      <c r="P110" s="16" t="n">
        <v>562.39</v>
      </c>
      <c r="Q110" s="16" t="n">
        <v>562.39</v>
      </c>
      <c r="R110" s="16" t="n">
        <v>562.39</v>
      </c>
      <c r="S110" s="16" t="n">
        <v>562.39</v>
      </c>
      <c r="T110" s="16" t="n">
        <v>562.39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CANON-202602-003884</t>
        </is>
      </c>
      <c r="B111" s="3" t="inlineStr">
        <is>
          <t>2026-02-16</t>
        </is>
      </c>
      <c r="C111" s="3" t="inlineStr">
        <is>
          <t>Aurelio Chattopadhyay</t>
        </is>
      </c>
      <c r="D111" s="3" t="inlineStr">
        <is>
          <t>CA</t>
        </is>
      </c>
      <c r="E111" s="14" t="n">
        <v>300000</v>
      </c>
      <c r="F111" s="14" t="n">
        <v>5038.81</v>
      </c>
      <c r="G111" s="14" t="n">
        <v>629.85</v>
      </c>
      <c r="H111" s="14" t="n">
        <v>629.85</v>
      </c>
      <c r="I111" s="14">
        <f>SUM(K111:T111)</f>
        <v/>
      </c>
      <c r="J111" s="14">
        <f>F111-(G111+H111+I111)</f>
        <v/>
      </c>
      <c r="K111" s="14" t="n">
        <v>377.91</v>
      </c>
      <c r="L111" s="14" t="n">
        <v>377.91</v>
      </c>
      <c r="M111" s="14" t="n">
        <v>377.91</v>
      </c>
      <c r="N111" s="14" t="n">
        <v>377.91</v>
      </c>
      <c r="O111" s="14" t="n">
        <v>377.91</v>
      </c>
      <c r="P111" s="14" t="n">
        <v>377.91</v>
      </c>
      <c r="Q111" s="14" t="n">
        <v>377.91</v>
      </c>
      <c r="R111" s="14" t="n">
        <v>377.91</v>
      </c>
      <c r="S111" s="14" t="n">
        <v>377.91</v>
      </c>
      <c r="T111" s="14" t="n">
        <v>377.91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CANON-202602-003885</t>
        </is>
      </c>
      <c r="B112" s="15" t="inlineStr">
        <is>
          <t>2026-02-22</t>
        </is>
      </c>
      <c r="C112" s="15" t="inlineStr">
        <is>
          <t>Fenwick Chattopadhyay</t>
        </is>
      </c>
      <c r="D112" s="15" t="inlineStr">
        <is>
          <t>IN</t>
        </is>
      </c>
      <c r="E112" s="16" t="n">
        <v>445000</v>
      </c>
      <c r="F112" s="16" t="n">
        <v>6809.86</v>
      </c>
      <c r="G112" s="16" t="n">
        <v>851.23</v>
      </c>
      <c r="H112" s="16" t="n">
        <v>851.23</v>
      </c>
      <c r="I112" s="16">
        <f>SUM(K112:T112)</f>
        <v/>
      </c>
      <c r="J112" s="16">
        <f>F112-(G112+H112+I112)</f>
        <v/>
      </c>
      <c r="K112" s="16" t="n">
        <v>510.74</v>
      </c>
      <c r="L112" s="16" t="n">
        <v>510.74</v>
      </c>
      <c r="M112" s="16" t="n">
        <v>510.74</v>
      </c>
      <c r="N112" s="16" t="n">
        <v>510.74</v>
      </c>
      <c r="O112" s="16" t="n">
        <v>510.74</v>
      </c>
      <c r="P112" s="16" t="n">
        <v>510.74</v>
      </c>
      <c r="Q112" s="16" t="n">
        <v>510.74</v>
      </c>
      <c r="R112" s="16" t="n">
        <v>510.74</v>
      </c>
      <c r="S112" s="16" t="n">
        <v>510.74</v>
      </c>
      <c r="T112" s="16" t="n">
        <v>510.74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CANON-202602-003886</t>
        </is>
      </c>
      <c r="B113" s="3" t="inlineStr">
        <is>
          <t>2026-02-19</t>
        </is>
      </c>
      <c r="C113" s="3" t="inlineStr">
        <is>
          <t>Leopold Castellanos</t>
        </is>
      </c>
      <c r="D113" s="3" t="inlineStr">
        <is>
          <t>MO</t>
        </is>
      </c>
      <c r="E113" s="14" t="n">
        <v>555000</v>
      </c>
      <c r="F113" s="14" t="n">
        <v>6343.43</v>
      </c>
      <c r="G113" s="14" t="n">
        <v>792.9299999999999</v>
      </c>
      <c r="H113" s="14" t="n">
        <v>792.9299999999999</v>
      </c>
      <c r="I113" s="14">
        <f>SUM(K113:T113)</f>
        <v/>
      </c>
      <c r="J113" s="14">
        <f>F113-(G113+H113+I113)</f>
        <v/>
      </c>
      <c r="K113" s="14" t="n">
        <v>475.76</v>
      </c>
      <c r="L113" s="14" t="n">
        <v>475.76</v>
      </c>
      <c r="M113" s="14" t="n">
        <v>475.76</v>
      </c>
      <c r="N113" s="14" t="n">
        <v>475.76</v>
      </c>
      <c r="O113" s="14" t="n">
        <v>475.76</v>
      </c>
      <c r="P113" s="14" t="n">
        <v>475.76</v>
      </c>
      <c r="Q113" s="14" t="n">
        <v>475.76</v>
      </c>
      <c r="R113" s="14" t="n">
        <v>475.76</v>
      </c>
      <c r="S113" s="14" t="n">
        <v>475.76</v>
      </c>
      <c r="T113" s="14" t="n">
        <v>475.76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CANON-202602-003887</t>
        </is>
      </c>
      <c r="B114" s="15" t="inlineStr">
        <is>
          <t>2026-02-01</t>
        </is>
      </c>
      <c r="C114" s="15" t="inlineStr">
        <is>
          <t>Aurelio Okonkwo</t>
        </is>
      </c>
      <c r="D114" s="15" t="inlineStr">
        <is>
          <t>IL</t>
        </is>
      </c>
      <c r="E114" s="16" t="n">
        <v>260000</v>
      </c>
      <c r="F114" s="16" t="n">
        <v>4399.31</v>
      </c>
      <c r="G114" s="16" t="n">
        <v>549.91</v>
      </c>
      <c r="H114" s="16" t="n">
        <v>549.91</v>
      </c>
      <c r="I114" s="16">
        <f>SUM(K114:T114)</f>
        <v/>
      </c>
      <c r="J114" s="16">
        <f>F114-(G114+H114+I114)</f>
        <v/>
      </c>
      <c r="K114" s="16" t="n">
        <v>329.95</v>
      </c>
      <c r="L114" s="16" t="n">
        <v>329.95</v>
      </c>
      <c r="M114" s="16" t="n">
        <v>329.95</v>
      </c>
      <c r="N114" s="16" t="n">
        <v>329.95</v>
      </c>
      <c r="O114" s="16" t="n">
        <v>329.95</v>
      </c>
      <c r="P114" s="16" t="n">
        <v>329.95</v>
      </c>
      <c r="Q114" s="16" t="n">
        <v>329.95</v>
      </c>
      <c r="R114" s="16" t="n">
        <v>329.95</v>
      </c>
      <c r="S114" s="16" t="n">
        <v>329.95</v>
      </c>
      <c r="T114" s="16" t="n">
        <v>329.95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CANON-202602-003888</t>
        </is>
      </c>
      <c r="B115" s="3" t="inlineStr">
        <is>
          <t>2026-02-07</t>
        </is>
      </c>
      <c r="C115" s="3" t="inlineStr">
        <is>
          <t>Beatrix Whitlock</t>
        </is>
      </c>
      <c r="D115" s="3" t="inlineStr">
        <is>
          <t>IN</t>
        </is>
      </c>
      <c r="E115" s="14" t="n">
        <v>675000</v>
      </c>
      <c r="F115" s="14" t="n">
        <v>8952.290000000001</v>
      </c>
      <c r="G115" s="14" t="n">
        <v>1119.04</v>
      </c>
      <c r="H115" s="14" t="n">
        <v>1119.04</v>
      </c>
      <c r="I115" s="14">
        <f>SUM(K115:T115)</f>
        <v/>
      </c>
      <c r="J115" s="14">
        <f>F115-(G115+H115+I115)</f>
        <v/>
      </c>
      <c r="K115" s="14" t="n">
        <v>671.42</v>
      </c>
      <c r="L115" s="14" t="n">
        <v>671.42</v>
      </c>
      <c r="M115" s="14" t="n">
        <v>671.42</v>
      </c>
      <c r="N115" s="14" t="n">
        <v>671.42</v>
      </c>
      <c r="O115" s="14" t="n">
        <v>671.42</v>
      </c>
      <c r="P115" s="14" t="n">
        <v>671.42</v>
      </c>
      <c r="Q115" s="14" t="n">
        <v>671.42</v>
      </c>
      <c r="R115" s="14" t="n">
        <v>671.42</v>
      </c>
      <c r="S115" s="14" t="n">
        <v>671.42</v>
      </c>
      <c r="T115" s="14" t="n">
        <v>671.42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CANON-202602-003890</t>
        </is>
      </c>
      <c r="B116" s="15" t="inlineStr">
        <is>
          <t>2026-02-02</t>
        </is>
      </c>
      <c r="C116" s="15" t="inlineStr">
        <is>
          <t>Fenwick Kingsford</t>
        </is>
      </c>
      <c r="D116" s="15" t="inlineStr">
        <is>
          <t>CA</t>
        </is>
      </c>
      <c r="E116" s="16" t="n">
        <v>975000</v>
      </c>
      <c r="F116" s="16" t="n">
        <v>14192.65</v>
      </c>
      <c r="G116" s="16" t="n">
        <v>1774.08</v>
      </c>
      <c r="H116" s="16" t="n">
        <v>1774.08</v>
      </c>
      <c r="I116" s="16">
        <f>SUM(K116:T116)</f>
        <v/>
      </c>
      <c r="J116" s="16">
        <f>F116-(G116+H116+I116)</f>
        <v/>
      </c>
      <c r="K116" s="16" t="n">
        <v>1064.45</v>
      </c>
      <c r="L116" s="16" t="n">
        <v>1064.45</v>
      </c>
      <c r="M116" s="16" t="n">
        <v>1064.45</v>
      </c>
      <c r="N116" s="16" t="n">
        <v>1064.45</v>
      </c>
      <c r="O116" s="16" t="n">
        <v>1064.45</v>
      </c>
      <c r="P116" s="16" t="n">
        <v>1064.45</v>
      </c>
      <c r="Q116" s="16" t="n">
        <v>1064.45</v>
      </c>
      <c r="R116" s="16" t="n">
        <v>1064.45</v>
      </c>
      <c r="S116" s="16" t="n">
        <v>1064.45</v>
      </c>
      <c r="T116" s="16" t="n">
        <v>1064.45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CANON-202602-003891</t>
        </is>
      </c>
      <c r="B117" s="3" t="inlineStr">
        <is>
          <t>2026-02-18</t>
        </is>
      </c>
      <c r="C117" s="3" t="inlineStr">
        <is>
          <t>Saoirse Vandermeer</t>
        </is>
      </c>
      <c r="D117" s="3" t="inlineStr">
        <is>
          <t>HI</t>
        </is>
      </c>
      <c r="E117" s="14" t="n">
        <v>1180000</v>
      </c>
      <c r="F117" s="14" t="n">
        <v>9669.870000000001</v>
      </c>
      <c r="G117" s="14" t="n">
        <v>1208.73</v>
      </c>
      <c r="H117" s="14" t="n">
        <v>1208.73</v>
      </c>
      <c r="I117" s="14">
        <f>SUM(K117:T117)</f>
        <v/>
      </c>
      <c r="J117" s="14">
        <f>F117-(G117+H117+I117)</f>
        <v/>
      </c>
      <c r="K117" s="14" t="n">
        <v>725.24</v>
      </c>
      <c r="L117" s="14" t="n">
        <v>725.24</v>
      </c>
      <c r="M117" s="14" t="n">
        <v>725.24</v>
      </c>
      <c r="N117" s="14" t="n">
        <v>725.24</v>
      </c>
      <c r="O117" s="14" t="n">
        <v>725.24</v>
      </c>
      <c r="P117" s="14" t="n">
        <v>725.24</v>
      </c>
      <c r="Q117" s="14" t="n">
        <v>725.24</v>
      </c>
      <c r="R117" s="14" t="n">
        <v>725.24</v>
      </c>
      <c r="S117" s="14" t="n">
        <v>725.24</v>
      </c>
      <c r="T117" s="14" t="n">
        <v>725.24</v>
      </c>
      <c r="U117" s="14" t="n">
        <v>350</v>
      </c>
      <c r="V117" s="14" t="n">
        <v>250</v>
      </c>
      <c r="W117" s="14">
        <f>U117+V117</f>
        <v/>
      </c>
    </row>
    <row r="118">
      <c r="A118" s="15" t="inlineStr">
        <is>
          <t>CANON-202602-003893</t>
        </is>
      </c>
      <c r="B118" s="15" t="inlineStr">
        <is>
          <t>2026-02-03</t>
        </is>
      </c>
      <c r="C118" s="15" t="inlineStr">
        <is>
          <t>Fitzgerald Vandermeer</t>
        </is>
      </c>
      <c r="D118" s="15" t="inlineStr">
        <is>
          <t>CO</t>
        </is>
      </c>
      <c r="E118" s="16" t="n">
        <v>950000</v>
      </c>
      <c r="F118" s="16" t="n">
        <v>7454.12</v>
      </c>
      <c r="G118" s="16" t="n">
        <v>931.76</v>
      </c>
      <c r="H118" s="16" t="n">
        <v>931.76</v>
      </c>
      <c r="I118" s="16">
        <f>SUM(K118:T118)</f>
        <v/>
      </c>
      <c r="J118" s="16">
        <f>F118-(G118+H118+I118)</f>
        <v/>
      </c>
      <c r="K118" s="16" t="n">
        <v>559.0599999999999</v>
      </c>
      <c r="L118" s="16" t="n">
        <v>559.0599999999999</v>
      </c>
      <c r="M118" s="16" t="n">
        <v>559.0599999999999</v>
      </c>
      <c r="N118" s="16" t="n">
        <v>559.0599999999999</v>
      </c>
      <c r="O118" s="16" t="n">
        <v>559.0599999999999</v>
      </c>
      <c r="P118" s="16" t="n">
        <v>559.0599999999999</v>
      </c>
      <c r="Q118" s="16" t="n">
        <v>559.0599999999999</v>
      </c>
      <c r="R118" s="16" t="n">
        <v>559.0599999999999</v>
      </c>
      <c r="S118" s="16" t="n">
        <v>559.0599999999999</v>
      </c>
      <c r="T118" s="16" t="n">
        <v>559.0599999999999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CANON-202602-003894</t>
        </is>
      </c>
      <c r="B119" s="3" t="inlineStr">
        <is>
          <t>2026-02-28</t>
        </is>
      </c>
      <c r="C119" s="3" t="inlineStr">
        <is>
          <t>Mireille Vandermeer</t>
        </is>
      </c>
      <c r="D119" s="3" t="inlineStr">
        <is>
          <t>ND</t>
        </is>
      </c>
      <c r="E119" s="14" t="n">
        <v>590000</v>
      </c>
      <c r="F119" s="14" t="n">
        <v>6489</v>
      </c>
      <c r="G119" s="14" t="n">
        <v>811.12</v>
      </c>
      <c r="H119" s="14" t="n">
        <v>811.12</v>
      </c>
      <c r="I119" s="14">
        <f>SUM(K119:T119)</f>
        <v/>
      </c>
      <c r="J119" s="14">
        <f>F119-(G119+H119+I119)</f>
        <v/>
      </c>
      <c r="K119" s="14" t="n">
        <v>486.67</v>
      </c>
      <c r="L119" s="14" t="n">
        <v>486.67</v>
      </c>
      <c r="M119" s="14" t="n">
        <v>486.67</v>
      </c>
      <c r="N119" s="14" t="n">
        <v>486.67</v>
      </c>
      <c r="O119" s="14" t="n">
        <v>486.67</v>
      </c>
      <c r="P119" s="14" t="n">
        <v>486.67</v>
      </c>
      <c r="Q119" s="14" t="n">
        <v>486.67</v>
      </c>
      <c r="R119" s="14" t="n">
        <v>486.67</v>
      </c>
      <c r="S119" s="14" t="n">
        <v>486.67</v>
      </c>
      <c r="T119" s="14" t="n">
        <v>486.67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CANON-202602-003895</t>
        </is>
      </c>
      <c r="B120" s="15" t="inlineStr">
        <is>
          <t>2026-02-22</t>
        </is>
      </c>
      <c r="C120" s="15" t="inlineStr">
        <is>
          <t>Saoirse Montoya</t>
        </is>
      </c>
      <c r="D120" s="15" t="inlineStr">
        <is>
          <t>MI</t>
        </is>
      </c>
      <c r="E120" s="16" t="n">
        <v>430000</v>
      </c>
      <c r="F120" s="16" t="n">
        <v>8292.26</v>
      </c>
      <c r="G120" s="16" t="n">
        <v>1036.53</v>
      </c>
      <c r="H120" s="16" t="n">
        <v>1036.53</v>
      </c>
      <c r="I120" s="16">
        <f>SUM(K120:T120)</f>
        <v/>
      </c>
      <c r="J120" s="16">
        <f>F120-(G120+H120+I120)</f>
        <v/>
      </c>
      <c r="K120" s="16" t="n">
        <v>621.92</v>
      </c>
      <c r="L120" s="16" t="n">
        <v>621.92</v>
      </c>
      <c r="M120" s="16" t="n">
        <v>621.92</v>
      </c>
      <c r="N120" s="16" t="n">
        <v>621.92</v>
      </c>
      <c r="O120" s="16" t="n">
        <v>621.92</v>
      </c>
      <c r="P120" s="16" t="n">
        <v>621.92</v>
      </c>
      <c r="Q120" s="16" t="n">
        <v>621.92</v>
      </c>
      <c r="R120" s="16" t="n">
        <v>621.92</v>
      </c>
      <c r="S120" s="16" t="n">
        <v>621.92</v>
      </c>
      <c r="T120" s="16" t="n">
        <v>621.92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CANON-202602-003896</t>
        </is>
      </c>
      <c r="B121" s="3" t="inlineStr">
        <is>
          <t>2026-02-18</t>
        </is>
      </c>
      <c r="C121" s="3" t="inlineStr">
        <is>
          <t>Anouk Whitlock</t>
        </is>
      </c>
      <c r="D121" s="3" t="inlineStr">
        <is>
          <t>TN</t>
        </is>
      </c>
      <c r="E121" s="14" t="n">
        <v>345000</v>
      </c>
      <c r="F121" s="14" t="n">
        <v>4206.47</v>
      </c>
      <c r="G121" s="14" t="n">
        <v>525.8099999999999</v>
      </c>
      <c r="H121" s="14" t="n">
        <v>525.8099999999999</v>
      </c>
      <c r="I121" s="14">
        <f>SUM(K121:T121)</f>
        <v/>
      </c>
      <c r="J121" s="14">
        <f>F121-(G121+H121+I121)</f>
        <v/>
      </c>
      <c r="K121" s="14" t="n">
        <v>315.49</v>
      </c>
      <c r="L121" s="14" t="n">
        <v>315.49</v>
      </c>
      <c r="M121" s="14" t="n">
        <v>315.49</v>
      </c>
      <c r="N121" s="14" t="n">
        <v>315.49</v>
      </c>
      <c r="O121" s="14" t="n">
        <v>315.49</v>
      </c>
      <c r="P121" s="14" t="n">
        <v>315.49</v>
      </c>
      <c r="Q121" s="14" t="n">
        <v>315.49</v>
      </c>
      <c r="R121" s="14" t="n">
        <v>315.49</v>
      </c>
      <c r="S121" s="14" t="n">
        <v>315.49</v>
      </c>
      <c r="T121" s="14" t="n">
        <v>315.49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CANON-202602-003897</t>
        </is>
      </c>
      <c r="B122" s="15" t="inlineStr">
        <is>
          <t>2026-02-18</t>
        </is>
      </c>
      <c r="C122" s="15" t="inlineStr">
        <is>
          <t>Horace Vandermeer</t>
        </is>
      </c>
      <c r="D122" s="15" t="inlineStr">
        <is>
          <t>NV</t>
        </is>
      </c>
      <c r="E122" s="16" t="n">
        <v>485000</v>
      </c>
      <c r="F122" s="16" t="n">
        <v>7059.93</v>
      </c>
      <c r="G122" s="16" t="n">
        <v>882.49</v>
      </c>
      <c r="H122" s="16" t="n">
        <v>882.49</v>
      </c>
      <c r="I122" s="16">
        <f>SUM(K122:T122)</f>
        <v/>
      </c>
      <c r="J122" s="16">
        <f>F122-(G122+H122+I122)</f>
        <v/>
      </c>
      <c r="K122" s="16" t="n">
        <v>529.49</v>
      </c>
      <c r="L122" s="16" t="n">
        <v>529.49</v>
      </c>
      <c r="M122" s="16" t="n">
        <v>529.49</v>
      </c>
      <c r="N122" s="16" t="n">
        <v>529.49</v>
      </c>
      <c r="O122" s="16" t="n">
        <v>529.49</v>
      </c>
      <c r="P122" s="16" t="n">
        <v>529.49</v>
      </c>
      <c r="Q122" s="16" t="n">
        <v>529.49</v>
      </c>
      <c r="R122" s="16" t="n">
        <v>529.49</v>
      </c>
      <c r="S122" s="16" t="n">
        <v>529.49</v>
      </c>
      <c r="T122" s="16" t="n">
        <v>529.49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CANON-202602-003898</t>
        </is>
      </c>
      <c r="B123" s="3" t="inlineStr">
        <is>
          <t>2026-02-03</t>
        </is>
      </c>
      <c r="C123" s="3" t="inlineStr">
        <is>
          <t>Ottilie Fairweather</t>
        </is>
      </c>
      <c r="D123" s="3" t="inlineStr">
        <is>
          <t>MA</t>
        </is>
      </c>
      <c r="E123" s="14" t="n">
        <v>820000</v>
      </c>
      <c r="F123" s="14" t="n">
        <v>16153.23</v>
      </c>
      <c r="G123" s="14" t="n">
        <v>2019.15</v>
      </c>
      <c r="H123" s="14" t="n">
        <v>2019.15</v>
      </c>
      <c r="I123" s="14">
        <f>SUM(K123:T123)</f>
        <v/>
      </c>
      <c r="J123" s="14">
        <f>F123-(G123+H123+I123)</f>
        <v/>
      </c>
      <c r="K123" s="14" t="n">
        <v>1211.49</v>
      </c>
      <c r="L123" s="14" t="n">
        <v>1211.49</v>
      </c>
      <c r="M123" s="14" t="n">
        <v>1211.49</v>
      </c>
      <c r="N123" s="14" t="n">
        <v>1211.49</v>
      </c>
      <c r="O123" s="14" t="n">
        <v>1211.49</v>
      </c>
      <c r="P123" s="14" t="n">
        <v>1211.49</v>
      </c>
      <c r="Q123" s="14" t="n">
        <v>1211.49</v>
      </c>
      <c r="R123" s="14" t="n">
        <v>1211.49</v>
      </c>
      <c r="S123" s="14" t="n">
        <v>1211.49</v>
      </c>
      <c r="T123" s="14" t="n">
        <v>1211.49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CANON-202602-003899</t>
        </is>
      </c>
      <c r="B124" s="15" t="inlineStr">
        <is>
          <t>2026-02-12</t>
        </is>
      </c>
      <c r="C124" s="15" t="inlineStr">
        <is>
          <t>Ingrid Rourke</t>
        </is>
      </c>
      <c r="D124" s="15" t="inlineStr">
        <is>
          <t>DE</t>
        </is>
      </c>
      <c r="E124" s="16" t="n">
        <v>820000</v>
      </c>
      <c r="F124" s="16" t="n">
        <v>16153.23</v>
      </c>
      <c r="G124" s="16" t="n">
        <v>2019.15</v>
      </c>
      <c r="H124" s="16" t="n">
        <v>2019.15</v>
      </c>
      <c r="I124" s="16">
        <f>SUM(K124:T124)</f>
        <v/>
      </c>
      <c r="J124" s="16">
        <f>F124-(G124+H124+I124)</f>
        <v/>
      </c>
      <c r="K124" s="16" t="n">
        <v>1211.49</v>
      </c>
      <c r="L124" s="16" t="n">
        <v>1211.49</v>
      </c>
      <c r="M124" s="16" t="n">
        <v>1211.49</v>
      </c>
      <c r="N124" s="16" t="n">
        <v>1211.49</v>
      </c>
      <c r="O124" s="16" t="n">
        <v>1211.49</v>
      </c>
      <c r="P124" s="16" t="n">
        <v>1211.49</v>
      </c>
      <c r="Q124" s="16" t="n">
        <v>1211.49</v>
      </c>
      <c r="R124" s="16" t="n">
        <v>1211.49</v>
      </c>
      <c r="S124" s="16" t="n">
        <v>1211.49</v>
      </c>
      <c r="T124" s="16" t="n">
        <v>1211.49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CANON-202602-003900</t>
        </is>
      </c>
      <c r="B125" s="3" t="inlineStr">
        <is>
          <t>2026-02-10</t>
        </is>
      </c>
      <c r="C125" s="3" t="inlineStr">
        <is>
          <t>Desmond Nakashima</t>
        </is>
      </c>
      <c r="D125" s="3" t="inlineStr">
        <is>
          <t>OH</t>
        </is>
      </c>
      <c r="E125" s="14" t="n">
        <v>1410000</v>
      </c>
      <c r="F125" s="14" t="n">
        <v>26009.73</v>
      </c>
      <c r="G125" s="14" t="n">
        <v>3251.22</v>
      </c>
      <c r="H125" s="14" t="n">
        <v>3251.22</v>
      </c>
      <c r="I125" s="14">
        <f>SUM(K125:T125)</f>
        <v/>
      </c>
      <c r="J125" s="14">
        <f>F125-(G125+H125+I125)</f>
        <v/>
      </c>
      <c r="K125" s="14" t="n">
        <v>1950.73</v>
      </c>
      <c r="L125" s="14" t="n">
        <v>1950.73</v>
      </c>
      <c r="M125" s="14" t="n">
        <v>1950.73</v>
      </c>
      <c r="N125" s="14" t="n">
        <v>1950.73</v>
      </c>
      <c r="O125" s="14" t="n">
        <v>1950.73</v>
      </c>
      <c r="P125" s="14" t="n">
        <v>1950.73</v>
      </c>
      <c r="Q125" s="14" t="n">
        <v>1950.73</v>
      </c>
      <c r="R125" s="14" t="n">
        <v>1950.73</v>
      </c>
      <c r="S125" s="14" t="n">
        <v>1950.73</v>
      </c>
      <c r="T125" s="14" t="n">
        <v>1950.73</v>
      </c>
      <c r="U125" s="14" t="n">
        <v>350</v>
      </c>
      <c r="V125" s="14" t="n">
        <v>250</v>
      </c>
      <c r="W125" s="14">
        <f>U125+V125</f>
        <v/>
      </c>
    </row>
    <row r="126">
      <c r="A126" s="15" t="inlineStr">
        <is>
          <t>CANON-202602-003901</t>
        </is>
      </c>
      <c r="B126" s="15" t="inlineStr">
        <is>
          <t>2026-02-12</t>
        </is>
      </c>
      <c r="C126" s="15" t="inlineStr">
        <is>
          <t>Cassius Delacroix</t>
        </is>
      </c>
      <c r="D126" s="15" t="inlineStr">
        <is>
          <t>KY</t>
        </is>
      </c>
      <c r="E126" s="16" t="n">
        <v>765000</v>
      </c>
      <c r="F126" s="16" t="n">
        <v>11053.28</v>
      </c>
      <c r="G126" s="16" t="n">
        <v>1381.66</v>
      </c>
      <c r="H126" s="16" t="n">
        <v>1381.66</v>
      </c>
      <c r="I126" s="16">
        <f>SUM(K126:T126)</f>
        <v/>
      </c>
      <c r="J126" s="16">
        <f>F126-(G126+H126+I126)</f>
        <v/>
      </c>
      <c r="K126" s="16" t="n">
        <v>829</v>
      </c>
      <c r="L126" s="16" t="n">
        <v>829</v>
      </c>
      <c r="M126" s="16" t="n">
        <v>829</v>
      </c>
      <c r="N126" s="16" t="n">
        <v>829</v>
      </c>
      <c r="O126" s="16" t="n">
        <v>829</v>
      </c>
      <c r="P126" s="16" t="n">
        <v>829</v>
      </c>
      <c r="Q126" s="16" t="n">
        <v>829</v>
      </c>
      <c r="R126" s="16" t="n">
        <v>829</v>
      </c>
      <c r="S126" s="16" t="n">
        <v>829</v>
      </c>
      <c r="T126" s="16" t="n">
        <v>829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CANON-202602-003903</t>
        </is>
      </c>
      <c r="B127" s="3" t="inlineStr">
        <is>
          <t>2026-02-22</t>
        </is>
      </c>
      <c r="C127" s="3" t="inlineStr">
        <is>
          <t>Fitzgerald Delacroix</t>
        </is>
      </c>
      <c r="D127" s="3" t="inlineStr">
        <is>
          <t>MA</t>
        </is>
      </c>
      <c r="E127" s="14" t="n">
        <v>735000</v>
      </c>
      <c r="F127" s="14" t="n">
        <v>9906.549999999999</v>
      </c>
      <c r="G127" s="14" t="n">
        <v>1238.32</v>
      </c>
      <c r="H127" s="14" t="n">
        <v>1238.32</v>
      </c>
      <c r="I127" s="14">
        <f>SUM(K127:T127)</f>
        <v/>
      </c>
      <c r="J127" s="14">
        <f>F127-(G127+H127+I127)</f>
        <v/>
      </c>
      <c r="K127" s="14" t="n">
        <v>742.99</v>
      </c>
      <c r="L127" s="14" t="n">
        <v>742.99</v>
      </c>
      <c r="M127" s="14" t="n">
        <v>742.99</v>
      </c>
      <c r="N127" s="14" t="n">
        <v>742.99</v>
      </c>
      <c r="O127" s="14" t="n">
        <v>742.99</v>
      </c>
      <c r="P127" s="14" t="n">
        <v>742.99</v>
      </c>
      <c r="Q127" s="14" t="n">
        <v>742.99</v>
      </c>
      <c r="R127" s="14" t="n">
        <v>742.99</v>
      </c>
      <c r="S127" s="14" t="n">
        <v>742.99</v>
      </c>
      <c r="T127" s="14" t="n">
        <v>742.99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CANON-202602-003904</t>
        </is>
      </c>
      <c r="B128" s="15" t="inlineStr">
        <is>
          <t>2026-02-04</t>
        </is>
      </c>
      <c r="C128" s="15" t="inlineStr">
        <is>
          <t>Beatrix Chattopadhyay</t>
        </is>
      </c>
      <c r="D128" s="15" t="inlineStr">
        <is>
          <t>KS</t>
        </is>
      </c>
      <c r="E128" s="16" t="n">
        <v>1400000</v>
      </c>
      <c r="F128" s="16" t="n">
        <v>18021.94</v>
      </c>
      <c r="G128" s="16" t="n">
        <v>2252.74</v>
      </c>
      <c r="H128" s="16" t="n">
        <v>2252.74</v>
      </c>
      <c r="I128" s="16">
        <f>SUM(K128:T128)</f>
        <v/>
      </c>
      <c r="J128" s="16">
        <f>F128-(G128+H128+I128)</f>
        <v/>
      </c>
      <c r="K128" s="16" t="n">
        <v>1351.65</v>
      </c>
      <c r="L128" s="16" t="n">
        <v>1351.65</v>
      </c>
      <c r="M128" s="16" t="n">
        <v>1351.65</v>
      </c>
      <c r="N128" s="16" t="n">
        <v>1351.65</v>
      </c>
      <c r="O128" s="16" t="n">
        <v>1351.65</v>
      </c>
      <c r="P128" s="16" t="n">
        <v>1351.65</v>
      </c>
      <c r="Q128" s="16" t="n">
        <v>1351.65</v>
      </c>
      <c r="R128" s="16" t="n">
        <v>1351.65</v>
      </c>
      <c r="S128" s="16" t="n">
        <v>1351.65</v>
      </c>
      <c r="T128" s="16" t="n">
        <v>1351.65</v>
      </c>
      <c r="U128" s="16" t="n">
        <v>350</v>
      </c>
      <c r="V128" s="16" t="n">
        <v>250</v>
      </c>
      <c r="W128" s="16">
        <f>U128+V128</f>
        <v/>
      </c>
    </row>
    <row r="129">
      <c r="A129" s="3" t="inlineStr">
        <is>
          <t>CANON-202602-003905</t>
        </is>
      </c>
      <c r="B129" s="3" t="inlineStr">
        <is>
          <t>2026-02-25</t>
        </is>
      </c>
      <c r="C129" s="3" t="inlineStr">
        <is>
          <t>Sunniva Merriweather</t>
        </is>
      </c>
      <c r="D129" s="3" t="inlineStr">
        <is>
          <t>OH</t>
        </is>
      </c>
      <c r="E129" s="14" t="n">
        <v>895000</v>
      </c>
      <c r="F129" s="14" t="n">
        <v>19605.29</v>
      </c>
      <c r="G129" s="14" t="n">
        <v>2450.66</v>
      </c>
      <c r="H129" s="14" t="n">
        <v>2450.66</v>
      </c>
      <c r="I129" s="14">
        <f>SUM(K129:T129)</f>
        <v/>
      </c>
      <c r="J129" s="14">
        <f>F129-(G129+H129+I129)</f>
        <v/>
      </c>
      <c r="K129" s="14" t="n">
        <v>1470.4</v>
      </c>
      <c r="L129" s="14" t="n">
        <v>1470.4</v>
      </c>
      <c r="M129" s="14" t="n">
        <v>1470.4</v>
      </c>
      <c r="N129" s="14" t="n">
        <v>1470.4</v>
      </c>
      <c r="O129" s="14" t="n">
        <v>1470.4</v>
      </c>
      <c r="P129" s="14" t="n">
        <v>1470.4</v>
      </c>
      <c r="Q129" s="14" t="n">
        <v>1470.4</v>
      </c>
      <c r="R129" s="14" t="n">
        <v>1470.4</v>
      </c>
      <c r="S129" s="14" t="n">
        <v>1470.4</v>
      </c>
      <c r="T129" s="14" t="n">
        <v>1470.4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CANON-202602-003906</t>
        </is>
      </c>
      <c r="B130" s="15" t="inlineStr">
        <is>
          <t>2026-02-01</t>
        </is>
      </c>
      <c r="C130" s="15" t="inlineStr">
        <is>
          <t>Ingrid Fairweather</t>
        </is>
      </c>
      <c r="D130" s="15" t="inlineStr">
        <is>
          <t>OR</t>
        </is>
      </c>
      <c r="E130" s="16" t="n">
        <v>830000</v>
      </c>
      <c r="F130" s="16" t="n">
        <v>14780.6</v>
      </c>
      <c r="G130" s="16" t="n">
        <v>1847.58</v>
      </c>
      <c r="H130" s="16" t="n">
        <v>1847.58</v>
      </c>
      <c r="I130" s="16">
        <f>SUM(K130:T130)</f>
        <v/>
      </c>
      <c r="J130" s="16">
        <f>F130-(G130+H130+I130)</f>
        <v/>
      </c>
      <c r="K130" s="16" t="n">
        <v>1108.55</v>
      </c>
      <c r="L130" s="16" t="n">
        <v>1108.55</v>
      </c>
      <c r="M130" s="16" t="n">
        <v>1108.55</v>
      </c>
      <c r="N130" s="16" t="n">
        <v>1108.55</v>
      </c>
      <c r="O130" s="16" t="n">
        <v>1108.55</v>
      </c>
      <c r="P130" s="16" t="n">
        <v>1108.55</v>
      </c>
      <c r="Q130" s="16" t="n">
        <v>1108.55</v>
      </c>
      <c r="R130" s="16" t="n">
        <v>1108.55</v>
      </c>
      <c r="S130" s="16" t="n">
        <v>1108.55</v>
      </c>
      <c r="T130" s="16" t="n">
        <v>1108.55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CANON-202602-003907</t>
        </is>
      </c>
      <c r="B131" s="3" t="inlineStr">
        <is>
          <t>2026-02-20</t>
        </is>
      </c>
      <c r="C131" s="3" t="inlineStr">
        <is>
          <t>Ottilie Thistlewood</t>
        </is>
      </c>
      <c r="D131" s="3" t="inlineStr">
        <is>
          <t>WY</t>
        </is>
      </c>
      <c r="E131" s="14" t="n">
        <v>290000</v>
      </c>
      <c r="F131" s="14" t="n">
        <v>2161.94</v>
      </c>
      <c r="G131" s="14" t="n">
        <v>270.24</v>
      </c>
      <c r="H131" s="14" t="n">
        <v>270.24</v>
      </c>
      <c r="I131" s="14">
        <f>SUM(K131:T131)</f>
        <v/>
      </c>
      <c r="J131" s="14">
        <f>F131-(G131+H131+I131)</f>
        <v/>
      </c>
      <c r="K131" s="14" t="n">
        <v>162.15</v>
      </c>
      <c r="L131" s="14" t="n">
        <v>162.15</v>
      </c>
      <c r="M131" s="14" t="n">
        <v>162.15</v>
      </c>
      <c r="N131" s="14" t="n">
        <v>162.15</v>
      </c>
      <c r="O131" s="14" t="n">
        <v>162.15</v>
      </c>
      <c r="P131" s="14" t="n">
        <v>162.15</v>
      </c>
      <c r="Q131" s="14" t="n">
        <v>162.15</v>
      </c>
      <c r="R131" s="14" t="n">
        <v>162.15</v>
      </c>
      <c r="S131" s="14" t="n">
        <v>162.15</v>
      </c>
      <c r="T131" s="14" t="n">
        <v>162.15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CANON-202602-003909</t>
        </is>
      </c>
      <c r="B132" s="15" t="inlineStr">
        <is>
          <t>2026-02-25</t>
        </is>
      </c>
      <c r="C132" s="15" t="inlineStr">
        <is>
          <t>Fitzgerald Thistlewood</t>
        </is>
      </c>
      <c r="D132" s="15" t="inlineStr">
        <is>
          <t>RI</t>
        </is>
      </c>
      <c r="E132" s="16" t="n">
        <v>1160000</v>
      </c>
      <c r="F132" s="16" t="n">
        <v>14499.5</v>
      </c>
      <c r="G132" s="16" t="n">
        <v>1812.44</v>
      </c>
      <c r="H132" s="16" t="n">
        <v>1812.44</v>
      </c>
      <c r="I132" s="16">
        <f>SUM(K132:T132)</f>
        <v/>
      </c>
      <c r="J132" s="16">
        <f>F132-(G132+H132+I132)</f>
        <v/>
      </c>
      <c r="K132" s="16" t="n">
        <v>1087.46</v>
      </c>
      <c r="L132" s="16" t="n">
        <v>1087.46</v>
      </c>
      <c r="M132" s="16" t="n">
        <v>1087.46</v>
      </c>
      <c r="N132" s="16" t="n">
        <v>1087.46</v>
      </c>
      <c r="O132" s="16" t="n">
        <v>1087.46</v>
      </c>
      <c r="P132" s="16" t="n">
        <v>1087.46</v>
      </c>
      <c r="Q132" s="16" t="n">
        <v>1087.46</v>
      </c>
      <c r="R132" s="16" t="n">
        <v>1087.46</v>
      </c>
      <c r="S132" s="16" t="n">
        <v>1087.46</v>
      </c>
      <c r="T132" s="16" t="n">
        <v>1087.46</v>
      </c>
      <c r="U132" s="16" t="n">
        <v>350</v>
      </c>
      <c r="V132" s="16" t="n">
        <v>250</v>
      </c>
      <c r="W132" s="16">
        <f>U132+V132</f>
        <v/>
      </c>
    </row>
    <row r="133">
      <c r="A133" s="3" t="inlineStr">
        <is>
          <t>CANON-202602-003910</t>
        </is>
      </c>
      <c r="B133" s="3" t="inlineStr">
        <is>
          <t>2026-02-04</t>
        </is>
      </c>
      <c r="C133" s="3" t="inlineStr">
        <is>
          <t>Sunniva Larsson</t>
        </is>
      </c>
      <c r="D133" s="3" t="inlineStr">
        <is>
          <t>CA</t>
        </is>
      </c>
      <c r="E133" s="14" t="n">
        <v>780000</v>
      </c>
      <c r="F133" s="14" t="n">
        <v>11354.12</v>
      </c>
      <c r="G133" s="14" t="n">
        <v>1419.27</v>
      </c>
      <c r="H133" s="14" t="n">
        <v>1419.27</v>
      </c>
      <c r="I133" s="14">
        <f>SUM(K133:T133)</f>
        <v/>
      </c>
      <c r="J133" s="14">
        <f>F133-(G133+H133+I133)</f>
        <v/>
      </c>
      <c r="K133" s="14" t="n">
        <v>851.5599999999999</v>
      </c>
      <c r="L133" s="14" t="n">
        <v>851.5599999999999</v>
      </c>
      <c r="M133" s="14" t="n">
        <v>851.5599999999999</v>
      </c>
      <c r="N133" s="14" t="n">
        <v>851.5599999999999</v>
      </c>
      <c r="O133" s="14" t="n">
        <v>851.5599999999999</v>
      </c>
      <c r="P133" s="14" t="n">
        <v>851.5599999999999</v>
      </c>
      <c r="Q133" s="14" t="n">
        <v>851.5599999999999</v>
      </c>
      <c r="R133" s="14" t="n">
        <v>851.5599999999999</v>
      </c>
      <c r="S133" s="14" t="n">
        <v>851.5599999999999</v>
      </c>
      <c r="T133" s="14" t="n">
        <v>851.5599999999999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CANON-202602-003912</t>
        </is>
      </c>
      <c r="B134" s="15" t="inlineStr">
        <is>
          <t>2026-02-16</t>
        </is>
      </c>
      <c r="C134" s="15" t="inlineStr">
        <is>
          <t>Mireille Thistlewood</t>
        </is>
      </c>
      <c r="D134" s="15" t="inlineStr">
        <is>
          <t>FL</t>
        </is>
      </c>
      <c r="E134" s="16" t="n">
        <v>795000</v>
      </c>
      <c r="F134" s="16" t="n">
        <v>12172.52</v>
      </c>
      <c r="G134" s="16" t="n">
        <v>1521.57</v>
      </c>
      <c r="H134" s="16" t="n">
        <v>1521.57</v>
      </c>
      <c r="I134" s="16">
        <f>SUM(K134:T134)</f>
        <v/>
      </c>
      <c r="J134" s="16">
        <f>F134-(G134+H134+I134)</f>
        <v/>
      </c>
      <c r="K134" s="16" t="n">
        <v>912.9400000000001</v>
      </c>
      <c r="L134" s="16" t="n">
        <v>912.9400000000001</v>
      </c>
      <c r="M134" s="16" t="n">
        <v>912.9400000000001</v>
      </c>
      <c r="N134" s="16" t="n">
        <v>912.9400000000001</v>
      </c>
      <c r="O134" s="16" t="n">
        <v>912.9400000000001</v>
      </c>
      <c r="P134" s="16" t="n">
        <v>912.9400000000001</v>
      </c>
      <c r="Q134" s="16" t="n">
        <v>912.9400000000001</v>
      </c>
      <c r="R134" s="16" t="n">
        <v>912.9400000000001</v>
      </c>
      <c r="S134" s="16" t="n">
        <v>912.9400000000001</v>
      </c>
      <c r="T134" s="16" t="n">
        <v>912.9400000000001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CANON-202602-003913</t>
        </is>
      </c>
      <c r="B135" s="3" t="inlineStr">
        <is>
          <t>2026-02-18</t>
        </is>
      </c>
      <c r="C135" s="3" t="inlineStr">
        <is>
          <t>Noor Rourke</t>
        </is>
      </c>
      <c r="D135" s="3" t="inlineStr">
        <is>
          <t>LA</t>
        </is>
      </c>
      <c r="E135" s="14" t="n">
        <v>590000</v>
      </c>
      <c r="F135" s="14" t="n">
        <v>7697.73</v>
      </c>
      <c r="G135" s="14" t="n">
        <v>962.22</v>
      </c>
      <c r="H135" s="14" t="n">
        <v>962.22</v>
      </c>
      <c r="I135" s="14">
        <f>SUM(K135:T135)</f>
        <v/>
      </c>
      <c r="J135" s="14">
        <f>F135-(G135+H135+I135)</f>
        <v/>
      </c>
      <c r="K135" s="14" t="n">
        <v>577.33</v>
      </c>
      <c r="L135" s="14" t="n">
        <v>577.33</v>
      </c>
      <c r="M135" s="14" t="n">
        <v>577.33</v>
      </c>
      <c r="N135" s="14" t="n">
        <v>577.33</v>
      </c>
      <c r="O135" s="14" t="n">
        <v>577.33</v>
      </c>
      <c r="P135" s="14" t="n">
        <v>577.33</v>
      </c>
      <c r="Q135" s="14" t="n">
        <v>577.33</v>
      </c>
      <c r="R135" s="14" t="n">
        <v>577.33</v>
      </c>
      <c r="S135" s="14" t="n">
        <v>577.33</v>
      </c>
      <c r="T135" s="14" t="n">
        <v>577.33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CANON-202602-003914</t>
        </is>
      </c>
      <c r="B136" s="15" t="inlineStr">
        <is>
          <t>2026-02-20</t>
        </is>
      </c>
      <c r="C136" s="15" t="inlineStr">
        <is>
          <t>Fenwick Thistlewood</t>
        </is>
      </c>
      <c r="D136" s="15" t="inlineStr">
        <is>
          <t>CA</t>
        </is>
      </c>
      <c r="E136" s="16" t="n">
        <v>575000</v>
      </c>
      <c r="F136" s="16" t="n">
        <v>12233.12</v>
      </c>
      <c r="G136" s="16" t="n">
        <v>1529.14</v>
      </c>
      <c r="H136" s="16" t="n">
        <v>1529.14</v>
      </c>
      <c r="I136" s="16">
        <f>SUM(K136:T136)</f>
        <v/>
      </c>
      <c r="J136" s="16">
        <f>F136-(G136+H136+I136)</f>
        <v/>
      </c>
      <c r="K136" s="16" t="n">
        <v>917.48</v>
      </c>
      <c r="L136" s="16" t="n">
        <v>917.48</v>
      </c>
      <c r="M136" s="16" t="n">
        <v>917.48</v>
      </c>
      <c r="N136" s="16" t="n">
        <v>917.48</v>
      </c>
      <c r="O136" s="16" t="n">
        <v>917.48</v>
      </c>
      <c r="P136" s="16" t="n">
        <v>917.48</v>
      </c>
      <c r="Q136" s="16" t="n">
        <v>917.48</v>
      </c>
      <c r="R136" s="16" t="n">
        <v>917.48</v>
      </c>
      <c r="S136" s="16" t="n">
        <v>917.48</v>
      </c>
      <c r="T136" s="16" t="n">
        <v>917.48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CANON-202602-003915</t>
        </is>
      </c>
      <c r="B137" s="3" t="inlineStr">
        <is>
          <t>2026-02-08</t>
        </is>
      </c>
      <c r="C137" s="3" t="inlineStr">
        <is>
          <t>Ottilie Thistlewood</t>
        </is>
      </c>
      <c r="D137" s="3" t="inlineStr">
        <is>
          <t>NY</t>
        </is>
      </c>
      <c r="E137" s="14" t="n">
        <v>1400000</v>
      </c>
      <c r="F137" s="14" t="n">
        <v>16349.81</v>
      </c>
      <c r="G137" s="14" t="n">
        <v>2043.73</v>
      </c>
      <c r="H137" s="14" t="n">
        <v>2043.73</v>
      </c>
      <c r="I137" s="14">
        <f>SUM(K137:T137)</f>
        <v/>
      </c>
      <c r="J137" s="14">
        <f>F137-(G137+H137+I137)</f>
        <v/>
      </c>
      <c r="K137" s="14" t="n">
        <v>1226.24</v>
      </c>
      <c r="L137" s="14" t="n">
        <v>1226.24</v>
      </c>
      <c r="M137" s="14" t="n">
        <v>1226.24</v>
      </c>
      <c r="N137" s="14" t="n">
        <v>1226.24</v>
      </c>
      <c r="O137" s="14" t="n">
        <v>1226.24</v>
      </c>
      <c r="P137" s="14" t="n">
        <v>1226.24</v>
      </c>
      <c r="Q137" s="14" t="n">
        <v>1226.24</v>
      </c>
      <c r="R137" s="14" t="n">
        <v>1226.24</v>
      </c>
      <c r="S137" s="14" t="n">
        <v>1226.24</v>
      </c>
      <c r="T137" s="14" t="n">
        <v>1226.24</v>
      </c>
      <c r="U137" s="14" t="n">
        <v>350</v>
      </c>
      <c r="V137" s="14" t="n">
        <v>250</v>
      </c>
      <c r="W137" s="14">
        <f>U137+V137</f>
        <v/>
      </c>
    </row>
    <row r="138">
      <c r="A138" s="15" t="inlineStr">
        <is>
          <t>CANON-202602-003917</t>
        </is>
      </c>
      <c r="B138" s="15" t="inlineStr">
        <is>
          <t>2026-02-01</t>
        </is>
      </c>
      <c r="C138" s="15" t="inlineStr">
        <is>
          <t>Leopold Vandermeer</t>
        </is>
      </c>
      <c r="D138" s="15" t="inlineStr">
        <is>
          <t>CO</t>
        </is>
      </c>
      <c r="E138" s="16" t="n">
        <v>570000</v>
      </c>
      <c r="F138" s="16" t="n">
        <v>3952.42</v>
      </c>
      <c r="G138" s="16" t="n">
        <v>494.05</v>
      </c>
      <c r="H138" s="16" t="n">
        <v>494.05</v>
      </c>
      <c r="I138" s="16">
        <f>SUM(K138:T138)</f>
        <v/>
      </c>
      <c r="J138" s="16">
        <f>F138-(G138+H138+I138)</f>
        <v/>
      </c>
      <c r="K138" s="16" t="n">
        <v>296.43</v>
      </c>
      <c r="L138" s="16" t="n">
        <v>296.43</v>
      </c>
      <c r="M138" s="16" t="n">
        <v>296.43</v>
      </c>
      <c r="N138" s="16" t="n">
        <v>296.43</v>
      </c>
      <c r="O138" s="16" t="n">
        <v>296.43</v>
      </c>
      <c r="P138" s="16" t="n">
        <v>296.43</v>
      </c>
      <c r="Q138" s="16" t="n">
        <v>296.43</v>
      </c>
      <c r="R138" s="16" t="n">
        <v>296.43</v>
      </c>
      <c r="S138" s="16" t="n">
        <v>296.43</v>
      </c>
      <c r="T138" s="16" t="n">
        <v>296.43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CANON-202602-003918</t>
        </is>
      </c>
      <c r="B139" s="3" t="inlineStr">
        <is>
          <t>2026-02-24</t>
        </is>
      </c>
      <c r="C139" s="3" t="inlineStr">
        <is>
          <t>Saoirse Vandermeer</t>
        </is>
      </c>
      <c r="D139" s="3" t="inlineStr">
        <is>
          <t>TN</t>
        </is>
      </c>
      <c r="E139" s="14" t="n">
        <v>700000</v>
      </c>
      <c r="F139" s="14" t="n">
        <v>4893.33</v>
      </c>
      <c r="G139" s="14" t="n">
        <v>611.67</v>
      </c>
      <c r="H139" s="14" t="n">
        <v>611.67</v>
      </c>
      <c r="I139" s="14">
        <f>SUM(K139:T139)</f>
        <v/>
      </c>
      <c r="J139" s="14">
        <f>F139-(G139+H139+I139)</f>
        <v/>
      </c>
      <c r="K139" s="14" t="n">
        <v>367</v>
      </c>
      <c r="L139" s="14" t="n">
        <v>367</v>
      </c>
      <c r="M139" s="14" t="n">
        <v>367</v>
      </c>
      <c r="N139" s="14" t="n">
        <v>367</v>
      </c>
      <c r="O139" s="14" t="n">
        <v>367</v>
      </c>
      <c r="P139" s="14" t="n">
        <v>367</v>
      </c>
      <c r="Q139" s="14" t="n">
        <v>367</v>
      </c>
      <c r="R139" s="14" t="n">
        <v>367</v>
      </c>
      <c r="S139" s="14" t="n">
        <v>367</v>
      </c>
      <c r="T139" s="14" t="n">
        <v>367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CANON-202602-003919</t>
        </is>
      </c>
      <c r="B140" s="15" t="inlineStr">
        <is>
          <t>2026-02-20</t>
        </is>
      </c>
      <c r="C140" s="15" t="inlineStr">
        <is>
          <t>Callum Delacroix</t>
        </is>
      </c>
      <c r="D140" s="15" t="inlineStr">
        <is>
          <t>CA</t>
        </is>
      </c>
      <c r="E140" s="16" t="n">
        <v>510000</v>
      </c>
      <c r="F140" s="16" t="n">
        <v>4911.16</v>
      </c>
      <c r="G140" s="16" t="n">
        <v>613.89</v>
      </c>
      <c r="H140" s="16" t="n">
        <v>613.89</v>
      </c>
      <c r="I140" s="16">
        <f>SUM(K140:T140)</f>
        <v/>
      </c>
      <c r="J140" s="16">
        <f>F140-(G140+H140+I140)</f>
        <v/>
      </c>
      <c r="K140" s="16" t="n">
        <v>368.34</v>
      </c>
      <c r="L140" s="16" t="n">
        <v>368.34</v>
      </c>
      <c r="M140" s="16" t="n">
        <v>368.34</v>
      </c>
      <c r="N140" s="16" t="n">
        <v>368.34</v>
      </c>
      <c r="O140" s="16" t="n">
        <v>368.34</v>
      </c>
      <c r="P140" s="16" t="n">
        <v>368.34</v>
      </c>
      <c r="Q140" s="16" t="n">
        <v>368.34</v>
      </c>
      <c r="R140" s="16" t="n">
        <v>368.34</v>
      </c>
      <c r="S140" s="16" t="n">
        <v>368.34</v>
      </c>
      <c r="T140" s="16" t="n">
        <v>368.34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CANON-202602-003920</t>
        </is>
      </c>
      <c r="B141" s="3" t="inlineStr">
        <is>
          <t>2026-02-23</t>
        </is>
      </c>
      <c r="C141" s="3" t="inlineStr">
        <is>
          <t>Sunniva Rourke</t>
        </is>
      </c>
      <c r="D141" s="3" t="inlineStr">
        <is>
          <t>AK</t>
        </is>
      </c>
      <c r="E141" s="14" t="n">
        <v>905000</v>
      </c>
      <c r="F141" s="14" t="n">
        <v>11124.45</v>
      </c>
      <c r="G141" s="14" t="n">
        <v>1390.56</v>
      </c>
      <c r="H141" s="14" t="n">
        <v>1390.56</v>
      </c>
      <c r="I141" s="14">
        <f>SUM(K141:T141)</f>
        <v/>
      </c>
      <c r="J141" s="14">
        <f>F141-(G141+H141+I141)</f>
        <v/>
      </c>
      <c r="K141" s="14" t="n">
        <v>834.33</v>
      </c>
      <c r="L141" s="14" t="n">
        <v>834.33</v>
      </c>
      <c r="M141" s="14" t="n">
        <v>834.33</v>
      </c>
      <c r="N141" s="14" t="n">
        <v>834.33</v>
      </c>
      <c r="O141" s="14" t="n">
        <v>834.33</v>
      </c>
      <c r="P141" s="14" t="n">
        <v>834.33</v>
      </c>
      <c r="Q141" s="14" t="n">
        <v>834.33</v>
      </c>
      <c r="R141" s="14" t="n">
        <v>834.33</v>
      </c>
      <c r="S141" s="14" t="n">
        <v>834.33</v>
      </c>
      <c r="T141" s="14" t="n">
        <v>834.33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CANON-202602-003921</t>
        </is>
      </c>
      <c r="B142" s="15" t="inlineStr">
        <is>
          <t>2026-02-16</t>
        </is>
      </c>
      <c r="C142" s="15" t="inlineStr">
        <is>
          <t>Ingrid Castellanos</t>
        </is>
      </c>
      <c r="D142" s="15" t="inlineStr">
        <is>
          <t>FL</t>
        </is>
      </c>
      <c r="E142" s="16" t="n">
        <v>515000</v>
      </c>
      <c r="F142" s="16" t="n">
        <v>11524.74</v>
      </c>
      <c r="G142" s="16" t="n">
        <v>1440.59</v>
      </c>
      <c r="H142" s="16" t="n">
        <v>1440.59</v>
      </c>
      <c r="I142" s="16">
        <f>SUM(K142:T142)</f>
        <v/>
      </c>
      <c r="J142" s="16">
        <f>F142-(G142+H142+I142)</f>
        <v/>
      </c>
      <c r="K142" s="16" t="n">
        <v>864.36</v>
      </c>
      <c r="L142" s="16" t="n">
        <v>864.36</v>
      </c>
      <c r="M142" s="16" t="n">
        <v>864.36</v>
      </c>
      <c r="N142" s="16" t="n">
        <v>864.36</v>
      </c>
      <c r="O142" s="16" t="n">
        <v>864.36</v>
      </c>
      <c r="P142" s="16" t="n">
        <v>864.36</v>
      </c>
      <c r="Q142" s="16" t="n">
        <v>864.36</v>
      </c>
      <c r="R142" s="16" t="n">
        <v>864.36</v>
      </c>
      <c r="S142" s="16" t="n">
        <v>864.36</v>
      </c>
      <c r="T142" s="16" t="n">
        <v>864.36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CANON-202602-003922</t>
        </is>
      </c>
      <c r="B143" s="3" t="inlineStr">
        <is>
          <t>2026-02-19</t>
        </is>
      </c>
      <c r="C143" s="3" t="inlineStr">
        <is>
          <t>Delphine Blackwood</t>
        </is>
      </c>
      <c r="D143" s="3" t="inlineStr">
        <is>
          <t>DE</t>
        </is>
      </c>
      <c r="E143" s="14" t="n">
        <v>330000</v>
      </c>
      <c r="F143" s="14" t="n">
        <v>5132.12</v>
      </c>
      <c r="G143" s="14" t="n">
        <v>641.51</v>
      </c>
      <c r="H143" s="14" t="n">
        <v>641.51</v>
      </c>
      <c r="I143" s="14">
        <f>SUM(K143:T143)</f>
        <v/>
      </c>
      <c r="J143" s="14">
        <f>F143-(G143+H143+I143)</f>
        <v/>
      </c>
      <c r="K143" s="14" t="n">
        <v>384.91</v>
      </c>
      <c r="L143" s="14" t="n">
        <v>384.91</v>
      </c>
      <c r="M143" s="14" t="n">
        <v>384.91</v>
      </c>
      <c r="N143" s="14" t="n">
        <v>384.91</v>
      </c>
      <c r="O143" s="14" t="n">
        <v>384.91</v>
      </c>
      <c r="P143" s="14" t="n">
        <v>384.91</v>
      </c>
      <c r="Q143" s="14" t="n">
        <v>384.91</v>
      </c>
      <c r="R143" s="14" t="n">
        <v>384.91</v>
      </c>
      <c r="S143" s="14" t="n">
        <v>384.91</v>
      </c>
      <c r="T143" s="14" t="n">
        <v>384.91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CANON-202602-003925</t>
        </is>
      </c>
      <c r="B144" s="15" t="inlineStr">
        <is>
          <t>2026-02-26</t>
        </is>
      </c>
      <c r="C144" s="15" t="inlineStr">
        <is>
          <t>Wilhelmina Vandermeer</t>
        </is>
      </c>
      <c r="D144" s="15" t="inlineStr">
        <is>
          <t>MA</t>
        </is>
      </c>
      <c r="E144" s="16" t="n">
        <v>690000</v>
      </c>
      <c r="F144" s="16" t="n">
        <v>9300.030000000001</v>
      </c>
      <c r="G144" s="16" t="n">
        <v>1162.5</v>
      </c>
      <c r="H144" s="16" t="n">
        <v>1162.5</v>
      </c>
      <c r="I144" s="16">
        <f>SUM(K144:T144)</f>
        <v/>
      </c>
      <c r="J144" s="16">
        <f>F144-(G144+H144+I144)</f>
        <v/>
      </c>
      <c r="K144" s="16" t="n">
        <v>697.5</v>
      </c>
      <c r="L144" s="16" t="n">
        <v>697.5</v>
      </c>
      <c r="M144" s="16" t="n">
        <v>697.5</v>
      </c>
      <c r="N144" s="16" t="n">
        <v>697.5</v>
      </c>
      <c r="O144" s="16" t="n">
        <v>697.5</v>
      </c>
      <c r="P144" s="16" t="n">
        <v>697.5</v>
      </c>
      <c r="Q144" s="16" t="n">
        <v>697.5</v>
      </c>
      <c r="R144" s="16" t="n">
        <v>697.5</v>
      </c>
      <c r="S144" s="16" t="n">
        <v>697.5</v>
      </c>
      <c r="T144" s="16" t="n">
        <v>697.5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CANON-202602-003926</t>
        </is>
      </c>
      <c r="B145" s="3" t="inlineStr">
        <is>
          <t>2026-02-03</t>
        </is>
      </c>
      <c r="C145" s="3" t="inlineStr">
        <is>
          <t>Fitzgerald Montoya</t>
        </is>
      </c>
      <c r="D145" s="3" t="inlineStr">
        <is>
          <t>NY</t>
        </is>
      </c>
      <c r="E145" s="14" t="n">
        <v>800000</v>
      </c>
      <c r="F145" s="14" t="n">
        <v>11041.42</v>
      </c>
      <c r="G145" s="14" t="n">
        <v>1380.18</v>
      </c>
      <c r="H145" s="14" t="n">
        <v>1380.18</v>
      </c>
      <c r="I145" s="14">
        <f>SUM(K145:T145)</f>
        <v/>
      </c>
      <c r="J145" s="14">
        <f>F145-(G145+H145+I145)</f>
        <v/>
      </c>
      <c r="K145" s="14" t="n">
        <v>828.11</v>
      </c>
      <c r="L145" s="14" t="n">
        <v>828.11</v>
      </c>
      <c r="M145" s="14" t="n">
        <v>828.11</v>
      </c>
      <c r="N145" s="14" t="n">
        <v>828.11</v>
      </c>
      <c r="O145" s="14" t="n">
        <v>828.11</v>
      </c>
      <c r="P145" s="14" t="n">
        <v>828.11</v>
      </c>
      <c r="Q145" s="14" t="n">
        <v>828.11</v>
      </c>
      <c r="R145" s="14" t="n">
        <v>828.11</v>
      </c>
      <c r="S145" s="14" t="n">
        <v>828.11</v>
      </c>
      <c r="T145" s="14" t="n">
        <v>828.11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CANON-202602-003927</t>
        </is>
      </c>
      <c r="B146" s="15" t="inlineStr">
        <is>
          <t>2026-02-09</t>
        </is>
      </c>
      <c r="C146" s="15" t="inlineStr">
        <is>
          <t>Leopold Castellanos</t>
        </is>
      </c>
      <c r="D146" s="15" t="inlineStr">
        <is>
          <t>MT</t>
        </is>
      </c>
      <c r="E146" s="16" t="n">
        <v>510000</v>
      </c>
      <c r="F146" s="16" t="n">
        <v>6137.04</v>
      </c>
      <c r="G146" s="16" t="n">
        <v>767.13</v>
      </c>
      <c r="H146" s="16" t="n">
        <v>767.13</v>
      </c>
      <c r="I146" s="16">
        <f>SUM(K146:T146)</f>
        <v/>
      </c>
      <c r="J146" s="16">
        <f>F146-(G146+H146+I146)</f>
        <v/>
      </c>
      <c r="K146" s="16" t="n">
        <v>460.28</v>
      </c>
      <c r="L146" s="16" t="n">
        <v>460.28</v>
      </c>
      <c r="M146" s="16" t="n">
        <v>460.28</v>
      </c>
      <c r="N146" s="16" t="n">
        <v>460.28</v>
      </c>
      <c r="O146" s="16" t="n">
        <v>460.28</v>
      </c>
      <c r="P146" s="16" t="n">
        <v>460.28</v>
      </c>
      <c r="Q146" s="16" t="n">
        <v>460.28</v>
      </c>
      <c r="R146" s="16" t="n">
        <v>460.28</v>
      </c>
      <c r="S146" s="16" t="n">
        <v>460.28</v>
      </c>
      <c r="T146" s="16" t="n">
        <v>460.28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CANON-202602-003931</t>
        </is>
      </c>
      <c r="B147" s="3" t="inlineStr">
        <is>
          <t>2026-02-04</t>
        </is>
      </c>
      <c r="C147" s="3" t="inlineStr">
        <is>
          <t>Aurelio Bellandi</t>
        </is>
      </c>
      <c r="D147" s="3" t="inlineStr">
        <is>
          <t>TX</t>
        </is>
      </c>
      <c r="E147" s="14" t="n">
        <v>690000</v>
      </c>
      <c r="F147" s="14" t="n">
        <v>8556.02</v>
      </c>
      <c r="G147" s="14" t="n">
        <v>1069.5</v>
      </c>
      <c r="H147" s="14" t="n">
        <v>1069.5</v>
      </c>
      <c r="I147" s="14">
        <f>SUM(K147:T147)</f>
        <v/>
      </c>
      <c r="J147" s="14">
        <f>F147-(G147+H147+I147)</f>
        <v/>
      </c>
      <c r="K147" s="14" t="n">
        <v>641.7</v>
      </c>
      <c r="L147" s="14" t="n">
        <v>641.7</v>
      </c>
      <c r="M147" s="14" t="n">
        <v>641.7</v>
      </c>
      <c r="N147" s="14" t="n">
        <v>641.7</v>
      </c>
      <c r="O147" s="14" t="n">
        <v>641.7</v>
      </c>
      <c r="P147" s="14" t="n">
        <v>641.7</v>
      </c>
      <c r="Q147" s="14" t="n">
        <v>641.7</v>
      </c>
      <c r="R147" s="14" t="n">
        <v>641.7</v>
      </c>
      <c r="S147" s="14" t="n">
        <v>641.7</v>
      </c>
      <c r="T147" s="14" t="n">
        <v>641.7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CANON-202602-003932</t>
        </is>
      </c>
      <c r="B148" s="15" t="inlineStr">
        <is>
          <t>2026-02-13</t>
        </is>
      </c>
      <c r="C148" s="15" t="inlineStr">
        <is>
          <t>Priya Pennington</t>
        </is>
      </c>
      <c r="D148" s="15" t="inlineStr">
        <is>
          <t>KY</t>
        </is>
      </c>
      <c r="E148" s="16" t="n">
        <v>1010000</v>
      </c>
      <c r="F148" s="16" t="n">
        <v>8531.42</v>
      </c>
      <c r="G148" s="16" t="n">
        <v>1066.43</v>
      </c>
      <c r="H148" s="16" t="n">
        <v>1066.43</v>
      </c>
      <c r="I148" s="16">
        <f>SUM(K148:T148)</f>
        <v/>
      </c>
      <c r="J148" s="16">
        <f>F148-(G148+H148+I148)</f>
        <v/>
      </c>
      <c r="K148" s="16" t="n">
        <v>639.86</v>
      </c>
      <c r="L148" s="16" t="n">
        <v>639.86</v>
      </c>
      <c r="M148" s="16" t="n">
        <v>639.86</v>
      </c>
      <c r="N148" s="16" t="n">
        <v>639.86</v>
      </c>
      <c r="O148" s="16" t="n">
        <v>639.86</v>
      </c>
      <c r="P148" s="16" t="n">
        <v>639.86</v>
      </c>
      <c r="Q148" s="16" t="n">
        <v>639.86</v>
      </c>
      <c r="R148" s="16" t="n">
        <v>639.86</v>
      </c>
      <c r="S148" s="16" t="n">
        <v>639.86</v>
      </c>
      <c r="T148" s="16" t="n">
        <v>639.86</v>
      </c>
      <c r="U148" s="16" t="n">
        <v>350</v>
      </c>
      <c r="V148" s="16" t="n">
        <v>250</v>
      </c>
      <c r="W148" s="16">
        <f>U148+V148</f>
        <v/>
      </c>
    </row>
    <row r="149">
      <c r="A149" s="3" t="inlineStr">
        <is>
          <t>CANON-202602-003935</t>
        </is>
      </c>
      <c r="B149" s="3" t="inlineStr">
        <is>
          <t>2026-02-13</t>
        </is>
      </c>
      <c r="C149" s="3" t="inlineStr">
        <is>
          <t>Beatrix Rourke</t>
        </is>
      </c>
      <c r="D149" s="3" t="inlineStr">
        <is>
          <t>CA</t>
        </is>
      </c>
      <c r="E149" s="14" t="n">
        <v>910000</v>
      </c>
      <c r="F149" s="14" t="n">
        <v>19360.23</v>
      </c>
      <c r="G149" s="14" t="n">
        <v>2420.03</v>
      </c>
      <c r="H149" s="14" t="n">
        <v>2420.03</v>
      </c>
      <c r="I149" s="14">
        <f>SUM(K149:T149)</f>
        <v/>
      </c>
      <c r="J149" s="14">
        <f>F149-(G149+H149+I149)</f>
        <v/>
      </c>
      <c r="K149" s="14" t="n">
        <v>1452.02</v>
      </c>
      <c r="L149" s="14" t="n">
        <v>1452.02</v>
      </c>
      <c r="M149" s="14" t="n">
        <v>1452.02</v>
      </c>
      <c r="N149" s="14" t="n">
        <v>1452.02</v>
      </c>
      <c r="O149" s="14" t="n">
        <v>1452.02</v>
      </c>
      <c r="P149" s="14" t="n">
        <v>1452.02</v>
      </c>
      <c r="Q149" s="14" t="n">
        <v>1452.02</v>
      </c>
      <c r="R149" s="14" t="n">
        <v>1452.02</v>
      </c>
      <c r="S149" s="14" t="n">
        <v>1452.02</v>
      </c>
      <c r="T149" s="14" t="n">
        <v>1452.02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CANON-202602-003937</t>
        </is>
      </c>
      <c r="B150" s="15" t="inlineStr">
        <is>
          <t>2026-02-15</t>
        </is>
      </c>
      <c r="C150" s="15" t="inlineStr">
        <is>
          <t>Priya Farkas</t>
        </is>
      </c>
      <c r="D150" s="15" t="inlineStr">
        <is>
          <t>WV</t>
        </is>
      </c>
      <c r="E150" s="16" t="n">
        <v>1120000</v>
      </c>
      <c r="F150" s="16" t="n">
        <v>13590.77</v>
      </c>
      <c r="G150" s="16" t="n">
        <v>1698.85</v>
      </c>
      <c r="H150" s="16" t="n">
        <v>1698.85</v>
      </c>
      <c r="I150" s="16">
        <f>SUM(K150:T150)</f>
        <v/>
      </c>
      <c r="J150" s="16">
        <f>F150-(G150+H150+I150)</f>
        <v/>
      </c>
      <c r="K150" s="16" t="n">
        <v>1019.31</v>
      </c>
      <c r="L150" s="16" t="n">
        <v>1019.31</v>
      </c>
      <c r="M150" s="16" t="n">
        <v>1019.31</v>
      </c>
      <c r="N150" s="16" t="n">
        <v>1019.31</v>
      </c>
      <c r="O150" s="16" t="n">
        <v>1019.31</v>
      </c>
      <c r="P150" s="16" t="n">
        <v>1019.31</v>
      </c>
      <c r="Q150" s="16" t="n">
        <v>1019.31</v>
      </c>
      <c r="R150" s="16" t="n">
        <v>1019.31</v>
      </c>
      <c r="S150" s="16" t="n">
        <v>1019.31</v>
      </c>
      <c r="T150" s="16" t="n">
        <v>1019.31</v>
      </c>
      <c r="U150" s="16" t="n">
        <v>350</v>
      </c>
      <c r="V150" s="16" t="n">
        <v>250</v>
      </c>
      <c r="W150" s="16">
        <f>U150+V150</f>
        <v/>
      </c>
    </row>
    <row r="151">
      <c r="A151" s="3" t="inlineStr">
        <is>
          <t>CANON-202602-003939</t>
        </is>
      </c>
      <c r="B151" s="3" t="inlineStr">
        <is>
          <t>2026-02-06</t>
        </is>
      </c>
      <c r="C151" s="3" t="inlineStr">
        <is>
          <t>Cassius Whitlock</t>
        </is>
      </c>
      <c r="D151" s="3" t="inlineStr">
        <is>
          <t>SD</t>
        </is>
      </c>
      <c r="E151" s="14" t="n">
        <v>340000</v>
      </c>
      <c r="F151" s="14" t="n">
        <v>4695.43</v>
      </c>
      <c r="G151" s="14" t="n">
        <v>586.9299999999999</v>
      </c>
      <c r="H151" s="14" t="n">
        <v>586.9299999999999</v>
      </c>
      <c r="I151" s="14">
        <f>SUM(K151:T151)</f>
        <v/>
      </c>
      <c r="J151" s="14">
        <f>F151-(G151+H151+I151)</f>
        <v/>
      </c>
      <c r="K151" s="14" t="n">
        <v>352.16</v>
      </c>
      <c r="L151" s="14" t="n">
        <v>352.16</v>
      </c>
      <c r="M151" s="14" t="n">
        <v>352.16</v>
      </c>
      <c r="N151" s="14" t="n">
        <v>352.16</v>
      </c>
      <c r="O151" s="14" t="n">
        <v>352.16</v>
      </c>
      <c r="P151" s="14" t="n">
        <v>352.16</v>
      </c>
      <c r="Q151" s="14" t="n">
        <v>352.16</v>
      </c>
      <c r="R151" s="14" t="n">
        <v>352.16</v>
      </c>
      <c r="S151" s="14" t="n">
        <v>352.16</v>
      </c>
      <c r="T151" s="14" t="n">
        <v>352.16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CANON-202602-003940</t>
        </is>
      </c>
      <c r="B152" s="15" t="inlineStr">
        <is>
          <t>2026-02-26</t>
        </is>
      </c>
      <c r="C152" s="15" t="inlineStr">
        <is>
          <t>Priya Vasquez</t>
        </is>
      </c>
      <c r="D152" s="15" t="inlineStr">
        <is>
          <t>VA</t>
        </is>
      </c>
      <c r="E152" s="16" t="n">
        <v>640000</v>
      </c>
      <c r="F152" s="16" t="n">
        <v>10993.65</v>
      </c>
      <c r="G152" s="16" t="n">
        <v>1374.21</v>
      </c>
      <c r="H152" s="16" t="n">
        <v>1374.21</v>
      </c>
      <c r="I152" s="16">
        <f>SUM(K152:T152)</f>
        <v/>
      </c>
      <c r="J152" s="16">
        <f>F152-(G152+H152+I152)</f>
        <v/>
      </c>
      <c r="K152" s="16" t="n">
        <v>824.52</v>
      </c>
      <c r="L152" s="16" t="n">
        <v>824.52</v>
      </c>
      <c r="M152" s="16" t="n">
        <v>824.52</v>
      </c>
      <c r="N152" s="16" t="n">
        <v>824.52</v>
      </c>
      <c r="O152" s="16" t="n">
        <v>824.52</v>
      </c>
      <c r="P152" s="16" t="n">
        <v>824.52</v>
      </c>
      <c r="Q152" s="16" t="n">
        <v>824.52</v>
      </c>
      <c r="R152" s="16" t="n">
        <v>824.52</v>
      </c>
      <c r="S152" s="16" t="n">
        <v>824.52</v>
      </c>
      <c r="T152" s="16" t="n">
        <v>824.52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CANON-202602-003941</t>
        </is>
      </c>
      <c r="B153" s="3" t="inlineStr">
        <is>
          <t>2026-02-17</t>
        </is>
      </c>
      <c r="C153" s="3" t="inlineStr">
        <is>
          <t>Sunniva Merriweather</t>
        </is>
      </c>
      <c r="D153" s="3" t="inlineStr">
        <is>
          <t>CA</t>
        </is>
      </c>
      <c r="E153" s="14" t="n">
        <v>980000</v>
      </c>
      <c r="F153" s="14" t="n">
        <v>14265.43</v>
      </c>
      <c r="G153" s="14" t="n">
        <v>1783.18</v>
      </c>
      <c r="H153" s="14" t="n">
        <v>1783.18</v>
      </c>
      <c r="I153" s="14">
        <f>SUM(K153:T153)</f>
        <v/>
      </c>
      <c r="J153" s="14">
        <f>F153-(G153+H153+I153)</f>
        <v/>
      </c>
      <c r="K153" s="14" t="n">
        <v>1069.91</v>
      </c>
      <c r="L153" s="14" t="n">
        <v>1069.91</v>
      </c>
      <c r="M153" s="14" t="n">
        <v>1069.91</v>
      </c>
      <c r="N153" s="14" t="n">
        <v>1069.91</v>
      </c>
      <c r="O153" s="14" t="n">
        <v>1069.91</v>
      </c>
      <c r="P153" s="14" t="n">
        <v>1069.91</v>
      </c>
      <c r="Q153" s="14" t="n">
        <v>1069.91</v>
      </c>
      <c r="R153" s="14" t="n">
        <v>1069.91</v>
      </c>
      <c r="S153" s="14" t="n">
        <v>1069.91</v>
      </c>
      <c r="T153" s="14" t="n">
        <v>1069.91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CANON-202602-003944</t>
        </is>
      </c>
      <c r="B154" s="15" t="inlineStr">
        <is>
          <t>2026-02-28</t>
        </is>
      </c>
      <c r="C154" s="15" t="inlineStr">
        <is>
          <t>Noor Delacroix</t>
        </is>
      </c>
      <c r="D154" s="15" t="inlineStr">
        <is>
          <t>OK</t>
        </is>
      </c>
      <c r="E154" s="16" t="n">
        <v>305000</v>
      </c>
      <c r="F154" s="16" t="n">
        <v>4781.27</v>
      </c>
      <c r="G154" s="16" t="n">
        <v>597.66</v>
      </c>
      <c r="H154" s="16" t="n">
        <v>597.66</v>
      </c>
      <c r="I154" s="16">
        <f>SUM(K154:T154)</f>
        <v/>
      </c>
      <c r="J154" s="16">
        <f>F154-(G154+H154+I154)</f>
        <v/>
      </c>
      <c r="K154" s="16" t="n">
        <v>358.6</v>
      </c>
      <c r="L154" s="16" t="n">
        <v>358.6</v>
      </c>
      <c r="M154" s="16" t="n">
        <v>358.6</v>
      </c>
      <c r="N154" s="16" t="n">
        <v>358.6</v>
      </c>
      <c r="O154" s="16" t="n">
        <v>358.6</v>
      </c>
      <c r="P154" s="16" t="n">
        <v>358.6</v>
      </c>
      <c r="Q154" s="16" t="n">
        <v>358.6</v>
      </c>
      <c r="R154" s="16" t="n">
        <v>358.6</v>
      </c>
      <c r="S154" s="16" t="n">
        <v>358.6</v>
      </c>
      <c r="T154" s="16" t="n">
        <v>358.6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CANON-202602-003945</t>
        </is>
      </c>
      <c r="B155" s="3" t="inlineStr">
        <is>
          <t>2026-02-20</t>
        </is>
      </c>
      <c r="C155" s="3" t="inlineStr">
        <is>
          <t>Fitzgerald Thistlewood</t>
        </is>
      </c>
      <c r="D155" s="3" t="inlineStr">
        <is>
          <t>MA</t>
        </is>
      </c>
      <c r="E155" s="14" t="n">
        <v>965000</v>
      </c>
      <c r="F155" s="14" t="n">
        <v>8604.34</v>
      </c>
      <c r="G155" s="14" t="n">
        <v>1075.54</v>
      </c>
      <c r="H155" s="14" t="n">
        <v>1075.54</v>
      </c>
      <c r="I155" s="14">
        <f>SUM(K155:T155)</f>
        <v/>
      </c>
      <c r="J155" s="14">
        <f>F155-(G155+H155+I155)</f>
        <v/>
      </c>
      <c r="K155" s="14" t="n">
        <v>645.33</v>
      </c>
      <c r="L155" s="14" t="n">
        <v>645.33</v>
      </c>
      <c r="M155" s="14" t="n">
        <v>645.33</v>
      </c>
      <c r="N155" s="14" t="n">
        <v>645.33</v>
      </c>
      <c r="O155" s="14" t="n">
        <v>645.33</v>
      </c>
      <c r="P155" s="14" t="n">
        <v>645.33</v>
      </c>
      <c r="Q155" s="14" t="n">
        <v>645.33</v>
      </c>
      <c r="R155" s="14" t="n">
        <v>645.33</v>
      </c>
      <c r="S155" s="14" t="n">
        <v>645.33</v>
      </c>
      <c r="T155" s="14" t="n">
        <v>645.33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CANON-202602-003947</t>
        </is>
      </c>
      <c r="B156" s="15" t="inlineStr">
        <is>
          <t>2026-02-03</t>
        </is>
      </c>
      <c r="C156" s="15" t="inlineStr">
        <is>
          <t>Leopold Thistlewood</t>
        </is>
      </c>
      <c r="D156" s="15" t="inlineStr">
        <is>
          <t>CA</t>
        </is>
      </c>
      <c r="E156" s="16" t="n">
        <v>570000</v>
      </c>
      <c r="F156" s="16" t="n">
        <v>12126.74</v>
      </c>
      <c r="G156" s="16" t="n">
        <v>1515.84</v>
      </c>
      <c r="H156" s="16" t="n">
        <v>1515.84</v>
      </c>
      <c r="I156" s="16">
        <f>SUM(K156:T156)</f>
        <v/>
      </c>
      <c r="J156" s="16">
        <f>F156-(G156+H156+I156)</f>
        <v/>
      </c>
      <c r="K156" s="16" t="n">
        <v>909.51</v>
      </c>
      <c r="L156" s="16" t="n">
        <v>909.51</v>
      </c>
      <c r="M156" s="16" t="n">
        <v>909.51</v>
      </c>
      <c r="N156" s="16" t="n">
        <v>909.51</v>
      </c>
      <c r="O156" s="16" t="n">
        <v>909.51</v>
      </c>
      <c r="P156" s="16" t="n">
        <v>909.51</v>
      </c>
      <c r="Q156" s="16" t="n">
        <v>909.51</v>
      </c>
      <c r="R156" s="16" t="n">
        <v>909.51</v>
      </c>
      <c r="S156" s="16" t="n">
        <v>909.51</v>
      </c>
      <c r="T156" s="16" t="n">
        <v>909.51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CANON-202602-003948</t>
        </is>
      </c>
      <c r="B157" s="3" t="inlineStr">
        <is>
          <t>2026-02-25</t>
        </is>
      </c>
      <c r="C157" s="3" t="inlineStr">
        <is>
          <t>Lorenzo Merriweather</t>
        </is>
      </c>
      <c r="D157" s="3" t="inlineStr">
        <is>
          <t>NY</t>
        </is>
      </c>
      <c r="E157" s="14" t="n">
        <v>345000</v>
      </c>
      <c r="F157" s="14" t="n">
        <v>5494.17</v>
      </c>
      <c r="G157" s="14" t="n">
        <v>686.77</v>
      </c>
      <c r="H157" s="14" t="n">
        <v>686.77</v>
      </c>
      <c r="I157" s="14">
        <f>SUM(K157:T157)</f>
        <v/>
      </c>
      <c r="J157" s="14">
        <f>F157-(G157+H157+I157)</f>
        <v/>
      </c>
      <c r="K157" s="14" t="n">
        <v>412.06</v>
      </c>
      <c r="L157" s="14" t="n">
        <v>412.06</v>
      </c>
      <c r="M157" s="14" t="n">
        <v>412.06</v>
      </c>
      <c r="N157" s="14" t="n">
        <v>412.06</v>
      </c>
      <c r="O157" s="14" t="n">
        <v>412.06</v>
      </c>
      <c r="P157" s="14" t="n">
        <v>412.06</v>
      </c>
      <c r="Q157" s="14" t="n">
        <v>412.06</v>
      </c>
      <c r="R157" s="14" t="n">
        <v>412.06</v>
      </c>
      <c r="S157" s="14" t="n">
        <v>412.06</v>
      </c>
      <c r="T157" s="14" t="n">
        <v>412.06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CANON-202602-003949</t>
        </is>
      </c>
      <c r="B158" s="15" t="inlineStr">
        <is>
          <t>2026-02-25</t>
        </is>
      </c>
      <c r="C158" s="15" t="inlineStr">
        <is>
          <t>Cassius Kingsford</t>
        </is>
      </c>
      <c r="D158" s="15" t="inlineStr">
        <is>
          <t>KS</t>
        </is>
      </c>
      <c r="E158" s="16" t="n">
        <v>1640000</v>
      </c>
      <c r="F158" s="16" t="n">
        <v>10027.93</v>
      </c>
      <c r="G158" s="16" t="n">
        <v>1253.49</v>
      </c>
      <c r="H158" s="16" t="n">
        <v>1253.49</v>
      </c>
      <c r="I158" s="16">
        <f>SUM(K158:T158)</f>
        <v/>
      </c>
      <c r="J158" s="16">
        <f>F158-(G158+H158+I158)</f>
        <v/>
      </c>
      <c r="K158" s="16" t="n">
        <v>752.09</v>
      </c>
      <c r="L158" s="16" t="n">
        <v>752.09</v>
      </c>
      <c r="M158" s="16" t="n">
        <v>752.09</v>
      </c>
      <c r="N158" s="16" t="n">
        <v>752.09</v>
      </c>
      <c r="O158" s="16" t="n">
        <v>752.09</v>
      </c>
      <c r="P158" s="16" t="n">
        <v>752.09</v>
      </c>
      <c r="Q158" s="16" t="n">
        <v>752.09</v>
      </c>
      <c r="R158" s="16" t="n">
        <v>752.09</v>
      </c>
      <c r="S158" s="16" t="n">
        <v>752.09</v>
      </c>
      <c r="T158" s="16" t="n">
        <v>752.09</v>
      </c>
      <c r="U158" s="16" t="n">
        <v>350</v>
      </c>
      <c r="V158" s="16" t="n">
        <v>250</v>
      </c>
      <c r="W158" s="16">
        <f>U158+V158</f>
        <v/>
      </c>
    </row>
    <row r="159">
      <c r="A159" s="3" t="inlineStr">
        <is>
          <t>CANON-202602-003950</t>
        </is>
      </c>
      <c r="B159" s="3" t="inlineStr">
        <is>
          <t>2026-02-07</t>
        </is>
      </c>
      <c r="C159" s="3" t="inlineStr">
        <is>
          <t>Horace Whitlock</t>
        </is>
      </c>
      <c r="D159" s="3" t="inlineStr">
        <is>
          <t>MT</t>
        </is>
      </c>
      <c r="E159" s="14" t="n">
        <v>550000</v>
      </c>
      <c r="F159" s="14" t="n">
        <v>3648.6</v>
      </c>
      <c r="G159" s="14" t="n">
        <v>456.07</v>
      </c>
      <c r="H159" s="14" t="n">
        <v>456.07</v>
      </c>
      <c r="I159" s="14">
        <f>SUM(K159:T159)</f>
        <v/>
      </c>
      <c r="J159" s="14">
        <f>F159-(G159+H159+I159)</f>
        <v/>
      </c>
      <c r="K159" s="14" t="n">
        <v>273.64</v>
      </c>
      <c r="L159" s="14" t="n">
        <v>273.64</v>
      </c>
      <c r="M159" s="14" t="n">
        <v>273.64</v>
      </c>
      <c r="N159" s="14" t="n">
        <v>273.64</v>
      </c>
      <c r="O159" s="14" t="n">
        <v>273.64</v>
      </c>
      <c r="P159" s="14" t="n">
        <v>273.64</v>
      </c>
      <c r="Q159" s="14" t="n">
        <v>273.64</v>
      </c>
      <c r="R159" s="14" t="n">
        <v>273.64</v>
      </c>
      <c r="S159" s="14" t="n">
        <v>273.64</v>
      </c>
      <c r="T159" s="14" t="n">
        <v>273.64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CANON-202602-003951</t>
        </is>
      </c>
      <c r="B160" s="15" t="inlineStr">
        <is>
          <t>2026-02-27</t>
        </is>
      </c>
      <c r="C160" s="15" t="inlineStr">
        <is>
          <t>Thaddeus Kingsford</t>
        </is>
      </c>
      <c r="D160" s="15" t="inlineStr">
        <is>
          <t>NC</t>
        </is>
      </c>
      <c r="E160" s="16" t="n">
        <v>735000</v>
      </c>
      <c r="F160" s="16" t="n">
        <v>6029.28</v>
      </c>
      <c r="G160" s="16" t="n">
        <v>753.66</v>
      </c>
      <c r="H160" s="16" t="n">
        <v>753.66</v>
      </c>
      <c r="I160" s="16">
        <f>SUM(K160:T160)</f>
        <v/>
      </c>
      <c r="J160" s="16">
        <f>F160-(G160+H160+I160)</f>
        <v/>
      </c>
      <c r="K160" s="16" t="n">
        <v>452.2</v>
      </c>
      <c r="L160" s="16" t="n">
        <v>452.2</v>
      </c>
      <c r="M160" s="16" t="n">
        <v>452.2</v>
      </c>
      <c r="N160" s="16" t="n">
        <v>452.2</v>
      </c>
      <c r="O160" s="16" t="n">
        <v>452.2</v>
      </c>
      <c r="P160" s="16" t="n">
        <v>452.2</v>
      </c>
      <c r="Q160" s="16" t="n">
        <v>452.2</v>
      </c>
      <c r="R160" s="16" t="n">
        <v>452.2</v>
      </c>
      <c r="S160" s="16" t="n">
        <v>452.2</v>
      </c>
      <c r="T160" s="16" t="n">
        <v>452.2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CANON-202602-003952</t>
        </is>
      </c>
      <c r="B161" s="3" t="inlineStr">
        <is>
          <t>2026-02-09</t>
        </is>
      </c>
      <c r="C161" s="3" t="inlineStr">
        <is>
          <t>Priya Pennington</t>
        </is>
      </c>
      <c r="D161" s="3" t="inlineStr">
        <is>
          <t>NY</t>
        </is>
      </c>
      <c r="E161" s="14" t="n">
        <v>1520000</v>
      </c>
      <c r="F161" s="14" t="n">
        <v>17751.22</v>
      </c>
      <c r="G161" s="14" t="n">
        <v>2218.9</v>
      </c>
      <c r="H161" s="14" t="n">
        <v>2218.9</v>
      </c>
      <c r="I161" s="14">
        <f>SUM(K161:T161)</f>
        <v/>
      </c>
      <c r="J161" s="14">
        <f>F161-(G161+H161+I161)</f>
        <v/>
      </c>
      <c r="K161" s="14" t="n">
        <v>1331.34</v>
      </c>
      <c r="L161" s="14" t="n">
        <v>1331.34</v>
      </c>
      <c r="M161" s="14" t="n">
        <v>1331.34</v>
      </c>
      <c r="N161" s="14" t="n">
        <v>1331.34</v>
      </c>
      <c r="O161" s="14" t="n">
        <v>1331.34</v>
      </c>
      <c r="P161" s="14" t="n">
        <v>1331.34</v>
      </c>
      <c r="Q161" s="14" t="n">
        <v>1331.34</v>
      </c>
      <c r="R161" s="14" t="n">
        <v>1331.34</v>
      </c>
      <c r="S161" s="14" t="n">
        <v>1331.34</v>
      </c>
      <c r="T161" s="14" t="n">
        <v>1331.34</v>
      </c>
      <c r="U161" s="14" t="n">
        <v>350</v>
      </c>
      <c r="V161" s="14" t="n">
        <v>250</v>
      </c>
      <c r="W161" s="14">
        <f>U161+V161</f>
        <v/>
      </c>
    </row>
    <row r="162">
      <c r="A162" s="15" t="inlineStr">
        <is>
          <t>CANON-202602-003953</t>
        </is>
      </c>
      <c r="B162" s="15" t="inlineStr">
        <is>
          <t>2026-02-23</t>
        </is>
      </c>
      <c r="C162" s="15" t="inlineStr">
        <is>
          <t>Callum Vasquez</t>
        </is>
      </c>
      <c r="D162" s="15" t="inlineStr">
        <is>
          <t>CA</t>
        </is>
      </c>
      <c r="E162" s="16" t="n">
        <v>630000</v>
      </c>
      <c r="F162" s="16" t="n">
        <v>9170.639999999999</v>
      </c>
      <c r="G162" s="16" t="n">
        <v>1146.33</v>
      </c>
      <c r="H162" s="16" t="n">
        <v>1146.33</v>
      </c>
      <c r="I162" s="16">
        <f>SUM(K162:T162)</f>
        <v/>
      </c>
      <c r="J162" s="16">
        <f>F162-(G162+H162+I162)</f>
        <v/>
      </c>
      <c r="K162" s="16" t="n">
        <v>687.8</v>
      </c>
      <c r="L162" s="16" t="n">
        <v>687.8</v>
      </c>
      <c r="M162" s="16" t="n">
        <v>687.8</v>
      </c>
      <c r="N162" s="16" t="n">
        <v>687.8</v>
      </c>
      <c r="O162" s="16" t="n">
        <v>687.8</v>
      </c>
      <c r="P162" s="16" t="n">
        <v>687.8</v>
      </c>
      <c r="Q162" s="16" t="n">
        <v>687.8</v>
      </c>
      <c r="R162" s="16" t="n">
        <v>687.8</v>
      </c>
      <c r="S162" s="16" t="n">
        <v>687.8</v>
      </c>
      <c r="T162" s="16" t="n">
        <v>687.8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CANON-202602-003955</t>
        </is>
      </c>
      <c r="B163" s="3" t="inlineStr">
        <is>
          <t>2026-02-13</t>
        </is>
      </c>
      <c r="C163" s="3" t="inlineStr">
        <is>
          <t>Anouk Vasquez</t>
        </is>
      </c>
      <c r="D163" s="3" t="inlineStr">
        <is>
          <t>MN</t>
        </is>
      </c>
      <c r="E163" s="14" t="n">
        <v>755000</v>
      </c>
      <c r="F163" s="14" t="n">
        <v>15705.66</v>
      </c>
      <c r="G163" s="14" t="n">
        <v>1963.21</v>
      </c>
      <c r="H163" s="14" t="n">
        <v>1963.21</v>
      </c>
      <c r="I163" s="14">
        <f>SUM(K163:T163)</f>
        <v/>
      </c>
      <c r="J163" s="14">
        <f>F163-(G163+H163+I163)</f>
        <v/>
      </c>
      <c r="K163" s="14" t="n">
        <v>1177.92</v>
      </c>
      <c r="L163" s="14" t="n">
        <v>1177.92</v>
      </c>
      <c r="M163" s="14" t="n">
        <v>1177.92</v>
      </c>
      <c r="N163" s="14" t="n">
        <v>1177.92</v>
      </c>
      <c r="O163" s="14" t="n">
        <v>1177.92</v>
      </c>
      <c r="P163" s="14" t="n">
        <v>1177.92</v>
      </c>
      <c r="Q163" s="14" t="n">
        <v>1177.92</v>
      </c>
      <c r="R163" s="14" t="n">
        <v>1177.92</v>
      </c>
      <c r="S163" s="14" t="n">
        <v>1177.92</v>
      </c>
      <c r="T163" s="14" t="n">
        <v>1177.92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CANON-202602-003957</t>
        </is>
      </c>
      <c r="B164" s="15" t="inlineStr">
        <is>
          <t>2026-02-01</t>
        </is>
      </c>
      <c r="C164" s="15" t="inlineStr">
        <is>
          <t>Saoirse Okonkwo</t>
        </is>
      </c>
      <c r="D164" s="15" t="inlineStr">
        <is>
          <t>PA</t>
        </is>
      </c>
      <c r="E164" s="16" t="n">
        <v>910000</v>
      </c>
      <c r="F164" s="16" t="n">
        <v>9812.209999999999</v>
      </c>
      <c r="G164" s="16" t="n">
        <v>1226.53</v>
      </c>
      <c r="H164" s="16" t="n">
        <v>1226.53</v>
      </c>
      <c r="I164" s="16">
        <f>SUM(K164:T164)</f>
        <v/>
      </c>
      <c r="J164" s="16">
        <f>F164-(G164+H164+I164)</f>
        <v/>
      </c>
      <c r="K164" s="16" t="n">
        <v>735.92</v>
      </c>
      <c r="L164" s="16" t="n">
        <v>735.92</v>
      </c>
      <c r="M164" s="16" t="n">
        <v>735.92</v>
      </c>
      <c r="N164" s="16" t="n">
        <v>735.92</v>
      </c>
      <c r="O164" s="16" t="n">
        <v>735.92</v>
      </c>
      <c r="P164" s="16" t="n">
        <v>735.92</v>
      </c>
      <c r="Q164" s="16" t="n">
        <v>735.92</v>
      </c>
      <c r="R164" s="16" t="n">
        <v>735.92</v>
      </c>
      <c r="S164" s="16" t="n">
        <v>735.92</v>
      </c>
      <c r="T164" s="16" t="n">
        <v>735.92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CANON-202602-003958</t>
        </is>
      </c>
      <c r="B165" s="3" t="inlineStr">
        <is>
          <t>2026-02-16</t>
        </is>
      </c>
      <c r="C165" s="3" t="inlineStr">
        <is>
          <t>Sunniva Rourke</t>
        </is>
      </c>
      <c r="D165" s="3" t="inlineStr">
        <is>
          <t>MD</t>
        </is>
      </c>
      <c r="E165" s="14" t="n">
        <v>605000</v>
      </c>
      <c r="F165" s="14" t="n">
        <v>6197.32</v>
      </c>
      <c r="G165" s="14" t="n">
        <v>774.66</v>
      </c>
      <c r="H165" s="14" t="n">
        <v>774.66</v>
      </c>
      <c r="I165" s="14">
        <f>SUM(K165:T165)</f>
        <v/>
      </c>
      <c r="J165" s="14">
        <f>F165-(G165+H165+I165)</f>
        <v/>
      </c>
      <c r="K165" s="14" t="n">
        <v>464.8</v>
      </c>
      <c r="L165" s="14" t="n">
        <v>464.8</v>
      </c>
      <c r="M165" s="14" t="n">
        <v>464.8</v>
      </c>
      <c r="N165" s="14" t="n">
        <v>464.8</v>
      </c>
      <c r="O165" s="14" t="n">
        <v>464.8</v>
      </c>
      <c r="P165" s="14" t="n">
        <v>464.8</v>
      </c>
      <c r="Q165" s="14" t="n">
        <v>464.8</v>
      </c>
      <c r="R165" s="14" t="n">
        <v>464.8</v>
      </c>
      <c r="S165" s="14" t="n">
        <v>464.8</v>
      </c>
      <c r="T165" s="14" t="n">
        <v>464.8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CANON-202602-003961</t>
        </is>
      </c>
      <c r="B166" s="15" t="inlineStr">
        <is>
          <t>2026-02-18</t>
        </is>
      </c>
      <c r="C166" s="15" t="inlineStr">
        <is>
          <t>Everett Fairweather</t>
        </is>
      </c>
      <c r="D166" s="15" t="inlineStr">
        <is>
          <t>MO</t>
        </is>
      </c>
      <c r="E166" s="16" t="n">
        <v>810000</v>
      </c>
      <c r="F166" s="16" t="n">
        <v>13530.89</v>
      </c>
      <c r="G166" s="16" t="n">
        <v>1691.36</v>
      </c>
      <c r="H166" s="16" t="n">
        <v>1691.36</v>
      </c>
      <c r="I166" s="16">
        <f>SUM(K166:T166)</f>
        <v/>
      </c>
      <c r="J166" s="16">
        <f>F166-(G166+H166+I166)</f>
        <v/>
      </c>
      <c r="K166" s="16" t="n">
        <v>1014.82</v>
      </c>
      <c r="L166" s="16" t="n">
        <v>1014.82</v>
      </c>
      <c r="M166" s="16" t="n">
        <v>1014.82</v>
      </c>
      <c r="N166" s="16" t="n">
        <v>1014.82</v>
      </c>
      <c r="O166" s="16" t="n">
        <v>1014.82</v>
      </c>
      <c r="P166" s="16" t="n">
        <v>1014.82</v>
      </c>
      <c r="Q166" s="16" t="n">
        <v>1014.82</v>
      </c>
      <c r="R166" s="16" t="n">
        <v>1014.82</v>
      </c>
      <c r="S166" s="16" t="n">
        <v>1014.82</v>
      </c>
      <c r="T166" s="16" t="n">
        <v>1014.82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CANON-202602-003964</t>
        </is>
      </c>
      <c r="B167" s="3" t="inlineStr">
        <is>
          <t>2026-02-06</t>
        </is>
      </c>
      <c r="C167" s="3" t="inlineStr">
        <is>
          <t>Beatrix Ashcombe</t>
        </is>
      </c>
      <c r="D167" s="3" t="inlineStr">
        <is>
          <t>NC</t>
        </is>
      </c>
      <c r="E167" s="14" t="n">
        <v>760000</v>
      </c>
      <c r="F167" s="14" t="n">
        <v>13773.58</v>
      </c>
      <c r="G167" s="14" t="n">
        <v>1721.7</v>
      </c>
      <c r="H167" s="14" t="n">
        <v>1721.7</v>
      </c>
      <c r="I167" s="14">
        <f>SUM(K167:T167)</f>
        <v/>
      </c>
      <c r="J167" s="14">
        <f>F167-(G167+H167+I167)</f>
        <v/>
      </c>
      <c r="K167" s="14" t="n">
        <v>1033.02</v>
      </c>
      <c r="L167" s="14" t="n">
        <v>1033.02</v>
      </c>
      <c r="M167" s="14" t="n">
        <v>1033.02</v>
      </c>
      <c r="N167" s="14" t="n">
        <v>1033.02</v>
      </c>
      <c r="O167" s="14" t="n">
        <v>1033.02</v>
      </c>
      <c r="P167" s="14" t="n">
        <v>1033.02</v>
      </c>
      <c r="Q167" s="14" t="n">
        <v>1033.02</v>
      </c>
      <c r="R167" s="14" t="n">
        <v>1033.02</v>
      </c>
      <c r="S167" s="14" t="n">
        <v>1033.02</v>
      </c>
      <c r="T167" s="14" t="n">
        <v>1033.02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CANON-202602-003965</t>
        </is>
      </c>
      <c r="B168" s="15" t="inlineStr">
        <is>
          <t>2026-02-03</t>
        </is>
      </c>
      <c r="C168" s="15" t="inlineStr">
        <is>
          <t>Anouk Vasquez</t>
        </is>
      </c>
      <c r="D168" s="15" t="inlineStr">
        <is>
          <t>MT</t>
        </is>
      </c>
      <c r="E168" s="16" t="n">
        <v>290000</v>
      </c>
      <c r="F168" s="16" t="n">
        <v>3355.48</v>
      </c>
      <c r="G168" s="16" t="n">
        <v>419.44</v>
      </c>
      <c r="H168" s="16" t="n">
        <v>419.44</v>
      </c>
      <c r="I168" s="16">
        <f>SUM(K168:T168)</f>
        <v/>
      </c>
      <c r="J168" s="16">
        <f>F168-(G168+H168+I168)</f>
        <v/>
      </c>
      <c r="K168" s="16" t="n">
        <v>251.66</v>
      </c>
      <c r="L168" s="16" t="n">
        <v>251.66</v>
      </c>
      <c r="M168" s="16" t="n">
        <v>251.66</v>
      </c>
      <c r="N168" s="16" t="n">
        <v>251.66</v>
      </c>
      <c r="O168" s="16" t="n">
        <v>251.66</v>
      </c>
      <c r="P168" s="16" t="n">
        <v>251.66</v>
      </c>
      <c r="Q168" s="16" t="n">
        <v>251.66</v>
      </c>
      <c r="R168" s="16" t="n">
        <v>251.66</v>
      </c>
      <c r="S168" s="16" t="n">
        <v>251.66</v>
      </c>
      <c r="T168" s="16" t="n">
        <v>251.66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CANON-202602-003966</t>
        </is>
      </c>
      <c r="B169" s="3" t="inlineStr">
        <is>
          <t>2026-02-17</t>
        </is>
      </c>
      <c r="C169" s="3" t="inlineStr">
        <is>
          <t>Emiliano Harrington</t>
        </is>
      </c>
      <c r="D169" s="3" t="inlineStr">
        <is>
          <t>KS</t>
        </is>
      </c>
      <c r="E169" s="14" t="n">
        <v>695000</v>
      </c>
      <c r="F169" s="14" t="n">
        <v>4808.8</v>
      </c>
      <c r="G169" s="14" t="n">
        <v>601.1</v>
      </c>
      <c r="H169" s="14" t="n">
        <v>601.1</v>
      </c>
      <c r="I169" s="14">
        <f>SUM(K169:T169)</f>
        <v/>
      </c>
      <c r="J169" s="14">
        <f>F169-(G169+H169+I169)</f>
        <v/>
      </c>
      <c r="K169" s="14" t="n">
        <v>360.66</v>
      </c>
      <c r="L169" s="14" t="n">
        <v>360.66</v>
      </c>
      <c r="M169" s="14" t="n">
        <v>360.66</v>
      </c>
      <c r="N169" s="14" t="n">
        <v>360.66</v>
      </c>
      <c r="O169" s="14" t="n">
        <v>360.66</v>
      </c>
      <c r="P169" s="14" t="n">
        <v>360.66</v>
      </c>
      <c r="Q169" s="14" t="n">
        <v>360.66</v>
      </c>
      <c r="R169" s="14" t="n">
        <v>360.66</v>
      </c>
      <c r="S169" s="14" t="n">
        <v>360.66</v>
      </c>
      <c r="T169" s="14" t="n">
        <v>360.66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CANON-202602-003967</t>
        </is>
      </c>
      <c r="B170" s="15" t="inlineStr">
        <is>
          <t>2026-02-10</t>
        </is>
      </c>
      <c r="C170" s="15" t="inlineStr">
        <is>
          <t>Emiliano Pennington</t>
        </is>
      </c>
      <c r="D170" s="15" t="inlineStr">
        <is>
          <t>CO</t>
        </is>
      </c>
      <c r="E170" s="16" t="n">
        <v>535000</v>
      </c>
      <c r="F170" s="16" t="n">
        <v>6345.58</v>
      </c>
      <c r="G170" s="16" t="n">
        <v>793.2</v>
      </c>
      <c r="H170" s="16" t="n">
        <v>793.2</v>
      </c>
      <c r="I170" s="16">
        <f>SUM(K170:T170)</f>
        <v/>
      </c>
      <c r="J170" s="16">
        <f>F170-(G170+H170+I170)</f>
        <v/>
      </c>
      <c r="K170" s="16" t="n">
        <v>475.92</v>
      </c>
      <c r="L170" s="16" t="n">
        <v>475.92</v>
      </c>
      <c r="M170" s="16" t="n">
        <v>475.92</v>
      </c>
      <c r="N170" s="16" t="n">
        <v>475.92</v>
      </c>
      <c r="O170" s="16" t="n">
        <v>475.92</v>
      </c>
      <c r="P170" s="16" t="n">
        <v>475.92</v>
      </c>
      <c r="Q170" s="16" t="n">
        <v>475.92</v>
      </c>
      <c r="R170" s="16" t="n">
        <v>475.92</v>
      </c>
      <c r="S170" s="16" t="n">
        <v>475.92</v>
      </c>
      <c r="T170" s="16" t="n">
        <v>475.92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CANON-202602-003971</t>
        </is>
      </c>
      <c r="B171" s="3" t="inlineStr">
        <is>
          <t>2026-02-20</t>
        </is>
      </c>
      <c r="C171" s="3" t="inlineStr">
        <is>
          <t>Thaddeus Nakashima</t>
        </is>
      </c>
      <c r="D171" s="3" t="inlineStr">
        <is>
          <t>KY</t>
        </is>
      </c>
      <c r="E171" s="14" t="n">
        <v>300000</v>
      </c>
      <c r="F171" s="14" t="n">
        <v>5001.49</v>
      </c>
      <c r="G171" s="14" t="n">
        <v>625.1900000000001</v>
      </c>
      <c r="H171" s="14" t="n">
        <v>625.1900000000001</v>
      </c>
      <c r="I171" s="14">
        <f>SUM(K171:T171)</f>
        <v/>
      </c>
      <c r="J171" s="14">
        <f>F171-(G171+H171+I171)</f>
        <v/>
      </c>
      <c r="K171" s="14" t="n">
        <v>375.11</v>
      </c>
      <c r="L171" s="14" t="n">
        <v>375.11</v>
      </c>
      <c r="M171" s="14" t="n">
        <v>375.11</v>
      </c>
      <c r="N171" s="14" t="n">
        <v>375.11</v>
      </c>
      <c r="O171" s="14" t="n">
        <v>375.11</v>
      </c>
      <c r="P171" s="14" t="n">
        <v>375.11</v>
      </c>
      <c r="Q171" s="14" t="n">
        <v>375.11</v>
      </c>
      <c r="R171" s="14" t="n">
        <v>375.11</v>
      </c>
      <c r="S171" s="14" t="n">
        <v>375.11</v>
      </c>
      <c r="T171" s="14" t="n">
        <v>375.11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CANON-202602-003972</t>
        </is>
      </c>
      <c r="B172" s="15" t="inlineStr">
        <is>
          <t>2026-02-11</t>
        </is>
      </c>
      <c r="C172" s="15" t="inlineStr">
        <is>
          <t>Ramona Nakashima</t>
        </is>
      </c>
      <c r="D172" s="15" t="inlineStr">
        <is>
          <t>TX</t>
        </is>
      </c>
      <c r="E172" s="16" t="n">
        <v>1890000</v>
      </c>
      <c r="F172" s="16" t="n">
        <v>13701.08</v>
      </c>
      <c r="G172" s="16" t="n">
        <v>1712.63</v>
      </c>
      <c r="H172" s="16" t="n">
        <v>1712.63</v>
      </c>
      <c r="I172" s="16">
        <f>SUM(K172:T172)</f>
        <v/>
      </c>
      <c r="J172" s="16">
        <f>F172-(G172+H172+I172)</f>
        <v/>
      </c>
      <c r="K172" s="16" t="n">
        <v>1027.58</v>
      </c>
      <c r="L172" s="16" t="n">
        <v>1027.58</v>
      </c>
      <c r="M172" s="16" t="n">
        <v>1027.58</v>
      </c>
      <c r="N172" s="16" t="n">
        <v>1027.58</v>
      </c>
      <c r="O172" s="16" t="n">
        <v>1027.58</v>
      </c>
      <c r="P172" s="16" t="n">
        <v>1027.58</v>
      </c>
      <c r="Q172" s="16" t="n">
        <v>1027.58</v>
      </c>
      <c r="R172" s="16" t="n">
        <v>1027.58</v>
      </c>
      <c r="S172" s="16" t="n">
        <v>1027.58</v>
      </c>
      <c r="T172" s="16" t="n">
        <v>1027.58</v>
      </c>
      <c r="U172" s="16" t="n">
        <v>350</v>
      </c>
      <c r="V172" s="16" t="n">
        <v>250</v>
      </c>
      <c r="W172" s="16">
        <f>U172+V172</f>
        <v/>
      </c>
    </row>
    <row r="173">
      <c r="A173" s="3" t="inlineStr">
        <is>
          <t>CANON-202602-003973</t>
        </is>
      </c>
      <c r="B173" s="3" t="inlineStr">
        <is>
          <t>2026-02-04</t>
        </is>
      </c>
      <c r="C173" s="3" t="inlineStr">
        <is>
          <t>Fenwick Vasquez</t>
        </is>
      </c>
      <c r="D173" s="3" t="inlineStr">
        <is>
          <t>NH</t>
        </is>
      </c>
      <c r="E173" s="14" t="n">
        <v>630000</v>
      </c>
      <c r="F173" s="14" t="n">
        <v>7064.79</v>
      </c>
      <c r="G173" s="14" t="n">
        <v>883.1</v>
      </c>
      <c r="H173" s="14" t="n">
        <v>883.1</v>
      </c>
      <c r="I173" s="14">
        <f>SUM(K173:T173)</f>
        <v/>
      </c>
      <c r="J173" s="14">
        <f>F173-(G173+H173+I173)</f>
        <v/>
      </c>
      <c r="K173" s="14" t="n">
        <v>529.86</v>
      </c>
      <c r="L173" s="14" t="n">
        <v>529.86</v>
      </c>
      <c r="M173" s="14" t="n">
        <v>529.86</v>
      </c>
      <c r="N173" s="14" t="n">
        <v>529.86</v>
      </c>
      <c r="O173" s="14" t="n">
        <v>529.86</v>
      </c>
      <c r="P173" s="14" t="n">
        <v>529.86</v>
      </c>
      <c r="Q173" s="14" t="n">
        <v>529.86</v>
      </c>
      <c r="R173" s="14" t="n">
        <v>529.86</v>
      </c>
      <c r="S173" s="14" t="n">
        <v>529.86</v>
      </c>
      <c r="T173" s="14" t="n">
        <v>529.86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CANON-202602-003974</t>
        </is>
      </c>
      <c r="B174" s="15" t="inlineStr">
        <is>
          <t>2026-02-02</t>
        </is>
      </c>
      <c r="C174" s="15" t="inlineStr">
        <is>
          <t>Horace Harrington</t>
        </is>
      </c>
      <c r="D174" s="15" t="inlineStr">
        <is>
          <t>OH</t>
        </is>
      </c>
      <c r="E174" s="16" t="n">
        <v>545000</v>
      </c>
      <c r="F174" s="16" t="n">
        <v>11938.42</v>
      </c>
      <c r="G174" s="16" t="n">
        <v>1492.3</v>
      </c>
      <c r="H174" s="16" t="n">
        <v>1492.3</v>
      </c>
      <c r="I174" s="16">
        <f>SUM(K174:T174)</f>
        <v/>
      </c>
      <c r="J174" s="16">
        <f>F174-(G174+H174+I174)</f>
        <v/>
      </c>
      <c r="K174" s="16" t="n">
        <v>895.38</v>
      </c>
      <c r="L174" s="16" t="n">
        <v>895.38</v>
      </c>
      <c r="M174" s="16" t="n">
        <v>895.38</v>
      </c>
      <c r="N174" s="16" t="n">
        <v>895.38</v>
      </c>
      <c r="O174" s="16" t="n">
        <v>895.38</v>
      </c>
      <c r="P174" s="16" t="n">
        <v>895.38</v>
      </c>
      <c r="Q174" s="16" t="n">
        <v>895.38</v>
      </c>
      <c r="R174" s="16" t="n">
        <v>895.38</v>
      </c>
      <c r="S174" s="16" t="n">
        <v>895.38</v>
      </c>
      <c r="T174" s="16" t="n">
        <v>895.38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CANON-202602-003976</t>
        </is>
      </c>
      <c r="B175" s="3" t="inlineStr">
        <is>
          <t>2026-02-19</t>
        </is>
      </c>
      <c r="C175" s="3" t="inlineStr">
        <is>
          <t>Cassius Fairweather</t>
        </is>
      </c>
      <c r="D175" s="3" t="inlineStr">
        <is>
          <t>AL</t>
        </is>
      </c>
      <c r="E175" s="14" t="n">
        <v>1050000</v>
      </c>
      <c r="F175" s="14" t="n">
        <v>12166.55</v>
      </c>
      <c r="G175" s="14" t="n">
        <v>1520.82</v>
      </c>
      <c r="H175" s="14" t="n">
        <v>1520.82</v>
      </c>
      <c r="I175" s="14">
        <f>SUM(K175:T175)</f>
        <v/>
      </c>
      <c r="J175" s="14">
        <f>F175-(G175+H175+I175)</f>
        <v/>
      </c>
      <c r="K175" s="14" t="n">
        <v>912.49</v>
      </c>
      <c r="L175" s="14" t="n">
        <v>912.49</v>
      </c>
      <c r="M175" s="14" t="n">
        <v>912.49</v>
      </c>
      <c r="N175" s="14" t="n">
        <v>912.49</v>
      </c>
      <c r="O175" s="14" t="n">
        <v>912.49</v>
      </c>
      <c r="P175" s="14" t="n">
        <v>912.49</v>
      </c>
      <c r="Q175" s="14" t="n">
        <v>912.49</v>
      </c>
      <c r="R175" s="14" t="n">
        <v>912.49</v>
      </c>
      <c r="S175" s="14" t="n">
        <v>912.49</v>
      </c>
      <c r="T175" s="14" t="n">
        <v>912.49</v>
      </c>
      <c r="U175" s="14" t="n">
        <v>350</v>
      </c>
      <c r="V175" s="14" t="n">
        <v>250</v>
      </c>
      <c r="W175" s="14">
        <f>U175+V175</f>
        <v/>
      </c>
    </row>
    <row r="176">
      <c r="A176" s="15" t="inlineStr">
        <is>
          <t>CANON-202602-003979</t>
        </is>
      </c>
      <c r="B176" s="15" t="inlineStr">
        <is>
          <t>2026-02-25</t>
        </is>
      </c>
      <c r="C176" s="15" t="inlineStr">
        <is>
          <t>Ramona Rourke</t>
        </is>
      </c>
      <c r="D176" s="15" t="inlineStr">
        <is>
          <t>MT</t>
        </is>
      </c>
      <c r="E176" s="16" t="n">
        <v>945000</v>
      </c>
      <c r="F176" s="16" t="n">
        <v>9476.33</v>
      </c>
      <c r="G176" s="16" t="n">
        <v>1184.54</v>
      </c>
      <c r="H176" s="16" t="n">
        <v>1184.54</v>
      </c>
      <c r="I176" s="16">
        <f>SUM(K176:T176)</f>
        <v/>
      </c>
      <c r="J176" s="16">
        <f>F176-(G176+H176+I176)</f>
        <v/>
      </c>
      <c r="K176" s="16" t="n">
        <v>710.72</v>
      </c>
      <c r="L176" s="16" t="n">
        <v>710.72</v>
      </c>
      <c r="M176" s="16" t="n">
        <v>710.72</v>
      </c>
      <c r="N176" s="16" t="n">
        <v>710.72</v>
      </c>
      <c r="O176" s="16" t="n">
        <v>710.72</v>
      </c>
      <c r="P176" s="16" t="n">
        <v>710.72</v>
      </c>
      <c r="Q176" s="16" t="n">
        <v>710.72</v>
      </c>
      <c r="R176" s="16" t="n">
        <v>710.72</v>
      </c>
      <c r="S176" s="16" t="n">
        <v>710.72</v>
      </c>
      <c r="T176" s="16" t="n">
        <v>710.72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CANON-202602-003980</t>
        </is>
      </c>
      <c r="B177" s="3" t="inlineStr">
        <is>
          <t>2026-02-06</t>
        </is>
      </c>
      <c r="C177" s="3" t="inlineStr">
        <is>
          <t>Fenwick Thistlewood</t>
        </is>
      </c>
      <c r="D177" s="3" t="inlineStr">
        <is>
          <t>IN</t>
        </is>
      </c>
      <c r="E177" s="14" t="n">
        <v>210000</v>
      </c>
      <c r="F177" s="14" t="n">
        <v>3942.07</v>
      </c>
      <c r="G177" s="14" t="n">
        <v>492.76</v>
      </c>
      <c r="H177" s="14" t="n">
        <v>492.76</v>
      </c>
      <c r="I177" s="14">
        <f>SUM(K177:T177)</f>
        <v/>
      </c>
      <c r="J177" s="14">
        <f>F177-(G177+H177+I177)</f>
        <v/>
      </c>
      <c r="K177" s="14" t="n">
        <v>295.66</v>
      </c>
      <c r="L177" s="14" t="n">
        <v>295.66</v>
      </c>
      <c r="M177" s="14" t="n">
        <v>295.66</v>
      </c>
      <c r="N177" s="14" t="n">
        <v>295.66</v>
      </c>
      <c r="O177" s="14" t="n">
        <v>295.66</v>
      </c>
      <c r="P177" s="14" t="n">
        <v>295.66</v>
      </c>
      <c r="Q177" s="14" t="n">
        <v>295.66</v>
      </c>
      <c r="R177" s="14" t="n">
        <v>295.66</v>
      </c>
      <c r="S177" s="14" t="n">
        <v>295.66</v>
      </c>
      <c r="T177" s="14" t="n">
        <v>295.66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CANON-202602-003981</t>
        </is>
      </c>
      <c r="B178" s="15" t="inlineStr">
        <is>
          <t>2026-02-11</t>
        </is>
      </c>
      <c r="C178" s="15" t="inlineStr">
        <is>
          <t>Horace Harrington</t>
        </is>
      </c>
      <c r="D178" s="15" t="inlineStr">
        <is>
          <t>MD</t>
        </is>
      </c>
      <c r="E178" s="16" t="n">
        <v>1835000</v>
      </c>
      <c r="F178" s="16" t="n">
        <v>10988.92</v>
      </c>
      <c r="G178" s="16" t="n">
        <v>1373.62</v>
      </c>
      <c r="H178" s="16" t="n">
        <v>1373.62</v>
      </c>
      <c r="I178" s="16">
        <f>SUM(K178:T178)</f>
        <v/>
      </c>
      <c r="J178" s="16">
        <f>F178-(G178+H178+I178)</f>
        <v/>
      </c>
      <c r="K178" s="16" t="n">
        <v>824.17</v>
      </c>
      <c r="L178" s="16" t="n">
        <v>824.17</v>
      </c>
      <c r="M178" s="16" t="n">
        <v>824.17</v>
      </c>
      <c r="N178" s="16" t="n">
        <v>824.17</v>
      </c>
      <c r="O178" s="16" t="n">
        <v>824.17</v>
      </c>
      <c r="P178" s="16" t="n">
        <v>824.17</v>
      </c>
      <c r="Q178" s="16" t="n">
        <v>824.17</v>
      </c>
      <c r="R178" s="16" t="n">
        <v>824.17</v>
      </c>
      <c r="S178" s="16" t="n">
        <v>824.17</v>
      </c>
      <c r="T178" s="16" t="n">
        <v>824.17</v>
      </c>
      <c r="U178" s="16" t="n">
        <v>350</v>
      </c>
      <c r="V178" s="16" t="n">
        <v>250</v>
      </c>
      <c r="W178" s="16">
        <f>U178+V178</f>
        <v/>
      </c>
    </row>
    <row r="179">
      <c r="A179" s="3" t="inlineStr">
        <is>
          <t>CANON-202602-003982</t>
        </is>
      </c>
      <c r="B179" s="3" t="inlineStr">
        <is>
          <t>2026-02-15</t>
        </is>
      </c>
      <c r="C179" s="3" t="inlineStr">
        <is>
          <t>Emiliano Delacroix</t>
        </is>
      </c>
      <c r="D179" s="3" t="inlineStr">
        <is>
          <t>FL</t>
        </is>
      </c>
      <c r="E179" s="14" t="n">
        <v>355000</v>
      </c>
      <c r="F179" s="14" t="n">
        <v>6271.76</v>
      </c>
      <c r="G179" s="14" t="n">
        <v>783.97</v>
      </c>
      <c r="H179" s="14" t="n">
        <v>783.97</v>
      </c>
      <c r="I179" s="14">
        <f>SUM(K179:T179)</f>
        <v/>
      </c>
      <c r="J179" s="14">
        <f>F179-(G179+H179+I179)</f>
        <v/>
      </c>
      <c r="K179" s="14" t="n">
        <v>470.38</v>
      </c>
      <c r="L179" s="14" t="n">
        <v>470.38</v>
      </c>
      <c r="M179" s="14" t="n">
        <v>470.38</v>
      </c>
      <c r="N179" s="14" t="n">
        <v>470.38</v>
      </c>
      <c r="O179" s="14" t="n">
        <v>470.38</v>
      </c>
      <c r="P179" s="14" t="n">
        <v>470.38</v>
      </c>
      <c r="Q179" s="14" t="n">
        <v>470.38</v>
      </c>
      <c r="R179" s="14" t="n">
        <v>470.38</v>
      </c>
      <c r="S179" s="14" t="n">
        <v>470.38</v>
      </c>
      <c r="T179" s="14" t="n">
        <v>470.38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CANON-202602-003983</t>
        </is>
      </c>
      <c r="B180" s="15" t="inlineStr">
        <is>
          <t>2026-02-15</t>
        </is>
      </c>
      <c r="C180" s="15" t="inlineStr">
        <is>
          <t>Saoirse Pennington</t>
        </is>
      </c>
      <c r="D180" s="15" t="inlineStr">
        <is>
          <t>ME</t>
        </is>
      </c>
      <c r="E180" s="16" t="n">
        <v>305000</v>
      </c>
      <c r="F180" s="16" t="n">
        <v>4098.23</v>
      </c>
      <c r="G180" s="16" t="n">
        <v>512.28</v>
      </c>
      <c r="H180" s="16" t="n">
        <v>512.28</v>
      </c>
      <c r="I180" s="16">
        <f>SUM(K180:T180)</f>
        <v/>
      </c>
      <c r="J180" s="16">
        <f>F180-(G180+H180+I180)</f>
        <v/>
      </c>
      <c r="K180" s="16" t="n">
        <v>307.37</v>
      </c>
      <c r="L180" s="16" t="n">
        <v>307.37</v>
      </c>
      <c r="M180" s="16" t="n">
        <v>307.37</v>
      </c>
      <c r="N180" s="16" t="n">
        <v>307.37</v>
      </c>
      <c r="O180" s="16" t="n">
        <v>307.37</v>
      </c>
      <c r="P180" s="16" t="n">
        <v>307.37</v>
      </c>
      <c r="Q180" s="16" t="n">
        <v>307.37</v>
      </c>
      <c r="R180" s="16" t="n">
        <v>307.37</v>
      </c>
      <c r="S180" s="16" t="n">
        <v>307.37</v>
      </c>
      <c r="T180" s="16" t="n">
        <v>307.37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CANON-202602-003987</t>
        </is>
      </c>
      <c r="B181" s="3" t="inlineStr">
        <is>
          <t>2026-02-04</t>
        </is>
      </c>
      <c r="C181" s="3" t="inlineStr">
        <is>
          <t>Ramona Rourke</t>
        </is>
      </c>
      <c r="D181" s="3" t="inlineStr">
        <is>
          <t>PA</t>
        </is>
      </c>
      <c r="E181" s="14" t="n">
        <v>475000</v>
      </c>
      <c r="F181" s="14" t="n">
        <v>5909.72</v>
      </c>
      <c r="G181" s="14" t="n">
        <v>738.72</v>
      </c>
      <c r="H181" s="14" t="n">
        <v>738.72</v>
      </c>
      <c r="I181" s="14">
        <f>SUM(K181:T181)</f>
        <v/>
      </c>
      <c r="J181" s="14">
        <f>F181-(G181+H181+I181)</f>
        <v/>
      </c>
      <c r="K181" s="14" t="n">
        <v>443.23</v>
      </c>
      <c r="L181" s="14" t="n">
        <v>443.23</v>
      </c>
      <c r="M181" s="14" t="n">
        <v>443.23</v>
      </c>
      <c r="N181" s="14" t="n">
        <v>443.23</v>
      </c>
      <c r="O181" s="14" t="n">
        <v>443.23</v>
      </c>
      <c r="P181" s="14" t="n">
        <v>443.23</v>
      </c>
      <c r="Q181" s="14" t="n">
        <v>443.23</v>
      </c>
      <c r="R181" s="14" t="n">
        <v>443.23</v>
      </c>
      <c r="S181" s="14" t="n">
        <v>443.23</v>
      </c>
      <c r="T181" s="14" t="n">
        <v>443.23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CANON-202602-003988</t>
        </is>
      </c>
      <c r="B182" s="15" t="inlineStr">
        <is>
          <t>2026-02-16</t>
        </is>
      </c>
      <c r="C182" s="15" t="inlineStr">
        <is>
          <t>Callum Vasquez</t>
        </is>
      </c>
      <c r="D182" s="15" t="inlineStr">
        <is>
          <t>SD</t>
        </is>
      </c>
      <c r="E182" s="16" t="n">
        <v>105000</v>
      </c>
      <c r="F182" s="16" t="n">
        <v>1778.74</v>
      </c>
      <c r="G182" s="16" t="n">
        <v>222.34</v>
      </c>
      <c r="H182" s="16" t="n">
        <v>222.34</v>
      </c>
      <c r="I182" s="16">
        <f>SUM(K182:T182)</f>
        <v/>
      </c>
      <c r="J182" s="16">
        <f>F182-(G182+H182+I182)</f>
        <v/>
      </c>
      <c r="K182" s="16" t="n">
        <v>133.41</v>
      </c>
      <c r="L182" s="16" t="n">
        <v>133.41</v>
      </c>
      <c r="M182" s="16" t="n">
        <v>133.41</v>
      </c>
      <c r="N182" s="16" t="n">
        <v>133.41</v>
      </c>
      <c r="O182" s="16" t="n">
        <v>133.41</v>
      </c>
      <c r="P182" s="16" t="n">
        <v>133.41</v>
      </c>
      <c r="Q182" s="16" t="n">
        <v>133.41</v>
      </c>
      <c r="R182" s="16" t="n">
        <v>133.41</v>
      </c>
      <c r="S182" s="16" t="n">
        <v>133.41</v>
      </c>
      <c r="T182" s="16" t="n">
        <v>133.41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CANON-202602-003989</t>
        </is>
      </c>
      <c r="B183" s="3" t="inlineStr">
        <is>
          <t>2026-02-18</t>
        </is>
      </c>
      <c r="C183" s="3" t="inlineStr">
        <is>
          <t>Beatrix Rourke</t>
        </is>
      </c>
      <c r="D183" s="3" t="inlineStr">
        <is>
          <t>OH</t>
        </is>
      </c>
      <c r="E183" s="14" t="n">
        <v>465000</v>
      </c>
      <c r="F183" s="14" t="n">
        <v>8041.57</v>
      </c>
      <c r="G183" s="14" t="n">
        <v>1005.2</v>
      </c>
      <c r="H183" s="14" t="n">
        <v>1005.2</v>
      </c>
      <c r="I183" s="14">
        <f>SUM(K183:T183)</f>
        <v/>
      </c>
      <c r="J183" s="14">
        <f>F183-(G183+H183+I183)</f>
        <v/>
      </c>
      <c r="K183" s="14" t="n">
        <v>603.12</v>
      </c>
      <c r="L183" s="14" t="n">
        <v>603.12</v>
      </c>
      <c r="M183" s="14" t="n">
        <v>603.12</v>
      </c>
      <c r="N183" s="14" t="n">
        <v>603.12</v>
      </c>
      <c r="O183" s="14" t="n">
        <v>603.12</v>
      </c>
      <c r="P183" s="14" t="n">
        <v>603.12</v>
      </c>
      <c r="Q183" s="14" t="n">
        <v>603.12</v>
      </c>
      <c r="R183" s="14" t="n">
        <v>603.12</v>
      </c>
      <c r="S183" s="14" t="n">
        <v>603.12</v>
      </c>
      <c r="T183" s="14" t="n">
        <v>603.12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CANON-202602-003992</t>
        </is>
      </c>
      <c r="B184" s="15" t="inlineStr">
        <is>
          <t>2026-02-05</t>
        </is>
      </c>
      <c r="C184" s="15" t="inlineStr">
        <is>
          <t>Beatrix Underwood</t>
        </is>
      </c>
      <c r="D184" s="15" t="inlineStr">
        <is>
          <t>WA</t>
        </is>
      </c>
      <c r="E184" s="16" t="n">
        <v>755000</v>
      </c>
      <c r="F184" s="16" t="n">
        <v>7815.26</v>
      </c>
      <c r="G184" s="16" t="n">
        <v>976.91</v>
      </c>
      <c r="H184" s="16" t="n">
        <v>976.91</v>
      </c>
      <c r="I184" s="16">
        <f>SUM(K184:T184)</f>
        <v/>
      </c>
      <c r="J184" s="16">
        <f>F184-(G184+H184+I184)</f>
        <v/>
      </c>
      <c r="K184" s="16" t="n">
        <v>586.14</v>
      </c>
      <c r="L184" s="16" t="n">
        <v>586.14</v>
      </c>
      <c r="M184" s="16" t="n">
        <v>586.14</v>
      </c>
      <c r="N184" s="16" t="n">
        <v>586.14</v>
      </c>
      <c r="O184" s="16" t="n">
        <v>586.14</v>
      </c>
      <c r="P184" s="16" t="n">
        <v>586.14</v>
      </c>
      <c r="Q184" s="16" t="n">
        <v>586.14</v>
      </c>
      <c r="R184" s="16" t="n">
        <v>586.14</v>
      </c>
      <c r="S184" s="16" t="n">
        <v>586.14</v>
      </c>
      <c r="T184" s="16" t="n">
        <v>586.14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CANON-202602-003994</t>
        </is>
      </c>
      <c r="B185" s="3" t="inlineStr">
        <is>
          <t>2026-02-28</t>
        </is>
      </c>
      <c r="C185" s="3" t="inlineStr">
        <is>
          <t>Mireille Thistlewood</t>
        </is>
      </c>
      <c r="D185" s="3" t="inlineStr">
        <is>
          <t>KY</t>
        </is>
      </c>
      <c r="E185" s="14" t="n">
        <v>630000</v>
      </c>
      <c r="F185" s="14" t="n">
        <v>9102.709999999999</v>
      </c>
      <c r="G185" s="14" t="n">
        <v>1137.84</v>
      </c>
      <c r="H185" s="14" t="n">
        <v>1137.84</v>
      </c>
      <c r="I185" s="14">
        <f>SUM(K185:T185)</f>
        <v/>
      </c>
      <c r="J185" s="14">
        <f>F185-(G185+H185+I185)</f>
        <v/>
      </c>
      <c r="K185" s="14" t="n">
        <v>682.7</v>
      </c>
      <c r="L185" s="14" t="n">
        <v>682.7</v>
      </c>
      <c r="M185" s="14" t="n">
        <v>682.7</v>
      </c>
      <c r="N185" s="14" t="n">
        <v>682.7</v>
      </c>
      <c r="O185" s="14" t="n">
        <v>682.7</v>
      </c>
      <c r="P185" s="14" t="n">
        <v>682.7</v>
      </c>
      <c r="Q185" s="14" t="n">
        <v>682.7</v>
      </c>
      <c r="R185" s="14" t="n">
        <v>682.7</v>
      </c>
      <c r="S185" s="14" t="n">
        <v>682.7</v>
      </c>
      <c r="T185" s="14" t="n">
        <v>682.7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CANON-202602-003996</t>
        </is>
      </c>
      <c r="B186" s="15" t="inlineStr">
        <is>
          <t>2026-02-18</t>
        </is>
      </c>
      <c r="C186" s="15" t="inlineStr">
        <is>
          <t>Wilhelmina Montoya</t>
        </is>
      </c>
      <c r="D186" s="15" t="inlineStr">
        <is>
          <t>TX</t>
        </is>
      </c>
      <c r="E186" s="16" t="n">
        <v>830000</v>
      </c>
      <c r="F186" s="16" t="n">
        <v>12350.44</v>
      </c>
      <c r="G186" s="16" t="n">
        <v>1543.81</v>
      </c>
      <c r="H186" s="16" t="n">
        <v>1543.81</v>
      </c>
      <c r="I186" s="16">
        <f>SUM(K186:T186)</f>
        <v/>
      </c>
      <c r="J186" s="16">
        <f>F186-(G186+H186+I186)</f>
        <v/>
      </c>
      <c r="K186" s="16" t="n">
        <v>926.28</v>
      </c>
      <c r="L186" s="16" t="n">
        <v>926.28</v>
      </c>
      <c r="M186" s="16" t="n">
        <v>926.28</v>
      </c>
      <c r="N186" s="16" t="n">
        <v>926.28</v>
      </c>
      <c r="O186" s="16" t="n">
        <v>926.28</v>
      </c>
      <c r="P186" s="16" t="n">
        <v>926.28</v>
      </c>
      <c r="Q186" s="16" t="n">
        <v>926.28</v>
      </c>
      <c r="R186" s="16" t="n">
        <v>926.28</v>
      </c>
      <c r="S186" s="16" t="n">
        <v>926.28</v>
      </c>
      <c r="T186" s="16" t="n">
        <v>926.28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CANON-202602-003997</t>
        </is>
      </c>
      <c r="B187" s="3" t="inlineStr">
        <is>
          <t>2026-02-28</t>
        </is>
      </c>
      <c r="C187" s="3" t="inlineStr">
        <is>
          <t>Horace Blackwood</t>
        </is>
      </c>
      <c r="D187" s="3" t="inlineStr">
        <is>
          <t>AR</t>
        </is>
      </c>
      <c r="E187" s="14" t="n">
        <v>935000</v>
      </c>
      <c r="F187" s="14" t="n">
        <v>13912.84</v>
      </c>
      <c r="G187" s="14" t="n">
        <v>1739.11</v>
      </c>
      <c r="H187" s="14" t="n">
        <v>1739.11</v>
      </c>
      <c r="I187" s="14">
        <f>SUM(K187:T187)</f>
        <v/>
      </c>
      <c r="J187" s="14">
        <f>F187-(G187+H187+I187)</f>
        <v/>
      </c>
      <c r="K187" s="14" t="n">
        <v>1043.46</v>
      </c>
      <c r="L187" s="14" t="n">
        <v>1043.46</v>
      </c>
      <c r="M187" s="14" t="n">
        <v>1043.46</v>
      </c>
      <c r="N187" s="14" t="n">
        <v>1043.46</v>
      </c>
      <c r="O187" s="14" t="n">
        <v>1043.46</v>
      </c>
      <c r="P187" s="14" t="n">
        <v>1043.46</v>
      </c>
      <c r="Q187" s="14" t="n">
        <v>1043.46</v>
      </c>
      <c r="R187" s="14" t="n">
        <v>1043.46</v>
      </c>
      <c r="S187" s="14" t="n">
        <v>1043.46</v>
      </c>
      <c r="T187" s="14" t="n">
        <v>1043.46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CANON-202602-003998</t>
        </is>
      </c>
      <c r="B188" s="15" t="inlineStr">
        <is>
          <t>2026-02-26</t>
        </is>
      </c>
      <c r="C188" s="15" t="inlineStr">
        <is>
          <t>Delphine Vasquez</t>
        </is>
      </c>
      <c r="D188" s="15" t="inlineStr">
        <is>
          <t>VA</t>
        </is>
      </c>
      <c r="E188" s="16" t="n">
        <v>635000</v>
      </c>
      <c r="F188" s="16" t="n">
        <v>8955.85</v>
      </c>
      <c r="G188" s="16" t="n">
        <v>1119.48</v>
      </c>
      <c r="H188" s="16" t="n">
        <v>1119.48</v>
      </c>
      <c r="I188" s="16">
        <f>SUM(K188:T188)</f>
        <v/>
      </c>
      <c r="J188" s="16">
        <f>F188-(G188+H188+I188)</f>
        <v/>
      </c>
      <c r="K188" s="16" t="n">
        <v>671.6900000000001</v>
      </c>
      <c r="L188" s="16" t="n">
        <v>671.6900000000001</v>
      </c>
      <c r="M188" s="16" t="n">
        <v>671.6900000000001</v>
      </c>
      <c r="N188" s="16" t="n">
        <v>671.6900000000001</v>
      </c>
      <c r="O188" s="16" t="n">
        <v>671.6900000000001</v>
      </c>
      <c r="P188" s="16" t="n">
        <v>671.6900000000001</v>
      </c>
      <c r="Q188" s="16" t="n">
        <v>671.6900000000001</v>
      </c>
      <c r="R188" s="16" t="n">
        <v>671.6900000000001</v>
      </c>
      <c r="S188" s="16" t="n">
        <v>671.6900000000001</v>
      </c>
      <c r="T188" s="16" t="n">
        <v>671.6900000000001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CANON-202602-004001</t>
        </is>
      </c>
      <c r="B189" s="3" t="inlineStr">
        <is>
          <t>2026-02-11</t>
        </is>
      </c>
      <c r="C189" s="3" t="inlineStr">
        <is>
          <t>Fenwick Castellanos</t>
        </is>
      </c>
      <c r="D189" s="3" t="inlineStr">
        <is>
          <t>IL</t>
        </is>
      </c>
      <c r="E189" s="14" t="n">
        <v>1570000</v>
      </c>
      <c r="F189" s="14" t="n">
        <v>13459.66</v>
      </c>
      <c r="G189" s="14" t="n">
        <v>1682.46</v>
      </c>
      <c r="H189" s="14" t="n">
        <v>1682.46</v>
      </c>
      <c r="I189" s="14">
        <f>SUM(K189:T189)</f>
        <v/>
      </c>
      <c r="J189" s="14">
        <f>F189-(G189+H189+I189)</f>
        <v/>
      </c>
      <c r="K189" s="14" t="n">
        <v>1009.47</v>
      </c>
      <c r="L189" s="14" t="n">
        <v>1009.47</v>
      </c>
      <c r="M189" s="14" t="n">
        <v>1009.47</v>
      </c>
      <c r="N189" s="14" t="n">
        <v>1009.47</v>
      </c>
      <c r="O189" s="14" t="n">
        <v>1009.47</v>
      </c>
      <c r="P189" s="14" t="n">
        <v>1009.47</v>
      </c>
      <c r="Q189" s="14" t="n">
        <v>1009.47</v>
      </c>
      <c r="R189" s="14" t="n">
        <v>1009.47</v>
      </c>
      <c r="S189" s="14" t="n">
        <v>1009.47</v>
      </c>
      <c r="T189" s="14" t="n">
        <v>1009.47</v>
      </c>
      <c r="U189" s="14" t="n">
        <v>350</v>
      </c>
      <c r="V189" s="14" t="n">
        <v>250</v>
      </c>
      <c r="W189" s="14">
        <f>U189+V189</f>
        <v/>
      </c>
    </row>
    <row r="190">
      <c r="A190" s="15" t="inlineStr">
        <is>
          <t>CANON-202602-004002</t>
        </is>
      </c>
      <c r="B190" s="15" t="inlineStr">
        <is>
          <t>2026-02-20</t>
        </is>
      </c>
      <c r="C190" s="15" t="inlineStr">
        <is>
          <t>Ramona Pennington</t>
        </is>
      </c>
      <c r="D190" s="15" t="inlineStr">
        <is>
          <t>OH</t>
        </is>
      </c>
      <c r="E190" s="16" t="n">
        <v>1830000</v>
      </c>
      <c r="F190" s="16" t="n">
        <v>33757.3</v>
      </c>
      <c r="G190" s="16" t="n">
        <v>4219.66</v>
      </c>
      <c r="H190" s="16" t="n">
        <v>4219.66</v>
      </c>
      <c r="I190" s="16">
        <f>SUM(K190:T190)</f>
        <v/>
      </c>
      <c r="J190" s="16">
        <f>F190-(G190+H190+I190)</f>
        <v/>
      </c>
      <c r="K190" s="16" t="n">
        <v>2531.8</v>
      </c>
      <c r="L190" s="16" t="n">
        <v>2531.8</v>
      </c>
      <c r="M190" s="16" t="n">
        <v>2531.8</v>
      </c>
      <c r="N190" s="16" t="n">
        <v>2531.8</v>
      </c>
      <c r="O190" s="16" t="n">
        <v>2531.8</v>
      </c>
      <c r="P190" s="16" t="n">
        <v>2531.8</v>
      </c>
      <c r="Q190" s="16" t="n">
        <v>2531.8</v>
      </c>
      <c r="R190" s="16" t="n">
        <v>2531.8</v>
      </c>
      <c r="S190" s="16" t="n">
        <v>2531.8</v>
      </c>
      <c r="T190" s="16" t="n">
        <v>2531.8</v>
      </c>
      <c r="U190" s="16" t="n">
        <v>350</v>
      </c>
      <c r="V190" s="16" t="n">
        <v>250</v>
      </c>
      <c r="W190" s="16">
        <f>U190+V190</f>
        <v/>
      </c>
    </row>
    <row r="191">
      <c r="A191" s="3" t="inlineStr">
        <is>
          <t>CANON-202602-004003</t>
        </is>
      </c>
      <c r="B191" s="3" t="inlineStr">
        <is>
          <t>2026-02-03</t>
        </is>
      </c>
      <c r="C191" s="3" t="inlineStr">
        <is>
          <t>Callum Underwood</t>
        </is>
      </c>
      <c r="D191" s="3" t="inlineStr">
        <is>
          <t>IL</t>
        </is>
      </c>
      <c r="E191" s="14" t="n">
        <v>330000</v>
      </c>
      <c r="F191" s="14" t="n">
        <v>5583.75</v>
      </c>
      <c r="G191" s="14" t="n">
        <v>697.97</v>
      </c>
      <c r="H191" s="14" t="n">
        <v>697.97</v>
      </c>
      <c r="I191" s="14">
        <f>SUM(K191:T191)</f>
        <v/>
      </c>
      <c r="J191" s="14">
        <f>F191-(G191+H191+I191)</f>
        <v/>
      </c>
      <c r="K191" s="14" t="n">
        <v>418.78</v>
      </c>
      <c r="L191" s="14" t="n">
        <v>418.78</v>
      </c>
      <c r="M191" s="14" t="n">
        <v>418.78</v>
      </c>
      <c r="N191" s="14" t="n">
        <v>418.78</v>
      </c>
      <c r="O191" s="14" t="n">
        <v>418.78</v>
      </c>
      <c r="P191" s="14" t="n">
        <v>418.78</v>
      </c>
      <c r="Q191" s="14" t="n">
        <v>418.78</v>
      </c>
      <c r="R191" s="14" t="n">
        <v>418.78</v>
      </c>
      <c r="S191" s="14" t="n">
        <v>418.78</v>
      </c>
      <c r="T191" s="14" t="n">
        <v>418.78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CANON-202602-004005</t>
        </is>
      </c>
      <c r="B192" s="15" t="inlineStr">
        <is>
          <t>2026-02-20</t>
        </is>
      </c>
      <c r="C192" s="15" t="inlineStr">
        <is>
          <t>Lorenzo Okonkwo</t>
        </is>
      </c>
      <c r="D192" s="15" t="inlineStr">
        <is>
          <t>CA</t>
        </is>
      </c>
      <c r="E192" s="16" t="n">
        <v>190000</v>
      </c>
      <c r="F192" s="16" t="n">
        <v>3914.59</v>
      </c>
      <c r="G192" s="16" t="n">
        <v>489.32</v>
      </c>
      <c r="H192" s="16" t="n">
        <v>489.32</v>
      </c>
      <c r="I192" s="16">
        <f>SUM(K192:T192)</f>
        <v/>
      </c>
      <c r="J192" s="16">
        <f>F192-(G192+H192+I192)</f>
        <v/>
      </c>
      <c r="K192" s="16" t="n">
        <v>293.59</v>
      </c>
      <c r="L192" s="16" t="n">
        <v>293.59</v>
      </c>
      <c r="M192" s="16" t="n">
        <v>293.59</v>
      </c>
      <c r="N192" s="16" t="n">
        <v>293.59</v>
      </c>
      <c r="O192" s="16" t="n">
        <v>293.59</v>
      </c>
      <c r="P192" s="16" t="n">
        <v>293.59</v>
      </c>
      <c r="Q192" s="16" t="n">
        <v>293.59</v>
      </c>
      <c r="R192" s="16" t="n">
        <v>293.59</v>
      </c>
      <c r="S192" s="16" t="n">
        <v>293.59</v>
      </c>
      <c r="T192" s="16" t="n">
        <v>293.59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CANON-202602-004006</t>
        </is>
      </c>
      <c r="B193" s="3" t="inlineStr">
        <is>
          <t>2026-02-02</t>
        </is>
      </c>
      <c r="C193" s="3" t="inlineStr">
        <is>
          <t>Mireille Underwood</t>
        </is>
      </c>
      <c r="D193" s="3" t="inlineStr">
        <is>
          <t>WA</t>
        </is>
      </c>
      <c r="E193" s="14" t="n">
        <v>490000</v>
      </c>
      <c r="F193" s="14" t="n">
        <v>5852.48</v>
      </c>
      <c r="G193" s="14" t="n">
        <v>731.5599999999999</v>
      </c>
      <c r="H193" s="14" t="n">
        <v>731.5599999999999</v>
      </c>
      <c r="I193" s="14">
        <f>SUM(K193:T193)</f>
        <v/>
      </c>
      <c r="J193" s="14">
        <f>F193-(G193+H193+I193)</f>
        <v/>
      </c>
      <c r="K193" s="14" t="n">
        <v>438.94</v>
      </c>
      <c r="L193" s="14" t="n">
        <v>438.94</v>
      </c>
      <c r="M193" s="14" t="n">
        <v>438.94</v>
      </c>
      <c r="N193" s="14" t="n">
        <v>438.94</v>
      </c>
      <c r="O193" s="14" t="n">
        <v>438.94</v>
      </c>
      <c r="P193" s="14" t="n">
        <v>438.94</v>
      </c>
      <c r="Q193" s="14" t="n">
        <v>438.94</v>
      </c>
      <c r="R193" s="14" t="n">
        <v>438.94</v>
      </c>
      <c r="S193" s="14" t="n">
        <v>438.94</v>
      </c>
      <c r="T193" s="14" t="n">
        <v>438.94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CANON-202602-004007</t>
        </is>
      </c>
      <c r="B194" s="15" t="inlineStr">
        <is>
          <t>2026-02-03</t>
        </is>
      </c>
      <c r="C194" s="15" t="inlineStr">
        <is>
          <t>Horace Harrington</t>
        </is>
      </c>
      <c r="D194" s="15" t="inlineStr">
        <is>
          <t>MN</t>
        </is>
      </c>
      <c r="E194" s="16" t="n">
        <v>470000</v>
      </c>
      <c r="F194" s="16" t="n">
        <v>7718.72</v>
      </c>
      <c r="G194" s="16" t="n">
        <v>964.84</v>
      </c>
      <c r="H194" s="16" t="n">
        <v>964.84</v>
      </c>
      <c r="I194" s="16">
        <f>SUM(K194:T194)</f>
        <v/>
      </c>
      <c r="J194" s="16">
        <f>F194-(G194+H194+I194)</f>
        <v/>
      </c>
      <c r="K194" s="16" t="n">
        <v>578.9</v>
      </c>
      <c r="L194" s="16" t="n">
        <v>578.9</v>
      </c>
      <c r="M194" s="16" t="n">
        <v>578.9</v>
      </c>
      <c r="N194" s="16" t="n">
        <v>578.9</v>
      </c>
      <c r="O194" s="16" t="n">
        <v>578.9</v>
      </c>
      <c r="P194" s="16" t="n">
        <v>578.9</v>
      </c>
      <c r="Q194" s="16" t="n">
        <v>578.9</v>
      </c>
      <c r="R194" s="16" t="n">
        <v>578.9</v>
      </c>
      <c r="S194" s="16" t="n">
        <v>578.9</v>
      </c>
      <c r="T194" s="16" t="n">
        <v>578.9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CANON-202602-004008</t>
        </is>
      </c>
      <c r="B195" s="3" t="inlineStr">
        <is>
          <t>2026-02-20</t>
        </is>
      </c>
      <c r="C195" s="3" t="inlineStr">
        <is>
          <t>Lorenzo Rourke</t>
        </is>
      </c>
      <c r="D195" s="3" t="inlineStr">
        <is>
          <t>IN</t>
        </is>
      </c>
      <c r="E195" s="14" t="n">
        <v>490000</v>
      </c>
      <c r="F195" s="14" t="n">
        <v>7498.49</v>
      </c>
      <c r="G195" s="14" t="n">
        <v>937.3099999999999</v>
      </c>
      <c r="H195" s="14" t="n">
        <v>937.3099999999999</v>
      </c>
      <c r="I195" s="14">
        <f>SUM(K195:T195)</f>
        <v/>
      </c>
      <c r="J195" s="14">
        <f>F195-(G195+H195+I195)</f>
        <v/>
      </c>
      <c r="K195" s="14" t="n">
        <v>562.39</v>
      </c>
      <c r="L195" s="14" t="n">
        <v>562.39</v>
      </c>
      <c r="M195" s="14" t="n">
        <v>562.39</v>
      </c>
      <c r="N195" s="14" t="n">
        <v>562.39</v>
      </c>
      <c r="O195" s="14" t="n">
        <v>562.39</v>
      </c>
      <c r="P195" s="14" t="n">
        <v>562.39</v>
      </c>
      <c r="Q195" s="14" t="n">
        <v>562.39</v>
      </c>
      <c r="R195" s="14" t="n">
        <v>562.39</v>
      </c>
      <c r="S195" s="14" t="n">
        <v>562.39</v>
      </c>
      <c r="T195" s="14" t="n">
        <v>562.39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CANON-202602-004010</t>
        </is>
      </c>
      <c r="B196" s="15" t="inlineStr">
        <is>
          <t>2026-02-28</t>
        </is>
      </c>
      <c r="C196" s="15" t="inlineStr">
        <is>
          <t>Fitzgerald Vasquez</t>
        </is>
      </c>
      <c r="D196" s="15" t="inlineStr">
        <is>
          <t>NH</t>
        </is>
      </c>
      <c r="E196" s="16" t="n">
        <v>570000</v>
      </c>
      <c r="F196" s="16" t="n">
        <v>9342.08</v>
      </c>
      <c r="G196" s="16" t="n">
        <v>1167.76</v>
      </c>
      <c r="H196" s="16" t="n">
        <v>1167.76</v>
      </c>
      <c r="I196" s="16">
        <f>SUM(K196:T196)</f>
        <v/>
      </c>
      <c r="J196" s="16">
        <f>F196-(G196+H196+I196)</f>
        <v/>
      </c>
      <c r="K196" s="16" t="n">
        <v>700.66</v>
      </c>
      <c r="L196" s="16" t="n">
        <v>700.66</v>
      </c>
      <c r="M196" s="16" t="n">
        <v>700.66</v>
      </c>
      <c r="N196" s="16" t="n">
        <v>700.66</v>
      </c>
      <c r="O196" s="16" t="n">
        <v>700.66</v>
      </c>
      <c r="P196" s="16" t="n">
        <v>700.66</v>
      </c>
      <c r="Q196" s="16" t="n">
        <v>700.66</v>
      </c>
      <c r="R196" s="16" t="n">
        <v>700.66</v>
      </c>
      <c r="S196" s="16" t="n">
        <v>700.66</v>
      </c>
      <c r="T196" s="16" t="n">
        <v>700.66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CANON-202602-004011</t>
        </is>
      </c>
      <c r="B197" s="3" t="inlineStr">
        <is>
          <t>2026-02-20</t>
        </is>
      </c>
      <c r="C197" s="3" t="inlineStr">
        <is>
          <t>Lorenzo Merriweather</t>
        </is>
      </c>
      <c r="D197" s="3" t="inlineStr">
        <is>
          <t>PA</t>
        </is>
      </c>
      <c r="E197" s="14" t="n">
        <v>345000</v>
      </c>
      <c r="F197" s="14" t="n">
        <v>4292.32</v>
      </c>
      <c r="G197" s="14" t="n">
        <v>536.54</v>
      </c>
      <c r="H197" s="14" t="n">
        <v>536.54</v>
      </c>
      <c r="I197" s="14">
        <f>SUM(K197:T197)</f>
        <v/>
      </c>
      <c r="J197" s="14">
        <f>F197-(G197+H197+I197)</f>
        <v/>
      </c>
      <c r="K197" s="14" t="n">
        <v>321.92</v>
      </c>
      <c r="L197" s="14" t="n">
        <v>321.92</v>
      </c>
      <c r="M197" s="14" t="n">
        <v>321.92</v>
      </c>
      <c r="N197" s="14" t="n">
        <v>321.92</v>
      </c>
      <c r="O197" s="14" t="n">
        <v>321.92</v>
      </c>
      <c r="P197" s="14" t="n">
        <v>321.92</v>
      </c>
      <c r="Q197" s="14" t="n">
        <v>321.92</v>
      </c>
      <c r="R197" s="14" t="n">
        <v>321.92</v>
      </c>
      <c r="S197" s="14" t="n">
        <v>321.92</v>
      </c>
      <c r="T197" s="14" t="n">
        <v>321.92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CANON-202602-004012</t>
        </is>
      </c>
      <c r="B198" s="15" t="inlineStr">
        <is>
          <t>2026-02-14</t>
        </is>
      </c>
      <c r="C198" s="15" t="inlineStr">
        <is>
          <t>Wilhelmina Larsson</t>
        </is>
      </c>
      <c r="D198" s="15" t="inlineStr">
        <is>
          <t>MO</t>
        </is>
      </c>
      <c r="E198" s="16" t="n">
        <v>505000</v>
      </c>
      <c r="F198" s="16" t="n">
        <v>5771.95</v>
      </c>
      <c r="G198" s="16" t="n">
        <v>721.49</v>
      </c>
      <c r="H198" s="16" t="n">
        <v>721.49</v>
      </c>
      <c r="I198" s="16">
        <f>SUM(K198:T198)</f>
        <v/>
      </c>
      <c r="J198" s="16">
        <f>F198-(G198+H198+I198)</f>
        <v/>
      </c>
      <c r="K198" s="16" t="n">
        <v>432.9</v>
      </c>
      <c r="L198" s="16" t="n">
        <v>432.9</v>
      </c>
      <c r="M198" s="16" t="n">
        <v>432.9</v>
      </c>
      <c r="N198" s="16" t="n">
        <v>432.9</v>
      </c>
      <c r="O198" s="16" t="n">
        <v>432.9</v>
      </c>
      <c r="P198" s="16" t="n">
        <v>432.9</v>
      </c>
      <c r="Q198" s="16" t="n">
        <v>432.9</v>
      </c>
      <c r="R198" s="16" t="n">
        <v>432.9</v>
      </c>
      <c r="S198" s="16" t="n">
        <v>432.9</v>
      </c>
      <c r="T198" s="16" t="n">
        <v>432.9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CANON-202602-004014</t>
        </is>
      </c>
      <c r="B199" s="3" t="inlineStr">
        <is>
          <t>2026-02-18</t>
        </is>
      </c>
      <c r="C199" s="3" t="inlineStr">
        <is>
          <t>Noor Okonkwo</t>
        </is>
      </c>
      <c r="D199" s="3" t="inlineStr">
        <is>
          <t>AZ</t>
        </is>
      </c>
      <c r="E199" s="14" t="n">
        <v>350000</v>
      </c>
      <c r="F199" s="14" t="n">
        <v>4398.07</v>
      </c>
      <c r="G199" s="14" t="n">
        <v>549.76</v>
      </c>
      <c r="H199" s="14" t="n">
        <v>549.76</v>
      </c>
      <c r="I199" s="14">
        <f>SUM(K199:T199)</f>
        <v/>
      </c>
      <c r="J199" s="14">
        <f>F199-(G199+H199+I199)</f>
        <v/>
      </c>
      <c r="K199" s="14" t="n">
        <v>329.86</v>
      </c>
      <c r="L199" s="14" t="n">
        <v>329.86</v>
      </c>
      <c r="M199" s="14" t="n">
        <v>329.86</v>
      </c>
      <c r="N199" s="14" t="n">
        <v>329.86</v>
      </c>
      <c r="O199" s="14" t="n">
        <v>329.86</v>
      </c>
      <c r="P199" s="14" t="n">
        <v>329.86</v>
      </c>
      <c r="Q199" s="14" t="n">
        <v>329.86</v>
      </c>
      <c r="R199" s="14" t="n">
        <v>329.86</v>
      </c>
      <c r="S199" s="14" t="n">
        <v>329.86</v>
      </c>
      <c r="T199" s="14" t="n">
        <v>329.86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CANON-202602-004015</t>
        </is>
      </c>
      <c r="B200" s="15" t="inlineStr">
        <is>
          <t>2026-02-15</t>
        </is>
      </c>
      <c r="C200" s="15" t="inlineStr">
        <is>
          <t>Mireille Merriweather</t>
        </is>
      </c>
      <c r="D200" s="15" t="inlineStr">
        <is>
          <t>SD</t>
        </is>
      </c>
      <c r="E200" s="16" t="n">
        <v>160000</v>
      </c>
      <c r="F200" s="16" t="n">
        <v>2710.46</v>
      </c>
      <c r="G200" s="16" t="n">
        <v>338.81</v>
      </c>
      <c r="H200" s="16" t="n">
        <v>338.81</v>
      </c>
      <c r="I200" s="16">
        <f>SUM(K200:T200)</f>
        <v/>
      </c>
      <c r="J200" s="16">
        <f>F200-(G200+H200+I200)</f>
        <v/>
      </c>
      <c r="K200" s="16" t="n">
        <v>203.28</v>
      </c>
      <c r="L200" s="16" t="n">
        <v>203.28</v>
      </c>
      <c r="M200" s="16" t="n">
        <v>203.28</v>
      </c>
      <c r="N200" s="16" t="n">
        <v>203.28</v>
      </c>
      <c r="O200" s="16" t="n">
        <v>203.28</v>
      </c>
      <c r="P200" s="16" t="n">
        <v>203.28</v>
      </c>
      <c r="Q200" s="16" t="n">
        <v>203.28</v>
      </c>
      <c r="R200" s="16" t="n">
        <v>203.28</v>
      </c>
      <c r="S200" s="16" t="n">
        <v>203.28</v>
      </c>
      <c r="T200" s="16" t="n">
        <v>203.28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CANON-202602-004016</t>
        </is>
      </c>
      <c r="B201" s="3" t="inlineStr">
        <is>
          <t>2026-02-27</t>
        </is>
      </c>
      <c r="C201" s="3" t="inlineStr">
        <is>
          <t>Mireille Nakashima</t>
        </is>
      </c>
      <c r="D201" s="3" t="inlineStr">
        <is>
          <t>NV</t>
        </is>
      </c>
      <c r="E201" s="14" t="n">
        <v>255000</v>
      </c>
      <c r="F201" s="14" t="n">
        <v>4355.33</v>
      </c>
      <c r="G201" s="14" t="n">
        <v>544.42</v>
      </c>
      <c r="H201" s="14" t="n">
        <v>544.42</v>
      </c>
      <c r="I201" s="14">
        <f>SUM(K201:T201)</f>
        <v/>
      </c>
      <c r="J201" s="14">
        <f>F201-(G201+H201+I201)</f>
        <v/>
      </c>
      <c r="K201" s="14" t="n">
        <v>326.65</v>
      </c>
      <c r="L201" s="14" t="n">
        <v>326.65</v>
      </c>
      <c r="M201" s="14" t="n">
        <v>326.65</v>
      </c>
      <c r="N201" s="14" t="n">
        <v>326.65</v>
      </c>
      <c r="O201" s="14" t="n">
        <v>326.65</v>
      </c>
      <c r="P201" s="14" t="n">
        <v>326.65</v>
      </c>
      <c r="Q201" s="14" t="n">
        <v>326.65</v>
      </c>
      <c r="R201" s="14" t="n">
        <v>326.65</v>
      </c>
      <c r="S201" s="14" t="n">
        <v>326.65</v>
      </c>
      <c r="T201" s="14" t="n">
        <v>326.65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CANON-202602-004017</t>
        </is>
      </c>
      <c r="B202" s="15" t="inlineStr">
        <is>
          <t>2026-02-07</t>
        </is>
      </c>
      <c r="C202" s="15" t="inlineStr">
        <is>
          <t>Callum Okonkwo</t>
        </is>
      </c>
      <c r="D202" s="15" t="inlineStr">
        <is>
          <t>MN</t>
        </is>
      </c>
      <c r="E202" s="16" t="n">
        <v>800000</v>
      </c>
      <c r="F202" s="16" t="n">
        <v>11386.47</v>
      </c>
      <c r="G202" s="16" t="n">
        <v>1423.31</v>
      </c>
      <c r="H202" s="16" t="n">
        <v>1423.31</v>
      </c>
      <c r="I202" s="16">
        <f>SUM(K202:T202)</f>
        <v/>
      </c>
      <c r="J202" s="16">
        <f>F202-(G202+H202+I202)</f>
        <v/>
      </c>
      <c r="K202" s="16" t="n">
        <v>853.99</v>
      </c>
      <c r="L202" s="16" t="n">
        <v>853.99</v>
      </c>
      <c r="M202" s="16" t="n">
        <v>853.99</v>
      </c>
      <c r="N202" s="16" t="n">
        <v>853.99</v>
      </c>
      <c r="O202" s="16" t="n">
        <v>853.99</v>
      </c>
      <c r="P202" s="16" t="n">
        <v>853.99</v>
      </c>
      <c r="Q202" s="16" t="n">
        <v>853.99</v>
      </c>
      <c r="R202" s="16" t="n">
        <v>853.99</v>
      </c>
      <c r="S202" s="16" t="n">
        <v>853.99</v>
      </c>
      <c r="T202" s="16" t="n">
        <v>853.99</v>
      </c>
      <c r="U202" s="16" t="n">
        <v>350</v>
      </c>
      <c r="V202" s="16" t="n">
        <v>0</v>
      </c>
      <c r="W202" s="16">
        <f>U202+V202</f>
        <v/>
      </c>
    </row>
    <row r="203">
      <c r="A203" s="3" t="inlineStr">
        <is>
          <t>CANON-202602-004018</t>
        </is>
      </c>
      <c r="B203" s="3" t="inlineStr">
        <is>
          <t>2026-02-09</t>
        </is>
      </c>
      <c r="C203" s="3" t="inlineStr">
        <is>
          <t>Marisol Pennington</t>
        </is>
      </c>
      <c r="D203" s="3" t="inlineStr">
        <is>
          <t>AK</t>
        </is>
      </c>
      <c r="E203" s="14" t="n">
        <v>315000</v>
      </c>
      <c r="F203" s="14" t="n">
        <v>4467.74</v>
      </c>
      <c r="G203" s="14" t="n">
        <v>558.47</v>
      </c>
      <c r="H203" s="14" t="n">
        <v>558.47</v>
      </c>
      <c r="I203" s="14">
        <f>SUM(K203:T203)</f>
        <v/>
      </c>
      <c r="J203" s="14">
        <f>F203-(G203+H203+I203)</f>
        <v/>
      </c>
      <c r="K203" s="14" t="n">
        <v>335.08</v>
      </c>
      <c r="L203" s="14" t="n">
        <v>335.08</v>
      </c>
      <c r="M203" s="14" t="n">
        <v>335.08</v>
      </c>
      <c r="N203" s="14" t="n">
        <v>335.08</v>
      </c>
      <c r="O203" s="14" t="n">
        <v>335.08</v>
      </c>
      <c r="P203" s="14" t="n">
        <v>335.08</v>
      </c>
      <c r="Q203" s="14" t="n">
        <v>335.08</v>
      </c>
      <c r="R203" s="14" t="n">
        <v>335.08</v>
      </c>
      <c r="S203" s="14" t="n">
        <v>335.08</v>
      </c>
      <c r="T203" s="14" t="n">
        <v>335.08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CANON-202602-004019</t>
        </is>
      </c>
      <c r="B204" s="15" t="inlineStr">
        <is>
          <t>2026-02-24</t>
        </is>
      </c>
      <c r="C204" s="15" t="inlineStr">
        <is>
          <t>Saoirse Vasquez</t>
        </is>
      </c>
      <c r="D204" s="15" t="inlineStr">
        <is>
          <t>UT</t>
        </is>
      </c>
      <c r="E204" s="16" t="n">
        <v>1950000</v>
      </c>
      <c r="F204" s="16" t="n">
        <v>34935.76</v>
      </c>
      <c r="G204" s="16" t="n">
        <v>4366.97</v>
      </c>
      <c r="H204" s="16" t="n">
        <v>4366.97</v>
      </c>
      <c r="I204" s="16">
        <f>SUM(K204:T204)</f>
        <v/>
      </c>
      <c r="J204" s="16">
        <f>F204-(G204+H204+I204)</f>
        <v/>
      </c>
      <c r="K204" s="16" t="n">
        <v>2620.18</v>
      </c>
      <c r="L204" s="16" t="n">
        <v>2620.18</v>
      </c>
      <c r="M204" s="16" t="n">
        <v>2620.18</v>
      </c>
      <c r="N204" s="16" t="n">
        <v>2620.18</v>
      </c>
      <c r="O204" s="16" t="n">
        <v>2620.18</v>
      </c>
      <c r="P204" s="16" t="n">
        <v>2620.18</v>
      </c>
      <c r="Q204" s="16" t="n">
        <v>2620.18</v>
      </c>
      <c r="R204" s="16" t="n">
        <v>2620.18</v>
      </c>
      <c r="S204" s="16" t="n">
        <v>2620.18</v>
      </c>
      <c r="T204" s="16" t="n">
        <v>2620.18</v>
      </c>
      <c r="U204" s="16" t="n">
        <v>350</v>
      </c>
      <c r="V204" s="16" t="n">
        <v>250</v>
      </c>
      <c r="W204" s="16">
        <f>U204+V204</f>
        <v/>
      </c>
    </row>
    <row r="205">
      <c r="A205" s="3" t="inlineStr">
        <is>
          <t>CANON-202602-004020</t>
        </is>
      </c>
      <c r="B205" s="3" t="inlineStr">
        <is>
          <t>2026-02-13</t>
        </is>
      </c>
      <c r="C205" s="3" t="inlineStr">
        <is>
          <t>Ingrid Blackwood</t>
        </is>
      </c>
      <c r="D205" s="3" t="inlineStr">
        <is>
          <t>UT</t>
        </is>
      </c>
      <c r="E205" s="14" t="n">
        <v>655000</v>
      </c>
      <c r="F205" s="14" t="n">
        <v>9534.549999999999</v>
      </c>
      <c r="G205" s="14" t="n">
        <v>1191.82</v>
      </c>
      <c r="H205" s="14" t="n">
        <v>1191.82</v>
      </c>
      <c r="I205" s="14">
        <f>SUM(K205:T205)</f>
        <v/>
      </c>
      <c r="J205" s="14">
        <f>F205-(G205+H205+I205)</f>
        <v/>
      </c>
      <c r="K205" s="14" t="n">
        <v>715.09</v>
      </c>
      <c r="L205" s="14" t="n">
        <v>715.09</v>
      </c>
      <c r="M205" s="14" t="n">
        <v>715.09</v>
      </c>
      <c r="N205" s="14" t="n">
        <v>715.09</v>
      </c>
      <c r="O205" s="14" t="n">
        <v>715.09</v>
      </c>
      <c r="P205" s="14" t="n">
        <v>715.09</v>
      </c>
      <c r="Q205" s="14" t="n">
        <v>715.09</v>
      </c>
      <c r="R205" s="14" t="n">
        <v>715.09</v>
      </c>
      <c r="S205" s="14" t="n">
        <v>715.09</v>
      </c>
      <c r="T205" s="14" t="n">
        <v>715.09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CANON-202602-004025</t>
        </is>
      </c>
      <c r="B206" s="15" t="inlineStr">
        <is>
          <t>2026-02-26</t>
        </is>
      </c>
      <c r="C206" s="15" t="inlineStr">
        <is>
          <t>Saoirse Kingsford</t>
        </is>
      </c>
      <c r="D206" s="15" t="inlineStr">
        <is>
          <t>PA</t>
        </is>
      </c>
      <c r="E206" s="16" t="n">
        <v>1010000</v>
      </c>
      <c r="F206" s="16" t="n">
        <v>9215.01</v>
      </c>
      <c r="G206" s="16" t="n">
        <v>1151.88</v>
      </c>
      <c r="H206" s="16" t="n">
        <v>1151.88</v>
      </c>
      <c r="I206" s="16">
        <f>SUM(K206:T206)</f>
        <v/>
      </c>
      <c r="J206" s="16">
        <f>F206-(G206+H206+I206)</f>
        <v/>
      </c>
      <c r="K206" s="16" t="n">
        <v>691.13</v>
      </c>
      <c r="L206" s="16" t="n">
        <v>691.13</v>
      </c>
      <c r="M206" s="16" t="n">
        <v>691.13</v>
      </c>
      <c r="N206" s="16" t="n">
        <v>691.13</v>
      </c>
      <c r="O206" s="16" t="n">
        <v>691.13</v>
      </c>
      <c r="P206" s="16" t="n">
        <v>691.13</v>
      </c>
      <c r="Q206" s="16" t="n">
        <v>691.13</v>
      </c>
      <c r="R206" s="16" t="n">
        <v>691.13</v>
      </c>
      <c r="S206" s="16" t="n">
        <v>691.13</v>
      </c>
      <c r="T206" s="16" t="n">
        <v>691.13</v>
      </c>
      <c r="U206" s="16" t="n">
        <v>350</v>
      </c>
      <c r="V206" s="16" t="n">
        <v>250</v>
      </c>
      <c r="W206" s="16">
        <f>U206+V206</f>
        <v/>
      </c>
    </row>
    <row r="207">
      <c r="A207" s="3" t="inlineStr">
        <is>
          <t>CANON-202602-004026</t>
        </is>
      </c>
      <c r="B207" s="3" t="inlineStr">
        <is>
          <t>2026-02-05</t>
        </is>
      </c>
      <c r="C207" s="3" t="inlineStr">
        <is>
          <t>Anouk Whitlock</t>
        </is>
      </c>
      <c r="D207" s="3" t="inlineStr">
        <is>
          <t>NE</t>
        </is>
      </c>
      <c r="E207" s="14" t="n">
        <v>1905000</v>
      </c>
      <c r="F207" s="14" t="n">
        <v>22595.03</v>
      </c>
      <c r="G207" s="14" t="n">
        <v>2824.38</v>
      </c>
      <c r="H207" s="14" t="n">
        <v>2824.38</v>
      </c>
      <c r="I207" s="14">
        <f>SUM(K207:T207)</f>
        <v/>
      </c>
      <c r="J207" s="14">
        <f>F207-(G207+H207+I207)</f>
        <v/>
      </c>
      <c r="K207" s="14" t="n">
        <v>1694.63</v>
      </c>
      <c r="L207" s="14" t="n">
        <v>1694.63</v>
      </c>
      <c r="M207" s="14" t="n">
        <v>1694.63</v>
      </c>
      <c r="N207" s="14" t="n">
        <v>1694.63</v>
      </c>
      <c r="O207" s="14" t="n">
        <v>1694.63</v>
      </c>
      <c r="P207" s="14" t="n">
        <v>1694.63</v>
      </c>
      <c r="Q207" s="14" t="n">
        <v>1694.63</v>
      </c>
      <c r="R207" s="14" t="n">
        <v>1694.63</v>
      </c>
      <c r="S207" s="14" t="n">
        <v>1694.63</v>
      </c>
      <c r="T207" s="14" t="n">
        <v>1694.63</v>
      </c>
      <c r="U207" s="14" t="n">
        <v>350</v>
      </c>
      <c r="V207" s="14" t="n">
        <v>250</v>
      </c>
      <c r="W207" s="14">
        <f>U207+V207</f>
        <v/>
      </c>
    </row>
    <row r="208">
      <c r="A208" s="15" t="inlineStr">
        <is>
          <t>CANON-202602-004027</t>
        </is>
      </c>
      <c r="B208" s="15" t="inlineStr">
        <is>
          <t>2026-02-25</t>
        </is>
      </c>
      <c r="C208" s="15" t="inlineStr">
        <is>
          <t>Desmond Pennington</t>
        </is>
      </c>
      <c r="D208" s="15" t="inlineStr">
        <is>
          <t>TX</t>
        </is>
      </c>
      <c r="E208" s="16" t="n">
        <v>480000</v>
      </c>
      <c r="F208" s="16" t="n">
        <v>6867.71</v>
      </c>
      <c r="G208" s="16" t="n">
        <v>858.46</v>
      </c>
      <c r="H208" s="16" t="n">
        <v>858.46</v>
      </c>
      <c r="I208" s="16">
        <f>SUM(K208:T208)</f>
        <v/>
      </c>
      <c r="J208" s="16">
        <f>F208-(G208+H208+I208)</f>
        <v/>
      </c>
      <c r="K208" s="16" t="n">
        <v>515.08</v>
      </c>
      <c r="L208" s="16" t="n">
        <v>515.08</v>
      </c>
      <c r="M208" s="16" t="n">
        <v>515.08</v>
      </c>
      <c r="N208" s="16" t="n">
        <v>515.08</v>
      </c>
      <c r="O208" s="16" t="n">
        <v>515.08</v>
      </c>
      <c r="P208" s="16" t="n">
        <v>515.08</v>
      </c>
      <c r="Q208" s="16" t="n">
        <v>515.08</v>
      </c>
      <c r="R208" s="16" t="n">
        <v>515.08</v>
      </c>
      <c r="S208" s="16" t="n">
        <v>515.08</v>
      </c>
      <c r="T208" s="16" t="n">
        <v>515.08</v>
      </c>
      <c r="U208" s="16" t="n">
        <v>350</v>
      </c>
      <c r="V208" s="16" t="n">
        <v>0</v>
      </c>
      <c r="W208" s="16">
        <f>U208+V208</f>
        <v/>
      </c>
    </row>
    <row r="209">
      <c r="A209" s="3" t="inlineStr">
        <is>
          <t>CANON-202602-004029</t>
        </is>
      </c>
      <c r="B209" s="3" t="inlineStr">
        <is>
          <t>2026-02-21</t>
        </is>
      </c>
      <c r="C209" s="3" t="inlineStr">
        <is>
          <t>Priya Nakashima</t>
        </is>
      </c>
      <c r="D209" s="3" t="inlineStr">
        <is>
          <t>TX</t>
        </is>
      </c>
      <c r="E209" s="14" t="n">
        <v>255000</v>
      </c>
      <c r="F209" s="14" t="n">
        <v>5594.32</v>
      </c>
      <c r="G209" s="14" t="n">
        <v>699.29</v>
      </c>
      <c r="H209" s="14" t="n">
        <v>699.29</v>
      </c>
      <c r="I209" s="14">
        <f>SUM(K209:T209)</f>
        <v/>
      </c>
      <c r="J209" s="14">
        <f>F209-(G209+H209+I209)</f>
        <v/>
      </c>
      <c r="K209" s="14" t="n">
        <v>419.57</v>
      </c>
      <c r="L209" s="14" t="n">
        <v>419.57</v>
      </c>
      <c r="M209" s="14" t="n">
        <v>419.57</v>
      </c>
      <c r="N209" s="14" t="n">
        <v>419.57</v>
      </c>
      <c r="O209" s="14" t="n">
        <v>419.57</v>
      </c>
      <c r="P209" s="14" t="n">
        <v>419.57</v>
      </c>
      <c r="Q209" s="14" t="n">
        <v>419.57</v>
      </c>
      <c r="R209" s="14" t="n">
        <v>419.57</v>
      </c>
      <c r="S209" s="14" t="n">
        <v>419.57</v>
      </c>
      <c r="T209" s="14" t="n">
        <v>419.57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CANON-202602-004030</t>
        </is>
      </c>
      <c r="B210" s="15" t="inlineStr">
        <is>
          <t>2026-02-13</t>
        </is>
      </c>
      <c r="C210" s="15" t="inlineStr">
        <is>
          <t>Everett Underwood</t>
        </is>
      </c>
      <c r="D210" s="15" t="inlineStr">
        <is>
          <t>CA</t>
        </is>
      </c>
      <c r="E210" s="16" t="n">
        <v>705000</v>
      </c>
      <c r="F210" s="16" t="n">
        <v>10262.38</v>
      </c>
      <c r="G210" s="16" t="n">
        <v>1282.8</v>
      </c>
      <c r="H210" s="16" t="n">
        <v>1282.8</v>
      </c>
      <c r="I210" s="16">
        <f>SUM(K210:T210)</f>
        <v/>
      </c>
      <c r="J210" s="16">
        <f>F210-(G210+H210+I210)</f>
        <v/>
      </c>
      <c r="K210" s="16" t="n">
        <v>769.6799999999999</v>
      </c>
      <c r="L210" s="16" t="n">
        <v>769.6799999999999</v>
      </c>
      <c r="M210" s="16" t="n">
        <v>769.6799999999999</v>
      </c>
      <c r="N210" s="16" t="n">
        <v>769.6799999999999</v>
      </c>
      <c r="O210" s="16" t="n">
        <v>769.6799999999999</v>
      </c>
      <c r="P210" s="16" t="n">
        <v>769.6799999999999</v>
      </c>
      <c r="Q210" s="16" t="n">
        <v>769.6799999999999</v>
      </c>
      <c r="R210" s="16" t="n">
        <v>769.6799999999999</v>
      </c>
      <c r="S210" s="16" t="n">
        <v>769.6799999999999</v>
      </c>
      <c r="T210" s="16" t="n">
        <v>769.6799999999999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CANON-202602-004031</t>
        </is>
      </c>
      <c r="B211" s="3" t="inlineStr">
        <is>
          <t>2026-02-10</t>
        </is>
      </c>
      <c r="C211" s="3" t="inlineStr">
        <is>
          <t>Cassius Underwood</t>
        </is>
      </c>
      <c r="D211" s="3" t="inlineStr">
        <is>
          <t>MT</t>
        </is>
      </c>
      <c r="E211" s="14" t="n">
        <v>455000</v>
      </c>
      <c r="F211" s="14" t="n">
        <v>5264.62</v>
      </c>
      <c r="G211" s="14" t="n">
        <v>658.08</v>
      </c>
      <c r="H211" s="14" t="n">
        <v>658.08</v>
      </c>
      <c r="I211" s="14">
        <f>SUM(K211:T211)</f>
        <v/>
      </c>
      <c r="J211" s="14">
        <f>F211-(G211+H211+I211)</f>
        <v/>
      </c>
      <c r="K211" s="14" t="n">
        <v>394.85</v>
      </c>
      <c r="L211" s="14" t="n">
        <v>394.85</v>
      </c>
      <c r="M211" s="14" t="n">
        <v>394.85</v>
      </c>
      <c r="N211" s="14" t="n">
        <v>394.85</v>
      </c>
      <c r="O211" s="14" t="n">
        <v>394.85</v>
      </c>
      <c r="P211" s="14" t="n">
        <v>394.85</v>
      </c>
      <c r="Q211" s="14" t="n">
        <v>394.85</v>
      </c>
      <c r="R211" s="14" t="n">
        <v>394.85</v>
      </c>
      <c r="S211" s="14" t="n">
        <v>394.85</v>
      </c>
      <c r="T211" s="14" t="n">
        <v>394.85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CANON-202602-004034</t>
        </is>
      </c>
      <c r="B212" s="15" t="inlineStr">
        <is>
          <t>2026-02-15</t>
        </is>
      </c>
      <c r="C212" s="15" t="inlineStr">
        <is>
          <t>Beatrix Blackwood</t>
        </is>
      </c>
      <c r="D212" s="15" t="inlineStr">
        <is>
          <t>AK</t>
        </is>
      </c>
      <c r="E212" s="16" t="n">
        <v>700000</v>
      </c>
      <c r="F212" s="16" t="n">
        <v>12575.87</v>
      </c>
      <c r="G212" s="16" t="n">
        <v>1571.98</v>
      </c>
      <c r="H212" s="16" t="n">
        <v>1571.98</v>
      </c>
      <c r="I212" s="16">
        <f>SUM(K212:T212)</f>
        <v/>
      </c>
      <c r="J212" s="16">
        <f>F212-(G212+H212+I212)</f>
        <v/>
      </c>
      <c r="K212" s="16" t="n">
        <v>943.1900000000001</v>
      </c>
      <c r="L212" s="16" t="n">
        <v>943.1900000000001</v>
      </c>
      <c r="M212" s="16" t="n">
        <v>943.1900000000001</v>
      </c>
      <c r="N212" s="16" t="n">
        <v>943.1900000000001</v>
      </c>
      <c r="O212" s="16" t="n">
        <v>943.1900000000001</v>
      </c>
      <c r="P212" s="16" t="n">
        <v>943.1900000000001</v>
      </c>
      <c r="Q212" s="16" t="n">
        <v>943.1900000000001</v>
      </c>
      <c r="R212" s="16" t="n">
        <v>943.1900000000001</v>
      </c>
      <c r="S212" s="16" t="n">
        <v>943.1900000000001</v>
      </c>
      <c r="T212" s="16" t="n">
        <v>943.1900000000001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CANON-202602-004035</t>
        </is>
      </c>
      <c r="B213" s="3" t="inlineStr">
        <is>
          <t>2026-02-12</t>
        </is>
      </c>
      <c r="C213" s="3" t="inlineStr">
        <is>
          <t>Marisol Montoya</t>
        </is>
      </c>
      <c r="D213" s="3" t="inlineStr">
        <is>
          <t>SC</t>
        </is>
      </c>
      <c r="E213" s="14" t="n">
        <v>1645000</v>
      </c>
      <c r="F213" s="14" t="n">
        <v>27070.07</v>
      </c>
      <c r="G213" s="14" t="n">
        <v>3383.76</v>
      </c>
      <c r="H213" s="14" t="n">
        <v>3383.76</v>
      </c>
      <c r="I213" s="14">
        <f>SUM(K213:T213)</f>
        <v/>
      </c>
      <c r="J213" s="14">
        <f>F213-(G213+H213+I213)</f>
        <v/>
      </c>
      <c r="K213" s="14" t="n">
        <v>2030.26</v>
      </c>
      <c r="L213" s="14" t="n">
        <v>2030.26</v>
      </c>
      <c r="M213" s="14" t="n">
        <v>2030.26</v>
      </c>
      <c r="N213" s="14" t="n">
        <v>2030.26</v>
      </c>
      <c r="O213" s="14" t="n">
        <v>2030.26</v>
      </c>
      <c r="P213" s="14" t="n">
        <v>2030.26</v>
      </c>
      <c r="Q213" s="14" t="n">
        <v>2030.26</v>
      </c>
      <c r="R213" s="14" t="n">
        <v>2030.26</v>
      </c>
      <c r="S213" s="14" t="n">
        <v>2030.26</v>
      </c>
      <c r="T213" s="14" t="n">
        <v>2030.26</v>
      </c>
      <c r="U213" s="14" t="n">
        <v>350</v>
      </c>
      <c r="V213" s="14" t="n">
        <v>250</v>
      </c>
      <c r="W213" s="14">
        <f>U213+V213</f>
        <v/>
      </c>
    </row>
    <row r="214">
      <c r="A214" s="15" t="inlineStr">
        <is>
          <t>CANON-202602-004037</t>
        </is>
      </c>
      <c r="B214" s="15" t="inlineStr">
        <is>
          <t>2026-02-07</t>
        </is>
      </c>
      <c r="C214" s="15" t="inlineStr">
        <is>
          <t>Priya Larsson</t>
        </is>
      </c>
      <c r="D214" s="15" t="inlineStr">
        <is>
          <t>SC</t>
        </is>
      </c>
      <c r="E214" s="16" t="n">
        <v>460000</v>
      </c>
      <c r="F214" s="16" t="n">
        <v>8326.719999999999</v>
      </c>
      <c r="G214" s="16" t="n">
        <v>1040.84</v>
      </c>
      <c r="H214" s="16" t="n">
        <v>1040.84</v>
      </c>
      <c r="I214" s="16">
        <f>SUM(K214:T214)</f>
        <v/>
      </c>
      <c r="J214" s="16">
        <f>F214-(G214+H214+I214)</f>
        <v/>
      </c>
      <c r="K214" s="16" t="n">
        <v>624.5</v>
      </c>
      <c r="L214" s="16" t="n">
        <v>624.5</v>
      </c>
      <c r="M214" s="16" t="n">
        <v>624.5</v>
      </c>
      <c r="N214" s="16" t="n">
        <v>624.5</v>
      </c>
      <c r="O214" s="16" t="n">
        <v>624.5</v>
      </c>
      <c r="P214" s="16" t="n">
        <v>624.5</v>
      </c>
      <c r="Q214" s="16" t="n">
        <v>624.5</v>
      </c>
      <c r="R214" s="16" t="n">
        <v>624.5</v>
      </c>
      <c r="S214" s="16" t="n">
        <v>624.5</v>
      </c>
      <c r="T214" s="16" t="n">
        <v>624.5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CANON-202602-004038</t>
        </is>
      </c>
      <c r="B215" s="3" t="inlineStr">
        <is>
          <t>2026-02-28</t>
        </is>
      </c>
      <c r="C215" s="3" t="inlineStr">
        <is>
          <t>Everett Nakashima</t>
        </is>
      </c>
      <c r="D215" s="3" t="inlineStr">
        <is>
          <t>PA</t>
        </is>
      </c>
      <c r="E215" s="14" t="n">
        <v>375000</v>
      </c>
      <c r="F215" s="14" t="n">
        <v>4665.56</v>
      </c>
      <c r="G215" s="14" t="n">
        <v>583.2</v>
      </c>
      <c r="H215" s="14" t="n">
        <v>583.2</v>
      </c>
      <c r="I215" s="14">
        <f>SUM(K215:T215)</f>
        <v/>
      </c>
      <c r="J215" s="14">
        <f>F215-(G215+H215+I215)</f>
        <v/>
      </c>
      <c r="K215" s="14" t="n">
        <v>349.92</v>
      </c>
      <c r="L215" s="14" t="n">
        <v>349.92</v>
      </c>
      <c r="M215" s="14" t="n">
        <v>349.92</v>
      </c>
      <c r="N215" s="14" t="n">
        <v>349.92</v>
      </c>
      <c r="O215" s="14" t="n">
        <v>349.92</v>
      </c>
      <c r="P215" s="14" t="n">
        <v>349.92</v>
      </c>
      <c r="Q215" s="14" t="n">
        <v>349.92</v>
      </c>
      <c r="R215" s="14" t="n">
        <v>349.92</v>
      </c>
      <c r="S215" s="14" t="n">
        <v>349.92</v>
      </c>
      <c r="T215" s="14" t="n">
        <v>349.92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CANON-202602-004039</t>
        </is>
      </c>
      <c r="B216" s="15" t="inlineStr">
        <is>
          <t>2026-02-04</t>
        </is>
      </c>
      <c r="C216" s="15" t="inlineStr">
        <is>
          <t>Fitzgerald Farkas</t>
        </is>
      </c>
      <c r="D216" s="15" t="inlineStr">
        <is>
          <t>UT</t>
        </is>
      </c>
      <c r="E216" s="16" t="n">
        <v>360000</v>
      </c>
      <c r="F216" s="16" t="n">
        <v>6046.57</v>
      </c>
      <c r="G216" s="16" t="n">
        <v>755.8200000000001</v>
      </c>
      <c r="H216" s="16" t="n">
        <v>755.8200000000001</v>
      </c>
      <c r="I216" s="16">
        <f>SUM(K216:T216)</f>
        <v/>
      </c>
      <c r="J216" s="16">
        <f>F216-(G216+H216+I216)</f>
        <v/>
      </c>
      <c r="K216" s="16" t="n">
        <v>453.49</v>
      </c>
      <c r="L216" s="16" t="n">
        <v>453.49</v>
      </c>
      <c r="M216" s="16" t="n">
        <v>453.49</v>
      </c>
      <c r="N216" s="16" t="n">
        <v>453.49</v>
      </c>
      <c r="O216" s="16" t="n">
        <v>453.49</v>
      </c>
      <c r="P216" s="16" t="n">
        <v>453.49</v>
      </c>
      <c r="Q216" s="16" t="n">
        <v>453.49</v>
      </c>
      <c r="R216" s="16" t="n">
        <v>453.49</v>
      </c>
      <c r="S216" s="16" t="n">
        <v>453.49</v>
      </c>
      <c r="T216" s="16" t="n">
        <v>453.49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CANON-202602-004040</t>
        </is>
      </c>
      <c r="B217" s="3" t="inlineStr">
        <is>
          <t>2026-02-23</t>
        </is>
      </c>
      <c r="C217" s="3" t="inlineStr">
        <is>
          <t>Thaddeus Fairweather</t>
        </is>
      </c>
      <c r="D217" s="3" t="inlineStr">
        <is>
          <t>MA</t>
        </is>
      </c>
      <c r="E217" s="14" t="n">
        <v>520000</v>
      </c>
      <c r="F217" s="14" t="n">
        <v>7008.72</v>
      </c>
      <c r="G217" s="14" t="n">
        <v>876.09</v>
      </c>
      <c r="H217" s="14" t="n">
        <v>876.09</v>
      </c>
      <c r="I217" s="14">
        <f>SUM(K217:T217)</f>
        <v/>
      </c>
      <c r="J217" s="14">
        <f>F217-(G217+H217+I217)</f>
        <v/>
      </c>
      <c r="K217" s="14" t="n">
        <v>525.65</v>
      </c>
      <c r="L217" s="14" t="n">
        <v>525.65</v>
      </c>
      <c r="M217" s="14" t="n">
        <v>525.65</v>
      </c>
      <c r="N217" s="14" t="n">
        <v>525.65</v>
      </c>
      <c r="O217" s="14" t="n">
        <v>525.65</v>
      </c>
      <c r="P217" s="14" t="n">
        <v>525.65</v>
      </c>
      <c r="Q217" s="14" t="n">
        <v>525.65</v>
      </c>
      <c r="R217" s="14" t="n">
        <v>525.65</v>
      </c>
      <c r="S217" s="14" t="n">
        <v>525.65</v>
      </c>
      <c r="T217" s="14" t="n">
        <v>525.65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CANON-202602-004041</t>
        </is>
      </c>
      <c r="B218" s="15" t="inlineStr">
        <is>
          <t>2026-02-09</t>
        </is>
      </c>
      <c r="C218" s="15" t="inlineStr">
        <is>
          <t>Ottilie Farkas</t>
        </is>
      </c>
      <c r="D218" s="15" t="inlineStr">
        <is>
          <t>AZ</t>
        </is>
      </c>
      <c r="E218" s="16" t="n">
        <v>680000</v>
      </c>
      <c r="F218" s="16" t="n">
        <v>7405.52</v>
      </c>
      <c r="G218" s="16" t="n">
        <v>925.6900000000001</v>
      </c>
      <c r="H218" s="16" t="n">
        <v>925.6900000000001</v>
      </c>
      <c r="I218" s="16">
        <f>SUM(K218:T218)</f>
        <v/>
      </c>
      <c r="J218" s="16">
        <f>F218-(G218+H218+I218)</f>
        <v/>
      </c>
      <c r="K218" s="16" t="n">
        <v>555.41</v>
      </c>
      <c r="L218" s="16" t="n">
        <v>555.41</v>
      </c>
      <c r="M218" s="16" t="n">
        <v>555.41</v>
      </c>
      <c r="N218" s="16" t="n">
        <v>555.41</v>
      </c>
      <c r="O218" s="16" t="n">
        <v>555.41</v>
      </c>
      <c r="P218" s="16" t="n">
        <v>555.41</v>
      </c>
      <c r="Q218" s="16" t="n">
        <v>555.41</v>
      </c>
      <c r="R218" s="16" t="n">
        <v>555.41</v>
      </c>
      <c r="S218" s="16" t="n">
        <v>555.41</v>
      </c>
      <c r="T218" s="16" t="n">
        <v>555.41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CANON-202602-004042</t>
        </is>
      </c>
      <c r="B219" s="3" t="inlineStr">
        <is>
          <t>2026-02-27</t>
        </is>
      </c>
      <c r="C219" s="3" t="inlineStr">
        <is>
          <t>Emiliano Castellanos</t>
        </is>
      </c>
      <c r="D219" s="3" t="inlineStr">
        <is>
          <t>MA</t>
        </is>
      </c>
      <c r="E219" s="14" t="n">
        <v>740000</v>
      </c>
      <c r="F219" s="14" t="n">
        <v>5830.92</v>
      </c>
      <c r="G219" s="14" t="n">
        <v>728.87</v>
      </c>
      <c r="H219" s="14" t="n">
        <v>728.87</v>
      </c>
      <c r="I219" s="14">
        <f>SUM(K219:T219)</f>
        <v/>
      </c>
      <c r="J219" s="14">
        <f>F219-(G219+H219+I219)</f>
        <v/>
      </c>
      <c r="K219" s="14" t="n">
        <v>437.32</v>
      </c>
      <c r="L219" s="14" t="n">
        <v>437.32</v>
      </c>
      <c r="M219" s="14" t="n">
        <v>437.32</v>
      </c>
      <c r="N219" s="14" t="n">
        <v>437.32</v>
      </c>
      <c r="O219" s="14" t="n">
        <v>437.32</v>
      </c>
      <c r="P219" s="14" t="n">
        <v>437.32</v>
      </c>
      <c r="Q219" s="14" t="n">
        <v>437.32</v>
      </c>
      <c r="R219" s="14" t="n">
        <v>437.32</v>
      </c>
      <c r="S219" s="14" t="n">
        <v>437.32</v>
      </c>
      <c r="T219" s="14" t="n">
        <v>437.32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CANON-202602-004043</t>
        </is>
      </c>
      <c r="B220" s="15" t="inlineStr">
        <is>
          <t>2026-02-08</t>
        </is>
      </c>
      <c r="C220" s="15" t="inlineStr">
        <is>
          <t>Noor Ashcombe</t>
        </is>
      </c>
      <c r="D220" s="15" t="inlineStr">
        <is>
          <t>MT</t>
        </is>
      </c>
      <c r="E220" s="16" t="n">
        <v>925000</v>
      </c>
      <c r="F220" s="16" t="n">
        <v>13556.89</v>
      </c>
      <c r="G220" s="16" t="n">
        <v>1694.61</v>
      </c>
      <c r="H220" s="16" t="n">
        <v>1694.61</v>
      </c>
      <c r="I220" s="16">
        <f>SUM(K220:T220)</f>
        <v/>
      </c>
      <c r="J220" s="16">
        <f>F220-(G220+H220+I220)</f>
        <v/>
      </c>
      <c r="K220" s="16" t="n">
        <v>1016.77</v>
      </c>
      <c r="L220" s="16" t="n">
        <v>1016.77</v>
      </c>
      <c r="M220" s="16" t="n">
        <v>1016.77</v>
      </c>
      <c r="N220" s="16" t="n">
        <v>1016.77</v>
      </c>
      <c r="O220" s="16" t="n">
        <v>1016.77</v>
      </c>
      <c r="P220" s="16" t="n">
        <v>1016.77</v>
      </c>
      <c r="Q220" s="16" t="n">
        <v>1016.77</v>
      </c>
      <c r="R220" s="16" t="n">
        <v>1016.77</v>
      </c>
      <c r="S220" s="16" t="n">
        <v>1016.77</v>
      </c>
      <c r="T220" s="16" t="n">
        <v>1016.77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CANON-202602-004044</t>
        </is>
      </c>
      <c r="B221" s="3" t="inlineStr">
        <is>
          <t>2026-02-28</t>
        </is>
      </c>
      <c r="C221" s="3" t="inlineStr">
        <is>
          <t>Beatrix Underwood</t>
        </is>
      </c>
      <c r="D221" s="3" t="inlineStr">
        <is>
          <t>IL</t>
        </is>
      </c>
      <c r="E221" s="14" t="n">
        <v>1435000</v>
      </c>
      <c r="F221" s="14" t="n">
        <v>11007.32</v>
      </c>
      <c r="G221" s="14" t="n">
        <v>1375.91</v>
      </c>
      <c r="H221" s="14" t="n">
        <v>1375.91</v>
      </c>
      <c r="I221" s="14">
        <f>SUM(K221:T221)</f>
        <v/>
      </c>
      <c r="J221" s="14">
        <f>F221-(G221+H221+I221)</f>
        <v/>
      </c>
      <c r="K221" s="14" t="n">
        <v>825.55</v>
      </c>
      <c r="L221" s="14" t="n">
        <v>825.55</v>
      </c>
      <c r="M221" s="14" t="n">
        <v>825.55</v>
      </c>
      <c r="N221" s="14" t="n">
        <v>825.55</v>
      </c>
      <c r="O221" s="14" t="n">
        <v>825.55</v>
      </c>
      <c r="P221" s="14" t="n">
        <v>825.55</v>
      </c>
      <c r="Q221" s="14" t="n">
        <v>825.55</v>
      </c>
      <c r="R221" s="14" t="n">
        <v>825.55</v>
      </c>
      <c r="S221" s="14" t="n">
        <v>825.55</v>
      </c>
      <c r="T221" s="14" t="n">
        <v>825.55</v>
      </c>
      <c r="U221" s="14" t="n">
        <v>350</v>
      </c>
      <c r="V221" s="14" t="n">
        <v>250</v>
      </c>
      <c r="W221" s="14">
        <f>U221+V221</f>
        <v/>
      </c>
    </row>
    <row r="222">
      <c r="A222" s="15" t="inlineStr">
        <is>
          <t>CANON-202602-004045</t>
        </is>
      </c>
      <c r="B222" s="15" t="inlineStr">
        <is>
          <t>2026-02-25</t>
        </is>
      </c>
      <c r="C222" s="15" t="inlineStr">
        <is>
          <t>Emiliano Fairweather</t>
        </is>
      </c>
      <c r="D222" s="15" t="inlineStr">
        <is>
          <t>NV</t>
        </is>
      </c>
      <c r="E222" s="16" t="n">
        <v>1105000</v>
      </c>
      <c r="F222" s="16" t="n">
        <v>17157.34</v>
      </c>
      <c r="G222" s="16" t="n">
        <v>2144.67</v>
      </c>
      <c r="H222" s="16" t="n">
        <v>2144.67</v>
      </c>
      <c r="I222" s="16">
        <f>SUM(K222:T222)</f>
        <v/>
      </c>
      <c r="J222" s="16">
        <f>F222-(G222+H222+I222)</f>
        <v/>
      </c>
      <c r="K222" s="16" t="n">
        <v>1286.8</v>
      </c>
      <c r="L222" s="16" t="n">
        <v>1286.8</v>
      </c>
      <c r="M222" s="16" t="n">
        <v>1286.8</v>
      </c>
      <c r="N222" s="16" t="n">
        <v>1286.8</v>
      </c>
      <c r="O222" s="16" t="n">
        <v>1286.8</v>
      </c>
      <c r="P222" s="16" t="n">
        <v>1286.8</v>
      </c>
      <c r="Q222" s="16" t="n">
        <v>1286.8</v>
      </c>
      <c r="R222" s="16" t="n">
        <v>1286.8</v>
      </c>
      <c r="S222" s="16" t="n">
        <v>1286.8</v>
      </c>
      <c r="T222" s="16" t="n">
        <v>1286.8</v>
      </c>
      <c r="U222" s="16" t="n">
        <v>350</v>
      </c>
      <c r="V222" s="16" t="n">
        <v>250</v>
      </c>
      <c r="W222" s="16">
        <f>U222+V222</f>
        <v/>
      </c>
    </row>
    <row r="223">
      <c r="A223" s="3" t="inlineStr">
        <is>
          <t>CANON-202602-004046</t>
        </is>
      </c>
      <c r="B223" s="3" t="inlineStr">
        <is>
          <t>2026-02-01</t>
        </is>
      </c>
      <c r="C223" s="3" t="inlineStr">
        <is>
          <t>Noor Bellandi</t>
        </is>
      </c>
      <c r="D223" s="3" t="inlineStr">
        <is>
          <t>NV</t>
        </is>
      </c>
      <c r="E223" s="14" t="n">
        <v>370000</v>
      </c>
      <c r="F223" s="14" t="n">
        <v>8258.42</v>
      </c>
      <c r="G223" s="14" t="n">
        <v>1032.3</v>
      </c>
      <c r="H223" s="14" t="n">
        <v>1032.3</v>
      </c>
      <c r="I223" s="14">
        <f>SUM(K223:T223)</f>
        <v/>
      </c>
      <c r="J223" s="14">
        <f>F223-(G223+H223+I223)</f>
        <v/>
      </c>
      <c r="K223" s="14" t="n">
        <v>619.38</v>
      </c>
      <c r="L223" s="14" t="n">
        <v>619.38</v>
      </c>
      <c r="M223" s="14" t="n">
        <v>619.38</v>
      </c>
      <c r="N223" s="14" t="n">
        <v>619.38</v>
      </c>
      <c r="O223" s="14" t="n">
        <v>619.38</v>
      </c>
      <c r="P223" s="14" t="n">
        <v>619.38</v>
      </c>
      <c r="Q223" s="14" t="n">
        <v>619.38</v>
      </c>
      <c r="R223" s="14" t="n">
        <v>619.38</v>
      </c>
      <c r="S223" s="14" t="n">
        <v>619.38</v>
      </c>
      <c r="T223" s="14" t="n">
        <v>619.38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CANON-202602-004048</t>
        </is>
      </c>
      <c r="B224" s="15" t="inlineStr">
        <is>
          <t>2026-02-04</t>
        </is>
      </c>
      <c r="C224" s="15" t="inlineStr">
        <is>
          <t>Fitzgerald Fairweather</t>
        </is>
      </c>
      <c r="D224" s="15" t="inlineStr">
        <is>
          <t>HI</t>
        </is>
      </c>
      <c r="E224" s="16" t="n">
        <v>340000</v>
      </c>
      <c r="F224" s="16" t="n">
        <v>5499.15</v>
      </c>
      <c r="G224" s="16" t="n">
        <v>687.39</v>
      </c>
      <c r="H224" s="16" t="n">
        <v>687.39</v>
      </c>
      <c r="I224" s="16">
        <f>SUM(K224:T224)</f>
        <v/>
      </c>
      <c r="J224" s="16">
        <f>F224-(G224+H224+I224)</f>
        <v/>
      </c>
      <c r="K224" s="16" t="n">
        <v>412.44</v>
      </c>
      <c r="L224" s="16" t="n">
        <v>412.44</v>
      </c>
      <c r="M224" s="16" t="n">
        <v>412.44</v>
      </c>
      <c r="N224" s="16" t="n">
        <v>412.44</v>
      </c>
      <c r="O224" s="16" t="n">
        <v>412.44</v>
      </c>
      <c r="P224" s="16" t="n">
        <v>412.44</v>
      </c>
      <c r="Q224" s="16" t="n">
        <v>412.44</v>
      </c>
      <c r="R224" s="16" t="n">
        <v>412.44</v>
      </c>
      <c r="S224" s="16" t="n">
        <v>412.44</v>
      </c>
      <c r="T224" s="16" t="n">
        <v>412.44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CANON-202602-004050</t>
        </is>
      </c>
      <c r="B225" s="3" t="inlineStr">
        <is>
          <t>2026-02-07</t>
        </is>
      </c>
      <c r="C225" s="3" t="inlineStr">
        <is>
          <t>Callum Ashcombe</t>
        </is>
      </c>
      <c r="D225" s="3" t="inlineStr">
        <is>
          <t>MI</t>
        </is>
      </c>
      <c r="E225" s="14" t="n">
        <v>750000</v>
      </c>
      <c r="F225" s="14" t="n">
        <v>18320.12</v>
      </c>
      <c r="G225" s="14" t="n">
        <v>2290.01</v>
      </c>
      <c r="H225" s="14" t="n">
        <v>2290.01</v>
      </c>
      <c r="I225" s="14">
        <f>SUM(K225:T225)</f>
        <v/>
      </c>
      <c r="J225" s="14">
        <f>F225-(G225+H225+I225)</f>
        <v/>
      </c>
      <c r="K225" s="14" t="n">
        <v>1374.01</v>
      </c>
      <c r="L225" s="14" t="n">
        <v>1374.01</v>
      </c>
      <c r="M225" s="14" t="n">
        <v>1374.01</v>
      </c>
      <c r="N225" s="14" t="n">
        <v>1374.01</v>
      </c>
      <c r="O225" s="14" t="n">
        <v>1374.01</v>
      </c>
      <c r="P225" s="14" t="n">
        <v>1374.01</v>
      </c>
      <c r="Q225" s="14" t="n">
        <v>1374.01</v>
      </c>
      <c r="R225" s="14" t="n">
        <v>1374.01</v>
      </c>
      <c r="S225" s="14" t="n">
        <v>1374.01</v>
      </c>
      <c r="T225" s="14" t="n">
        <v>1374.01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CANON-202602-004051</t>
        </is>
      </c>
      <c r="B226" s="15" t="inlineStr">
        <is>
          <t>2026-02-16</t>
        </is>
      </c>
      <c r="C226" s="15" t="inlineStr">
        <is>
          <t>Marisol Fairweather</t>
        </is>
      </c>
      <c r="D226" s="15" t="inlineStr">
        <is>
          <t>WA</t>
        </is>
      </c>
      <c r="E226" s="16" t="n">
        <v>300000</v>
      </c>
      <c r="F226" s="16" t="n">
        <v>3583.15</v>
      </c>
      <c r="G226" s="16" t="n">
        <v>447.89</v>
      </c>
      <c r="H226" s="16" t="n">
        <v>447.89</v>
      </c>
      <c r="I226" s="16">
        <f>SUM(K226:T226)</f>
        <v/>
      </c>
      <c r="J226" s="16">
        <f>F226-(G226+H226+I226)</f>
        <v/>
      </c>
      <c r="K226" s="16" t="n">
        <v>268.74</v>
      </c>
      <c r="L226" s="16" t="n">
        <v>268.74</v>
      </c>
      <c r="M226" s="16" t="n">
        <v>268.74</v>
      </c>
      <c r="N226" s="16" t="n">
        <v>268.74</v>
      </c>
      <c r="O226" s="16" t="n">
        <v>268.74</v>
      </c>
      <c r="P226" s="16" t="n">
        <v>268.74</v>
      </c>
      <c r="Q226" s="16" t="n">
        <v>268.74</v>
      </c>
      <c r="R226" s="16" t="n">
        <v>268.74</v>
      </c>
      <c r="S226" s="16" t="n">
        <v>268.74</v>
      </c>
      <c r="T226" s="16" t="n">
        <v>268.74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CANON-202602-004052</t>
        </is>
      </c>
      <c r="B227" s="3" t="inlineStr">
        <is>
          <t>2026-02-24</t>
        </is>
      </c>
      <c r="C227" s="3" t="inlineStr">
        <is>
          <t>Ramona Larsson</t>
        </is>
      </c>
      <c r="D227" s="3" t="inlineStr">
        <is>
          <t>NJ</t>
        </is>
      </c>
      <c r="E227" s="14" t="n">
        <v>420000</v>
      </c>
      <c r="F227" s="14" t="n">
        <v>7291.22</v>
      </c>
      <c r="G227" s="14" t="n">
        <v>911.4</v>
      </c>
      <c r="H227" s="14" t="n">
        <v>911.4</v>
      </c>
      <c r="I227" s="14">
        <f>SUM(K227:T227)</f>
        <v/>
      </c>
      <c r="J227" s="14">
        <f>F227-(G227+H227+I227)</f>
        <v/>
      </c>
      <c r="K227" s="14" t="n">
        <v>546.84</v>
      </c>
      <c r="L227" s="14" t="n">
        <v>546.84</v>
      </c>
      <c r="M227" s="14" t="n">
        <v>546.84</v>
      </c>
      <c r="N227" s="14" t="n">
        <v>546.84</v>
      </c>
      <c r="O227" s="14" t="n">
        <v>546.84</v>
      </c>
      <c r="P227" s="14" t="n">
        <v>546.84</v>
      </c>
      <c r="Q227" s="14" t="n">
        <v>546.84</v>
      </c>
      <c r="R227" s="14" t="n">
        <v>546.84</v>
      </c>
      <c r="S227" s="14" t="n">
        <v>546.84</v>
      </c>
      <c r="T227" s="14" t="n">
        <v>546.84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CANON-202602-004054</t>
        </is>
      </c>
      <c r="B228" s="15" t="inlineStr">
        <is>
          <t>2026-02-04</t>
        </is>
      </c>
      <c r="C228" s="15" t="inlineStr">
        <is>
          <t>Wilhelmina Vandermeer</t>
        </is>
      </c>
      <c r="D228" s="15" t="inlineStr">
        <is>
          <t>IL</t>
        </is>
      </c>
      <c r="E228" s="16" t="n">
        <v>560000</v>
      </c>
      <c r="F228" s="16" t="n">
        <v>8212.059999999999</v>
      </c>
      <c r="G228" s="16" t="n">
        <v>1026.51</v>
      </c>
      <c r="H228" s="16" t="n">
        <v>1026.51</v>
      </c>
      <c r="I228" s="16">
        <f>SUM(K228:T228)</f>
        <v/>
      </c>
      <c r="J228" s="16">
        <f>F228-(G228+H228+I228)</f>
        <v/>
      </c>
      <c r="K228" s="16" t="n">
        <v>615.9</v>
      </c>
      <c r="L228" s="16" t="n">
        <v>615.9</v>
      </c>
      <c r="M228" s="16" t="n">
        <v>615.9</v>
      </c>
      <c r="N228" s="16" t="n">
        <v>615.9</v>
      </c>
      <c r="O228" s="16" t="n">
        <v>615.9</v>
      </c>
      <c r="P228" s="16" t="n">
        <v>615.9</v>
      </c>
      <c r="Q228" s="16" t="n">
        <v>615.9</v>
      </c>
      <c r="R228" s="16" t="n">
        <v>615.9</v>
      </c>
      <c r="S228" s="16" t="n">
        <v>615.9</v>
      </c>
      <c r="T228" s="16" t="n">
        <v>615.9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CANON-202602-004056</t>
        </is>
      </c>
      <c r="B229" s="3" t="inlineStr">
        <is>
          <t>2026-02-03</t>
        </is>
      </c>
      <c r="C229" s="3" t="inlineStr">
        <is>
          <t>Ingrid Nakashima</t>
        </is>
      </c>
      <c r="D229" s="3" t="inlineStr">
        <is>
          <t>IN</t>
        </is>
      </c>
      <c r="E229" s="14" t="n">
        <v>490000</v>
      </c>
      <c r="F229" s="14" t="n">
        <v>7498.49</v>
      </c>
      <c r="G229" s="14" t="n">
        <v>937.3099999999999</v>
      </c>
      <c r="H229" s="14" t="n">
        <v>937.3099999999999</v>
      </c>
      <c r="I229" s="14">
        <f>SUM(K229:T229)</f>
        <v/>
      </c>
      <c r="J229" s="14">
        <f>F229-(G229+H229+I229)</f>
        <v/>
      </c>
      <c r="K229" s="14" t="n">
        <v>562.39</v>
      </c>
      <c r="L229" s="14" t="n">
        <v>562.39</v>
      </c>
      <c r="M229" s="14" t="n">
        <v>562.39</v>
      </c>
      <c r="N229" s="14" t="n">
        <v>562.39</v>
      </c>
      <c r="O229" s="14" t="n">
        <v>562.39</v>
      </c>
      <c r="P229" s="14" t="n">
        <v>562.39</v>
      </c>
      <c r="Q229" s="14" t="n">
        <v>562.39</v>
      </c>
      <c r="R229" s="14" t="n">
        <v>562.39</v>
      </c>
      <c r="S229" s="14" t="n">
        <v>562.39</v>
      </c>
      <c r="T229" s="14" t="n">
        <v>562.39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CANON-202602-004057</t>
        </is>
      </c>
      <c r="B230" s="15" t="inlineStr">
        <is>
          <t>2026-02-10</t>
        </is>
      </c>
      <c r="C230" s="15" t="inlineStr">
        <is>
          <t>Aurelio Merriweather</t>
        </is>
      </c>
      <c r="D230" s="15" t="inlineStr">
        <is>
          <t>TX</t>
        </is>
      </c>
      <c r="E230" s="16" t="n">
        <v>595000</v>
      </c>
      <c r="F230" s="16" t="n">
        <v>7378.03</v>
      </c>
      <c r="G230" s="16" t="n">
        <v>922.25</v>
      </c>
      <c r="H230" s="16" t="n">
        <v>922.25</v>
      </c>
      <c r="I230" s="16">
        <f>SUM(K230:T230)</f>
        <v/>
      </c>
      <c r="J230" s="16">
        <f>F230-(G230+H230+I230)</f>
        <v/>
      </c>
      <c r="K230" s="16" t="n">
        <v>553.35</v>
      </c>
      <c r="L230" s="16" t="n">
        <v>553.35</v>
      </c>
      <c r="M230" s="16" t="n">
        <v>553.35</v>
      </c>
      <c r="N230" s="16" t="n">
        <v>553.35</v>
      </c>
      <c r="O230" s="16" t="n">
        <v>553.35</v>
      </c>
      <c r="P230" s="16" t="n">
        <v>553.35</v>
      </c>
      <c r="Q230" s="16" t="n">
        <v>553.35</v>
      </c>
      <c r="R230" s="16" t="n">
        <v>553.35</v>
      </c>
      <c r="S230" s="16" t="n">
        <v>553.35</v>
      </c>
      <c r="T230" s="16" t="n">
        <v>553.35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CANON-202602-004060</t>
        </is>
      </c>
      <c r="B231" s="3" t="inlineStr">
        <is>
          <t>2026-02-02</t>
        </is>
      </c>
      <c r="C231" s="3" t="inlineStr">
        <is>
          <t>Beatrix Chattopadhyay</t>
        </is>
      </c>
      <c r="D231" s="3" t="inlineStr">
        <is>
          <t>MA</t>
        </is>
      </c>
      <c r="E231" s="14" t="n">
        <v>1440000</v>
      </c>
      <c r="F231" s="14" t="n">
        <v>10152.27</v>
      </c>
      <c r="G231" s="14" t="n">
        <v>1269.03</v>
      </c>
      <c r="H231" s="14" t="n">
        <v>1269.03</v>
      </c>
      <c r="I231" s="14">
        <f>SUM(K231:T231)</f>
        <v/>
      </c>
      <c r="J231" s="14">
        <f>F231-(G231+H231+I231)</f>
        <v/>
      </c>
      <c r="K231" s="14" t="n">
        <v>761.42</v>
      </c>
      <c r="L231" s="14" t="n">
        <v>761.42</v>
      </c>
      <c r="M231" s="14" t="n">
        <v>761.42</v>
      </c>
      <c r="N231" s="14" t="n">
        <v>761.42</v>
      </c>
      <c r="O231" s="14" t="n">
        <v>761.42</v>
      </c>
      <c r="P231" s="14" t="n">
        <v>761.42</v>
      </c>
      <c r="Q231" s="14" t="n">
        <v>761.42</v>
      </c>
      <c r="R231" s="14" t="n">
        <v>761.42</v>
      </c>
      <c r="S231" s="14" t="n">
        <v>761.42</v>
      </c>
      <c r="T231" s="14" t="n">
        <v>761.42</v>
      </c>
      <c r="U231" s="14" t="n">
        <v>350</v>
      </c>
      <c r="V231" s="14" t="n">
        <v>250</v>
      </c>
      <c r="W231" s="14">
        <f>U231+V231</f>
        <v/>
      </c>
    </row>
    <row r="232">
      <c r="A232" s="15" t="inlineStr">
        <is>
          <t>CANON-202602-004061</t>
        </is>
      </c>
      <c r="B232" s="15" t="inlineStr">
        <is>
          <t>2026-02-10</t>
        </is>
      </c>
      <c r="C232" s="15" t="inlineStr">
        <is>
          <t>Sunniva Pennington</t>
        </is>
      </c>
      <c r="D232" s="15" t="inlineStr">
        <is>
          <t>NM</t>
        </is>
      </c>
      <c r="E232" s="16" t="n">
        <v>1555000</v>
      </c>
      <c r="F232" s="16" t="n">
        <v>26414.48</v>
      </c>
      <c r="G232" s="16" t="n">
        <v>3301.81</v>
      </c>
      <c r="H232" s="16" t="n">
        <v>3301.81</v>
      </c>
      <c r="I232" s="16">
        <f>SUM(K232:T232)</f>
        <v/>
      </c>
      <c r="J232" s="16">
        <f>F232-(G232+H232+I232)</f>
        <v/>
      </c>
      <c r="K232" s="16" t="n">
        <v>1981.09</v>
      </c>
      <c r="L232" s="16" t="n">
        <v>1981.09</v>
      </c>
      <c r="M232" s="16" t="n">
        <v>1981.09</v>
      </c>
      <c r="N232" s="16" t="n">
        <v>1981.09</v>
      </c>
      <c r="O232" s="16" t="n">
        <v>1981.09</v>
      </c>
      <c r="P232" s="16" t="n">
        <v>1981.09</v>
      </c>
      <c r="Q232" s="16" t="n">
        <v>1981.09</v>
      </c>
      <c r="R232" s="16" t="n">
        <v>1981.09</v>
      </c>
      <c r="S232" s="16" t="n">
        <v>1981.09</v>
      </c>
      <c r="T232" s="16" t="n">
        <v>1981.09</v>
      </c>
      <c r="U232" s="16" t="n">
        <v>350</v>
      </c>
      <c r="V232" s="16" t="n">
        <v>250</v>
      </c>
      <c r="W232" s="16">
        <f>U232+V232</f>
        <v/>
      </c>
    </row>
    <row r="233">
      <c r="A233" s="3" t="inlineStr">
        <is>
          <t>CANON-202602-004062</t>
        </is>
      </c>
      <c r="B233" s="3" t="inlineStr">
        <is>
          <t>2026-02-17</t>
        </is>
      </c>
      <c r="C233" s="3" t="inlineStr">
        <is>
          <t>Fitzgerald Farkas</t>
        </is>
      </c>
      <c r="D233" s="3" t="inlineStr">
        <is>
          <t>CO</t>
        </is>
      </c>
      <c r="E233" s="14" t="n">
        <v>200000</v>
      </c>
      <c r="F233" s="14" t="n">
        <v>3357.55</v>
      </c>
      <c r="G233" s="14" t="n">
        <v>419.69</v>
      </c>
      <c r="H233" s="14" t="n">
        <v>419.69</v>
      </c>
      <c r="I233" s="14">
        <f>SUM(K233:T233)</f>
        <v/>
      </c>
      <c r="J233" s="14">
        <f>F233-(G233+H233+I233)</f>
        <v/>
      </c>
      <c r="K233" s="14" t="n">
        <v>251.82</v>
      </c>
      <c r="L233" s="14" t="n">
        <v>251.82</v>
      </c>
      <c r="M233" s="14" t="n">
        <v>251.82</v>
      </c>
      <c r="N233" s="14" t="n">
        <v>251.82</v>
      </c>
      <c r="O233" s="14" t="n">
        <v>251.82</v>
      </c>
      <c r="P233" s="14" t="n">
        <v>251.82</v>
      </c>
      <c r="Q233" s="14" t="n">
        <v>251.82</v>
      </c>
      <c r="R233" s="14" t="n">
        <v>251.82</v>
      </c>
      <c r="S233" s="14" t="n">
        <v>251.82</v>
      </c>
      <c r="T233" s="14" t="n">
        <v>251.82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CANON-202602-004063</t>
        </is>
      </c>
      <c r="B234" s="15" t="inlineStr">
        <is>
          <t>2026-02-15</t>
        </is>
      </c>
      <c r="C234" s="15" t="inlineStr">
        <is>
          <t>Fenwick Delacroix</t>
        </is>
      </c>
      <c r="D234" s="15" t="inlineStr">
        <is>
          <t>ME</t>
        </is>
      </c>
      <c r="E234" s="16" t="n">
        <v>555000</v>
      </c>
      <c r="F234" s="16" t="n">
        <v>4275.6</v>
      </c>
      <c r="G234" s="16" t="n">
        <v>534.45</v>
      </c>
      <c r="H234" s="16" t="n">
        <v>534.45</v>
      </c>
      <c r="I234" s="16">
        <f>SUM(K234:T234)</f>
        <v/>
      </c>
      <c r="J234" s="16">
        <f>F234-(G234+H234+I234)</f>
        <v/>
      </c>
      <c r="K234" s="16" t="n">
        <v>320.67</v>
      </c>
      <c r="L234" s="16" t="n">
        <v>320.67</v>
      </c>
      <c r="M234" s="16" t="n">
        <v>320.67</v>
      </c>
      <c r="N234" s="16" t="n">
        <v>320.67</v>
      </c>
      <c r="O234" s="16" t="n">
        <v>320.67</v>
      </c>
      <c r="P234" s="16" t="n">
        <v>320.67</v>
      </c>
      <c r="Q234" s="16" t="n">
        <v>320.67</v>
      </c>
      <c r="R234" s="16" t="n">
        <v>320.67</v>
      </c>
      <c r="S234" s="16" t="n">
        <v>320.67</v>
      </c>
      <c r="T234" s="16" t="n">
        <v>320.67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CANON-202602-004064</t>
        </is>
      </c>
      <c r="B235" s="3" t="inlineStr">
        <is>
          <t>2026-02-16</t>
        </is>
      </c>
      <c r="C235" s="3" t="inlineStr">
        <is>
          <t>Ramona Castellanos</t>
        </is>
      </c>
      <c r="D235" s="3" t="inlineStr">
        <is>
          <t>AL</t>
        </is>
      </c>
      <c r="E235" s="14" t="n">
        <v>460000</v>
      </c>
      <c r="F235" s="14" t="n">
        <v>7268.33</v>
      </c>
      <c r="G235" s="14" t="n">
        <v>908.54</v>
      </c>
      <c r="H235" s="14" t="n">
        <v>908.54</v>
      </c>
      <c r="I235" s="14">
        <f>SUM(K235:T235)</f>
        <v/>
      </c>
      <c r="J235" s="14">
        <f>F235-(G235+H235+I235)</f>
        <v/>
      </c>
      <c r="K235" s="14" t="n">
        <v>545.12</v>
      </c>
      <c r="L235" s="14" t="n">
        <v>545.12</v>
      </c>
      <c r="M235" s="14" t="n">
        <v>545.12</v>
      </c>
      <c r="N235" s="14" t="n">
        <v>545.12</v>
      </c>
      <c r="O235" s="14" t="n">
        <v>545.12</v>
      </c>
      <c r="P235" s="14" t="n">
        <v>545.12</v>
      </c>
      <c r="Q235" s="14" t="n">
        <v>545.12</v>
      </c>
      <c r="R235" s="14" t="n">
        <v>545.12</v>
      </c>
      <c r="S235" s="14" t="n">
        <v>545.12</v>
      </c>
      <c r="T235" s="14" t="n">
        <v>545.12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CANON-202602-004065</t>
        </is>
      </c>
      <c r="B236" s="15" t="inlineStr">
        <is>
          <t>2026-02-14</t>
        </is>
      </c>
      <c r="C236" s="15" t="inlineStr">
        <is>
          <t>Thaddeus Merriweather</t>
        </is>
      </c>
      <c r="D236" s="15" t="inlineStr">
        <is>
          <t>KY</t>
        </is>
      </c>
      <c r="E236" s="16" t="n">
        <v>1545000</v>
      </c>
      <c r="F236" s="16" t="n">
        <v>27474.83</v>
      </c>
      <c r="G236" s="16" t="n">
        <v>3434.35</v>
      </c>
      <c r="H236" s="16" t="n">
        <v>3434.35</v>
      </c>
      <c r="I236" s="16">
        <f>SUM(K236:T236)</f>
        <v/>
      </c>
      <c r="J236" s="16">
        <f>F236-(G236+H236+I236)</f>
        <v/>
      </c>
      <c r="K236" s="16" t="n">
        <v>2060.61</v>
      </c>
      <c r="L236" s="16" t="n">
        <v>2060.61</v>
      </c>
      <c r="M236" s="16" t="n">
        <v>2060.61</v>
      </c>
      <c r="N236" s="16" t="n">
        <v>2060.61</v>
      </c>
      <c r="O236" s="16" t="n">
        <v>2060.61</v>
      </c>
      <c r="P236" s="16" t="n">
        <v>2060.61</v>
      </c>
      <c r="Q236" s="16" t="n">
        <v>2060.61</v>
      </c>
      <c r="R236" s="16" t="n">
        <v>2060.61</v>
      </c>
      <c r="S236" s="16" t="n">
        <v>2060.61</v>
      </c>
      <c r="T236" s="16" t="n">
        <v>2060.61</v>
      </c>
      <c r="U236" s="16" t="n">
        <v>350</v>
      </c>
      <c r="V236" s="16" t="n">
        <v>250</v>
      </c>
      <c r="W236" s="16">
        <f>U236+V236</f>
        <v/>
      </c>
    </row>
    <row r="237">
      <c r="A237" s="3" t="inlineStr">
        <is>
          <t>CANON-202602-004068</t>
        </is>
      </c>
      <c r="B237" s="3" t="inlineStr">
        <is>
          <t>2026-02-04</t>
        </is>
      </c>
      <c r="C237" s="3" t="inlineStr">
        <is>
          <t>Leopold Whitlock</t>
        </is>
      </c>
      <c r="D237" s="3" t="inlineStr">
        <is>
          <t>SD</t>
        </is>
      </c>
      <c r="E237" s="14" t="n">
        <v>845000</v>
      </c>
      <c r="F237" s="14" t="n">
        <v>14781.38</v>
      </c>
      <c r="G237" s="14" t="n">
        <v>1847.67</v>
      </c>
      <c r="H237" s="14" t="n">
        <v>1847.67</v>
      </c>
      <c r="I237" s="14">
        <f>SUM(K237:T237)</f>
        <v/>
      </c>
      <c r="J237" s="14">
        <f>F237-(G237+H237+I237)</f>
        <v/>
      </c>
      <c r="K237" s="14" t="n">
        <v>1108.6</v>
      </c>
      <c r="L237" s="14" t="n">
        <v>1108.6</v>
      </c>
      <c r="M237" s="14" t="n">
        <v>1108.6</v>
      </c>
      <c r="N237" s="14" t="n">
        <v>1108.6</v>
      </c>
      <c r="O237" s="14" t="n">
        <v>1108.6</v>
      </c>
      <c r="P237" s="14" t="n">
        <v>1108.6</v>
      </c>
      <c r="Q237" s="14" t="n">
        <v>1108.6</v>
      </c>
      <c r="R237" s="14" t="n">
        <v>1108.6</v>
      </c>
      <c r="S237" s="14" t="n">
        <v>1108.6</v>
      </c>
      <c r="T237" s="14" t="n">
        <v>1108.6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CANON-202602-004069</t>
        </is>
      </c>
      <c r="B238" s="15" t="inlineStr">
        <is>
          <t>2026-02-03</t>
        </is>
      </c>
      <c r="C238" s="15" t="inlineStr">
        <is>
          <t>Emiliano Rourke</t>
        </is>
      </c>
      <c r="D238" s="15" t="inlineStr">
        <is>
          <t>DE</t>
        </is>
      </c>
      <c r="E238" s="16" t="n">
        <v>450000</v>
      </c>
      <c r="F238" s="16" t="n">
        <v>10730.8</v>
      </c>
      <c r="G238" s="16" t="n">
        <v>1341.35</v>
      </c>
      <c r="H238" s="16" t="n">
        <v>1341.35</v>
      </c>
      <c r="I238" s="16">
        <f>SUM(K238:T238)</f>
        <v/>
      </c>
      <c r="J238" s="16">
        <f>F238-(G238+H238+I238)</f>
        <v/>
      </c>
      <c r="K238" s="16" t="n">
        <v>804.8099999999999</v>
      </c>
      <c r="L238" s="16" t="n">
        <v>804.8099999999999</v>
      </c>
      <c r="M238" s="16" t="n">
        <v>804.8099999999999</v>
      </c>
      <c r="N238" s="16" t="n">
        <v>804.8099999999999</v>
      </c>
      <c r="O238" s="16" t="n">
        <v>804.8099999999999</v>
      </c>
      <c r="P238" s="16" t="n">
        <v>804.8099999999999</v>
      </c>
      <c r="Q238" s="16" t="n">
        <v>804.8099999999999</v>
      </c>
      <c r="R238" s="16" t="n">
        <v>804.8099999999999</v>
      </c>
      <c r="S238" s="16" t="n">
        <v>804.8099999999999</v>
      </c>
      <c r="T238" s="16" t="n">
        <v>804.8099999999999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CANON-202602-004075</t>
        </is>
      </c>
      <c r="B239" s="3" t="inlineStr">
        <is>
          <t>2026-02-18</t>
        </is>
      </c>
      <c r="C239" s="3" t="inlineStr">
        <is>
          <t>Emiliano Underwood</t>
        </is>
      </c>
      <c r="D239" s="3" t="inlineStr">
        <is>
          <t>MI</t>
        </is>
      </c>
      <c r="E239" s="14" t="n">
        <v>1355000</v>
      </c>
      <c r="F239" s="14" t="n">
        <v>27872.3</v>
      </c>
      <c r="G239" s="14" t="n">
        <v>3484.04</v>
      </c>
      <c r="H239" s="14" t="n">
        <v>3484.04</v>
      </c>
      <c r="I239" s="14">
        <f>SUM(K239:T239)</f>
        <v/>
      </c>
      <c r="J239" s="14">
        <f>F239-(G239+H239+I239)</f>
        <v/>
      </c>
      <c r="K239" s="14" t="n">
        <v>2090.42</v>
      </c>
      <c r="L239" s="14" t="n">
        <v>2090.42</v>
      </c>
      <c r="M239" s="14" t="n">
        <v>2090.42</v>
      </c>
      <c r="N239" s="14" t="n">
        <v>2090.42</v>
      </c>
      <c r="O239" s="14" t="n">
        <v>2090.42</v>
      </c>
      <c r="P239" s="14" t="n">
        <v>2090.42</v>
      </c>
      <c r="Q239" s="14" t="n">
        <v>2090.42</v>
      </c>
      <c r="R239" s="14" t="n">
        <v>2090.42</v>
      </c>
      <c r="S239" s="14" t="n">
        <v>2090.42</v>
      </c>
      <c r="T239" s="14" t="n">
        <v>2090.42</v>
      </c>
      <c r="U239" s="14" t="n">
        <v>350</v>
      </c>
      <c r="V239" s="14" t="n">
        <v>250</v>
      </c>
      <c r="W239" s="14">
        <f>U239+V239</f>
        <v/>
      </c>
    </row>
    <row r="240">
      <c r="A240" s="15" t="inlineStr">
        <is>
          <t>CANON-202602-004076</t>
        </is>
      </c>
      <c r="B240" s="15" t="inlineStr">
        <is>
          <t>2026-02-21</t>
        </is>
      </c>
      <c r="C240" s="15" t="inlineStr">
        <is>
          <t>Cassius Blackwood</t>
        </is>
      </c>
      <c r="D240" s="15" t="inlineStr">
        <is>
          <t>MA</t>
        </is>
      </c>
      <c r="E240" s="16" t="n">
        <v>1575000</v>
      </c>
      <c r="F240" s="16" t="n">
        <v>22208.09</v>
      </c>
      <c r="G240" s="16" t="n">
        <v>2776.01</v>
      </c>
      <c r="H240" s="16" t="n">
        <v>2776.01</v>
      </c>
      <c r="I240" s="16">
        <f>SUM(K240:T240)</f>
        <v/>
      </c>
      <c r="J240" s="16">
        <f>F240-(G240+H240+I240)</f>
        <v/>
      </c>
      <c r="K240" s="16" t="n">
        <v>1665.61</v>
      </c>
      <c r="L240" s="16" t="n">
        <v>1665.61</v>
      </c>
      <c r="M240" s="16" t="n">
        <v>1665.61</v>
      </c>
      <c r="N240" s="16" t="n">
        <v>1665.61</v>
      </c>
      <c r="O240" s="16" t="n">
        <v>1665.61</v>
      </c>
      <c r="P240" s="16" t="n">
        <v>1665.61</v>
      </c>
      <c r="Q240" s="16" t="n">
        <v>1665.61</v>
      </c>
      <c r="R240" s="16" t="n">
        <v>1665.61</v>
      </c>
      <c r="S240" s="16" t="n">
        <v>1665.61</v>
      </c>
      <c r="T240" s="16" t="n">
        <v>1665.61</v>
      </c>
      <c r="U240" s="16" t="n">
        <v>350</v>
      </c>
      <c r="V240" s="16" t="n">
        <v>250</v>
      </c>
      <c r="W240" s="16">
        <f>U240+V240</f>
        <v/>
      </c>
    </row>
    <row r="241">
      <c r="A241" s="3" t="inlineStr">
        <is>
          <t>CANON-202602-004077</t>
        </is>
      </c>
      <c r="B241" s="3" t="inlineStr">
        <is>
          <t>2026-02-23</t>
        </is>
      </c>
      <c r="C241" s="3" t="inlineStr">
        <is>
          <t>Wilhelmina Chattopadhyay</t>
        </is>
      </c>
      <c r="D241" s="3" t="inlineStr">
        <is>
          <t>KS</t>
        </is>
      </c>
      <c r="E241" s="14" t="n">
        <v>920000</v>
      </c>
      <c r="F241" s="14" t="n">
        <v>14063.55</v>
      </c>
      <c r="G241" s="14" t="n">
        <v>1757.94</v>
      </c>
      <c r="H241" s="14" t="n">
        <v>1757.94</v>
      </c>
      <c r="I241" s="14">
        <f>SUM(K241:T241)</f>
        <v/>
      </c>
      <c r="J241" s="14">
        <f>F241-(G241+H241+I241)</f>
        <v/>
      </c>
      <c r="K241" s="14" t="n">
        <v>1054.77</v>
      </c>
      <c r="L241" s="14" t="n">
        <v>1054.77</v>
      </c>
      <c r="M241" s="14" t="n">
        <v>1054.77</v>
      </c>
      <c r="N241" s="14" t="n">
        <v>1054.77</v>
      </c>
      <c r="O241" s="14" t="n">
        <v>1054.77</v>
      </c>
      <c r="P241" s="14" t="n">
        <v>1054.77</v>
      </c>
      <c r="Q241" s="14" t="n">
        <v>1054.77</v>
      </c>
      <c r="R241" s="14" t="n">
        <v>1054.77</v>
      </c>
      <c r="S241" s="14" t="n">
        <v>1054.77</v>
      </c>
      <c r="T241" s="14" t="n">
        <v>1054.77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CANON-202602-004079</t>
        </is>
      </c>
      <c r="B242" s="15" t="inlineStr">
        <is>
          <t>2026-02-16</t>
        </is>
      </c>
      <c r="C242" s="15" t="inlineStr">
        <is>
          <t>Everett Delacroix</t>
        </is>
      </c>
      <c r="D242" s="15" t="inlineStr">
        <is>
          <t>CO</t>
        </is>
      </c>
      <c r="E242" s="16" t="n">
        <v>540000</v>
      </c>
      <c r="F242" s="16" t="n">
        <v>6404.89</v>
      </c>
      <c r="G242" s="16" t="n">
        <v>800.61</v>
      </c>
      <c r="H242" s="16" t="n">
        <v>800.61</v>
      </c>
      <c r="I242" s="16">
        <f>SUM(K242:T242)</f>
        <v/>
      </c>
      <c r="J242" s="16">
        <f>F242-(G242+H242+I242)</f>
        <v/>
      </c>
      <c r="K242" s="16" t="n">
        <v>480.37</v>
      </c>
      <c r="L242" s="16" t="n">
        <v>480.37</v>
      </c>
      <c r="M242" s="16" t="n">
        <v>480.37</v>
      </c>
      <c r="N242" s="16" t="n">
        <v>480.37</v>
      </c>
      <c r="O242" s="16" t="n">
        <v>480.37</v>
      </c>
      <c r="P242" s="16" t="n">
        <v>480.37</v>
      </c>
      <c r="Q242" s="16" t="n">
        <v>480.37</v>
      </c>
      <c r="R242" s="16" t="n">
        <v>480.37</v>
      </c>
      <c r="S242" s="16" t="n">
        <v>480.37</v>
      </c>
      <c r="T242" s="16" t="n">
        <v>480.37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CANON-202602-004081</t>
        </is>
      </c>
      <c r="B243" s="3" t="inlineStr">
        <is>
          <t>2026-02-26</t>
        </is>
      </c>
      <c r="C243" s="3" t="inlineStr">
        <is>
          <t>Emiliano Okonkwo</t>
        </is>
      </c>
      <c r="D243" s="3" t="inlineStr">
        <is>
          <t>TX</t>
        </is>
      </c>
      <c r="E243" s="14" t="n">
        <v>380000</v>
      </c>
      <c r="F243" s="14" t="n">
        <v>5436.94</v>
      </c>
      <c r="G243" s="14" t="n">
        <v>679.62</v>
      </c>
      <c r="H243" s="14" t="n">
        <v>679.62</v>
      </c>
      <c r="I243" s="14">
        <f>SUM(K243:T243)</f>
        <v/>
      </c>
      <c r="J243" s="14">
        <f>F243-(G243+H243+I243)</f>
        <v/>
      </c>
      <c r="K243" s="14" t="n">
        <v>407.77</v>
      </c>
      <c r="L243" s="14" t="n">
        <v>407.77</v>
      </c>
      <c r="M243" s="14" t="n">
        <v>407.77</v>
      </c>
      <c r="N243" s="14" t="n">
        <v>407.77</v>
      </c>
      <c r="O243" s="14" t="n">
        <v>407.77</v>
      </c>
      <c r="P243" s="14" t="n">
        <v>407.77</v>
      </c>
      <c r="Q243" s="14" t="n">
        <v>407.77</v>
      </c>
      <c r="R243" s="14" t="n">
        <v>407.77</v>
      </c>
      <c r="S243" s="14" t="n">
        <v>407.77</v>
      </c>
      <c r="T243" s="14" t="n">
        <v>407.77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CANON-202602-004082</t>
        </is>
      </c>
      <c r="B244" s="15" t="inlineStr">
        <is>
          <t>2026-02-04</t>
        </is>
      </c>
      <c r="C244" s="15" t="inlineStr">
        <is>
          <t>Desmond Pennington</t>
        </is>
      </c>
      <c r="D244" s="15" t="inlineStr">
        <is>
          <t>IA</t>
        </is>
      </c>
      <c r="E244" s="16" t="n">
        <v>800000</v>
      </c>
      <c r="F244" s="16" t="n">
        <v>6277.15</v>
      </c>
      <c r="G244" s="16" t="n">
        <v>784.64</v>
      </c>
      <c r="H244" s="16" t="n">
        <v>784.64</v>
      </c>
      <c r="I244" s="16">
        <f>SUM(K244:T244)</f>
        <v/>
      </c>
      <c r="J244" s="16">
        <f>F244-(G244+H244+I244)</f>
        <v/>
      </c>
      <c r="K244" s="16" t="n">
        <v>470.79</v>
      </c>
      <c r="L244" s="16" t="n">
        <v>470.79</v>
      </c>
      <c r="M244" s="16" t="n">
        <v>470.79</v>
      </c>
      <c r="N244" s="16" t="n">
        <v>470.79</v>
      </c>
      <c r="O244" s="16" t="n">
        <v>470.79</v>
      </c>
      <c r="P244" s="16" t="n">
        <v>470.79</v>
      </c>
      <c r="Q244" s="16" t="n">
        <v>470.79</v>
      </c>
      <c r="R244" s="16" t="n">
        <v>470.79</v>
      </c>
      <c r="S244" s="16" t="n">
        <v>470.79</v>
      </c>
      <c r="T244" s="16" t="n">
        <v>470.79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CANON-202602-004083</t>
        </is>
      </c>
      <c r="B245" s="3" t="inlineStr">
        <is>
          <t>2026-02-14</t>
        </is>
      </c>
      <c r="C245" s="3" t="inlineStr">
        <is>
          <t>Ottilie Merriweather</t>
        </is>
      </c>
      <c r="D245" s="3" t="inlineStr">
        <is>
          <t>CT</t>
        </is>
      </c>
      <c r="E245" s="14" t="n">
        <v>1345000</v>
      </c>
      <c r="F245" s="14" t="n">
        <v>19991.35</v>
      </c>
      <c r="G245" s="14" t="n">
        <v>2498.92</v>
      </c>
      <c r="H245" s="14" t="n">
        <v>2498.92</v>
      </c>
      <c r="I245" s="14">
        <f>SUM(K245:T245)</f>
        <v/>
      </c>
      <c r="J245" s="14">
        <f>F245-(G245+H245+I245)</f>
        <v/>
      </c>
      <c r="K245" s="14" t="n">
        <v>1499.35</v>
      </c>
      <c r="L245" s="14" t="n">
        <v>1499.35</v>
      </c>
      <c r="M245" s="14" t="n">
        <v>1499.35</v>
      </c>
      <c r="N245" s="14" t="n">
        <v>1499.35</v>
      </c>
      <c r="O245" s="14" t="n">
        <v>1499.35</v>
      </c>
      <c r="P245" s="14" t="n">
        <v>1499.35</v>
      </c>
      <c r="Q245" s="14" t="n">
        <v>1499.35</v>
      </c>
      <c r="R245" s="14" t="n">
        <v>1499.35</v>
      </c>
      <c r="S245" s="14" t="n">
        <v>1499.35</v>
      </c>
      <c r="T245" s="14" t="n">
        <v>1499.35</v>
      </c>
      <c r="U245" s="14" t="n">
        <v>350</v>
      </c>
      <c r="V245" s="14" t="n">
        <v>250</v>
      </c>
      <c r="W245" s="14">
        <f>U245+V245</f>
        <v/>
      </c>
    </row>
    <row r="246">
      <c r="A246" s="15" t="inlineStr">
        <is>
          <t>CANON-202602-004085</t>
        </is>
      </c>
      <c r="B246" s="15" t="inlineStr">
        <is>
          <t>2026-02-23</t>
        </is>
      </c>
      <c r="C246" s="15" t="inlineStr">
        <is>
          <t>Cassius Vasquez</t>
        </is>
      </c>
      <c r="D246" s="15" t="inlineStr">
        <is>
          <t>NV</t>
        </is>
      </c>
      <c r="E246" s="16" t="n">
        <v>635000</v>
      </c>
      <c r="F246" s="16" t="n">
        <v>11708.33</v>
      </c>
      <c r="G246" s="16" t="n">
        <v>1463.54</v>
      </c>
      <c r="H246" s="16" t="n">
        <v>1463.54</v>
      </c>
      <c r="I246" s="16">
        <f>SUM(K246:T246)</f>
        <v/>
      </c>
      <c r="J246" s="16">
        <f>F246-(G246+H246+I246)</f>
        <v/>
      </c>
      <c r="K246" s="16" t="n">
        <v>878.12</v>
      </c>
      <c r="L246" s="16" t="n">
        <v>878.12</v>
      </c>
      <c r="M246" s="16" t="n">
        <v>878.12</v>
      </c>
      <c r="N246" s="16" t="n">
        <v>878.12</v>
      </c>
      <c r="O246" s="16" t="n">
        <v>878.12</v>
      </c>
      <c r="P246" s="16" t="n">
        <v>878.12</v>
      </c>
      <c r="Q246" s="16" t="n">
        <v>878.12</v>
      </c>
      <c r="R246" s="16" t="n">
        <v>878.12</v>
      </c>
      <c r="S246" s="16" t="n">
        <v>878.12</v>
      </c>
      <c r="T246" s="16" t="n">
        <v>878.12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CANON-202602-004086</t>
        </is>
      </c>
      <c r="B247" s="3" t="inlineStr">
        <is>
          <t>2026-02-25</t>
        </is>
      </c>
      <c r="C247" s="3" t="inlineStr">
        <is>
          <t>Ramona Ashcombe</t>
        </is>
      </c>
      <c r="D247" s="3" t="inlineStr">
        <is>
          <t>CO</t>
        </is>
      </c>
      <c r="E247" s="14" t="n">
        <v>705000</v>
      </c>
      <c r="F247" s="14" t="n">
        <v>5531.74</v>
      </c>
      <c r="G247" s="14" t="n">
        <v>691.47</v>
      </c>
      <c r="H247" s="14" t="n">
        <v>691.47</v>
      </c>
      <c r="I247" s="14">
        <f>SUM(K247:T247)</f>
        <v/>
      </c>
      <c r="J247" s="14">
        <f>F247-(G247+H247+I247)</f>
        <v/>
      </c>
      <c r="K247" s="14" t="n">
        <v>414.88</v>
      </c>
      <c r="L247" s="14" t="n">
        <v>414.88</v>
      </c>
      <c r="M247" s="14" t="n">
        <v>414.88</v>
      </c>
      <c r="N247" s="14" t="n">
        <v>414.88</v>
      </c>
      <c r="O247" s="14" t="n">
        <v>414.88</v>
      </c>
      <c r="P247" s="14" t="n">
        <v>414.88</v>
      </c>
      <c r="Q247" s="14" t="n">
        <v>414.88</v>
      </c>
      <c r="R247" s="14" t="n">
        <v>414.88</v>
      </c>
      <c r="S247" s="14" t="n">
        <v>414.88</v>
      </c>
      <c r="T247" s="14" t="n">
        <v>414.88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CANON-202602-004087</t>
        </is>
      </c>
      <c r="B248" s="15" t="inlineStr">
        <is>
          <t>2026-02-03</t>
        </is>
      </c>
      <c r="C248" s="15" t="inlineStr">
        <is>
          <t>Thaddeus Ashcombe</t>
        </is>
      </c>
      <c r="D248" s="15" t="inlineStr">
        <is>
          <t>KY</t>
        </is>
      </c>
      <c r="E248" s="16" t="n">
        <v>870000</v>
      </c>
      <c r="F248" s="16" t="n">
        <v>12570.41</v>
      </c>
      <c r="G248" s="16" t="n">
        <v>1571.3</v>
      </c>
      <c r="H248" s="16" t="n">
        <v>1571.3</v>
      </c>
      <c r="I248" s="16">
        <f>SUM(K248:T248)</f>
        <v/>
      </c>
      <c r="J248" s="16">
        <f>F248-(G248+H248+I248)</f>
        <v/>
      </c>
      <c r="K248" s="16" t="n">
        <v>942.78</v>
      </c>
      <c r="L248" s="16" t="n">
        <v>942.78</v>
      </c>
      <c r="M248" s="16" t="n">
        <v>942.78</v>
      </c>
      <c r="N248" s="16" t="n">
        <v>942.78</v>
      </c>
      <c r="O248" s="16" t="n">
        <v>942.78</v>
      </c>
      <c r="P248" s="16" t="n">
        <v>942.78</v>
      </c>
      <c r="Q248" s="16" t="n">
        <v>942.78</v>
      </c>
      <c r="R248" s="16" t="n">
        <v>942.78</v>
      </c>
      <c r="S248" s="16" t="n">
        <v>942.78</v>
      </c>
      <c r="T248" s="16" t="n">
        <v>942.78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CANON-202602-004089</t>
        </is>
      </c>
      <c r="B249" s="3" t="inlineStr">
        <is>
          <t>2026-02-20</t>
        </is>
      </c>
      <c r="C249" s="3" t="inlineStr">
        <is>
          <t>Delphine Merriweather</t>
        </is>
      </c>
      <c r="D249" s="3" t="inlineStr">
        <is>
          <t>VT</t>
        </is>
      </c>
      <c r="E249" s="14" t="n">
        <v>435000</v>
      </c>
      <c r="F249" s="14" t="n">
        <v>6602.71</v>
      </c>
      <c r="G249" s="14" t="n">
        <v>825.34</v>
      </c>
      <c r="H249" s="14" t="n">
        <v>825.34</v>
      </c>
      <c r="I249" s="14">
        <f>SUM(K249:T249)</f>
        <v/>
      </c>
      <c r="J249" s="14">
        <f>F249-(G249+H249+I249)</f>
        <v/>
      </c>
      <c r="K249" s="14" t="n">
        <v>495.2</v>
      </c>
      <c r="L249" s="14" t="n">
        <v>495.2</v>
      </c>
      <c r="M249" s="14" t="n">
        <v>495.2</v>
      </c>
      <c r="N249" s="14" t="n">
        <v>495.2</v>
      </c>
      <c r="O249" s="14" t="n">
        <v>495.2</v>
      </c>
      <c r="P249" s="14" t="n">
        <v>495.2</v>
      </c>
      <c r="Q249" s="14" t="n">
        <v>495.2</v>
      </c>
      <c r="R249" s="14" t="n">
        <v>495.2</v>
      </c>
      <c r="S249" s="14" t="n">
        <v>495.2</v>
      </c>
      <c r="T249" s="14" t="n">
        <v>495.2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CANON-202602-004090</t>
        </is>
      </c>
      <c r="B250" s="15" t="inlineStr">
        <is>
          <t>2026-02-28</t>
        </is>
      </c>
      <c r="C250" s="15" t="inlineStr">
        <is>
          <t>Ramona Thistlewood</t>
        </is>
      </c>
      <c r="D250" s="15" t="inlineStr">
        <is>
          <t>NM</t>
        </is>
      </c>
      <c r="E250" s="16" t="n">
        <v>510000</v>
      </c>
      <c r="F250" s="16" t="n">
        <v>10287.63</v>
      </c>
      <c r="G250" s="16" t="n">
        <v>1285.95</v>
      </c>
      <c r="H250" s="16" t="n">
        <v>1285.95</v>
      </c>
      <c r="I250" s="16">
        <f>SUM(K250:T250)</f>
        <v/>
      </c>
      <c r="J250" s="16">
        <f>F250-(G250+H250+I250)</f>
        <v/>
      </c>
      <c r="K250" s="16" t="n">
        <v>771.5700000000001</v>
      </c>
      <c r="L250" s="16" t="n">
        <v>771.5700000000001</v>
      </c>
      <c r="M250" s="16" t="n">
        <v>771.5700000000001</v>
      </c>
      <c r="N250" s="16" t="n">
        <v>771.5700000000001</v>
      </c>
      <c r="O250" s="16" t="n">
        <v>771.5700000000001</v>
      </c>
      <c r="P250" s="16" t="n">
        <v>771.5700000000001</v>
      </c>
      <c r="Q250" s="16" t="n">
        <v>771.5700000000001</v>
      </c>
      <c r="R250" s="16" t="n">
        <v>771.5700000000001</v>
      </c>
      <c r="S250" s="16" t="n">
        <v>771.5700000000001</v>
      </c>
      <c r="T250" s="16" t="n">
        <v>771.5700000000001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CANON-202602-004091</t>
        </is>
      </c>
      <c r="B251" s="3" t="inlineStr">
        <is>
          <t>2026-02-15</t>
        </is>
      </c>
      <c r="C251" s="3" t="inlineStr">
        <is>
          <t>Desmond Farkas</t>
        </is>
      </c>
      <c r="D251" s="3" t="inlineStr">
        <is>
          <t>FL</t>
        </is>
      </c>
      <c r="E251" s="14" t="n">
        <v>1530000</v>
      </c>
      <c r="F251" s="14" t="n">
        <v>19822.31</v>
      </c>
      <c r="G251" s="14" t="n">
        <v>2477.79</v>
      </c>
      <c r="H251" s="14" t="n">
        <v>2477.79</v>
      </c>
      <c r="I251" s="14">
        <f>SUM(K251:T251)</f>
        <v/>
      </c>
      <c r="J251" s="14">
        <f>F251-(G251+H251+I251)</f>
        <v/>
      </c>
      <c r="K251" s="14" t="n">
        <v>1486.67</v>
      </c>
      <c r="L251" s="14" t="n">
        <v>1486.67</v>
      </c>
      <c r="M251" s="14" t="n">
        <v>1486.67</v>
      </c>
      <c r="N251" s="14" t="n">
        <v>1486.67</v>
      </c>
      <c r="O251" s="14" t="n">
        <v>1486.67</v>
      </c>
      <c r="P251" s="14" t="n">
        <v>1486.67</v>
      </c>
      <c r="Q251" s="14" t="n">
        <v>1486.67</v>
      </c>
      <c r="R251" s="14" t="n">
        <v>1486.67</v>
      </c>
      <c r="S251" s="14" t="n">
        <v>1486.67</v>
      </c>
      <c r="T251" s="14" t="n">
        <v>1486.67</v>
      </c>
      <c r="U251" s="14" t="n">
        <v>350</v>
      </c>
      <c r="V251" s="14" t="n">
        <v>250</v>
      </c>
      <c r="W251" s="14">
        <f>U251+V251</f>
        <v/>
      </c>
    </row>
    <row r="252">
      <c r="A252" s="15" t="inlineStr">
        <is>
          <t>CANON-202602-004092</t>
        </is>
      </c>
      <c r="B252" s="15" t="inlineStr">
        <is>
          <t>2026-02-05</t>
        </is>
      </c>
      <c r="C252" s="15" t="inlineStr">
        <is>
          <t>Saoirse Vasquez</t>
        </is>
      </c>
      <c r="D252" s="15" t="inlineStr">
        <is>
          <t>KY</t>
        </is>
      </c>
      <c r="E252" s="16" t="n">
        <v>220000</v>
      </c>
      <c r="F252" s="16" t="n">
        <v>4499.11</v>
      </c>
      <c r="G252" s="16" t="n">
        <v>562.39</v>
      </c>
      <c r="H252" s="16" t="n">
        <v>562.39</v>
      </c>
      <c r="I252" s="16">
        <f>SUM(K252:T252)</f>
        <v/>
      </c>
      <c r="J252" s="16">
        <f>F252-(G252+H252+I252)</f>
        <v/>
      </c>
      <c r="K252" s="16" t="n">
        <v>337.43</v>
      </c>
      <c r="L252" s="16" t="n">
        <v>337.43</v>
      </c>
      <c r="M252" s="16" t="n">
        <v>337.43</v>
      </c>
      <c r="N252" s="16" t="n">
        <v>337.43</v>
      </c>
      <c r="O252" s="16" t="n">
        <v>337.43</v>
      </c>
      <c r="P252" s="16" t="n">
        <v>337.43</v>
      </c>
      <c r="Q252" s="16" t="n">
        <v>337.43</v>
      </c>
      <c r="R252" s="16" t="n">
        <v>337.43</v>
      </c>
      <c r="S252" s="16" t="n">
        <v>337.43</v>
      </c>
      <c r="T252" s="16" t="n">
        <v>337.43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CANON-202602-004094</t>
        </is>
      </c>
      <c r="B253" s="3" t="inlineStr">
        <is>
          <t>2026-02-17</t>
        </is>
      </c>
      <c r="C253" s="3" t="inlineStr">
        <is>
          <t>Emiliano Vandermeer</t>
        </is>
      </c>
      <c r="D253" s="3" t="inlineStr">
        <is>
          <t>KS</t>
        </is>
      </c>
      <c r="E253" s="14" t="n">
        <v>825000</v>
      </c>
      <c r="F253" s="14" t="n">
        <v>12611.33</v>
      </c>
      <c r="G253" s="14" t="n">
        <v>1576.42</v>
      </c>
      <c r="H253" s="14" t="n">
        <v>1576.42</v>
      </c>
      <c r="I253" s="14">
        <f>SUM(K253:T253)</f>
        <v/>
      </c>
      <c r="J253" s="14">
        <f>F253-(G253+H253+I253)</f>
        <v/>
      </c>
      <c r="K253" s="14" t="n">
        <v>945.85</v>
      </c>
      <c r="L253" s="14" t="n">
        <v>945.85</v>
      </c>
      <c r="M253" s="14" t="n">
        <v>945.85</v>
      </c>
      <c r="N253" s="14" t="n">
        <v>945.85</v>
      </c>
      <c r="O253" s="14" t="n">
        <v>945.85</v>
      </c>
      <c r="P253" s="14" t="n">
        <v>945.85</v>
      </c>
      <c r="Q253" s="14" t="n">
        <v>945.85</v>
      </c>
      <c r="R253" s="14" t="n">
        <v>945.85</v>
      </c>
      <c r="S253" s="14" t="n">
        <v>945.85</v>
      </c>
      <c r="T253" s="14" t="n">
        <v>945.85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CANON-202602-004095</t>
        </is>
      </c>
      <c r="B254" s="15" t="inlineStr">
        <is>
          <t>2026-02-16</t>
        </is>
      </c>
      <c r="C254" s="15" t="inlineStr">
        <is>
          <t>Wilhelmina Underwood</t>
        </is>
      </c>
      <c r="D254" s="15" t="inlineStr">
        <is>
          <t>GA</t>
        </is>
      </c>
      <c r="E254" s="16" t="n">
        <v>430000</v>
      </c>
      <c r="F254" s="16" t="n">
        <v>7030.42</v>
      </c>
      <c r="G254" s="16" t="n">
        <v>878.8</v>
      </c>
      <c r="H254" s="16" t="n">
        <v>878.8</v>
      </c>
      <c r="I254" s="16">
        <f>SUM(K254:T254)</f>
        <v/>
      </c>
      <c r="J254" s="16">
        <f>F254-(G254+H254+I254)</f>
        <v/>
      </c>
      <c r="K254" s="16" t="n">
        <v>527.28</v>
      </c>
      <c r="L254" s="16" t="n">
        <v>527.28</v>
      </c>
      <c r="M254" s="16" t="n">
        <v>527.28</v>
      </c>
      <c r="N254" s="16" t="n">
        <v>527.28</v>
      </c>
      <c r="O254" s="16" t="n">
        <v>527.28</v>
      </c>
      <c r="P254" s="16" t="n">
        <v>527.28</v>
      </c>
      <c r="Q254" s="16" t="n">
        <v>527.28</v>
      </c>
      <c r="R254" s="16" t="n">
        <v>527.28</v>
      </c>
      <c r="S254" s="16" t="n">
        <v>527.28</v>
      </c>
      <c r="T254" s="16" t="n">
        <v>527.28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CANON-202602-004096</t>
        </is>
      </c>
      <c r="B255" s="3" t="inlineStr">
        <is>
          <t>2026-02-17</t>
        </is>
      </c>
      <c r="C255" s="3" t="inlineStr">
        <is>
          <t>Saoirse Ashcombe</t>
        </is>
      </c>
      <c r="D255" s="3" t="inlineStr">
        <is>
          <t>WA</t>
        </is>
      </c>
      <c r="E255" s="14" t="n">
        <v>1245000</v>
      </c>
      <c r="F255" s="14" t="n">
        <v>15861.43</v>
      </c>
      <c r="G255" s="14" t="n">
        <v>1982.68</v>
      </c>
      <c r="H255" s="14" t="n">
        <v>1982.68</v>
      </c>
      <c r="I255" s="14">
        <f>SUM(K255:T255)</f>
        <v/>
      </c>
      <c r="J255" s="14">
        <f>F255-(G255+H255+I255)</f>
        <v/>
      </c>
      <c r="K255" s="14" t="n">
        <v>1189.61</v>
      </c>
      <c r="L255" s="14" t="n">
        <v>1189.61</v>
      </c>
      <c r="M255" s="14" t="n">
        <v>1189.61</v>
      </c>
      <c r="N255" s="14" t="n">
        <v>1189.61</v>
      </c>
      <c r="O255" s="14" t="n">
        <v>1189.61</v>
      </c>
      <c r="P255" s="14" t="n">
        <v>1189.61</v>
      </c>
      <c r="Q255" s="14" t="n">
        <v>1189.61</v>
      </c>
      <c r="R255" s="14" t="n">
        <v>1189.61</v>
      </c>
      <c r="S255" s="14" t="n">
        <v>1189.61</v>
      </c>
      <c r="T255" s="14" t="n">
        <v>1189.61</v>
      </c>
      <c r="U255" s="14" t="n">
        <v>350</v>
      </c>
      <c r="V255" s="14" t="n">
        <v>250</v>
      </c>
      <c r="W255" s="14">
        <f>U255+V255</f>
        <v/>
      </c>
    </row>
    <row r="256">
      <c r="A256" s="15" t="inlineStr">
        <is>
          <t>CANON-202602-004098</t>
        </is>
      </c>
      <c r="B256" s="15" t="inlineStr">
        <is>
          <t>2026-02-08</t>
        </is>
      </c>
      <c r="C256" s="15" t="inlineStr">
        <is>
          <t>Callum Vasquez</t>
        </is>
      </c>
      <c r="D256" s="15" t="inlineStr">
        <is>
          <t>MT</t>
        </is>
      </c>
      <c r="E256" s="16" t="n">
        <v>660000</v>
      </c>
      <c r="F256" s="16" t="n">
        <v>6618.39</v>
      </c>
      <c r="G256" s="16" t="n">
        <v>827.3</v>
      </c>
      <c r="H256" s="16" t="n">
        <v>827.3</v>
      </c>
      <c r="I256" s="16">
        <f>SUM(K256:T256)</f>
        <v/>
      </c>
      <c r="J256" s="16">
        <f>F256-(G256+H256+I256)</f>
        <v/>
      </c>
      <c r="K256" s="16" t="n">
        <v>496.38</v>
      </c>
      <c r="L256" s="16" t="n">
        <v>496.38</v>
      </c>
      <c r="M256" s="16" t="n">
        <v>496.38</v>
      </c>
      <c r="N256" s="16" t="n">
        <v>496.38</v>
      </c>
      <c r="O256" s="16" t="n">
        <v>496.38</v>
      </c>
      <c r="P256" s="16" t="n">
        <v>496.38</v>
      </c>
      <c r="Q256" s="16" t="n">
        <v>496.38</v>
      </c>
      <c r="R256" s="16" t="n">
        <v>496.38</v>
      </c>
      <c r="S256" s="16" t="n">
        <v>496.38</v>
      </c>
      <c r="T256" s="16" t="n">
        <v>496.38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CANON-202602-004100</t>
        </is>
      </c>
      <c r="B257" s="3" t="inlineStr">
        <is>
          <t>2026-02-04</t>
        </is>
      </c>
      <c r="C257" s="3" t="inlineStr">
        <is>
          <t>Cassius Vasquez</t>
        </is>
      </c>
      <c r="D257" s="3" t="inlineStr">
        <is>
          <t>PA</t>
        </is>
      </c>
      <c r="E257" s="14" t="n">
        <v>265000</v>
      </c>
      <c r="F257" s="14" t="n">
        <v>3297</v>
      </c>
      <c r="G257" s="14" t="n">
        <v>412.12</v>
      </c>
      <c r="H257" s="14" t="n">
        <v>412.12</v>
      </c>
      <c r="I257" s="14">
        <f>SUM(K257:T257)</f>
        <v/>
      </c>
      <c r="J257" s="14">
        <f>F257-(G257+H257+I257)</f>
        <v/>
      </c>
      <c r="K257" s="14" t="n">
        <v>247.27</v>
      </c>
      <c r="L257" s="14" t="n">
        <v>247.27</v>
      </c>
      <c r="M257" s="14" t="n">
        <v>247.27</v>
      </c>
      <c r="N257" s="14" t="n">
        <v>247.27</v>
      </c>
      <c r="O257" s="14" t="n">
        <v>247.27</v>
      </c>
      <c r="P257" s="14" t="n">
        <v>247.27</v>
      </c>
      <c r="Q257" s="14" t="n">
        <v>247.27</v>
      </c>
      <c r="R257" s="14" t="n">
        <v>247.27</v>
      </c>
      <c r="S257" s="14" t="n">
        <v>247.27</v>
      </c>
      <c r="T257" s="14" t="n">
        <v>247.27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CANON-202602-004102</t>
        </is>
      </c>
      <c r="B258" s="15" t="inlineStr">
        <is>
          <t>2026-02-17</t>
        </is>
      </c>
      <c r="C258" s="15" t="inlineStr">
        <is>
          <t>Leopold Whitlock</t>
        </is>
      </c>
      <c r="D258" s="15" t="inlineStr">
        <is>
          <t>MI</t>
        </is>
      </c>
      <c r="E258" s="16" t="n">
        <v>765000</v>
      </c>
      <c r="F258" s="16" t="n">
        <v>12785.52</v>
      </c>
      <c r="G258" s="16" t="n">
        <v>1598.19</v>
      </c>
      <c r="H258" s="16" t="n">
        <v>1598.19</v>
      </c>
      <c r="I258" s="16">
        <f>SUM(K258:T258)</f>
        <v/>
      </c>
      <c r="J258" s="16">
        <f>F258-(G258+H258+I258)</f>
        <v/>
      </c>
      <c r="K258" s="16" t="n">
        <v>958.91</v>
      </c>
      <c r="L258" s="16" t="n">
        <v>958.91</v>
      </c>
      <c r="M258" s="16" t="n">
        <v>958.91</v>
      </c>
      <c r="N258" s="16" t="n">
        <v>958.91</v>
      </c>
      <c r="O258" s="16" t="n">
        <v>958.91</v>
      </c>
      <c r="P258" s="16" t="n">
        <v>958.91</v>
      </c>
      <c r="Q258" s="16" t="n">
        <v>958.91</v>
      </c>
      <c r="R258" s="16" t="n">
        <v>958.91</v>
      </c>
      <c r="S258" s="16" t="n">
        <v>958.91</v>
      </c>
      <c r="T258" s="16" t="n">
        <v>958.91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CANON-202602-004104</t>
        </is>
      </c>
      <c r="B259" s="3" t="inlineStr">
        <is>
          <t>2026-02-25</t>
        </is>
      </c>
      <c r="C259" s="3" t="inlineStr">
        <is>
          <t>Ramona Pennington</t>
        </is>
      </c>
      <c r="D259" s="3" t="inlineStr">
        <is>
          <t>OH</t>
        </is>
      </c>
      <c r="E259" s="14" t="n">
        <v>985000</v>
      </c>
      <c r="F259" s="14" t="n">
        <v>21576.77</v>
      </c>
      <c r="G259" s="14" t="n">
        <v>2697.1</v>
      </c>
      <c r="H259" s="14" t="n">
        <v>2697.1</v>
      </c>
      <c r="I259" s="14">
        <f>SUM(K259:T259)</f>
        <v/>
      </c>
      <c r="J259" s="14">
        <f>F259-(G259+H259+I259)</f>
        <v/>
      </c>
      <c r="K259" s="14" t="n">
        <v>1618.26</v>
      </c>
      <c r="L259" s="14" t="n">
        <v>1618.26</v>
      </c>
      <c r="M259" s="14" t="n">
        <v>1618.26</v>
      </c>
      <c r="N259" s="14" t="n">
        <v>1618.26</v>
      </c>
      <c r="O259" s="14" t="n">
        <v>1618.26</v>
      </c>
      <c r="P259" s="14" t="n">
        <v>1618.26</v>
      </c>
      <c r="Q259" s="14" t="n">
        <v>1618.26</v>
      </c>
      <c r="R259" s="14" t="n">
        <v>1618.26</v>
      </c>
      <c r="S259" s="14" t="n">
        <v>1618.26</v>
      </c>
      <c r="T259" s="14" t="n">
        <v>1618.26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CANON-202602-004105</t>
        </is>
      </c>
      <c r="B260" s="15" t="inlineStr">
        <is>
          <t>2026-02-19</t>
        </is>
      </c>
      <c r="C260" s="15" t="inlineStr">
        <is>
          <t>Leopold Thistlewood</t>
        </is>
      </c>
      <c r="D260" s="15" t="inlineStr">
        <is>
          <t>SC</t>
        </is>
      </c>
      <c r="E260" s="16" t="n">
        <v>1150000</v>
      </c>
      <c r="F260" s="16" t="n">
        <v>16085.71</v>
      </c>
      <c r="G260" s="16" t="n">
        <v>2010.71</v>
      </c>
      <c r="H260" s="16" t="n">
        <v>2010.71</v>
      </c>
      <c r="I260" s="16">
        <f>SUM(K260:T260)</f>
        <v/>
      </c>
      <c r="J260" s="16">
        <f>F260-(G260+H260+I260)</f>
        <v/>
      </c>
      <c r="K260" s="16" t="n">
        <v>1206.43</v>
      </c>
      <c r="L260" s="16" t="n">
        <v>1206.43</v>
      </c>
      <c r="M260" s="16" t="n">
        <v>1206.43</v>
      </c>
      <c r="N260" s="16" t="n">
        <v>1206.43</v>
      </c>
      <c r="O260" s="16" t="n">
        <v>1206.43</v>
      </c>
      <c r="P260" s="16" t="n">
        <v>1206.43</v>
      </c>
      <c r="Q260" s="16" t="n">
        <v>1206.43</v>
      </c>
      <c r="R260" s="16" t="n">
        <v>1206.43</v>
      </c>
      <c r="S260" s="16" t="n">
        <v>1206.43</v>
      </c>
      <c r="T260" s="16" t="n">
        <v>1206.43</v>
      </c>
      <c r="U260" s="16" t="n">
        <v>350</v>
      </c>
      <c r="V260" s="16" t="n">
        <v>250</v>
      </c>
      <c r="W260" s="16">
        <f>U260+V260</f>
        <v/>
      </c>
    </row>
    <row r="261">
      <c r="A261" s="3" t="inlineStr">
        <is>
          <t>CANON-202602-004106</t>
        </is>
      </c>
      <c r="B261" s="3" t="inlineStr">
        <is>
          <t>2026-02-12</t>
        </is>
      </c>
      <c r="C261" s="3" t="inlineStr">
        <is>
          <t>Marisol Ashcombe</t>
        </is>
      </c>
      <c r="D261" s="3" t="inlineStr">
        <is>
          <t>UT</t>
        </is>
      </c>
      <c r="E261" s="14" t="n">
        <v>645000</v>
      </c>
      <c r="F261" s="14" t="n">
        <v>13722.36</v>
      </c>
      <c r="G261" s="14" t="n">
        <v>1715.3</v>
      </c>
      <c r="H261" s="14" t="n">
        <v>1715.3</v>
      </c>
      <c r="I261" s="14">
        <f>SUM(K261:T261)</f>
        <v/>
      </c>
      <c r="J261" s="14">
        <f>F261-(G261+H261+I261)</f>
        <v/>
      </c>
      <c r="K261" s="14" t="n">
        <v>1029.18</v>
      </c>
      <c r="L261" s="14" t="n">
        <v>1029.18</v>
      </c>
      <c r="M261" s="14" t="n">
        <v>1029.18</v>
      </c>
      <c r="N261" s="14" t="n">
        <v>1029.18</v>
      </c>
      <c r="O261" s="14" t="n">
        <v>1029.18</v>
      </c>
      <c r="P261" s="14" t="n">
        <v>1029.18</v>
      </c>
      <c r="Q261" s="14" t="n">
        <v>1029.18</v>
      </c>
      <c r="R261" s="14" t="n">
        <v>1029.18</v>
      </c>
      <c r="S261" s="14" t="n">
        <v>1029.18</v>
      </c>
      <c r="T261" s="14" t="n">
        <v>1029.18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CANON-202602-004107</t>
        </is>
      </c>
      <c r="B262" s="15" t="inlineStr">
        <is>
          <t>2026-02-07</t>
        </is>
      </c>
      <c r="C262" s="15" t="inlineStr">
        <is>
          <t>Saoirse Underwood</t>
        </is>
      </c>
      <c r="D262" s="15" t="inlineStr">
        <is>
          <t>PA</t>
        </is>
      </c>
      <c r="E262" s="16" t="n">
        <v>1165000</v>
      </c>
      <c r="F262" s="16" t="n">
        <v>7343.81</v>
      </c>
      <c r="G262" s="16" t="n">
        <v>917.98</v>
      </c>
      <c r="H262" s="16" t="n">
        <v>917.98</v>
      </c>
      <c r="I262" s="16">
        <f>SUM(K262:T262)</f>
        <v/>
      </c>
      <c r="J262" s="16">
        <f>F262-(G262+H262+I262)</f>
        <v/>
      </c>
      <c r="K262" s="16" t="n">
        <v>550.79</v>
      </c>
      <c r="L262" s="16" t="n">
        <v>550.79</v>
      </c>
      <c r="M262" s="16" t="n">
        <v>550.79</v>
      </c>
      <c r="N262" s="16" t="n">
        <v>550.79</v>
      </c>
      <c r="O262" s="16" t="n">
        <v>550.79</v>
      </c>
      <c r="P262" s="16" t="n">
        <v>550.79</v>
      </c>
      <c r="Q262" s="16" t="n">
        <v>550.79</v>
      </c>
      <c r="R262" s="16" t="n">
        <v>550.79</v>
      </c>
      <c r="S262" s="16" t="n">
        <v>550.79</v>
      </c>
      <c r="T262" s="16" t="n">
        <v>550.79</v>
      </c>
      <c r="U262" s="16" t="n">
        <v>350</v>
      </c>
      <c r="V262" s="16" t="n">
        <v>250</v>
      </c>
      <c r="W262" s="16">
        <f>U262+V262</f>
        <v/>
      </c>
    </row>
    <row r="263">
      <c r="A263" s="3" t="inlineStr">
        <is>
          <t>CANON-202602-004108</t>
        </is>
      </c>
      <c r="B263" s="3" t="inlineStr">
        <is>
          <t>2026-02-08</t>
        </is>
      </c>
      <c r="C263" s="3" t="inlineStr">
        <is>
          <t>Lorenzo Nakashima</t>
        </is>
      </c>
      <c r="D263" s="3" t="inlineStr">
        <is>
          <t>IN</t>
        </is>
      </c>
      <c r="E263" s="14" t="n">
        <v>1040000</v>
      </c>
      <c r="F263" s="14" t="n">
        <v>11671.13</v>
      </c>
      <c r="G263" s="14" t="n">
        <v>1458.89</v>
      </c>
      <c r="H263" s="14" t="n">
        <v>1458.89</v>
      </c>
      <c r="I263" s="14">
        <f>SUM(K263:T263)</f>
        <v/>
      </c>
      <c r="J263" s="14">
        <f>F263-(G263+H263+I263)</f>
        <v/>
      </c>
      <c r="K263" s="14" t="n">
        <v>875.33</v>
      </c>
      <c r="L263" s="14" t="n">
        <v>875.33</v>
      </c>
      <c r="M263" s="14" t="n">
        <v>875.33</v>
      </c>
      <c r="N263" s="14" t="n">
        <v>875.33</v>
      </c>
      <c r="O263" s="14" t="n">
        <v>875.33</v>
      </c>
      <c r="P263" s="14" t="n">
        <v>875.33</v>
      </c>
      <c r="Q263" s="14" t="n">
        <v>875.33</v>
      </c>
      <c r="R263" s="14" t="n">
        <v>875.33</v>
      </c>
      <c r="S263" s="14" t="n">
        <v>875.33</v>
      </c>
      <c r="T263" s="14" t="n">
        <v>875.33</v>
      </c>
      <c r="U263" s="14" t="n">
        <v>350</v>
      </c>
      <c r="V263" s="14" t="n">
        <v>250</v>
      </c>
      <c r="W263" s="14">
        <f>U263+V263</f>
        <v/>
      </c>
    </row>
    <row r="264">
      <c r="A264" s="15" t="inlineStr">
        <is>
          <t>CANON-202602-004111</t>
        </is>
      </c>
      <c r="B264" s="15" t="inlineStr">
        <is>
          <t>2026-02-05</t>
        </is>
      </c>
      <c r="C264" s="15" t="inlineStr">
        <is>
          <t>Beatrix Kingsford</t>
        </is>
      </c>
      <c r="D264" s="15" t="inlineStr">
        <is>
          <t>CA</t>
        </is>
      </c>
      <c r="E264" s="16" t="n">
        <v>455000</v>
      </c>
      <c r="F264" s="16" t="n">
        <v>7642.2</v>
      </c>
      <c r="G264" s="16" t="n">
        <v>955.27</v>
      </c>
      <c r="H264" s="16" t="n">
        <v>955.27</v>
      </c>
      <c r="I264" s="16">
        <f>SUM(K264:T264)</f>
        <v/>
      </c>
      <c r="J264" s="16">
        <f>F264-(G264+H264+I264)</f>
        <v/>
      </c>
      <c r="K264" s="16" t="n">
        <v>573.16</v>
      </c>
      <c r="L264" s="16" t="n">
        <v>573.16</v>
      </c>
      <c r="M264" s="16" t="n">
        <v>573.16</v>
      </c>
      <c r="N264" s="16" t="n">
        <v>573.16</v>
      </c>
      <c r="O264" s="16" t="n">
        <v>573.16</v>
      </c>
      <c r="P264" s="16" t="n">
        <v>573.16</v>
      </c>
      <c r="Q264" s="16" t="n">
        <v>573.16</v>
      </c>
      <c r="R264" s="16" t="n">
        <v>573.16</v>
      </c>
      <c r="S264" s="16" t="n">
        <v>573.16</v>
      </c>
      <c r="T264" s="16" t="n">
        <v>573.16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CANON-202602-004112</t>
        </is>
      </c>
      <c r="B265" s="3" t="inlineStr">
        <is>
          <t>2026-02-14</t>
        </is>
      </c>
      <c r="C265" s="3" t="inlineStr">
        <is>
          <t>Ramona Underwood</t>
        </is>
      </c>
      <c r="D265" s="3" t="inlineStr">
        <is>
          <t>AL</t>
        </is>
      </c>
      <c r="E265" s="14" t="n">
        <v>770000</v>
      </c>
      <c r="F265" s="14" t="n">
        <v>15410.97</v>
      </c>
      <c r="G265" s="14" t="n">
        <v>1926.37</v>
      </c>
      <c r="H265" s="14" t="n">
        <v>1926.37</v>
      </c>
      <c r="I265" s="14">
        <f>SUM(K265:T265)</f>
        <v/>
      </c>
      <c r="J265" s="14">
        <f>F265-(G265+H265+I265)</f>
        <v/>
      </c>
      <c r="K265" s="14" t="n">
        <v>1155.82</v>
      </c>
      <c r="L265" s="14" t="n">
        <v>1155.82</v>
      </c>
      <c r="M265" s="14" t="n">
        <v>1155.82</v>
      </c>
      <c r="N265" s="14" t="n">
        <v>1155.82</v>
      </c>
      <c r="O265" s="14" t="n">
        <v>1155.82</v>
      </c>
      <c r="P265" s="14" t="n">
        <v>1155.82</v>
      </c>
      <c r="Q265" s="14" t="n">
        <v>1155.82</v>
      </c>
      <c r="R265" s="14" t="n">
        <v>1155.82</v>
      </c>
      <c r="S265" s="14" t="n">
        <v>1155.82</v>
      </c>
      <c r="T265" s="14" t="n">
        <v>1155.82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CANON-202602-004113</t>
        </is>
      </c>
      <c r="B266" s="15" t="inlineStr">
        <is>
          <t>2026-02-27</t>
        </is>
      </c>
      <c r="C266" s="15" t="inlineStr">
        <is>
          <t>Aurelio Pennington</t>
        </is>
      </c>
      <c r="D266" s="15" t="inlineStr">
        <is>
          <t>OH</t>
        </is>
      </c>
      <c r="E266" s="16" t="n">
        <v>510000</v>
      </c>
      <c r="F266" s="16" t="n">
        <v>11171.73</v>
      </c>
      <c r="G266" s="16" t="n">
        <v>1396.47</v>
      </c>
      <c r="H266" s="16" t="n">
        <v>1396.47</v>
      </c>
      <c r="I266" s="16">
        <f>SUM(K266:T266)</f>
        <v/>
      </c>
      <c r="J266" s="16">
        <f>F266-(G266+H266+I266)</f>
        <v/>
      </c>
      <c r="K266" s="16" t="n">
        <v>837.88</v>
      </c>
      <c r="L266" s="16" t="n">
        <v>837.88</v>
      </c>
      <c r="M266" s="16" t="n">
        <v>837.88</v>
      </c>
      <c r="N266" s="16" t="n">
        <v>837.88</v>
      </c>
      <c r="O266" s="16" t="n">
        <v>837.88</v>
      </c>
      <c r="P266" s="16" t="n">
        <v>837.88</v>
      </c>
      <c r="Q266" s="16" t="n">
        <v>837.88</v>
      </c>
      <c r="R266" s="16" t="n">
        <v>837.88</v>
      </c>
      <c r="S266" s="16" t="n">
        <v>837.88</v>
      </c>
      <c r="T266" s="16" t="n">
        <v>837.88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CANON-202602-004114</t>
        </is>
      </c>
      <c r="B267" s="3" t="inlineStr">
        <is>
          <t>2026-02-15</t>
        </is>
      </c>
      <c r="C267" s="3" t="inlineStr">
        <is>
          <t>Sunniva Castellanos</t>
        </is>
      </c>
      <c r="D267" s="3" t="inlineStr">
        <is>
          <t>MI</t>
        </is>
      </c>
      <c r="E267" s="14" t="n">
        <v>790000</v>
      </c>
      <c r="F267" s="14" t="n">
        <v>13203.34</v>
      </c>
      <c r="G267" s="14" t="n">
        <v>1650.42</v>
      </c>
      <c r="H267" s="14" t="n">
        <v>1650.42</v>
      </c>
      <c r="I267" s="14">
        <f>SUM(K267:T267)</f>
        <v/>
      </c>
      <c r="J267" s="14">
        <f>F267-(G267+H267+I267)</f>
        <v/>
      </c>
      <c r="K267" s="14" t="n">
        <v>990.25</v>
      </c>
      <c r="L267" s="14" t="n">
        <v>990.25</v>
      </c>
      <c r="M267" s="14" t="n">
        <v>990.25</v>
      </c>
      <c r="N267" s="14" t="n">
        <v>990.25</v>
      </c>
      <c r="O267" s="14" t="n">
        <v>990.25</v>
      </c>
      <c r="P267" s="14" t="n">
        <v>990.25</v>
      </c>
      <c r="Q267" s="14" t="n">
        <v>990.25</v>
      </c>
      <c r="R267" s="14" t="n">
        <v>990.25</v>
      </c>
      <c r="S267" s="14" t="n">
        <v>990.25</v>
      </c>
      <c r="T267" s="14" t="n">
        <v>990.25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CANON-202602-004115</t>
        </is>
      </c>
      <c r="B268" s="15" t="inlineStr">
        <is>
          <t>2026-02-18</t>
        </is>
      </c>
      <c r="C268" s="15" t="inlineStr">
        <is>
          <t>Ottilie Kingsford</t>
        </is>
      </c>
      <c r="D268" s="15" t="inlineStr">
        <is>
          <t>PA</t>
        </is>
      </c>
      <c r="E268" s="16" t="n">
        <v>220000</v>
      </c>
      <c r="F268" s="16" t="n">
        <v>3357.55</v>
      </c>
      <c r="G268" s="16" t="n">
        <v>419.69</v>
      </c>
      <c r="H268" s="16" t="n">
        <v>419.69</v>
      </c>
      <c r="I268" s="16">
        <f>SUM(K268:T268)</f>
        <v/>
      </c>
      <c r="J268" s="16">
        <f>F268-(G268+H268+I268)</f>
        <v/>
      </c>
      <c r="K268" s="16" t="n">
        <v>251.82</v>
      </c>
      <c r="L268" s="16" t="n">
        <v>251.82</v>
      </c>
      <c r="M268" s="16" t="n">
        <v>251.82</v>
      </c>
      <c r="N268" s="16" t="n">
        <v>251.82</v>
      </c>
      <c r="O268" s="16" t="n">
        <v>251.82</v>
      </c>
      <c r="P268" s="16" t="n">
        <v>251.82</v>
      </c>
      <c r="Q268" s="16" t="n">
        <v>251.82</v>
      </c>
      <c r="R268" s="16" t="n">
        <v>251.82</v>
      </c>
      <c r="S268" s="16" t="n">
        <v>251.82</v>
      </c>
      <c r="T268" s="16" t="n">
        <v>251.82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CANON-202602-004118</t>
        </is>
      </c>
      <c r="B269" s="3" t="inlineStr">
        <is>
          <t>2026-02-27</t>
        </is>
      </c>
      <c r="C269" s="3" t="inlineStr">
        <is>
          <t>Fenwick Blackwood</t>
        </is>
      </c>
      <c r="D269" s="3" t="inlineStr">
        <is>
          <t>NM</t>
        </is>
      </c>
      <c r="E269" s="14" t="n">
        <v>1045000</v>
      </c>
      <c r="F269" s="14" t="n">
        <v>8431.83</v>
      </c>
      <c r="G269" s="14" t="n">
        <v>1053.98</v>
      </c>
      <c r="H269" s="14" t="n">
        <v>1053.98</v>
      </c>
      <c r="I269" s="14">
        <f>SUM(K269:T269)</f>
        <v/>
      </c>
      <c r="J269" s="14">
        <f>F269-(G269+H269+I269)</f>
        <v/>
      </c>
      <c r="K269" s="14" t="n">
        <v>632.39</v>
      </c>
      <c r="L269" s="14" t="n">
        <v>632.39</v>
      </c>
      <c r="M269" s="14" t="n">
        <v>632.39</v>
      </c>
      <c r="N269" s="14" t="n">
        <v>632.39</v>
      </c>
      <c r="O269" s="14" t="n">
        <v>632.39</v>
      </c>
      <c r="P269" s="14" t="n">
        <v>632.39</v>
      </c>
      <c r="Q269" s="14" t="n">
        <v>632.39</v>
      </c>
      <c r="R269" s="14" t="n">
        <v>632.39</v>
      </c>
      <c r="S269" s="14" t="n">
        <v>632.39</v>
      </c>
      <c r="T269" s="14" t="n">
        <v>632.39</v>
      </c>
      <c r="U269" s="14" t="n">
        <v>350</v>
      </c>
      <c r="V269" s="14" t="n">
        <v>250</v>
      </c>
      <c r="W269" s="14">
        <f>U269+V269</f>
        <v/>
      </c>
    </row>
    <row r="270">
      <c r="A270" s="15" t="inlineStr">
        <is>
          <t>CANON-202602-004119</t>
        </is>
      </c>
      <c r="B270" s="15" t="inlineStr">
        <is>
          <t>2026-02-22</t>
        </is>
      </c>
      <c r="C270" s="15" t="inlineStr">
        <is>
          <t>Leopold Fairweather</t>
        </is>
      </c>
      <c r="D270" s="15" t="inlineStr">
        <is>
          <t>KS</t>
        </is>
      </c>
      <c r="E270" s="16" t="n">
        <v>770000</v>
      </c>
      <c r="F270" s="16" t="n">
        <v>8053.55</v>
      </c>
      <c r="G270" s="16" t="n">
        <v>1006.69</v>
      </c>
      <c r="H270" s="16" t="n">
        <v>1006.69</v>
      </c>
      <c r="I270" s="16">
        <f>SUM(K270:T270)</f>
        <v/>
      </c>
      <c r="J270" s="16">
        <f>F270-(G270+H270+I270)</f>
        <v/>
      </c>
      <c r="K270" s="16" t="n">
        <v>604.02</v>
      </c>
      <c r="L270" s="16" t="n">
        <v>604.02</v>
      </c>
      <c r="M270" s="16" t="n">
        <v>604.02</v>
      </c>
      <c r="N270" s="16" t="n">
        <v>604.02</v>
      </c>
      <c r="O270" s="16" t="n">
        <v>604.02</v>
      </c>
      <c r="P270" s="16" t="n">
        <v>604.02</v>
      </c>
      <c r="Q270" s="16" t="n">
        <v>604.02</v>
      </c>
      <c r="R270" s="16" t="n">
        <v>604.02</v>
      </c>
      <c r="S270" s="16" t="n">
        <v>604.02</v>
      </c>
      <c r="T270" s="16" t="n">
        <v>604.02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CANON-202602-004120</t>
        </is>
      </c>
      <c r="B271" s="3" t="inlineStr">
        <is>
          <t>2026-02-20</t>
        </is>
      </c>
      <c r="C271" s="3" t="inlineStr">
        <is>
          <t>Desmond Larsson</t>
        </is>
      </c>
      <c r="D271" s="3" t="inlineStr">
        <is>
          <t>OR</t>
        </is>
      </c>
      <c r="E271" s="14" t="n">
        <v>1090000</v>
      </c>
      <c r="F271" s="14" t="n">
        <v>11237.75</v>
      </c>
      <c r="G271" s="14" t="n">
        <v>1404.72</v>
      </c>
      <c r="H271" s="14" t="n">
        <v>1404.72</v>
      </c>
      <c r="I271" s="14">
        <f>SUM(K271:T271)</f>
        <v/>
      </c>
      <c r="J271" s="14">
        <f>F271-(G271+H271+I271)</f>
        <v/>
      </c>
      <c r="K271" s="14" t="n">
        <v>842.83</v>
      </c>
      <c r="L271" s="14" t="n">
        <v>842.83</v>
      </c>
      <c r="M271" s="14" t="n">
        <v>842.83</v>
      </c>
      <c r="N271" s="14" t="n">
        <v>842.83</v>
      </c>
      <c r="O271" s="14" t="n">
        <v>842.83</v>
      </c>
      <c r="P271" s="14" t="n">
        <v>842.83</v>
      </c>
      <c r="Q271" s="14" t="n">
        <v>842.83</v>
      </c>
      <c r="R271" s="14" t="n">
        <v>842.83</v>
      </c>
      <c r="S271" s="14" t="n">
        <v>842.83</v>
      </c>
      <c r="T271" s="14" t="n">
        <v>842.83</v>
      </c>
      <c r="U271" s="14" t="n">
        <v>350</v>
      </c>
      <c r="V271" s="14" t="n">
        <v>250</v>
      </c>
      <c r="W271" s="14">
        <f>U271+V271</f>
        <v/>
      </c>
    </row>
    <row r="272">
      <c r="A272" s="15" t="inlineStr">
        <is>
          <t>CANON-202602-004121</t>
        </is>
      </c>
      <c r="B272" s="15" t="inlineStr">
        <is>
          <t>2026-02-15</t>
        </is>
      </c>
      <c r="C272" s="15" t="inlineStr">
        <is>
          <t>Cassius Delacroix</t>
        </is>
      </c>
      <c r="D272" s="15" t="inlineStr">
        <is>
          <t>IL</t>
        </is>
      </c>
      <c r="E272" s="16" t="n">
        <v>650000</v>
      </c>
      <c r="F272" s="16" t="n">
        <v>9531.860000000001</v>
      </c>
      <c r="G272" s="16" t="n">
        <v>1191.48</v>
      </c>
      <c r="H272" s="16" t="n">
        <v>1191.48</v>
      </c>
      <c r="I272" s="16">
        <f>SUM(K272:T272)</f>
        <v/>
      </c>
      <c r="J272" s="16">
        <f>F272-(G272+H272+I272)</f>
        <v/>
      </c>
      <c r="K272" s="16" t="n">
        <v>714.89</v>
      </c>
      <c r="L272" s="16" t="n">
        <v>714.89</v>
      </c>
      <c r="M272" s="16" t="n">
        <v>714.89</v>
      </c>
      <c r="N272" s="16" t="n">
        <v>714.89</v>
      </c>
      <c r="O272" s="16" t="n">
        <v>714.89</v>
      </c>
      <c r="P272" s="16" t="n">
        <v>714.89</v>
      </c>
      <c r="Q272" s="16" t="n">
        <v>714.89</v>
      </c>
      <c r="R272" s="16" t="n">
        <v>714.89</v>
      </c>
      <c r="S272" s="16" t="n">
        <v>714.89</v>
      </c>
      <c r="T272" s="16" t="n">
        <v>714.89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CANON-202602-004122</t>
        </is>
      </c>
      <c r="B273" s="3" t="inlineStr">
        <is>
          <t>2026-02-10</t>
        </is>
      </c>
      <c r="C273" s="3" t="inlineStr">
        <is>
          <t>Saoirse Merriweather</t>
        </is>
      </c>
      <c r="D273" s="3" t="inlineStr">
        <is>
          <t>MI</t>
        </is>
      </c>
      <c r="E273" s="14" t="n">
        <v>220000</v>
      </c>
      <c r="F273" s="14" t="n">
        <v>5204.2</v>
      </c>
      <c r="G273" s="14" t="n">
        <v>650.52</v>
      </c>
      <c r="H273" s="14" t="n">
        <v>650.52</v>
      </c>
      <c r="I273" s="14">
        <f>SUM(K273:T273)</f>
        <v/>
      </c>
      <c r="J273" s="14">
        <f>F273-(G273+H273+I273)</f>
        <v/>
      </c>
      <c r="K273" s="14" t="n">
        <v>390.31</v>
      </c>
      <c r="L273" s="14" t="n">
        <v>390.31</v>
      </c>
      <c r="M273" s="14" t="n">
        <v>390.31</v>
      </c>
      <c r="N273" s="14" t="n">
        <v>390.31</v>
      </c>
      <c r="O273" s="14" t="n">
        <v>390.31</v>
      </c>
      <c r="P273" s="14" t="n">
        <v>390.31</v>
      </c>
      <c r="Q273" s="14" t="n">
        <v>390.31</v>
      </c>
      <c r="R273" s="14" t="n">
        <v>390.31</v>
      </c>
      <c r="S273" s="14" t="n">
        <v>390.31</v>
      </c>
      <c r="T273" s="14" t="n">
        <v>390.31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CANON-202602-004123</t>
        </is>
      </c>
      <c r="B274" s="15" t="inlineStr">
        <is>
          <t>2026-02-01</t>
        </is>
      </c>
      <c r="C274" s="15" t="inlineStr">
        <is>
          <t>Leopold Pennington</t>
        </is>
      </c>
      <c r="D274" s="15" t="inlineStr">
        <is>
          <t>NH</t>
        </is>
      </c>
      <c r="E274" s="16" t="n">
        <v>460000</v>
      </c>
      <c r="F274" s="16" t="n">
        <v>9126.43</v>
      </c>
      <c r="G274" s="16" t="n">
        <v>1140.8</v>
      </c>
      <c r="H274" s="16" t="n">
        <v>1140.8</v>
      </c>
      <c r="I274" s="16">
        <f>SUM(K274:T274)</f>
        <v/>
      </c>
      <c r="J274" s="16">
        <f>F274-(G274+H274+I274)</f>
        <v/>
      </c>
      <c r="K274" s="16" t="n">
        <v>684.48</v>
      </c>
      <c r="L274" s="16" t="n">
        <v>684.48</v>
      </c>
      <c r="M274" s="16" t="n">
        <v>684.48</v>
      </c>
      <c r="N274" s="16" t="n">
        <v>684.48</v>
      </c>
      <c r="O274" s="16" t="n">
        <v>684.48</v>
      </c>
      <c r="P274" s="16" t="n">
        <v>684.48</v>
      </c>
      <c r="Q274" s="16" t="n">
        <v>684.48</v>
      </c>
      <c r="R274" s="16" t="n">
        <v>684.48</v>
      </c>
      <c r="S274" s="16" t="n">
        <v>684.48</v>
      </c>
      <c r="T274" s="16" t="n">
        <v>684.48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CANON-202602-004124</t>
        </is>
      </c>
      <c r="B275" s="3" t="inlineStr">
        <is>
          <t>2026-02-23</t>
        </is>
      </c>
      <c r="C275" s="3" t="inlineStr">
        <is>
          <t>Everett Okonkwo</t>
        </is>
      </c>
      <c r="D275" s="3" t="inlineStr">
        <is>
          <t>NC</t>
        </is>
      </c>
      <c r="E275" s="14" t="n">
        <v>475000</v>
      </c>
      <c r="F275" s="14" t="n">
        <v>4349.55</v>
      </c>
      <c r="G275" s="14" t="n">
        <v>543.6900000000001</v>
      </c>
      <c r="H275" s="14" t="n">
        <v>543.6900000000001</v>
      </c>
      <c r="I275" s="14">
        <f>SUM(K275:T275)</f>
        <v/>
      </c>
      <c r="J275" s="14">
        <f>F275-(G275+H275+I275)</f>
        <v/>
      </c>
      <c r="K275" s="14" t="n">
        <v>326.22</v>
      </c>
      <c r="L275" s="14" t="n">
        <v>326.22</v>
      </c>
      <c r="M275" s="14" t="n">
        <v>326.22</v>
      </c>
      <c r="N275" s="14" t="n">
        <v>326.22</v>
      </c>
      <c r="O275" s="14" t="n">
        <v>326.22</v>
      </c>
      <c r="P275" s="14" t="n">
        <v>326.22</v>
      </c>
      <c r="Q275" s="14" t="n">
        <v>326.22</v>
      </c>
      <c r="R275" s="14" t="n">
        <v>326.22</v>
      </c>
      <c r="S275" s="14" t="n">
        <v>326.22</v>
      </c>
      <c r="T275" s="14" t="n">
        <v>326.22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CANON-202602-004126</t>
        </is>
      </c>
      <c r="B276" s="15" t="inlineStr">
        <is>
          <t>2026-02-26</t>
        </is>
      </c>
      <c r="C276" s="15" t="inlineStr">
        <is>
          <t>Beatrix Harrington</t>
        </is>
      </c>
      <c r="D276" s="15" t="inlineStr">
        <is>
          <t>HI</t>
        </is>
      </c>
      <c r="E276" s="16" t="n">
        <v>360000</v>
      </c>
      <c r="F276" s="16" t="n">
        <v>5822.63</v>
      </c>
      <c r="G276" s="16" t="n">
        <v>727.83</v>
      </c>
      <c r="H276" s="16" t="n">
        <v>727.83</v>
      </c>
      <c r="I276" s="16">
        <f>SUM(K276:T276)</f>
        <v/>
      </c>
      <c r="J276" s="16">
        <f>F276-(G276+H276+I276)</f>
        <v/>
      </c>
      <c r="K276" s="16" t="n">
        <v>436.7</v>
      </c>
      <c r="L276" s="16" t="n">
        <v>436.7</v>
      </c>
      <c r="M276" s="16" t="n">
        <v>436.7</v>
      </c>
      <c r="N276" s="16" t="n">
        <v>436.7</v>
      </c>
      <c r="O276" s="16" t="n">
        <v>436.7</v>
      </c>
      <c r="P276" s="16" t="n">
        <v>436.7</v>
      </c>
      <c r="Q276" s="16" t="n">
        <v>436.7</v>
      </c>
      <c r="R276" s="16" t="n">
        <v>436.7</v>
      </c>
      <c r="S276" s="16" t="n">
        <v>436.7</v>
      </c>
      <c r="T276" s="16" t="n">
        <v>436.7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CANON-202602-004127</t>
        </is>
      </c>
      <c r="B277" s="3" t="inlineStr">
        <is>
          <t>2026-02-01</t>
        </is>
      </c>
      <c r="C277" s="3" t="inlineStr">
        <is>
          <t>Callum Farkas</t>
        </is>
      </c>
      <c r="D277" s="3" t="inlineStr">
        <is>
          <t>LA</t>
        </is>
      </c>
      <c r="E277" s="14" t="n">
        <v>1950000</v>
      </c>
      <c r="F277" s="14" t="n">
        <v>31312.79</v>
      </c>
      <c r="G277" s="14" t="n">
        <v>3914.1</v>
      </c>
      <c r="H277" s="14" t="n">
        <v>3914.1</v>
      </c>
      <c r="I277" s="14">
        <f>SUM(K277:T277)</f>
        <v/>
      </c>
      <c r="J277" s="14">
        <f>F277-(G277+H277+I277)</f>
        <v/>
      </c>
      <c r="K277" s="14" t="n">
        <v>2348.46</v>
      </c>
      <c r="L277" s="14" t="n">
        <v>2348.46</v>
      </c>
      <c r="M277" s="14" t="n">
        <v>2348.46</v>
      </c>
      <c r="N277" s="14" t="n">
        <v>2348.46</v>
      </c>
      <c r="O277" s="14" t="n">
        <v>2348.46</v>
      </c>
      <c r="P277" s="14" t="n">
        <v>2348.46</v>
      </c>
      <c r="Q277" s="14" t="n">
        <v>2348.46</v>
      </c>
      <c r="R277" s="14" t="n">
        <v>2348.46</v>
      </c>
      <c r="S277" s="14" t="n">
        <v>2348.46</v>
      </c>
      <c r="T277" s="14" t="n">
        <v>2348.46</v>
      </c>
      <c r="U277" s="14" t="n">
        <v>350</v>
      </c>
      <c r="V277" s="14" t="n">
        <v>250</v>
      </c>
      <c r="W277" s="14">
        <f>U277+V277</f>
        <v/>
      </c>
    </row>
    <row r="278">
      <c r="A278" s="15" t="inlineStr">
        <is>
          <t>CANON-202602-004128</t>
        </is>
      </c>
      <c r="B278" s="15" t="inlineStr">
        <is>
          <t>2026-02-14</t>
        </is>
      </c>
      <c r="C278" s="15" t="inlineStr">
        <is>
          <t>Sunniva Vandermeer</t>
        </is>
      </c>
      <c r="D278" s="15" t="inlineStr">
        <is>
          <t>MO</t>
        </is>
      </c>
      <c r="E278" s="16" t="n">
        <v>1950000</v>
      </c>
      <c r="F278" s="16" t="n">
        <v>27431.04</v>
      </c>
      <c r="G278" s="16" t="n">
        <v>3428.88</v>
      </c>
      <c r="H278" s="16" t="n">
        <v>3428.88</v>
      </c>
      <c r="I278" s="16">
        <f>SUM(K278:T278)</f>
        <v/>
      </c>
      <c r="J278" s="16">
        <f>F278-(G278+H278+I278)</f>
        <v/>
      </c>
      <c r="K278" s="16" t="n">
        <v>2057.33</v>
      </c>
      <c r="L278" s="16" t="n">
        <v>2057.33</v>
      </c>
      <c r="M278" s="16" t="n">
        <v>2057.33</v>
      </c>
      <c r="N278" s="16" t="n">
        <v>2057.33</v>
      </c>
      <c r="O278" s="16" t="n">
        <v>2057.33</v>
      </c>
      <c r="P278" s="16" t="n">
        <v>2057.33</v>
      </c>
      <c r="Q278" s="16" t="n">
        <v>2057.33</v>
      </c>
      <c r="R278" s="16" t="n">
        <v>2057.33</v>
      </c>
      <c r="S278" s="16" t="n">
        <v>2057.33</v>
      </c>
      <c r="T278" s="16" t="n">
        <v>2057.33</v>
      </c>
      <c r="U278" s="16" t="n">
        <v>350</v>
      </c>
      <c r="V278" s="16" t="n">
        <v>250</v>
      </c>
      <c r="W278" s="16">
        <f>U278+V278</f>
        <v/>
      </c>
    </row>
    <row r="279">
      <c r="A279" s="3" t="inlineStr">
        <is>
          <t>CANON-202602-004130</t>
        </is>
      </c>
      <c r="B279" s="3" t="inlineStr">
        <is>
          <t>2026-02-21</t>
        </is>
      </c>
      <c r="C279" s="3" t="inlineStr">
        <is>
          <t>Desmond Kingsford</t>
        </is>
      </c>
      <c r="D279" s="3" t="inlineStr">
        <is>
          <t>PA</t>
        </is>
      </c>
      <c r="E279" s="14" t="n">
        <v>375000</v>
      </c>
      <c r="F279" s="14" t="n">
        <v>4665.56</v>
      </c>
      <c r="G279" s="14" t="n">
        <v>583.2</v>
      </c>
      <c r="H279" s="14" t="n">
        <v>583.2</v>
      </c>
      <c r="I279" s="14">
        <f>SUM(K279:T279)</f>
        <v/>
      </c>
      <c r="J279" s="14">
        <f>F279-(G279+H279+I279)</f>
        <v/>
      </c>
      <c r="K279" s="14" t="n">
        <v>349.92</v>
      </c>
      <c r="L279" s="14" t="n">
        <v>349.92</v>
      </c>
      <c r="M279" s="14" t="n">
        <v>349.92</v>
      </c>
      <c r="N279" s="14" t="n">
        <v>349.92</v>
      </c>
      <c r="O279" s="14" t="n">
        <v>349.92</v>
      </c>
      <c r="P279" s="14" t="n">
        <v>349.92</v>
      </c>
      <c r="Q279" s="14" t="n">
        <v>349.92</v>
      </c>
      <c r="R279" s="14" t="n">
        <v>349.92</v>
      </c>
      <c r="S279" s="14" t="n">
        <v>349.92</v>
      </c>
      <c r="T279" s="14" t="n">
        <v>349.92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CANON-202602-004131</t>
        </is>
      </c>
      <c r="B280" s="15" t="inlineStr">
        <is>
          <t>2026-02-21</t>
        </is>
      </c>
      <c r="C280" s="15" t="inlineStr">
        <is>
          <t>Thaddeus Ashcombe</t>
        </is>
      </c>
      <c r="D280" s="15" t="inlineStr">
        <is>
          <t>WI</t>
        </is>
      </c>
      <c r="E280" s="16" t="n">
        <v>265000</v>
      </c>
      <c r="F280" s="16" t="n">
        <v>3956.4</v>
      </c>
      <c r="G280" s="16" t="n">
        <v>494.55</v>
      </c>
      <c r="H280" s="16" t="n">
        <v>494.55</v>
      </c>
      <c r="I280" s="16">
        <f>SUM(K280:T280)</f>
        <v/>
      </c>
      <c r="J280" s="16">
        <f>F280-(G280+H280+I280)</f>
        <v/>
      </c>
      <c r="K280" s="16" t="n">
        <v>296.73</v>
      </c>
      <c r="L280" s="16" t="n">
        <v>296.73</v>
      </c>
      <c r="M280" s="16" t="n">
        <v>296.73</v>
      </c>
      <c r="N280" s="16" t="n">
        <v>296.73</v>
      </c>
      <c r="O280" s="16" t="n">
        <v>296.73</v>
      </c>
      <c r="P280" s="16" t="n">
        <v>296.73</v>
      </c>
      <c r="Q280" s="16" t="n">
        <v>296.73</v>
      </c>
      <c r="R280" s="16" t="n">
        <v>296.73</v>
      </c>
      <c r="S280" s="16" t="n">
        <v>296.73</v>
      </c>
      <c r="T280" s="16" t="n">
        <v>296.73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CANON-202602-004132</t>
        </is>
      </c>
      <c r="B281" s="3" t="inlineStr">
        <is>
          <t>2026-02-02</t>
        </is>
      </c>
      <c r="C281" s="3" t="inlineStr">
        <is>
          <t>Saoirse Castellanos</t>
        </is>
      </c>
      <c r="D281" s="3" t="inlineStr">
        <is>
          <t>RI</t>
        </is>
      </c>
      <c r="E281" s="14" t="n">
        <v>1950000</v>
      </c>
      <c r="F281" s="14" t="n">
        <v>24374.16</v>
      </c>
      <c r="G281" s="14" t="n">
        <v>3046.77</v>
      </c>
      <c r="H281" s="14" t="n">
        <v>3046.77</v>
      </c>
      <c r="I281" s="14">
        <f>SUM(K281:T281)</f>
        <v/>
      </c>
      <c r="J281" s="14">
        <f>F281-(G281+H281+I281)</f>
        <v/>
      </c>
      <c r="K281" s="14" t="n">
        <v>1828.06</v>
      </c>
      <c r="L281" s="14" t="n">
        <v>1828.06</v>
      </c>
      <c r="M281" s="14" t="n">
        <v>1828.06</v>
      </c>
      <c r="N281" s="14" t="n">
        <v>1828.06</v>
      </c>
      <c r="O281" s="14" t="n">
        <v>1828.06</v>
      </c>
      <c r="P281" s="14" t="n">
        <v>1828.06</v>
      </c>
      <c r="Q281" s="14" t="n">
        <v>1828.06</v>
      </c>
      <c r="R281" s="14" t="n">
        <v>1828.06</v>
      </c>
      <c r="S281" s="14" t="n">
        <v>1828.06</v>
      </c>
      <c r="T281" s="14" t="n">
        <v>1828.06</v>
      </c>
      <c r="U281" s="14" t="n">
        <v>350</v>
      </c>
      <c r="V281" s="14" t="n">
        <v>250</v>
      </c>
      <c r="W281" s="14">
        <f>U281+V281</f>
        <v/>
      </c>
    </row>
    <row r="282">
      <c r="A282" s="15" t="inlineStr">
        <is>
          <t>CANON-202602-004133</t>
        </is>
      </c>
      <c r="B282" s="15" t="inlineStr">
        <is>
          <t>2026-02-28</t>
        </is>
      </c>
      <c r="C282" s="15" t="inlineStr">
        <is>
          <t>Aurelio Castellanos</t>
        </is>
      </c>
      <c r="D282" s="15" t="inlineStr">
        <is>
          <t>OR</t>
        </is>
      </c>
      <c r="E282" s="16" t="n">
        <v>820000</v>
      </c>
      <c r="F282" s="16" t="n">
        <v>6609.56</v>
      </c>
      <c r="G282" s="16" t="n">
        <v>826.2</v>
      </c>
      <c r="H282" s="16" t="n">
        <v>826.2</v>
      </c>
      <c r="I282" s="16">
        <f>SUM(K282:T282)</f>
        <v/>
      </c>
      <c r="J282" s="16">
        <f>F282-(G282+H282+I282)</f>
        <v/>
      </c>
      <c r="K282" s="16" t="n">
        <v>495.72</v>
      </c>
      <c r="L282" s="16" t="n">
        <v>495.72</v>
      </c>
      <c r="M282" s="16" t="n">
        <v>495.72</v>
      </c>
      <c r="N282" s="16" t="n">
        <v>495.72</v>
      </c>
      <c r="O282" s="16" t="n">
        <v>495.72</v>
      </c>
      <c r="P282" s="16" t="n">
        <v>495.72</v>
      </c>
      <c r="Q282" s="16" t="n">
        <v>495.72</v>
      </c>
      <c r="R282" s="16" t="n">
        <v>495.72</v>
      </c>
      <c r="S282" s="16" t="n">
        <v>495.72</v>
      </c>
      <c r="T282" s="16" t="n">
        <v>495.72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CANON-202602-004136</t>
        </is>
      </c>
      <c r="B283" s="3" t="inlineStr">
        <is>
          <t>2026-02-19</t>
        </is>
      </c>
      <c r="C283" s="3" t="inlineStr">
        <is>
          <t>Delphine Blackwood</t>
        </is>
      </c>
      <c r="D283" s="3" t="inlineStr">
        <is>
          <t>TX</t>
        </is>
      </c>
      <c r="E283" s="14" t="n">
        <v>915000</v>
      </c>
      <c r="F283" s="14" t="n">
        <v>7505.84</v>
      </c>
      <c r="G283" s="14" t="n">
        <v>938.23</v>
      </c>
      <c r="H283" s="14" t="n">
        <v>938.23</v>
      </c>
      <c r="I283" s="14">
        <f>SUM(K283:T283)</f>
        <v/>
      </c>
      <c r="J283" s="14">
        <f>F283-(G283+H283+I283)</f>
        <v/>
      </c>
      <c r="K283" s="14" t="n">
        <v>562.9400000000001</v>
      </c>
      <c r="L283" s="14" t="n">
        <v>562.9400000000001</v>
      </c>
      <c r="M283" s="14" t="n">
        <v>562.9400000000001</v>
      </c>
      <c r="N283" s="14" t="n">
        <v>562.9400000000001</v>
      </c>
      <c r="O283" s="14" t="n">
        <v>562.9400000000001</v>
      </c>
      <c r="P283" s="14" t="n">
        <v>562.9400000000001</v>
      </c>
      <c r="Q283" s="14" t="n">
        <v>562.9400000000001</v>
      </c>
      <c r="R283" s="14" t="n">
        <v>562.9400000000001</v>
      </c>
      <c r="S283" s="14" t="n">
        <v>562.9400000000001</v>
      </c>
      <c r="T283" s="14" t="n">
        <v>562.9400000000001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CANON-202602-004137</t>
        </is>
      </c>
      <c r="B284" s="15" t="inlineStr">
        <is>
          <t>2026-02-09</t>
        </is>
      </c>
      <c r="C284" s="15" t="inlineStr">
        <is>
          <t>Cassius Chattopadhyay</t>
        </is>
      </c>
      <c r="D284" s="15" t="inlineStr">
        <is>
          <t>CA</t>
        </is>
      </c>
      <c r="E284" s="16" t="n">
        <v>370000</v>
      </c>
      <c r="F284" s="16" t="n">
        <v>6214.54</v>
      </c>
      <c r="G284" s="16" t="n">
        <v>776.8200000000001</v>
      </c>
      <c r="H284" s="16" t="n">
        <v>776.8200000000001</v>
      </c>
      <c r="I284" s="16">
        <f>SUM(K284:T284)</f>
        <v/>
      </c>
      <c r="J284" s="16">
        <f>F284-(G284+H284+I284)</f>
        <v/>
      </c>
      <c r="K284" s="16" t="n">
        <v>466.09</v>
      </c>
      <c r="L284" s="16" t="n">
        <v>466.09</v>
      </c>
      <c r="M284" s="16" t="n">
        <v>466.09</v>
      </c>
      <c r="N284" s="16" t="n">
        <v>466.09</v>
      </c>
      <c r="O284" s="16" t="n">
        <v>466.09</v>
      </c>
      <c r="P284" s="16" t="n">
        <v>466.09</v>
      </c>
      <c r="Q284" s="16" t="n">
        <v>466.09</v>
      </c>
      <c r="R284" s="16" t="n">
        <v>466.09</v>
      </c>
      <c r="S284" s="16" t="n">
        <v>466.09</v>
      </c>
      <c r="T284" s="16" t="n">
        <v>466.09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CANON-202602-004138</t>
        </is>
      </c>
      <c r="B285" s="3" t="inlineStr">
        <is>
          <t>2026-02-05</t>
        </is>
      </c>
      <c r="C285" s="3" t="inlineStr">
        <is>
          <t>Ramona Thistlewood</t>
        </is>
      </c>
      <c r="D285" s="3" t="inlineStr">
        <is>
          <t>AK</t>
        </is>
      </c>
      <c r="E285" s="14" t="n">
        <v>620000</v>
      </c>
      <c r="F285" s="14" t="n">
        <v>7621.17</v>
      </c>
      <c r="G285" s="14" t="n">
        <v>952.65</v>
      </c>
      <c r="H285" s="14" t="n">
        <v>952.65</v>
      </c>
      <c r="I285" s="14">
        <f>SUM(K285:T285)</f>
        <v/>
      </c>
      <c r="J285" s="14">
        <f>F285-(G285+H285+I285)</f>
        <v/>
      </c>
      <c r="K285" s="14" t="n">
        <v>571.59</v>
      </c>
      <c r="L285" s="14" t="n">
        <v>571.59</v>
      </c>
      <c r="M285" s="14" t="n">
        <v>571.59</v>
      </c>
      <c r="N285" s="14" t="n">
        <v>571.59</v>
      </c>
      <c r="O285" s="14" t="n">
        <v>571.59</v>
      </c>
      <c r="P285" s="14" t="n">
        <v>571.59</v>
      </c>
      <c r="Q285" s="14" t="n">
        <v>571.59</v>
      </c>
      <c r="R285" s="14" t="n">
        <v>571.59</v>
      </c>
      <c r="S285" s="14" t="n">
        <v>571.59</v>
      </c>
      <c r="T285" s="14" t="n">
        <v>571.59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CANON-202602-004139</t>
        </is>
      </c>
      <c r="B286" s="15" t="inlineStr">
        <is>
          <t>2026-02-04</t>
        </is>
      </c>
      <c r="C286" s="15" t="inlineStr">
        <is>
          <t>Noor Fairweather</t>
        </is>
      </c>
      <c r="D286" s="15" t="inlineStr">
        <is>
          <t>NC</t>
        </is>
      </c>
      <c r="E286" s="16" t="n">
        <v>360000</v>
      </c>
      <c r="F286" s="16" t="n">
        <v>5150.78</v>
      </c>
      <c r="G286" s="16" t="n">
        <v>643.85</v>
      </c>
      <c r="H286" s="16" t="n">
        <v>643.85</v>
      </c>
      <c r="I286" s="16">
        <f>SUM(K286:T286)</f>
        <v/>
      </c>
      <c r="J286" s="16">
        <f>F286-(G286+H286+I286)</f>
        <v/>
      </c>
      <c r="K286" s="16" t="n">
        <v>386.31</v>
      </c>
      <c r="L286" s="16" t="n">
        <v>386.31</v>
      </c>
      <c r="M286" s="16" t="n">
        <v>386.31</v>
      </c>
      <c r="N286" s="16" t="n">
        <v>386.31</v>
      </c>
      <c r="O286" s="16" t="n">
        <v>386.31</v>
      </c>
      <c r="P286" s="16" t="n">
        <v>386.31</v>
      </c>
      <c r="Q286" s="16" t="n">
        <v>386.31</v>
      </c>
      <c r="R286" s="16" t="n">
        <v>386.31</v>
      </c>
      <c r="S286" s="16" t="n">
        <v>386.31</v>
      </c>
      <c r="T286" s="16" t="n">
        <v>386.31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CANON-202602-004140</t>
        </is>
      </c>
      <c r="B287" s="3" t="inlineStr">
        <is>
          <t>2026-02-28</t>
        </is>
      </c>
      <c r="C287" s="3" t="inlineStr">
        <is>
          <t>Thaddeus Delacroix</t>
        </is>
      </c>
      <c r="D287" s="3" t="inlineStr">
        <is>
          <t>AR</t>
        </is>
      </c>
      <c r="E287" s="14" t="n">
        <v>1745000</v>
      </c>
      <c r="F287" s="14" t="n">
        <v>21970.96</v>
      </c>
      <c r="G287" s="14" t="n">
        <v>2746.37</v>
      </c>
      <c r="H287" s="14" t="n">
        <v>2746.37</v>
      </c>
      <c r="I287" s="14">
        <f>SUM(K287:T287)</f>
        <v/>
      </c>
      <c r="J287" s="14">
        <f>F287-(G287+H287+I287)</f>
        <v/>
      </c>
      <c r="K287" s="14" t="n">
        <v>1647.82</v>
      </c>
      <c r="L287" s="14" t="n">
        <v>1647.82</v>
      </c>
      <c r="M287" s="14" t="n">
        <v>1647.82</v>
      </c>
      <c r="N287" s="14" t="n">
        <v>1647.82</v>
      </c>
      <c r="O287" s="14" t="n">
        <v>1647.82</v>
      </c>
      <c r="P287" s="14" t="n">
        <v>1647.82</v>
      </c>
      <c r="Q287" s="14" t="n">
        <v>1647.82</v>
      </c>
      <c r="R287" s="14" t="n">
        <v>1647.82</v>
      </c>
      <c r="S287" s="14" t="n">
        <v>1647.82</v>
      </c>
      <c r="T287" s="14" t="n">
        <v>1647.82</v>
      </c>
      <c r="U287" s="14" t="n">
        <v>350</v>
      </c>
      <c r="V287" s="14" t="n">
        <v>250</v>
      </c>
      <c r="W287" s="14">
        <f>U287+V287</f>
        <v/>
      </c>
    </row>
    <row r="288">
      <c r="A288" s="15" t="inlineStr">
        <is>
          <t>CANON-202602-004142</t>
        </is>
      </c>
      <c r="B288" s="15" t="inlineStr">
        <is>
          <t>2026-02-11</t>
        </is>
      </c>
      <c r="C288" s="15" t="inlineStr">
        <is>
          <t>Wilhelmina Vandermeer</t>
        </is>
      </c>
      <c r="D288" s="15" t="inlineStr">
        <is>
          <t>AZ</t>
        </is>
      </c>
      <c r="E288" s="16" t="n">
        <v>325000</v>
      </c>
      <c r="F288" s="16" t="n">
        <v>6262.02</v>
      </c>
      <c r="G288" s="16" t="n">
        <v>782.75</v>
      </c>
      <c r="H288" s="16" t="n">
        <v>782.75</v>
      </c>
      <c r="I288" s="16">
        <f>SUM(K288:T288)</f>
        <v/>
      </c>
      <c r="J288" s="16">
        <f>F288-(G288+H288+I288)</f>
        <v/>
      </c>
      <c r="K288" s="16" t="n">
        <v>469.65</v>
      </c>
      <c r="L288" s="16" t="n">
        <v>469.65</v>
      </c>
      <c r="M288" s="16" t="n">
        <v>469.65</v>
      </c>
      <c r="N288" s="16" t="n">
        <v>469.65</v>
      </c>
      <c r="O288" s="16" t="n">
        <v>469.65</v>
      </c>
      <c r="P288" s="16" t="n">
        <v>469.65</v>
      </c>
      <c r="Q288" s="16" t="n">
        <v>469.65</v>
      </c>
      <c r="R288" s="16" t="n">
        <v>469.65</v>
      </c>
      <c r="S288" s="16" t="n">
        <v>469.65</v>
      </c>
      <c r="T288" s="16" t="n">
        <v>469.65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CANON-202602-004143</t>
        </is>
      </c>
      <c r="B289" s="3" t="inlineStr">
        <is>
          <t>2026-02-13</t>
        </is>
      </c>
      <c r="C289" s="3" t="inlineStr">
        <is>
          <t>Sunniva Thistlewood</t>
        </is>
      </c>
      <c r="D289" s="3" t="inlineStr">
        <is>
          <t>NJ</t>
        </is>
      </c>
      <c r="E289" s="14" t="n">
        <v>1290000</v>
      </c>
      <c r="F289" s="14" t="n">
        <v>15578.76</v>
      </c>
      <c r="G289" s="14" t="n">
        <v>1947.35</v>
      </c>
      <c r="H289" s="14" t="n">
        <v>1947.35</v>
      </c>
      <c r="I289" s="14">
        <f>SUM(K289:T289)</f>
        <v/>
      </c>
      <c r="J289" s="14">
        <f>F289-(G289+H289+I289)</f>
        <v/>
      </c>
      <c r="K289" s="14" t="n">
        <v>1168.41</v>
      </c>
      <c r="L289" s="14" t="n">
        <v>1168.41</v>
      </c>
      <c r="M289" s="14" t="n">
        <v>1168.41</v>
      </c>
      <c r="N289" s="14" t="n">
        <v>1168.41</v>
      </c>
      <c r="O289" s="14" t="n">
        <v>1168.41</v>
      </c>
      <c r="P289" s="14" t="n">
        <v>1168.41</v>
      </c>
      <c r="Q289" s="14" t="n">
        <v>1168.41</v>
      </c>
      <c r="R289" s="14" t="n">
        <v>1168.41</v>
      </c>
      <c r="S289" s="14" t="n">
        <v>1168.41</v>
      </c>
      <c r="T289" s="14" t="n">
        <v>1168.41</v>
      </c>
      <c r="U289" s="14" t="n">
        <v>350</v>
      </c>
      <c r="V289" s="14" t="n">
        <v>250</v>
      </c>
      <c r="W289" s="14">
        <f>U289+V289</f>
        <v/>
      </c>
    </row>
    <row r="290">
      <c r="A290" s="15" t="inlineStr">
        <is>
          <t>CANON-202602-004144</t>
        </is>
      </c>
      <c r="B290" s="15" t="inlineStr">
        <is>
          <t>2026-02-25</t>
        </is>
      </c>
      <c r="C290" s="15" t="inlineStr">
        <is>
          <t>Callum Blackwood</t>
        </is>
      </c>
      <c r="D290" s="15" t="inlineStr">
        <is>
          <t>SC</t>
        </is>
      </c>
      <c r="E290" s="16" t="n">
        <v>1265000</v>
      </c>
      <c r="F290" s="16" t="n">
        <v>8847.139999999999</v>
      </c>
      <c r="G290" s="16" t="n">
        <v>1105.89</v>
      </c>
      <c r="H290" s="16" t="n">
        <v>1105.89</v>
      </c>
      <c r="I290" s="16">
        <f>SUM(K290:T290)</f>
        <v/>
      </c>
      <c r="J290" s="16">
        <f>F290-(G290+H290+I290)</f>
        <v/>
      </c>
      <c r="K290" s="16" t="n">
        <v>663.54</v>
      </c>
      <c r="L290" s="16" t="n">
        <v>663.54</v>
      </c>
      <c r="M290" s="16" t="n">
        <v>663.54</v>
      </c>
      <c r="N290" s="16" t="n">
        <v>663.54</v>
      </c>
      <c r="O290" s="16" t="n">
        <v>663.54</v>
      </c>
      <c r="P290" s="16" t="n">
        <v>663.54</v>
      </c>
      <c r="Q290" s="16" t="n">
        <v>663.54</v>
      </c>
      <c r="R290" s="16" t="n">
        <v>663.54</v>
      </c>
      <c r="S290" s="16" t="n">
        <v>663.54</v>
      </c>
      <c r="T290" s="16" t="n">
        <v>663.54</v>
      </c>
      <c r="U290" s="16" t="n">
        <v>350</v>
      </c>
      <c r="V290" s="16" t="n">
        <v>250</v>
      </c>
      <c r="W290" s="16">
        <f>U290+V290</f>
        <v/>
      </c>
    </row>
    <row r="291">
      <c r="A291" s="3" t="inlineStr">
        <is>
          <t>CANON-202602-004145</t>
        </is>
      </c>
      <c r="B291" s="3" t="inlineStr">
        <is>
          <t>2026-02-08</t>
        </is>
      </c>
      <c r="C291" s="3" t="inlineStr">
        <is>
          <t>Priya Farkas</t>
        </is>
      </c>
      <c r="D291" s="3" t="inlineStr">
        <is>
          <t>AR</t>
        </is>
      </c>
      <c r="E291" s="14" t="n">
        <v>1145000</v>
      </c>
      <c r="F291" s="14" t="n">
        <v>20969.42</v>
      </c>
      <c r="G291" s="14" t="n">
        <v>2621.18</v>
      </c>
      <c r="H291" s="14" t="n">
        <v>2621.18</v>
      </c>
      <c r="I291" s="14">
        <f>SUM(K291:T291)</f>
        <v/>
      </c>
      <c r="J291" s="14">
        <f>F291-(G291+H291+I291)</f>
        <v/>
      </c>
      <c r="K291" s="14" t="n">
        <v>1572.71</v>
      </c>
      <c r="L291" s="14" t="n">
        <v>1572.71</v>
      </c>
      <c r="M291" s="14" t="n">
        <v>1572.71</v>
      </c>
      <c r="N291" s="14" t="n">
        <v>1572.71</v>
      </c>
      <c r="O291" s="14" t="n">
        <v>1572.71</v>
      </c>
      <c r="P291" s="14" t="n">
        <v>1572.71</v>
      </c>
      <c r="Q291" s="14" t="n">
        <v>1572.71</v>
      </c>
      <c r="R291" s="14" t="n">
        <v>1572.71</v>
      </c>
      <c r="S291" s="14" t="n">
        <v>1572.71</v>
      </c>
      <c r="T291" s="14" t="n">
        <v>1572.71</v>
      </c>
      <c r="U291" s="14" t="n">
        <v>350</v>
      </c>
      <c r="V291" s="14" t="n">
        <v>250</v>
      </c>
      <c r="W291" s="14">
        <f>U291+V291</f>
        <v/>
      </c>
    </row>
    <row r="292">
      <c r="A292" s="15" t="inlineStr">
        <is>
          <t>CANON-202602-004147</t>
        </is>
      </c>
      <c r="B292" s="15" t="inlineStr">
        <is>
          <t>2026-02-05</t>
        </is>
      </c>
      <c r="C292" s="15" t="inlineStr">
        <is>
          <t>Marisol Underwood</t>
        </is>
      </c>
      <c r="D292" s="15" t="inlineStr">
        <is>
          <t>SD</t>
        </is>
      </c>
      <c r="E292" s="16" t="n">
        <v>550000</v>
      </c>
      <c r="F292" s="16" t="n">
        <v>9621.02</v>
      </c>
      <c r="G292" s="16" t="n">
        <v>1202.63</v>
      </c>
      <c r="H292" s="16" t="n">
        <v>1202.63</v>
      </c>
      <c r="I292" s="16">
        <f>SUM(K292:T292)</f>
        <v/>
      </c>
      <c r="J292" s="16">
        <f>F292-(G292+H292+I292)</f>
        <v/>
      </c>
      <c r="K292" s="16" t="n">
        <v>721.58</v>
      </c>
      <c r="L292" s="16" t="n">
        <v>721.58</v>
      </c>
      <c r="M292" s="16" t="n">
        <v>721.58</v>
      </c>
      <c r="N292" s="16" t="n">
        <v>721.58</v>
      </c>
      <c r="O292" s="16" t="n">
        <v>721.58</v>
      </c>
      <c r="P292" s="16" t="n">
        <v>721.58</v>
      </c>
      <c r="Q292" s="16" t="n">
        <v>721.58</v>
      </c>
      <c r="R292" s="16" t="n">
        <v>721.58</v>
      </c>
      <c r="S292" s="16" t="n">
        <v>721.58</v>
      </c>
      <c r="T292" s="16" t="n">
        <v>721.58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CANON-202602-004148</t>
        </is>
      </c>
      <c r="B293" s="3" t="inlineStr">
        <is>
          <t>2026-02-13</t>
        </is>
      </c>
      <c r="C293" s="3" t="inlineStr">
        <is>
          <t>Horace Pennington</t>
        </is>
      </c>
      <c r="D293" s="3" t="inlineStr">
        <is>
          <t>NM</t>
        </is>
      </c>
      <c r="E293" s="14" t="n">
        <v>240000</v>
      </c>
      <c r="F293" s="14" t="n">
        <v>4688.36</v>
      </c>
      <c r="G293" s="14" t="n">
        <v>586.04</v>
      </c>
      <c r="H293" s="14" t="n">
        <v>586.04</v>
      </c>
      <c r="I293" s="14">
        <f>SUM(K293:T293)</f>
        <v/>
      </c>
      <c r="J293" s="14">
        <f>F293-(G293+H293+I293)</f>
        <v/>
      </c>
      <c r="K293" s="14" t="n">
        <v>351.63</v>
      </c>
      <c r="L293" s="14" t="n">
        <v>351.63</v>
      </c>
      <c r="M293" s="14" t="n">
        <v>351.63</v>
      </c>
      <c r="N293" s="14" t="n">
        <v>351.63</v>
      </c>
      <c r="O293" s="14" t="n">
        <v>351.63</v>
      </c>
      <c r="P293" s="14" t="n">
        <v>351.63</v>
      </c>
      <c r="Q293" s="14" t="n">
        <v>351.63</v>
      </c>
      <c r="R293" s="14" t="n">
        <v>351.63</v>
      </c>
      <c r="S293" s="14" t="n">
        <v>351.63</v>
      </c>
      <c r="T293" s="14" t="n">
        <v>351.63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CANON-202602-004150</t>
        </is>
      </c>
      <c r="B294" s="15" t="inlineStr">
        <is>
          <t>2026-02-15</t>
        </is>
      </c>
      <c r="C294" s="15" t="inlineStr">
        <is>
          <t>Aurelio Vandermeer</t>
        </is>
      </c>
      <c r="D294" s="15" t="inlineStr">
        <is>
          <t>NH</t>
        </is>
      </c>
      <c r="E294" s="16" t="n">
        <v>225000</v>
      </c>
      <c r="F294" s="16" t="n">
        <v>3571.21</v>
      </c>
      <c r="G294" s="16" t="n">
        <v>446.4</v>
      </c>
      <c r="H294" s="16" t="n">
        <v>446.4</v>
      </c>
      <c r="I294" s="16">
        <f>SUM(K294:T294)</f>
        <v/>
      </c>
      <c r="J294" s="16">
        <f>F294-(G294+H294+I294)</f>
        <v/>
      </c>
      <c r="K294" s="16" t="n">
        <v>267.84</v>
      </c>
      <c r="L294" s="16" t="n">
        <v>267.84</v>
      </c>
      <c r="M294" s="16" t="n">
        <v>267.84</v>
      </c>
      <c r="N294" s="16" t="n">
        <v>267.84</v>
      </c>
      <c r="O294" s="16" t="n">
        <v>267.84</v>
      </c>
      <c r="P294" s="16" t="n">
        <v>267.84</v>
      </c>
      <c r="Q294" s="16" t="n">
        <v>267.84</v>
      </c>
      <c r="R294" s="16" t="n">
        <v>267.84</v>
      </c>
      <c r="S294" s="16" t="n">
        <v>267.84</v>
      </c>
      <c r="T294" s="16" t="n">
        <v>267.84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CANON-202602-004153</t>
        </is>
      </c>
      <c r="B295" s="3" t="inlineStr">
        <is>
          <t>2026-02-13</t>
        </is>
      </c>
      <c r="C295" s="3" t="inlineStr">
        <is>
          <t>Anouk Underwood</t>
        </is>
      </c>
      <c r="D295" s="3" t="inlineStr">
        <is>
          <t>DE</t>
        </is>
      </c>
      <c r="E295" s="14" t="n">
        <v>415000</v>
      </c>
      <c r="F295" s="14" t="n">
        <v>6454.03</v>
      </c>
      <c r="G295" s="14" t="n">
        <v>806.75</v>
      </c>
      <c r="H295" s="14" t="n">
        <v>806.75</v>
      </c>
      <c r="I295" s="14">
        <f>SUM(K295:T295)</f>
        <v/>
      </c>
      <c r="J295" s="14">
        <f>F295-(G295+H295+I295)</f>
        <v/>
      </c>
      <c r="K295" s="14" t="n">
        <v>484.05</v>
      </c>
      <c r="L295" s="14" t="n">
        <v>484.05</v>
      </c>
      <c r="M295" s="14" t="n">
        <v>484.05</v>
      </c>
      <c r="N295" s="14" t="n">
        <v>484.05</v>
      </c>
      <c r="O295" s="14" t="n">
        <v>484.05</v>
      </c>
      <c r="P295" s="14" t="n">
        <v>484.05</v>
      </c>
      <c r="Q295" s="14" t="n">
        <v>484.05</v>
      </c>
      <c r="R295" s="14" t="n">
        <v>484.05</v>
      </c>
      <c r="S295" s="14" t="n">
        <v>484.05</v>
      </c>
      <c r="T295" s="14" t="n">
        <v>484.05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CANON-202602-004154</t>
        </is>
      </c>
      <c r="B296" s="15" t="inlineStr">
        <is>
          <t>2026-02-13</t>
        </is>
      </c>
      <c r="C296" s="15" t="inlineStr">
        <is>
          <t>Delphine Fairweather</t>
        </is>
      </c>
      <c r="D296" s="15" t="inlineStr">
        <is>
          <t>IA</t>
        </is>
      </c>
      <c r="E296" s="16" t="n">
        <v>560000</v>
      </c>
      <c r="F296" s="16" t="n">
        <v>6642.11</v>
      </c>
      <c r="G296" s="16" t="n">
        <v>830.26</v>
      </c>
      <c r="H296" s="16" t="n">
        <v>830.26</v>
      </c>
      <c r="I296" s="16">
        <f>SUM(K296:T296)</f>
        <v/>
      </c>
      <c r="J296" s="16">
        <f>F296-(G296+H296+I296)</f>
        <v/>
      </c>
      <c r="K296" s="16" t="n">
        <v>498.16</v>
      </c>
      <c r="L296" s="16" t="n">
        <v>498.16</v>
      </c>
      <c r="M296" s="16" t="n">
        <v>498.16</v>
      </c>
      <c r="N296" s="16" t="n">
        <v>498.16</v>
      </c>
      <c r="O296" s="16" t="n">
        <v>498.16</v>
      </c>
      <c r="P296" s="16" t="n">
        <v>498.16</v>
      </c>
      <c r="Q296" s="16" t="n">
        <v>498.16</v>
      </c>
      <c r="R296" s="16" t="n">
        <v>498.16</v>
      </c>
      <c r="S296" s="16" t="n">
        <v>498.16</v>
      </c>
      <c r="T296" s="16" t="n">
        <v>498.16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CANON-202602-004155</t>
        </is>
      </c>
      <c r="B297" s="3" t="inlineStr">
        <is>
          <t>2026-02-16</t>
        </is>
      </c>
      <c r="C297" s="3" t="inlineStr">
        <is>
          <t>Noor Rourke</t>
        </is>
      </c>
      <c r="D297" s="3" t="inlineStr">
        <is>
          <t>DE</t>
        </is>
      </c>
      <c r="E297" s="14" t="n">
        <v>880000</v>
      </c>
      <c r="F297" s="14" t="n">
        <v>6934.07</v>
      </c>
      <c r="G297" s="14" t="n">
        <v>866.76</v>
      </c>
      <c r="H297" s="14" t="n">
        <v>866.76</v>
      </c>
      <c r="I297" s="14">
        <f>SUM(K297:T297)</f>
        <v/>
      </c>
      <c r="J297" s="14">
        <f>F297-(G297+H297+I297)</f>
        <v/>
      </c>
      <c r="K297" s="14" t="n">
        <v>520.0599999999999</v>
      </c>
      <c r="L297" s="14" t="n">
        <v>520.0599999999999</v>
      </c>
      <c r="M297" s="14" t="n">
        <v>520.0599999999999</v>
      </c>
      <c r="N297" s="14" t="n">
        <v>520.0599999999999</v>
      </c>
      <c r="O297" s="14" t="n">
        <v>520.0599999999999</v>
      </c>
      <c r="P297" s="14" t="n">
        <v>520.0599999999999</v>
      </c>
      <c r="Q297" s="14" t="n">
        <v>520.0599999999999</v>
      </c>
      <c r="R297" s="14" t="n">
        <v>520.0599999999999</v>
      </c>
      <c r="S297" s="14" t="n">
        <v>520.0599999999999</v>
      </c>
      <c r="T297" s="14" t="n">
        <v>520.0599999999999</v>
      </c>
      <c r="U297" s="14" t="n">
        <v>350</v>
      </c>
      <c r="V297" s="14" t="n">
        <v>0</v>
      </c>
      <c r="W297" s="14">
        <f>U297+V297</f>
        <v/>
      </c>
    </row>
    <row r="298">
      <c r="A298" s="15" t="inlineStr">
        <is>
          <t>CANON-202602-004156</t>
        </is>
      </c>
      <c r="B298" s="15" t="inlineStr">
        <is>
          <t>2026-02-13</t>
        </is>
      </c>
      <c r="C298" s="15" t="inlineStr">
        <is>
          <t>Noor Harrington</t>
        </is>
      </c>
      <c r="D298" s="15" t="inlineStr">
        <is>
          <t>TX</t>
        </is>
      </c>
      <c r="E298" s="16" t="n">
        <v>675000</v>
      </c>
      <c r="F298" s="16" t="n">
        <v>8370.030000000001</v>
      </c>
      <c r="G298" s="16" t="n">
        <v>1046.25</v>
      </c>
      <c r="H298" s="16" t="n">
        <v>1046.25</v>
      </c>
      <c r="I298" s="16">
        <f>SUM(K298:T298)</f>
        <v/>
      </c>
      <c r="J298" s="16">
        <f>F298-(G298+H298+I298)</f>
        <v/>
      </c>
      <c r="K298" s="16" t="n">
        <v>627.75</v>
      </c>
      <c r="L298" s="16" t="n">
        <v>627.75</v>
      </c>
      <c r="M298" s="16" t="n">
        <v>627.75</v>
      </c>
      <c r="N298" s="16" t="n">
        <v>627.75</v>
      </c>
      <c r="O298" s="16" t="n">
        <v>627.75</v>
      </c>
      <c r="P298" s="16" t="n">
        <v>627.75</v>
      </c>
      <c r="Q298" s="16" t="n">
        <v>627.75</v>
      </c>
      <c r="R298" s="16" t="n">
        <v>627.75</v>
      </c>
      <c r="S298" s="16" t="n">
        <v>627.75</v>
      </c>
      <c r="T298" s="16" t="n">
        <v>627.75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CANON-202602-004158</t>
        </is>
      </c>
      <c r="B299" s="3" t="inlineStr">
        <is>
          <t>2026-02-19</t>
        </is>
      </c>
      <c r="C299" s="3" t="inlineStr">
        <is>
          <t>Beatrix Vandermeer</t>
        </is>
      </c>
      <c r="D299" s="3" t="inlineStr">
        <is>
          <t>WI</t>
        </is>
      </c>
      <c r="E299" s="14" t="n">
        <v>445000</v>
      </c>
      <c r="F299" s="14" t="n">
        <v>6643.76</v>
      </c>
      <c r="G299" s="14" t="n">
        <v>830.47</v>
      </c>
      <c r="H299" s="14" t="n">
        <v>830.47</v>
      </c>
      <c r="I299" s="14">
        <f>SUM(K299:T299)</f>
        <v/>
      </c>
      <c r="J299" s="14">
        <f>F299-(G299+H299+I299)</f>
        <v/>
      </c>
      <c r="K299" s="14" t="n">
        <v>498.28</v>
      </c>
      <c r="L299" s="14" t="n">
        <v>498.28</v>
      </c>
      <c r="M299" s="14" t="n">
        <v>498.28</v>
      </c>
      <c r="N299" s="14" t="n">
        <v>498.28</v>
      </c>
      <c r="O299" s="14" t="n">
        <v>498.28</v>
      </c>
      <c r="P299" s="14" t="n">
        <v>498.28</v>
      </c>
      <c r="Q299" s="14" t="n">
        <v>498.28</v>
      </c>
      <c r="R299" s="14" t="n">
        <v>498.28</v>
      </c>
      <c r="S299" s="14" t="n">
        <v>498.28</v>
      </c>
      <c r="T299" s="14" t="n">
        <v>498.28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CANON-202602-004159</t>
        </is>
      </c>
      <c r="B300" s="15" t="inlineStr">
        <is>
          <t>2026-02-08</t>
        </is>
      </c>
      <c r="C300" s="15" t="inlineStr">
        <is>
          <t>Marisol Thistlewood</t>
        </is>
      </c>
      <c r="D300" s="15" t="inlineStr">
        <is>
          <t>WA</t>
        </is>
      </c>
      <c r="E300" s="16" t="n">
        <v>700000</v>
      </c>
      <c r="F300" s="16" t="n">
        <v>7245.94</v>
      </c>
      <c r="G300" s="16" t="n">
        <v>905.74</v>
      </c>
      <c r="H300" s="16" t="n">
        <v>905.74</v>
      </c>
      <c r="I300" s="16">
        <f>SUM(K300:T300)</f>
        <v/>
      </c>
      <c r="J300" s="16">
        <f>F300-(G300+H300+I300)</f>
        <v/>
      </c>
      <c r="K300" s="16" t="n">
        <v>543.45</v>
      </c>
      <c r="L300" s="16" t="n">
        <v>543.45</v>
      </c>
      <c r="M300" s="16" t="n">
        <v>543.45</v>
      </c>
      <c r="N300" s="16" t="n">
        <v>543.45</v>
      </c>
      <c r="O300" s="16" t="n">
        <v>543.45</v>
      </c>
      <c r="P300" s="16" t="n">
        <v>543.45</v>
      </c>
      <c r="Q300" s="16" t="n">
        <v>543.45</v>
      </c>
      <c r="R300" s="16" t="n">
        <v>543.45</v>
      </c>
      <c r="S300" s="16" t="n">
        <v>543.45</v>
      </c>
      <c r="T300" s="16" t="n">
        <v>543.45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CANON-202602-004160</t>
        </is>
      </c>
      <c r="B301" s="3" t="inlineStr">
        <is>
          <t>2026-02-03</t>
        </is>
      </c>
      <c r="C301" s="3" t="inlineStr">
        <is>
          <t>Wilhelmina Fairweather</t>
        </is>
      </c>
      <c r="D301" s="3" t="inlineStr">
        <is>
          <t>WY</t>
        </is>
      </c>
      <c r="E301" s="14" t="n">
        <v>680000</v>
      </c>
      <c r="F301" s="14" t="n">
        <v>7845.45</v>
      </c>
      <c r="G301" s="14" t="n">
        <v>980.6799999999999</v>
      </c>
      <c r="H301" s="14" t="n">
        <v>980.6799999999999</v>
      </c>
      <c r="I301" s="14">
        <f>SUM(K301:T301)</f>
        <v/>
      </c>
      <c r="J301" s="14">
        <f>F301-(G301+H301+I301)</f>
        <v/>
      </c>
      <c r="K301" s="14" t="n">
        <v>588.41</v>
      </c>
      <c r="L301" s="14" t="n">
        <v>588.41</v>
      </c>
      <c r="M301" s="14" t="n">
        <v>588.41</v>
      </c>
      <c r="N301" s="14" t="n">
        <v>588.41</v>
      </c>
      <c r="O301" s="14" t="n">
        <v>588.41</v>
      </c>
      <c r="P301" s="14" t="n">
        <v>588.41</v>
      </c>
      <c r="Q301" s="14" t="n">
        <v>588.41</v>
      </c>
      <c r="R301" s="14" t="n">
        <v>588.41</v>
      </c>
      <c r="S301" s="14" t="n">
        <v>588.41</v>
      </c>
      <c r="T301" s="14" t="n">
        <v>588.41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CANON-202602-004162</t>
        </is>
      </c>
      <c r="B302" s="15" t="inlineStr">
        <is>
          <t>2026-02-03</t>
        </is>
      </c>
      <c r="C302" s="15" t="inlineStr">
        <is>
          <t>Priya Castellanos</t>
        </is>
      </c>
      <c r="D302" s="15" t="inlineStr">
        <is>
          <t>CA</t>
        </is>
      </c>
      <c r="E302" s="16" t="n">
        <v>440000</v>
      </c>
      <c r="F302" s="16" t="n">
        <v>4729.76</v>
      </c>
      <c r="G302" s="16" t="n">
        <v>591.22</v>
      </c>
      <c r="H302" s="16" t="n">
        <v>591.22</v>
      </c>
      <c r="I302" s="16">
        <f>SUM(K302:T302)</f>
        <v/>
      </c>
      <c r="J302" s="16">
        <f>F302-(G302+H302+I302)</f>
        <v/>
      </c>
      <c r="K302" s="16" t="n">
        <v>354.73</v>
      </c>
      <c r="L302" s="16" t="n">
        <v>354.73</v>
      </c>
      <c r="M302" s="16" t="n">
        <v>354.73</v>
      </c>
      <c r="N302" s="16" t="n">
        <v>354.73</v>
      </c>
      <c r="O302" s="16" t="n">
        <v>354.73</v>
      </c>
      <c r="P302" s="16" t="n">
        <v>354.73</v>
      </c>
      <c r="Q302" s="16" t="n">
        <v>354.73</v>
      </c>
      <c r="R302" s="16" t="n">
        <v>354.73</v>
      </c>
      <c r="S302" s="16" t="n">
        <v>354.73</v>
      </c>
      <c r="T302" s="16" t="n">
        <v>354.73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CANON-202602-004163</t>
        </is>
      </c>
      <c r="B303" s="3" t="inlineStr">
        <is>
          <t>2026-02-26</t>
        </is>
      </c>
      <c r="C303" s="3" t="inlineStr">
        <is>
          <t>Priya Merriweather</t>
        </is>
      </c>
      <c r="D303" s="3" t="inlineStr">
        <is>
          <t>NY</t>
        </is>
      </c>
      <c r="E303" s="14" t="n">
        <v>285000</v>
      </c>
      <c r="F303" s="14" t="n">
        <v>4538.66</v>
      </c>
      <c r="G303" s="14" t="n">
        <v>567.33</v>
      </c>
      <c r="H303" s="14" t="n">
        <v>567.33</v>
      </c>
      <c r="I303" s="14">
        <f>SUM(K303:T303)</f>
        <v/>
      </c>
      <c r="J303" s="14">
        <f>F303-(G303+H303+I303)</f>
        <v/>
      </c>
      <c r="K303" s="14" t="n">
        <v>340.4</v>
      </c>
      <c r="L303" s="14" t="n">
        <v>340.4</v>
      </c>
      <c r="M303" s="14" t="n">
        <v>340.4</v>
      </c>
      <c r="N303" s="14" t="n">
        <v>340.4</v>
      </c>
      <c r="O303" s="14" t="n">
        <v>340.4</v>
      </c>
      <c r="P303" s="14" t="n">
        <v>340.4</v>
      </c>
      <c r="Q303" s="14" t="n">
        <v>340.4</v>
      </c>
      <c r="R303" s="14" t="n">
        <v>340.4</v>
      </c>
      <c r="S303" s="14" t="n">
        <v>340.4</v>
      </c>
      <c r="T303" s="14" t="n">
        <v>340.4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CANON-202602-004168</t>
        </is>
      </c>
      <c r="B304" s="15" t="inlineStr">
        <is>
          <t>2026-02-04</t>
        </is>
      </c>
      <c r="C304" s="15" t="inlineStr">
        <is>
          <t>Fenwick Whitlock</t>
        </is>
      </c>
      <c r="D304" s="15" t="inlineStr">
        <is>
          <t>WV</t>
        </is>
      </c>
      <c r="E304" s="16" t="n">
        <v>150000</v>
      </c>
      <c r="F304" s="16" t="n">
        <v>3044.69</v>
      </c>
      <c r="G304" s="16" t="n">
        <v>380.59</v>
      </c>
      <c r="H304" s="16" t="n">
        <v>380.59</v>
      </c>
      <c r="I304" s="16">
        <f>SUM(K304:T304)</f>
        <v/>
      </c>
      <c r="J304" s="16">
        <f>F304-(G304+H304+I304)</f>
        <v/>
      </c>
      <c r="K304" s="16" t="n">
        <v>228.35</v>
      </c>
      <c r="L304" s="16" t="n">
        <v>228.35</v>
      </c>
      <c r="M304" s="16" t="n">
        <v>228.35</v>
      </c>
      <c r="N304" s="16" t="n">
        <v>228.35</v>
      </c>
      <c r="O304" s="16" t="n">
        <v>228.35</v>
      </c>
      <c r="P304" s="16" t="n">
        <v>228.35</v>
      </c>
      <c r="Q304" s="16" t="n">
        <v>228.35</v>
      </c>
      <c r="R304" s="16" t="n">
        <v>228.35</v>
      </c>
      <c r="S304" s="16" t="n">
        <v>228.35</v>
      </c>
      <c r="T304" s="16" t="n">
        <v>228.35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CANON-202602-004170</t>
        </is>
      </c>
      <c r="B305" s="3" t="inlineStr">
        <is>
          <t>2026-02-11</t>
        </is>
      </c>
      <c r="C305" s="3" t="inlineStr">
        <is>
          <t>Noor Bellandi</t>
        </is>
      </c>
      <c r="D305" s="3" t="inlineStr">
        <is>
          <t>CA</t>
        </is>
      </c>
      <c r="E305" s="14" t="n">
        <v>615000</v>
      </c>
      <c r="F305" s="14" t="n">
        <v>8952.290000000001</v>
      </c>
      <c r="G305" s="14" t="n">
        <v>1119.04</v>
      </c>
      <c r="H305" s="14" t="n">
        <v>1119.04</v>
      </c>
      <c r="I305" s="14">
        <f>SUM(K305:T305)</f>
        <v/>
      </c>
      <c r="J305" s="14">
        <f>F305-(G305+H305+I305)</f>
        <v/>
      </c>
      <c r="K305" s="14" t="n">
        <v>671.42</v>
      </c>
      <c r="L305" s="14" t="n">
        <v>671.42</v>
      </c>
      <c r="M305" s="14" t="n">
        <v>671.42</v>
      </c>
      <c r="N305" s="14" t="n">
        <v>671.42</v>
      </c>
      <c r="O305" s="14" t="n">
        <v>671.42</v>
      </c>
      <c r="P305" s="14" t="n">
        <v>671.42</v>
      </c>
      <c r="Q305" s="14" t="n">
        <v>671.42</v>
      </c>
      <c r="R305" s="14" t="n">
        <v>671.42</v>
      </c>
      <c r="S305" s="14" t="n">
        <v>671.42</v>
      </c>
      <c r="T305" s="14" t="n">
        <v>671.42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CANON-202602-004171</t>
        </is>
      </c>
      <c r="B306" s="15" t="inlineStr">
        <is>
          <t>2026-02-03</t>
        </is>
      </c>
      <c r="C306" s="15" t="inlineStr">
        <is>
          <t>Cassius Fairweather</t>
        </is>
      </c>
      <c r="D306" s="15" t="inlineStr">
        <is>
          <t>ME</t>
        </is>
      </c>
      <c r="E306" s="16" t="n">
        <v>695000</v>
      </c>
      <c r="F306" s="16" t="n">
        <v>8093.45</v>
      </c>
      <c r="G306" s="16" t="n">
        <v>1011.68</v>
      </c>
      <c r="H306" s="16" t="n">
        <v>1011.68</v>
      </c>
      <c r="I306" s="16">
        <f>SUM(K306:T306)</f>
        <v/>
      </c>
      <c r="J306" s="16">
        <f>F306-(G306+H306+I306)</f>
        <v/>
      </c>
      <c r="K306" s="16" t="n">
        <v>607.01</v>
      </c>
      <c r="L306" s="16" t="n">
        <v>607.01</v>
      </c>
      <c r="M306" s="16" t="n">
        <v>607.01</v>
      </c>
      <c r="N306" s="16" t="n">
        <v>607.01</v>
      </c>
      <c r="O306" s="16" t="n">
        <v>607.01</v>
      </c>
      <c r="P306" s="16" t="n">
        <v>607.01</v>
      </c>
      <c r="Q306" s="16" t="n">
        <v>607.01</v>
      </c>
      <c r="R306" s="16" t="n">
        <v>607.01</v>
      </c>
      <c r="S306" s="16" t="n">
        <v>607.01</v>
      </c>
      <c r="T306" s="16" t="n">
        <v>607.01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CANON-202602-004176</t>
        </is>
      </c>
      <c r="B307" s="3" t="inlineStr">
        <is>
          <t>2026-02-15</t>
        </is>
      </c>
      <c r="C307" s="3" t="inlineStr">
        <is>
          <t>Sunniva Thistlewood</t>
        </is>
      </c>
      <c r="D307" s="3" t="inlineStr">
        <is>
          <t>OK</t>
        </is>
      </c>
      <c r="E307" s="14" t="n">
        <v>510000</v>
      </c>
      <c r="F307" s="14" t="n">
        <v>6928.92</v>
      </c>
      <c r="G307" s="14" t="n">
        <v>866.12</v>
      </c>
      <c r="H307" s="14" t="n">
        <v>866.12</v>
      </c>
      <c r="I307" s="14">
        <f>SUM(K307:T307)</f>
        <v/>
      </c>
      <c r="J307" s="14">
        <f>F307-(G307+H307+I307)</f>
        <v/>
      </c>
      <c r="K307" s="14" t="n">
        <v>519.67</v>
      </c>
      <c r="L307" s="14" t="n">
        <v>519.67</v>
      </c>
      <c r="M307" s="14" t="n">
        <v>519.67</v>
      </c>
      <c r="N307" s="14" t="n">
        <v>519.67</v>
      </c>
      <c r="O307" s="14" t="n">
        <v>519.67</v>
      </c>
      <c r="P307" s="14" t="n">
        <v>519.67</v>
      </c>
      <c r="Q307" s="14" t="n">
        <v>519.67</v>
      </c>
      <c r="R307" s="14" t="n">
        <v>519.67</v>
      </c>
      <c r="S307" s="14" t="n">
        <v>519.67</v>
      </c>
      <c r="T307" s="14" t="n">
        <v>519.67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CANON-202602-004179</t>
        </is>
      </c>
      <c r="B308" s="15" t="inlineStr">
        <is>
          <t>2026-02-26</t>
        </is>
      </c>
      <c r="C308" s="15" t="inlineStr">
        <is>
          <t>Ramona Whitlock</t>
        </is>
      </c>
      <c r="D308" s="15" t="inlineStr">
        <is>
          <t>CO</t>
        </is>
      </c>
      <c r="E308" s="16" t="n">
        <v>1355000</v>
      </c>
      <c r="F308" s="16" t="n">
        <v>13598.98</v>
      </c>
      <c r="G308" s="16" t="n">
        <v>1699.87</v>
      </c>
      <c r="H308" s="16" t="n">
        <v>1699.87</v>
      </c>
      <c r="I308" s="16">
        <f>SUM(K308:T308)</f>
        <v/>
      </c>
      <c r="J308" s="16">
        <f>F308-(G308+H308+I308)</f>
        <v/>
      </c>
      <c r="K308" s="16" t="n">
        <v>1019.92</v>
      </c>
      <c r="L308" s="16" t="n">
        <v>1019.92</v>
      </c>
      <c r="M308" s="16" t="n">
        <v>1019.92</v>
      </c>
      <c r="N308" s="16" t="n">
        <v>1019.92</v>
      </c>
      <c r="O308" s="16" t="n">
        <v>1019.92</v>
      </c>
      <c r="P308" s="16" t="n">
        <v>1019.92</v>
      </c>
      <c r="Q308" s="16" t="n">
        <v>1019.92</v>
      </c>
      <c r="R308" s="16" t="n">
        <v>1019.92</v>
      </c>
      <c r="S308" s="16" t="n">
        <v>1019.92</v>
      </c>
      <c r="T308" s="16" t="n">
        <v>1019.92</v>
      </c>
      <c r="U308" s="16" t="n">
        <v>350</v>
      </c>
      <c r="V308" s="16" t="n">
        <v>250</v>
      </c>
      <c r="W308" s="16">
        <f>U308+V308</f>
        <v/>
      </c>
    </row>
    <row r="309">
      <c r="A309" s="3" t="inlineStr">
        <is>
          <t>CANON-202602-004180</t>
        </is>
      </c>
      <c r="B309" s="3" t="inlineStr">
        <is>
          <t>2026-02-16</t>
        </is>
      </c>
      <c r="C309" s="3" t="inlineStr">
        <is>
          <t>Anouk Castellanos</t>
        </is>
      </c>
      <c r="D309" s="3" t="inlineStr">
        <is>
          <t>LA</t>
        </is>
      </c>
      <c r="E309" s="14" t="n">
        <v>515000</v>
      </c>
      <c r="F309" s="14" t="n">
        <v>6719.21</v>
      </c>
      <c r="G309" s="14" t="n">
        <v>839.9</v>
      </c>
      <c r="H309" s="14" t="n">
        <v>839.9</v>
      </c>
      <c r="I309" s="14">
        <f>SUM(K309:T309)</f>
        <v/>
      </c>
      <c r="J309" s="14">
        <f>F309-(G309+H309+I309)</f>
        <v/>
      </c>
      <c r="K309" s="14" t="n">
        <v>503.94</v>
      </c>
      <c r="L309" s="14" t="n">
        <v>503.94</v>
      </c>
      <c r="M309" s="14" t="n">
        <v>503.94</v>
      </c>
      <c r="N309" s="14" t="n">
        <v>503.94</v>
      </c>
      <c r="O309" s="14" t="n">
        <v>503.94</v>
      </c>
      <c r="P309" s="14" t="n">
        <v>503.94</v>
      </c>
      <c r="Q309" s="14" t="n">
        <v>503.94</v>
      </c>
      <c r="R309" s="14" t="n">
        <v>503.94</v>
      </c>
      <c r="S309" s="14" t="n">
        <v>503.94</v>
      </c>
      <c r="T309" s="14" t="n">
        <v>503.94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CANON-202602-004181</t>
        </is>
      </c>
      <c r="B310" s="15" t="inlineStr">
        <is>
          <t>2026-02-17</t>
        </is>
      </c>
      <c r="C310" s="15" t="inlineStr">
        <is>
          <t>Desmond Kingsford</t>
        </is>
      </c>
      <c r="D310" s="15" t="inlineStr">
        <is>
          <t>WI</t>
        </is>
      </c>
      <c r="E310" s="16" t="n">
        <v>1120000</v>
      </c>
      <c r="F310" s="16" t="n">
        <v>17836.15</v>
      </c>
      <c r="G310" s="16" t="n">
        <v>2229.52</v>
      </c>
      <c r="H310" s="16" t="n">
        <v>2229.52</v>
      </c>
      <c r="I310" s="16">
        <f>SUM(K310:T310)</f>
        <v/>
      </c>
      <c r="J310" s="16">
        <f>F310-(G310+H310+I310)</f>
        <v/>
      </c>
      <c r="K310" s="16" t="n">
        <v>1337.71</v>
      </c>
      <c r="L310" s="16" t="n">
        <v>1337.71</v>
      </c>
      <c r="M310" s="16" t="n">
        <v>1337.71</v>
      </c>
      <c r="N310" s="16" t="n">
        <v>1337.71</v>
      </c>
      <c r="O310" s="16" t="n">
        <v>1337.71</v>
      </c>
      <c r="P310" s="16" t="n">
        <v>1337.71</v>
      </c>
      <c r="Q310" s="16" t="n">
        <v>1337.71</v>
      </c>
      <c r="R310" s="16" t="n">
        <v>1337.71</v>
      </c>
      <c r="S310" s="16" t="n">
        <v>1337.71</v>
      </c>
      <c r="T310" s="16" t="n">
        <v>1337.71</v>
      </c>
      <c r="U310" s="16" t="n">
        <v>350</v>
      </c>
      <c r="V310" s="16" t="n">
        <v>250</v>
      </c>
      <c r="W310" s="16">
        <f>U310+V310</f>
        <v/>
      </c>
    </row>
    <row r="311">
      <c r="A311" s="3" t="inlineStr">
        <is>
          <t>CANON-202602-004182</t>
        </is>
      </c>
      <c r="B311" s="3" t="inlineStr">
        <is>
          <t>2026-02-02</t>
        </is>
      </c>
      <c r="C311" s="3" t="inlineStr">
        <is>
          <t>Cassius Merriweather</t>
        </is>
      </c>
      <c r="D311" s="3" t="inlineStr">
        <is>
          <t>PA</t>
        </is>
      </c>
      <c r="E311" s="14" t="n">
        <v>615000</v>
      </c>
      <c r="F311" s="14" t="n">
        <v>6631.32</v>
      </c>
      <c r="G311" s="14" t="n">
        <v>828.91</v>
      </c>
      <c r="H311" s="14" t="n">
        <v>828.91</v>
      </c>
      <c r="I311" s="14">
        <f>SUM(K311:T311)</f>
        <v/>
      </c>
      <c r="J311" s="14">
        <f>F311-(G311+H311+I311)</f>
        <v/>
      </c>
      <c r="K311" s="14" t="n">
        <v>497.35</v>
      </c>
      <c r="L311" s="14" t="n">
        <v>497.35</v>
      </c>
      <c r="M311" s="14" t="n">
        <v>497.35</v>
      </c>
      <c r="N311" s="14" t="n">
        <v>497.35</v>
      </c>
      <c r="O311" s="14" t="n">
        <v>497.35</v>
      </c>
      <c r="P311" s="14" t="n">
        <v>497.35</v>
      </c>
      <c r="Q311" s="14" t="n">
        <v>497.35</v>
      </c>
      <c r="R311" s="14" t="n">
        <v>497.35</v>
      </c>
      <c r="S311" s="14" t="n">
        <v>497.35</v>
      </c>
      <c r="T311" s="14" t="n">
        <v>497.35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CANON-202602-004184</t>
        </is>
      </c>
      <c r="B312" s="15" t="inlineStr">
        <is>
          <t>2026-02-03</t>
        </is>
      </c>
      <c r="C312" s="15" t="inlineStr">
        <is>
          <t>Wilhelmina Fairweather</t>
        </is>
      </c>
      <c r="D312" s="15" t="inlineStr">
        <is>
          <t>IA</t>
        </is>
      </c>
      <c r="E312" s="16" t="n">
        <v>310000</v>
      </c>
      <c r="F312" s="16" t="n">
        <v>4242.55</v>
      </c>
      <c r="G312" s="16" t="n">
        <v>530.3200000000001</v>
      </c>
      <c r="H312" s="16" t="n">
        <v>530.3200000000001</v>
      </c>
      <c r="I312" s="16">
        <f>SUM(K312:T312)</f>
        <v/>
      </c>
      <c r="J312" s="16">
        <f>F312-(G312+H312+I312)</f>
        <v/>
      </c>
      <c r="K312" s="16" t="n">
        <v>318.19</v>
      </c>
      <c r="L312" s="16" t="n">
        <v>318.19</v>
      </c>
      <c r="M312" s="16" t="n">
        <v>318.19</v>
      </c>
      <c r="N312" s="16" t="n">
        <v>318.19</v>
      </c>
      <c r="O312" s="16" t="n">
        <v>318.19</v>
      </c>
      <c r="P312" s="16" t="n">
        <v>318.19</v>
      </c>
      <c r="Q312" s="16" t="n">
        <v>318.19</v>
      </c>
      <c r="R312" s="16" t="n">
        <v>318.19</v>
      </c>
      <c r="S312" s="16" t="n">
        <v>318.19</v>
      </c>
      <c r="T312" s="16" t="n">
        <v>318.19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CANON-202602-004185</t>
        </is>
      </c>
      <c r="B313" s="3" t="inlineStr">
        <is>
          <t>2026-02-26</t>
        </is>
      </c>
      <c r="C313" s="3" t="inlineStr">
        <is>
          <t>Lorenzo Harrington</t>
        </is>
      </c>
      <c r="D313" s="3" t="inlineStr">
        <is>
          <t>VT</t>
        </is>
      </c>
      <c r="E313" s="14" t="n">
        <v>1910000</v>
      </c>
      <c r="F313" s="14" t="n">
        <v>30923.95</v>
      </c>
      <c r="G313" s="14" t="n">
        <v>3865.49</v>
      </c>
      <c r="H313" s="14" t="n">
        <v>3865.49</v>
      </c>
      <c r="I313" s="14">
        <f>SUM(K313:T313)</f>
        <v/>
      </c>
      <c r="J313" s="14">
        <f>F313-(G313+H313+I313)</f>
        <v/>
      </c>
      <c r="K313" s="14" t="n">
        <v>2319.3</v>
      </c>
      <c r="L313" s="14" t="n">
        <v>2319.3</v>
      </c>
      <c r="M313" s="14" t="n">
        <v>2319.3</v>
      </c>
      <c r="N313" s="14" t="n">
        <v>2319.3</v>
      </c>
      <c r="O313" s="14" t="n">
        <v>2319.3</v>
      </c>
      <c r="P313" s="14" t="n">
        <v>2319.3</v>
      </c>
      <c r="Q313" s="14" t="n">
        <v>2319.3</v>
      </c>
      <c r="R313" s="14" t="n">
        <v>2319.3</v>
      </c>
      <c r="S313" s="14" t="n">
        <v>2319.3</v>
      </c>
      <c r="T313" s="14" t="n">
        <v>2319.3</v>
      </c>
      <c r="U313" s="14" t="n">
        <v>350</v>
      </c>
      <c r="V313" s="14" t="n">
        <v>250</v>
      </c>
      <c r="W313" s="14">
        <f>U313+V313</f>
        <v/>
      </c>
    </row>
    <row r="314">
      <c r="A314" s="15" t="inlineStr">
        <is>
          <t>CANON-202602-004186</t>
        </is>
      </c>
      <c r="B314" s="15" t="inlineStr">
        <is>
          <t>2026-02-03</t>
        </is>
      </c>
      <c r="C314" s="15" t="inlineStr">
        <is>
          <t>Horace Ashcombe</t>
        </is>
      </c>
      <c r="D314" s="15" t="inlineStr">
        <is>
          <t>LA</t>
        </is>
      </c>
      <c r="E314" s="16" t="n">
        <v>1685000</v>
      </c>
      <c r="F314" s="16" t="n">
        <v>18602.01</v>
      </c>
      <c r="G314" s="16" t="n">
        <v>2325.25</v>
      </c>
      <c r="H314" s="16" t="n">
        <v>2325.25</v>
      </c>
      <c r="I314" s="16">
        <f>SUM(K314:T314)</f>
        <v/>
      </c>
      <c r="J314" s="16">
        <f>F314-(G314+H314+I314)</f>
        <v/>
      </c>
      <c r="K314" s="16" t="n">
        <v>1395.15</v>
      </c>
      <c r="L314" s="16" t="n">
        <v>1395.15</v>
      </c>
      <c r="M314" s="16" t="n">
        <v>1395.15</v>
      </c>
      <c r="N314" s="16" t="n">
        <v>1395.15</v>
      </c>
      <c r="O314" s="16" t="n">
        <v>1395.15</v>
      </c>
      <c r="P314" s="16" t="n">
        <v>1395.15</v>
      </c>
      <c r="Q314" s="16" t="n">
        <v>1395.15</v>
      </c>
      <c r="R314" s="16" t="n">
        <v>1395.15</v>
      </c>
      <c r="S314" s="16" t="n">
        <v>1395.15</v>
      </c>
      <c r="T314" s="16" t="n">
        <v>1395.15</v>
      </c>
      <c r="U314" s="16" t="n">
        <v>350</v>
      </c>
      <c r="V314" s="16" t="n">
        <v>250</v>
      </c>
      <c r="W314" s="16">
        <f>U314+V314</f>
        <v/>
      </c>
    </row>
    <row r="315">
      <c r="A315" s="3" t="inlineStr">
        <is>
          <t>CANON-202602-004187</t>
        </is>
      </c>
      <c r="B315" s="3" t="inlineStr">
        <is>
          <t>2026-02-19</t>
        </is>
      </c>
      <c r="C315" s="3" t="inlineStr">
        <is>
          <t>Aurelio Montoya</t>
        </is>
      </c>
      <c r="D315" s="3" t="inlineStr">
        <is>
          <t>OK</t>
        </is>
      </c>
      <c r="E315" s="14" t="n">
        <v>755000</v>
      </c>
      <c r="F315" s="14" t="n">
        <v>10257.53</v>
      </c>
      <c r="G315" s="14" t="n">
        <v>1282.19</v>
      </c>
      <c r="H315" s="14" t="n">
        <v>1282.19</v>
      </c>
      <c r="I315" s="14">
        <f>SUM(K315:T315)</f>
        <v/>
      </c>
      <c r="J315" s="14">
        <f>F315-(G315+H315+I315)</f>
        <v/>
      </c>
      <c r="K315" s="14" t="n">
        <v>769.3099999999999</v>
      </c>
      <c r="L315" s="14" t="n">
        <v>769.3099999999999</v>
      </c>
      <c r="M315" s="14" t="n">
        <v>769.3099999999999</v>
      </c>
      <c r="N315" s="14" t="n">
        <v>769.3099999999999</v>
      </c>
      <c r="O315" s="14" t="n">
        <v>769.3099999999999</v>
      </c>
      <c r="P315" s="14" t="n">
        <v>769.3099999999999</v>
      </c>
      <c r="Q315" s="14" t="n">
        <v>769.3099999999999</v>
      </c>
      <c r="R315" s="14" t="n">
        <v>769.3099999999999</v>
      </c>
      <c r="S315" s="14" t="n">
        <v>769.3099999999999</v>
      </c>
      <c r="T315" s="14" t="n">
        <v>769.3099999999999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CANON-202602-004188</t>
        </is>
      </c>
      <c r="B316" s="15" t="inlineStr">
        <is>
          <t>2026-02-05</t>
        </is>
      </c>
      <c r="C316" s="15" t="inlineStr">
        <is>
          <t>Beatrix Larsson</t>
        </is>
      </c>
      <c r="D316" s="15" t="inlineStr">
        <is>
          <t>NY</t>
        </is>
      </c>
      <c r="E316" s="16" t="n">
        <v>295000</v>
      </c>
      <c r="F316" s="16" t="n">
        <v>4697.92</v>
      </c>
      <c r="G316" s="16" t="n">
        <v>587.24</v>
      </c>
      <c r="H316" s="16" t="n">
        <v>587.24</v>
      </c>
      <c r="I316" s="16">
        <f>SUM(K316:T316)</f>
        <v/>
      </c>
      <c r="J316" s="16">
        <f>F316-(G316+H316+I316)</f>
        <v/>
      </c>
      <c r="K316" s="16" t="n">
        <v>352.34</v>
      </c>
      <c r="L316" s="16" t="n">
        <v>352.34</v>
      </c>
      <c r="M316" s="16" t="n">
        <v>352.34</v>
      </c>
      <c r="N316" s="16" t="n">
        <v>352.34</v>
      </c>
      <c r="O316" s="16" t="n">
        <v>352.34</v>
      </c>
      <c r="P316" s="16" t="n">
        <v>352.34</v>
      </c>
      <c r="Q316" s="16" t="n">
        <v>352.34</v>
      </c>
      <c r="R316" s="16" t="n">
        <v>352.34</v>
      </c>
      <c r="S316" s="16" t="n">
        <v>352.34</v>
      </c>
      <c r="T316" s="16" t="n">
        <v>352.34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CANON-202602-004189</t>
        </is>
      </c>
      <c r="B317" s="3" t="inlineStr">
        <is>
          <t>2026-02-21</t>
        </is>
      </c>
      <c r="C317" s="3" t="inlineStr">
        <is>
          <t>Delphine Okonkwo</t>
        </is>
      </c>
      <c r="D317" s="3" t="inlineStr">
        <is>
          <t>WV</t>
        </is>
      </c>
      <c r="E317" s="14" t="n">
        <v>1815000</v>
      </c>
      <c r="F317" s="14" t="n">
        <v>22024.33</v>
      </c>
      <c r="G317" s="14" t="n">
        <v>2753.04</v>
      </c>
      <c r="H317" s="14" t="n">
        <v>2753.04</v>
      </c>
      <c r="I317" s="14">
        <f>SUM(K317:T317)</f>
        <v/>
      </c>
      <c r="J317" s="14">
        <f>F317-(G317+H317+I317)</f>
        <v/>
      </c>
      <c r="K317" s="14" t="n">
        <v>1651.82</v>
      </c>
      <c r="L317" s="14" t="n">
        <v>1651.82</v>
      </c>
      <c r="M317" s="14" t="n">
        <v>1651.82</v>
      </c>
      <c r="N317" s="14" t="n">
        <v>1651.82</v>
      </c>
      <c r="O317" s="14" t="n">
        <v>1651.82</v>
      </c>
      <c r="P317" s="14" t="n">
        <v>1651.82</v>
      </c>
      <c r="Q317" s="14" t="n">
        <v>1651.82</v>
      </c>
      <c r="R317" s="14" t="n">
        <v>1651.82</v>
      </c>
      <c r="S317" s="14" t="n">
        <v>1651.82</v>
      </c>
      <c r="T317" s="14" t="n">
        <v>1651.82</v>
      </c>
      <c r="U317" s="14" t="n">
        <v>350</v>
      </c>
      <c r="V317" s="14" t="n">
        <v>250</v>
      </c>
      <c r="W317" s="14">
        <f>U317+V317</f>
        <v/>
      </c>
    </row>
    <row r="318">
      <c r="A318" s="15" t="inlineStr">
        <is>
          <t>CANON-202602-004190</t>
        </is>
      </c>
      <c r="B318" s="15" t="inlineStr">
        <is>
          <t>2026-02-10</t>
        </is>
      </c>
      <c r="C318" s="15" t="inlineStr">
        <is>
          <t>Callum Nakashima</t>
        </is>
      </c>
      <c r="D318" s="15" t="inlineStr">
        <is>
          <t>TX</t>
        </is>
      </c>
      <c r="E318" s="16" t="n">
        <v>360000</v>
      </c>
      <c r="F318" s="16" t="n">
        <v>5150.78</v>
      </c>
      <c r="G318" s="16" t="n">
        <v>643.85</v>
      </c>
      <c r="H318" s="16" t="n">
        <v>643.85</v>
      </c>
      <c r="I318" s="16">
        <f>SUM(K318:T318)</f>
        <v/>
      </c>
      <c r="J318" s="16">
        <f>F318-(G318+H318+I318)</f>
        <v/>
      </c>
      <c r="K318" s="16" t="n">
        <v>386.31</v>
      </c>
      <c r="L318" s="16" t="n">
        <v>386.31</v>
      </c>
      <c r="M318" s="16" t="n">
        <v>386.31</v>
      </c>
      <c r="N318" s="16" t="n">
        <v>386.31</v>
      </c>
      <c r="O318" s="16" t="n">
        <v>386.31</v>
      </c>
      <c r="P318" s="16" t="n">
        <v>386.31</v>
      </c>
      <c r="Q318" s="16" t="n">
        <v>386.31</v>
      </c>
      <c r="R318" s="16" t="n">
        <v>386.31</v>
      </c>
      <c r="S318" s="16" t="n">
        <v>386.31</v>
      </c>
      <c r="T318" s="16" t="n">
        <v>386.31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CANON-202602-004192</t>
        </is>
      </c>
      <c r="B319" s="3" t="inlineStr">
        <is>
          <t>2026-02-23</t>
        </is>
      </c>
      <c r="C319" s="3" t="inlineStr">
        <is>
          <t>Priya Harrington</t>
        </is>
      </c>
      <c r="D319" s="3" t="inlineStr">
        <is>
          <t>HI</t>
        </is>
      </c>
      <c r="E319" s="14" t="n">
        <v>380000</v>
      </c>
      <c r="F319" s="14" t="n">
        <v>3933.51</v>
      </c>
      <c r="G319" s="14" t="n">
        <v>491.69</v>
      </c>
      <c r="H319" s="14" t="n">
        <v>491.69</v>
      </c>
      <c r="I319" s="14">
        <f>SUM(K319:T319)</f>
        <v/>
      </c>
      <c r="J319" s="14">
        <f>F319-(G319+H319+I319)</f>
        <v/>
      </c>
      <c r="K319" s="14" t="n">
        <v>295.01</v>
      </c>
      <c r="L319" s="14" t="n">
        <v>295.01</v>
      </c>
      <c r="M319" s="14" t="n">
        <v>295.01</v>
      </c>
      <c r="N319" s="14" t="n">
        <v>295.01</v>
      </c>
      <c r="O319" s="14" t="n">
        <v>295.01</v>
      </c>
      <c r="P319" s="14" t="n">
        <v>295.01</v>
      </c>
      <c r="Q319" s="14" t="n">
        <v>295.01</v>
      </c>
      <c r="R319" s="14" t="n">
        <v>295.01</v>
      </c>
      <c r="S319" s="14" t="n">
        <v>295.01</v>
      </c>
      <c r="T319" s="14" t="n">
        <v>295.01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CANON-202602-004195</t>
        </is>
      </c>
      <c r="B320" s="15" t="inlineStr">
        <is>
          <t>2026-02-14</t>
        </is>
      </c>
      <c r="C320" s="15" t="inlineStr">
        <is>
          <t>Priya Kingsford</t>
        </is>
      </c>
      <c r="D320" s="15" t="inlineStr">
        <is>
          <t>TX</t>
        </is>
      </c>
      <c r="E320" s="16" t="n">
        <v>140000</v>
      </c>
      <c r="F320" s="16" t="n">
        <v>2457.12</v>
      </c>
      <c r="G320" s="16" t="n">
        <v>307.14</v>
      </c>
      <c r="H320" s="16" t="n">
        <v>307.14</v>
      </c>
      <c r="I320" s="16">
        <f>SUM(K320:T320)</f>
        <v/>
      </c>
      <c r="J320" s="16">
        <f>F320-(G320+H320+I320)</f>
        <v/>
      </c>
      <c r="K320" s="16" t="n">
        <v>184.28</v>
      </c>
      <c r="L320" s="16" t="n">
        <v>184.28</v>
      </c>
      <c r="M320" s="16" t="n">
        <v>184.28</v>
      </c>
      <c r="N320" s="16" t="n">
        <v>184.28</v>
      </c>
      <c r="O320" s="16" t="n">
        <v>184.28</v>
      </c>
      <c r="P320" s="16" t="n">
        <v>184.28</v>
      </c>
      <c r="Q320" s="16" t="n">
        <v>184.28</v>
      </c>
      <c r="R320" s="16" t="n">
        <v>184.28</v>
      </c>
      <c r="S320" s="16" t="n">
        <v>184.28</v>
      </c>
      <c r="T320" s="16" t="n">
        <v>184.28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CANON-202602-004198</t>
        </is>
      </c>
      <c r="B321" s="3" t="inlineStr">
        <is>
          <t>2026-02-28</t>
        </is>
      </c>
      <c r="C321" s="3" t="inlineStr">
        <is>
          <t>Delphine Merriweather</t>
        </is>
      </c>
      <c r="D321" s="3" t="inlineStr">
        <is>
          <t>CA</t>
        </is>
      </c>
      <c r="E321" s="14" t="n">
        <v>300000</v>
      </c>
      <c r="F321" s="14" t="n">
        <v>5038.81</v>
      </c>
      <c r="G321" s="14" t="n">
        <v>629.85</v>
      </c>
      <c r="H321" s="14" t="n">
        <v>629.85</v>
      </c>
      <c r="I321" s="14">
        <f>SUM(K321:T321)</f>
        <v/>
      </c>
      <c r="J321" s="14">
        <f>F321-(G321+H321+I321)</f>
        <v/>
      </c>
      <c r="K321" s="14" t="n">
        <v>377.91</v>
      </c>
      <c r="L321" s="14" t="n">
        <v>377.91</v>
      </c>
      <c r="M321" s="14" t="n">
        <v>377.91</v>
      </c>
      <c r="N321" s="14" t="n">
        <v>377.91</v>
      </c>
      <c r="O321" s="14" t="n">
        <v>377.91</v>
      </c>
      <c r="P321" s="14" t="n">
        <v>377.91</v>
      </c>
      <c r="Q321" s="14" t="n">
        <v>377.91</v>
      </c>
      <c r="R321" s="14" t="n">
        <v>377.91</v>
      </c>
      <c r="S321" s="14" t="n">
        <v>377.91</v>
      </c>
      <c r="T321" s="14" t="n">
        <v>377.91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CANON-202602-004203</t>
        </is>
      </c>
      <c r="B322" s="15" t="inlineStr">
        <is>
          <t>2026-02-22</t>
        </is>
      </c>
      <c r="C322" s="15" t="inlineStr">
        <is>
          <t>Saoirse Blackwood</t>
        </is>
      </c>
      <c r="D322" s="15" t="inlineStr">
        <is>
          <t>FL</t>
        </is>
      </c>
      <c r="E322" s="16" t="n">
        <v>530000</v>
      </c>
      <c r="F322" s="16" t="n">
        <v>8115.02</v>
      </c>
      <c r="G322" s="16" t="n">
        <v>1014.38</v>
      </c>
      <c r="H322" s="16" t="n">
        <v>1014.38</v>
      </c>
      <c r="I322" s="16">
        <f>SUM(K322:T322)</f>
        <v/>
      </c>
      <c r="J322" s="16">
        <f>F322-(G322+H322+I322)</f>
        <v/>
      </c>
      <c r="K322" s="16" t="n">
        <v>608.63</v>
      </c>
      <c r="L322" s="16" t="n">
        <v>608.63</v>
      </c>
      <c r="M322" s="16" t="n">
        <v>608.63</v>
      </c>
      <c r="N322" s="16" t="n">
        <v>608.63</v>
      </c>
      <c r="O322" s="16" t="n">
        <v>608.63</v>
      </c>
      <c r="P322" s="16" t="n">
        <v>608.63</v>
      </c>
      <c r="Q322" s="16" t="n">
        <v>608.63</v>
      </c>
      <c r="R322" s="16" t="n">
        <v>608.63</v>
      </c>
      <c r="S322" s="16" t="n">
        <v>608.63</v>
      </c>
      <c r="T322" s="16" t="n">
        <v>608.63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CANON-202602-004204</t>
        </is>
      </c>
      <c r="B323" s="3" t="inlineStr">
        <is>
          <t>2026-02-02</t>
        </is>
      </c>
      <c r="C323" s="3" t="inlineStr">
        <is>
          <t>Everett Pennington</t>
        </is>
      </c>
      <c r="D323" s="3" t="inlineStr">
        <is>
          <t>OR</t>
        </is>
      </c>
      <c r="E323" s="14" t="n">
        <v>340000</v>
      </c>
      <c r="F323" s="14" t="n">
        <v>7329.38</v>
      </c>
      <c r="G323" s="14" t="n">
        <v>916.17</v>
      </c>
      <c r="H323" s="14" t="n">
        <v>916.17</v>
      </c>
      <c r="I323" s="14">
        <f>SUM(K323:T323)</f>
        <v/>
      </c>
      <c r="J323" s="14">
        <f>F323-(G323+H323+I323)</f>
        <v/>
      </c>
      <c r="K323" s="14" t="n">
        <v>549.7</v>
      </c>
      <c r="L323" s="14" t="n">
        <v>549.7</v>
      </c>
      <c r="M323" s="14" t="n">
        <v>549.7</v>
      </c>
      <c r="N323" s="14" t="n">
        <v>549.7</v>
      </c>
      <c r="O323" s="14" t="n">
        <v>549.7</v>
      </c>
      <c r="P323" s="14" t="n">
        <v>549.7</v>
      </c>
      <c r="Q323" s="14" t="n">
        <v>549.7</v>
      </c>
      <c r="R323" s="14" t="n">
        <v>549.7</v>
      </c>
      <c r="S323" s="14" t="n">
        <v>549.7</v>
      </c>
      <c r="T323" s="14" t="n">
        <v>549.7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CANON-202602-004206</t>
        </is>
      </c>
      <c r="B324" s="15" t="inlineStr">
        <is>
          <t>2026-02-02</t>
        </is>
      </c>
      <c r="C324" s="15" t="inlineStr">
        <is>
          <t>Priya Larsson</t>
        </is>
      </c>
      <c r="D324" s="15" t="inlineStr">
        <is>
          <t>NV</t>
        </is>
      </c>
      <c r="E324" s="16" t="n">
        <v>1715000</v>
      </c>
      <c r="F324" s="16" t="n">
        <v>26628.81</v>
      </c>
      <c r="G324" s="16" t="n">
        <v>3328.6</v>
      </c>
      <c r="H324" s="16" t="n">
        <v>3328.6</v>
      </c>
      <c r="I324" s="16">
        <f>SUM(K324:T324)</f>
        <v/>
      </c>
      <c r="J324" s="16">
        <f>F324-(G324+H324+I324)</f>
        <v/>
      </c>
      <c r="K324" s="16" t="n">
        <v>1997.16</v>
      </c>
      <c r="L324" s="16" t="n">
        <v>1997.16</v>
      </c>
      <c r="M324" s="16" t="n">
        <v>1997.16</v>
      </c>
      <c r="N324" s="16" t="n">
        <v>1997.16</v>
      </c>
      <c r="O324" s="16" t="n">
        <v>1997.16</v>
      </c>
      <c r="P324" s="16" t="n">
        <v>1997.16</v>
      </c>
      <c r="Q324" s="16" t="n">
        <v>1997.16</v>
      </c>
      <c r="R324" s="16" t="n">
        <v>1997.16</v>
      </c>
      <c r="S324" s="16" t="n">
        <v>1997.16</v>
      </c>
      <c r="T324" s="16" t="n">
        <v>1997.16</v>
      </c>
      <c r="U324" s="16" t="n">
        <v>350</v>
      </c>
      <c r="V324" s="16" t="n">
        <v>250</v>
      </c>
      <c r="W324" s="16">
        <f>U324+V324</f>
        <v/>
      </c>
    </row>
    <row r="325">
      <c r="A325" s="3" t="inlineStr">
        <is>
          <t>CANON-202602-004207</t>
        </is>
      </c>
      <c r="B325" s="3" t="inlineStr">
        <is>
          <t>2026-02-28</t>
        </is>
      </c>
      <c r="C325" s="3" t="inlineStr">
        <is>
          <t>Noor Delacroix</t>
        </is>
      </c>
      <c r="D325" s="3" t="inlineStr">
        <is>
          <t>NJ</t>
        </is>
      </c>
      <c r="E325" s="14" t="n">
        <v>1945000</v>
      </c>
      <c r="F325" s="14" t="n">
        <v>23488.91</v>
      </c>
      <c r="G325" s="14" t="n">
        <v>2936.11</v>
      </c>
      <c r="H325" s="14" t="n">
        <v>2936.11</v>
      </c>
      <c r="I325" s="14">
        <f>SUM(K325:T325)</f>
        <v/>
      </c>
      <c r="J325" s="14">
        <f>F325-(G325+H325+I325)</f>
        <v/>
      </c>
      <c r="K325" s="14" t="n">
        <v>1761.67</v>
      </c>
      <c r="L325" s="14" t="n">
        <v>1761.67</v>
      </c>
      <c r="M325" s="14" t="n">
        <v>1761.67</v>
      </c>
      <c r="N325" s="14" t="n">
        <v>1761.67</v>
      </c>
      <c r="O325" s="14" t="n">
        <v>1761.67</v>
      </c>
      <c r="P325" s="14" t="n">
        <v>1761.67</v>
      </c>
      <c r="Q325" s="14" t="n">
        <v>1761.67</v>
      </c>
      <c r="R325" s="14" t="n">
        <v>1761.67</v>
      </c>
      <c r="S325" s="14" t="n">
        <v>1761.67</v>
      </c>
      <c r="T325" s="14" t="n">
        <v>1761.67</v>
      </c>
      <c r="U325" s="14" t="n">
        <v>350</v>
      </c>
      <c r="V325" s="14" t="n">
        <v>250</v>
      </c>
      <c r="W325" s="14">
        <f>U325+V325</f>
        <v/>
      </c>
    </row>
    <row r="326">
      <c r="A326" s="15" t="inlineStr">
        <is>
          <t>CANON-202602-004209</t>
        </is>
      </c>
      <c r="B326" s="15" t="inlineStr">
        <is>
          <t>2026-02-24</t>
        </is>
      </c>
      <c r="C326" s="15" t="inlineStr">
        <is>
          <t>Desmond Delacroix</t>
        </is>
      </c>
      <c r="D326" s="15" t="inlineStr">
        <is>
          <t>WY</t>
        </is>
      </c>
      <c r="E326" s="16" t="n">
        <v>535000</v>
      </c>
      <c r="F326" s="16" t="n">
        <v>6172.52</v>
      </c>
      <c r="G326" s="16" t="n">
        <v>771.5700000000001</v>
      </c>
      <c r="H326" s="16" t="n">
        <v>771.5700000000001</v>
      </c>
      <c r="I326" s="16">
        <f>SUM(K326:T326)</f>
        <v/>
      </c>
      <c r="J326" s="16">
        <f>F326-(G326+H326+I326)</f>
        <v/>
      </c>
      <c r="K326" s="16" t="n">
        <v>462.94</v>
      </c>
      <c r="L326" s="16" t="n">
        <v>462.94</v>
      </c>
      <c r="M326" s="16" t="n">
        <v>462.94</v>
      </c>
      <c r="N326" s="16" t="n">
        <v>462.94</v>
      </c>
      <c r="O326" s="16" t="n">
        <v>462.94</v>
      </c>
      <c r="P326" s="16" t="n">
        <v>462.94</v>
      </c>
      <c r="Q326" s="16" t="n">
        <v>462.94</v>
      </c>
      <c r="R326" s="16" t="n">
        <v>462.94</v>
      </c>
      <c r="S326" s="16" t="n">
        <v>462.94</v>
      </c>
      <c r="T326" s="16" t="n">
        <v>462.94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CANON-202602-004211</t>
        </is>
      </c>
      <c r="B327" s="3" t="inlineStr">
        <is>
          <t>2026-02-06</t>
        </is>
      </c>
      <c r="C327" s="3" t="inlineStr">
        <is>
          <t>Cassius Castellanos</t>
        </is>
      </c>
      <c r="D327" s="3" t="inlineStr">
        <is>
          <t>GA</t>
        </is>
      </c>
      <c r="E327" s="14" t="n">
        <v>460000</v>
      </c>
      <c r="F327" s="14" t="n">
        <v>6409.87</v>
      </c>
      <c r="G327" s="14" t="n">
        <v>801.23</v>
      </c>
      <c r="H327" s="14" t="n">
        <v>801.23</v>
      </c>
      <c r="I327" s="14">
        <f>SUM(K327:T327)</f>
        <v/>
      </c>
      <c r="J327" s="14">
        <f>F327-(G327+H327+I327)</f>
        <v/>
      </c>
      <c r="K327" s="14" t="n">
        <v>480.74</v>
      </c>
      <c r="L327" s="14" t="n">
        <v>480.74</v>
      </c>
      <c r="M327" s="14" t="n">
        <v>480.74</v>
      </c>
      <c r="N327" s="14" t="n">
        <v>480.74</v>
      </c>
      <c r="O327" s="14" t="n">
        <v>480.74</v>
      </c>
      <c r="P327" s="14" t="n">
        <v>480.74</v>
      </c>
      <c r="Q327" s="14" t="n">
        <v>480.74</v>
      </c>
      <c r="R327" s="14" t="n">
        <v>480.74</v>
      </c>
      <c r="S327" s="14" t="n">
        <v>480.74</v>
      </c>
      <c r="T327" s="14" t="n">
        <v>480.74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CANON-202602-004212</t>
        </is>
      </c>
      <c r="B328" s="15" t="inlineStr">
        <is>
          <t>2026-02-17</t>
        </is>
      </c>
      <c r="C328" s="15" t="inlineStr">
        <is>
          <t>Callum Fairweather</t>
        </is>
      </c>
      <c r="D328" s="15" t="inlineStr">
        <is>
          <t>ND</t>
        </is>
      </c>
      <c r="E328" s="16" t="n">
        <v>405000</v>
      </c>
      <c r="F328" s="16" t="n">
        <v>2878.17</v>
      </c>
      <c r="G328" s="16" t="n">
        <v>359.77</v>
      </c>
      <c r="H328" s="16" t="n">
        <v>359.77</v>
      </c>
      <c r="I328" s="16">
        <f>SUM(K328:T328)</f>
        <v/>
      </c>
      <c r="J328" s="16">
        <f>F328-(G328+H328+I328)</f>
        <v/>
      </c>
      <c r="K328" s="16" t="n">
        <v>215.86</v>
      </c>
      <c r="L328" s="16" t="n">
        <v>215.86</v>
      </c>
      <c r="M328" s="16" t="n">
        <v>215.86</v>
      </c>
      <c r="N328" s="16" t="n">
        <v>215.86</v>
      </c>
      <c r="O328" s="16" t="n">
        <v>215.86</v>
      </c>
      <c r="P328" s="16" t="n">
        <v>215.86</v>
      </c>
      <c r="Q328" s="16" t="n">
        <v>215.86</v>
      </c>
      <c r="R328" s="16" t="n">
        <v>215.86</v>
      </c>
      <c r="S328" s="16" t="n">
        <v>215.86</v>
      </c>
      <c r="T328" s="16" t="n">
        <v>215.86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CANON-202602-004215</t>
        </is>
      </c>
      <c r="B329" s="3" t="inlineStr">
        <is>
          <t>2026-02-24</t>
        </is>
      </c>
      <c r="C329" s="3" t="inlineStr">
        <is>
          <t>Beatrix Kingsford</t>
        </is>
      </c>
      <c r="D329" s="3" t="inlineStr">
        <is>
          <t>OH</t>
        </is>
      </c>
      <c r="E329" s="14" t="n">
        <v>165000</v>
      </c>
      <c r="F329" s="14" t="n">
        <v>3500.24</v>
      </c>
      <c r="G329" s="14" t="n">
        <v>437.53</v>
      </c>
      <c r="H329" s="14" t="n">
        <v>437.53</v>
      </c>
      <c r="I329" s="14">
        <f>SUM(K329:T329)</f>
        <v/>
      </c>
      <c r="J329" s="14">
        <f>F329-(G329+H329+I329)</f>
        <v/>
      </c>
      <c r="K329" s="14" t="n">
        <v>262.52</v>
      </c>
      <c r="L329" s="14" t="n">
        <v>262.52</v>
      </c>
      <c r="M329" s="14" t="n">
        <v>262.52</v>
      </c>
      <c r="N329" s="14" t="n">
        <v>262.52</v>
      </c>
      <c r="O329" s="14" t="n">
        <v>262.52</v>
      </c>
      <c r="P329" s="14" t="n">
        <v>262.52</v>
      </c>
      <c r="Q329" s="14" t="n">
        <v>262.52</v>
      </c>
      <c r="R329" s="14" t="n">
        <v>262.52</v>
      </c>
      <c r="S329" s="14" t="n">
        <v>262.52</v>
      </c>
      <c r="T329" s="14" t="n">
        <v>262.52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CANON-202602-004216</t>
        </is>
      </c>
      <c r="B330" s="15" t="inlineStr">
        <is>
          <t>2026-02-17</t>
        </is>
      </c>
      <c r="C330" s="15" t="inlineStr">
        <is>
          <t>Sunniva Castellanos</t>
        </is>
      </c>
      <c r="D330" s="15" t="inlineStr">
        <is>
          <t>MI</t>
        </is>
      </c>
      <c r="E330" s="16" t="n">
        <v>250000</v>
      </c>
      <c r="F330" s="16" t="n">
        <v>4821.08</v>
      </c>
      <c r="G330" s="16" t="n">
        <v>602.63</v>
      </c>
      <c r="H330" s="16" t="n">
        <v>602.63</v>
      </c>
      <c r="I330" s="16">
        <f>SUM(K330:T330)</f>
        <v/>
      </c>
      <c r="J330" s="16">
        <f>F330-(G330+H330+I330)</f>
        <v/>
      </c>
      <c r="K330" s="16" t="n">
        <v>361.58</v>
      </c>
      <c r="L330" s="16" t="n">
        <v>361.58</v>
      </c>
      <c r="M330" s="16" t="n">
        <v>361.58</v>
      </c>
      <c r="N330" s="16" t="n">
        <v>361.58</v>
      </c>
      <c r="O330" s="16" t="n">
        <v>361.58</v>
      </c>
      <c r="P330" s="16" t="n">
        <v>361.58</v>
      </c>
      <c r="Q330" s="16" t="n">
        <v>361.58</v>
      </c>
      <c r="R330" s="16" t="n">
        <v>361.58</v>
      </c>
      <c r="S330" s="16" t="n">
        <v>361.58</v>
      </c>
      <c r="T330" s="16" t="n">
        <v>361.58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CANON-202602-004217</t>
        </is>
      </c>
      <c r="B331" s="3" t="inlineStr">
        <is>
          <t>2026-02-26</t>
        </is>
      </c>
      <c r="C331" s="3" t="inlineStr">
        <is>
          <t>Priya Castellanos</t>
        </is>
      </c>
      <c r="D331" s="3" t="inlineStr">
        <is>
          <t>GA</t>
        </is>
      </c>
      <c r="E331" s="14" t="n">
        <v>1950000</v>
      </c>
      <c r="F331" s="14" t="n">
        <v>13767.28</v>
      </c>
      <c r="G331" s="14" t="n">
        <v>1720.91</v>
      </c>
      <c r="H331" s="14" t="n">
        <v>1720.91</v>
      </c>
      <c r="I331" s="14">
        <f>SUM(K331:T331)</f>
        <v/>
      </c>
      <c r="J331" s="14">
        <f>F331-(G331+H331+I331)</f>
        <v/>
      </c>
      <c r="K331" s="14" t="n">
        <v>1032.55</v>
      </c>
      <c r="L331" s="14" t="n">
        <v>1032.55</v>
      </c>
      <c r="M331" s="14" t="n">
        <v>1032.55</v>
      </c>
      <c r="N331" s="14" t="n">
        <v>1032.55</v>
      </c>
      <c r="O331" s="14" t="n">
        <v>1032.55</v>
      </c>
      <c r="P331" s="14" t="n">
        <v>1032.55</v>
      </c>
      <c r="Q331" s="14" t="n">
        <v>1032.55</v>
      </c>
      <c r="R331" s="14" t="n">
        <v>1032.55</v>
      </c>
      <c r="S331" s="14" t="n">
        <v>1032.55</v>
      </c>
      <c r="T331" s="14" t="n">
        <v>1032.55</v>
      </c>
      <c r="U331" s="14" t="n">
        <v>350</v>
      </c>
      <c r="V331" s="14" t="n">
        <v>250</v>
      </c>
      <c r="W331" s="14">
        <f>U331+V331</f>
        <v/>
      </c>
    </row>
    <row r="332">
      <c r="A332" s="15" t="inlineStr">
        <is>
          <t>CANON-202602-004218</t>
        </is>
      </c>
      <c r="B332" s="15" t="inlineStr">
        <is>
          <t>2026-02-09</t>
        </is>
      </c>
      <c r="C332" s="15" t="inlineStr">
        <is>
          <t>Callum Vasquez</t>
        </is>
      </c>
      <c r="D332" s="15" t="inlineStr">
        <is>
          <t>TX</t>
        </is>
      </c>
      <c r="E332" s="16" t="n">
        <v>730000</v>
      </c>
      <c r="F332" s="16" t="n">
        <v>9052.02</v>
      </c>
      <c r="G332" s="16" t="n">
        <v>1131.5</v>
      </c>
      <c r="H332" s="16" t="n">
        <v>1131.5</v>
      </c>
      <c r="I332" s="16">
        <f>SUM(K332:T332)</f>
        <v/>
      </c>
      <c r="J332" s="16">
        <f>F332-(G332+H332+I332)</f>
        <v/>
      </c>
      <c r="K332" s="16" t="n">
        <v>678.9</v>
      </c>
      <c r="L332" s="16" t="n">
        <v>678.9</v>
      </c>
      <c r="M332" s="16" t="n">
        <v>678.9</v>
      </c>
      <c r="N332" s="16" t="n">
        <v>678.9</v>
      </c>
      <c r="O332" s="16" t="n">
        <v>678.9</v>
      </c>
      <c r="P332" s="16" t="n">
        <v>678.9</v>
      </c>
      <c r="Q332" s="16" t="n">
        <v>678.9</v>
      </c>
      <c r="R332" s="16" t="n">
        <v>678.9</v>
      </c>
      <c r="S332" s="16" t="n">
        <v>678.9</v>
      </c>
      <c r="T332" s="16" t="n">
        <v>678.9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CANON-202602-004219</t>
        </is>
      </c>
      <c r="B333" s="3" t="inlineStr">
        <is>
          <t>2026-02-24</t>
        </is>
      </c>
      <c r="C333" s="3" t="inlineStr">
        <is>
          <t>Fitzgerald Okonkwo</t>
        </is>
      </c>
      <c r="D333" s="3" t="inlineStr">
        <is>
          <t>FL</t>
        </is>
      </c>
      <c r="E333" s="14" t="n">
        <v>375000</v>
      </c>
      <c r="F333" s="14" t="n">
        <v>6625.11</v>
      </c>
      <c r="G333" s="14" t="n">
        <v>828.14</v>
      </c>
      <c r="H333" s="14" t="n">
        <v>828.14</v>
      </c>
      <c r="I333" s="14">
        <f>SUM(K333:T333)</f>
        <v/>
      </c>
      <c r="J333" s="14">
        <f>F333-(G333+H333+I333)</f>
        <v/>
      </c>
      <c r="K333" s="14" t="n">
        <v>496.88</v>
      </c>
      <c r="L333" s="14" t="n">
        <v>496.88</v>
      </c>
      <c r="M333" s="14" t="n">
        <v>496.88</v>
      </c>
      <c r="N333" s="14" t="n">
        <v>496.88</v>
      </c>
      <c r="O333" s="14" t="n">
        <v>496.88</v>
      </c>
      <c r="P333" s="14" t="n">
        <v>496.88</v>
      </c>
      <c r="Q333" s="14" t="n">
        <v>496.88</v>
      </c>
      <c r="R333" s="14" t="n">
        <v>496.88</v>
      </c>
      <c r="S333" s="14" t="n">
        <v>496.88</v>
      </c>
      <c r="T333" s="14" t="n">
        <v>496.88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CANON-202602-004221</t>
        </is>
      </c>
      <c r="B334" s="15" t="inlineStr">
        <is>
          <t>2026-02-25</t>
        </is>
      </c>
      <c r="C334" s="15" t="inlineStr">
        <is>
          <t>Everett Chattopadhyay</t>
        </is>
      </c>
      <c r="D334" s="15" t="inlineStr">
        <is>
          <t>IL</t>
        </is>
      </c>
      <c r="E334" s="16" t="n">
        <v>405000</v>
      </c>
      <c r="F334" s="16" t="n">
        <v>10507.6</v>
      </c>
      <c r="G334" s="16" t="n">
        <v>1313.45</v>
      </c>
      <c r="H334" s="16" t="n">
        <v>1313.45</v>
      </c>
      <c r="I334" s="16">
        <f>SUM(K334:T334)</f>
        <v/>
      </c>
      <c r="J334" s="16">
        <f>F334-(G334+H334+I334)</f>
        <v/>
      </c>
      <c r="K334" s="16" t="n">
        <v>788.0700000000001</v>
      </c>
      <c r="L334" s="16" t="n">
        <v>788.0700000000001</v>
      </c>
      <c r="M334" s="16" t="n">
        <v>788.0700000000001</v>
      </c>
      <c r="N334" s="16" t="n">
        <v>788.0700000000001</v>
      </c>
      <c r="O334" s="16" t="n">
        <v>788.0700000000001</v>
      </c>
      <c r="P334" s="16" t="n">
        <v>788.0700000000001</v>
      </c>
      <c r="Q334" s="16" t="n">
        <v>788.0700000000001</v>
      </c>
      <c r="R334" s="16" t="n">
        <v>788.0700000000001</v>
      </c>
      <c r="S334" s="16" t="n">
        <v>788.0700000000001</v>
      </c>
      <c r="T334" s="16" t="n">
        <v>788.0700000000001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CANON-202602-004226</t>
        </is>
      </c>
      <c r="B335" s="3" t="inlineStr">
        <is>
          <t>2026-02-24</t>
        </is>
      </c>
      <c r="C335" s="3" t="inlineStr">
        <is>
          <t>Saoirse Chattopadhyay</t>
        </is>
      </c>
      <c r="D335" s="3" t="inlineStr">
        <is>
          <t>CA</t>
        </is>
      </c>
      <c r="E335" s="14" t="n">
        <v>705000</v>
      </c>
      <c r="F335" s="14" t="n">
        <v>14998.86</v>
      </c>
      <c r="G335" s="14" t="n">
        <v>1874.86</v>
      </c>
      <c r="H335" s="14" t="n">
        <v>1874.86</v>
      </c>
      <c r="I335" s="14">
        <f>SUM(K335:T335)</f>
        <v/>
      </c>
      <c r="J335" s="14">
        <f>F335-(G335+H335+I335)</f>
        <v/>
      </c>
      <c r="K335" s="14" t="n">
        <v>1124.91</v>
      </c>
      <c r="L335" s="14" t="n">
        <v>1124.91</v>
      </c>
      <c r="M335" s="14" t="n">
        <v>1124.91</v>
      </c>
      <c r="N335" s="14" t="n">
        <v>1124.91</v>
      </c>
      <c r="O335" s="14" t="n">
        <v>1124.91</v>
      </c>
      <c r="P335" s="14" t="n">
        <v>1124.91</v>
      </c>
      <c r="Q335" s="14" t="n">
        <v>1124.91</v>
      </c>
      <c r="R335" s="14" t="n">
        <v>1124.91</v>
      </c>
      <c r="S335" s="14" t="n">
        <v>1124.91</v>
      </c>
      <c r="T335" s="14" t="n">
        <v>1124.91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CANON-202602-004228</t>
        </is>
      </c>
      <c r="B336" s="15" t="inlineStr">
        <is>
          <t>2026-02-25</t>
        </is>
      </c>
      <c r="C336" s="15" t="inlineStr">
        <is>
          <t>Horace Fairweather</t>
        </is>
      </c>
      <c r="D336" s="15" t="inlineStr">
        <is>
          <t>WY</t>
        </is>
      </c>
      <c r="E336" s="16" t="n">
        <v>1165000</v>
      </c>
      <c r="F336" s="16" t="n">
        <v>16542.9</v>
      </c>
      <c r="G336" s="16" t="n">
        <v>2067.86</v>
      </c>
      <c r="H336" s="16" t="n">
        <v>2067.86</v>
      </c>
      <c r="I336" s="16">
        <f>SUM(K336:T336)</f>
        <v/>
      </c>
      <c r="J336" s="16">
        <f>F336-(G336+H336+I336)</f>
        <v/>
      </c>
      <c r="K336" s="16" t="n">
        <v>1240.72</v>
      </c>
      <c r="L336" s="16" t="n">
        <v>1240.72</v>
      </c>
      <c r="M336" s="16" t="n">
        <v>1240.72</v>
      </c>
      <c r="N336" s="16" t="n">
        <v>1240.72</v>
      </c>
      <c r="O336" s="16" t="n">
        <v>1240.72</v>
      </c>
      <c r="P336" s="16" t="n">
        <v>1240.72</v>
      </c>
      <c r="Q336" s="16" t="n">
        <v>1240.72</v>
      </c>
      <c r="R336" s="16" t="n">
        <v>1240.72</v>
      </c>
      <c r="S336" s="16" t="n">
        <v>1240.72</v>
      </c>
      <c r="T336" s="16" t="n">
        <v>1240.72</v>
      </c>
      <c r="U336" s="16" t="n">
        <v>350</v>
      </c>
      <c r="V336" s="16" t="n">
        <v>250</v>
      </c>
      <c r="W336" s="16">
        <f>U336+V336</f>
        <v/>
      </c>
    </row>
    <row r="337">
      <c r="A337" s="3" t="inlineStr">
        <is>
          <t>CANON-202602-004229</t>
        </is>
      </c>
      <c r="B337" s="3" t="inlineStr">
        <is>
          <t>2026-02-15</t>
        </is>
      </c>
      <c r="C337" s="3" t="inlineStr">
        <is>
          <t>Ingrid Larsson</t>
        </is>
      </c>
      <c r="D337" s="3" t="inlineStr">
        <is>
          <t>VA</t>
        </is>
      </c>
      <c r="E337" s="14" t="n">
        <v>830000</v>
      </c>
      <c r="F337" s="14" t="n">
        <v>6453.35</v>
      </c>
      <c r="G337" s="14" t="n">
        <v>806.67</v>
      </c>
      <c r="H337" s="14" t="n">
        <v>806.67</v>
      </c>
      <c r="I337" s="14">
        <f>SUM(K337:T337)</f>
        <v/>
      </c>
      <c r="J337" s="14">
        <f>F337-(G337+H337+I337)</f>
        <v/>
      </c>
      <c r="K337" s="14" t="n">
        <v>484</v>
      </c>
      <c r="L337" s="14" t="n">
        <v>484</v>
      </c>
      <c r="M337" s="14" t="n">
        <v>484</v>
      </c>
      <c r="N337" s="14" t="n">
        <v>484</v>
      </c>
      <c r="O337" s="14" t="n">
        <v>484</v>
      </c>
      <c r="P337" s="14" t="n">
        <v>484</v>
      </c>
      <c r="Q337" s="14" t="n">
        <v>484</v>
      </c>
      <c r="R337" s="14" t="n">
        <v>484</v>
      </c>
      <c r="S337" s="14" t="n">
        <v>484</v>
      </c>
      <c r="T337" s="14" t="n">
        <v>484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CANON-202602-004230</t>
        </is>
      </c>
      <c r="B338" s="15" t="inlineStr">
        <is>
          <t>2026-02-03</t>
        </is>
      </c>
      <c r="C338" s="15" t="inlineStr">
        <is>
          <t>Desmond Kingsford</t>
        </is>
      </c>
      <c r="D338" s="15" t="inlineStr">
        <is>
          <t>NJ</t>
        </is>
      </c>
      <c r="E338" s="16" t="n">
        <v>220000</v>
      </c>
      <c r="F338" s="16" t="n">
        <v>3055.37</v>
      </c>
      <c r="G338" s="16" t="n">
        <v>381.92</v>
      </c>
      <c r="H338" s="16" t="n">
        <v>381.92</v>
      </c>
      <c r="I338" s="16">
        <f>SUM(K338:T338)</f>
        <v/>
      </c>
      <c r="J338" s="16">
        <f>F338-(G338+H338+I338)</f>
        <v/>
      </c>
      <c r="K338" s="16" t="n">
        <v>229.15</v>
      </c>
      <c r="L338" s="16" t="n">
        <v>229.15</v>
      </c>
      <c r="M338" s="16" t="n">
        <v>229.15</v>
      </c>
      <c r="N338" s="16" t="n">
        <v>229.15</v>
      </c>
      <c r="O338" s="16" t="n">
        <v>229.15</v>
      </c>
      <c r="P338" s="16" t="n">
        <v>229.15</v>
      </c>
      <c r="Q338" s="16" t="n">
        <v>229.15</v>
      </c>
      <c r="R338" s="16" t="n">
        <v>229.15</v>
      </c>
      <c r="S338" s="16" t="n">
        <v>229.15</v>
      </c>
      <c r="T338" s="16" t="n">
        <v>229.15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CANON-202602-004231</t>
        </is>
      </c>
      <c r="B339" s="3" t="inlineStr">
        <is>
          <t>2026-02-27</t>
        </is>
      </c>
      <c r="C339" s="3" t="inlineStr">
        <is>
          <t>Beatrix Fairweather</t>
        </is>
      </c>
      <c r="D339" s="3" t="inlineStr">
        <is>
          <t>FL</t>
        </is>
      </c>
      <c r="E339" s="14" t="n">
        <v>1950000</v>
      </c>
      <c r="F339" s="14" t="n">
        <v>15617.58</v>
      </c>
      <c r="G339" s="14" t="n">
        <v>1952.2</v>
      </c>
      <c r="H339" s="14" t="n">
        <v>1952.2</v>
      </c>
      <c r="I339" s="14">
        <f>SUM(K339:T339)</f>
        <v/>
      </c>
      <c r="J339" s="14">
        <f>F339-(G339+H339+I339)</f>
        <v/>
      </c>
      <c r="K339" s="14" t="n">
        <v>1171.32</v>
      </c>
      <c r="L339" s="14" t="n">
        <v>1171.32</v>
      </c>
      <c r="M339" s="14" t="n">
        <v>1171.32</v>
      </c>
      <c r="N339" s="14" t="n">
        <v>1171.32</v>
      </c>
      <c r="O339" s="14" t="n">
        <v>1171.32</v>
      </c>
      <c r="P339" s="14" t="n">
        <v>1171.32</v>
      </c>
      <c r="Q339" s="14" t="n">
        <v>1171.32</v>
      </c>
      <c r="R339" s="14" t="n">
        <v>1171.32</v>
      </c>
      <c r="S339" s="14" t="n">
        <v>1171.32</v>
      </c>
      <c r="T339" s="14" t="n">
        <v>1171.32</v>
      </c>
      <c r="U339" s="14" t="n">
        <v>350</v>
      </c>
      <c r="V339" s="14" t="n">
        <v>250</v>
      </c>
      <c r="W339" s="14">
        <f>U339+V339</f>
        <v/>
      </c>
    </row>
    <row r="340">
      <c r="A340" s="15" t="inlineStr">
        <is>
          <t>CANON-202602-004232</t>
        </is>
      </c>
      <c r="B340" s="15" t="inlineStr">
        <is>
          <t>2026-02-04</t>
        </is>
      </c>
      <c r="C340" s="15" t="inlineStr">
        <is>
          <t>Fenwick Farkas</t>
        </is>
      </c>
      <c r="D340" s="15" t="inlineStr">
        <is>
          <t>RI</t>
        </is>
      </c>
      <c r="E340" s="16" t="n">
        <v>1690000</v>
      </c>
      <c r="F340" s="16" t="n">
        <v>30726.21</v>
      </c>
      <c r="G340" s="16" t="n">
        <v>3840.78</v>
      </c>
      <c r="H340" s="16" t="n">
        <v>3840.78</v>
      </c>
      <c r="I340" s="16">
        <f>SUM(K340:T340)</f>
        <v/>
      </c>
      <c r="J340" s="16">
        <f>F340-(G340+H340+I340)</f>
        <v/>
      </c>
      <c r="K340" s="16" t="n">
        <v>2304.47</v>
      </c>
      <c r="L340" s="16" t="n">
        <v>2304.47</v>
      </c>
      <c r="M340" s="16" t="n">
        <v>2304.47</v>
      </c>
      <c r="N340" s="16" t="n">
        <v>2304.47</v>
      </c>
      <c r="O340" s="16" t="n">
        <v>2304.47</v>
      </c>
      <c r="P340" s="16" t="n">
        <v>2304.47</v>
      </c>
      <c r="Q340" s="16" t="n">
        <v>2304.47</v>
      </c>
      <c r="R340" s="16" t="n">
        <v>2304.47</v>
      </c>
      <c r="S340" s="16" t="n">
        <v>2304.47</v>
      </c>
      <c r="T340" s="16" t="n">
        <v>2304.47</v>
      </c>
      <c r="U340" s="16" t="n">
        <v>350</v>
      </c>
      <c r="V340" s="16" t="n">
        <v>250</v>
      </c>
      <c r="W340" s="16">
        <f>U340+V340</f>
        <v/>
      </c>
    </row>
    <row r="341">
      <c r="A341" s="3" t="inlineStr">
        <is>
          <t>CANON-202602-004233</t>
        </is>
      </c>
      <c r="B341" s="3" t="inlineStr">
        <is>
          <t>2026-02-06</t>
        </is>
      </c>
      <c r="C341" s="3" t="inlineStr">
        <is>
          <t>Mireille Vandermeer</t>
        </is>
      </c>
      <c r="D341" s="3" t="inlineStr">
        <is>
          <t>NC</t>
        </is>
      </c>
      <c r="E341" s="14" t="n">
        <v>470000</v>
      </c>
      <c r="F341" s="14" t="n">
        <v>6724.63</v>
      </c>
      <c r="G341" s="14" t="n">
        <v>840.58</v>
      </c>
      <c r="H341" s="14" t="n">
        <v>840.58</v>
      </c>
      <c r="I341" s="14">
        <f>SUM(K341:T341)</f>
        <v/>
      </c>
      <c r="J341" s="14">
        <f>F341-(G341+H341+I341)</f>
        <v/>
      </c>
      <c r="K341" s="14" t="n">
        <v>504.35</v>
      </c>
      <c r="L341" s="14" t="n">
        <v>504.35</v>
      </c>
      <c r="M341" s="14" t="n">
        <v>504.35</v>
      </c>
      <c r="N341" s="14" t="n">
        <v>504.35</v>
      </c>
      <c r="O341" s="14" t="n">
        <v>504.35</v>
      </c>
      <c r="P341" s="14" t="n">
        <v>504.35</v>
      </c>
      <c r="Q341" s="14" t="n">
        <v>504.35</v>
      </c>
      <c r="R341" s="14" t="n">
        <v>504.35</v>
      </c>
      <c r="S341" s="14" t="n">
        <v>504.35</v>
      </c>
      <c r="T341" s="14" t="n">
        <v>504.35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CANON-202602-004234</t>
        </is>
      </c>
      <c r="B342" s="15" t="inlineStr">
        <is>
          <t>2026-02-24</t>
        </is>
      </c>
      <c r="C342" s="15" t="inlineStr">
        <is>
          <t>Fenwick Vasquez</t>
        </is>
      </c>
      <c r="D342" s="15" t="inlineStr">
        <is>
          <t>NE</t>
        </is>
      </c>
      <c r="E342" s="16" t="n">
        <v>480000</v>
      </c>
      <c r="F342" s="16" t="n">
        <v>7763.5</v>
      </c>
      <c r="G342" s="16" t="n">
        <v>970.4400000000001</v>
      </c>
      <c r="H342" s="16" t="n">
        <v>970.4400000000001</v>
      </c>
      <c r="I342" s="16">
        <f>SUM(K342:T342)</f>
        <v/>
      </c>
      <c r="J342" s="16">
        <f>F342-(G342+H342+I342)</f>
        <v/>
      </c>
      <c r="K342" s="16" t="n">
        <v>582.26</v>
      </c>
      <c r="L342" s="16" t="n">
        <v>582.26</v>
      </c>
      <c r="M342" s="16" t="n">
        <v>582.26</v>
      </c>
      <c r="N342" s="16" t="n">
        <v>582.26</v>
      </c>
      <c r="O342" s="16" t="n">
        <v>582.26</v>
      </c>
      <c r="P342" s="16" t="n">
        <v>582.26</v>
      </c>
      <c r="Q342" s="16" t="n">
        <v>582.26</v>
      </c>
      <c r="R342" s="16" t="n">
        <v>582.26</v>
      </c>
      <c r="S342" s="16" t="n">
        <v>582.26</v>
      </c>
      <c r="T342" s="16" t="n">
        <v>582.26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CANON-202602-004237</t>
        </is>
      </c>
      <c r="B343" s="3" t="inlineStr">
        <is>
          <t>2026-02-11</t>
        </is>
      </c>
      <c r="C343" s="3" t="inlineStr">
        <is>
          <t>Horace Whitlock</t>
        </is>
      </c>
      <c r="D343" s="3" t="inlineStr">
        <is>
          <t>WA</t>
        </is>
      </c>
      <c r="E343" s="14" t="n">
        <v>545000</v>
      </c>
      <c r="F343" s="14" t="n">
        <v>5641.47</v>
      </c>
      <c r="G343" s="14" t="n">
        <v>705.1799999999999</v>
      </c>
      <c r="H343" s="14" t="n">
        <v>705.1799999999999</v>
      </c>
      <c r="I343" s="14">
        <f>SUM(K343:T343)</f>
        <v/>
      </c>
      <c r="J343" s="14">
        <f>F343-(G343+H343+I343)</f>
        <v/>
      </c>
      <c r="K343" s="14" t="n">
        <v>423.11</v>
      </c>
      <c r="L343" s="14" t="n">
        <v>423.11</v>
      </c>
      <c r="M343" s="14" t="n">
        <v>423.11</v>
      </c>
      <c r="N343" s="14" t="n">
        <v>423.11</v>
      </c>
      <c r="O343" s="14" t="n">
        <v>423.11</v>
      </c>
      <c r="P343" s="14" t="n">
        <v>423.11</v>
      </c>
      <c r="Q343" s="14" t="n">
        <v>423.11</v>
      </c>
      <c r="R343" s="14" t="n">
        <v>423.11</v>
      </c>
      <c r="S343" s="14" t="n">
        <v>423.11</v>
      </c>
      <c r="T343" s="14" t="n">
        <v>423.11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CANON-202602-004242</t>
        </is>
      </c>
      <c r="B344" s="15" t="inlineStr">
        <is>
          <t>2026-02-25</t>
        </is>
      </c>
      <c r="C344" s="15" t="inlineStr">
        <is>
          <t>Ottilie Harrington</t>
        </is>
      </c>
      <c r="D344" s="15" t="inlineStr">
        <is>
          <t>NJ</t>
        </is>
      </c>
      <c r="E344" s="16" t="n">
        <v>155000</v>
      </c>
      <c r="F344" s="16" t="n">
        <v>3322.57</v>
      </c>
      <c r="G344" s="16" t="n">
        <v>415.32</v>
      </c>
      <c r="H344" s="16" t="n">
        <v>415.32</v>
      </c>
      <c r="I344" s="16">
        <f>SUM(K344:T344)</f>
        <v/>
      </c>
      <c r="J344" s="16">
        <f>F344-(G344+H344+I344)</f>
        <v/>
      </c>
      <c r="K344" s="16" t="n">
        <v>249.19</v>
      </c>
      <c r="L344" s="16" t="n">
        <v>249.19</v>
      </c>
      <c r="M344" s="16" t="n">
        <v>249.19</v>
      </c>
      <c r="N344" s="16" t="n">
        <v>249.19</v>
      </c>
      <c r="O344" s="16" t="n">
        <v>249.19</v>
      </c>
      <c r="P344" s="16" t="n">
        <v>249.19</v>
      </c>
      <c r="Q344" s="16" t="n">
        <v>249.19</v>
      </c>
      <c r="R344" s="16" t="n">
        <v>249.19</v>
      </c>
      <c r="S344" s="16" t="n">
        <v>249.19</v>
      </c>
      <c r="T344" s="16" t="n">
        <v>249.19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CANON-202602-004244</t>
        </is>
      </c>
      <c r="B345" s="3" t="inlineStr">
        <is>
          <t>2026-02-11</t>
        </is>
      </c>
      <c r="C345" s="3" t="inlineStr">
        <is>
          <t>Sunniva Rourke</t>
        </is>
      </c>
      <c r="D345" s="3" t="inlineStr">
        <is>
          <t>FL</t>
        </is>
      </c>
      <c r="E345" s="14" t="n">
        <v>975000</v>
      </c>
      <c r="F345" s="14" t="n">
        <v>9875.83</v>
      </c>
      <c r="G345" s="14" t="n">
        <v>1234.48</v>
      </c>
      <c r="H345" s="14" t="n">
        <v>1234.48</v>
      </c>
      <c r="I345" s="14">
        <f>SUM(K345:T345)</f>
        <v/>
      </c>
      <c r="J345" s="14">
        <f>F345-(G345+H345+I345)</f>
        <v/>
      </c>
      <c r="K345" s="14" t="n">
        <v>740.6900000000001</v>
      </c>
      <c r="L345" s="14" t="n">
        <v>740.6900000000001</v>
      </c>
      <c r="M345" s="14" t="n">
        <v>740.6900000000001</v>
      </c>
      <c r="N345" s="14" t="n">
        <v>740.6900000000001</v>
      </c>
      <c r="O345" s="14" t="n">
        <v>740.6900000000001</v>
      </c>
      <c r="P345" s="14" t="n">
        <v>740.6900000000001</v>
      </c>
      <c r="Q345" s="14" t="n">
        <v>740.6900000000001</v>
      </c>
      <c r="R345" s="14" t="n">
        <v>740.6900000000001</v>
      </c>
      <c r="S345" s="14" t="n">
        <v>740.6900000000001</v>
      </c>
      <c r="T345" s="14" t="n">
        <v>740.6900000000001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CANON-202602-004246</t>
        </is>
      </c>
      <c r="B346" s="15" t="inlineStr">
        <is>
          <t>2026-02-18</t>
        </is>
      </c>
      <c r="C346" s="15" t="inlineStr">
        <is>
          <t>Anouk Thistlewood</t>
        </is>
      </c>
      <c r="D346" s="15" t="inlineStr">
        <is>
          <t>TN</t>
        </is>
      </c>
      <c r="E346" s="16" t="n">
        <v>575000</v>
      </c>
      <c r="F346" s="16" t="n">
        <v>6076.02</v>
      </c>
      <c r="G346" s="16" t="n">
        <v>759.5</v>
      </c>
      <c r="H346" s="16" t="n">
        <v>759.5</v>
      </c>
      <c r="I346" s="16">
        <f>SUM(K346:T346)</f>
        <v/>
      </c>
      <c r="J346" s="16">
        <f>F346-(G346+H346+I346)</f>
        <v/>
      </c>
      <c r="K346" s="16" t="n">
        <v>455.7</v>
      </c>
      <c r="L346" s="16" t="n">
        <v>455.7</v>
      </c>
      <c r="M346" s="16" t="n">
        <v>455.7</v>
      </c>
      <c r="N346" s="16" t="n">
        <v>455.7</v>
      </c>
      <c r="O346" s="16" t="n">
        <v>455.7</v>
      </c>
      <c r="P346" s="16" t="n">
        <v>455.7</v>
      </c>
      <c r="Q346" s="16" t="n">
        <v>455.7</v>
      </c>
      <c r="R346" s="16" t="n">
        <v>455.7</v>
      </c>
      <c r="S346" s="16" t="n">
        <v>455.7</v>
      </c>
      <c r="T346" s="16" t="n">
        <v>455.7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CANON-202602-004247</t>
        </is>
      </c>
      <c r="B347" s="3" t="inlineStr">
        <is>
          <t>2026-02-20</t>
        </is>
      </c>
      <c r="C347" s="3" t="inlineStr">
        <is>
          <t>Marisol Vasquez</t>
        </is>
      </c>
      <c r="D347" s="3" t="inlineStr">
        <is>
          <t>AR</t>
        </is>
      </c>
      <c r="E347" s="14" t="n">
        <v>1425000</v>
      </c>
      <c r="F347" s="14" t="n">
        <v>17941.9</v>
      </c>
      <c r="G347" s="14" t="n">
        <v>2242.74</v>
      </c>
      <c r="H347" s="14" t="n">
        <v>2242.74</v>
      </c>
      <c r="I347" s="14">
        <f>SUM(K347:T347)</f>
        <v/>
      </c>
      <c r="J347" s="14">
        <f>F347-(G347+H347+I347)</f>
        <v/>
      </c>
      <c r="K347" s="14" t="n">
        <v>1345.64</v>
      </c>
      <c r="L347" s="14" t="n">
        <v>1345.64</v>
      </c>
      <c r="M347" s="14" t="n">
        <v>1345.64</v>
      </c>
      <c r="N347" s="14" t="n">
        <v>1345.64</v>
      </c>
      <c r="O347" s="14" t="n">
        <v>1345.64</v>
      </c>
      <c r="P347" s="14" t="n">
        <v>1345.64</v>
      </c>
      <c r="Q347" s="14" t="n">
        <v>1345.64</v>
      </c>
      <c r="R347" s="14" t="n">
        <v>1345.64</v>
      </c>
      <c r="S347" s="14" t="n">
        <v>1345.64</v>
      </c>
      <c r="T347" s="14" t="n">
        <v>1345.64</v>
      </c>
      <c r="U347" s="14" t="n">
        <v>350</v>
      </c>
      <c r="V347" s="14" t="n">
        <v>250</v>
      </c>
      <c r="W347" s="14">
        <f>U347+V347</f>
        <v/>
      </c>
    </row>
    <row r="348">
      <c r="A348" s="15" t="inlineStr">
        <is>
          <t>CANON-202602-004248</t>
        </is>
      </c>
      <c r="B348" s="15" t="inlineStr">
        <is>
          <t>2026-02-03</t>
        </is>
      </c>
      <c r="C348" s="15" t="inlineStr">
        <is>
          <t>Horace Harrington</t>
        </is>
      </c>
      <c r="D348" s="15" t="inlineStr">
        <is>
          <t>NY</t>
        </is>
      </c>
      <c r="E348" s="16" t="n">
        <v>1160000</v>
      </c>
      <c r="F348" s="16" t="n">
        <v>9359.73</v>
      </c>
      <c r="G348" s="16" t="n">
        <v>1169.97</v>
      </c>
      <c r="H348" s="16" t="n">
        <v>1169.97</v>
      </c>
      <c r="I348" s="16">
        <f>SUM(K348:T348)</f>
        <v/>
      </c>
      <c r="J348" s="16">
        <f>F348-(G348+H348+I348)</f>
        <v/>
      </c>
      <c r="K348" s="16" t="n">
        <v>701.98</v>
      </c>
      <c r="L348" s="16" t="n">
        <v>701.98</v>
      </c>
      <c r="M348" s="16" t="n">
        <v>701.98</v>
      </c>
      <c r="N348" s="16" t="n">
        <v>701.98</v>
      </c>
      <c r="O348" s="16" t="n">
        <v>701.98</v>
      </c>
      <c r="P348" s="16" t="n">
        <v>701.98</v>
      </c>
      <c r="Q348" s="16" t="n">
        <v>701.98</v>
      </c>
      <c r="R348" s="16" t="n">
        <v>701.98</v>
      </c>
      <c r="S348" s="16" t="n">
        <v>701.98</v>
      </c>
      <c r="T348" s="16" t="n">
        <v>701.98</v>
      </c>
      <c r="U348" s="16" t="n">
        <v>350</v>
      </c>
      <c r="V348" s="16" t="n">
        <v>250</v>
      </c>
      <c r="W348" s="16">
        <f>U348+V348</f>
        <v/>
      </c>
    </row>
    <row r="349">
      <c r="A349" s="3" t="inlineStr">
        <is>
          <t>CANON-202602-004250</t>
        </is>
      </c>
      <c r="B349" s="3" t="inlineStr">
        <is>
          <t>2026-02-25</t>
        </is>
      </c>
      <c r="C349" s="3" t="inlineStr">
        <is>
          <t>Aurelio Bellandi</t>
        </is>
      </c>
      <c r="D349" s="3" t="inlineStr">
        <is>
          <t>NE</t>
        </is>
      </c>
      <c r="E349" s="14" t="n">
        <v>1035000</v>
      </c>
      <c r="F349" s="14" t="n">
        <v>12276.04</v>
      </c>
      <c r="G349" s="14" t="n">
        <v>1534.51</v>
      </c>
      <c r="H349" s="14" t="n">
        <v>1534.51</v>
      </c>
      <c r="I349" s="14">
        <f>SUM(K349:T349)</f>
        <v/>
      </c>
      <c r="J349" s="14">
        <f>F349-(G349+H349+I349)</f>
        <v/>
      </c>
      <c r="K349" s="14" t="n">
        <v>920.7</v>
      </c>
      <c r="L349" s="14" t="n">
        <v>920.7</v>
      </c>
      <c r="M349" s="14" t="n">
        <v>920.7</v>
      </c>
      <c r="N349" s="14" t="n">
        <v>920.7</v>
      </c>
      <c r="O349" s="14" t="n">
        <v>920.7</v>
      </c>
      <c r="P349" s="14" t="n">
        <v>920.7</v>
      </c>
      <c r="Q349" s="14" t="n">
        <v>920.7</v>
      </c>
      <c r="R349" s="14" t="n">
        <v>920.7</v>
      </c>
      <c r="S349" s="14" t="n">
        <v>920.7</v>
      </c>
      <c r="T349" s="14" t="n">
        <v>920.7</v>
      </c>
      <c r="U349" s="14" t="n">
        <v>350</v>
      </c>
      <c r="V349" s="14" t="n">
        <v>250</v>
      </c>
      <c r="W349" s="14">
        <f>U349+V349</f>
        <v/>
      </c>
    </row>
    <row r="350">
      <c r="A350" s="15" t="inlineStr">
        <is>
          <t>CANON-202602-004251</t>
        </is>
      </c>
      <c r="B350" s="15" t="inlineStr">
        <is>
          <t>2026-02-17</t>
        </is>
      </c>
      <c r="C350" s="15" t="inlineStr">
        <is>
          <t>Fenwick Okonkwo</t>
        </is>
      </c>
      <c r="D350" s="15" t="inlineStr">
        <is>
          <t>RI</t>
        </is>
      </c>
      <c r="E350" s="16" t="n">
        <v>1045000</v>
      </c>
      <c r="F350" s="16" t="n">
        <v>9024.690000000001</v>
      </c>
      <c r="G350" s="16" t="n">
        <v>1128.09</v>
      </c>
      <c r="H350" s="16" t="n">
        <v>1128.09</v>
      </c>
      <c r="I350" s="16">
        <f>SUM(K350:T350)</f>
        <v/>
      </c>
      <c r="J350" s="16">
        <f>F350-(G350+H350+I350)</f>
        <v/>
      </c>
      <c r="K350" s="16" t="n">
        <v>676.85</v>
      </c>
      <c r="L350" s="16" t="n">
        <v>676.85</v>
      </c>
      <c r="M350" s="16" t="n">
        <v>676.85</v>
      </c>
      <c r="N350" s="16" t="n">
        <v>676.85</v>
      </c>
      <c r="O350" s="16" t="n">
        <v>676.85</v>
      </c>
      <c r="P350" s="16" t="n">
        <v>676.85</v>
      </c>
      <c r="Q350" s="16" t="n">
        <v>676.85</v>
      </c>
      <c r="R350" s="16" t="n">
        <v>676.85</v>
      </c>
      <c r="S350" s="16" t="n">
        <v>676.85</v>
      </c>
      <c r="T350" s="16" t="n">
        <v>676.85</v>
      </c>
      <c r="U350" s="16" t="n">
        <v>350</v>
      </c>
      <c r="V350" s="16" t="n">
        <v>250</v>
      </c>
      <c r="W350" s="16">
        <f>U350+V350</f>
        <v/>
      </c>
    </row>
    <row r="351">
      <c r="A351" s="3" t="inlineStr">
        <is>
          <t>CANON-202602-004252</t>
        </is>
      </c>
      <c r="B351" s="3" t="inlineStr">
        <is>
          <t>2026-02-03</t>
        </is>
      </c>
      <c r="C351" s="3" t="inlineStr">
        <is>
          <t>Anouk Thistlewood</t>
        </is>
      </c>
      <c r="D351" s="3" t="inlineStr">
        <is>
          <t>IA</t>
        </is>
      </c>
      <c r="E351" s="14" t="n">
        <v>340000</v>
      </c>
      <c r="F351" s="14" t="n">
        <v>4653.12</v>
      </c>
      <c r="G351" s="14" t="n">
        <v>581.64</v>
      </c>
      <c r="H351" s="14" t="n">
        <v>581.64</v>
      </c>
      <c r="I351" s="14">
        <f>SUM(K351:T351)</f>
        <v/>
      </c>
      <c r="J351" s="14">
        <f>F351-(G351+H351+I351)</f>
        <v/>
      </c>
      <c r="K351" s="14" t="n">
        <v>348.98</v>
      </c>
      <c r="L351" s="14" t="n">
        <v>348.98</v>
      </c>
      <c r="M351" s="14" t="n">
        <v>348.98</v>
      </c>
      <c r="N351" s="14" t="n">
        <v>348.98</v>
      </c>
      <c r="O351" s="14" t="n">
        <v>348.98</v>
      </c>
      <c r="P351" s="14" t="n">
        <v>348.98</v>
      </c>
      <c r="Q351" s="14" t="n">
        <v>348.98</v>
      </c>
      <c r="R351" s="14" t="n">
        <v>348.98</v>
      </c>
      <c r="S351" s="14" t="n">
        <v>348.98</v>
      </c>
      <c r="T351" s="14" t="n">
        <v>348.98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CANON-202602-004254</t>
        </is>
      </c>
      <c r="B352" s="15" t="inlineStr">
        <is>
          <t>2026-02-03</t>
        </is>
      </c>
      <c r="C352" s="15" t="inlineStr">
        <is>
          <t>Sunniva Okonkwo</t>
        </is>
      </c>
      <c r="D352" s="15" t="inlineStr">
        <is>
          <t>WA</t>
        </is>
      </c>
      <c r="E352" s="16" t="n">
        <v>725000</v>
      </c>
      <c r="F352" s="16" t="n">
        <v>10968.43</v>
      </c>
      <c r="G352" s="16" t="n">
        <v>1371.05</v>
      </c>
      <c r="H352" s="16" t="n">
        <v>1371.05</v>
      </c>
      <c r="I352" s="16">
        <f>SUM(K352:T352)</f>
        <v/>
      </c>
      <c r="J352" s="16">
        <f>F352-(G352+H352+I352)</f>
        <v/>
      </c>
      <c r="K352" s="16" t="n">
        <v>822.63</v>
      </c>
      <c r="L352" s="16" t="n">
        <v>822.63</v>
      </c>
      <c r="M352" s="16" t="n">
        <v>822.63</v>
      </c>
      <c r="N352" s="16" t="n">
        <v>822.63</v>
      </c>
      <c r="O352" s="16" t="n">
        <v>822.63</v>
      </c>
      <c r="P352" s="16" t="n">
        <v>822.63</v>
      </c>
      <c r="Q352" s="16" t="n">
        <v>822.63</v>
      </c>
      <c r="R352" s="16" t="n">
        <v>822.63</v>
      </c>
      <c r="S352" s="16" t="n">
        <v>822.63</v>
      </c>
      <c r="T352" s="16" t="n">
        <v>822.63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CANON-202602-004255</t>
        </is>
      </c>
      <c r="B353" s="3" t="inlineStr">
        <is>
          <t>2026-02-16</t>
        </is>
      </c>
      <c r="C353" s="3" t="inlineStr">
        <is>
          <t>Lorenzo Thistlewood</t>
        </is>
      </c>
      <c r="D353" s="3" t="inlineStr">
        <is>
          <t>FL</t>
        </is>
      </c>
      <c r="E353" s="14" t="n">
        <v>265000</v>
      </c>
      <c r="F353" s="14" t="n">
        <v>4681.74</v>
      </c>
      <c r="G353" s="14" t="n">
        <v>585.22</v>
      </c>
      <c r="H353" s="14" t="n">
        <v>585.22</v>
      </c>
      <c r="I353" s="14">
        <f>SUM(K353:T353)</f>
        <v/>
      </c>
      <c r="J353" s="14">
        <f>F353-(G353+H353+I353)</f>
        <v/>
      </c>
      <c r="K353" s="14" t="n">
        <v>351.13</v>
      </c>
      <c r="L353" s="14" t="n">
        <v>351.13</v>
      </c>
      <c r="M353" s="14" t="n">
        <v>351.13</v>
      </c>
      <c r="N353" s="14" t="n">
        <v>351.13</v>
      </c>
      <c r="O353" s="14" t="n">
        <v>351.13</v>
      </c>
      <c r="P353" s="14" t="n">
        <v>351.13</v>
      </c>
      <c r="Q353" s="14" t="n">
        <v>351.13</v>
      </c>
      <c r="R353" s="14" t="n">
        <v>351.13</v>
      </c>
      <c r="S353" s="14" t="n">
        <v>351.13</v>
      </c>
      <c r="T353" s="14" t="n">
        <v>351.13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CANON-202602-004258</t>
        </is>
      </c>
      <c r="B354" s="15" t="inlineStr">
        <is>
          <t>2026-02-27</t>
        </is>
      </c>
      <c r="C354" s="15" t="inlineStr">
        <is>
          <t>Anouk Ashcombe</t>
        </is>
      </c>
      <c r="D354" s="15" t="inlineStr">
        <is>
          <t>MN</t>
        </is>
      </c>
      <c r="E354" s="16" t="n">
        <v>850000</v>
      </c>
      <c r="F354" s="16" t="n">
        <v>12098.13</v>
      </c>
      <c r="G354" s="16" t="n">
        <v>1512.27</v>
      </c>
      <c r="H354" s="16" t="n">
        <v>1512.27</v>
      </c>
      <c r="I354" s="16">
        <f>SUM(K354:T354)</f>
        <v/>
      </c>
      <c r="J354" s="16">
        <f>F354-(G354+H354+I354)</f>
        <v/>
      </c>
      <c r="K354" s="16" t="n">
        <v>907.36</v>
      </c>
      <c r="L354" s="16" t="n">
        <v>907.36</v>
      </c>
      <c r="M354" s="16" t="n">
        <v>907.36</v>
      </c>
      <c r="N354" s="16" t="n">
        <v>907.36</v>
      </c>
      <c r="O354" s="16" t="n">
        <v>907.36</v>
      </c>
      <c r="P354" s="16" t="n">
        <v>907.36</v>
      </c>
      <c r="Q354" s="16" t="n">
        <v>907.36</v>
      </c>
      <c r="R354" s="16" t="n">
        <v>907.36</v>
      </c>
      <c r="S354" s="16" t="n">
        <v>907.36</v>
      </c>
      <c r="T354" s="16" t="n">
        <v>907.36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CANON-202602-004260</t>
        </is>
      </c>
      <c r="B355" s="3" t="inlineStr">
        <is>
          <t>2026-02-13</t>
        </is>
      </c>
      <c r="C355" s="3" t="inlineStr">
        <is>
          <t>Fitzgerald Castellanos</t>
        </is>
      </c>
      <c r="D355" s="3" t="inlineStr">
        <is>
          <t>AR</t>
        </is>
      </c>
      <c r="E355" s="14" t="n">
        <v>1950000</v>
      </c>
      <c r="F355" s="14" t="n">
        <v>16963.25</v>
      </c>
      <c r="G355" s="14" t="n">
        <v>2120.41</v>
      </c>
      <c r="H355" s="14" t="n">
        <v>2120.41</v>
      </c>
      <c r="I355" s="14">
        <f>SUM(K355:T355)</f>
        <v/>
      </c>
      <c r="J355" s="14">
        <f>F355-(G355+H355+I355)</f>
        <v/>
      </c>
      <c r="K355" s="14" t="n">
        <v>1272.24</v>
      </c>
      <c r="L355" s="14" t="n">
        <v>1272.24</v>
      </c>
      <c r="M355" s="14" t="n">
        <v>1272.24</v>
      </c>
      <c r="N355" s="14" t="n">
        <v>1272.24</v>
      </c>
      <c r="O355" s="14" t="n">
        <v>1272.24</v>
      </c>
      <c r="P355" s="14" t="n">
        <v>1272.24</v>
      </c>
      <c r="Q355" s="14" t="n">
        <v>1272.24</v>
      </c>
      <c r="R355" s="14" t="n">
        <v>1272.24</v>
      </c>
      <c r="S355" s="14" t="n">
        <v>1272.24</v>
      </c>
      <c r="T355" s="14" t="n">
        <v>1272.24</v>
      </c>
      <c r="U355" s="14" t="n">
        <v>350</v>
      </c>
      <c r="V355" s="14" t="n">
        <v>250</v>
      </c>
      <c r="W355" s="14">
        <f>U355+V355</f>
        <v/>
      </c>
    </row>
    <row r="356">
      <c r="A356" s="15" t="inlineStr">
        <is>
          <t>CANON-202602-004262</t>
        </is>
      </c>
      <c r="B356" s="15" t="inlineStr">
        <is>
          <t>2026-02-03</t>
        </is>
      </c>
      <c r="C356" s="15" t="inlineStr">
        <is>
          <t>Emiliano Vandermeer</t>
        </is>
      </c>
      <c r="D356" s="15" t="inlineStr">
        <is>
          <t>ME</t>
        </is>
      </c>
      <c r="E356" s="16" t="n">
        <v>320000</v>
      </c>
      <c r="F356" s="16" t="n">
        <v>4299.79</v>
      </c>
      <c r="G356" s="16" t="n">
        <v>537.47</v>
      </c>
      <c r="H356" s="16" t="n">
        <v>537.47</v>
      </c>
      <c r="I356" s="16">
        <f>SUM(K356:T356)</f>
        <v/>
      </c>
      <c r="J356" s="16">
        <f>F356-(G356+H356+I356)</f>
        <v/>
      </c>
      <c r="K356" s="16" t="n">
        <v>322.48</v>
      </c>
      <c r="L356" s="16" t="n">
        <v>322.48</v>
      </c>
      <c r="M356" s="16" t="n">
        <v>322.48</v>
      </c>
      <c r="N356" s="16" t="n">
        <v>322.48</v>
      </c>
      <c r="O356" s="16" t="n">
        <v>322.48</v>
      </c>
      <c r="P356" s="16" t="n">
        <v>322.48</v>
      </c>
      <c r="Q356" s="16" t="n">
        <v>322.48</v>
      </c>
      <c r="R356" s="16" t="n">
        <v>322.48</v>
      </c>
      <c r="S356" s="16" t="n">
        <v>322.48</v>
      </c>
      <c r="T356" s="16" t="n">
        <v>322.48</v>
      </c>
      <c r="U356" s="16" t="n">
        <v>350</v>
      </c>
      <c r="V356" s="16" t="n">
        <v>0</v>
      </c>
      <c r="W356" s="16">
        <f>U356+V356</f>
        <v/>
      </c>
    </row>
    <row r="357">
      <c r="A357" s="3" t="inlineStr">
        <is>
          <t>CANON-202602-004264</t>
        </is>
      </c>
      <c r="B357" s="3" t="inlineStr">
        <is>
          <t>2026-02-12</t>
        </is>
      </c>
      <c r="C357" s="3" t="inlineStr">
        <is>
          <t>Callum Bellandi</t>
        </is>
      </c>
      <c r="D357" s="3" t="inlineStr">
        <is>
          <t>ND</t>
        </is>
      </c>
      <c r="E357" s="14" t="n">
        <v>1205000</v>
      </c>
      <c r="F357" s="14" t="n">
        <v>11214.03</v>
      </c>
      <c r="G357" s="14" t="n">
        <v>1401.75</v>
      </c>
      <c r="H357" s="14" t="n">
        <v>1401.75</v>
      </c>
      <c r="I357" s="14">
        <f>SUM(K357:T357)</f>
        <v/>
      </c>
      <c r="J357" s="14">
        <f>F357-(G357+H357+I357)</f>
        <v/>
      </c>
      <c r="K357" s="14" t="n">
        <v>841.05</v>
      </c>
      <c r="L357" s="14" t="n">
        <v>841.05</v>
      </c>
      <c r="M357" s="14" t="n">
        <v>841.05</v>
      </c>
      <c r="N357" s="14" t="n">
        <v>841.05</v>
      </c>
      <c r="O357" s="14" t="n">
        <v>841.05</v>
      </c>
      <c r="P357" s="14" t="n">
        <v>841.05</v>
      </c>
      <c r="Q357" s="14" t="n">
        <v>841.05</v>
      </c>
      <c r="R357" s="14" t="n">
        <v>841.05</v>
      </c>
      <c r="S357" s="14" t="n">
        <v>841.05</v>
      </c>
      <c r="T357" s="14" t="n">
        <v>841.05</v>
      </c>
      <c r="U357" s="14" t="n">
        <v>350</v>
      </c>
      <c r="V357" s="14" t="n">
        <v>250</v>
      </c>
      <c r="W357" s="14">
        <f>U357+V357</f>
        <v/>
      </c>
    </row>
    <row r="358">
      <c r="A358" s="15" t="inlineStr">
        <is>
          <t>CANON-202602-004265</t>
        </is>
      </c>
      <c r="B358" s="15" t="inlineStr">
        <is>
          <t>2026-02-21</t>
        </is>
      </c>
      <c r="C358" s="15" t="inlineStr">
        <is>
          <t>Marisol Okonkwo</t>
        </is>
      </c>
      <c r="D358" s="15" t="inlineStr">
        <is>
          <t>MN</t>
        </is>
      </c>
      <c r="E358" s="16" t="n">
        <v>295000</v>
      </c>
      <c r="F358" s="16" t="n">
        <v>3100.62</v>
      </c>
      <c r="G358" s="16" t="n">
        <v>387.58</v>
      </c>
      <c r="H358" s="16" t="n">
        <v>387.58</v>
      </c>
      <c r="I358" s="16">
        <f>SUM(K358:T358)</f>
        <v/>
      </c>
      <c r="J358" s="16">
        <f>F358-(G358+H358+I358)</f>
        <v/>
      </c>
      <c r="K358" s="16" t="n">
        <v>232.55</v>
      </c>
      <c r="L358" s="16" t="n">
        <v>232.55</v>
      </c>
      <c r="M358" s="16" t="n">
        <v>232.55</v>
      </c>
      <c r="N358" s="16" t="n">
        <v>232.55</v>
      </c>
      <c r="O358" s="16" t="n">
        <v>232.55</v>
      </c>
      <c r="P358" s="16" t="n">
        <v>232.55</v>
      </c>
      <c r="Q358" s="16" t="n">
        <v>232.55</v>
      </c>
      <c r="R358" s="16" t="n">
        <v>232.55</v>
      </c>
      <c r="S358" s="16" t="n">
        <v>232.55</v>
      </c>
      <c r="T358" s="16" t="n">
        <v>232.55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CANON-202602-004266</t>
        </is>
      </c>
      <c r="B359" s="3" t="inlineStr">
        <is>
          <t>2026-02-28</t>
        </is>
      </c>
      <c r="C359" s="3" t="inlineStr">
        <is>
          <t>Ingrid Vasquez</t>
        </is>
      </c>
      <c r="D359" s="3" t="inlineStr">
        <is>
          <t>ND</t>
        </is>
      </c>
      <c r="E359" s="14" t="n">
        <v>255000</v>
      </c>
      <c r="F359" s="14" t="n">
        <v>3236.04</v>
      </c>
      <c r="G359" s="14" t="n">
        <v>404.5</v>
      </c>
      <c r="H359" s="14" t="n">
        <v>404.5</v>
      </c>
      <c r="I359" s="14">
        <f>SUM(K359:T359)</f>
        <v/>
      </c>
      <c r="J359" s="14">
        <f>F359-(G359+H359+I359)</f>
        <v/>
      </c>
      <c r="K359" s="14" t="n">
        <v>242.7</v>
      </c>
      <c r="L359" s="14" t="n">
        <v>242.7</v>
      </c>
      <c r="M359" s="14" t="n">
        <v>242.7</v>
      </c>
      <c r="N359" s="14" t="n">
        <v>242.7</v>
      </c>
      <c r="O359" s="14" t="n">
        <v>242.7</v>
      </c>
      <c r="P359" s="14" t="n">
        <v>242.7</v>
      </c>
      <c r="Q359" s="14" t="n">
        <v>242.7</v>
      </c>
      <c r="R359" s="14" t="n">
        <v>242.7</v>
      </c>
      <c r="S359" s="14" t="n">
        <v>242.7</v>
      </c>
      <c r="T359" s="14" t="n">
        <v>242.7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CANON-202602-004267</t>
        </is>
      </c>
      <c r="B360" s="15" t="inlineStr">
        <is>
          <t>2026-02-10</t>
        </is>
      </c>
      <c r="C360" s="15" t="inlineStr">
        <is>
          <t>Wilhelmina Fairweather</t>
        </is>
      </c>
      <c r="D360" s="15" t="inlineStr">
        <is>
          <t>WA</t>
        </is>
      </c>
      <c r="E360" s="16" t="n">
        <v>465000</v>
      </c>
      <c r="F360" s="16" t="n">
        <v>5553.89</v>
      </c>
      <c r="G360" s="16" t="n">
        <v>694.24</v>
      </c>
      <c r="H360" s="16" t="n">
        <v>694.24</v>
      </c>
      <c r="I360" s="16">
        <f>SUM(K360:T360)</f>
        <v/>
      </c>
      <c r="J360" s="16">
        <f>F360-(G360+H360+I360)</f>
        <v/>
      </c>
      <c r="K360" s="16" t="n">
        <v>416.54</v>
      </c>
      <c r="L360" s="16" t="n">
        <v>416.54</v>
      </c>
      <c r="M360" s="16" t="n">
        <v>416.54</v>
      </c>
      <c r="N360" s="16" t="n">
        <v>416.54</v>
      </c>
      <c r="O360" s="16" t="n">
        <v>416.54</v>
      </c>
      <c r="P360" s="16" t="n">
        <v>416.54</v>
      </c>
      <c r="Q360" s="16" t="n">
        <v>416.54</v>
      </c>
      <c r="R360" s="16" t="n">
        <v>416.54</v>
      </c>
      <c r="S360" s="16" t="n">
        <v>416.54</v>
      </c>
      <c r="T360" s="16" t="n">
        <v>416.54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CANON-202602-004268</t>
        </is>
      </c>
      <c r="B361" s="3" t="inlineStr">
        <is>
          <t>2026-02-04</t>
        </is>
      </c>
      <c r="C361" s="3" t="inlineStr">
        <is>
          <t>Cassius Farkas</t>
        </is>
      </c>
      <c r="D361" s="3" t="inlineStr">
        <is>
          <t>CA</t>
        </is>
      </c>
      <c r="E361" s="14" t="n">
        <v>1280000</v>
      </c>
      <c r="F361" s="14" t="n">
        <v>22932.19</v>
      </c>
      <c r="G361" s="14" t="n">
        <v>2866.52</v>
      </c>
      <c r="H361" s="14" t="n">
        <v>2866.52</v>
      </c>
      <c r="I361" s="14">
        <f>SUM(K361:T361)</f>
        <v/>
      </c>
      <c r="J361" s="14">
        <f>F361-(G361+H361+I361)</f>
        <v/>
      </c>
      <c r="K361" s="14" t="n">
        <v>1719.91</v>
      </c>
      <c r="L361" s="14" t="n">
        <v>1719.91</v>
      </c>
      <c r="M361" s="14" t="n">
        <v>1719.91</v>
      </c>
      <c r="N361" s="14" t="n">
        <v>1719.91</v>
      </c>
      <c r="O361" s="14" t="n">
        <v>1719.91</v>
      </c>
      <c r="P361" s="14" t="n">
        <v>1719.91</v>
      </c>
      <c r="Q361" s="14" t="n">
        <v>1719.91</v>
      </c>
      <c r="R361" s="14" t="n">
        <v>1719.91</v>
      </c>
      <c r="S361" s="14" t="n">
        <v>1719.91</v>
      </c>
      <c r="T361" s="14" t="n">
        <v>1719.91</v>
      </c>
      <c r="U361" s="14" t="n">
        <v>350</v>
      </c>
      <c r="V361" s="14" t="n">
        <v>250</v>
      </c>
      <c r="W361" s="14">
        <f>U361+V361</f>
        <v/>
      </c>
    </row>
    <row r="362">
      <c r="A362" s="15" t="inlineStr">
        <is>
          <t>CANON-202602-004271</t>
        </is>
      </c>
      <c r="B362" s="15" t="inlineStr">
        <is>
          <t>2026-02-05</t>
        </is>
      </c>
      <c r="C362" s="15" t="inlineStr">
        <is>
          <t>Marisol Rourke</t>
        </is>
      </c>
      <c r="D362" s="15" t="inlineStr">
        <is>
          <t>TN</t>
        </is>
      </c>
      <c r="E362" s="16" t="n">
        <v>275000</v>
      </c>
      <c r="F362" s="16" t="n">
        <v>3352.99</v>
      </c>
      <c r="G362" s="16" t="n">
        <v>419.12</v>
      </c>
      <c r="H362" s="16" t="n">
        <v>419.12</v>
      </c>
      <c r="I362" s="16">
        <f>SUM(K362:T362)</f>
        <v/>
      </c>
      <c r="J362" s="16">
        <f>F362-(G362+H362+I362)</f>
        <v/>
      </c>
      <c r="K362" s="16" t="n">
        <v>251.47</v>
      </c>
      <c r="L362" s="16" t="n">
        <v>251.47</v>
      </c>
      <c r="M362" s="16" t="n">
        <v>251.47</v>
      </c>
      <c r="N362" s="16" t="n">
        <v>251.47</v>
      </c>
      <c r="O362" s="16" t="n">
        <v>251.47</v>
      </c>
      <c r="P362" s="16" t="n">
        <v>251.47</v>
      </c>
      <c r="Q362" s="16" t="n">
        <v>251.47</v>
      </c>
      <c r="R362" s="16" t="n">
        <v>251.47</v>
      </c>
      <c r="S362" s="16" t="n">
        <v>251.47</v>
      </c>
      <c r="T362" s="16" t="n">
        <v>251.47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CANON-202602-004272</t>
        </is>
      </c>
      <c r="B363" s="3" t="inlineStr">
        <is>
          <t>2026-02-21</t>
        </is>
      </c>
      <c r="C363" s="3" t="inlineStr">
        <is>
          <t>Delphine Larsson</t>
        </is>
      </c>
      <c r="D363" s="3" t="inlineStr">
        <is>
          <t>MI</t>
        </is>
      </c>
      <c r="E363" s="14" t="n">
        <v>525000</v>
      </c>
      <c r="F363" s="14" t="n">
        <v>12824.08</v>
      </c>
      <c r="G363" s="14" t="n">
        <v>1603.01</v>
      </c>
      <c r="H363" s="14" t="n">
        <v>1603.01</v>
      </c>
      <c r="I363" s="14">
        <f>SUM(K363:T363)</f>
        <v/>
      </c>
      <c r="J363" s="14">
        <f>F363-(G363+H363+I363)</f>
        <v/>
      </c>
      <c r="K363" s="14" t="n">
        <v>961.8099999999999</v>
      </c>
      <c r="L363" s="14" t="n">
        <v>961.8099999999999</v>
      </c>
      <c r="M363" s="14" t="n">
        <v>961.8099999999999</v>
      </c>
      <c r="N363" s="14" t="n">
        <v>961.8099999999999</v>
      </c>
      <c r="O363" s="14" t="n">
        <v>961.8099999999999</v>
      </c>
      <c r="P363" s="14" t="n">
        <v>961.8099999999999</v>
      </c>
      <c r="Q363" s="14" t="n">
        <v>961.8099999999999</v>
      </c>
      <c r="R363" s="14" t="n">
        <v>961.8099999999999</v>
      </c>
      <c r="S363" s="14" t="n">
        <v>961.8099999999999</v>
      </c>
      <c r="T363" s="14" t="n">
        <v>961.8099999999999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CANON-202602-004273</t>
        </is>
      </c>
      <c r="B364" s="15" t="inlineStr">
        <is>
          <t>2026-02-13</t>
        </is>
      </c>
      <c r="C364" s="15" t="inlineStr">
        <is>
          <t>Cassius Vasquez</t>
        </is>
      </c>
      <c r="D364" s="15" t="inlineStr">
        <is>
          <t>MN</t>
        </is>
      </c>
      <c r="E364" s="16" t="n">
        <v>550000</v>
      </c>
      <c r="F364" s="16" t="n">
        <v>7828.19</v>
      </c>
      <c r="G364" s="16" t="n">
        <v>978.52</v>
      </c>
      <c r="H364" s="16" t="n">
        <v>978.52</v>
      </c>
      <c r="I364" s="16">
        <f>SUM(K364:T364)</f>
        <v/>
      </c>
      <c r="J364" s="16">
        <f>F364-(G364+H364+I364)</f>
        <v/>
      </c>
      <c r="K364" s="16" t="n">
        <v>587.11</v>
      </c>
      <c r="L364" s="16" t="n">
        <v>587.11</v>
      </c>
      <c r="M364" s="16" t="n">
        <v>587.11</v>
      </c>
      <c r="N364" s="16" t="n">
        <v>587.11</v>
      </c>
      <c r="O364" s="16" t="n">
        <v>587.11</v>
      </c>
      <c r="P364" s="16" t="n">
        <v>587.11</v>
      </c>
      <c r="Q364" s="16" t="n">
        <v>587.11</v>
      </c>
      <c r="R364" s="16" t="n">
        <v>587.11</v>
      </c>
      <c r="S364" s="16" t="n">
        <v>587.11</v>
      </c>
      <c r="T364" s="16" t="n">
        <v>587.11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CANON-202602-004274</t>
        </is>
      </c>
      <c r="B365" s="3" t="inlineStr">
        <is>
          <t>2026-02-27</t>
        </is>
      </c>
      <c r="C365" s="3" t="inlineStr">
        <is>
          <t>Mireille Delacroix</t>
        </is>
      </c>
      <c r="D365" s="3" t="inlineStr">
        <is>
          <t>CA</t>
        </is>
      </c>
      <c r="E365" s="14" t="n">
        <v>405000</v>
      </c>
      <c r="F365" s="14" t="n">
        <v>6802.4</v>
      </c>
      <c r="G365" s="14" t="n">
        <v>850.3</v>
      </c>
      <c r="H365" s="14" t="n">
        <v>850.3</v>
      </c>
      <c r="I365" s="14">
        <f>SUM(K365:T365)</f>
        <v/>
      </c>
      <c r="J365" s="14">
        <f>F365-(G365+H365+I365)</f>
        <v/>
      </c>
      <c r="K365" s="14" t="n">
        <v>510.18</v>
      </c>
      <c r="L365" s="14" t="n">
        <v>510.18</v>
      </c>
      <c r="M365" s="14" t="n">
        <v>510.18</v>
      </c>
      <c r="N365" s="14" t="n">
        <v>510.18</v>
      </c>
      <c r="O365" s="14" t="n">
        <v>510.18</v>
      </c>
      <c r="P365" s="14" t="n">
        <v>510.18</v>
      </c>
      <c r="Q365" s="14" t="n">
        <v>510.18</v>
      </c>
      <c r="R365" s="14" t="n">
        <v>510.18</v>
      </c>
      <c r="S365" s="14" t="n">
        <v>510.18</v>
      </c>
      <c r="T365" s="14" t="n">
        <v>510.18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CANON-202602-004275</t>
        </is>
      </c>
      <c r="B366" s="15" t="inlineStr">
        <is>
          <t>2026-02-02</t>
        </is>
      </c>
      <c r="C366" s="15" t="inlineStr">
        <is>
          <t>Priya Rourke</t>
        </is>
      </c>
      <c r="D366" s="15" t="inlineStr">
        <is>
          <t>CA</t>
        </is>
      </c>
      <c r="E366" s="16" t="n">
        <v>960000</v>
      </c>
      <c r="F366" s="16" t="n">
        <v>9244.540000000001</v>
      </c>
      <c r="G366" s="16" t="n">
        <v>1155.57</v>
      </c>
      <c r="H366" s="16" t="n">
        <v>1155.57</v>
      </c>
      <c r="I366" s="16">
        <f>SUM(K366:T366)</f>
        <v/>
      </c>
      <c r="J366" s="16">
        <f>F366-(G366+H366+I366)</f>
        <v/>
      </c>
      <c r="K366" s="16" t="n">
        <v>693.34</v>
      </c>
      <c r="L366" s="16" t="n">
        <v>693.34</v>
      </c>
      <c r="M366" s="16" t="n">
        <v>693.34</v>
      </c>
      <c r="N366" s="16" t="n">
        <v>693.34</v>
      </c>
      <c r="O366" s="16" t="n">
        <v>693.34</v>
      </c>
      <c r="P366" s="16" t="n">
        <v>693.34</v>
      </c>
      <c r="Q366" s="16" t="n">
        <v>693.34</v>
      </c>
      <c r="R366" s="16" t="n">
        <v>693.34</v>
      </c>
      <c r="S366" s="16" t="n">
        <v>693.34</v>
      </c>
      <c r="T366" s="16" t="n">
        <v>693.34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CANON-202602-004276</t>
        </is>
      </c>
      <c r="B367" s="3" t="inlineStr">
        <is>
          <t>2026-02-26</t>
        </is>
      </c>
      <c r="C367" s="3" t="inlineStr">
        <is>
          <t>Priya Underwood</t>
        </is>
      </c>
      <c r="D367" s="3" t="inlineStr">
        <is>
          <t>WA</t>
        </is>
      </c>
      <c r="E367" s="14" t="n">
        <v>1140000</v>
      </c>
      <c r="F367" s="14" t="n">
        <v>14523.72</v>
      </c>
      <c r="G367" s="14" t="n">
        <v>1815.46</v>
      </c>
      <c r="H367" s="14" t="n">
        <v>1815.46</v>
      </c>
      <c r="I367" s="14">
        <f>SUM(K367:T367)</f>
        <v/>
      </c>
      <c r="J367" s="14">
        <f>F367-(G367+H367+I367)</f>
        <v/>
      </c>
      <c r="K367" s="14" t="n">
        <v>1089.28</v>
      </c>
      <c r="L367" s="14" t="n">
        <v>1089.28</v>
      </c>
      <c r="M367" s="14" t="n">
        <v>1089.28</v>
      </c>
      <c r="N367" s="14" t="n">
        <v>1089.28</v>
      </c>
      <c r="O367" s="14" t="n">
        <v>1089.28</v>
      </c>
      <c r="P367" s="14" t="n">
        <v>1089.28</v>
      </c>
      <c r="Q367" s="14" t="n">
        <v>1089.28</v>
      </c>
      <c r="R367" s="14" t="n">
        <v>1089.28</v>
      </c>
      <c r="S367" s="14" t="n">
        <v>1089.28</v>
      </c>
      <c r="T367" s="14" t="n">
        <v>1089.28</v>
      </c>
      <c r="U367" s="14" t="n">
        <v>350</v>
      </c>
      <c r="V367" s="14" t="n">
        <v>250</v>
      </c>
      <c r="W367" s="14">
        <f>U367+V367</f>
        <v/>
      </c>
    </row>
    <row r="368">
      <c r="A368" s="15" t="inlineStr">
        <is>
          <t>CANON-202602-004277</t>
        </is>
      </c>
      <c r="B368" s="15" t="inlineStr">
        <is>
          <t>2026-02-17</t>
        </is>
      </c>
      <c r="C368" s="15" t="inlineStr">
        <is>
          <t>Marisol Okonkwo</t>
        </is>
      </c>
      <c r="D368" s="15" t="inlineStr">
        <is>
          <t>MS</t>
        </is>
      </c>
      <c r="E368" s="16" t="n">
        <v>905000</v>
      </c>
      <c r="F368" s="16" t="n">
        <v>11612.37</v>
      </c>
      <c r="G368" s="16" t="n">
        <v>1451.55</v>
      </c>
      <c r="H368" s="16" t="n">
        <v>1451.55</v>
      </c>
      <c r="I368" s="16">
        <f>SUM(K368:T368)</f>
        <v/>
      </c>
      <c r="J368" s="16">
        <f>F368-(G368+H368+I368)</f>
        <v/>
      </c>
      <c r="K368" s="16" t="n">
        <v>870.9299999999999</v>
      </c>
      <c r="L368" s="16" t="n">
        <v>870.9299999999999</v>
      </c>
      <c r="M368" s="16" t="n">
        <v>870.9299999999999</v>
      </c>
      <c r="N368" s="16" t="n">
        <v>870.9299999999999</v>
      </c>
      <c r="O368" s="16" t="n">
        <v>870.9299999999999</v>
      </c>
      <c r="P368" s="16" t="n">
        <v>870.9299999999999</v>
      </c>
      <c r="Q368" s="16" t="n">
        <v>870.9299999999999</v>
      </c>
      <c r="R368" s="16" t="n">
        <v>870.9299999999999</v>
      </c>
      <c r="S368" s="16" t="n">
        <v>870.9299999999999</v>
      </c>
      <c r="T368" s="16" t="n">
        <v>870.9299999999999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CANON-202602-004279</t>
        </is>
      </c>
      <c r="B369" s="3" t="inlineStr">
        <is>
          <t>2026-02-14</t>
        </is>
      </c>
      <c r="C369" s="3" t="inlineStr">
        <is>
          <t>Delphine Rourke</t>
        </is>
      </c>
      <c r="D369" s="3" t="inlineStr">
        <is>
          <t>LA</t>
        </is>
      </c>
      <c r="E369" s="14" t="n">
        <v>640000</v>
      </c>
      <c r="F369" s="14" t="n">
        <v>8350.08</v>
      </c>
      <c r="G369" s="14" t="n">
        <v>1043.76</v>
      </c>
      <c r="H369" s="14" t="n">
        <v>1043.76</v>
      </c>
      <c r="I369" s="14">
        <f>SUM(K369:T369)</f>
        <v/>
      </c>
      <c r="J369" s="14">
        <f>F369-(G369+H369+I369)</f>
        <v/>
      </c>
      <c r="K369" s="14" t="n">
        <v>626.26</v>
      </c>
      <c r="L369" s="14" t="n">
        <v>626.26</v>
      </c>
      <c r="M369" s="14" t="n">
        <v>626.26</v>
      </c>
      <c r="N369" s="14" t="n">
        <v>626.26</v>
      </c>
      <c r="O369" s="14" t="n">
        <v>626.26</v>
      </c>
      <c r="P369" s="14" t="n">
        <v>626.26</v>
      </c>
      <c r="Q369" s="14" t="n">
        <v>626.26</v>
      </c>
      <c r="R369" s="14" t="n">
        <v>626.26</v>
      </c>
      <c r="S369" s="14" t="n">
        <v>626.26</v>
      </c>
      <c r="T369" s="14" t="n">
        <v>626.26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CANON-202602-004280</t>
        </is>
      </c>
      <c r="B370" s="15" t="inlineStr">
        <is>
          <t>2026-02-13</t>
        </is>
      </c>
      <c r="C370" s="15" t="inlineStr">
        <is>
          <t>Desmond Kingsford</t>
        </is>
      </c>
      <c r="D370" s="15" t="inlineStr">
        <is>
          <t>CA</t>
        </is>
      </c>
      <c r="E370" s="16" t="n">
        <v>270000</v>
      </c>
      <c r="F370" s="16" t="n">
        <v>4534.93</v>
      </c>
      <c r="G370" s="16" t="n">
        <v>566.87</v>
      </c>
      <c r="H370" s="16" t="n">
        <v>566.87</v>
      </c>
      <c r="I370" s="16">
        <f>SUM(K370:T370)</f>
        <v/>
      </c>
      <c r="J370" s="16">
        <f>F370-(G370+H370+I370)</f>
        <v/>
      </c>
      <c r="K370" s="16" t="n">
        <v>340.12</v>
      </c>
      <c r="L370" s="16" t="n">
        <v>340.12</v>
      </c>
      <c r="M370" s="16" t="n">
        <v>340.12</v>
      </c>
      <c r="N370" s="16" t="n">
        <v>340.12</v>
      </c>
      <c r="O370" s="16" t="n">
        <v>340.12</v>
      </c>
      <c r="P370" s="16" t="n">
        <v>340.12</v>
      </c>
      <c r="Q370" s="16" t="n">
        <v>340.12</v>
      </c>
      <c r="R370" s="16" t="n">
        <v>340.12</v>
      </c>
      <c r="S370" s="16" t="n">
        <v>340.12</v>
      </c>
      <c r="T370" s="16" t="n">
        <v>340.12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CANON-202602-004281</t>
        </is>
      </c>
      <c r="B371" s="3" t="inlineStr">
        <is>
          <t>2026-02-03</t>
        </is>
      </c>
      <c r="C371" s="3" t="inlineStr">
        <is>
          <t>Saoirse Merriweather</t>
        </is>
      </c>
      <c r="D371" s="3" t="inlineStr">
        <is>
          <t>PA</t>
        </is>
      </c>
      <c r="E371" s="14" t="n">
        <v>650000</v>
      </c>
      <c r="F371" s="14" t="n">
        <v>7008.72</v>
      </c>
      <c r="G371" s="14" t="n">
        <v>876.09</v>
      </c>
      <c r="H371" s="14" t="n">
        <v>876.09</v>
      </c>
      <c r="I371" s="14">
        <f>SUM(K371:T371)</f>
        <v/>
      </c>
      <c r="J371" s="14">
        <f>F371-(G371+H371+I371)</f>
        <v/>
      </c>
      <c r="K371" s="14" t="n">
        <v>525.65</v>
      </c>
      <c r="L371" s="14" t="n">
        <v>525.65</v>
      </c>
      <c r="M371" s="14" t="n">
        <v>525.65</v>
      </c>
      <c r="N371" s="14" t="n">
        <v>525.65</v>
      </c>
      <c r="O371" s="14" t="n">
        <v>525.65</v>
      </c>
      <c r="P371" s="14" t="n">
        <v>525.65</v>
      </c>
      <c r="Q371" s="14" t="n">
        <v>525.65</v>
      </c>
      <c r="R371" s="14" t="n">
        <v>525.65</v>
      </c>
      <c r="S371" s="14" t="n">
        <v>525.65</v>
      </c>
      <c r="T371" s="14" t="n">
        <v>525.65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CANON-202602-004282</t>
        </is>
      </c>
      <c r="B372" s="15" t="inlineStr">
        <is>
          <t>2026-02-20</t>
        </is>
      </c>
      <c r="C372" s="15" t="inlineStr">
        <is>
          <t>Marisol Whitlock</t>
        </is>
      </c>
      <c r="D372" s="15" t="inlineStr">
        <is>
          <t>IN</t>
        </is>
      </c>
      <c r="E372" s="16" t="n">
        <v>380000</v>
      </c>
      <c r="F372" s="16" t="n">
        <v>5815.16</v>
      </c>
      <c r="G372" s="16" t="n">
        <v>726.89</v>
      </c>
      <c r="H372" s="16" t="n">
        <v>726.89</v>
      </c>
      <c r="I372" s="16">
        <f>SUM(K372:T372)</f>
        <v/>
      </c>
      <c r="J372" s="16">
        <f>F372-(G372+H372+I372)</f>
        <v/>
      </c>
      <c r="K372" s="16" t="n">
        <v>436.14</v>
      </c>
      <c r="L372" s="16" t="n">
        <v>436.14</v>
      </c>
      <c r="M372" s="16" t="n">
        <v>436.14</v>
      </c>
      <c r="N372" s="16" t="n">
        <v>436.14</v>
      </c>
      <c r="O372" s="16" t="n">
        <v>436.14</v>
      </c>
      <c r="P372" s="16" t="n">
        <v>436.14</v>
      </c>
      <c r="Q372" s="16" t="n">
        <v>436.14</v>
      </c>
      <c r="R372" s="16" t="n">
        <v>436.14</v>
      </c>
      <c r="S372" s="16" t="n">
        <v>436.14</v>
      </c>
      <c r="T372" s="16" t="n">
        <v>436.14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CANON-202602-004284</t>
        </is>
      </c>
      <c r="B373" s="3" t="inlineStr">
        <is>
          <t>2026-02-07</t>
        </is>
      </c>
      <c r="C373" s="3" t="inlineStr">
        <is>
          <t>Priya Kingsford</t>
        </is>
      </c>
      <c r="D373" s="3" t="inlineStr">
        <is>
          <t>NV</t>
        </is>
      </c>
      <c r="E373" s="14" t="n">
        <v>1615000</v>
      </c>
      <c r="F373" s="14" t="n">
        <v>11911.16</v>
      </c>
      <c r="G373" s="14" t="n">
        <v>1488.89</v>
      </c>
      <c r="H373" s="14" t="n">
        <v>1488.89</v>
      </c>
      <c r="I373" s="14">
        <f>SUM(K373:T373)</f>
        <v/>
      </c>
      <c r="J373" s="14">
        <f>F373-(G373+H373+I373)</f>
        <v/>
      </c>
      <c r="K373" s="14" t="n">
        <v>893.34</v>
      </c>
      <c r="L373" s="14" t="n">
        <v>893.34</v>
      </c>
      <c r="M373" s="14" t="n">
        <v>893.34</v>
      </c>
      <c r="N373" s="14" t="n">
        <v>893.34</v>
      </c>
      <c r="O373" s="14" t="n">
        <v>893.34</v>
      </c>
      <c r="P373" s="14" t="n">
        <v>893.34</v>
      </c>
      <c r="Q373" s="14" t="n">
        <v>893.34</v>
      </c>
      <c r="R373" s="14" t="n">
        <v>893.34</v>
      </c>
      <c r="S373" s="14" t="n">
        <v>893.34</v>
      </c>
      <c r="T373" s="14" t="n">
        <v>893.34</v>
      </c>
      <c r="U373" s="14" t="n">
        <v>350</v>
      </c>
      <c r="V373" s="14" t="n">
        <v>250</v>
      </c>
      <c r="W373" s="14">
        <f>U373+V373</f>
        <v/>
      </c>
    </row>
    <row r="374">
      <c r="A374" s="15" t="inlineStr">
        <is>
          <t>CANON-202602-004285</t>
        </is>
      </c>
      <c r="B374" s="15" t="inlineStr">
        <is>
          <t>2026-02-07</t>
        </is>
      </c>
      <c r="C374" s="15" t="inlineStr">
        <is>
          <t>Fitzgerald Pennington</t>
        </is>
      </c>
      <c r="D374" s="15" t="inlineStr">
        <is>
          <t>MA</t>
        </is>
      </c>
      <c r="E374" s="16" t="n">
        <v>325000</v>
      </c>
      <c r="F374" s="16" t="n">
        <v>5054.36</v>
      </c>
      <c r="G374" s="16" t="n">
        <v>631.79</v>
      </c>
      <c r="H374" s="16" t="n">
        <v>631.79</v>
      </c>
      <c r="I374" s="16">
        <f>SUM(K374:T374)</f>
        <v/>
      </c>
      <c r="J374" s="16">
        <f>F374-(G374+H374+I374)</f>
        <v/>
      </c>
      <c r="K374" s="16" t="n">
        <v>379.08</v>
      </c>
      <c r="L374" s="16" t="n">
        <v>379.08</v>
      </c>
      <c r="M374" s="16" t="n">
        <v>379.08</v>
      </c>
      <c r="N374" s="16" t="n">
        <v>379.08</v>
      </c>
      <c r="O374" s="16" t="n">
        <v>379.08</v>
      </c>
      <c r="P374" s="16" t="n">
        <v>379.08</v>
      </c>
      <c r="Q374" s="16" t="n">
        <v>379.08</v>
      </c>
      <c r="R374" s="16" t="n">
        <v>379.08</v>
      </c>
      <c r="S374" s="16" t="n">
        <v>379.08</v>
      </c>
      <c r="T374" s="16" t="n">
        <v>379.08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CANON-202602-004287</t>
        </is>
      </c>
      <c r="B375" s="3" t="inlineStr">
        <is>
          <t>2026-02-23</t>
        </is>
      </c>
      <c r="C375" s="3" t="inlineStr">
        <is>
          <t>Cassius Blackwood</t>
        </is>
      </c>
      <c r="D375" s="3" t="inlineStr">
        <is>
          <t>NJ</t>
        </is>
      </c>
      <c r="E375" s="14" t="n">
        <v>1010000</v>
      </c>
      <c r="F375" s="14" t="n">
        <v>8385.66</v>
      </c>
      <c r="G375" s="14" t="n">
        <v>1048.21</v>
      </c>
      <c r="H375" s="14" t="n">
        <v>1048.21</v>
      </c>
      <c r="I375" s="14">
        <f>SUM(K375:T375)</f>
        <v/>
      </c>
      <c r="J375" s="14">
        <f>F375-(G375+H375+I375)</f>
        <v/>
      </c>
      <c r="K375" s="14" t="n">
        <v>628.92</v>
      </c>
      <c r="L375" s="14" t="n">
        <v>628.92</v>
      </c>
      <c r="M375" s="14" t="n">
        <v>628.92</v>
      </c>
      <c r="N375" s="14" t="n">
        <v>628.92</v>
      </c>
      <c r="O375" s="14" t="n">
        <v>628.92</v>
      </c>
      <c r="P375" s="14" t="n">
        <v>628.92</v>
      </c>
      <c r="Q375" s="14" t="n">
        <v>628.92</v>
      </c>
      <c r="R375" s="14" t="n">
        <v>628.92</v>
      </c>
      <c r="S375" s="14" t="n">
        <v>628.92</v>
      </c>
      <c r="T375" s="14" t="n">
        <v>628.92</v>
      </c>
      <c r="U375" s="14" t="n">
        <v>350</v>
      </c>
      <c r="V375" s="14" t="n">
        <v>250</v>
      </c>
      <c r="W375" s="14">
        <f>U375+V375</f>
        <v/>
      </c>
    </row>
    <row r="376">
      <c r="A376" s="15" t="inlineStr">
        <is>
          <t>CANON-202602-004288</t>
        </is>
      </c>
      <c r="B376" s="15" t="inlineStr">
        <is>
          <t>2026-02-20</t>
        </is>
      </c>
      <c r="C376" s="15" t="inlineStr">
        <is>
          <t>Mireille Okonkwo</t>
        </is>
      </c>
      <c r="D376" s="15" t="inlineStr">
        <is>
          <t>HI</t>
        </is>
      </c>
      <c r="E376" s="16" t="n">
        <v>1135000</v>
      </c>
      <c r="F376" s="16" t="n">
        <v>8322.040000000001</v>
      </c>
      <c r="G376" s="16" t="n">
        <v>1040.26</v>
      </c>
      <c r="H376" s="16" t="n">
        <v>1040.26</v>
      </c>
      <c r="I376" s="16">
        <f>SUM(K376:T376)</f>
        <v/>
      </c>
      <c r="J376" s="16">
        <f>F376-(G376+H376+I376)</f>
        <v/>
      </c>
      <c r="K376" s="16" t="n">
        <v>624.15</v>
      </c>
      <c r="L376" s="16" t="n">
        <v>624.15</v>
      </c>
      <c r="M376" s="16" t="n">
        <v>624.15</v>
      </c>
      <c r="N376" s="16" t="n">
        <v>624.15</v>
      </c>
      <c r="O376" s="16" t="n">
        <v>624.15</v>
      </c>
      <c r="P376" s="16" t="n">
        <v>624.15</v>
      </c>
      <c r="Q376" s="16" t="n">
        <v>624.15</v>
      </c>
      <c r="R376" s="16" t="n">
        <v>624.15</v>
      </c>
      <c r="S376" s="16" t="n">
        <v>624.15</v>
      </c>
      <c r="T376" s="16" t="n">
        <v>624.15</v>
      </c>
      <c r="U376" s="16" t="n">
        <v>350</v>
      </c>
      <c r="V376" s="16" t="n">
        <v>250</v>
      </c>
      <c r="W376" s="16">
        <f>U376+V376</f>
        <v/>
      </c>
    </row>
    <row r="377">
      <c r="A377" s="3" t="inlineStr">
        <is>
          <t>CANON-202602-004289</t>
        </is>
      </c>
      <c r="B377" s="3" t="inlineStr">
        <is>
          <t>2026-02-17</t>
        </is>
      </c>
      <c r="C377" s="3" t="inlineStr">
        <is>
          <t>Horace Castellanos</t>
        </is>
      </c>
      <c r="D377" s="3" t="inlineStr">
        <is>
          <t>AR</t>
        </is>
      </c>
      <c r="E377" s="14" t="n">
        <v>775000</v>
      </c>
      <c r="F377" s="14" t="n">
        <v>11532.04</v>
      </c>
      <c r="G377" s="14" t="n">
        <v>1441.51</v>
      </c>
      <c r="H377" s="14" t="n">
        <v>1441.51</v>
      </c>
      <c r="I377" s="14">
        <f>SUM(K377:T377)</f>
        <v/>
      </c>
      <c r="J377" s="14">
        <f>F377-(G377+H377+I377)</f>
        <v/>
      </c>
      <c r="K377" s="14" t="n">
        <v>864.9</v>
      </c>
      <c r="L377" s="14" t="n">
        <v>864.9</v>
      </c>
      <c r="M377" s="14" t="n">
        <v>864.9</v>
      </c>
      <c r="N377" s="14" t="n">
        <v>864.9</v>
      </c>
      <c r="O377" s="14" t="n">
        <v>864.9</v>
      </c>
      <c r="P377" s="14" t="n">
        <v>864.9</v>
      </c>
      <c r="Q377" s="14" t="n">
        <v>864.9</v>
      </c>
      <c r="R377" s="14" t="n">
        <v>864.9</v>
      </c>
      <c r="S377" s="14" t="n">
        <v>864.9</v>
      </c>
      <c r="T377" s="14" t="n">
        <v>864.9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CANON-202602-004290</t>
        </is>
      </c>
      <c r="B378" s="15" t="inlineStr">
        <is>
          <t>2026-02-21</t>
        </is>
      </c>
      <c r="C378" s="15" t="inlineStr">
        <is>
          <t>Saoirse Fairweather</t>
        </is>
      </c>
      <c r="D378" s="15" t="inlineStr">
        <is>
          <t>HI</t>
        </is>
      </c>
      <c r="E378" s="16" t="n">
        <v>410000</v>
      </c>
      <c r="F378" s="16" t="n">
        <v>4244.05</v>
      </c>
      <c r="G378" s="16" t="n">
        <v>530.51</v>
      </c>
      <c r="H378" s="16" t="n">
        <v>530.51</v>
      </c>
      <c r="I378" s="16">
        <f>SUM(K378:T378)</f>
        <v/>
      </c>
      <c r="J378" s="16">
        <f>F378-(G378+H378+I378)</f>
        <v/>
      </c>
      <c r="K378" s="16" t="n">
        <v>318.3</v>
      </c>
      <c r="L378" s="16" t="n">
        <v>318.3</v>
      </c>
      <c r="M378" s="16" t="n">
        <v>318.3</v>
      </c>
      <c r="N378" s="16" t="n">
        <v>318.3</v>
      </c>
      <c r="O378" s="16" t="n">
        <v>318.3</v>
      </c>
      <c r="P378" s="16" t="n">
        <v>318.3</v>
      </c>
      <c r="Q378" s="16" t="n">
        <v>318.3</v>
      </c>
      <c r="R378" s="16" t="n">
        <v>318.3</v>
      </c>
      <c r="S378" s="16" t="n">
        <v>318.3</v>
      </c>
      <c r="T378" s="16" t="n">
        <v>318.3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CANON-202602-004291</t>
        </is>
      </c>
      <c r="B379" s="3" t="inlineStr">
        <is>
          <t>2026-02-23</t>
        </is>
      </c>
      <c r="C379" s="3" t="inlineStr">
        <is>
          <t>Lorenzo Vandermeer</t>
        </is>
      </c>
      <c r="D379" s="3" t="inlineStr">
        <is>
          <t>CT</t>
        </is>
      </c>
      <c r="E379" s="14" t="n">
        <v>910000</v>
      </c>
      <c r="F379" s="14" t="n">
        <v>16061.82</v>
      </c>
      <c r="G379" s="14" t="n">
        <v>2007.73</v>
      </c>
      <c r="H379" s="14" t="n">
        <v>2007.73</v>
      </c>
      <c r="I379" s="14">
        <f>SUM(K379:T379)</f>
        <v/>
      </c>
      <c r="J379" s="14">
        <f>F379-(G379+H379+I379)</f>
        <v/>
      </c>
      <c r="K379" s="14" t="n">
        <v>1204.64</v>
      </c>
      <c r="L379" s="14" t="n">
        <v>1204.64</v>
      </c>
      <c r="M379" s="14" t="n">
        <v>1204.64</v>
      </c>
      <c r="N379" s="14" t="n">
        <v>1204.64</v>
      </c>
      <c r="O379" s="14" t="n">
        <v>1204.64</v>
      </c>
      <c r="P379" s="14" t="n">
        <v>1204.64</v>
      </c>
      <c r="Q379" s="14" t="n">
        <v>1204.64</v>
      </c>
      <c r="R379" s="14" t="n">
        <v>1204.64</v>
      </c>
      <c r="S379" s="14" t="n">
        <v>1204.64</v>
      </c>
      <c r="T379" s="14" t="n">
        <v>1204.64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CANON-202602-004292</t>
        </is>
      </c>
      <c r="B380" s="15" t="inlineStr">
        <is>
          <t>2026-02-08</t>
        </is>
      </c>
      <c r="C380" s="15" t="inlineStr">
        <is>
          <t>Sunniva Delacroix</t>
        </is>
      </c>
      <c r="D380" s="15" t="inlineStr">
        <is>
          <t>TX</t>
        </is>
      </c>
      <c r="E380" s="16" t="n">
        <v>495000</v>
      </c>
      <c r="F380" s="16" t="n">
        <v>7082.33</v>
      </c>
      <c r="G380" s="16" t="n">
        <v>885.29</v>
      </c>
      <c r="H380" s="16" t="n">
        <v>885.29</v>
      </c>
      <c r="I380" s="16">
        <f>SUM(K380:T380)</f>
        <v/>
      </c>
      <c r="J380" s="16">
        <f>F380-(G380+H380+I380)</f>
        <v/>
      </c>
      <c r="K380" s="16" t="n">
        <v>531.17</v>
      </c>
      <c r="L380" s="16" t="n">
        <v>531.17</v>
      </c>
      <c r="M380" s="16" t="n">
        <v>531.17</v>
      </c>
      <c r="N380" s="16" t="n">
        <v>531.17</v>
      </c>
      <c r="O380" s="16" t="n">
        <v>531.17</v>
      </c>
      <c r="P380" s="16" t="n">
        <v>531.17</v>
      </c>
      <c r="Q380" s="16" t="n">
        <v>531.17</v>
      </c>
      <c r="R380" s="16" t="n">
        <v>531.17</v>
      </c>
      <c r="S380" s="16" t="n">
        <v>531.17</v>
      </c>
      <c r="T380" s="16" t="n">
        <v>531.17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CANON-202602-004293</t>
        </is>
      </c>
      <c r="B381" s="3" t="inlineStr">
        <is>
          <t>2026-02-01</t>
        </is>
      </c>
      <c r="C381" s="3" t="inlineStr">
        <is>
          <t>Ingrid Harrington</t>
        </is>
      </c>
      <c r="D381" s="3" t="inlineStr">
        <is>
          <t>MT</t>
        </is>
      </c>
      <c r="E381" s="14" t="n">
        <v>640000</v>
      </c>
      <c r="F381" s="14" t="n">
        <v>6417.83</v>
      </c>
      <c r="G381" s="14" t="n">
        <v>802.23</v>
      </c>
      <c r="H381" s="14" t="n">
        <v>802.23</v>
      </c>
      <c r="I381" s="14">
        <f>SUM(K381:T381)</f>
        <v/>
      </c>
      <c r="J381" s="14">
        <f>F381-(G381+H381+I381)</f>
        <v/>
      </c>
      <c r="K381" s="14" t="n">
        <v>481.34</v>
      </c>
      <c r="L381" s="14" t="n">
        <v>481.34</v>
      </c>
      <c r="M381" s="14" t="n">
        <v>481.34</v>
      </c>
      <c r="N381" s="14" t="n">
        <v>481.34</v>
      </c>
      <c r="O381" s="14" t="n">
        <v>481.34</v>
      </c>
      <c r="P381" s="14" t="n">
        <v>481.34</v>
      </c>
      <c r="Q381" s="14" t="n">
        <v>481.34</v>
      </c>
      <c r="R381" s="14" t="n">
        <v>481.34</v>
      </c>
      <c r="S381" s="14" t="n">
        <v>481.34</v>
      </c>
      <c r="T381" s="14" t="n">
        <v>481.34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CANON-202602-004294</t>
        </is>
      </c>
      <c r="B382" s="15" t="inlineStr">
        <is>
          <t>2026-02-27</t>
        </is>
      </c>
      <c r="C382" s="15" t="inlineStr">
        <is>
          <t>Saoirse Rourke</t>
        </is>
      </c>
      <c r="D382" s="15" t="inlineStr">
        <is>
          <t>IL</t>
        </is>
      </c>
      <c r="E382" s="16" t="n">
        <v>445000</v>
      </c>
      <c r="F382" s="16" t="n">
        <v>11545.39</v>
      </c>
      <c r="G382" s="16" t="n">
        <v>1443.17</v>
      </c>
      <c r="H382" s="16" t="n">
        <v>1443.17</v>
      </c>
      <c r="I382" s="16">
        <f>SUM(K382:T382)</f>
        <v/>
      </c>
      <c r="J382" s="16">
        <f>F382-(G382+H382+I382)</f>
        <v/>
      </c>
      <c r="K382" s="16" t="n">
        <v>865.9</v>
      </c>
      <c r="L382" s="16" t="n">
        <v>865.9</v>
      </c>
      <c r="M382" s="16" t="n">
        <v>865.9</v>
      </c>
      <c r="N382" s="16" t="n">
        <v>865.9</v>
      </c>
      <c r="O382" s="16" t="n">
        <v>865.9</v>
      </c>
      <c r="P382" s="16" t="n">
        <v>865.9</v>
      </c>
      <c r="Q382" s="16" t="n">
        <v>865.9</v>
      </c>
      <c r="R382" s="16" t="n">
        <v>865.9</v>
      </c>
      <c r="S382" s="16" t="n">
        <v>865.9</v>
      </c>
      <c r="T382" s="16" t="n">
        <v>865.9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CANON-202602-004296</t>
        </is>
      </c>
      <c r="B383" s="3" t="inlineStr">
        <is>
          <t>2026-02-28</t>
        </is>
      </c>
      <c r="C383" s="3" t="inlineStr">
        <is>
          <t>Horace Bellandi</t>
        </is>
      </c>
      <c r="D383" s="3" t="inlineStr">
        <is>
          <t>KY</t>
        </is>
      </c>
      <c r="E383" s="14" t="n">
        <v>330000</v>
      </c>
      <c r="F383" s="14" t="n">
        <v>3521.05</v>
      </c>
      <c r="G383" s="14" t="n">
        <v>440.13</v>
      </c>
      <c r="H383" s="14" t="n">
        <v>440.13</v>
      </c>
      <c r="I383" s="14">
        <f>SUM(K383:T383)</f>
        <v/>
      </c>
      <c r="J383" s="14">
        <f>F383-(G383+H383+I383)</f>
        <v/>
      </c>
      <c r="K383" s="14" t="n">
        <v>264.08</v>
      </c>
      <c r="L383" s="14" t="n">
        <v>264.08</v>
      </c>
      <c r="M383" s="14" t="n">
        <v>264.08</v>
      </c>
      <c r="N383" s="14" t="n">
        <v>264.08</v>
      </c>
      <c r="O383" s="14" t="n">
        <v>264.08</v>
      </c>
      <c r="P383" s="14" t="n">
        <v>264.08</v>
      </c>
      <c r="Q383" s="14" t="n">
        <v>264.08</v>
      </c>
      <c r="R383" s="14" t="n">
        <v>264.08</v>
      </c>
      <c r="S383" s="14" t="n">
        <v>264.08</v>
      </c>
      <c r="T383" s="14" t="n">
        <v>264.08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CANON-202602-004297</t>
        </is>
      </c>
      <c r="B384" s="15" t="inlineStr">
        <is>
          <t>2026-02-25</t>
        </is>
      </c>
      <c r="C384" s="15" t="inlineStr">
        <is>
          <t>Priya Delacroix</t>
        </is>
      </c>
      <c r="D384" s="15" t="inlineStr">
        <is>
          <t>CA</t>
        </is>
      </c>
      <c r="E384" s="16" t="n">
        <v>860000</v>
      </c>
      <c r="F384" s="16" t="n">
        <v>12518.65</v>
      </c>
      <c r="G384" s="16" t="n">
        <v>1564.83</v>
      </c>
      <c r="H384" s="16" t="n">
        <v>1564.83</v>
      </c>
      <c r="I384" s="16">
        <f>SUM(K384:T384)</f>
        <v/>
      </c>
      <c r="J384" s="16">
        <f>F384-(G384+H384+I384)</f>
        <v/>
      </c>
      <c r="K384" s="16" t="n">
        <v>938.9</v>
      </c>
      <c r="L384" s="16" t="n">
        <v>938.9</v>
      </c>
      <c r="M384" s="16" t="n">
        <v>938.9</v>
      </c>
      <c r="N384" s="16" t="n">
        <v>938.9</v>
      </c>
      <c r="O384" s="16" t="n">
        <v>938.9</v>
      </c>
      <c r="P384" s="16" t="n">
        <v>938.9</v>
      </c>
      <c r="Q384" s="16" t="n">
        <v>938.9</v>
      </c>
      <c r="R384" s="16" t="n">
        <v>938.9</v>
      </c>
      <c r="S384" s="16" t="n">
        <v>938.9</v>
      </c>
      <c r="T384" s="16" t="n">
        <v>938.9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CANON-202602-004300</t>
        </is>
      </c>
      <c r="B385" s="3" t="inlineStr">
        <is>
          <t>2026-02-08</t>
        </is>
      </c>
      <c r="C385" s="3" t="inlineStr">
        <is>
          <t>Leopold Ashcombe</t>
        </is>
      </c>
      <c r="D385" s="3" t="inlineStr">
        <is>
          <t>PA</t>
        </is>
      </c>
      <c r="E385" s="14" t="n">
        <v>490000</v>
      </c>
      <c r="F385" s="14" t="n">
        <v>6096.34</v>
      </c>
      <c r="G385" s="14" t="n">
        <v>762.04</v>
      </c>
      <c r="H385" s="14" t="n">
        <v>762.04</v>
      </c>
      <c r="I385" s="14">
        <f>SUM(K385:T385)</f>
        <v/>
      </c>
      <c r="J385" s="14">
        <f>F385-(G385+H385+I385)</f>
        <v/>
      </c>
      <c r="K385" s="14" t="n">
        <v>457.23</v>
      </c>
      <c r="L385" s="14" t="n">
        <v>457.23</v>
      </c>
      <c r="M385" s="14" t="n">
        <v>457.23</v>
      </c>
      <c r="N385" s="14" t="n">
        <v>457.23</v>
      </c>
      <c r="O385" s="14" t="n">
        <v>457.23</v>
      </c>
      <c r="P385" s="14" t="n">
        <v>457.23</v>
      </c>
      <c r="Q385" s="14" t="n">
        <v>457.23</v>
      </c>
      <c r="R385" s="14" t="n">
        <v>457.23</v>
      </c>
      <c r="S385" s="14" t="n">
        <v>457.23</v>
      </c>
      <c r="T385" s="14" t="n">
        <v>457.23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CANON-202602-004301</t>
        </is>
      </c>
      <c r="B386" s="15" t="inlineStr">
        <is>
          <t>2026-02-05</t>
        </is>
      </c>
      <c r="C386" s="15" t="inlineStr">
        <is>
          <t>Horace Kingsford</t>
        </is>
      </c>
      <c r="D386" s="15" t="inlineStr">
        <is>
          <t>MO</t>
        </is>
      </c>
      <c r="E386" s="16" t="n">
        <v>515000</v>
      </c>
      <c r="F386" s="16" t="n">
        <v>5886.24</v>
      </c>
      <c r="G386" s="16" t="n">
        <v>735.78</v>
      </c>
      <c r="H386" s="16" t="n">
        <v>735.78</v>
      </c>
      <c r="I386" s="16">
        <f>SUM(K386:T386)</f>
        <v/>
      </c>
      <c r="J386" s="16">
        <f>F386-(G386+H386+I386)</f>
        <v/>
      </c>
      <c r="K386" s="16" t="n">
        <v>441.47</v>
      </c>
      <c r="L386" s="16" t="n">
        <v>441.47</v>
      </c>
      <c r="M386" s="16" t="n">
        <v>441.47</v>
      </c>
      <c r="N386" s="16" t="n">
        <v>441.47</v>
      </c>
      <c r="O386" s="16" t="n">
        <v>441.47</v>
      </c>
      <c r="P386" s="16" t="n">
        <v>441.47</v>
      </c>
      <c r="Q386" s="16" t="n">
        <v>441.47</v>
      </c>
      <c r="R386" s="16" t="n">
        <v>441.47</v>
      </c>
      <c r="S386" s="16" t="n">
        <v>441.47</v>
      </c>
      <c r="T386" s="16" t="n">
        <v>441.47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CANON-202602-004302</t>
        </is>
      </c>
      <c r="B387" s="3" t="inlineStr">
        <is>
          <t>2026-02-27</t>
        </is>
      </c>
      <c r="C387" s="3" t="inlineStr">
        <is>
          <t>Noor Kingsford</t>
        </is>
      </c>
      <c r="D387" s="3" t="inlineStr">
        <is>
          <t>LA</t>
        </is>
      </c>
      <c r="E387" s="14" t="n">
        <v>315000</v>
      </c>
      <c r="F387" s="14" t="n">
        <v>7271.2</v>
      </c>
      <c r="G387" s="14" t="n">
        <v>908.9</v>
      </c>
      <c r="H387" s="14" t="n">
        <v>908.9</v>
      </c>
      <c r="I387" s="14">
        <f>SUM(K387:T387)</f>
        <v/>
      </c>
      <c r="J387" s="14">
        <f>F387-(G387+H387+I387)</f>
        <v/>
      </c>
      <c r="K387" s="14" t="n">
        <v>545.34</v>
      </c>
      <c r="L387" s="14" t="n">
        <v>545.34</v>
      </c>
      <c r="M387" s="14" t="n">
        <v>545.34</v>
      </c>
      <c r="N387" s="14" t="n">
        <v>545.34</v>
      </c>
      <c r="O387" s="14" t="n">
        <v>545.34</v>
      </c>
      <c r="P387" s="14" t="n">
        <v>545.34</v>
      </c>
      <c r="Q387" s="14" t="n">
        <v>545.34</v>
      </c>
      <c r="R387" s="14" t="n">
        <v>545.34</v>
      </c>
      <c r="S387" s="14" t="n">
        <v>545.34</v>
      </c>
      <c r="T387" s="14" t="n">
        <v>545.34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CANON-202602-004303</t>
        </is>
      </c>
      <c r="B388" s="15" t="inlineStr">
        <is>
          <t>2026-02-02</t>
        </is>
      </c>
      <c r="C388" s="15" t="inlineStr">
        <is>
          <t>Marisol Underwood</t>
        </is>
      </c>
      <c r="D388" s="15" t="inlineStr">
        <is>
          <t>CA</t>
        </is>
      </c>
      <c r="E388" s="16" t="n">
        <v>230000</v>
      </c>
      <c r="F388" s="16" t="n">
        <v>4738.72</v>
      </c>
      <c r="G388" s="16" t="n">
        <v>592.34</v>
      </c>
      <c r="H388" s="16" t="n">
        <v>592.34</v>
      </c>
      <c r="I388" s="16">
        <f>SUM(K388:T388)</f>
        <v/>
      </c>
      <c r="J388" s="16">
        <f>F388-(G388+H388+I388)</f>
        <v/>
      </c>
      <c r="K388" s="16" t="n">
        <v>355.4</v>
      </c>
      <c r="L388" s="16" t="n">
        <v>355.4</v>
      </c>
      <c r="M388" s="16" t="n">
        <v>355.4</v>
      </c>
      <c r="N388" s="16" t="n">
        <v>355.4</v>
      </c>
      <c r="O388" s="16" t="n">
        <v>355.4</v>
      </c>
      <c r="P388" s="16" t="n">
        <v>355.4</v>
      </c>
      <c r="Q388" s="16" t="n">
        <v>355.4</v>
      </c>
      <c r="R388" s="16" t="n">
        <v>355.4</v>
      </c>
      <c r="S388" s="16" t="n">
        <v>355.4</v>
      </c>
      <c r="T388" s="16" t="n">
        <v>355.4</v>
      </c>
      <c r="U388" s="16" t="n">
        <v>350</v>
      </c>
      <c r="V388" s="16" t="n">
        <v>0</v>
      </c>
      <c r="W388" s="16">
        <f>U388+V388</f>
        <v/>
      </c>
    </row>
    <row r="389">
      <c r="A389" s="3" t="inlineStr">
        <is>
          <t>CANON-202602-004304</t>
        </is>
      </c>
      <c r="B389" s="3" t="inlineStr">
        <is>
          <t>2026-02-07</t>
        </is>
      </c>
      <c r="C389" s="3" t="inlineStr">
        <is>
          <t>Mireille Whitlock</t>
        </is>
      </c>
      <c r="D389" s="3" t="inlineStr">
        <is>
          <t>MA</t>
        </is>
      </c>
      <c r="E389" s="14" t="n">
        <v>515000</v>
      </c>
      <c r="F389" s="14" t="n">
        <v>4058.01</v>
      </c>
      <c r="G389" s="14" t="n">
        <v>507.25</v>
      </c>
      <c r="H389" s="14" t="n">
        <v>507.25</v>
      </c>
      <c r="I389" s="14">
        <f>SUM(K389:T389)</f>
        <v/>
      </c>
      <c r="J389" s="14">
        <f>F389-(G389+H389+I389)</f>
        <v/>
      </c>
      <c r="K389" s="14" t="n">
        <v>304.35</v>
      </c>
      <c r="L389" s="14" t="n">
        <v>304.35</v>
      </c>
      <c r="M389" s="14" t="n">
        <v>304.35</v>
      </c>
      <c r="N389" s="14" t="n">
        <v>304.35</v>
      </c>
      <c r="O389" s="14" t="n">
        <v>304.35</v>
      </c>
      <c r="P389" s="14" t="n">
        <v>304.35</v>
      </c>
      <c r="Q389" s="14" t="n">
        <v>304.35</v>
      </c>
      <c r="R389" s="14" t="n">
        <v>304.35</v>
      </c>
      <c r="S389" s="14" t="n">
        <v>304.35</v>
      </c>
      <c r="T389" s="14" t="n">
        <v>304.35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CANON-202602-004307</t>
        </is>
      </c>
      <c r="B390" s="15" t="inlineStr">
        <is>
          <t>2026-02-04</t>
        </is>
      </c>
      <c r="C390" s="15" t="inlineStr">
        <is>
          <t>Sunniva Castellanos</t>
        </is>
      </c>
      <c r="D390" s="15" t="inlineStr">
        <is>
          <t>NM</t>
        </is>
      </c>
      <c r="E390" s="16" t="n">
        <v>425000</v>
      </c>
      <c r="F390" s="16" t="n">
        <v>6768.18</v>
      </c>
      <c r="G390" s="16" t="n">
        <v>846.02</v>
      </c>
      <c r="H390" s="16" t="n">
        <v>846.02</v>
      </c>
      <c r="I390" s="16">
        <f>SUM(K390:T390)</f>
        <v/>
      </c>
      <c r="J390" s="16">
        <f>F390-(G390+H390+I390)</f>
        <v/>
      </c>
      <c r="K390" s="16" t="n">
        <v>507.61</v>
      </c>
      <c r="L390" s="16" t="n">
        <v>507.61</v>
      </c>
      <c r="M390" s="16" t="n">
        <v>507.61</v>
      </c>
      <c r="N390" s="16" t="n">
        <v>507.61</v>
      </c>
      <c r="O390" s="16" t="n">
        <v>507.61</v>
      </c>
      <c r="P390" s="16" t="n">
        <v>507.61</v>
      </c>
      <c r="Q390" s="16" t="n">
        <v>507.61</v>
      </c>
      <c r="R390" s="16" t="n">
        <v>507.61</v>
      </c>
      <c r="S390" s="16" t="n">
        <v>507.61</v>
      </c>
      <c r="T390" s="16" t="n">
        <v>507.61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CANON-202602-004308</t>
        </is>
      </c>
      <c r="B391" s="3" t="inlineStr">
        <is>
          <t>2026-02-21</t>
        </is>
      </c>
      <c r="C391" s="3" t="inlineStr">
        <is>
          <t>Cassius Larsson</t>
        </is>
      </c>
      <c r="D391" s="3" t="inlineStr">
        <is>
          <t>AZ</t>
        </is>
      </c>
      <c r="E391" s="14" t="n">
        <v>1225000</v>
      </c>
      <c r="F391" s="14" t="n">
        <v>11288.39</v>
      </c>
      <c r="G391" s="14" t="n">
        <v>1411.05</v>
      </c>
      <c r="H391" s="14" t="n">
        <v>1411.05</v>
      </c>
      <c r="I391" s="14">
        <f>SUM(K391:T391)</f>
        <v/>
      </c>
      <c r="J391" s="14">
        <f>F391-(G391+H391+I391)</f>
        <v/>
      </c>
      <c r="K391" s="14" t="n">
        <v>846.63</v>
      </c>
      <c r="L391" s="14" t="n">
        <v>846.63</v>
      </c>
      <c r="M391" s="14" t="n">
        <v>846.63</v>
      </c>
      <c r="N391" s="14" t="n">
        <v>846.63</v>
      </c>
      <c r="O391" s="14" t="n">
        <v>846.63</v>
      </c>
      <c r="P391" s="14" t="n">
        <v>846.63</v>
      </c>
      <c r="Q391" s="14" t="n">
        <v>846.63</v>
      </c>
      <c r="R391" s="14" t="n">
        <v>846.63</v>
      </c>
      <c r="S391" s="14" t="n">
        <v>846.63</v>
      </c>
      <c r="T391" s="14" t="n">
        <v>846.63</v>
      </c>
      <c r="U391" s="14" t="n">
        <v>350</v>
      </c>
      <c r="V391" s="14" t="n">
        <v>250</v>
      </c>
      <c r="W391" s="14">
        <f>U391+V391</f>
        <v/>
      </c>
    </row>
    <row r="392">
      <c r="A392" s="15" t="inlineStr">
        <is>
          <t>CANON-202602-004309</t>
        </is>
      </c>
      <c r="B392" s="15" t="inlineStr">
        <is>
          <t>2026-02-20</t>
        </is>
      </c>
      <c r="C392" s="15" t="inlineStr">
        <is>
          <t>Cassius Whitlock</t>
        </is>
      </c>
      <c r="D392" s="15" t="inlineStr">
        <is>
          <t>KY</t>
        </is>
      </c>
      <c r="E392" s="16" t="n">
        <v>1230000</v>
      </c>
      <c r="F392" s="16" t="n">
        <v>15037.8</v>
      </c>
      <c r="G392" s="16" t="n">
        <v>1879.72</v>
      </c>
      <c r="H392" s="16" t="n">
        <v>1879.72</v>
      </c>
      <c r="I392" s="16">
        <f>SUM(K392:T392)</f>
        <v/>
      </c>
      <c r="J392" s="16">
        <f>F392-(G392+H392+I392)</f>
        <v/>
      </c>
      <c r="K392" s="16" t="n">
        <v>1127.83</v>
      </c>
      <c r="L392" s="16" t="n">
        <v>1127.83</v>
      </c>
      <c r="M392" s="16" t="n">
        <v>1127.83</v>
      </c>
      <c r="N392" s="16" t="n">
        <v>1127.83</v>
      </c>
      <c r="O392" s="16" t="n">
        <v>1127.83</v>
      </c>
      <c r="P392" s="16" t="n">
        <v>1127.83</v>
      </c>
      <c r="Q392" s="16" t="n">
        <v>1127.83</v>
      </c>
      <c r="R392" s="16" t="n">
        <v>1127.83</v>
      </c>
      <c r="S392" s="16" t="n">
        <v>1127.83</v>
      </c>
      <c r="T392" s="16" t="n">
        <v>1127.83</v>
      </c>
      <c r="U392" s="16" t="n">
        <v>350</v>
      </c>
      <c r="V392" s="16" t="n">
        <v>250</v>
      </c>
      <c r="W392" s="16">
        <f>U392+V392</f>
        <v/>
      </c>
    </row>
    <row r="393">
      <c r="A393" s="3" t="inlineStr">
        <is>
          <t>CANON-202602-004310</t>
        </is>
      </c>
      <c r="B393" s="3" t="inlineStr">
        <is>
          <t>2026-02-28</t>
        </is>
      </c>
      <c r="C393" s="3" t="inlineStr">
        <is>
          <t>Thaddeus Farkas</t>
        </is>
      </c>
      <c r="D393" s="3" t="inlineStr">
        <is>
          <t>CA</t>
        </is>
      </c>
      <c r="E393" s="14" t="n">
        <v>375000</v>
      </c>
      <c r="F393" s="14" t="n">
        <v>6298.52</v>
      </c>
      <c r="G393" s="14" t="n">
        <v>787.3200000000001</v>
      </c>
      <c r="H393" s="14" t="n">
        <v>787.3200000000001</v>
      </c>
      <c r="I393" s="14">
        <f>SUM(K393:T393)</f>
        <v/>
      </c>
      <c r="J393" s="14">
        <f>F393-(G393+H393+I393)</f>
        <v/>
      </c>
      <c r="K393" s="14" t="n">
        <v>472.39</v>
      </c>
      <c r="L393" s="14" t="n">
        <v>472.39</v>
      </c>
      <c r="M393" s="14" t="n">
        <v>472.39</v>
      </c>
      <c r="N393" s="14" t="n">
        <v>472.39</v>
      </c>
      <c r="O393" s="14" t="n">
        <v>472.39</v>
      </c>
      <c r="P393" s="14" t="n">
        <v>472.39</v>
      </c>
      <c r="Q393" s="14" t="n">
        <v>472.39</v>
      </c>
      <c r="R393" s="14" t="n">
        <v>472.39</v>
      </c>
      <c r="S393" s="14" t="n">
        <v>472.39</v>
      </c>
      <c r="T393" s="14" t="n">
        <v>472.39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CANON-202602-004312</t>
        </is>
      </c>
      <c r="B394" s="15" t="inlineStr">
        <is>
          <t>2026-02-04</t>
        </is>
      </c>
      <c r="C394" s="15" t="inlineStr">
        <is>
          <t>Emiliano Underwood</t>
        </is>
      </c>
      <c r="D394" s="15" t="inlineStr">
        <is>
          <t>DE</t>
        </is>
      </c>
      <c r="E394" s="16" t="n">
        <v>1865000</v>
      </c>
      <c r="F394" s="16" t="n">
        <v>14695.49</v>
      </c>
      <c r="G394" s="16" t="n">
        <v>1836.94</v>
      </c>
      <c r="H394" s="16" t="n">
        <v>1836.94</v>
      </c>
      <c r="I394" s="16">
        <f>SUM(K394:T394)</f>
        <v/>
      </c>
      <c r="J394" s="16">
        <f>F394-(G394+H394+I394)</f>
        <v/>
      </c>
      <c r="K394" s="16" t="n">
        <v>1102.16</v>
      </c>
      <c r="L394" s="16" t="n">
        <v>1102.16</v>
      </c>
      <c r="M394" s="16" t="n">
        <v>1102.16</v>
      </c>
      <c r="N394" s="16" t="n">
        <v>1102.16</v>
      </c>
      <c r="O394" s="16" t="n">
        <v>1102.16</v>
      </c>
      <c r="P394" s="16" t="n">
        <v>1102.16</v>
      </c>
      <c r="Q394" s="16" t="n">
        <v>1102.16</v>
      </c>
      <c r="R394" s="16" t="n">
        <v>1102.16</v>
      </c>
      <c r="S394" s="16" t="n">
        <v>1102.16</v>
      </c>
      <c r="T394" s="16" t="n">
        <v>1102.16</v>
      </c>
      <c r="U394" s="16" t="n">
        <v>350</v>
      </c>
      <c r="V394" s="16" t="n">
        <v>250</v>
      </c>
      <c r="W394" s="16">
        <f>U394+V394</f>
        <v/>
      </c>
    </row>
    <row r="395">
      <c r="A395" s="3" t="inlineStr">
        <is>
          <t>CANON-202602-004313</t>
        </is>
      </c>
      <c r="B395" s="3" t="inlineStr">
        <is>
          <t>2026-02-20</t>
        </is>
      </c>
      <c r="C395" s="3" t="inlineStr">
        <is>
          <t>Ramona Bellandi</t>
        </is>
      </c>
      <c r="D395" s="3" t="inlineStr">
        <is>
          <t>CT</t>
        </is>
      </c>
      <c r="E395" s="14" t="n">
        <v>285000</v>
      </c>
      <c r="F395" s="14" t="n">
        <v>4659.69</v>
      </c>
      <c r="G395" s="14" t="n">
        <v>582.46</v>
      </c>
      <c r="H395" s="14" t="n">
        <v>582.46</v>
      </c>
      <c r="I395" s="14">
        <f>SUM(K395:T395)</f>
        <v/>
      </c>
      <c r="J395" s="14">
        <f>F395-(G395+H395+I395)</f>
        <v/>
      </c>
      <c r="K395" s="14" t="n">
        <v>349.48</v>
      </c>
      <c r="L395" s="14" t="n">
        <v>349.48</v>
      </c>
      <c r="M395" s="14" t="n">
        <v>349.48</v>
      </c>
      <c r="N395" s="14" t="n">
        <v>349.48</v>
      </c>
      <c r="O395" s="14" t="n">
        <v>349.48</v>
      </c>
      <c r="P395" s="14" t="n">
        <v>349.48</v>
      </c>
      <c r="Q395" s="14" t="n">
        <v>349.48</v>
      </c>
      <c r="R395" s="14" t="n">
        <v>349.48</v>
      </c>
      <c r="S395" s="14" t="n">
        <v>349.48</v>
      </c>
      <c r="T395" s="14" t="n">
        <v>349.48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CANON-202602-004315</t>
        </is>
      </c>
      <c r="B396" s="15" t="inlineStr">
        <is>
          <t>2026-02-07</t>
        </is>
      </c>
      <c r="C396" s="15" t="inlineStr">
        <is>
          <t>Ottilie Castellanos</t>
        </is>
      </c>
      <c r="D396" s="15" t="inlineStr">
        <is>
          <t>WA</t>
        </is>
      </c>
      <c r="E396" s="16" t="n">
        <v>370000</v>
      </c>
      <c r="F396" s="16" t="n">
        <v>4419.23</v>
      </c>
      <c r="G396" s="16" t="n">
        <v>552.4</v>
      </c>
      <c r="H396" s="16" t="n">
        <v>552.4</v>
      </c>
      <c r="I396" s="16">
        <f>SUM(K396:T396)</f>
        <v/>
      </c>
      <c r="J396" s="16">
        <f>F396-(G396+H396+I396)</f>
        <v/>
      </c>
      <c r="K396" s="16" t="n">
        <v>331.44</v>
      </c>
      <c r="L396" s="16" t="n">
        <v>331.44</v>
      </c>
      <c r="M396" s="16" t="n">
        <v>331.44</v>
      </c>
      <c r="N396" s="16" t="n">
        <v>331.44</v>
      </c>
      <c r="O396" s="16" t="n">
        <v>331.44</v>
      </c>
      <c r="P396" s="16" t="n">
        <v>331.44</v>
      </c>
      <c r="Q396" s="16" t="n">
        <v>331.44</v>
      </c>
      <c r="R396" s="16" t="n">
        <v>331.44</v>
      </c>
      <c r="S396" s="16" t="n">
        <v>331.44</v>
      </c>
      <c r="T396" s="16" t="n">
        <v>331.44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CANON-202602-004316</t>
        </is>
      </c>
      <c r="B397" s="3" t="inlineStr">
        <is>
          <t>2026-02-08</t>
        </is>
      </c>
      <c r="C397" s="3" t="inlineStr">
        <is>
          <t>Ramona Montoya</t>
        </is>
      </c>
      <c r="D397" s="3" t="inlineStr">
        <is>
          <t>OH</t>
        </is>
      </c>
      <c r="E397" s="14" t="n">
        <v>720000</v>
      </c>
      <c r="F397" s="14" t="n">
        <v>15771.85</v>
      </c>
      <c r="G397" s="14" t="n">
        <v>1971.48</v>
      </c>
      <c r="H397" s="14" t="n">
        <v>1971.48</v>
      </c>
      <c r="I397" s="14">
        <f>SUM(K397:T397)</f>
        <v/>
      </c>
      <c r="J397" s="14">
        <f>F397-(G397+H397+I397)</f>
        <v/>
      </c>
      <c r="K397" s="14" t="n">
        <v>1182.89</v>
      </c>
      <c r="L397" s="14" t="n">
        <v>1182.89</v>
      </c>
      <c r="M397" s="14" t="n">
        <v>1182.89</v>
      </c>
      <c r="N397" s="14" t="n">
        <v>1182.89</v>
      </c>
      <c r="O397" s="14" t="n">
        <v>1182.89</v>
      </c>
      <c r="P397" s="14" t="n">
        <v>1182.89</v>
      </c>
      <c r="Q397" s="14" t="n">
        <v>1182.89</v>
      </c>
      <c r="R397" s="14" t="n">
        <v>1182.89</v>
      </c>
      <c r="S397" s="14" t="n">
        <v>1182.89</v>
      </c>
      <c r="T397" s="14" t="n">
        <v>1182.89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CANON-202602-004318</t>
        </is>
      </c>
      <c r="B398" s="15" t="inlineStr">
        <is>
          <t>2026-02-22</t>
        </is>
      </c>
      <c r="C398" s="15" t="inlineStr">
        <is>
          <t>Noor Rourke</t>
        </is>
      </c>
      <c r="D398" s="15" t="inlineStr">
        <is>
          <t>TN</t>
        </is>
      </c>
      <c r="E398" s="16" t="n">
        <v>620000</v>
      </c>
      <c r="F398" s="16" t="n">
        <v>6551.53</v>
      </c>
      <c r="G398" s="16" t="n">
        <v>818.9400000000001</v>
      </c>
      <c r="H398" s="16" t="n">
        <v>818.9400000000001</v>
      </c>
      <c r="I398" s="16">
        <f>SUM(K398:T398)</f>
        <v/>
      </c>
      <c r="J398" s="16">
        <f>F398-(G398+H398+I398)</f>
        <v/>
      </c>
      <c r="K398" s="16" t="n">
        <v>491.36</v>
      </c>
      <c r="L398" s="16" t="n">
        <v>491.36</v>
      </c>
      <c r="M398" s="16" t="n">
        <v>491.36</v>
      </c>
      <c r="N398" s="16" t="n">
        <v>491.36</v>
      </c>
      <c r="O398" s="16" t="n">
        <v>491.36</v>
      </c>
      <c r="P398" s="16" t="n">
        <v>491.36</v>
      </c>
      <c r="Q398" s="16" t="n">
        <v>491.36</v>
      </c>
      <c r="R398" s="16" t="n">
        <v>491.36</v>
      </c>
      <c r="S398" s="16" t="n">
        <v>491.36</v>
      </c>
      <c r="T398" s="16" t="n">
        <v>491.36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CANON-202602-004319</t>
        </is>
      </c>
      <c r="B399" s="3" t="inlineStr">
        <is>
          <t>2026-02-01</t>
        </is>
      </c>
      <c r="C399" s="3" t="inlineStr">
        <is>
          <t>Ramona Underwood</t>
        </is>
      </c>
      <c r="D399" s="3" t="inlineStr">
        <is>
          <t>ME</t>
        </is>
      </c>
      <c r="E399" s="14" t="n">
        <v>490000</v>
      </c>
      <c r="F399" s="14" t="n">
        <v>3687.07</v>
      </c>
      <c r="G399" s="14" t="n">
        <v>460.88</v>
      </c>
      <c r="H399" s="14" t="n">
        <v>460.88</v>
      </c>
      <c r="I399" s="14">
        <f>SUM(K399:T399)</f>
        <v/>
      </c>
      <c r="J399" s="14">
        <f>F399-(G399+H399+I399)</f>
        <v/>
      </c>
      <c r="K399" s="14" t="n">
        <v>276.53</v>
      </c>
      <c r="L399" s="14" t="n">
        <v>276.53</v>
      </c>
      <c r="M399" s="14" t="n">
        <v>276.53</v>
      </c>
      <c r="N399" s="14" t="n">
        <v>276.53</v>
      </c>
      <c r="O399" s="14" t="n">
        <v>276.53</v>
      </c>
      <c r="P399" s="14" t="n">
        <v>276.53</v>
      </c>
      <c r="Q399" s="14" t="n">
        <v>276.53</v>
      </c>
      <c r="R399" s="14" t="n">
        <v>276.53</v>
      </c>
      <c r="S399" s="14" t="n">
        <v>276.53</v>
      </c>
      <c r="T399" s="14" t="n">
        <v>276.53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CANON-202602-004320</t>
        </is>
      </c>
      <c r="B400" s="15" t="inlineStr">
        <is>
          <t>2026-02-28</t>
        </is>
      </c>
      <c r="C400" s="15" t="inlineStr">
        <is>
          <t>Fitzgerald Harrington</t>
        </is>
      </c>
      <c r="D400" s="15" t="inlineStr">
        <is>
          <t>WA</t>
        </is>
      </c>
      <c r="E400" s="16" t="n">
        <v>590000</v>
      </c>
      <c r="F400" s="16" t="n">
        <v>6107.29</v>
      </c>
      <c r="G400" s="16" t="n">
        <v>763.41</v>
      </c>
      <c r="H400" s="16" t="n">
        <v>763.41</v>
      </c>
      <c r="I400" s="16">
        <f>SUM(K400:T400)</f>
        <v/>
      </c>
      <c r="J400" s="16">
        <f>F400-(G400+H400+I400)</f>
        <v/>
      </c>
      <c r="K400" s="16" t="n">
        <v>458.05</v>
      </c>
      <c r="L400" s="16" t="n">
        <v>458.05</v>
      </c>
      <c r="M400" s="16" t="n">
        <v>458.05</v>
      </c>
      <c r="N400" s="16" t="n">
        <v>458.05</v>
      </c>
      <c r="O400" s="16" t="n">
        <v>458.05</v>
      </c>
      <c r="P400" s="16" t="n">
        <v>458.05</v>
      </c>
      <c r="Q400" s="16" t="n">
        <v>458.05</v>
      </c>
      <c r="R400" s="16" t="n">
        <v>458.05</v>
      </c>
      <c r="S400" s="16" t="n">
        <v>458.05</v>
      </c>
      <c r="T400" s="16" t="n">
        <v>458.05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CANON-202602-004322</t>
        </is>
      </c>
      <c r="B401" s="3" t="inlineStr">
        <is>
          <t>2026-02-24</t>
        </is>
      </c>
      <c r="C401" s="3" t="inlineStr">
        <is>
          <t>Noor Nakashima</t>
        </is>
      </c>
      <c r="D401" s="3" t="inlineStr">
        <is>
          <t>GA</t>
        </is>
      </c>
      <c r="E401" s="14" t="n">
        <v>1895000</v>
      </c>
      <c r="F401" s="14" t="n">
        <v>28166.25</v>
      </c>
      <c r="G401" s="14" t="n">
        <v>3520.78</v>
      </c>
      <c r="H401" s="14" t="n">
        <v>3520.78</v>
      </c>
      <c r="I401" s="14">
        <f>SUM(K401:T401)</f>
        <v/>
      </c>
      <c r="J401" s="14">
        <f>F401-(G401+H401+I401)</f>
        <v/>
      </c>
      <c r="K401" s="14" t="n">
        <v>2112.47</v>
      </c>
      <c r="L401" s="14" t="n">
        <v>2112.47</v>
      </c>
      <c r="M401" s="14" t="n">
        <v>2112.47</v>
      </c>
      <c r="N401" s="14" t="n">
        <v>2112.47</v>
      </c>
      <c r="O401" s="14" t="n">
        <v>2112.47</v>
      </c>
      <c r="P401" s="14" t="n">
        <v>2112.47</v>
      </c>
      <c r="Q401" s="14" t="n">
        <v>2112.47</v>
      </c>
      <c r="R401" s="14" t="n">
        <v>2112.47</v>
      </c>
      <c r="S401" s="14" t="n">
        <v>2112.47</v>
      </c>
      <c r="T401" s="14" t="n">
        <v>2112.47</v>
      </c>
      <c r="U401" s="14" t="n">
        <v>350</v>
      </c>
      <c r="V401" s="14" t="n">
        <v>250</v>
      </c>
      <c r="W401" s="14">
        <f>U401+V401</f>
        <v/>
      </c>
    </row>
    <row r="402">
      <c r="A402" s="15" t="inlineStr">
        <is>
          <t>CANON-202602-004323</t>
        </is>
      </c>
      <c r="B402" s="15" t="inlineStr">
        <is>
          <t>2026-02-15</t>
        </is>
      </c>
      <c r="C402" s="15" t="inlineStr">
        <is>
          <t>Fenwick Thistlewood</t>
        </is>
      </c>
      <c r="D402" s="15" t="inlineStr">
        <is>
          <t>NM</t>
        </is>
      </c>
      <c r="E402" s="16" t="n">
        <v>435000</v>
      </c>
      <c r="F402" s="16" t="n">
        <v>6927.44</v>
      </c>
      <c r="G402" s="16" t="n">
        <v>865.9299999999999</v>
      </c>
      <c r="H402" s="16" t="n">
        <v>865.9299999999999</v>
      </c>
      <c r="I402" s="16">
        <f>SUM(K402:T402)</f>
        <v/>
      </c>
      <c r="J402" s="16">
        <f>F402-(G402+H402+I402)</f>
        <v/>
      </c>
      <c r="K402" s="16" t="n">
        <v>519.5599999999999</v>
      </c>
      <c r="L402" s="16" t="n">
        <v>519.5599999999999</v>
      </c>
      <c r="M402" s="16" t="n">
        <v>519.5599999999999</v>
      </c>
      <c r="N402" s="16" t="n">
        <v>519.5599999999999</v>
      </c>
      <c r="O402" s="16" t="n">
        <v>519.5599999999999</v>
      </c>
      <c r="P402" s="16" t="n">
        <v>519.5599999999999</v>
      </c>
      <c r="Q402" s="16" t="n">
        <v>519.5599999999999</v>
      </c>
      <c r="R402" s="16" t="n">
        <v>519.5599999999999</v>
      </c>
      <c r="S402" s="16" t="n">
        <v>519.5599999999999</v>
      </c>
      <c r="T402" s="16" t="n">
        <v>519.5599999999999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CANON-202602-004324</t>
        </is>
      </c>
      <c r="B403" s="3" t="inlineStr">
        <is>
          <t>2026-02-28</t>
        </is>
      </c>
      <c r="C403" s="3" t="inlineStr">
        <is>
          <t>Ingrid Underwood</t>
        </is>
      </c>
      <c r="D403" s="3" t="inlineStr">
        <is>
          <t>DE</t>
        </is>
      </c>
      <c r="E403" s="14" t="n">
        <v>620000</v>
      </c>
      <c r="F403" s="14" t="n">
        <v>8356.549999999999</v>
      </c>
      <c r="G403" s="14" t="n">
        <v>1044.57</v>
      </c>
      <c r="H403" s="14" t="n">
        <v>1044.57</v>
      </c>
      <c r="I403" s="14">
        <f>SUM(K403:T403)</f>
        <v/>
      </c>
      <c r="J403" s="14">
        <f>F403-(G403+H403+I403)</f>
        <v/>
      </c>
      <c r="K403" s="14" t="n">
        <v>626.74</v>
      </c>
      <c r="L403" s="14" t="n">
        <v>626.74</v>
      </c>
      <c r="M403" s="14" t="n">
        <v>626.74</v>
      </c>
      <c r="N403" s="14" t="n">
        <v>626.74</v>
      </c>
      <c r="O403" s="14" t="n">
        <v>626.74</v>
      </c>
      <c r="P403" s="14" t="n">
        <v>626.74</v>
      </c>
      <c r="Q403" s="14" t="n">
        <v>626.74</v>
      </c>
      <c r="R403" s="14" t="n">
        <v>626.74</v>
      </c>
      <c r="S403" s="14" t="n">
        <v>626.74</v>
      </c>
      <c r="T403" s="14" t="n">
        <v>626.74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CANON-202602-004326</t>
        </is>
      </c>
      <c r="B404" s="15" t="inlineStr">
        <is>
          <t>2026-02-03</t>
        </is>
      </c>
      <c r="C404" s="15" t="inlineStr">
        <is>
          <t>Cassius Fairweather</t>
        </is>
      </c>
      <c r="D404" s="15" t="inlineStr">
        <is>
          <t>SC</t>
        </is>
      </c>
      <c r="E404" s="16" t="n">
        <v>415000</v>
      </c>
      <c r="F404" s="16" t="n">
        <v>6402.4</v>
      </c>
      <c r="G404" s="16" t="n">
        <v>800.3</v>
      </c>
      <c r="H404" s="16" t="n">
        <v>800.3</v>
      </c>
      <c r="I404" s="16">
        <f>SUM(K404:T404)</f>
        <v/>
      </c>
      <c r="J404" s="16">
        <f>F404-(G404+H404+I404)</f>
        <v/>
      </c>
      <c r="K404" s="16" t="n">
        <v>480.18</v>
      </c>
      <c r="L404" s="16" t="n">
        <v>480.18</v>
      </c>
      <c r="M404" s="16" t="n">
        <v>480.18</v>
      </c>
      <c r="N404" s="16" t="n">
        <v>480.18</v>
      </c>
      <c r="O404" s="16" t="n">
        <v>480.18</v>
      </c>
      <c r="P404" s="16" t="n">
        <v>480.18</v>
      </c>
      <c r="Q404" s="16" t="n">
        <v>480.18</v>
      </c>
      <c r="R404" s="16" t="n">
        <v>480.18</v>
      </c>
      <c r="S404" s="16" t="n">
        <v>480.18</v>
      </c>
      <c r="T404" s="16" t="n">
        <v>480.18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CANON-202602-004327</t>
        </is>
      </c>
      <c r="B405" s="3" t="inlineStr">
        <is>
          <t>2026-02-12</t>
        </is>
      </c>
      <c r="C405" s="3" t="inlineStr">
        <is>
          <t>Desmond Vasquez</t>
        </is>
      </c>
      <c r="D405" s="3" t="inlineStr">
        <is>
          <t>OH</t>
        </is>
      </c>
      <c r="E405" s="14" t="n">
        <v>660000</v>
      </c>
      <c r="F405" s="14" t="n">
        <v>9891.99</v>
      </c>
      <c r="G405" s="14" t="n">
        <v>1236.5</v>
      </c>
      <c r="H405" s="14" t="n">
        <v>1236.5</v>
      </c>
      <c r="I405" s="14">
        <f>SUM(K405:T405)</f>
        <v/>
      </c>
      <c r="J405" s="14">
        <f>F405-(G405+H405+I405)</f>
        <v/>
      </c>
      <c r="K405" s="14" t="n">
        <v>741.9</v>
      </c>
      <c r="L405" s="14" t="n">
        <v>741.9</v>
      </c>
      <c r="M405" s="14" t="n">
        <v>741.9</v>
      </c>
      <c r="N405" s="14" t="n">
        <v>741.9</v>
      </c>
      <c r="O405" s="14" t="n">
        <v>741.9</v>
      </c>
      <c r="P405" s="14" t="n">
        <v>741.9</v>
      </c>
      <c r="Q405" s="14" t="n">
        <v>741.9</v>
      </c>
      <c r="R405" s="14" t="n">
        <v>741.9</v>
      </c>
      <c r="S405" s="14" t="n">
        <v>741.9</v>
      </c>
      <c r="T405" s="14" t="n">
        <v>741.9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CANON-202602-004329</t>
        </is>
      </c>
      <c r="B406" s="15" t="inlineStr">
        <is>
          <t>2026-02-06</t>
        </is>
      </c>
      <c r="C406" s="15" t="inlineStr">
        <is>
          <t>Ingrid Castellanos</t>
        </is>
      </c>
      <c r="D406" s="15" t="inlineStr">
        <is>
          <t>NH</t>
        </is>
      </c>
      <c r="E406" s="16" t="n">
        <v>1350000</v>
      </c>
      <c r="F406" s="16" t="n">
        <v>18632.4</v>
      </c>
      <c r="G406" s="16" t="n">
        <v>2329.05</v>
      </c>
      <c r="H406" s="16" t="n">
        <v>2329.05</v>
      </c>
      <c r="I406" s="16">
        <f>SUM(K406:T406)</f>
        <v/>
      </c>
      <c r="J406" s="16">
        <f>F406-(G406+H406+I406)</f>
        <v/>
      </c>
      <c r="K406" s="16" t="n">
        <v>1397.43</v>
      </c>
      <c r="L406" s="16" t="n">
        <v>1397.43</v>
      </c>
      <c r="M406" s="16" t="n">
        <v>1397.43</v>
      </c>
      <c r="N406" s="16" t="n">
        <v>1397.43</v>
      </c>
      <c r="O406" s="16" t="n">
        <v>1397.43</v>
      </c>
      <c r="P406" s="16" t="n">
        <v>1397.43</v>
      </c>
      <c r="Q406" s="16" t="n">
        <v>1397.43</v>
      </c>
      <c r="R406" s="16" t="n">
        <v>1397.43</v>
      </c>
      <c r="S406" s="16" t="n">
        <v>1397.43</v>
      </c>
      <c r="T406" s="16" t="n">
        <v>1397.43</v>
      </c>
      <c r="U406" s="16" t="n">
        <v>350</v>
      </c>
      <c r="V406" s="16" t="n">
        <v>250</v>
      </c>
      <c r="W406" s="16">
        <f>U406+V406</f>
        <v/>
      </c>
    </row>
    <row r="407">
      <c r="A407" s="3" t="inlineStr">
        <is>
          <t>CANON-202602-004330</t>
        </is>
      </c>
      <c r="B407" s="3" t="inlineStr">
        <is>
          <t>2026-02-19</t>
        </is>
      </c>
      <c r="C407" s="3" t="inlineStr">
        <is>
          <t>Callum Vandermeer</t>
        </is>
      </c>
      <c r="D407" s="3" t="inlineStr">
        <is>
          <t>WA</t>
        </is>
      </c>
      <c r="E407" s="14" t="n">
        <v>1110000</v>
      </c>
      <c r="F407" s="14" t="n">
        <v>9722.290000000001</v>
      </c>
      <c r="G407" s="14" t="n">
        <v>1215.29</v>
      </c>
      <c r="H407" s="14" t="n">
        <v>1215.29</v>
      </c>
      <c r="I407" s="14">
        <f>SUM(K407:T407)</f>
        <v/>
      </c>
      <c r="J407" s="14">
        <f>F407-(G407+H407+I407)</f>
        <v/>
      </c>
      <c r="K407" s="14" t="n">
        <v>729.17</v>
      </c>
      <c r="L407" s="14" t="n">
        <v>729.17</v>
      </c>
      <c r="M407" s="14" t="n">
        <v>729.17</v>
      </c>
      <c r="N407" s="14" t="n">
        <v>729.17</v>
      </c>
      <c r="O407" s="14" t="n">
        <v>729.17</v>
      </c>
      <c r="P407" s="14" t="n">
        <v>729.17</v>
      </c>
      <c r="Q407" s="14" t="n">
        <v>729.17</v>
      </c>
      <c r="R407" s="14" t="n">
        <v>729.17</v>
      </c>
      <c r="S407" s="14" t="n">
        <v>729.17</v>
      </c>
      <c r="T407" s="14" t="n">
        <v>729.17</v>
      </c>
      <c r="U407" s="14" t="n">
        <v>350</v>
      </c>
      <c r="V407" s="14" t="n">
        <v>250</v>
      </c>
      <c r="W407" s="14">
        <f>U407+V407</f>
        <v/>
      </c>
    </row>
    <row r="408">
      <c r="A408" s="15" t="inlineStr">
        <is>
          <t>CANON-202602-004332</t>
        </is>
      </c>
      <c r="B408" s="15" t="inlineStr">
        <is>
          <t>2026-02-13</t>
        </is>
      </c>
      <c r="C408" s="15" t="inlineStr">
        <is>
          <t>Lorenzo Nakashima</t>
        </is>
      </c>
      <c r="D408" s="15" t="inlineStr">
        <is>
          <t>PA</t>
        </is>
      </c>
      <c r="E408" s="16" t="n">
        <v>590000</v>
      </c>
      <c r="F408" s="16" t="n">
        <v>6361.76</v>
      </c>
      <c r="G408" s="16" t="n">
        <v>795.22</v>
      </c>
      <c r="H408" s="16" t="n">
        <v>795.22</v>
      </c>
      <c r="I408" s="16">
        <f>SUM(K408:T408)</f>
        <v/>
      </c>
      <c r="J408" s="16">
        <f>F408-(G408+H408+I408)</f>
        <v/>
      </c>
      <c r="K408" s="16" t="n">
        <v>477.13</v>
      </c>
      <c r="L408" s="16" t="n">
        <v>477.13</v>
      </c>
      <c r="M408" s="16" t="n">
        <v>477.13</v>
      </c>
      <c r="N408" s="16" t="n">
        <v>477.13</v>
      </c>
      <c r="O408" s="16" t="n">
        <v>477.13</v>
      </c>
      <c r="P408" s="16" t="n">
        <v>477.13</v>
      </c>
      <c r="Q408" s="16" t="n">
        <v>477.13</v>
      </c>
      <c r="R408" s="16" t="n">
        <v>477.13</v>
      </c>
      <c r="S408" s="16" t="n">
        <v>477.13</v>
      </c>
      <c r="T408" s="16" t="n">
        <v>477.13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CANON-202602-004334</t>
        </is>
      </c>
      <c r="B409" s="3" t="inlineStr">
        <is>
          <t>2026-02-16</t>
        </is>
      </c>
      <c r="C409" s="3" t="inlineStr">
        <is>
          <t>Fenwick Montoya</t>
        </is>
      </c>
      <c r="D409" s="3" t="inlineStr">
        <is>
          <t>TN</t>
        </is>
      </c>
      <c r="E409" s="14" t="n">
        <v>740000</v>
      </c>
      <c r="F409" s="14" t="n">
        <v>5172.95</v>
      </c>
      <c r="G409" s="14" t="n">
        <v>646.62</v>
      </c>
      <c r="H409" s="14" t="n">
        <v>646.62</v>
      </c>
      <c r="I409" s="14">
        <f>SUM(K409:T409)</f>
        <v/>
      </c>
      <c r="J409" s="14">
        <f>F409-(G409+H409+I409)</f>
        <v/>
      </c>
      <c r="K409" s="14" t="n">
        <v>387.97</v>
      </c>
      <c r="L409" s="14" t="n">
        <v>387.97</v>
      </c>
      <c r="M409" s="14" t="n">
        <v>387.97</v>
      </c>
      <c r="N409" s="14" t="n">
        <v>387.97</v>
      </c>
      <c r="O409" s="14" t="n">
        <v>387.97</v>
      </c>
      <c r="P409" s="14" t="n">
        <v>387.97</v>
      </c>
      <c r="Q409" s="14" t="n">
        <v>387.97</v>
      </c>
      <c r="R409" s="14" t="n">
        <v>387.97</v>
      </c>
      <c r="S409" s="14" t="n">
        <v>387.97</v>
      </c>
      <c r="T409" s="14" t="n">
        <v>387.97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CANON-202602-004335</t>
        </is>
      </c>
      <c r="B410" s="15" t="inlineStr">
        <is>
          <t>2026-02-12</t>
        </is>
      </c>
      <c r="C410" s="15" t="inlineStr">
        <is>
          <t>Fitzgerald Whitlock</t>
        </is>
      </c>
      <c r="D410" s="15" t="inlineStr">
        <is>
          <t>MS</t>
        </is>
      </c>
      <c r="E410" s="16" t="n">
        <v>545000</v>
      </c>
      <c r="F410" s="16" t="n">
        <v>6993.09</v>
      </c>
      <c r="G410" s="16" t="n">
        <v>874.14</v>
      </c>
      <c r="H410" s="16" t="n">
        <v>874.14</v>
      </c>
      <c r="I410" s="16">
        <f>SUM(K410:T410)</f>
        <v/>
      </c>
      <c r="J410" s="16">
        <f>F410-(G410+H410+I410)</f>
        <v/>
      </c>
      <c r="K410" s="16" t="n">
        <v>524.48</v>
      </c>
      <c r="L410" s="16" t="n">
        <v>524.48</v>
      </c>
      <c r="M410" s="16" t="n">
        <v>524.48</v>
      </c>
      <c r="N410" s="16" t="n">
        <v>524.48</v>
      </c>
      <c r="O410" s="16" t="n">
        <v>524.48</v>
      </c>
      <c r="P410" s="16" t="n">
        <v>524.48</v>
      </c>
      <c r="Q410" s="16" t="n">
        <v>524.48</v>
      </c>
      <c r="R410" s="16" t="n">
        <v>524.48</v>
      </c>
      <c r="S410" s="16" t="n">
        <v>524.48</v>
      </c>
      <c r="T410" s="16" t="n">
        <v>524.48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CANON-202602-004336</t>
        </is>
      </c>
      <c r="B411" s="3" t="inlineStr">
        <is>
          <t>2026-02-06</t>
        </is>
      </c>
      <c r="C411" s="3" t="inlineStr">
        <is>
          <t>Delphine Merriweather</t>
        </is>
      </c>
      <c r="D411" s="3" t="inlineStr">
        <is>
          <t>VT</t>
        </is>
      </c>
      <c r="E411" s="14" t="n">
        <v>810000</v>
      </c>
      <c r="F411" s="14" t="n">
        <v>10655.4</v>
      </c>
      <c r="G411" s="14" t="n">
        <v>1331.92</v>
      </c>
      <c r="H411" s="14" t="n">
        <v>1331.92</v>
      </c>
      <c r="I411" s="14">
        <f>SUM(K411:T411)</f>
        <v/>
      </c>
      <c r="J411" s="14">
        <f>F411-(G411+H411+I411)</f>
        <v/>
      </c>
      <c r="K411" s="14" t="n">
        <v>799.15</v>
      </c>
      <c r="L411" s="14" t="n">
        <v>799.15</v>
      </c>
      <c r="M411" s="14" t="n">
        <v>799.15</v>
      </c>
      <c r="N411" s="14" t="n">
        <v>799.15</v>
      </c>
      <c r="O411" s="14" t="n">
        <v>799.15</v>
      </c>
      <c r="P411" s="14" t="n">
        <v>799.15</v>
      </c>
      <c r="Q411" s="14" t="n">
        <v>799.15</v>
      </c>
      <c r="R411" s="14" t="n">
        <v>799.15</v>
      </c>
      <c r="S411" s="14" t="n">
        <v>799.15</v>
      </c>
      <c r="T411" s="14" t="n">
        <v>799.15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CANON-202602-004337</t>
        </is>
      </c>
      <c r="B412" s="15" t="inlineStr">
        <is>
          <t>2026-02-04</t>
        </is>
      </c>
      <c r="C412" s="15" t="inlineStr">
        <is>
          <t>Callum Underwood</t>
        </is>
      </c>
      <c r="D412" s="15" t="inlineStr">
        <is>
          <t>MO</t>
        </is>
      </c>
      <c r="E412" s="16" t="n">
        <v>1250000</v>
      </c>
      <c r="F412" s="16" t="n">
        <v>12089</v>
      </c>
      <c r="G412" s="16" t="n">
        <v>1511.12</v>
      </c>
      <c r="H412" s="16" t="n">
        <v>1511.12</v>
      </c>
      <c r="I412" s="16">
        <f>SUM(K412:T412)</f>
        <v/>
      </c>
      <c r="J412" s="16">
        <f>F412-(G412+H412+I412)</f>
        <v/>
      </c>
      <c r="K412" s="16" t="n">
        <v>906.67</v>
      </c>
      <c r="L412" s="16" t="n">
        <v>906.67</v>
      </c>
      <c r="M412" s="16" t="n">
        <v>906.67</v>
      </c>
      <c r="N412" s="16" t="n">
        <v>906.67</v>
      </c>
      <c r="O412" s="16" t="n">
        <v>906.67</v>
      </c>
      <c r="P412" s="16" t="n">
        <v>906.67</v>
      </c>
      <c r="Q412" s="16" t="n">
        <v>906.67</v>
      </c>
      <c r="R412" s="16" t="n">
        <v>906.67</v>
      </c>
      <c r="S412" s="16" t="n">
        <v>906.67</v>
      </c>
      <c r="T412" s="16" t="n">
        <v>906.67</v>
      </c>
      <c r="U412" s="16" t="n">
        <v>350</v>
      </c>
      <c r="V412" s="16" t="n">
        <v>250</v>
      </c>
      <c r="W412" s="16">
        <f>U412+V412</f>
        <v/>
      </c>
    </row>
    <row r="413">
      <c r="A413" s="3" t="inlineStr">
        <is>
          <t>CANON-202602-004338</t>
        </is>
      </c>
      <c r="B413" s="3" t="inlineStr">
        <is>
          <t>2026-02-12</t>
        </is>
      </c>
      <c r="C413" s="3" t="inlineStr">
        <is>
          <t>Sunniva Merriweather</t>
        </is>
      </c>
      <c r="D413" s="3" t="inlineStr">
        <is>
          <t>NY</t>
        </is>
      </c>
      <c r="E413" s="14" t="n">
        <v>440000</v>
      </c>
      <c r="F413" s="14" t="n">
        <v>7007.06</v>
      </c>
      <c r="G413" s="14" t="n">
        <v>875.88</v>
      </c>
      <c r="H413" s="14" t="n">
        <v>875.88</v>
      </c>
      <c r="I413" s="14">
        <f>SUM(K413:T413)</f>
        <v/>
      </c>
      <c r="J413" s="14">
        <f>F413-(G413+H413+I413)</f>
        <v/>
      </c>
      <c r="K413" s="14" t="n">
        <v>525.53</v>
      </c>
      <c r="L413" s="14" t="n">
        <v>525.53</v>
      </c>
      <c r="M413" s="14" t="n">
        <v>525.53</v>
      </c>
      <c r="N413" s="14" t="n">
        <v>525.53</v>
      </c>
      <c r="O413" s="14" t="n">
        <v>525.53</v>
      </c>
      <c r="P413" s="14" t="n">
        <v>525.53</v>
      </c>
      <c r="Q413" s="14" t="n">
        <v>525.53</v>
      </c>
      <c r="R413" s="14" t="n">
        <v>525.53</v>
      </c>
      <c r="S413" s="14" t="n">
        <v>525.53</v>
      </c>
      <c r="T413" s="14" t="n">
        <v>525.53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CANON-202602-004339</t>
        </is>
      </c>
      <c r="B414" s="15" t="inlineStr">
        <is>
          <t>2026-02-16</t>
        </is>
      </c>
      <c r="C414" s="15" t="inlineStr">
        <is>
          <t>Beatrix Merriweather</t>
        </is>
      </c>
      <c r="D414" s="15" t="inlineStr">
        <is>
          <t>NY</t>
        </is>
      </c>
      <c r="E414" s="16" t="n">
        <v>380000</v>
      </c>
      <c r="F414" s="16" t="n">
        <v>6051.55</v>
      </c>
      <c r="G414" s="16" t="n">
        <v>756.4400000000001</v>
      </c>
      <c r="H414" s="16" t="n">
        <v>756.4400000000001</v>
      </c>
      <c r="I414" s="16">
        <f>SUM(K414:T414)</f>
        <v/>
      </c>
      <c r="J414" s="16">
        <f>F414-(G414+H414+I414)</f>
        <v/>
      </c>
      <c r="K414" s="16" t="n">
        <v>453.87</v>
      </c>
      <c r="L414" s="16" t="n">
        <v>453.87</v>
      </c>
      <c r="M414" s="16" t="n">
        <v>453.87</v>
      </c>
      <c r="N414" s="16" t="n">
        <v>453.87</v>
      </c>
      <c r="O414" s="16" t="n">
        <v>453.87</v>
      </c>
      <c r="P414" s="16" t="n">
        <v>453.87</v>
      </c>
      <c r="Q414" s="16" t="n">
        <v>453.87</v>
      </c>
      <c r="R414" s="16" t="n">
        <v>453.87</v>
      </c>
      <c r="S414" s="16" t="n">
        <v>453.87</v>
      </c>
      <c r="T414" s="16" t="n">
        <v>453.87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CANON-202602-004342</t>
        </is>
      </c>
      <c r="B415" s="3" t="inlineStr">
        <is>
          <t>2026-02-03</t>
        </is>
      </c>
      <c r="C415" s="3" t="inlineStr">
        <is>
          <t>Noor Okonkwo</t>
        </is>
      </c>
      <c r="D415" s="3" t="inlineStr">
        <is>
          <t>CA</t>
        </is>
      </c>
      <c r="E415" s="14" t="n">
        <v>435000</v>
      </c>
      <c r="F415" s="14" t="n">
        <v>7306.28</v>
      </c>
      <c r="G415" s="14" t="n">
        <v>913.28</v>
      </c>
      <c r="H415" s="14" t="n">
        <v>913.28</v>
      </c>
      <c r="I415" s="14">
        <f>SUM(K415:T415)</f>
        <v/>
      </c>
      <c r="J415" s="14">
        <f>F415-(G415+H415+I415)</f>
        <v/>
      </c>
      <c r="K415" s="14" t="n">
        <v>547.97</v>
      </c>
      <c r="L415" s="14" t="n">
        <v>547.97</v>
      </c>
      <c r="M415" s="14" t="n">
        <v>547.97</v>
      </c>
      <c r="N415" s="14" t="n">
        <v>547.97</v>
      </c>
      <c r="O415" s="14" t="n">
        <v>547.97</v>
      </c>
      <c r="P415" s="14" t="n">
        <v>547.97</v>
      </c>
      <c r="Q415" s="14" t="n">
        <v>547.97</v>
      </c>
      <c r="R415" s="14" t="n">
        <v>547.97</v>
      </c>
      <c r="S415" s="14" t="n">
        <v>547.97</v>
      </c>
      <c r="T415" s="14" t="n">
        <v>547.97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CANON-202602-004344</t>
        </is>
      </c>
      <c r="B416" s="15" t="inlineStr">
        <is>
          <t>2026-02-13</t>
        </is>
      </c>
      <c r="C416" s="15" t="inlineStr">
        <is>
          <t>Thaddeus Pennington</t>
        </is>
      </c>
      <c r="D416" s="15" t="inlineStr">
        <is>
          <t>CA</t>
        </is>
      </c>
      <c r="E416" s="16" t="n">
        <v>1345000</v>
      </c>
      <c r="F416" s="16" t="n">
        <v>24096.72</v>
      </c>
      <c r="G416" s="16" t="n">
        <v>3012.09</v>
      </c>
      <c r="H416" s="16" t="n">
        <v>3012.09</v>
      </c>
      <c r="I416" s="16">
        <f>SUM(K416:T416)</f>
        <v/>
      </c>
      <c r="J416" s="16">
        <f>F416-(G416+H416+I416)</f>
        <v/>
      </c>
      <c r="K416" s="16" t="n">
        <v>1807.25</v>
      </c>
      <c r="L416" s="16" t="n">
        <v>1807.25</v>
      </c>
      <c r="M416" s="16" t="n">
        <v>1807.25</v>
      </c>
      <c r="N416" s="16" t="n">
        <v>1807.25</v>
      </c>
      <c r="O416" s="16" t="n">
        <v>1807.25</v>
      </c>
      <c r="P416" s="16" t="n">
        <v>1807.25</v>
      </c>
      <c r="Q416" s="16" t="n">
        <v>1807.25</v>
      </c>
      <c r="R416" s="16" t="n">
        <v>1807.25</v>
      </c>
      <c r="S416" s="16" t="n">
        <v>1807.25</v>
      </c>
      <c r="T416" s="16" t="n">
        <v>1807.25</v>
      </c>
      <c r="U416" s="16" t="n">
        <v>350</v>
      </c>
      <c r="V416" s="16" t="n">
        <v>250</v>
      </c>
      <c r="W416" s="16">
        <f>U416+V416</f>
        <v/>
      </c>
    </row>
    <row r="417">
      <c r="A417" s="3" t="inlineStr">
        <is>
          <t>CANON-202602-004345</t>
        </is>
      </c>
      <c r="B417" s="3" t="inlineStr">
        <is>
          <t>2026-02-15</t>
        </is>
      </c>
      <c r="C417" s="3" t="inlineStr">
        <is>
          <t>Emiliano Vandermeer</t>
        </is>
      </c>
      <c r="D417" s="3" t="inlineStr">
        <is>
          <t>ID</t>
        </is>
      </c>
      <c r="E417" s="14" t="n">
        <v>510000</v>
      </c>
      <c r="F417" s="14" t="n">
        <v>3601.52</v>
      </c>
      <c r="G417" s="14" t="n">
        <v>450.19</v>
      </c>
      <c r="H417" s="14" t="n">
        <v>450.19</v>
      </c>
      <c r="I417" s="14">
        <f>SUM(K417:T417)</f>
        <v/>
      </c>
      <c r="J417" s="14">
        <f>F417-(G417+H417+I417)</f>
        <v/>
      </c>
      <c r="K417" s="14" t="n">
        <v>270.11</v>
      </c>
      <c r="L417" s="14" t="n">
        <v>270.11</v>
      </c>
      <c r="M417" s="14" t="n">
        <v>270.11</v>
      </c>
      <c r="N417" s="14" t="n">
        <v>270.11</v>
      </c>
      <c r="O417" s="14" t="n">
        <v>270.11</v>
      </c>
      <c r="P417" s="14" t="n">
        <v>270.11</v>
      </c>
      <c r="Q417" s="14" t="n">
        <v>270.11</v>
      </c>
      <c r="R417" s="14" t="n">
        <v>270.11</v>
      </c>
      <c r="S417" s="14" t="n">
        <v>270.11</v>
      </c>
      <c r="T417" s="14" t="n">
        <v>270.11</v>
      </c>
      <c r="U417" s="14" t="n">
        <v>350</v>
      </c>
      <c r="V417" s="14" t="n">
        <v>0</v>
      </c>
      <c r="W417" s="14">
        <f>U417+V417</f>
        <v/>
      </c>
    </row>
    <row r="418">
      <c r="A418" s="15" t="inlineStr">
        <is>
          <t>CANON-202602-004346</t>
        </is>
      </c>
      <c r="B418" s="15" t="inlineStr">
        <is>
          <t>2026-02-25</t>
        </is>
      </c>
      <c r="C418" s="15" t="inlineStr">
        <is>
          <t>Thaddeus Vandermeer</t>
        </is>
      </c>
      <c r="D418" s="15" t="inlineStr">
        <is>
          <t>CT</t>
        </is>
      </c>
      <c r="E418" s="16" t="n">
        <v>570000</v>
      </c>
      <c r="F418" s="16" t="n">
        <v>10060.7</v>
      </c>
      <c r="G418" s="16" t="n">
        <v>1257.59</v>
      </c>
      <c r="H418" s="16" t="n">
        <v>1257.59</v>
      </c>
      <c r="I418" s="16">
        <f>SUM(K418:T418)</f>
        <v/>
      </c>
      <c r="J418" s="16">
        <f>F418-(G418+H418+I418)</f>
        <v/>
      </c>
      <c r="K418" s="16" t="n">
        <v>754.55</v>
      </c>
      <c r="L418" s="16" t="n">
        <v>754.55</v>
      </c>
      <c r="M418" s="16" t="n">
        <v>754.55</v>
      </c>
      <c r="N418" s="16" t="n">
        <v>754.55</v>
      </c>
      <c r="O418" s="16" t="n">
        <v>754.55</v>
      </c>
      <c r="P418" s="16" t="n">
        <v>754.55</v>
      </c>
      <c r="Q418" s="16" t="n">
        <v>754.55</v>
      </c>
      <c r="R418" s="16" t="n">
        <v>754.55</v>
      </c>
      <c r="S418" s="16" t="n">
        <v>754.55</v>
      </c>
      <c r="T418" s="16" t="n">
        <v>754.55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CANON-202602-004347</t>
        </is>
      </c>
      <c r="B419" s="3" t="inlineStr">
        <is>
          <t>2026-02-21</t>
        </is>
      </c>
      <c r="C419" s="3" t="inlineStr">
        <is>
          <t>Everett Pennington</t>
        </is>
      </c>
      <c r="D419" s="3" t="inlineStr">
        <is>
          <t>AR</t>
        </is>
      </c>
      <c r="E419" s="14" t="n">
        <v>900000</v>
      </c>
      <c r="F419" s="14" t="n">
        <v>19572.98</v>
      </c>
      <c r="G419" s="14" t="n">
        <v>2446.62</v>
      </c>
      <c r="H419" s="14" t="n">
        <v>2446.62</v>
      </c>
      <c r="I419" s="14">
        <f>SUM(K419:T419)</f>
        <v/>
      </c>
      <c r="J419" s="14">
        <f>F419-(G419+H419+I419)</f>
        <v/>
      </c>
      <c r="K419" s="14" t="n">
        <v>1467.97</v>
      </c>
      <c r="L419" s="14" t="n">
        <v>1467.97</v>
      </c>
      <c r="M419" s="14" t="n">
        <v>1467.97</v>
      </c>
      <c r="N419" s="14" t="n">
        <v>1467.97</v>
      </c>
      <c r="O419" s="14" t="n">
        <v>1467.97</v>
      </c>
      <c r="P419" s="14" t="n">
        <v>1467.97</v>
      </c>
      <c r="Q419" s="14" t="n">
        <v>1467.97</v>
      </c>
      <c r="R419" s="14" t="n">
        <v>1467.97</v>
      </c>
      <c r="S419" s="14" t="n">
        <v>1467.97</v>
      </c>
      <c r="T419" s="14" t="n">
        <v>1467.97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CANON-202602-004348</t>
        </is>
      </c>
      <c r="B420" s="15" t="inlineStr">
        <is>
          <t>2026-02-14</t>
        </is>
      </c>
      <c r="C420" s="15" t="inlineStr">
        <is>
          <t>Noor Pennington</t>
        </is>
      </c>
      <c r="D420" s="15" t="inlineStr">
        <is>
          <t>WA</t>
        </is>
      </c>
      <c r="E420" s="16" t="n">
        <v>715000</v>
      </c>
      <c r="F420" s="16" t="n">
        <v>7401.2</v>
      </c>
      <c r="G420" s="16" t="n">
        <v>925.15</v>
      </c>
      <c r="H420" s="16" t="n">
        <v>925.15</v>
      </c>
      <c r="I420" s="16">
        <f>SUM(K420:T420)</f>
        <v/>
      </c>
      <c r="J420" s="16">
        <f>F420-(G420+H420+I420)</f>
        <v/>
      </c>
      <c r="K420" s="16" t="n">
        <v>555.09</v>
      </c>
      <c r="L420" s="16" t="n">
        <v>555.09</v>
      </c>
      <c r="M420" s="16" t="n">
        <v>555.09</v>
      </c>
      <c r="N420" s="16" t="n">
        <v>555.09</v>
      </c>
      <c r="O420" s="16" t="n">
        <v>555.09</v>
      </c>
      <c r="P420" s="16" t="n">
        <v>555.09</v>
      </c>
      <c r="Q420" s="16" t="n">
        <v>555.09</v>
      </c>
      <c r="R420" s="16" t="n">
        <v>555.09</v>
      </c>
      <c r="S420" s="16" t="n">
        <v>555.09</v>
      </c>
      <c r="T420" s="16" t="n">
        <v>555.09</v>
      </c>
      <c r="U420" s="16" t="n">
        <v>350</v>
      </c>
      <c r="V420" s="16" t="n">
        <v>0</v>
      </c>
      <c r="W420" s="16">
        <f>U420+V420</f>
        <v/>
      </c>
    </row>
    <row r="421">
      <c r="A421" s="3" t="inlineStr">
        <is>
          <t>CANON-202602-004349</t>
        </is>
      </c>
      <c r="B421" s="3" t="inlineStr">
        <is>
          <t>2026-02-15</t>
        </is>
      </c>
      <c r="C421" s="3" t="inlineStr">
        <is>
          <t>Thaddeus Whitlock</t>
        </is>
      </c>
      <c r="D421" s="3" t="inlineStr">
        <is>
          <t>VA</t>
        </is>
      </c>
      <c r="E421" s="14" t="n">
        <v>995000</v>
      </c>
      <c r="F421" s="14" t="n">
        <v>17091.69</v>
      </c>
      <c r="G421" s="14" t="n">
        <v>2136.46</v>
      </c>
      <c r="H421" s="14" t="n">
        <v>2136.46</v>
      </c>
      <c r="I421" s="14">
        <f>SUM(K421:T421)</f>
        <v/>
      </c>
      <c r="J421" s="14">
        <f>F421-(G421+H421+I421)</f>
        <v/>
      </c>
      <c r="K421" s="14" t="n">
        <v>1281.88</v>
      </c>
      <c r="L421" s="14" t="n">
        <v>1281.88</v>
      </c>
      <c r="M421" s="14" t="n">
        <v>1281.88</v>
      </c>
      <c r="N421" s="14" t="n">
        <v>1281.88</v>
      </c>
      <c r="O421" s="14" t="n">
        <v>1281.88</v>
      </c>
      <c r="P421" s="14" t="n">
        <v>1281.88</v>
      </c>
      <c r="Q421" s="14" t="n">
        <v>1281.88</v>
      </c>
      <c r="R421" s="14" t="n">
        <v>1281.88</v>
      </c>
      <c r="S421" s="14" t="n">
        <v>1281.88</v>
      </c>
      <c r="T421" s="14" t="n">
        <v>1281.88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CANON-202602-004350</t>
        </is>
      </c>
      <c r="B422" s="15" t="inlineStr">
        <is>
          <t>2026-02-02</t>
        </is>
      </c>
      <c r="C422" s="15" t="inlineStr">
        <is>
          <t>Ottilie Delacroix</t>
        </is>
      </c>
      <c r="D422" s="15" t="inlineStr">
        <is>
          <t>MS</t>
        </is>
      </c>
      <c r="E422" s="16" t="n">
        <v>255000</v>
      </c>
      <c r="F422" s="16" t="n">
        <v>3775.37</v>
      </c>
      <c r="G422" s="16" t="n">
        <v>471.92</v>
      </c>
      <c r="H422" s="16" t="n">
        <v>471.92</v>
      </c>
      <c r="I422" s="16">
        <f>SUM(K422:T422)</f>
        <v/>
      </c>
      <c r="J422" s="16">
        <f>F422-(G422+H422+I422)</f>
        <v/>
      </c>
      <c r="K422" s="16" t="n">
        <v>283.15</v>
      </c>
      <c r="L422" s="16" t="n">
        <v>283.15</v>
      </c>
      <c r="M422" s="16" t="n">
        <v>283.15</v>
      </c>
      <c r="N422" s="16" t="n">
        <v>283.15</v>
      </c>
      <c r="O422" s="16" t="n">
        <v>283.15</v>
      </c>
      <c r="P422" s="16" t="n">
        <v>283.15</v>
      </c>
      <c r="Q422" s="16" t="n">
        <v>283.15</v>
      </c>
      <c r="R422" s="16" t="n">
        <v>283.15</v>
      </c>
      <c r="S422" s="16" t="n">
        <v>283.15</v>
      </c>
      <c r="T422" s="16" t="n">
        <v>283.15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CANON-202602-004352</t>
        </is>
      </c>
      <c r="B423" s="3" t="inlineStr">
        <is>
          <t>2026-02-10</t>
        </is>
      </c>
      <c r="C423" s="3" t="inlineStr">
        <is>
          <t>Lorenzo Whitlock</t>
        </is>
      </c>
      <c r="D423" s="3" t="inlineStr">
        <is>
          <t>PA</t>
        </is>
      </c>
      <c r="E423" s="14" t="n">
        <v>360000</v>
      </c>
      <c r="F423" s="14" t="n">
        <v>6867.71</v>
      </c>
      <c r="G423" s="14" t="n">
        <v>858.46</v>
      </c>
      <c r="H423" s="14" t="n">
        <v>858.46</v>
      </c>
      <c r="I423" s="14">
        <f>SUM(K423:T423)</f>
        <v/>
      </c>
      <c r="J423" s="14">
        <f>F423-(G423+H423+I423)</f>
        <v/>
      </c>
      <c r="K423" s="14" t="n">
        <v>515.08</v>
      </c>
      <c r="L423" s="14" t="n">
        <v>515.08</v>
      </c>
      <c r="M423" s="14" t="n">
        <v>515.08</v>
      </c>
      <c r="N423" s="14" t="n">
        <v>515.08</v>
      </c>
      <c r="O423" s="14" t="n">
        <v>515.08</v>
      </c>
      <c r="P423" s="14" t="n">
        <v>515.08</v>
      </c>
      <c r="Q423" s="14" t="n">
        <v>515.08</v>
      </c>
      <c r="R423" s="14" t="n">
        <v>515.08</v>
      </c>
      <c r="S423" s="14" t="n">
        <v>515.08</v>
      </c>
      <c r="T423" s="14" t="n">
        <v>515.08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CANON-202602-004353</t>
        </is>
      </c>
      <c r="B424" s="15" t="inlineStr">
        <is>
          <t>2026-02-22</t>
        </is>
      </c>
      <c r="C424" s="15" t="inlineStr">
        <is>
          <t>Mireille Okonkwo</t>
        </is>
      </c>
      <c r="D424" s="15" t="inlineStr">
        <is>
          <t>CO</t>
        </is>
      </c>
      <c r="E424" s="16" t="n">
        <v>425000</v>
      </c>
      <c r="F424" s="16" t="n">
        <v>5816.41</v>
      </c>
      <c r="G424" s="16" t="n">
        <v>727.05</v>
      </c>
      <c r="H424" s="16" t="n">
        <v>727.05</v>
      </c>
      <c r="I424" s="16">
        <f>SUM(K424:T424)</f>
        <v/>
      </c>
      <c r="J424" s="16">
        <f>F424-(G424+H424+I424)</f>
        <v/>
      </c>
      <c r="K424" s="16" t="n">
        <v>436.23</v>
      </c>
      <c r="L424" s="16" t="n">
        <v>436.23</v>
      </c>
      <c r="M424" s="16" t="n">
        <v>436.23</v>
      </c>
      <c r="N424" s="16" t="n">
        <v>436.23</v>
      </c>
      <c r="O424" s="16" t="n">
        <v>436.23</v>
      </c>
      <c r="P424" s="16" t="n">
        <v>436.23</v>
      </c>
      <c r="Q424" s="16" t="n">
        <v>436.23</v>
      </c>
      <c r="R424" s="16" t="n">
        <v>436.23</v>
      </c>
      <c r="S424" s="16" t="n">
        <v>436.23</v>
      </c>
      <c r="T424" s="16" t="n">
        <v>436.23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CANON-202602-004354</t>
        </is>
      </c>
      <c r="B425" s="3" t="inlineStr">
        <is>
          <t>2026-02-11</t>
        </is>
      </c>
      <c r="C425" s="3" t="inlineStr">
        <is>
          <t>Callum Fairweather</t>
        </is>
      </c>
      <c r="D425" s="3" t="inlineStr">
        <is>
          <t>NJ</t>
        </is>
      </c>
      <c r="E425" s="14" t="n">
        <v>985000</v>
      </c>
      <c r="F425" s="14" t="n">
        <v>6393.78</v>
      </c>
      <c r="G425" s="14" t="n">
        <v>799.22</v>
      </c>
      <c r="H425" s="14" t="n">
        <v>799.22</v>
      </c>
      <c r="I425" s="14">
        <f>SUM(K425:T425)</f>
        <v/>
      </c>
      <c r="J425" s="14">
        <f>F425-(G425+H425+I425)</f>
        <v/>
      </c>
      <c r="K425" s="14" t="n">
        <v>479.53</v>
      </c>
      <c r="L425" s="14" t="n">
        <v>479.53</v>
      </c>
      <c r="M425" s="14" t="n">
        <v>479.53</v>
      </c>
      <c r="N425" s="14" t="n">
        <v>479.53</v>
      </c>
      <c r="O425" s="14" t="n">
        <v>479.53</v>
      </c>
      <c r="P425" s="14" t="n">
        <v>479.53</v>
      </c>
      <c r="Q425" s="14" t="n">
        <v>479.53</v>
      </c>
      <c r="R425" s="14" t="n">
        <v>479.53</v>
      </c>
      <c r="S425" s="14" t="n">
        <v>479.53</v>
      </c>
      <c r="T425" s="14" t="n">
        <v>479.53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CANON-202602-004355</t>
        </is>
      </c>
      <c r="B426" s="15" t="inlineStr">
        <is>
          <t>2026-02-17</t>
        </is>
      </c>
      <c r="C426" s="15" t="inlineStr">
        <is>
          <t>Aurelio Fairweather</t>
        </is>
      </c>
      <c r="D426" s="15" t="inlineStr">
        <is>
          <t>VT</t>
        </is>
      </c>
      <c r="E426" s="16" t="n">
        <v>895000</v>
      </c>
      <c r="F426" s="16" t="n">
        <v>17207.52</v>
      </c>
      <c r="G426" s="16" t="n">
        <v>2150.94</v>
      </c>
      <c r="H426" s="16" t="n">
        <v>2150.94</v>
      </c>
      <c r="I426" s="16">
        <f>SUM(K426:T426)</f>
        <v/>
      </c>
      <c r="J426" s="16">
        <f>F426-(G426+H426+I426)</f>
        <v/>
      </c>
      <c r="K426" s="16" t="n">
        <v>1290.56</v>
      </c>
      <c r="L426" s="16" t="n">
        <v>1290.56</v>
      </c>
      <c r="M426" s="16" t="n">
        <v>1290.56</v>
      </c>
      <c r="N426" s="16" t="n">
        <v>1290.56</v>
      </c>
      <c r="O426" s="16" t="n">
        <v>1290.56</v>
      </c>
      <c r="P426" s="16" t="n">
        <v>1290.56</v>
      </c>
      <c r="Q426" s="16" t="n">
        <v>1290.56</v>
      </c>
      <c r="R426" s="16" t="n">
        <v>1290.56</v>
      </c>
      <c r="S426" s="16" t="n">
        <v>1290.56</v>
      </c>
      <c r="T426" s="16" t="n">
        <v>1290.56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CANON-202602-004356</t>
        </is>
      </c>
      <c r="B427" s="3" t="inlineStr">
        <is>
          <t>2026-02-22</t>
        </is>
      </c>
      <c r="C427" s="3" t="inlineStr">
        <is>
          <t>Sunniva Thistlewood</t>
        </is>
      </c>
      <c r="D427" s="3" t="inlineStr">
        <is>
          <t>NM</t>
        </is>
      </c>
      <c r="E427" s="14" t="n">
        <v>595000</v>
      </c>
      <c r="F427" s="14" t="n">
        <v>8212.059999999999</v>
      </c>
      <c r="G427" s="14" t="n">
        <v>1026.51</v>
      </c>
      <c r="H427" s="14" t="n">
        <v>1026.51</v>
      </c>
      <c r="I427" s="14">
        <f>SUM(K427:T427)</f>
        <v/>
      </c>
      <c r="J427" s="14">
        <f>F427-(G427+H427+I427)</f>
        <v/>
      </c>
      <c r="K427" s="14" t="n">
        <v>615.9</v>
      </c>
      <c r="L427" s="14" t="n">
        <v>615.9</v>
      </c>
      <c r="M427" s="14" t="n">
        <v>615.9</v>
      </c>
      <c r="N427" s="14" t="n">
        <v>615.9</v>
      </c>
      <c r="O427" s="14" t="n">
        <v>615.9</v>
      </c>
      <c r="P427" s="14" t="n">
        <v>615.9</v>
      </c>
      <c r="Q427" s="14" t="n">
        <v>615.9</v>
      </c>
      <c r="R427" s="14" t="n">
        <v>615.9</v>
      </c>
      <c r="S427" s="14" t="n">
        <v>615.9</v>
      </c>
      <c r="T427" s="14" t="n">
        <v>615.9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CANON-202602-004357</t>
        </is>
      </c>
      <c r="B428" s="15" t="inlineStr">
        <is>
          <t>2026-02-12</t>
        </is>
      </c>
      <c r="C428" s="15" t="inlineStr">
        <is>
          <t>Ramona Farkas</t>
        </is>
      </c>
      <c r="D428" s="15" t="inlineStr">
        <is>
          <t>FL</t>
        </is>
      </c>
      <c r="E428" s="16" t="n">
        <v>315000</v>
      </c>
      <c r="F428" s="16" t="n">
        <v>5565.09</v>
      </c>
      <c r="G428" s="16" t="n">
        <v>695.64</v>
      </c>
      <c r="H428" s="16" t="n">
        <v>695.64</v>
      </c>
      <c r="I428" s="16">
        <f>SUM(K428:T428)</f>
        <v/>
      </c>
      <c r="J428" s="16">
        <f>F428-(G428+H428+I428)</f>
        <v/>
      </c>
      <c r="K428" s="16" t="n">
        <v>417.38</v>
      </c>
      <c r="L428" s="16" t="n">
        <v>417.38</v>
      </c>
      <c r="M428" s="16" t="n">
        <v>417.38</v>
      </c>
      <c r="N428" s="16" t="n">
        <v>417.38</v>
      </c>
      <c r="O428" s="16" t="n">
        <v>417.38</v>
      </c>
      <c r="P428" s="16" t="n">
        <v>417.38</v>
      </c>
      <c r="Q428" s="16" t="n">
        <v>417.38</v>
      </c>
      <c r="R428" s="16" t="n">
        <v>417.38</v>
      </c>
      <c r="S428" s="16" t="n">
        <v>417.38</v>
      </c>
      <c r="T428" s="16" t="n">
        <v>417.38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CANON-202602-004358</t>
        </is>
      </c>
      <c r="B429" s="3" t="inlineStr">
        <is>
          <t>2026-02-08</t>
        </is>
      </c>
      <c r="C429" s="3" t="inlineStr">
        <is>
          <t>Ottilie Chattopadhyay</t>
        </is>
      </c>
      <c r="D429" s="3" t="inlineStr">
        <is>
          <t>MA</t>
        </is>
      </c>
      <c r="E429" s="14" t="n">
        <v>510000</v>
      </c>
      <c r="F429" s="14" t="n">
        <v>6873.94</v>
      </c>
      <c r="G429" s="14" t="n">
        <v>859.24</v>
      </c>
      <c r="H429" s="14" t="n">
        <v>859.24</v>
      </c>
      <c r="I429" s="14">
        <f>SUM(K429:T429)</f>
        <v/>
      </c>
      <c r="J429" s="14">
        <f>F429-(G429+H429+I429)</f>
        <v/>
      </c>
      <c r="K429" s="14" t="n">
        <v>515.55</v>
      </c>
      <c r="L429" s="14" t="n">
        <v>515.55</v>
      </c>
      <c r="M429" s="14" t="n">
        <v>515.55</v>
      </c>
      <c r="N429" s="14" t="n">
        <v>515.55</v>
      </c>
      <c r="O429" s="14" t="n">
        <v>515.55</v>
      </c>
      <c r="P429" s="14" t="n">
        <v>515.55</v>
      </c>
      <c r="Q429" s="14" t="n">
        <v>515.55</v>
      </c>
      <c r="R429" s="14" t="n">
        <v>515.55</v>
      </c>
      <c r="S429" s="14" t="n">
        <v>515.55</v>
      </c>
      <c r="T429" s="14" t="n">
        <v>515.55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CANON-202602-004359</t>
        </is>
      </c>
      <c r="B430" s="15" t="inlineStr">
        <is>
          <t>2026-02-28</t>
        </is>
      </c>
      <c r="C430" s="15" t="inlineStr">
        <is>
          <t>Fitzgerald Kingsford</t>
        </is>
      </c>
      <c r="D430" s="15" t="inlineStr">
        <is>
          <t>FL</t>
        </is>
      </c>
      <c r="E430" s="16" t="n">
        <v>345000</v>
      </c>
      <c r="F430" s="16" t="n">
        <v>6095.1</v>
      </c>
      <c r="G430" s="16" t="n">
        <v>761.89</v>
      </c>
      <c r="H430" s="16" t="n">
        <v>761.89</v>
      </c>
      <c r="I430" s="16">
        <f>SUM(K430:T430)</f>
        <v/>
      </c>
      <c r="J430" s="16">
        <f>F430-(G430+H430+I430)</f>
        <v/>
      </c>
      <c r="K430" s="16" t="n">
        <v>457.13</v>
      </c>
      <c r="L430" s="16" t="n">
        <v>457.13</v>
      </c>
      <c r="M430" s="16" t="n">
        <v>457.13</v>
      </c>
      <c r="N430" s="16" t="n">
        <v>457.13</v>
      </c>
      <c r="O430" s="16" t="n">
        <v>457.13</v>
      </c>
      <c r="P430" s="16" t="n">
        <v>457.13</v>
      </c>
      <c r="Q430" s="16" t="n">
        <v>457.13</v>
      </c>
      <c r="R430" s="16" t="n">
        <v>457.13</v>
      </c>
      <c r="S430" s="16" t="n">
        <v>457.13</v>
      </c>
      <c r="T430" s="16" t="n">
        <v>457.13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CANON-202602-004362</t>
        </is>
      </c>
      <c r="B431" s="3" t="inlineStr">
        <is>
          <t>2026-02-26</t>
        </is>
      </c>
      <c r="C431" s="3" t="inlineStr">
        <is>
          <t>Saoirse Fairweather</t>
        </is>
      </c>
      <c r="D431" s="3" t="inlineStr">
        <is>
          <t>HI</t>
        </is>
      </c>
      <c r="E431" s="14" t="n">
        <v>685000</v>
      </c>
      <c r="F431" s="14" t="n">
        <v>6352.05</v>
      </c>
      <c r="G431" s="14" t="n">
        <v>794.01</v>
      </c>
      <c r="H431" s="14" t="n">
        <v>794.01</v>
      </c>
      <c r="I431" s="14">
        <f>SUM(K431:T431)</f>
        <v/>
      </c>
      <c r="J431" s="14">
        <f>F431-(G431+H431+I431)</f>
        <v/>
      </c>
      <c r="K431" s="14" t="n">
        <v>476.4</v>
      </c>
      <c r="L431" s="14" t="n">
        <v>476.4</v>
      </c>
      <c r="M431" s="14" t="n">
        <v>476.4</v>
      </c>
      <c r="N431" s="14" t="n">
        <v>476.4</v>
      </c>
      <c r="O431" s="14" t="n">
        <v>476.4</v>
      </c>
      <c r="P431" s="14" t="n">
        <v>476.4</v>
      </c>
      <c r="Q431" s="14" t="n">
        <v>476.4</v>
      </c>
      <c r="R431" s="14" t="n">
        <v>476.4</v>
      </c>
      <c r="S431" s="14" t="n">
        <v>476.4</v>
      </c>
      <c r="T431" s="14" t="n">
        <v>476.4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CANON-202602-004363</t>
        </is>
      </c>
      <c r="B432" s="15" t="inlineStr">
        <is>
          <t>2026-02-19</t>
        </is>
      </c>
      <c r="C432" s="15" t="inlineStr">
        <is>
          <t>Sunniva Rourke</t>
        </is>
      </c>
      <c r="D432" s="15" t="inlineStr">
        <is>
          <t>CO</t>
        </is>
      </c>
      <c r="E432" s="16" t="n">
        <v>905000</v>
      </c>
      <c r="F432" s="16" t="n">
        <v>10734.12</v>
      </c>
      <c r="G432" s="16" t="n">
        <v>1341.77</v>
      </c>
      <c r="H432" s="16" t="n">
        <v>1341.77</v>
      </c>
      <c r="I432" s="16">
        <f>SUM(K432:T432)</f>
        <v/>
      </c>
      <c r="J432" s="16">
        <f>F432-(G432+H432+I432)</f>
        <v/>
      </c>
      <c r="K432" s="16" t="n">
        <v>805.0599999999999</v>
      </c>
      <c r="L432" s="16" t="n">
        <v>805.0599999999999</v>
      </c>
      <c r="M432" s="16" t="n">
        <v>805.0599999999999</v>
      </c>
      <c r="N432" s="16" t="n">
        <v>805.0599999999999</v>
      </c>
      <c r="O432" s="16" t="n">
        <v>805.0599999999999</v>
      </c>
      <c r="P432" s="16" t="n">
        <v>805.0599999999999</v>
      </c>
      <c r="Q432" s="16" t="n">
        <v>805.0599999999999</v>
      </c>
      <c r="R432" s="16" t="n">
        <v>805.0599999999999</v>
      </c>
      <c r="S432" s="16" t="n">
        <v>805.0599999999999</v>
      </c>
      <c r="T432" s="16" t="n">
        <v>805.0599999999999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CANON-202602-004364</t>
        </is>
      </c>
      <c r="B433" s="3" t="inlineStr">
        <is>
          <t>2026-02-17</t>
        </is>
      </c>
      <c r="C433" s="3" t="inlineStr">
        <is>
          <t>Delphine Merriweather</t>
        </is>
      </c>
      <c r="D433" s="3" t="inlineStr">
        <is>
          <t>FL</t>
        </is>
      </c>
      <c r="E433" s="14" t="n">
        <v>515000</v>
      </c>
      <c r="F433" s="14" t="n">
        <v>11524.74</v>
      </c>
      <c r="G433" s="14" t="n">
        <v>1440.59</v>
      </c>
      <c r="H433" s="14" t="n">
        <v>1440.59</v>
      </c>
      <c r="I433" s="14">
        <f>SUM(K433:T433)</f>
        <v/>
      </c>
      <c r="J433" s="14">
        <f>F433-(G433+H433+I433)</f>
        <v/>
      </c>
      <c r="K433" s="14" t="n">
        <v>864.36</v>
      </c>
      <c r="L433" s="14" t="n">
        <v>864.36</v>
      </c>
      <c r="M433" s="14" t="n">
        <v>864.36</v>
      </c>
      <c r="N433" s="14" t="n">
        <v>864.36</v>
      </c>
      <c r="O433" s="14" t="n">
        <v>864.36</v>
      </c>
      <c r="P433" s="14" t="n">
        <v>864.36</v>
      </c>
      <c r="Q433" s="14" t="n">
        <v>864.36</v>
      </c>
      <c r="R433" s="14" t="n">
        <v>864.36</v>
      </c>
      <c r="S433" s="14" t="n">
        <v>864.36</v>
      </c>
      <c r="T433" s="14" t="n">
        <v>864.36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CANON-202602-004365</t>
        </is>
      </c>
      <c r="B434" s="15" t="inlineStr">
        <is>
          <t>2026-02-28</t>
        </is>
      </c>
      <c r="C434" s="15" t="inlineStr">
        <is>
          <t>Mireille Delacroix</t>
        </is>
      </c>
      <c r="D434" s="15" t="inlineStr">
        <is>
          <t>NY</t>
        </is>
      </c>
      <c r="E434" s="16" t="n">
        <v>205000</v>
      </c>
      <c r="F434" s="16" t="n">
        <v>4004.64</v>
      </c>
      <c r="G434" s="16" t="n">
        <v>500.58</v>
      </c>
      <c r="H434" s="16" t="n">
        <v>500.58</v>
      </c>
      <c r="I434" s="16">
        <f>SUM(K434:T434)</f>
        <v/>
      </c>
      <c r="J434" s="16">
        <f>F434-(G434+H434+I434)</f>
        <v/>
      </c>
      <c r="K434" s="16" t="n">
        <v>300.35</v>
      </c>
      <c r="L434" s="16" t="n">
        <v>300.35</v>
      </c>
      <c r="M434" s="16" t="n">
        <v>300.35</v>
      </c>
      <c r="N434" s="16" t="n">
        <v>300.35</v>
      </c>
      <c r="O434" s="16" t="n">
        <v>300.35</v>
      </c>
      <c r="P434" s="16" t="n">
        <v>300.35</v>
      </c>
      <c r="Q434" s="16" t="n">
        <v>300.35</v>
      </c>
      <c r="R434" s="16" t="n">
        <v>300.35</v>
      </c>
      <c r="S434" s="16" t="n">
        <v>300.35</v>
      </c>
      <c r="T434" s="16" t="n">
        <v>300.35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CANON-202602-004367</t>
        </is>
      </c>
      <c r="B435" s="3" t="inlineStr">
        <is>
          <t>2026-02-27</t>
        </is>
      </c>
      <c r="C435" s="3" t="inlineStr">
        <is>
          <t>Noor Okonkwo</t>
        </is>
      </c>
      <c r="D435" s="3" t="inlineStr">
        <is>
          <t>LA</t>
        </is>
      </c>
      <c r="E435" s="14" t="n">
        <v>690000</v>
      </c>
      <c r="F435" s="14" t="n">
        <v>13157.4</v>
      </c>
      <c r="G435" s="14" t="n">
        <v>1644.67</v>
      </c>
      <c r="H435" s="14" t="n">
        <v>1644.67</v>
      </c>
      <c r="I435" s="14">
        <f>SUM(K435:T435)</f>
        <v/>
      </c>
      <c r="J435" s="14">
        <f>F435-(G435+H435+I435)</f>
        <v/>
      </c>
      <c r="K435" s="14" t="n">
        <v>986.8</v>
      </c>
      <c r="L435" s="14" t="n">
        <v>986.8</v>
      </c>
      <c r="M435" s="14" t="n">
        <v>986.8</v>
      </c>
      <c r="N435" s="14" t="n">
        <v>986.8</v>
      </c>
      <c r="O435" s="14" t="n">
        <v>986.8</v>
      </c>
      <c r="P435" s="14" t="n">
        <v>986.8</v>
      </c>
      <c r="Q435" s="14" t="n">
        <v>986.8</v>
      </c>
      <c r="R435" s="14" t="n">
        <v>986.8</v>
      </c>
      <c r="S435" s="14" t="n">
        <v>986.8</v>
      </c>
      <c r="T435" s="14" t="n">
        <v>986.8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CANON-202602-004368</t>
        </is>
      </c>
      <c r="B436" s="15" t="inlineStr">
        <is>
          <t>2026-02-10</t>
        </is>
      </c>
      <c r="C436" s="15" t="inlineStr">
        <is>
          <t>Wilhelmina Okonkwo</t>
        </is>
      </c>
      <c r="D436" s="15" t="inlineStr">
        <is>
          <t>KS</t>
        </is>
      </c>
      <c r="E436" s="16" t="n">
        <v>1950000</v>
      </c>
      <c r="F436" s="16" t="n">
        <v>11923.45</v>
      </c>
      <c r="G436" s="16" t="n">
        <v>1490.43</v>
      </c>
      <c r="H436" s="16" t="n">
        <v>1490.43</v>
      </c>
      <c r="I436" s="16">
        <f>SUM(K436:T436)</f>
        <v/>
      </c>
      <c r="J436" s="16">
        <f>F436-(G436+H436+I436)</f>
        <v/>
      </c>
      <c r="K436" s="16" t="n">
        <v>894.26</v>
      </c>
      <c r="L436" s="16" t="n">
        <v>894.26</v>
      </c>
      <c r="M436" s="16" t="n">
        <v>894.26</v>
      </c>
      <c r="N436" s="16" t="n">
        <v>894.26</v>
      </c>
      <c r="O436" s="16" t="n">
        <v>894.26</v>
      </c>
      <c r="P436" s="16" t="n">
        <v>894.26</v>
      </c>
      <c r="Q436" s="16" t="n">
        <v>894.26</v>
      </c>
      <c r="R436" s="16" t="n">
        <v>894.26</v>
      </c>
      <c r="S436" s="16" t="n">
        <v>894.26</v>
      </c>
      <c r="T436" s="16" t="n">
        <v>894.26</v>
      </c>
      <c r="U436" s="16" t="n">
        <v>350</v>
      </c>
      <c r="V436" s="16" t="n">
        <v>250</v>
      </c>
      <c r="W436" s="16">
        <f>U436+V436</f>
        <v/>
      </c>
    </row>
    <row r="437">
      <c r="A437" s="3" t="inlineStr">
        <is>
          <t>CANON-202602-004369</t>
        </is>
      </c>
      <c r="B437" s="3" t="inlineStr">
        <is>
          <t>2026-02-24</t>
        </is>
      </c>
      <c r="C437" s="3" t="inlineStr">
        <is>
          <t>Noor Delacroix</t>
        </is>
      </c>
      <c r="D437" s="3" t="inlineStr">
        <is>
          <t>IN</t>
        </is>
      </c>
      <c r="E437" s="14" t="n">
        <v>550000</v>
      </c>
      <c r="F437" s="14" t="n">
        <v>10661.13</v>
      </c>
      <c r="G437" s="14" t="n">
        <v>1332.64</v>
      </c>
      <c r="H437" s="14" t="n">
        <v>1332.64</v>
      </c>
      <c r="I437" s="14">
        <f>SUM(K437:T437)</f>
        <v/>
      </c>
      <c r="J437" s="14">
        <f>F437-(G437+H437+I437)</f>
        <v/>
      </c>
      <c r="K437" s="14" t="n">
        <v>799.58</v>
      </c>
      <c r="L437" s="14" t="n">
        <v>799.58</v>
      </c>
      <c r="M437" s="14" t="n">
        <v>799.58</v>
      </c>
      <c r="N437" s="14" t="n">
        <v>799.58</v>
      </c>
      <c r="O437" s="14" t="n">
        <v>799.58</v>
      </c>
      <c r="P437" s="14" t="n">
        <v>799.58</v>
      </c>
      <c r="Q437" s="14" t="n">
        <v>799.58</v>
      </c>
      <c r="R437" s="14" t="n">
        <v>799.58</v>
      </c>
      <c r="S437" s="14" t="n">
        <v>799.58</v>
      </c>
      <c r="T437" s="14" t="n">
        <v>799.58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CANON-202602-004370</t>
        </is>
      </c>
      <c r="B438" s="15" t="inlineStr">
        <is>
          <t>2026-02-17</t>
        </is>
      </c>
      <c r="C438" s="15" t="inlineStr">
        <is>
          <t>Cassius Fairweather</t>
        </is>
      </c>
      <c r="D438" s="15" t="inlineStr">
        <is>
          <t>MA</t>
        </is>
      </c>
      <c r="E438" s="16" t="n">
        <v>580000</v>
      </c>
      <c r="F438" s="16" t="n">
        <v>7817.42</v>
      </c>
      <c r="G438" s="16" t="n">
        <v>977.1799999999999</v>
      </c>
      <c r="H438" s="16" t="n">
        <v>977.1799999999999</v>
      </c>
      <c r="I438" s="16">
        <f>SUM(K438:T438)</f>
        <v/>
      </c>
      <c r="J438" s="16">
        <f>F438-(G438+H438+I438)</f>
        <v/>
      </c>
      <c r="K438" s="16" t="n">
        <v>586.3099999999999</v>
      </c>
      <c r="L438" s="16" t="n">
        <v>586.3099999999999</v>
      </c>
      <c r="M438" s="16" t="n">
        <v>586.3099999999999</v>
      </c>
      <c r="N438" s="16" t="n">
        <v>586.3099999999999</v>
      </c>
      <c r="O438" s="16" t="n">
        <v>586.3099999999999</v>
      </c>
      <c r="P438" s="16" t="n">
        <v>586.3099999999999</v>
      </c>
      <c r="Q438" s="16" t="n">
        <v>586.3099999999999</v>
      </c>
      <c r="R438" s="16" t="n">
        <v>586.3099999999999</v>
      </c>
      <c r="S438" s="16" t="n">
        <v>586.3099999999999</v>
      </c>
      <c r="T438" s="16" t="n">
        <v>586.3099999999999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CANON-202602-004371</t>
        </is>
      </c>
      <c r="B439" s="3" t="inlineStr">
        <is>
          <t>2026-02-23</t>
        </is>
      </c>
      <c r="C439" s="3" t="inlineStr">
        <is>
          <t>Sunniva Underwood</t>
        </is>
      </c>
      <c r="D439" s="3" t="inlineStr">
        <is>
          <t>MS</t>
        </is>
      </c>
      <c r="E439" s="14" t="n">
        <v>460000</v>
      </c>
      <c r="F439" s="14" t="n">
        <v>10442.74</v>
      </c>
      <c r="G439" s="14" t="n">
        <v>1305.34</v>
      </c>
      <c r="H439" s="14" t="n">
        <v>1305.34</v>
      </c>
      <c r="I439" s="14">
        <f>SUM(K439:T439)</f>
        <v/>
      </c>
      <c r="J439" s="14">
        <f>F439-(G439+H439+I439)</f>
        <v/>
      </c>
      <c r="K439" s="14" t="n">
        <v>783.21</v>
      </c>
      <c r="L439" s="14" t="n">
        <v>783.21</v>
      </c>
      <c r="M439" s="14" t="n">
        <v>783.21</v>
      </c>
      <c r="N439" s="14" t="n">
        <v>783.21</v>
      </c>
      <c r="O439" s="14" t="n">
        <v>783.21</v>
      </c>
      <c r="P439" s="14" t="n">
        <v>783.21</v>
      </c>
      <c r="Q439" s="14" t="n">
        <v>783.21</v>
      </c>
      <c r="R439" s="14" t="n">
        <v>783.21</v>
      </c>
      <c r="S439" s="14" t="n">
        <v>783.21</v>
      </c>
      <c r="T439" s="14" t="n">
        <v>783.21</v>
      </c>
      <c r="U439" s="14" t="n">
        <v>350</v>
      </c>
      <c r="V439" s="14" t="n">
        <v>0</v>
      </c>
      <c r="W439" s="14">
        <f>U439+V439</f>
        <v/>
      </c>
    </row>
    <row r="440">
      <c r="A440" s="15" t="inlineStr">
        <is>
          <t>CANON-202602-004374</t>
        </is>
      </c>
      <c r="B440" s="15" t="inlineStr">
        <is>
          <t>2026-02-23</t>
        </is>
      </c>
      <c r="C440" s="15" t="inlineStr">
        <is>
          <t>Desmond Harrington</t>
        </is>
      </c>
      <c r="D440" s="15" t="inlineStr">
        <is>
          <t>MO</t>
        </is>
      </c>
      <c r="E440" s="16" t="n">
        <v>490000</v>
      </c>
      <c r="F440" s="16" t="n">
        <v>6462.12</v>
      </c>
      <c r="G440" s="16" t="n">
        <v>807.76</v>
      </c>
      <c r="H440" s="16" t="n">
        <v>807.76</v>
      </c>
      <c r="I440" s="16">
        <f>SUM(K440:T440)</f>
        <v/>
      </c>
      <c r="J440" s="16">
        <f>F440-(G440+H440+I440)</f>
        <v/>
      </c>
      <c r="K440" s="16" t="n">
        <v>484.66</v>
      </c>
      <c r="L440" s="16" t="n">
        <v>484.66</v>
      </c>
      <c r="M440" s="16" t="n">
        <v>484.66</v>
      </c>
      <c r="N440" s="16" t="n">
        <v>484.66</v>
      </c>
      <c r="O440" s="16" t="n">
        <v>484.66</v>
      </c>
      <c r="P440" s="16" t="n">
        <v>484.66</v>
      </c>
      <c r="Q440" s="16" t="n">
        <v>484.66</v>
      </c>
      <c r="R440" s="16" t="n">
        <v>484.66</v>
      </c>
      <c r="S440" s="16" t="n">
        <v>484.66</v>
      </c>
      <c r="T440" s="16" t="n">
        <v>484.66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CANON-202602-004376</t>
        </is>
      </c>
      <c r="B441" s="3" t="inlineStr">
        <is>
          <t>2026-02-09</t>
        </is>
      </c>
      <c r="C441" s="3" t="inlineStr">
        <is>
          <t>Wilhelmina Underwood</t>
        </is>
      </c>
      <c r="D441" s="3" t="inlineStr">
        <is>
          <t>UT</t>
        </is>
      </c>
      <c r="E441" s="14" t="n">
        <v>730000</v>
      </c>
      <c r="F441" s="14" t="n">
        <v>10626.29</v>
      </c>
      <c r="G441" s="14" t="n">
        <v>1328.29</v>
      </c>
      <c r="H441" s="14" t="n">
        <v>1328.29</v>
      </c>
      <c r="I441" s="14">
        <f>SUM(K441:T441)</f>
        <v/>
      </c>
      <c r="J441" s="14">
        <f>F441-(G441+H441+I441)</f>
        <v/>
      </c>
      <c r="K441" s="14" t="n">
        <v>796.97</v>
      </c>
      <c r="L441" s="14" t="n">
        <v>796.97</v>
      </c>
      <c r="M441" s="14" t="n">
        <v>796.97</v>
      </c>
      <c r="N441" s="14" t="n">
        <v>796.97</v>
      </c>
      <c r="O441" s="14" t="n">
        <v>796.97</v>
      </c>
      <c r="P441" s="14" t="n">
        <v>796.97</v>
      </c>
      <c r="Q441" s="14" t="n">
        <v>796.97</v>
      </c>
      <c r="R441" s="14" t="n">
        <v>796.97</v>
      </c>
      <c r="S441" s="14" t="n">
        <v>796.97</v>
      </c>
      <c r="T441" s="14" t="n">
        <v>796.97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CANON-202602-004377</t>
        </is>
      </c>
      <c r="B442" s="15" t="inlineStr">
        <is>
          <t>2026-02-28</t>
        </is>
      </c>
      <c r="C442" s="15" t="inlineStr">
        <is>
          <t>Desmond Larsson</t>
        </is>
      </c>
      <c r="D442" s="15" t="inlineStr">
        <is>
          <t>IN</t>
        </is>
      </c>
      <c r="E442" s="16" t="n">
        <v>1315000</v>
      </c>
      <c r="F442" s="16" t="n">
        <v>21465.09</v>
      </c>
      <c r="G442" s="16" t="n">
        <v>2683.14</v>
      </c>
      <c r="H442" s="16" t="n">
        <v>2683.14</v>
      </c>
      <c r="I442" s="16">
        <f>SUM(K442:T442)</f>
        <v/>
      </c>
      <c r="J442" s="16">
        <f>F442-(G442+H442+I442)</f>
        <v/>
      </c>
      <c r="K442" s="16" t="n">
        <v>1609.88</v>
      </c>
      <c r="L442" s="16" t="n">
        <v>1609.88</v>
      </c>
      <c r="M442" s="16" t="n">
        <v>1609.88</v>
      </c>
      <c r="N442" s="16" t="n">
        <v>1609.88</v>
      </c>
      <c r="O442" s="16" t="n">
        <v>1609.88</v>
      </c>
      <c r="P442" s="16" t="n">
        <v>1609.88</v>
      </c>
      <c r="Q442" s="16" t="n">
        <v>1609.88</v>
      </c>
      <c r="R442" s="16" t="n">
        <v>1609.88</v>
      </c>
      <c r="S442" s="16" t="n">
        <v>1609.88</v>
      </c>
      <c r="T442" s="16" t="n">
        <v>1609.88</v>
      </c>
      <c r="U442" s="16" t="n">
        <v>350</v>
      </c>
      <c r="V442" s="16" t="n">
        <v>250</v>
      </c>
      <c r="W442" s="16">
        <f>U442+V442</f>
        <v/>
      </c>
    </row>
    <row r="443">
      <c r="A443" s="3" t="inlineStr">
        <is>
          <t>CANON-202602-004379</t>
        </is>
      </c>
      <c r="B443" s="3" t="inlineStr">
        <is>
          <t>2026-02-18</t>
        </is>
      </c>
      <c r="C443" s="3" t="inlineStr">
        <is>
          <t>Leopold Vasquez</t>
        </is>
      </c>
      <c r="D443" s="3" t="inlineStr">
        <is>
          <t>DE</t>
        </is>
      </c>
      <c r="E443" s="14" t="n">
        <v>965000</v>
      </c>
      <c r="F443" s="14" t="n">
        <v>19009.59</v>
      </c>
      <c r="G443" s="14" t="n">
        <v>2376.2</v>
      </c>
      <c r="H443" s="14" t="n">
        <v>2376.2</v>
      </c>
      <c r="I443" s="14">
        <f>SUM(K443:T443)</f>
        <v/>
      </c>
      <c r="J443" s="14">
        <f>F443-(G443+H443+I443)</f>
        <v/>
      </c>
      <c r="K443" s="14" t="n">
        <v>1425.72</v>
      </c>
      <c r="L443" s="14" t="n">
        <v>1425.72</v>
      </c>
      <c r="M443" s="14" t="n">
        <v>1425.72</v>
      </c>
      <c r="N443" s="14" t="n">
        <v>1425.72</v>
      </c>
      <c r="O443" s="14" t="n">
        <v>1425.72</v>
      </c>
      <c r="P443" s="14" t="n">
        <v>1425.72</v>
      </c>
      <c r="Q443" s="14" t="n">
        <v>1425.72</v>
      </c>
      <c r="R443" s="14" t="n">
        <v>1425.72</v>
      </c>
      <c r="S443" s="14" t="n">
        <v>1425.72</v>
      </c>
      <c r="T443" s="14" t="n">
        <v>1425.72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CANON-202602-004380</t>
        </is>
      </c>
      <c r="B444" s="15" t="inlineStr">
        <is>
          <t>2026-02-21</t>
        </is>
      </c>
      <c r="C444" s="15" t="inlineStr">
        <is>
          <t>Marisol Merriweather</t>
        </is>
      </c>
      <c r="D444" s="15" t="inlineStr">
        <is>
          <t>ID</t>
        </is>
      </c>
      <c r="E444" s="16" t="n">
        <v>1050000</v>
      </c>
      <c r="F444" s="16" t="n">
        <v>9484.16</v>
      </c>
      <c r="G444" s="16" t="n">
        <v>1185.52</v>
      </c>
      <c r="H444" s="16" t="n">
        <v>1185.52</v>
      </c>
      <c r="I444" s="16">
        <f>SUM(K444:T444)</f>
        <v/>
      </c>
      <c r="J444" s="16">
        <f>F444-(G444+H444+I444)</f>
        <v/>
      </c>
      <c r="K444" s="16" t="n">
        <v>711.3099999999999</v>
      </c>
      <c r="L444" s="16" t="n">
        <v>711.3099999999999</v>
      </c>
      <c r="M444" s="16" t="n">
        <v>711.3099999999999</v>
      </c>
      <c r="N444" s="16" t="n">
        <v>711.3099999999999</v>
      </c>
      <c r="O444" s="16" t="n">
        <v>711.3099999999999</v>
      </c>
      <c r="P444" s="16" t="n">
        <v>711.3099999999999</v>
      </c>
      <c r="Q444" s="16" t="n">
        <v>711.3099999999999</v>
      </c>
      <c r="R444" s="16" t="n">
        <v>711.3099999999999</v>
      </c>
      <c r="S444" s="16" t="n">
        <v>711.3099999999999</v>
      </c>
      <c r="T444" s="16" t="n">
        <v>711.3099999999999</v>
      </c>
      <c r="U444" s="16" t="n">
        <v>350</v>
      </c>
      <c r="V444" s="16" t="n">
        <v>250</v>
      </c>
      <c r="W444" s="16">
        <f>U444+V444</f>
        <v/>
      </c>
    </row>
    <row r="445">
      <c r="A445" s="3" t="inlineStr">
        <is>
          <t>CANON-202602-004381</t>
        </is>
      </c>
      <c r="B445" s="3" t="inlineStr">
        <is>
          <t>2026-02-27</t>
        </is>
      </c>
      <c r="C445" s="3" t="inlineStr">
        <is>
          <t>Noor Fairweather</t>
        </is>
      </c>
      <c r="D445" s="3" t="inlineStr">
        <is>
          <t>CO</t>
        </is>
      </c>
      <c r="E445" s="14" t="n">
        <v>285000</v>
      </c>
      <c r="F445" s="14" t="n">
        <v>4576.48</v>
      </c>
      <c r="G445" s="14" t="n">
        <v>572.0599999999999</v>
      </c>
      <c r="H445" s="14" t="n">
        <v>572.0599999999999</v>
      </c>
      <c r="I445" s="14">
        <f>SUM(K445:T445)</f>
        <v/>
      </c>
      <c r="J445" s="14">
        <f>F445-(G445+H445+I445)</f>
        <v/>
      </c>
      <c r="K445" s="14" t="n">
        <v>343.24</v>
      </c>
      <c r="L445" s="14" t="n">
        <v>343.24</v>
      </c>
      <c r="M445" s="14" t="n">
        <v>343.24</v>
      </c>
      <c r="N445" s="14" t="n">
        <v>343.24</v>
      </c>
      <c r="O445" s="14" t="n">
        <v>343.24</v>
      </c>
      <c r="P445" s="14" t="n">
        <v>343.24</v>
      </c>
      <c r="Q445" s="14" t="n">
        <v>343.24</v>
      </c>
      <c r="R445" s="14" t="n">
        <v>343.24</v>
      </c>
      <c r="S445" s="14" t="n">
        <v>343.24</v>
      </c>
      <c r="T445" s="14" t="n">
        <v>343.24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CANON-202602-004382</t>
        </is>
      </c>
      <c r="B446" s="15" t="inlineStr">
        <is>
          <t>2026-02-08</t>
        </is>
      </c>
      <c r="C446" s="15" t="inlineStr">
        <is>
          <t>Thaddeus Vandermeer</t>
        </is>
      </c>
      <c r="D446" s="15" t="inlineStr">
        <is>
          <t>NY</t>
        </is>
      </c>
      <c r="E446" s="16" t="n">
        <v>255000</v>
      </c>
      <c r="F446" s="16" t="n">
        <v>4060.91</v>
      </c>
      <c r="G446" s="16" t="n">
        <v>507.61</v>
      </c>
      <c r="H446" s="16" t="n">
        <v>507.61</v>
      </c>
      <c r="I446" s="16">
        <f>SUM(K446:T446)</f>
        <v/>
      </c>
      <c r="J446" s="16">
        <f>F446-(G446+H446+I446)</f>
        <v/>
      </c>
      <c r="K446" s="16" t="n">
        <v>304.57</v>
      </c>
      <c r="L446" s="16" t="n">
        <v>304.57</v>
      </c>
      <c r="M446" s="16" t="n">
        <v>304.57</v>
      </c>
      <c r="N446" s="16" t="n">
        <v>304.57</v>
      </c>
      <c r="O446" s="16" t="n">
        <v>304.57</v>
      </c>
      <c r="P446" s="16" t="n">
        <v>304.57</v>
      </c>
      <c r="Q446" s="16" t="n">
        <v>304.57</v>
      </c>
      <c r="R446" s="16" t="n">
        <v>304.57</v>
      </c>
      <c r="S446" s="16" t="n">
        <v>304.57</v>
      </c>
      <c r="T446" s="16" t="n">
        <v>304.57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CANON-202602-004384</t>
        </is>
      </c>
      <c r="B447" s="3" t="inlineStr">
        <is>
          <t>2026-02-10</t>
        </is>
      </c>
      <c r="C447" s="3" t="inlineStr">
        <is>
          <t>Saoirse Vandermeer</t>
        </is>
      </c>
      <c r="D447" s="3" t="inlineStr">
        <is>
          <t>IL</t>
        </is>
      </c>
      <c r="E447" s="14" t="n">
        <v>485000</v>
      </c>
      <c r="F447" s="14" t="n">
        <v>8206.42</v>
      </c>
      <c r="G447" s="14" t="n">
        <v>1025.8</v>
      </c>
      <c r="H447" s="14" t="n">
        <v>1025.8</v>
      </c>
      <c r="I447" s="14">
        <f>SUM(K447:T447)</f>
        <v/>
      </c>
      <c r="J447" s="14">
        <f>F447-(G447+H447+I447)</f>
        <v/>
      </c>
      <c r="K447" s="14" t="n">
        <v>615.48</v>
      </c>
      <c r="L447" s="14" t="n">
        <v>615.48</v>
      </c>
      <c r="M447" s="14" t="n">
        <v>615.48</v>
      </c>
      <c r="N447" s="14" t="n">
        <v>615.48</v>
      </c>
      <c r="O447" s="14" t="n">
        <v>615.48</v>
      </c>
      <c r="P447" s="14" t="n">
        <v>615.48</v>
      </c>
      <c r="Q447" s="14" t="n">
        <v>615.48</v>
      </c>
      <c r="R447" s="14" t="n">
        <v>615.48</v>
      </c>
      <c r="S447" s="14" t="n">
        <v>615.48</v>
      </c>
      <c r="T447" s="14" t="n">
        <v>615.48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CANON-202602-004385</t>
        </is>
      </c>
      <c r="B448" s="15" t="inlineStr">
        <is>
          <t>2026-02-04</t>
        </is>
      </c>
      <c r="C448" s="15" t="inlineStr">
        <is>
          <t>Fitzgerald Underwood</t>
        </is>
      </c>
      <c r="D448" s="15" t="inlineStr">
        <is>
          <t>KY</t>
        </is>
      </c>
      <c r="E448" s="16" t="n">
        <v>420000</v>
      </c>
      <c r="F448" s="16" t="n">
        <v>7002.08</v>
      </c>
      <c r="G448" s="16" t="n">
        <v>875.26</v>
      </c>
      <c r="H448" s="16" t="n">
        <v>875.26</v>
      </c>
      <c r="I448" s="16">
        <f>SUM(K448:T448)</f>
        <v/>
      </c>
      <c r="J448" s="16">
        <f>F448-(G448+H448+I448)</f>
        <v/>
      </c>
      <c r="K448" s="16" t="n">
        <v>525.16</v>
      </c>
      <c r="L448" s="16" t="n">
        <v>525.16</v>
      </c>
      <c r="M448" s="16" t="n">
        <v>525.16</v>
      </c>
      <c r="N448" s="16" t="n">
        <v>525.16</v>
      </c>
      <c r="O448" s="16" t="n">
        <v>525.16</v>
      </c>
      <c r="P448" s="16" t="n">
        <v>525.16</v>
      </c>
      <c r="Q448" s="16" t="n">
        <v>525.16</v>
      </c>
      <c r="R448" s="16" t="n">
        <v>525.16</v>
      </c>
      <c r="S448" s="16" t="n">
        <v>525.16</v>
      </c>
      <c r="T448" s="16" t="n">
        <v>525.16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CANON-202602-004386</t>
        </is>
      </c>
      <c r="B449" s="3" t="inlineStr">
        <is>
          <t>2026-02-02</t>
        </is>
      </c>
      <c r="C449" s="3" t="inlineStr">
        <is>
          <t>Mireille Nakashima</t>
        </is>
      </c>
      <c r="D449" s="3" t="inlineStr">
        <is>
          <t>WA</t>
        </is>
      </c>
      <c r="E449" s="14" t="n">
        <v>1000000</v>
      </c>
      <c r="F449" s="14" t="n">
        <v>6051.55</v>
      </c>
      <c r="G449" s="14" t="n">
        <v>756.4400000000001</v>
      </c>
      <c r="H449" s="14" t="n">
        <v>756.4400000000001</v>
      </c>
      <c r="I449" s="14">
        <f>SUM(K449:T449)</f>
        <v/>
      </c>
      <c r="J449" s="14">
        <f>F449-(G449+H449+I449)</f>
        <v/>
      </c>
      <c r="K449" s="14" t="n">
        <v>453.87</v>
      </c>
      <c r="L449" s="14" t="n">
        <v>453.87</v>
      </c>
      <c r="M449" s="14" t="n">
        <v>453.87</v>
      </c>
      <c r="N449" s="14" t="n">
        <v>453.87</v>
      </c>
      <c r="O449" s="14" t="n">
        <v>453.87</v>
      </c>
      <c r="P449" s="14" t="n">
        <v>453.87</v>
      </c>
      <c r="Q449" s="14" t="n">
        <v>453.87</v>
      </c>
      <c r="R449" s="14" t="n">
        <v>453.87</v>
      </c>
      <c r="S449" s="14" t="n">
        <v>453.87</v>
      </c>
      <c r="T449" s="14" t="n">
        <v>453.87</v>
      </c>
      <c r="U449" s="14" t="n">
        <v>350</v>
      </c>
      <c r="V449" s="14" t="n">
        <v>250</v>
      </c>
      <c r="W449" s="14">
        <f>U449+V449</f>
        <v/>
      </c>
    </row>
    <row r="450">
      <c r="A450" s="15" t="inlineStr">
        <is>
          <t>CANON-202602-004387</t>
        </is>
      </c>
      <c r="B450" s="15" t="inlineStr">
        <is>
          <t>2026-02-17</t>
        </is>
      </c>
      <c r="C450" s="15" t="inlineStr">
        <is>
          <t>Horace Merriweather</t>
        </is>
      </c>
      <c r="D450" s="15" t="inlineStr">
        <is>
          <t>SC</t>
        </is>
      </c>
      <c r="E450" s="16" t="n">
        <v>685000</v>
      </c>
      <c r="F450" s="16" t="n">
        <v>9158.780000000001</v>
      </c>
      <c r="G450" s="16" t="n">
        <v>1144.85</v>
      </c>
      <c r="H450" s="16" t="n">
        <v>1144.85</v>
      </c>
      <c r="I450" s="16">
        <f>SUM(K450:T450)</f>
        <v/>
      </c>
      <c r="J450" s="16">
        <f>F450-(G450+H450+I450)</f>
        <v/>
      </c>
      <c r="K450" s="16" t="n">
        <v>686.91</v>
      </c>
      <c r="L450" s="16" t="n">
        <v>686.91</v>
      </c>
      <c r="M450" s="16" t="n">
        <v>686.91</v>
      </c>
      <c r="N450" s="16" t="n">
        <v>686.91</v>
      </c>
      <c r="O450" s="16" t="n">
        <v>686.91</v>
      </c>
      <c r="P450" s="16" t="n">
        <v>686.91</v>
      </c>
      <c r="Q450" s="16" t="n">
        <v>686.91</v>
      </c>
      <c r="R450" s="16" t="n">
        <v>686.91</v>
      </c>
      <c r="S450" s="16" t="n">
        <v>686.91</v>
      </c>
      <c r="T450" s="16" t="n">
        <v>686.91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CANON-202602-004388</t>
        </is>
      </c>
      <c r="B451" s="3" t="inlineStr">
        <is>
          <t>2026-02-22</t>
        </is>
      </c>
      <c r="C451" s="3" t="inlineStr">
        <is>
          <t>Cassius Chattopadhyay</t>
        </is>
      </c>
      <c r="D451" s="3" t="inlineStr">
        <is>
          <t>IA</t>
        </is>
      </c>
      <c r="E451" s="14" t="n">
        <v>255000</v>
      </c>
      <c r="F451" s="14" t="n">
        <v>3489.84</v>
      </c>
      <c r="G451" s="14" t="n">
        <v>436.23</v>
      </c>
      <c r="H451" s="14" t="n">
        <v>436.23</v>
      </c>
      <c r="I451" s="14">
        <f>SUM(K451:T451)</f>
        <v/>
      </c>
      <c r="J451" s="14">
        <f>F451-(G451+H451+I451)</f>
        <v/>
      </c>
      <c r="K451" s="14" t="n">
        <v>261.74</v>
      </c>
      <c r="L451" s="14" t="n">
        <v>261.74</v>
      </c>
      <c r="M451" s="14" t="n">
        <v>261.74</v>
      </c>
      <c r="N451" s="14" t="n">
        <v>261.74</v>
      </c>
      <c r="O451" s="14" t="n">
        <v>261.74</v>
      </c>
      <c r="P451" s="14" t="n">
        <v>261.74</v>
      </c>
      <c r="Q451" s="14" t="n">
        <v>261.74</v>
      </c>
      <c r="R451" s="14" t="n">
        <v>261.74</v>
      </c>
      <c r="S451" s="14" t="n">
        <v>261.74</v>
      </c>
      <c r="T451" s="14" t="n">
        <v>261.74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CANON-202602-004389</t>
        </is>
      </c>
      <c r="B452" s="15" t="inlineStr">
        <is>
          <t>2026-02-16</t>
        </is>
      </c>
      <c r="C452" s="15" t="inlineStr">
        <is>
          <t>Noor Chattopadhyay</t>
        </is>
      </c>
      <c r="D452" s="15" t="inlineStr">
        <is>
          <t>AK</t>
        </is>
      </c>
      <c r="E452" s="16" t="n">
        <v>775000</v>
      </c>
      <c r="F452" s="16" t="n">
        <v>9526.469999999999</v>
      </c>
      <c r="G452" s="16" t="n">
        <v>1190.81</v>
      </c>
      <c r="H452" s="16" t="n">
        <v>1190.81</v>
      </c>
      <c r="I452" s="16">
        <f>SUM(K452:T452)</f>
        <v/>
      </c>
      <c r="J452" s="16">
        <f>F452-(G452+H452+I452)</f>
        <v/>
      </c>
      <c r="K452" s="16" t="n">
        <v>714.49</v>
      </c>
      <c r="L452" s="16" t="n">
        <v>714.49</v>
      </c>
      <c r="M452" s="16" t="n">
        <v>714.49</v>
      </c>
      <c r="N452" s="16" t="n">
        <v>714.49</v>
      </c>
      <c r="O452" s="16" t="n">
        <v>714.49</v>
      </c>
      <c r="P452" s="16" t="n">
        <v>714.49</v>
      </c>
      <c r="Q452" s="16" t="n">
        <v>714.49</v>
      </c>
      <c r="R452" s="16" t="n">
        <v>714.49</v>
      </c>
      <c r="S452" s="16" t="n">
        <v>714.49</v>
      </c>
      <c r="T452" s="16" t="n">
        <v>714.49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CANON-202602-004391</t>
        </is>
      </c>
      <c r="B453" s="3" t="inlineStr">
        <is>
          <t>2026-02-14</t>
        </is>
      </c>
      <c r="C453" s="3" t="inlineStr">
        <is>
          <t>Saoirse Okonkwo</t>
        </is>
      </c>
      <c r="D453" s="3" t="inlineStr">
        <is>
          <t>MN</t>
        </is>
      </c>
      <c r="E453" s="14" t="n">
        <v>875000</v>
      </c>
      <c r="F453" s="14" t="n">
        <v>18201.93</v>
      </c>
      <c r="G453" s="14" t="n">
        <v>2275.24</v>
      </c>
      <c r="H453" s="14" t="n">
        <v>2275.24</v>
      </c>
      <c r="I453" s="14">
        <f>SUM(K453:T453)</f>
        <v/>
      </c>
      <c r="J453" s="14">
        <f>F453-(G453+H453+I453)</f>
        <v/>
      </c>
      <c r="K453" s="14" t="n">
        <v>1365.14</v>
      </c>
      <c r="L453" s="14" t="n">
        <v>1365.14</v>
      </c>
      <c r="M453" s="14" t="n">
        <v>1365.14</v>
      </c>
      <c r="N453" s="14" t="n">
        <v>1365.14</v>
      </c>
      <c r="O453" s="14" t="n">
        <v>1365.14</v>
      </c>
      <c r="P453" s="14" t="n">
        <v>1365.14</v>
      </c>
      <c r="Q453" s="14" t="n">
        <v>1365.14</v>
      </c>
      <c r="R453" s="14" t="n">
        <v>1365.14</v>
      </c>
      <c r="S453" s="14" t="n">
        <v>1365.14</v>
      </c>
      <c r="T453" s="14" t="n">
        <v>1365.14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CANON-202602-004392</t>
        </is>
      </c>
      <c r="B454" s="15" t="inlineStr">
        <is>
          <t>2026-02-19</t>
        </is>
      </c>
      <c r="C454" s="15" t="inlineStr">
        <is>
          <t>Noor Fairweather</t>
        </is>
      </c>
      <c r="D454" s="15" t="inlineStr">
        <is>
          <t>CA</t>
        </is>
      </c>
      <c r="E454" s="16" t="n">
        <v>490000</v>
      </c>
      <c r="F454" s="16" t="n">
        <v>8230.059999999999</v>
      </c>
      <c r="G454" s="16" t="n">
        <v>1028.76</v>
      </c>
      <c r="H454" s="16" t="n">
        <v>1028.76</v>
      </c>
      <c r="I454" s="16">
        <f>SUM(K454:T454)</f>
        <v/>
      </c>
      <c r="J454" s="16">
        <f>F454-(G454+H454+I454)</f>
        <v/>
      </c>
      <c r="K454" s="16" t="n">
        <v>617.25</v>
      </c>
      <c r="L454" s="16" t="n">
        <v>617.25</v>
      </c>
      <c r="M454" s="16" t="n">
        <v>617.25</v>
      </c>
      <c r="N454" s="16" t="n">
        <v>617.25</v>
      </c>
      <c r="O454" s="16" t="n">
        <v>617.25</v>
      </c>
      <c r="P454" s="16" t="n">
        <v>617.25</v>
      </c>
      <c r="Q454" s="16" t="n">
        <v>617.25</v>
      </c>
      <c r="R454" s="16" t="n">
        <v>617.25</v>
      </c>
      <c r="S454" s="16" t="n">
        <v>617.25</v>
      </c>
      <c r="T454" s="16" t="n">
        <v>617.25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CANON-202602-004393</t>
        </is>
      </c>
      <c r="B455" s="3" t="inlineStr">
        <is>
          <t>2026-02-23</t>
        </is>
      </c>
      <c r="C455" s="3" t="inlineStr">
        <is>
          <t>Fenwick Ashcombe</t>
        </is>
      </c>
      <c r="D455" s="3" t="inlineStr">
        <is>
          <t>AZ</t>
        </is>
      </c>
      <c r="E455" s="14" t="n">
        <v>420000</v>
      </c>
      <c r="F455" s="14" t="n">
        <v>5277.69</v>
      </c>
      <c r="G455" s="14" t="n">
        <v>659.71</v>
      </c>
      <c r="H455" s="14" t="n">
        <v>659.71</v>
      </c>
      <c r="I455" s="14">
        <f>SUM(K455:T455)</f>
        <v/>
      </c>
      <c r="J455" s="14">
        <f>F455-(G455+H455+I455)</f>
        <v/>
      </c>
      <c r="K455" s="14" t="n">
        <v>395.83</v>
      </c>
      <c r="L455" s="14" t="n">
        <v>395.83</v>
      </c>
      <c r="M455" s="14" t="n">
        <v>395.83</v>
      </c>
      <c r="N455" s="14" t="n">
        <v>395.83</v>
      </c>
      <c r="O455" s="14" t="n">
        <v>395.83</v>
      </c>
      <c r="P455" s="14" t="n">
        <v>395.83</v>
      </c>
      <c r="Q455" s="14" t="n">
        <v>395.83</v>
      </c>
      <c r="R455" s="14" t="n">
        <v>395.83</v>
      </c>
      <c r="S455" s="14" t="n">
        <v>395.83</v>
      </c>
      <c r="T455" s="14" t="n">
        <v>395.83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CANON-202602-004394</t>
        </is>
      </c>
      <c r="B456" s="15" t="inlineStr">
        <is>
          <t>2026-02-12</t>
        </is>
      </c>
      <c r="C456" s="15" t="inlineStr">
        <is>
          <t>Beatrix Whitlock</t>
        </is>
      </c>
      <c r="D456" s="15" t="inlineStr">
        <is>
          <t>MS</t>
        </is>
      </c>
      <c r="E456" s="16" t="n">
        <v>780000</v>
      </c>
      <c r="F456" s="16" t="n">
        <v>10008.44</v>
      </c>
      <c r="G456" s="16" t="n">
        <v>1251.06</v>
      </c>
      <c r="H456" s="16" t="n">
        <v>1251.06</v>
      </c>
      <c r="I456" s="16">
        <f>SUM(K456:T456)</f>
        <v/>
      </c>
      <c r="J456" s="16">
        <f>F456-(G456+H456+I456)</f>
        <v/>
      </c>
      <c r="K456" s="16" t="n">
        <v>750.63</v>
      </c>
      <c r="L456" s="16" t="n">
        <v>750.63</v>
      </c>
      <c r="M456" s="16" t="n">
        <v>750.63</v>
      </c>
      <c r="N456" s="16" t="n">
        <v>750.63</v>
      </c>
      <c r="O456" s="16" t="n">
        <v>750.63</v>
      </c>
      <c r="P456" s="16" t="n">
        <v>750.63</v>
      </c>
      <c r="Q456" s="16" t="n">
        <v>750.63</v>
      </c>
      <c r="R456" s="16" t="n">
        <v>750.63</v>
      </c>
      <c r="S456" s="16" t="n">
        <v>750.63</v>
      </c>
      <c r="T456" s="16" t="n">
        <v>750.63</v>
      </c>
      <c r="U456" s="16" t="n">
        <v>350</v>
      </c>
      <c r="V456" s="16" t="n">
        <v>0</v>
      </c>
      <c r="W456" s="16">
        <f>U456+V456</f>
        <v/>
      </c>
    </row>
    <row r="457">
      <c r="A457" s="3" t="inlineStr">
        <is>
          <t>CANON-202602-004395</t>
        </is>
      </c>
      <c r="B457" s="3" t="inlineStr">
        <is>
          <t>2026-02-03</t>
        </is>
      </c>
      <c r="C457" s="3" t="inlineStr">
        <is>
          <t>Ingrid Rourke</t>
        </is>
      </c>
      <c r="D457" s="3" t="inlineStr">
        <is>
          <t>IL</t>
        </is>
      </c>
      <c r="E457" s="14" t="n">
        <v>360000</v>
      </c>
      <c r="F457" s="14" t="n">
        <v>6091.36</v>
      </c>
      <c r="G457" s="14" t="n">
        <v>761.42</v>
      </c>
      <c r="H457" s="14" t="n">
        <v>761.42</v>
      </c>
      <c r="I457" s="14">
        <f>SUM(K457:T457)</f>
        <v/>
      </c>
      <c r="J457" s="14">
        <f>F457-(G457+H457+I457)</f>
        <v/>
      </c>
      <c r="K457" s="14" t="n">
        <v>456.85</v>
      </c>
      <c r="L457" s="14" t="n">
        <v>456.85</v>
      </c>
      <c r="M457" s="14" t="n">
        <v>456.85</v>
      </c>
      <c r="N457" s="14" t="n">
        <v>456.85</v>
      </c>
      <c r="O457" s="14" t="n">
        <v>456.85</v>
      </c>
      <c r="P457" s="14" t="n">
        <v>456.85</v>
      </c>
      <c r="Q457" s="14" t="n">
        <v>456.85</v>
      </c>
      <c r="R457" s="14" t="n">
        <v>456.85</v>
      </c>
      <c r="S457" s="14" t="n">
        <v>456.85</v>
      </c>
      <c r="T457" s="14" t="n">
        <v>456.85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CANON-202602-004396</t>
        </is>
      </c>
      <c r="B458" s="15" t="inlineStr">
        <is>
          <t>2026-02-15</t>
        </is>
      </c>
      <c r="C458" s="15" t="inlineStr">
        <is>
          <t>Mireille Castellanos</t>
        </is>
      </c>
      <c r="D458" s="15" t="inlineStr">
        <is>
          <t>MI</t>
        </is>
      </c>
      <c r="E458" s="16" t="n">
        <v>1180000</v>
      </c>
      <c r="F458" s="16" t="n">
        <v>11529.46</v>
      </c>
      <c r="G458" s="16" t="n">
        <v>1441.18</v>
      </c>
      <c r="H458" s="16" t="n">
        <v>1441.18</v>
      </c>
      <c r="I458" s="16">
        <f>SUM(K458:T458)</f>
        <v/>
      </c>
      <c r="J458" s="16">
        <f>F458-(G458+H458+I458)</f>
        <v/>
      </c>
      <c r="K458" s="16" t="n">
        <v>864.71</v>
      </c>
      <c r="L458" s="16" t="n">
        <v>864.71</v>
      </c>
      <c r="M458" s="16" t="n">
        <v>864.71</v>
      </c>
      <c r="N458" s="16" t="n">
        <v>864.71</v>
      </c>
      <c r="O458" s="16" t="n">
        <v>864.71</v>
      </c>
      <c r="P458" s="16" t="n">
        <v>864.71</v>
      </c>
      <c r="Q458" s="16" t="n">
        <v>864.71</v>
      </c>
      <c r="R458" s="16" t="n">
        <v>864.71</v>
      </c>
      <c r="S458" s="16" t="n">
        <v>864.71</v>
      </c>
      <c r="T458" s="16" t="n">
        <v>864.71</v>
      </c>
      <c r="U458" s="16" t="n">
        <v>350</v>
      </c>
      <c r="V458" s="16" t="n">
        <v>250</v>
      </c>
      <c r="W458" s="16">
        <f>U458+V458</f>
        <v/>
      </c>
    </row>
    <row r="459">
      <c r="A459" s="3" t="inlineStr">
        <is>
          <t>CANON-202602-004398</t>
        </is>
      </c>
      <c r="B459" s="3" t="inlineStr">
        <is>
          <t>2026-02-17</t>
        </is>
      </c>
      <c r="C459" s="3" t="inlineStr">
        <is>
          <t>Sunniva Pennington</t>
        </is>
      </c>
      <c r="D459" s="3" t="inlineStr">
        <is>
          <t>AK</t>
        </is>
      </c>
      <c r="E459" s="14" t="n">
        <v>550000</v>
      </c>
      <c r="F459" s="14" t="n">
        <v>6760.71</v>
      </c>
      <c r="G459" s="14" t="n">
        <v>845.09</v>
      </c>
      <c r="H459" s="14" t="n">
        <v>845.09</v>
      </c>
      <c r="I459" s="14">
        <f>SUM(K459:T459)</f>
        <v/>
      </c>
      <c r="J459" s="14">
        <f>F459-(G459+H459+I459)</f>
        <v/>
      </c>
      <c r="K459" s="14" t="n">
        <v>507.05</v>
      </c>
      <c r="L459" s="14" t="n">
        <v>507.05</v>
      </c>
      <c r="M459" s="14" t="n">
        <v>507.05</v>
      </c>
      <c r="N459" s="14" t="n">
        <v>507.05</v>
      </c>
      <c r="O459" s="14" t="n">
        <v>507.05</v>
      </c>
      <c r="P459" s="14" t="n">
        <v>507.05</v>
      </c>
      <c r="Q459" s="14" t="n">
        <v>507.05</v>
      </c>
      <c r="R459" s="14" t="n">
        <v>507.05</v>
      </c>
      <c r="S459" s="14" t="n">
        <v>507.05</v>
      </c>
      <c r="T459" s="14" t="n">
        <v>507.05</v>
      </c>
      <c r="U459" s="14" t="n">
        <v>350</v>
      </c>
      <c r="V459" s="14" t="n">
        <v>0</v>
      </c>
      <c r="W459" s="14">
        <f>U459+V459</f>
        <v/>
      </c>
    </row>
    <row r="460">
      <c r="A460" s="15" t="inlineStr">
        <is>
          <t>CANON-202602-004399</t>
        </is>
      </c>
      <c r="B460" s="15" t="inlineStr">
        <is>
          <t>2026-02-14</t>
        </is>
      </c>
      <c r="C460" s="15" t="inlineStr">
        <is>
          <t>Noor Delacroix</t>
        </is>
      </c>
      <c r="D460" s="15" t="inlineStr">
        <is>
          <t>CT</t>
        </is>
      </c>
      <c r="E460" s="16" t="n">
        <v>300000</v>
      </c>
      <c r="F460" s="16" t="n">
        <v>4180.35</v>
      </c>
      <c r="G460" s="16" t="n">
        <v>522.54</v>
      </c>
      <c r="H460" s="16" t="n">
        <v>522.54</v>
      </c>
      <c r="I460" s="16">
        <f>SUM(K460:T460)</f>
        <v/>
      </c>
      <c r="J460" s="16">
        <f>F460-(G460+H460+I460)</f>
        <v/>
      </c>
      <c r="K460" s="16" t="n">
        <v>313.53</v>
      </c>
      <c r="L460" s="16" t="n">
        <v>313.53</v>
      </c>
      <c r="M460" s="16" t="n">
        <v>313.53</v>
      </c>
      <c r="N460" s="16" t="n">
        <v>313.53</v>
      </c>
      <c r="O460" s="16" t="n">
        <v>313.53</v>
      </c>
      <c r="P460" s="16" t="n">
        <v>313.53</v>
      </c>
      <c r="Q460" s="16" t="n">
        <v>313.53</v>
      </c>
      <c r="R460" s="16" t="n">
        <v>313.53</v>
      </c>
      <c r="S460" s="16" t="n">
        <v>313.53</v>
      </c>
      <c r="T460" s="16" t="n">
        <v>313.53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CANON-202602-004400</t>
        </is>
      </c>
      <c r="B461" s="3" t="inlineStr">
        <is>
          <t>2026-02-26</t>
        </is>
      </c>
      <c r="C461" s="3" t="inlineStr">
        <is>
          <t>Ingrid Vasquez</t>
        </is>
      </c>
      <c r="D461" s="3" t="inlineStr">
        <is>
          <t>IA</t>
        </is>
      </c>
      <c r="E461" s="14" t="n">
        <v>215000</v>
      </c>
      <c r="F461" s="14" t="n">
        <v>3609.36</v>
      </c>
      <c r="G461" s="14" t="n">
        <v>451.17</v>
      </c>
      <c r="H461" s="14" t="n">
        <v>451.17</v>
      </c>
      <c r="I461" s="14">
        <f>SUM(K461:T461)</f>
        <v/>
      </c>
      <c r="J461" s="14">
        <f>F461-(G461+H461+I461)</f>
        <v/>
      </c>
      <c r="K461" s="14" t="n">
        <v>270.7</v>
      </c>
      <c r="L461" s="14" t="n">
        <v>270.7</v>
      </c>
      <c r="M461" s="14" t="n">
        <v>270.7</v>
      </c>
      <c r="N461" s="14" t="n">
        <v>270.7</v>
      </c>
      <c r="O461" s="14" t="n">
        <v>270.7</v>
      </c>
      <c r="P461" s="14" t="n">
        <v>270.7</v>
      </c>
      <c r="Q461" s="14" t="n">
        <v>270.7</v>
      </c>
      <c r="R461" s="14" t="n">
        <v>270.7</v>
      </c>
      <c r="S461" s="14" t="n">
        <v>270.7</v>
      </c>
      <c r="T461" s="14" t="n">
        <v>270.7</v>
      </c>
      <c r="U461" s="14" t="n">
        <v>350</v>
      </c>
      <c r="V461" s="14" t="n">
        <v>0</v>
      </c>
      <c r="W461" s="14">
        <f>U461+V461</f>
        <v/>
      </c>
    </row>
    <row r="462">
      <c r="A462" s="15" t="inlineStr">
        <is>
          <t>CANON-202602-004401</t>
        </is>
      </c>
      <c r="B462" s="15" t="inlineStr">
        <is>
          <t>2026-02-26</t>
        </is>
      </c>
      <c r="C462" s="15" t="inlineStr">
        <is>
          <t>Fitzgerald Underwood</t>
        </is>
      </c>
      <c r="D462" s="15" t="inlineStr">
        <is>
          <t>WY</t>
        </is>
      </c>
      <c r="E462" s="16" t="n">
        <v>1170000</v>
      </c>
      <c r="F462" s="16" t="n">
        <v>16613.89</v>
      </c>
      <c r="G462" s="16" t="n">
        <v>2076.74</v>
      </c>
      <c r="H462" s="16" t="n">
        <v>2076.74</v>
      </c>
      <c r="I462" s="16">
        <f>SUM(K462:T462)</f>
        <v/>
      </c>
      <c r="J462" s="16">
        <f>F462-(G462+H462+I462)</f>
        <v/>
      </c>
      <c r="K462" s="16" t="n">
        <v>1246.04</v>
      </c>
      <c r="L462" s="16" t="n">
        <v>1246.04</v>
      </c>
      <c r="M462" s="16" t="n">
        <v>1246.04</v>
      </c>
      <c r="N462" s="16" t="n">
        <v>1246.04</v>
      </c>
      <c r="O462" s="16" t="n">
        <v>1246.04</v>
      </c>
      <c r="P462" s="16" t="n">
        <v>1246.04</v>
      </c>
      <c r="Q462" s="16" t="n">
        <v>1246.04</v>
      </c>
      <c r="R462" s="16" t="n">
        <v>1246.04</v>
      </c>
      <c r="S462" s="16" t="n">
        <v>1246.04</v>
      </c>
      <c r="T462" s="16" t="n">
        <v>1246.04</v>
      </c>
      <c r="U462" s="16" t="n">
        <v>350</v>
      </c>
      <c r="V462" s="16" t="n">
        <v>250</v>
      </c>
      <c r="W462" s="16">
        <f>U462+V462</f>
        <v/>
      </c>
    </row>
    <row r="463">
      <c r="A463" s="3" t="inlineStr">
        <is>
          <t>CANON-202602-004402</t>
        </is>
      </c>
      <c r="B463" s="3" t="inlineStr">
        <is>
          <t>2026-02-24</t>
        </is>
      </c>
      <c r="C463" s="3" t="inlineStr">
        <is>
          <t>Saoirse Ashcombe</t>
        </is>
      </c>
      <c r="D463" s="3" t="inlineStr">
        <is>
          <t>CO</t>
        </is>
      </c>
      <c r="E463" s="14" t="n">
        <v>975000</v>
      </c>
      <c r="F463" s="14" t="n">
        <v>11564.38</v>
      </c>
      <c r="G463" s="14" t="n">
        <v>1445.55</v>
      </c>
      <c r="H463" s="14" t="n">
        <v>1445.55</v>
      </c>
      <c r="I463" s="14">
        <f>SUM(K463:T463)</f>
        <v/>
      </c>
      <c r="J463" s="14">
        <f>F463-(G463+H463+I463)</f>
        <v/>
      </c>
      <c r="K463" s="14" t="n">
        <v>867.33</v>
      </c>
      <c r="L463" s="14" t="n">
        <v>867.33</v>
      </c>
      <c r="M463" s="14" t="n">
        <v>867.33</v>
      </c>
      <c r="N463" s="14" t="n">
        <v>867.33</v>
      </c>
      <c r="O463" s="14" t="n">
        <v>867.33</v>
      </c>
      <c r="P463" s="14" t="n">
        <v>867.33</v>
      </c>
      <c r="Q463" s="14" t="n">
        <v>867.33</v>
      </c>
      <c r="R463" s="14" t="n">
        <v>867.33</v>
      </c>
      <c r="S463" s="14" t="n">
        <v>867.33</v>
      </c>
      <c r="T463" s="14" t="n">
        <v>867.33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CANON-202602-004403</t>
        </is>
      </c>
      <c r="B464" s="15" t="inlineStr">
        <is>
          <t>2026-02-19</t>
        </is>
      </c>
      <c r="C464" s="15" t="inlineStr">
        <is>
          <t>Cassius Castellanos</t>
        </is>
      </c>
      <c r="D464" s="15" t="inlineStr">
        <is>
          <t>CO</t>
        </is>
      </c>
      <c r="E464" s="16" t="n">
        <v>900000</v>
      </c>
      <c r="F464" s="16" t="n">
        <v>15601.65</v>
      </c>
      <c r="G464" s="16" t="n">
        <v>1950.21</v>
      </c>
      <c r="H464" s="16" t="n">
        <v>1950.21</v>
      </c>
      <c r="I464" s="16">
        <f>SUM(K464:T464)</f>
        <v/>
      </c>
      <c r="J464" s="16">
        <f>F464-(G464+H464+I464)</f>
        <v/>
      </c>
      <c r="K464" s="16" t="n">
        <v>1170.12</v>
      </c>
      <c r="L464" s="16" t="n">
        <v>1170.12</v>
      </c>
      <c r="M464" s="16" t="n">
        <v>1170.12</v>
      </c>
      <c r="N464" s="16" t="n">
        <v>1170.12</v>
      </c>
      <c r="O464" s="16" t="n">
        <v>1170.12</v>
      </c>
      <c r="P464" s="16" t="n">
        <v>1170.12</v>
      </c>
      <c r="Q464" s="16" t="n">
        <v>1170.12</v>
      </c>
      <c r="R464" s="16" t="n">
        <v>1170.12</v>
      </c>
      <c r="S464" s="16" t="n">
        <v>1170.12</v>
      </c>
      <c r="T464" s="16" t="n">
        <v>1170.12</v>
      </c>
      <c r="U464" s="16" t="n">
        <v>350</v>
      </c>
      <c r="V464" s="16" t="n">
        <v>0</v>
      </c>
      <c r="W464" s="16">
        <f>U464+V464</f>
        <v/>
      </c>
    </row>
    <row r="465">
      <c r="A465" s="3" t="inlineStr">
        <is>
          <t>CANON-202602-004404</t>
        </is>
      </c>
      <c r="B465" s="3" t="inlineStr">
        <is>
          <t>2026-02-09</t>
        </is>
      </c>
      <c r="C465" s="3" t="inlineStr">
        <is>
          <t>Lorenzo Chattopadhyay</t>
        </is>
      </c>
      <c r="D465" s="3" t="inlineStr">
        <is>
          <t>AR</t>
        </is>
      </c>
      <c r="E465" s="14" t="n">
        <v>795000</v>
      </c>
      <c r="F465" s="14" t="n">
        <v>11829.64</v>
      </c>
      <c r="G465" s="14" t="n">
        <v>1478.7</v>
      </c>
      <c r="H465" s="14" t="n">
        <v>1478.7</v>
      </c>
      <c r="I465" s="14">
        <f>SUM(K465:T465)</f>
        <v/>
      </c>
      <c r="J465" s="14">
        <f>F465-(G465+H465+I465)</f>
        <v/>
      </c>
      <c r="K465" s="14" t="n">
        <v>887.22</v>
      </c>
      <c r="L465" s="14" t="n">
        <v>887.22</v>
      </c>
      <c r="M465" s="14" t="n">
        <v>887.22</v>
      </c>
      <c r="N465" s="14" t="n">
        <v>887.22</v>
      </c>
      <c r="O465" s="14" t="n">
        <v>887.22</v>
      </c>
      <c r="P465" s="14" t="n">
        <v>887.22</v>
      </c>
      <c r="Q465" s="14" t="n">
        <v>887.22</v>
      </c>
      <c r="R465" s="14" t="n">
        <v>887.22</v>
      </c>
      <c r="S465" s="14" t="n">
        <v>887.22</v>
      </c>
      <c r="T465" s="14" t="n">
        <v>887.22</v>
      </c>
      <c r="U465" s="14" t="n">
        <v>350</v>
      </c>
      <c r="V465" s="14" t="n">
        <v>0</v>
      </c>
      <c r="W465" s="14">
        <f>U465+V465</f>
        <v/>
      </c>
    </row>
    <row r="466">
      <c r="A466" s="15" t="inlineStr">
        <is>
          <t>CANON-202602-004405</t>
        </is>
      </c>
      <c r="B466" s="15" t="inlineStr">
        <is>
          <t>2026-02-12</t>
        </is>
      </c>
      <c r="C466" s="15" t="inlineStr">
        <is>
          <t>Fenwick Montoya</t>
        </is>
      </c>
      <c r="D466" s="15" t="inlineStr">
        <is>
          <t>NJ</t>
        </is>
      </c>
      <c r="E466" s="16" t="n">
        <v>655000</v>
      </c>
      <c r="F466" s="16" t="n">
        <v>6427</v>
      </c>
      <c r="G466" s="16" t="n">
        <v>803.38</v>
      </c>
      <c r="H466" s="16" t="n">
        <v>803.38</v>
      </c>
      <c r="I466" s="16">
        <f>SUM(K466:T466)</f>
        <v/>
      </c>
      <c r="J466" s="16">
        <f>F466-(G466+H466+I466)</f>
        <v/>
      </c>
      <c r="K466" s="16" t="n">
        <v>482.02</v>
      </c>
      <c r="L466" s="16" t="n">
        <v>482.02</v>
      </c>
      <c r="M466" s="16" t="n">
        <v>482.02</v>
      </c>
      <c r="N466" s="16" t="n">
        <v>482.02</v>
      </c>
      <c r="O466" s="16" t="n">
        <v>482.02</v>
      </c>
      <c r="P466" s="16" t="n">
        <v>482.02</v>
      </c>
      <c r="Q466" s="16" t="n">
        <v>482.02</v>
      </c>
      <c r="R466" s="16" t="n">
        <v>482.02</v>
      </c>
      <c r="S466" s="16" t="n">
        <v>482.02</v>
      </c>
      <c r="T466" s="16" t="n">
        <v>482.02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CANON-202602-004406</t>
        </is>
      </c>
      <c r="B467" s="3" t="inlineStr">
        <is>
          <t>2026-02-27</t>
        </is>
      </c>
      <c r="C467" s="3" t="inlineStr">
        <is>
          <t>Fenwick Rourke</t>
        </is>
      </c>
      <c r="D467" s="3" t="inlineStr">
        <is>
          <t>WA</t>
        </is>
      </c>
      <c r="E467" s="14" t="n">
        <v>270000</v>
      </c>
      <c r="F467" s="14" t="n">
        <v>3224.84</v>
      </c>
      <c r="G467" s="14" t="n">
        <v>403.11</v>
      </c>
      <c r="H467" s="14" t="n">
        <v>403.11</v>
      </c>
      <c r="I467" s="14">
        <f>SUM(K467:T467)</f>
        <v/>
      </c>
      <c r="J467" s="14">
        <f>F467-(G467+H467+I467)</f>
        <v/>
      </c>
      <c r="K467" s="14" t="n">
        <v>241.86</v>
      </c>
      <c r="L467" s="14" t="n">
        <v>241.86</v>
      </c>
      <c r="M467" s="14" t="n">
        <v>241.86</v>
      </c>
      <c r="N467" s="14" t="n">
        <v>241.86</v>
      </c>
      <c r="O467" s="14" t="n">
        <v>241.86</v>
      </c>
      <c r="P467" s="14" t="n">
        <v>241.86</v>
      </c>
      <c r="Q467" s="14" t="n">
        <v>241.86</v>
      </c>
      <c r="R467" s="14" t="n">
        <v>241.86</v>
      </c>
      <c r="S467" s="14" t="n">
        <v>241.86</v>
      </c>
      <c r="T467" s="14" t="n">
        <v>241.86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CANON-202602-004407</t>
        </is>
      </c>
      <c r="B468" s="15" t="inlineStr">
        <is>
          <t>2026-02-08</t>
        </is>
      </c>
      <c r="C468" s="15" t="inlineStr">
        <is>
          <t>Lorenzo Chattopadhyay</t>
        </is>
      </c>
      <c r="D468" s="15" t="inlineStr">
        <is>
          <t>TN</t>
        </is>
      </c>
      <c r="E468" s="16" t="n">
        <v>530000</v>
      </c>
      <c r="F468" s="16" t="n">
        <v>5600.5</v>
      </c>
      <c r="G468" s="16" t="n">
        <v>700.0599999999999</v>
      </c>
      <c r="H468" s="16" t="n">
        <v>700.0599999999999</v>
      </c>
      <c r="I468" s="16">
        <f>SUM(K468:T468)</f>
        <v/>
      </c>
      <c r="J468" s="16">
        <f>F468-(G468+H468+I468)</f>
        <v/>
      </c>
      <c r="K468" s="16" t="n">
        <v>420.04</v>
      </c>
      <c r="L468" s="16" t="n">
        <v>420.04</v>
      </c>
      <c r="M468" s="16" t="n">
        <v>420.04</v>
      </c>
      <c r="N468" s="16" t="n">
        <v>420.04</v>
      </c>
      <c r="O468" s="16" t="n">
        <v>420.04</v>
      </c>
      <c r="P468" s="16" t="n">
        <v>420.04</v>
      </c>
      <c r="Q468" s="16" t="n">
        <v>420.04</v>
      </c>
      <c r="R468" s="16" t="n">
        <v>420.04</v>
      </c>
      <c r="S468" s="16" t="n">
        <v>420.04</v>
      </c>
      <c r="T468" s="16" t="n">
        <v>420.04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CANON-202602-004408</t>
        </is>
      </c>
      <c r="B469" s="3" t="inlineStr">
        <is>
          <t>2026-02-24</t>
        </is>
      </c>
      <c r="C469" s="3" t="inlineStr">
        <is>
          <t>Ingrid Chattopadhyay</t>
        </is>
      </c>
      <c r="D469" s="3" t="inlineStr">
        <is>
          <t>MS</t>
        </is>
      </c>
      <c r="E469" s="14" t="n">
        <v>1100000</v>
      </c>
      <c r="F469" s="14" t="n">
        <v>8251.540000000001</v>
      </c>
      <c r="G469" s="14" t="n">
        <v>1031.44</v>
      </c>
      <c r="H469" s="14" t="n">
        <v>1031.44</v>
      </c>
      <c r="I469" s="14">
        <f>SUM(K469:T469)</f>
        <v/>
      </c>
      <c r="J469" s="14">
        <f>F469-(G469+H469+I469)</f>
        <v/>
      </c>
      <c r="K469" s="14" t="n">
        <v>618.87</v>
      </c>
      <c r="L469" s="14" t="n">
        <v>618.87</v>
      </c>
      <c r="M469" s="14" t="n">
        <v>618.87</v>
      </c>
      <c r="N469" s="14" t="n">
        <v>618.87</v>
      </c>
      <c r="O469" s="14" t="n">
        <v>618.87</v>
      </c>
      <c r="P469" s="14" t="n">
        <v>618.87</v>
      </c>
      <c r="Q469" s="14" t="n">
        <v>618.87</v>
      </c>
      <c r="R469" s="14" t="n">
        <v>618.87</v>
      </c>
      <c r="S469" s="14" t="n">
        <v>618.87</v>
      </c>
      <c r="T469" s="14" t="n">
        <v>618.87</v>
      </c>
      <c r="U469" s="14" t="n">
        <v>350</v>
      </c>
      <c r="V469" s="14" t="n">
        <v>250</v>
      </c>
      <c r="W469" s="14">
        <f>U469+V469</f>
        <v/>
      </c>
    </row>
    <row r="470">
      <c r="A470" s="15" t="inlineStr">
        <is>
          <t>CANON-202602-004409</t>
        </is>
      </c>
      <c r="B470" s="15" t="inlineStr">
        <is>
          <t>2026-02-02</t>
        </is>
      </c>
      <c r="C470" s="15" t="inlineStr">
        <is>
          <t>Ramona Whitlock</t>
        </is>
      </c>
      <c r="D470" s="15" t="inlineStr">
        <is>
          <t>TX</t>
        </is>
      </c>
      <c r="E470" s="16" t="n">
        <v>1105000</v>
      </c>
      <c r="F470" s="16" t="n">
        <v>11594.04</v>
      </c>
      <c r="G470" s="16" t="n">
        <v>1449.26</v>
      </c>
      <c r="H470" s="16" t="n">
        <v>1449.26</v>
      </c>
      <c r="I470" s="16">
        <f>SUM(K470:T470)</f>
        <v/>
      </c>
      <c r="J470" s="16">
        <f>F470-(G470+H470+I470)</f>
        <v/>
      </c>
      <c r="K470" s="16" t="n">
        <v>869.55</v>
      </c>
      <c r="L470" s="16" t="n">
        <v>869.55</v>
      </c>
      <c r="M470" s="16" t="n">
        <v>869.55</v>
      </c>
      <c r="N470" s="16" t="n">
        <v>869.55</v>
      </c>
      <c r="O470" s="16" t="n">
        <v>869.55</v>
      </c>
      <c r="P470" s="16" t="n">
        <v>869.55</v>
      </c>
      <c r="Q470" s="16" t="n">
        <v>869.55</v>
      </c>
      <c r="R470" s="16" t="n">
        <v>869.55</v>
      </c>
      <c r="S470" s="16" t="n">
        <v>869.55</v>
      </c>
      <c r="T470" s="16" t="n">
        <v>869.55</v>
      </c>
      <c r="U470" s="16" t="n">
        <v>350</v>
      </c>
      <c r="V470" s="16" t="n">
        <v>250</v>
      </c>
      <c r="W470" s="16">
        <f>U470+V470</f>
        <v/>
      </c>
    </row>
    <row r="471">
      <c r="A471" s="3" t="inlineStr">
        <is>
          <t>CANON-202602-004410</t>
        </is>
      </c>
      <c r="B471" s="3" t="inlineStr">
        <is>
          <t>2026-02-14</t>
        </is>
      </c>
      <c r="C471" s="3" t="inlineStr">
        <is>
          <t>Mireille Vasquez</t>
        </is>
      </c>
      <c r="D471" s="3" t="inlineStr">
        <is>
          <t>DE</t>
        </is>
      </c>
      <c r="E471" s="14" t="n">
        <v>545000</v>
      </c>
      <c r="F471" s="14" t="n">
        <v>7345.67</v>
      </c>
      <c r="G471" s="14" t="n">
        <v>918.21</v>
      </c>
      <c r="H471" s="14" t="n">
        <v>918.21</v>
      </c>
      <c r="I471" s="14">
        <f>SUM(K471:T471)</f>
        <v/>
      </c>
      <c r="J471" s="14">
        <f>F471-(G471+H471+I471)</f>
        <v/>
      </c>
      <c r="K471" s="14" t="n">
        <v>550.9299999999999</v>
      </c>
      <c r="L471" s="14" t="n">
        <v>550.9299999999999</v>
      </c>
      <c r="M471" s="14" t="n">
        <v>550.9299999999999</v>
      </c>
      <c r="N471" s="14" t="n">
        <v>550.9299999999999</v>
      </c>
      <c r="O471" s="14" t="n">
        <v>550.9299999999999</v>
      </c>
      <c r="P471" s="14" t="n">
        <v>550.9299999999999</v>
      </c>
      <c r="Q471" s="14" t="n">
        <v>550.9299999999999</v>
      </c>
      <c r="R471" s="14" t="n">
        <v>550.9299999999999</v>
      </c>
      <c r="S471" s="14" t="n">
        <v>550.9299999999999</v>
      </c>
      <c r="T471" s="14" t="n">
        <v>550.9299999999999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CANON-202602-004412</t>
        </is>
      </c>
      <c r="B472" s="15" t="inlineStr">
        <is>
          <t>2026-02-24</t>
        </is>
      </c>
      <c r="C472" s="15" t="inlineStr">
        <is>
          <t>Sunniva Okonkwo</t>
        </is>
      </c>
      <c r="D472" s="15" t="inlineStr">
        <is>
          <t>GA</t>
        </is>
      </c>
      <c r="E472" s="16" t="n">
        <v>345000</v>
      </c>
      <c r="F472" s="16" t="n">
        <v>4807.4</v>
      </c>
      <c r="G472" s="16" t="n">
        <v>600.92</v>
      </c>
      <c r="H472" s="16" t="n">
        <v>600.92</v>
      </c>
      <c r="I472" s="16">
        <f>SUM(K472:T472)</f>
        <v/>
      </c>
      <c r="J472" s="16">
        <f>F472-(G472+H472+I472)</f>
        <v/>
      </c>
      <c r="K472" s="16" t="n">
        <v>360.55</v>
      </c>
      <c r="L472" s="16" t="n">
        <v>360.55</v>
      </c>
      <c r="M472" s="16" t="n">
        <v>360.55</v>
      </c>
      <c r="N472" s="16" t="n">
        <v>360.55</v>
      </c>
      <c r="O472" s="16" t="n">
        <v>360.55</v>
      </c>
      <c r="P472" s="16" t="n">
        <v>360.55</v>
      </c>
      <c r="Q472" s="16" t="n">
        <v>360.55</v>
      </c>
      <c r="R472" s="16" t="n">
        <v>360.55</v>
      </c>
      <c r="S472" s="16" t="n">
        <v>360.55</v>
      </c>
      <c r="T472" s="16" t="n">
        <v>360.55</v>
      </c>
      <c r="U472" s="16" t="n">
        <v>350</v>
      </c>
      <c r="V472" s="16" t="n">
        <v>0</v>
      </c>
      <c r="W472" s="16">
        <f>U472+V472</f>
        <v/>
      </c>
    </row>
    <row r="473">
      <c r="A473" s="3" t="inlineStr">
        <is>
          <t>CANON-202602-004414</t>
        </is>
      </c>
      <c r="B473" s="3" t="inlineStr">
        <is>
          <t>2026-02-25</t>
        </is>
      </c>
      <c r="C473" s="3" t="inlineStr">
        <is>
          <t>Horace Merriweather</t>
        </is>
      </c>
      <c r="D473" s="3" t="inlineStr">
        <is>
          <t>CT</t>
        </is>
      </c>
      <c r="E473" s="14" t="n">
        <v>1950000</v>
      </c>
      <c r="F473" s="14" t="n">
        <v>28983.74</v>
      </c>
      <c r="G473" s="14" t="n">
        <v>3622.97</v>
      </c>
      <c r="H473" s="14" t="n">
        <v>3622.97</v>
      </c>
      <c r="I473" s="14">
        <f>SUM(K473:T473)</f>
        <v/>
      </c>
      <c r="J473" s="14">
        <f>F473-(G473+H473+I473)</f>
        <v/>
      </c>
      <c r="K473" s="14" t="n">
        <v>2173.78</v>
      </c>
      <c r="L473" s="14" t="n">
        <v>2173.78</v>
      </c>
      <c r="M473" s="14" t="n">
        <v>2173.78</v>
      </c>
      <c r="N473" s="14" t="n">
        <v>2173.78</v>
      </c>
      <c r="O473" s="14" t="n">
        <v>2173.78</v>
      </c>
      <c r="P473" s="14" t="n">
        <v>2173.78</v>
      </c>
      <c r="Q473" s="14" t="n">
        <v>2173.78</v>
      </c>
      <c r="R473" s="14" t="n">
        <v>2173.78</v>
      </c>
      <c r="S473" s="14" t="n">
        <v>2173.78</v>
      </c>
      <c r="T473" s="14" t="n">
        <v>2173.78</v>
      </c>
      <c r="U473" s="14" t="n">
        <v>350</v>
      </c>
      <c r="V473" s="14" t="n">
        <v>250</v>
      </c>
      <c r="W473" s="14">
        <f>U473+V473</f>
        <v/>
      </c>
    </row>
    <row r="474">
      <c r="A474" s="15" t="inlineStr">
        <is>
          <t>CANON-202602-004415</t>
        </is>
      </c>
      <c r="B474" s="15" t="inlineStr">
        <is>
          <t>2026-02-01</t>
        </is>
      </c>
      <c r="C474" s="15" t="inlineStr">
        <is>
          <t>Horace Bellandi</t>
        </is>
      </c>
      <c r="D474" s="15" t="inlineStr">
        <is>
          <t>FL</t>
        </is>
      </c>
      <c r="E474" s="16" t="n">
        <v>580000</v>
      </c>
      <c r="F474" s="16" t="n">
        <v>8880.58</v>
      </c>
      <c r="G474" s="16" t="n">
        <v>1110.07</v>
      </c>
      <c r="H474" s="16" t="n">
        <v>1110.07</v>
      </c>
      <c r="I474" s="16">
        <f>SUM(K474:T474)</f>
        <v/>
      </c>
      <c r="J474" s="16">
        <f>F474-(G474+H474+I474)</f>
        <v/>
      </c>
      <c r="K474" s="16" t="n">
        <v>666.04</v>
      </c>
      <c r="L474" s="16" t="n">
        <v>666.04</v>
      </c>
      <c r="M474" s="16" t="n">
        <v>666.04</v>
      </c>
      <c r="N474" s="16" t="n">
        <v>666.04</v>
      </c>
      <c r="O474" s="16" t="n">
        <v>666.04</v>
      </c>
      <c r="P474" s="16" t="n">
        <v>666.04</v>
      </c>
      <c r="Q474" s="16" t="n">
        <v>666.04</v>
      </c>
      <c r="R474" s="16" t="n">
        <v>666.04</v>
      </c>
      <c r="S474" s="16" t="n">
        <v>666.04</v>
      </c>
      <c r="T474" s="16" t="n">
        <v>666.04</v>
      </c>
      <c r="U474" s="16" t="n">
        <v>350</v>
      </c>
      <c r="V474" s="16" t="n">
        <v>0</v>
      </c>
      <c r="W474" s="16">
        <f>U474+V474</f>
        <v/>
      </c>
    </row>
    <row r="475">
      <c r="A475" s="3" t="inlineStr">
        <is>
          <t>CANON-202602-004417</t>
        </is>
      </c>
      <c r="B475" s="3" t="inlineStr">
        <is>
          <t>2026-02-08</t>
        </is>
      </c>
      <c r="C475" s="3" t="inlineStr">
        <is>
          <t>Ramona Underwood</t>
        </is>
      </c>
      <c r="D475" s="3" t="inlineStr">
        <is>
          <t>IL</t>
        </is>
      </c>
      <c r="E475" s="14" t="n">
        <v>565000</v>
      </c>
      <c r="F475" s="14" t="n">
        <v>8285.379999999999</v>
      </c>
      <c r="G475" s="14" t="n">
        <v>1035.67</v>
      </c>
      <c r="H475" s="14" t="n">
        <v>1035.67</v>
      </c>
      <c r="I475" s="14">
        <f>SUM(K475:T475)</f>
        <v/>
      </c>
      <c r="J475" s="14">
        <f>F475-(G475+H475+I475)</f>
        <v/>
      </c>
      <c r="K475" s="14" t="n">
        <v>621.4</v>
      </c>
      <c r="L475" s="14" t="n">
        <v>621.4</v>
      </c>
      <c r="M475" s="14" t="n">
        <v>621.4</v>
      </c>
      <c r="N475" s="14" t="n">
        <v>621.4</v>
      </c>
      <c r="O475" s="14" t="n">
        <v>621.4</v>
      </c>
      <c r="P475" s="14" t="n">
        <v>621.4</v>
      </c>
      <c r="Q475" s="14" t="n">
        <v>621.4</v>
      </c>
      <c r="R475" s="14" t="n">
        <v>621.4</v>
      </c>
      <c r="S475" s="14" t="n">
        <v>621.4</v>
      </c>
      <c r="T475" s="14" t="n">
        <v>621.4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CANON-202602-004418</t>
        </is>
      </c>
      <c r="B476" s="15" t="inlineStr">
        <is>
          <t>2026-02-06</t>
        </is>
      </c>
      <c r="C476" s="15" t="inlineStr">
        <is>
          <t>Everett Okonkwo</t>
        </is>
      </c>
      <c r="D476" s="15" t="inlineStr">
        <is>
          <t>NY</t>
        </is>
      </c>
      <c r="E476" s="16" t="n">
        <v>450000</v>
      </c>
      <c r="F476" s="16" t="n">
        <v>7166.31</v>
      </c>
      <c r="G476" s="16" t="n">
        <v>895.79</v>
      </c>
      <c r="H476" s="16" t="n">
        <v>895.79</v>
      </c>
      <c r="I476" s="16">
        <f>SUM(K476:T476)</f>
        <v/>
      </c>
      <c r="J476" s="16">
        <f>F476-(G476+H476+I476)</f>
        <v/>
      </c>
      <c r="K476" s="16" t="n">
        <v>537.47</v>
      </c>
      <c r="L476" s="16" t="n">
        <v>537.47</v>
      </c>
      <c r="M476" s="16" t="n">
        <v>537.47</v>
      </c>
      <c r="N476" s="16" t="n">
        <v>537.47</v>
      </c>
      <c r="O476" s="16" t="n">
        <v>537.47</v>
      </c>
      <c r="P476" s="16" t="n">
        <v>537.47</v>
      </c>
      <c r="Q476" s="16" t="n">
        <v>537.47</v>
      </c>
      <c r="R476" s="16" t="n">
        <v>537.47</v>
      </c>
      <c r="S476" s="16" t="n">
        <v>537.47</v>
      </c>
      <c r="T476" s="16" t="n">
        <v>537.47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CANON-202602-004420</t>
        </is>
      </c>
      <c r="B477" s="3" t="inlineStr">
        <is>
          <t>2026-02-17</t>
        </is>
      </c>
      <c r="C477" s="3" t="inlineStr">
        <is>
          <t>Fitzgerald Vandermeer</t>
        </is>
      </c>
      <c r="D477" s="3" t="inlineStr">
        <is>
          <t>CA</t>
        </is>
      </c>
      <c r="E477" s="14" t="n">
        <v>1270000</v>
      </c>
      <c r="F477" s="14" t="n">
        <v>22753.04</v>
      </c>
      <c r="G477" s="14" t="n">
        <v>2844.13</v>
      </c>
      <c r="H477" s="14" t="n">
        <v>2844.13</v>
      </c>
      <c r="I477" s="14">
        <f>SUM(K477:T477)</f>
        <v/>
      </c>
      <c r="J477" s="14">
        <f>F477-(G477+H477+I477)</f>
        <v/>
      </c>
      <c r="K477" s="14" t="n">
        <v>1706.48</v>
      </c>
      <c r="L477" s="14" t="n">
        <v>1706.48</v>
      </c>
      <c r="M477" s="14" t="n">
        <v>1706.48</v>
      </c>
      <c r="N477" s="14" t="n">
        <v>1706.48</v>
      </c>
      <c r="O477" s="14" t="n">
        <v>1706.48</v>
      </c>
      <c r="P477" s="14" t="n">
        <v>1706.48</v>
      </c>
      <c r="Q477" s="14" t="n">
        <v>1706.48</v>
      </c>
      <c r="R477" s="14" t="n">
        <v>1706.48</v>
      </c>
      <c r="S477" s="14" t="n">
        <v>1706.48</v>
      </c>
      <c r="T477" s="14" t="n">
        <v>1706.48</v>
      </c>
      <c r="U477" s="14" t="n">
        <v>350</v>
      </c>
      <c r="V477" s="14" t="n">
        <v>250</v>
      </c>
      <c r="W477" s="14">
        <f>U477+V477</f>
        <v/>
      </c>
    </row>
    <row r="478">
      <c r="A478" s="15" t="inlineStr">
        <is>
          <t>CANON-202602-004422</t>
        </is>
      </c>
      <c r="B478" s="15" t="inlineStr">
        <is>
          <t>2026-02-26</t>
        </is>
      </c>
      <c r="C478" s="15" t="inlineStr">
        <is>
          <t>Emiliano Montoya</t>
        </is>
      </c>
      <c r="D478" s="15" t="inlineStr">
        <is>
          <t>CO</t>
        </is>
      </c>
      <c r="E478" s="16" t="n">
        <v>535000</v>
      </c>
      <c r="F478" s="16" t="n">
        <v>6345.58</v>
      </c>
      <c r="G478" s="16" t="n">
        <v>793.2</v>
      </c>
      <c r="H478" s="16" t="n">
        <v>793.2</v>
      </c>
      <c r="I478" s="16">
        <f>SUM(K478:T478)</f>
        <v/>
      </c>
      <c r="J478" s="16">
        <f>F478-(G478+H478+I478)</f>
        <v/>
      </c>
      <c r="K478" s="16" t="n">
        <v>475.92</v>
      </c>
      <c r="L478" s="16" t="n">
        <v>475.92</v>
      </c>
      <c r="M478" s="16" t="n">
        <v>475.92</v>
      </c>
      <c r="N478" s="16" t="n">
        <v>475.92</v>
      </c>
      <c r="O478" s="16" t="n">
        <v>475.92</v>
      </c>
      <c r="P478" s="16" t="n">
        <v>475.92</v>
      </c>
      <c r="Q478" s="16" t="n">
        <v>475.92</v>
      </c>
      <c r="R478" s="16" t="n">
        <v>475.92</v>
      </c>
      <c r="S478" s="16" t="n">
        <v>475.92</v>
      </c>
      <c r="T478" s="16" t="n">
        <v>475.92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CANON-202602-004423</t>
        </is>
      </c>
      <c r="B479" s="3" t="inlineStr">
        <is>
          <t>2026-02-27</t>
        </is>
      </c>
      <c r="C479" s="3" t="inlineStr">
        <is>
          <t>Everett Harrington</t>
        </is>
      </c>
      <c r="D479" s="3" t="inlineStr">
        <is>
          <t>DE</t>
        </is>
      </c>
      <c r="E479" s="14" t="n">
        <v>305000</v>
      </c>
      <c r="F479" s="14" t="n">
        <v>4743.33</v>
      </c>
      <c r="G479" s="14" t="n">
        <v>592.92</v>
      </c>
      <c r="H479" s="14" t="n">
        <v>592.92</v>
      </c>
      <c r="I479" s="14">
        <f>SUM(K479:T479)</f>
        <v/>
      </c>
      <c r="J479" s="14">
        <f>F479-(G479+H479+I479)</f>
        <v/>
      </c>
      <c r="K479" s="14" t="n">
        <v>355.75</v>
      </c>
      <c r="L479" s="14" t="n">
        <v>355.75</v>
      </c>
      <c r="M479" s="14" t="n">
        <v>355.75</v>
      </c>
      <c r="N479" s="14" t="n">
        <v>355.75</v>
      </c>
      <c r="O479" s="14" t="n">
        <v>355.75</v>
      </c>
      <c r="P479" s="14" t="n">
        <v>355.75</v>
      </c>
      <c r="Q479" s="14" t="n">
        <v>355.75</v>
      </c>
      <c r="R479" s="14" t="n">
        <v>355.75</v>
      </c>
      <c r="S479" s="14" t="n">
        <v>355.75</v>
      </c>
      <c r="T479" s="14" t="n">
        <v>355.75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CANON-202602-004424</t>
        </is>
      </c>
      <c r="B480" s="15" t="inlineStr">
        <is>
          <t>2026-02-01</t>
        </is>
      </c>
      <c r="C480" s="15" t="inlineStr">
        <is>
          <t>Anouk Ashcombe</t>
        </is>
      </c>
      <c r="D480" s="15" t="inlineStr">
        <is>
          <t>AZ</t>
        </is>
      </c>
      <c r="E480" s="16" t="n">
        <v>320000</v>
      </c>
      <c r="F480" s="16" t="n">
        <v>4021.09</v>
      </c>
      <c r="G480" s="16" t="n">
        <v>502.64</v>
      </c>
      <c r="H480" s="16" t="n">
        <v>502.64</v>
      </c>
      <c r="I480" s="16">
        <f>SUM(K480:T480)</f>
        <v/>
      </c>
      <c r="J480" s="16">
        <f>F480-(G480+H480+I480)</f>
        <v/>
      </c>
      <c r="K480" s="16" t="n">
        <v>301.58</v>
      </c>
      <c r="L480" s="16" t="n">
        <v>301.58</v>
      </c>
      <c r="M480" s="16" t="n">
        <v>301.58</v>
      </c>
      <c r="N480" s="16" t="n">
        <v>301.58</v>
      </c>
      <c r="O480" s="16" t="n">
        <v>301.58</v>
      </c>
      <c r="P480" s="16" t="n">
        <v>301.58</v>
      </c>
      <c r="Q480" s="16" t="n">
        <v>301.58</v>
      </c>
      <c r="R480" s="16" t="n">
        <v>301.58</v>
      </c>
      <c r="S480" s="16" t="n">
        <v>301.58</v>
      </c>
      <c r="T480" s="16" t="n">
        <v>301.58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CANON-202602-004425</t>
        </is>
      </c>
      <c r="B481" s="3" t="inlineStr">
        <is>
          <t>2026-02-04</t>
        </is>
      </c>
      <c r="C481" s="3" t="inlineStr">
        <is>
          <t>Emiliano Blackwood</t>
        </is>
      </c>
      <c r="D481" s="3" t="inlineStr">
        <is>
          <t>NC</t>
        </is>
      </c>
      <c r="E481" s="14" t="n">
        <v>660000</v>
      </c>
      <c r="F481" s="14" t="n">
        <v>5414.04</v>
      </c>
      <c r="G481" s="14" t="n">
        <v>676.75</v>
      </c>
      <c r="H481" s="14" t="n">
        <v>676.75</v>
      </c>
      <c r="I481" s="14">
        <f>SUM(K481:T481)</f>
        <v/>
      </c>
      <c r="J481" s="14">
        <f>F481-(G481+H481+I481)</f>
        <v/>
      </c>
      <c r="K481" s="14" t="n">
        <v>406.05</v>
      </c>
      <c r="L481" s="14" t="n">
        <v>406.05</v>
      </c>
      <c r="M481" s="14" t="n">
        <v>406.05</v>
      </c>
      <c r="N481" s="14" t="n">
        <v>406.05</v>
      </c>
      <c r="O481" s="14" t="n">
        <v>406.05</v>
      </c>
      <c r="P481" s="14" t="n">
        <v>406.05</v>
      </c>
      <c r="Q481" s="14" t="n">
        <v>406.05</v>
      </c>
      <c r="R481" s="14" t="n">
        <v>406.05</v>
      </c>
      <c r="S481" s="14" t="n">
        <v>406.05</v>
      </c>
      <c r="T481" s="14" t="n">
        <v>406.05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CANON-202602-004427</t>
        </is>
      </c>
      <c r="B482" s="15" t="inlineStr">
        <is>
          <t>2026-02-12</t>
        </is>
      </c>
      <c r="C482" s="15" t="inlineStr">
        <is>
          <t>Horace Delacroix</t>
        </is>
      </c>
      <c r="D482" s="15" t="inlineStr">
        <is>
          <t>KY</t>
        </is>
      </c>
      <c r="E482" s="16" t="n">
        <v>480000</v>
      </c>
      <c r="F482" s="16" t="n">
        <v>12270.32</v>
      </c>
      <c r="G482" s="16" t="n">
        <v>1533.79</v>
      </c>
      <c r="H482" s="16" t="n">
        <v>1533.79</v>
      </c>
      <c r="I482" s="16">
        <f>SUM(K482:T482)</f>
        <v/>
      </c>
      <c r="J482" s="16">
        <f>F482-(G482+H482+I482)</f>
        <v/>
      </c>
      <c r="K482" s="16" t="n">
        <v>920.27</v>
      </c>
      <c r="L482" s="16" t="n">
        <v>920.27</v>
      </c>
      <c r="M482" s="16" t="n">
        <v>920.27</v>
      </c>
      <c r="N482" s="16" t="n">
        <v>920.27</v>
      </c>
      <c r="O482" s="16" t="n">
        <v>920.27</v>
      </c>
      <c r="P482" s="16" t="n">
        <v>920.27</v>
      </c>
      <c r="Q482" s="16" t="n">
        <v>920.27</v>
      </c>
      <c r="R482" s="16" t="n">
        <v>920.27</v>
      </c>
      <c r="S482" s="16" t="n">
        <v>920.27</v>
      </c>
      <c r="T482" s="16" t="n">
        <v>920.27</v>
      </c>
      <c r="U482" s="16" t="n">
        <v>350</v>
      </c>
      <c r="V482" s="16" t="n">
        <v>0</v>
      </c>
      <c r="W482" s="16">
        <f>U482+V482</f>
        <v/>
      </c>
    </row>
    <row r="483">
      <c r="A483" s="3" t="inlineStr">
        <is>
          <t>CANON-202602-004430</t>
        </is>
      </c>
      <c r="B483" s="3" t="inlineStr">
        <is>
          <t>2026-02-17</t>
        </is>
      </c>
      <c r="C483" s="3" t="inlineStr">
        <is>
          <t>Ottilie Farkas</t>
        </is>
      </c>
      <c r="D483" s="3" t="inlineStr">
        <is>
          <t>OH</t>
        </is>
      </c>
      <c r="E483" s="14" t="n">
        <v>920000</v>
      </c>
      <c r="F483" s="14" t="n">
        <v>13788.85</v>
      </c>
      <c r="G483" s="14" t="n">
        <v>1723.61</v>
      </c>
      <c r="H483" s="14" t="n">
        <v>1723.61</v>
      </c>
      <c r="I483" s="14">
        <f>SUM(K483:T483)</f>
        <v/>
      </c>
      <c r="J483" s="14">
        <f>F483-(G483+H483+I483)</f>
        <v/>
      </c>
      <c r="K483" s="14" t="n">
        <v>1034.16</v>
      </c>
      <c r="L483" s="14" t="n">
        <v>1034.16</v>
      </c>
      <c r="M483" s="14" t="n">
        <v>1034.16</v>
      </c>
      <c r="N483" s="14" t="n">
        <v>1034.16</v>
      </c>
      <c r="O483" s="14" t="n">
        <v>1034.16</v>
      </c>
      <c r="P483" s="14" t="n">
        <v>1034.16</v>
      </c>
      <c r="Q483" s="14" t="n">
        <v>1034.16</v>
      </c>
      <c r="R483" s="14" t="n">
        <v>1034.16</v>
      </c>
      <c r="S483" s="14" t="n">
        <v>1034.16</v>
      </c>
      <c r="T483" s="14" t="n">
        <v>1034.16</v>
      </c>
      <c r="U483" s="14" t="n">
        <v>350</v>
      </c>
      <c r="V483" s="14" t="n">
        <v>0</v>
      </c>
      <c r="W483" s="14">
        <f>U483+V483</f>
        <v/>
      </c>
    </row>
    <row r="484">
      <c r="A484" s="15" t="inlineStr">
        <is>
          <t>CANON-202602-004431</t>
        </is>
      </c>
      <c r="B484" s="15" t="inlineStr">
        <is>
          <t>2026-02-11</t>
        </is>
      </c>
      <c r="C484" s="15" t="inlineStr">
        <is>
          <t>Noor Montoya</t>
        </is>
      </c>
      <c r="D484" s="15" t="inlineStr">
        <is>
          <t>TX</t>
        </is>
      </c>
      <c r="E484" s="16" t="n">
        <v>235000</v>
      </c>
      <c r="F484" s="16" t="n">
        <v>4124.44</v>
      </c>
      <c r="G484" s="16" t="n">
        <v>515.55</v>
      </c>
      <c r="H484" s="16" t="n">
        <v>515.55</v>
      </c>
      <c r="I484" s="16">
        <f>SUM(K484:T484)</f>
        <v/>
      </c>
      <c r="J484" s="16">
        <f>F484-(G484+H484+I484)</f>
        <v/>
      </c>
      <c r="K484" s="16" t="n">
        <v>309.33</v>
      </c>
      <c r="L484" s="16" t="n">
        <v>309.33</v>
      </c>
      <c r="M484" s="16" t="n">
        <v>309.33</v>
      </c>
      <c r="N484" s="16" t="n">
        <v>309.33</v>
      </c>
      <c r="O484" s="16" t="n">
        <v>309.33</v>
      </c>
      <c r="P484" s="16" t="n">
        <v>309.33</v>
      </c>
      <c r="Q484" s="16" t="n">
        <v>309.33</v>
      </c>
      <c r="R484" s="16" t="n">
        <v>309.33</v>
      </c>
      <c r="S484" s="16" t="n">
        <v>309.33</v>
      </c>
      <c r="T484" s="16" t="n">
        <v>309.33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CANON-202602-004432</t>
        </is>
      </c>
      <c r="B485" s="3" t="inlineStr">
        <is>
          <t>2026-02-07</t>
        </is>
      </c>
      <c r="C485" s="3" t="inlineStr">
        <is>
          <t>Ingrid Delacroix</t>
        </is>
      </c>
      <c r="D485" s="3" t="inlineStr">
        <is>
          <t>FL</t>
        </is>
      </c>
      <c r="E485" s="14" t="n">
        <v>220000</v>
      </c>
      <c r="F485" s="14" t="n">
        <v>4767.72</v>
      </c>
      <c r="G485" s="14" t="n">
        <v>595.97</v>
      </c>
      <c r="H485" s="14" t="n">
        <v>595.97</v>
      </c>
      <c r="I485" s="14">
        <f>SUM(K485:T485)</f>
        <v/>
      </c>
      <c r="J485" s="14">
        <f>F485-(G485+H485+I485)</f>
        <v/>
      </c>
      <c r="K485" s="14" t="n">
        <v>357.58</v>
      </c>
      <c r="L485" s="14" t="n">
        <v>357.58</v>
      </c>
      <c r="M485" s="14" t="n">
        <v>357.58</v>
      </c>
      <c r="N485" s="14" t="n">
        <v>357.58</v>
      </c>
      <c r="O485" s="14" t="n">
        <v>357.58</v>
      </c>
      <c r="P485" s="14" t="n">
        <v>357.58</v>
      </c>
      <c r="Q485" s="14" t="n">
        <v>357.58</v>
      </c>
      <c r="R485" s="14" t="n">
        <v>357.58</v>
      </c>
      <c r="S485" s="14" t="n">
        <v>357.58</v>
      </c>
      <c r="T485" s="14" t="n">
        <v>357.58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CANON-202602-004434</t>
        </is>
      </c>
      <c r="B486" s="15" t="inlineStr">
        <is>
          <t>2026-02-19</t>
        </is>
      </c>
      <c r="C486" s="15" t="inlineStr">
        <is>
          <t>Leopold Pennington</t>
        </is>
      </c>
      <c r="D486" s="15" t="inlineStr">
        <is>
          <t>CO</t>
        </is>
      </c>
      <c r="E486" s="16" t="n">
        <v>590000</v>
      </c>
      <c r="F486" s="16" t="n">
        <v>6997.93</v>
      </c>
      <c r="G486" s="16" t="n">
        <v>874.74</v>
      </c>
      <c r="H486" s="16" t="n">
        <v>874.74</v>
      </c>
      <c r="I486" s="16">
        <f>SUM(K486:T486)</f>
        <v/>
      </c>
      <c r="J486" s="16">
        <f>F486-(G486+H486+I486)</f>
        <v/>
      </c>
      <c r="K486" s="16" t="n">
        <v>524.84</v>
      </c>
      <c r="L486" s="16" t="n">
        <v>524.84</v>
      </c>
      <c r="M486" s="16" t="n">
        <v>524.84</v>
      </c>
      <c r="N486" s="16" t="n">
        <v>524.84</v>
      </c>
      <c r="O486" s="16" t="n">
        <v>524.84</v>
      </c>
      <c r="P486" s="16" t="n">
        <v>524.84</v>
      </c>
      <c r="Q486" s="16" t="n">
        <v>524.84</v>
      </c>
      <c r="R486" s="16" t="n">
        <v>524.84</v>
      </c>
      <c r="S486" s="16" t="n">
        <v>524.84</v>
      </c>
      <c r="T486" s="16" t="n">
        <v>524.84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CANON-202602-004435</t>
        </is>
      </c>
      <c r="B487" s="3" t="inlineStr">
        <is>
          <t>2026-02-03</t>
        </is>
      </c>
      <c r="C487" s="3" t="inlineStr">
        <is>
          <t>Priya Harrington</t>
        </is>
      </c>
      <c r="D487" s="3" t="inlineStr">
        <is>
          <t>WA</t>
        </is>
      </c>
      <c r="E487" s="14" t="n">
        <v>1950000</v>
      </c>
      <c r="F487" s="14" t="n">
        <v>11800.53</v>
      </c>
      <c r="G487" s="14" t="n">
        <v>1475.07</v>
      </c>
      <c r="H487" s="14" t="n">
        <v>1475.07</v>
      </c>
      <c r="I487" s="14">
        <f>SUM(K487:T487)</f>
        <v/>
      </c>
      <c r="J487" s="14">
        <f>F487-(G487+H487+I487)</f>
        <v/>
      </c>
      <c r="K487" s="14" t="n">
        <v>885.04</v>
      </c>
      <c r="L487" s="14" t="n">
        <v>885.04</v>
      </c>
      <c r="M487" s="14" t="n">
        <v>885.04</v>
      </c>
      <c r="N487" s="14" t="n">
        <v>885.04</v>
      </c>
      <c r="O487" s="14" t="n">
        <v>885.04</v>
      </c>
      <c r="P487" s="14" t="n">
        <v>885.04</v>
      </c>
      <c r="Q487" s="14" t="n">
        <v>885.04</v>
      </c>
      <c r="R487" s="14" t="n">
        <v>885.04</v>
      </c>
      <c r="S487" s="14" t="n">
        <v>885.04</v>
      </c>
      <c r="T487" s="14" t="n">
        <v>885.04</v>
      </c>
      <c r="U487" s="14" t="n">
        <v>350</v>
      </c>
      <c r="V487" s="14" t="n">
        <v>250</v>
      </c>
      <c r="W487" s="14">
        <f>U487+V487</f>
        <v/>
      </c>
    </row>
    <row r="488">
      <c r="A488" s="15" t="inlineStr">
        <is>
          <t>CANON-202602-004436</t>
        </is>
      </c>
      <c r="B488" s="15" t="inlineStr">
        <is>
          <t>2026-02-25</t>
        </is>
      </c>
      <c r="C488" s="15" t="inlineStr">
        <is>
          <t>Sunniva Vandermeer</t>
        </is>
      </c>
      <c r="D488" s="15" t="inlineStr">
        <is>
          <t>GA</t>
        </is>
      </c>
      <c r="E488" s="16" t="n">
        <v>1540000</v>
      </c>
      <c r="F488" s="16" t="n">
        <v>22889.73</v>
      </c>
      <c r="G488" s="16" t="n">
        <v>2861.22</v>
      </c>
      <c r="H488" s="16" t="n">
        <v>2861.22</v>
      </c>
      <c r="I488" s="16">
        <f>SUM(K488:T488)</f>
        <v/>
      </c>
      <c r="J488" s="16">
        <f>F488-(G488+H488+I488)</f>
        <v/>
      </c>
      <c r="K488" s="16" t="n">
        <v>1716.73</v>
      </c>
      <c r="L488" s="16" t="n">
        <v>1716.73</v>
      </c>
      <c r="M488" s="16" t="n">
        <v>1716.73</v>
      </c>
      <c r="N488" s="16" t="n">
        <v>1716.73</v>
      </c>
      <c r="O488" s="16" t="n">
        <v>1716.73</v>
      </c>
      <c r="P488" s="16" t="n">
        <v>1716.73</v>
      </c>
      <c r="Q488" s="16" t="n">
        <v>1716.73</v>
      </c>
      <c r="R488" s="16" t="n">
        <v>1716.73</v>
      </c>
      <c r="S488" s="16" t="n">
        <v>1716.73</v>
      </c>
      <c r="T488" s="16" t="n">
        <v>1716.73</v>
      </c>
      <c r="U488" s="16" t="n">
        <v>350</v>
      </c>
      <c r="V488" s="16" t="n">
        <v>250</v>
      </c>
      <c r="W488" s="16">
        <f>U488+V488</f>
        <v/>
      </c>
    </row>
    <row r="489">
      <c r="A489" s="3" t="inlineStr">
        <is>
          <t>CANON-202602-004437</t>
        </is>
      </c>
      <c r="B489" s="3" t="inlineStr">
        <is>
          <t>2026-02-23</t>
        </is>
      </c>
      <c r="C489" s="3" t="inlineStr">
        <is>
          <t>Leopold Blackwood</t>
        </is>
      </c>
      <c r="D489" s="3" t="inlineStr">
        <is>
          <t>WA</t>
        </is>
      </c>
      <c r="E489" s="14" t="n">
        <v>445000</v>
      </c>
      <c r="F489" s="14" t="n">
        <v>3401.61</v>
      </c>
      <c r="G489" s="14" t="n">
        <v>425.2</v>
      </c>
      <c r="H489" s="14" t="n">
        <v>425.2</v>
      </c>
      <c r="I489" s="14">
        <f>SUM(K489:T489)</f>
        <v/>
      </c>
      <c r="J489" s="14">
        <f>F489-(G489+H489+I489)</f>
        <v/>
      </c>
      <c r="K489" s="14" t="n">
        <v>255.12</v>
      </c>
      <c r="L489" s="14" t="n">
        <v>255.12</v>
      </c>
      <c r="M489" s="14" t="n">
        <v>255.12</v>
      </c>
      <c r="N489" s="14" t="n">
        <v>255.12</v>
      </c>
      <c r="O489" s="14" t="n">
        <v>255.12</v>
      </c>
      <c r="P489" s="14" t="n">
        <v>255.12</v>
      </c>
      <c r="Q489" s="14" t="n">
        <v>255.12</v>
      </c>
      <c r="R489" s="14" t="n">
        <v>255.12</v>
      </c>
      <c r="S489" s="14" t="n">
        <v>255.12</v>
      </c>
      <c r="T489" s="14" t="n">
        <v>255.12</v>
      </c>
      <c r="U489" s="14" t="n">
        <v>350</v>
      </c>
      <c r="V489" s="14" t="n">
        <v>0</v>
      </c>
      <c r="W489" s="14">
        <f>U489+V489</f>
        <v/>
      </c>
    </row>
    <row r="490">
      <c r="A490" s="15" t="inlineStr">
        <is>
          <t>CANON-202602-004438</t>
        </is>
      </c>
      <c r="B490" s="15" t="inlineStr">
        <is>
          <t>2026-02-26</t>
        </is>
      </c>
      <c r="C490" s="15" t="inlineStr">
        <is>
          <t>Lorenzo Blackwood</t>
        </is>
      </c>
      <c r="D490" s="15" t="inlineStr">
        <is>
          <t>OK</t>
        </is>
      </c>
      <c r="E490" s="16" t="n">
        <v>485000</v>
      </c>
      <c r="F490" s="16" t="n">
        <v>7603.01</v>
      </c>
      <c r="G490" s="16" t="n">
        <v>950.38</v>
      </c>
      <c r="H490" s="16" t="n">
        <v>950.38</v>
      </c>
      <c r="I490" s="16">
        <f>SUM(K490:T490)</f>
        <v/>
      </c>
      <c r="J490" s="16">
        <f>F490-(G490+H490+I490)</f>
        <v/>
      </c>
      <c r="K490" s="16" t="n">
        <v>570.23</v>
      </c>
      <c r="L490" s="16" t="n">
        <v>570.23</v>
      </c>
      <c r="M490" s="16" t="n">
        <v>570.23</v>
      </c>
      <c r="N490" s="16" t="n">
        <v>570.23</v>
      </c>
      <c r="O490" s="16" t="n">
        <v>570.23</v>
      </c>
      <c r="P490" s="16" t="n">
        <v>570.23</v>
      </c>
      <c r="Q490" s="16" t="n">
        <v>570.23</v>
      </c>
      <c r="R490" s="16" t="n">
        <v>570.23</v>
      </c>
      <c r="S490" s="16" t="n">
        <v>570.23</v>
      </c>
      <c r="T490" s="16" t="n">
        <v>570.23</v>
      </c>
      <c r="U490" s="16" t="n">
        <v>350</v>
      </c>
      <c r="V490" s="16" t="n">
        <v>0</v>
      </c>
      <c r="W490" s="16">
        <f>U490+V490</f>
        <v/>
      </c>
    </row>
    <row r="491">
      <c r="A491" s="3" t="inlineStr">
        <is>
          <t>CANON-202602-004439</t>
        </is>
      </c>
      <c r="B491" s="3" t="inlineStr">
        <is>
          <t>2026-02-26</t>
        </is>
      </c>
      <c r="C491" s="3" t="inlineStr">
        <is>
          <t>Horace Castellanos</t>
        </is>
      </c>
      <c r="D491" s="3" t="inlineStr">
        <is>
          <t>VA</t>
        </is>
      </c>
      <c r="E491" s="14" t="n">
        <v>650000</v>
      </c>
      <c r="F491" s="14" t="n">
        <v>11165.43</v>
      </c>
      <c r="G491" s="14" t="n">
        <v>1395.68</v>
      </c>
      <c r="H491" s="14" t="n">
        <v>1395.68</v>
      </c>
      <c r="I491" s="14">
        <f>SUM(K491:T491)</f>
        <v/>
      </c>
      <c r="J491" s="14">
        <f>F491-(G491+H491+I491)</f>
        <v/>
      </c>
      <c r="K491" s="14" t="n">
        <v>837.41</v>
      </c>
      <c r="L491" s="14" t="n">
        <v>837.41</v>
      </c>
      <c r="M491" s="14" t="n">
        <v>837.41</v>
      </c>
      <c r="N491" s="14" t="n">
        <v>837.41</v>
      </c>
      <c r="O491" s="14" t="n">
        <v>837.41</v>
      </c>
      <c r="P491" s="14" t="n">
        <v>837.41</v>
      </c>
      <c r="Q491" s="14" t="n">
        <v>837.41</v>
      </c>
      <c r="R491" s="14" t="n">
        <v>837.41</v>
      </c>
      <c r="S491" s="14" t="n">
        <v>837.41</v>
      </c>
      <c r="T491" s="14" t="n">
        <v>837.41</v>
      </c>
      <c r="U491" s="14" t="n">
        <v>350</v>
      </c>
      <c r="V491" s="14" t="n">
        <v>0</v>
      </c>
      <c r="W491" s="14">
        <f>U491+V491</f>
        <v/>
      </c>
    </row>
    <row r="492">
      <c r="A492" s="15" t="inlineStr">
        <is>
          <t>CANON-202602-004440</t>
        </is>
      </c>
      <c r="B492" s="15" t="inlineStr">
        <is>
          <t>2026-02-28</t>
        </is>
      </c>
      <c r="C492" s="15" t="inlineStr">
        <is>
          <t>Fitzgerald Merriweather</t>
        </is>
      </c>
      <c r="D492" s="15" t="inlineStr">
        <is>
          <t>FL</t>
        </is>
      </c>
      <c r="E492" s="16" t="n">
        <v>790000</v>
      </c>
      <c r="F492" s="16" t="n">
        <v>12095.96</v>
      </c>
      <c r="G492" s="16" t="n">
        <v>1511.99</v>
      </c>
      <c r="H492" s="16" t="n">
        <v>1511.99</v>
      </c>
      <c r="I492" s="16">
        <f>SUM(K492:T492)</f>
        <v/>
      </c>
      <c r="J492" s="16">
        <f>F492-(G492+H492+I492)</f>
        <v/>
      </c>
      <c r="K492" s="16" t="n">
        <v>907.2</v>
      </c>
      <c r="L492" s="16" t="n">
        <v>907.2</v>
      </c>
      <c r="M492" s="16" t="n">
        <v>907.2</v>
      </c>
      <c r="N492" s="16" t="n">
        <v>907.2</v>
      </c>
      <c r="O492" s="16" t="n">
        <v>907.2</v>
      </c>
      <c r="P492" s="16" t="n">
        <v>907.2</v>
      </c>
      <c r="Q492" s="16" t="n">
        <v>907.2</v>
      </c>
      <c r="R492" s="16" t="n">
        <v>907.2</v>
      </c>
      <c r="S492" s="16" t="n">
        <v>907.2</v>
      </c>
      <c r="T492" s="16" t="n">
        <v>907.2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CANON-202602-004441</t>
        </is>
      </c>
      <c r="B493" s="3" t="inlineStr">
        <is>
          <t>2026-02-09</t>
        </is>
      </c>
      <c r="C493" s="3" t="inlineStr">
        <is>
          <t>Saoirse Nakashima</t>
        </is>
      </c>
      <c r="D493" s="3" t="inlineStr">
        <is>
          <t>OR</t>
        </is>
      </c>
      <c r="E493" s="14" t="n">
        <v>600000</v>
      </c>
      <c r="F493" s="14" t="n">
        <v>10684.77</v>
      </c>
      <c r="G493" s="14" t="n">
        <v>1335.6</v>
      </c>
      <c r="H493" s="14" t="n">
        <v>1335.6</v>
      </c>
      <c r="I493" s="14">
        <f>SUM(K493:T493)</f>
        <v/>
      </c>
      <c r="J493" s="14">
        <f>F493-(G493+H493+I493)</f>
        <v/>
      </c>
      <c r="K493" s="14" t="n">
        <v>801.36</v>
      </c>
      <c r="L493" s="14" t="n">
        <v>801.36</v>
      </c>
      <c r="M493" s="14" t="n">
        <v>801.36</v>
      </c>
      <c r="N493" s="14" t="n">
        <v>801.36</v>
      </c>
      <c r="O493" s="14" t="n">
        <v>801.36</v>
      </c>
      <c r="P493" s="14" t="n">
        <v>801.36</v>
      </c>
      <c r="Q493" s="14" t="n">
        <v>801.36</v>
      </c>
      <c r="R493" s="14" t="n">
        <v>801.36</v>
      </c>
      <c r="S493" s="14" t="n">
        <v>801.36</v>
      </c>
      <c r="T493" s="14" t="n">
        <v>801.36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CANON-202602-004442</t>
        </is>
      </c>
      <c r="B494" s="15" t="inlineStr">
        <is>
          <t>2026-02-03</t>
        </is>
      </c>
      <c r="C494" s="15" t="inlineStr">
        <is>
          <t>Ingrid Bellandi</t>
        </is>
      </c>
      <c r="D494" s="15" t="inlineStr">
        <is>
          <t>HI</t>
        </is>
      </c>
      <c r="E494" s="16" t="n">
        <v>210000</v>
      </c>
      <c r="F494" s="16" t="n">
        <v>4166.41</v>
      </c>
      <c r="G494" s="16" t="n">
        <v>520.8</v>
      </c>
      <c r="H494" s="16" t="n">
        <v>520.8</v>
      </c>
      <c r="I494" s="16">
        <f>SUM(K494:T494)</f>
        <v/>
      </c>
      <c r="J494" s="16">
        <f>F494-(G494+H494+I494)</f>
        <v/>
      </c>
      <c r="K494" s="16" t="n">
        <v>312.48</v>
      </c>
      <c r="L494" s="16" t="n">
        <v>312.48</v>
      </c>
      <c r="M494" s="16" t="n">
        <v>312.48</v>
      </c>
      <c r="N494" s="16" t="n">
        <v>312.48</v>
      </c>
      <c r="O494" s="16" t="n">
        <v>312.48</v>
      </c>
      <c r="P494" s="16" t="n">
        <v>312.48</v>
      </c>
      <c r="Q494" s="16" t="n">
        <v>312.48</v>
      </c>
      <c r="R494" s="16" t="n">
        <v>312.48</v>
      </c>
      <c r="S494" s="16" t="n">
        <v>312.48</v>
      </c>
      <c r="T494" s="16" t="n">
        <v>312.48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CANON-202602-004443</t>
        </is>
      </c>
      <c r="B495" s="3" t="inlineStr">
        <is>
          <t>2026-02-10</t>
        </is>
      </c>
      <c r="C495" s="3" t="inlineStr">
        <is>
          <t>Fitzgerald Vasquez</t>
        </is>
      </c>
      <c r="D495" s="3" t="inlineStr">
        <is>
          <t>NH</t>
        </is>
      </c>
      <c r="E495" s="14" t="n">
        <v>615000</v>
      </c>
      <c r="F495" s="14" t="n">
        <v>4562.35</v>
      </c>
      <c r="G495" s="14" t="n">
        <v>570.29</v>
      </c>
      <c r="H495" s="14" t="n">
        <v>570.29</v>
      </c>
      <c r="I495" s="14">
        <f>SUM(K495:T495)</f>
        <v/>
      </c>
      <c r="J495" s="14">
        <f>F495-(G495+H495+I495)</f>
        <v/>
      </c>
      <c r="K495" s="14" t="n">
        <v>342.18</v>
      </c>
      <c r="L495" s="14" t="n">
        <v>342.18</v>
      </c>
      <c r="M495" s="14" t="n">
        <v>342.18</v>
      </c>
      <c r="N495" s="14" t="n">
        <v>342.18</v>
      </c>
      <c r="O495" s="14" t="n">
        <v>342.18</v>
      </c>
      <c r="P495" s="14" t="n">
        <v>342.18</v>
      </c>
      <c r="Q495" s="14" t="n">
        <v>342.18</v>
      </c>
      <c r="R495" s="14" t="n">
        <v>342.18</v>
      </c>
      <c r="S495" s="14" t="n">
        <v>342.18</v>
      </c>
      <c r="T495" s="14" t="n">
        <v>342.18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CANON-202602-004444</t>
        </is>
      </c>
      <c r="B496" s="15" t="inlineStr">
        <is>
          <t>2026-02-11</t>
        </is>
      </c>
      <c r="C496" s="15" t="inlineStr">
        <is>
          <t>Fenwick Ashcombe</t>
        </is>
      </c>
      <c r="D496" s="15" t="inlineStr">
        <is>
          <t>WA</t>
        </is>
      </c>
      <c r="E496" s="16" t="n">
        <v>495000</v>
      </c>
      <c r="F496" s="16" t="n">
        <v>5912.21</v>
      </c>
      <c r="G496" s="16" t="n">
        <v>739.03</v>
      </c>
      <c r="H496" s="16" t="n">
        <v>739.03</v>
      </c>
      <c r="I496" s="16">
        <f>SUM(K496:T496)</f>
        <v/>
      </c>
      <c r="J496" s="16">
        <f>F496-(G496+H496+I496)</f>
        <v/>
      </c>
      <c r="K496" s="16" t="n">
        <v>443.42</v>
      </c>
      <c r="L496" s="16" t="n">
        <v>443.42</v>
      </c>
      <c r="M496" s="16" t="n">
        <v>443.42</v>
      </c>
      <c r="N496" s="16" t="n">
        <v>443.42</v>
      </c>
      <c r="O496" s="16" t="n">
        <v>443.42</v>
      </c>
      <c r="P496" s="16" t="n">
        <v>443.42</v>
      </c>
      <c r="Q496" s="16" t="n">
        <v>443.42</v>
      </c>
      <c r="R496" s="16" t="n">
        <v>443.42</v>
      </c>
      <c r="S496" s="16" t="n">
        <v>443.42</v>
      </c>
      <c r="T496" s="16" t="n">
        <v>443.42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CANON-202602-004445</t>
        </is>
      </c>
      <c r="B497" s="3" t="inlineStr">
        <is>
          <t>2026-02-16</t>
        </is>
      </c>
      <c r="C497" s="3" t="inlineStr">
        <is>
          <t>Callum Thistlewood</t>
        </is>
      </c>
      <c r="D497" s="3" t="inlineStr">
        <is>
          <t>WI</t>
        </is>
      </c>
      <c r="E497" s="14" t="n">
        <v>1865000</v>
      </c>
      <c r="F497" s="14" t="n">
        <v>29700.37</v>
      </c>
      <c r="G497" s="14" t="n">
        <v>3712.55</v>
      </c>
      <c r="H497" s="14" t="n">
        <v>3712.55</v>
      </c>
      <c r="I497" s="14">
        <f>SUM(K497:T497)</f>
        <v/>
      </c>
      <c r="J497" s="14">
        <f>F497-(G497+H497+I497)</f>
        <v/>
      </c>
      <c r="K497" s="14" t="n">
        <v>2227.53</v>
      </c>
      <c r="L497" s="14" t="n">
        <v>2227.53</v>
      </c>
      <c r="M497" s="14" t="n">
        <v>2227.53</v>
      </c>
      <c r="N497" s="14" t="n">
        <v>2227.53</v>
      </c>
      <c r="O497" s="14" t="n">
        <v>2227.53</v>
      </c>
      <c r="P497" s="14" t="n">
        <v>2227.53</v>
      </c>
      <c r="Q497" s="14" t="n">
        <v>2227.53</v>
      </c>
      <c r="R497" s="14" t="n">
        <v>2227.53</v>
      </c>
      <c r="S497" s="14" t="n">
        <v>2227.53</v>
      </c>
      <c r="T497" s="14" t="n">
        <v>2227.53</v>
      </c>
      <c r="U497" s="14" t="n">
        <v>350</v>
      </c>
      <c r="V497" s="14" t="n">
        <v>250</v>
      </c>
      <c r="W497" s="14">
        <f>U497+V497</f>
        <v/>
      </c>
    </row>
    <row r="498">
      <c r="A498" s="15" t="inlineStr">
        <is>
          <t>CANON-202602-004446</t>
        </is>
      </c>
      <c r="B498" s="15" t="inlineStr">
        <is>
          <t>2026-02-23</t>
        </is>
      </c>
      <c r="C498" s="15" t="inlineStr">
        <is>
          <t>Sunniva Vandermeer</t>
        </is>
      </c>
      <c r="D498" s="15" t="inlineStr">
        <is>
          <t>LA</t>
        </is>
      </c>
      <c r="E498" s="16" t="n">
        <v>1230000</v>
      </c>
      <c r="F498" s="16" t="n">
        <v>13578.91</v>
      </c>
      <c r="G498" s="16" t="n">
        <v>1697.36</v>
      </c>
      <c r="H498" s="16" t="n">
        <v>1697.36</v>
      </c>
      <c r="I498" s="16">
        <f>SUM(K498:T498)</f>
        <v/>
      </c>
      <c r="J498" s="16">
        <f>F498-(G498+H498+I498)</f>
        <v/>
      </c>
      <c r="K498" s="16" t="n">
        <v>1018.42</v>
      </c>
      <c r="L498" s="16" t="n">
        <v>1018.42</v>
      </c>
      <c r="M498" s="16" t="n">
        <v>1018.42</v>
      </c>
      <c r="N498" s="16" t="n">
        <v>1018.42</v>
      </c>
      <c r="O498" s="16" t="n">
        <v>1018.42</v>
      </c>
      <c r="P498" s="16" t="n">
        <v>1018.42</v>
      </c>
      <c r="Q498" s="16" t="n">
        <v>1018.42</v>
      </c>
      <c r="R498" s="16" t="n">
        <v>1018.42</v>
      </c>
      <c r="S498" s="16" t="n">
        <v>1018.42</v>
      </c>
      <c r="T498" s="16" t="n">
        <v>1018.42</v>
      </c>
      <c r="U498" s="16" t="n">
        <v>350</v>
      </c>
      <c r="V498" s="16" t="n">
        <v>250</v>
      </c>
      <c r="W498" s="16">
        <f>U498+V498</f>
        <v/>
      </c>
    </row>
    <row r="499">
      <c r="A499" s="3" t="inlineStr">
        <is>
          <t>CANON-202602-004447</t>
        </is>
      </c>
      <c r="B499" s="3" t="inlineStr">
        <is>
          <t>2026-02-18</t>
        </is>
      </c>
      <c r="C499" s="3" t="inlineStr">
        <is>
          <t>Ingrid Nakashima</t>
        </is>
      </c>
      <c r="D499" s="3" t="inlineStr">
        <is>
          <t>VA</t>
        </is>
      </c>
      <c r="E499" s="14" t="n">
        <v>710000</v>
      </c>
      <c r="F499" s="14" t="n">
        <v>10013.62</v>
      </c>
      <c r="G499" s="14" t="n">
        <v>1251.7</v>
      </c>
      <c r="H499" s="14" t="n">
        <v>1251.7</v>
      </c>
      <c r="I499" s="14">
        <f>SUM(K499:T499)</f>
        <v/>
      </c>
      <c r="J499" s="14">
        <f>F499-(G499+H499+I499)</f>
        <v/>
      </c>
      <c r="K499" s="14" t="n">
        <v>751.02</v>
      </c>
      <c r="L499" s="14" t="n">
        <v>751.02</v>
      </c>
      <c r="M499" s="14" t="n">
        <v>751.02</v>
      </c>
      <c r="N499" s="14" t="n">
        <v>751.02</v>
      </c>
      <c r="O499" s="14" t="n">
        <v>751.02</v>
      </c>
      <c r="P499" s="14" t="n">
        <v>751.02</v>
      </c>
      <c r="Q499" s="14" t="n">
        <v>751.02</v>
      </c>
      <c r="R499" s="14" t="n">
        <v>751.02</v>
      </c>
      <c r="S499" s="14" t="n">
        <v>751.02</v>
      </c>
      <c r="T499" s="14" t="n">
        <v>751.02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CANON-202602-004448</t>
        </is>
      </c>
      <c r="B500" s="15" t="inlineStr">
        <is>
          <t>2026-02-26</t>
        </is>
      </c>
      <c r="C500" s="15" t="inlineStr">
        <is>
          <t>Fitzgerald Underwood</t>
        </is>
      </c>
      <c r="D500" s="15" t="inlineStr">
        <is>
          <t>CA</t>
        </is>
      </c>
      <c r="E500" s="16" t="n">
        <v>920000</v>
      </c>
      <c r="F500" s="16" t="n">
        <v>8859.35</v>
      </c>
      <c r="G500" s="16" t="n">
        <v>1107.42</v>
      </c>
      <c r="H500" s="16" t="n">
        <v>1107.42</v>
      </c>
      <c r="I500" s="16">
        <f>SUM(K500:T500)</f>
        <v/>
      </c>
      <c r="J500" s="16">
        <f>F500-(G500+H500+I500)</f>
        <v/>
      </c>
      <c r="K500" s="16" t="n">
        <v>664.45</v>
      </c>
      <c r="L500" s="16" t="n">
        <v>664.45</v>
      </c>
      <c r="M500" s="16" t="n">
        <v>664.45</v>
      </c>
      <c r="N500" s="16" t="n">
        <v>664.45</v>
      </c>
      <c r="O500" s="16" t="n">
        <v>664.45</v>
      </c>
      <c r="P500" s="16" t="n">
        <v>664.45</v>
      </c>
      <c r="Q500" s="16" t="n">
        <v>664.45</v>
      </c>
      <c r="R500" s="16" t="n">
        <v>664.45</v>
      </c>
      <c r="S500" s="16" t="n">
        <v>664.45</v>
      </c>
      <c r="T500" s="16" t="n">
        <v>664.45</v>
      </c>
      <c r="U500" s="16" t="n">
        <v>350</v>
      </c>
      <c r="V500" s="16" t="n">
        <v>0</v>
      </c>
      <c r="W500" s="16">
        <f>U500+V500</f>
        <v/>
      </c>
    </row>
    <row r="501">
      <c r="A501" s="3" t="inlineStr">
        <is>
          <t>CANON-202602-004449</t>
        </is>
      </c>
      <c r="B501" s="3" t="inlineStr">
        <is>
          <t>2026-02-07</t>
        </is>
      </c>
      <c r="C501" s="3" t="inlineStr">
        <is>
          <t>Anouk Vasquez</t>
        </is>
      </c>
      <c r="D501" s="3" t="inlineStr">
        <is>
          <t>KS</t>
        </is>
      </c>
      <c r="E501" s="14" t="n">
        <v>395000</v>
      </c>
      <c r="F501" s="14" t="n">
        <v>4766.96</v>
      </c>
      <c r="G501" s="14" t="n">
        <v>595.87</v>
      </c>
      <c r="H501" s="14" t="n">
        <v>595.87</v>
      </c>
      <c r="I501" s="14">
        <f>SUM(K501:T501)</f>
        <v/>
      </c>
      <c r="J501" s="14">
        <f>F501-(G501+H501+I501)</f>
        <v/>
      </c>
      <c r="K501" s="14" t="n">
        <v>357.52</v>
      </c>
      <c r="L501" s="14" t="n">
        <v>357.52</v>
      </c>
      <c r="M501" s="14" t="n">
        <v>357.52</v>
      </c>
      <c r="N501" s="14" t="n">
        <v>357.52</v>
      </c>
      <c r="O501" s="14" t="n">
        <v>357.52</v>
      </c>
      <c r="P501" s="14" t="n">
        <v>357.52</v>
      </c>
      <c r="Q501" s="14" t="n">
        <v>357.52</v>
      </c>
      <c r="R501" s="14" t="n">
        <v>357.52</v>
      </c>
      <c r="S501" s="14" t="n">
        <v>357.52</v>
      </c>
      <c r="T501" s="14" t="n">
        <v>357.52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CANON-202602-004450</t>
        </is>
      </c>
      <c r="B502" s="15" t="inlineStr">
        <is>
          <t>2026-02-22</t>
        </is>
      </c>
      <c r="C502" s="15" t="inlineStr">
        <is>
          <t>Fitzgerald Rourke</t>
        </is>
      </c>
      <c r="D502" s="15" t="inlineStr">
        <is>
          <t>NJ</t>
        </is>
      </c>
      <c r="E502" s="16" t="n">
        <v>925000</v>
      </c>
      <c r="F502" s="16" t="n">
        <v>9076.290000000001</v>
      </c>
      <c r="G502" s="16" t="n">
        <v>1134.54</v>
      </c>
      <c r="H502" s="16" t="n">
        <v>1134.54</v>
      </c>
      <c r="I502" s="16">
        <f>SUM(K502:T502)</f>
        <v/>
      </c>
      <c r="J502" s="16">
        <f>F502-(G502+H502+I502)</f>
        <v/>
      </c>
      <c r="K502" s="16" t="n">
        <v>680.72</v>
      </c>
      <c r="L502" s="16" t="n">
        <v>680.72</v>
      </c>
      <c r="M502" s="16" t="n">
        <v>680.72</v>
      </c>
      <c r="N502" s="16" t="n">
        <v>680.72</v>
      </c>
      <c r="O502" s="16" t="n">
        <v>680.72</v>
      </c>
      <c r="P502" s="16" t="n">
        <v>680.72</v>
      </c>
      <c r="Q502" s="16" t="n">
        <v>680.72</v>
      </c>
      <c r="R502" s="16" t="n">
        <v>680.72</v>
      </c>
      <c r="S502" s="16" t="n">
        <v>680.72</v>
      </c>
      <c r="T502" s="16" t="n">
        <v>680.72</v>
      </c>
      <c r="U502" s="16" t="n">
        <v>350</v>
      </c>
      <c r="V502" s="16" t="n">
        <v>0</v>
      </c>
      <c r="W502" s="16">
        <f>U502+V502</f>
        <v/>
      </c>
    </row>
    <row r="503">
      <c r="A503" s="3" t="inlineStr">
        <is>
          <t>CANON-202602-004451</t>
        </is>
      </c>
      <c r="B503" s="3" t="inlineStr">
        <is>
          <t>2026-02-01</t>
        </is>
      </c>
      <c r="C503" s="3" t="inlineStr">
        <is>
          <t>Mireille Rourke</t>
        </is>
      </c>
      <c r="D503" s="3" t="inlineStr">
        <is>
          <t>SD</t>
        </is>
      </c>
      <c r="E503" s="14" t="n">
        <v>780000</v>
      </c>
      <c r="F503" s="14" t="n">
        <v>9335.610000000001</v>
      </c>
      <c r="G503" s="14" t="n">
        <v>1166.95</v>
      </c>
      <c r="H503" s="14" t="n">
        <v>1166.95</v>
      </c>
      <c r="I503" s="14">
        <f>SUM(K503:T503)</f>
        <v/>
      </c>
      <c r="J503" s="14">
        <f>F503-(G503+H503+I503)</f>
        <v/>
      </c>
      <c r="K503" s="14" t="n">
        <v>700.17</v>
      </c>
      <c r="L503" s="14" t="n">
        <v>700.17</v>
      </c>
      <c r="M503" s="14" t="n">
        <v>700.17</v>
      </c>
      <c r="N503" s="14" t="n">
        <v>700.17</v>
      </c>
      <c r="O503" s="14" t="n">
        <v>700.17</v>
      </c>
      <c r="P503" s="14" t="n">
        <v>700.17</v>
      </c>
      <c r="Q503" s="14" t="n">
        <v>700.17</v>
      </c>
      <c r="R503" s="14" t="n">
        <v>700.17</v>
      </c>
      <c r="S503" s="14" t="n">
        <v>700.17</v>
      </c>
      <c r="T503" s="14" t="n">
        <v>700.17</v>
      </c>
      <c r="U503" s="14" t="n">
        <v>350</v>
      </c>
      <c r="V503" s="14" t="n">
        <v>0</v>
      </c>
      <c r="W503" s="14">
        <f>U503+V503</f>
        <v/>
      </c>
    </row>
    <row r="504">
      <c r="A504" s="15" t="inlineStr">
        <is>
          <t>CANON-202602-004453</t>
        </is>
      </c>
      <c r="B504" s="15" t="inlineStr">
        <is>
          <t>2026-02-27</t>
        </is>
      </c>
      <c r="C504" s="15" t="inlineStr">
        <is>
          <t>Desmond Ashcombe</t>
        </is>
      </c>
      <c r="D504" s="15" t="inlineStr">
        <is>
          <t>NY</t>
        </is>
      </c>
      <c r="E504" s="16" t="n">
        <v>455000</v>
      </c>
      <c r="F504" s="16" t="n">
        <v>7245.94</v>
      </c>
      <c r="G504" s="16" t="n">
        <v>905.74</v>
      </c>
      <c r="H504" s="16" t="n">
        <v>905.74</v>
      </c>
      <c r="I504" s="16">
        <f>SUM(K504:T504)</f>
        <v/>
      </c>
      <c r="J504" s="16">
        <f>F504-(G504+H504+I504)</f>
        <v/>
      </c>
      <c r="K504" s="16" t="n">
        <v>543.45</v>
      </c>
      <c r="L504" s="16" t="n">
        <v>543.45</v>
      </c>
      <c r="M504" s="16" t="n">
        <v>543.45</v>
      </c>
      <c r="N504" s="16" t="n">
        <v>543.45</v>
      </c>
      <c r="O504" s="16" t="n">
        <v>543.45</v>
      </c>
      <c r="P504" s="16" t="n">
        <v>543.45</v>
      </c>
      <c r="Q504" s="16" t="n">
        <v>543.45</v>
      </c>
      <c r="R504" s="16" t="n">
        <v>543.45</v>
      </c>
      <c r="S504" s="16" t="n">
        <v>543.45</v>
      </c>
      <c r="T504" s="16" t="n">
        <v>543.45</v>
      </c>
      <c r="U504" s="16" t="n">
        <v>350</v>
      </c>
      <c r="V504" s="16" t="n">
        <v>0</v>
      </c>
      <c r="W504" s="16">
        <f>U504+V504</f>
        <v/>
      </c>
    </row>
    <row r="505">
      <c r="A505" s="9" t="inlineStr">
        <is>
          <t>TOTAL</t>
        </is>
      </c>
      <c r="E505" s="10">
        <f>SUM(E5:E504)</f>
        <v/>
      </c>
      <c r="F505" s="10">
        <f>SUM(F5:F504)</f>
        <v/>
      </c>
      <c r="G505" s="10">
        <f>SUM(G5:G504)</f>
        <v/>
      </c>
      <c r="H505" s="10">
        <f>SUM(H5:H504)</f>
        <v/>
      </c>
      <c r="I505" s="10">
        <f>SUM(I5:I504)</f>
        <v/>
      </c>
      <c r="J505" s="10">
        <f>SUM(J5:J504)</f>
        <v/>
      </c>
      <c r="K505" s="10">
        <f>SUM(K5:K504)</f>
        <v/>
      </c>
      <c r="L505" s="10">
        <f>SUM(L5:L504)</f>
        <v/>
      </c>
      <c r="M505" s="10">
        <f>SUM(M5:M504)</f>
        <v/>
      </c>
      <c r="N505" s="10">
        <f>SUM(N5:N504)</f>
        <v/>
      </c>
      <c r="O505" s="10">
        <f>SUM(O5:O504)</f>
        <v/>
      </c>
      <c r="P505" s="10">
        <f>SUM(P5:P504)</f>
        <v/>
      </c>
      <c r="Q505" s="10">
        <f>SUM(Q5:Q504)</f>
        <v/>
      </c>
      <c r="R505" s="10">
        <f>SUM(R5:R504)</f>
        <v/>
      </c>
      <c r="S505" s="10">
        <f>SUM(S5:S504)</f>
        <v/>
      </c>
      <c r="T505" s="10">
        <f>SUM(T5:T504)</f>
        <v/>
      </c>
      <c r="U505" s="10">
        <f>SUM(U5:U504)</f>
        <v/>
      </c>
      <c r="V505" s="10">
        <f>SUM(V5:V504)</f>
        <v/>
      </c>
      <c r="W505" s="10">
        <f>SUM(W5:W504)</f>
        <v/>
      </c>
    </row>
    <row r="506">
      <c r="A506" s="5" t="inlineStr">
        <is>
          <t>Foot check: Premium − (B+T+M+Resid)</t>
        </is>
      </c>
      <c r="F506" s="17">
        <f>F505-(G505+H505+I505+J505)</f>
        <v/>
      </c>
    </row>
    <row r="507">
      <c r="A507" s="5" t="inlineStr">
        <is>
          <t>Foot check: Markets − Σ(10 syndicates)</t>
        </is>
      </c>
      <c r="I507" s="17">
        <f>I505-SUM(K505:T505)</f>
        <v/>
      </c>
    </row>
  </sheetData>
  <autoFilter ref="A4:W504"/>
  <mergeCells count="2">
    <mergeCell ref="A2:W2"/>
    <mergeCell ref="A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W5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2026-03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CANON-202603-004456</t>
        </is>
      </c>
      <c r="B5" s="3" t="inlineStr">
        <is>
          <t>2026-03-12</t>
        </is>
      </c>
      <c r="C5" s="3" t="inlineStr">
        <is>
          <t>Ottilie Merriweather</t>
        </is>
      </c>
      <c r="D5" s="3" t="inlineStr">
        <is>
          <t>MD</t>
        </is>
      </c>
      <c r="E5" s="14" t="n">
        <v>560000</v>
      </c>
      <c r="F5" s="14" t="n">
        <v>8074</v>
      </c>
      <c r="G5" s="14" t="n">
        <v>1009.25</v>
      </c>
      <c r="H5" s="14" t="n">
        <v>1009.25</v>
      </c>
      <c r="I5" s="14">
        <f>SUM(K5:T5)</f>
        <v/>
      </c>
      <c r="J5" s="14">
        <f>F5-(G5+H5+I5)</f>
        <v/>
      </c>
      <c r="K5" s="14" t="n">
        <v>605.55</v>
      </c>
      <c r="L5" s="14" t="n">
        <v>605.55</v>
      </c>
      <c r="M5" s="14" t="n">
        <v>605.55</v>
      </c>
      <c r="N5" s="14" t="n">
        <v>605.55</v>
      </c>
      <c r="O5" s="14" t="n">
        <v>605.55</v>
      </c>
      <c r="P5" s="14" t="n">
        <v>605.55</v>
      </c>
      <c r="Q5" s="14" t="n">
        <v>605.55</v>
      </c>
      <c r="R5" s="14" t="n">
        <v>605.55</v>
      </c>
      <c r="S5" s="14" t="n">
        <v>605.55</v>
      </c>
      <c r="T5" s="14" t="n">
        <v>605.55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CANON-202603-004457</t>
        </is>
      </c>
      <c r="B6" s="15" t="inlineStr">
        <is>
          <t>2026-03-28</t>
        </is>
      </c>
      <c r="C6" s="15" t="inlineStr">
        <is>
          <t>Mireille Bellandi</t>
        </is>
      </c>
      <c r="D6" s="15" t="inlineStr">
        <is>
          <t>AL</t>
        </is>
      </c>
      <c r="E6" s="16" t="n">
        <v>375000</v>
      </c>
      <c r="F6" s="16" t="n">
        <v>5706.24</v>
      </c>
      <c r="G6" s="16" t="n">
        <v>713.28</v>
      </c>
      <c r="H6" s="16" t="n">
        <v>713.28</v>
      </c>
      <c r="I6" s="16">
        <f>SUM(K6:T6)</f>
        <v/>
      </c>
      <c r="J6" s="16">
        <f>F6-(G6+H6+I6)</f>
        <v/>
      </c>
      <c r="K6" s="16" t="n">
        <v>427.97</v>
      </c>
      <c r="L6" s="16" t="n">
        <v>427.97</v>
      </c>
      <c r="M6" s="16" t="n">
        <v>427.97</v>
      </c>
      <c r="N6" s="16" t="n">
        <v>427.97</v>
      </c>
      <c r="O6" s="16" t="n">
        <v>427.97</v>
      </c>
      <c r="P6" s="16" t="n">
        <v>427.97</v>
      </c>
      <c r="Q6" s="16" t="n">
        <v>427.97</v>
      </c>
      <c r="R6" s="16" t="n">
        <v>427.97</v>
      </c>
      <c r="S6" s="16" t="n">
        <v>427.97</v>
      </c>
      <c r="T6" s="16" t="n">
        <v>427.97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CANON-202603-004459</t>
        </is>
      </c>
      <c r="B7" s="3" t="inlineStr">
        <is>
          <t>2026-03-18</t>
        </is>
      </c>
      <c r="C7" s="3" t="inlineStr">
        <is>
          <t>Thaddeus Bellandi</t>
        </is>
      </c>
      <c r="D7" s="3" t="inlineStr">
        <is>
          <t>IN</t>
        </is>
      </c>
      <c r="E7" s="14" t="n">
        <v>1260000</v>
      </c>
      <c r="F7" s="14" t="n">
        <v>13617.33</v>
      </c>
      <c r="G7" s="14" t="n">
        <v>1702.17</v>
      </c>
      <c r="H7" s="14" t="n">
        <v>1702.17</v>
      </c>
      <c r="I7" s="14">
        <f>SUM(K7:T7)</f>
        <v/>
      </c>
      <c r="J7" s="14">
        <f>F7-(G7+H7+I7)</f>
        <v/>
      </c>
      <c r="K7" s="14" t="n">
        <v>1021.3</v>
      </c>
      <c r="L7" s="14" t="n">
        <v>1021.3</v>
      </c>
      <c r="M7" s="14" t="n">
        <v>1021.3</v>
      </c>
      <c r="N7" s="14" t="n">
        <v>1021.3</v>
      </c>
      <c r="O7" s="14" t="n">
        <v>1021.3</v>
      </c>
      <c r="P7" s="14" t="n">
        <v>1021.3</v>
      </c>
      <c r="Q7" s="14" t="n">
        <v>1021.3</v>
      </c>
      <c r="R7" s="14" t="n">
        <v>1021.3</v>
      </c>
      <c r="S7" s="14" t="n">
        <v>1021.3</v>
      </c>
      <c r="T7" s="14" t="n">
        <v>1021.3</v>
      </c>
      <c r="U7" s="14" t="n">
        <v>350</v>
      </c>
      <c r="V7" s="14" t="n">
        <v>250</v>
      </c>
      <c r="W7" s="14">
        <f>U7+V7</f>
        <v/>
      </c>
    </row>
    <row r="8">
      <c r="A8" s="15" t="inlineStr">
        <is>
          <t>CANON-202603-004460</t>
        </is>
      </c>
      <c r="B8" s="15" t="inlineStr">
        <is>
          <t>2026-03-01</t>
        </is>
      </c>
      <c r="C8" s="15" t="inlineStr">
        <is>
          <t>Fenwick Ashcombe</t>
        </is>
      </c>
      <c r="D8" s="15" t="inlineStr">
        <is>
          <t>PA</t>
        </is>
      </c>
      <c r="E8" s="16" t="n">
        <v>575000</v>
      </c>
      <c r="F8" s="16" t="n">
        <v>5970.84</v>
      </c>
      <c r="G8" s="16" t="n">
        <v>746.36</v>
      </c>
      <c r="H8" s="16" t="n">
        <v>746.36</v>
      </c>
      <c r="I8" s="16">
        <f>SUM(K8:T8)</f>
        <v/>
      </c>
      <c r="J8" s="16">
        <f>F8-(G8+H8+I8)</f>
        <v/>
      </c>
      <c r="K8" s="16" t="n">
        <v>447.81</v>
      </c>
      <c r="L8" s="16" t="n">
        <v>447.81</v>
      </c>
      <c r="M8" s="16" t="n">
        <v>447.81</v>
      </c>
      <c r="N8" s="16" t="n">
        <v>447.81</v>
      </c>
      <c r="O8" s="16" t="n">
        <v>447.81</v>
      </c>
      <c r="P8" s="16" t="n">
        <v>447.81</v>
      </c>
      <c r="Q8" s="16" t="n">
        <v>447.81</v>
      </c>
      <c r="R8" s="16" t="n">
        <v>447.81</v>
      </c>
      <c r="S8" s="16" t="n">
        <v>447.81</v>
      </c>
      <c r="T8" s="16" t="n">
        <v>447.81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CANON-202603-004464</t>
        </is>
      </c>
      <c r="B9" s="3" t="inlineStr">
        <is>
          <t>2026-03-03</t>
        </is>
      </c>
      <c r="C9" s="3" t="inlineStr">
        <is>
          <t>Marisol Okonkwo</t>
        </is>
      </c>
      <c r="D9" s="3" t="inlineStr">
        <is>
          <t>MD</t>
        </is>
      </c>
      <c r="E9" s="14" t="n">
        <v>695000</v>
      </c>
      <c r="F9" s="14" t="n">
        <v>4535.56</v>
      </c>
      <c r="G9" s="14" t="n">
        <v>566.95</v>
      </c>
      <c r="H9" s="14" t="n">
        <v>566.95</v>
      </c>
      <c r="I9" s="14">
        <f>SUM(K9:T9)</f>
        <v/>
      </c>
      <c r="J9" s="14">
        <f>F9-(G9+H9+I9)</f>
        <v/>
      </c>
      <c r="K9" s="14" t="n">
        <v>340.17</v>
      </c>
      <c r="L9" s="14" t="n">
        <v>340.17</v>
      </c>
      <c r="M9" s="14" t="n">
        <v>340.17</v>
      </c>
      <c r="N9" s="14" t="n">
        <v>340.17</v>
      </c>
      <c r="O9" s="14" t="n">
        <v>340.17</v>
      </c>
      <c r="P9" s="14" t="n">
        <v>340.17</v>
      </c>
      <c r="Q9" s="14" t="n">
        <v>340.17</v>
      </c>
      <c r="R9" s="14" t="n">
        <v>340.17</v>
      </c>
      <c r="S9" s="14" t="n">
        <v>340.17</v>
      </c>
      <c r="T9" s="14" t="n">
        <v>340.17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CANON-202603-004466</t>
        </is>
      </c>
      <c r="B10" s="15" t="inlineStr">
        <is>
          <t>2026-03-15</t>
        </is>
      </c>
      <c r="C10" s="15" t="inlineStr">
        <is>
          <t>Cassius Vandermeer</t>
        </is>
      </c>
      <c r="D10" s="15" t="inlineStr">
        <is>
          <t>CA</t>
        </is>
      </c>
      <c r="E10" s="16" t="n">
        <v>1280000</v>
      </c>
      <c r="F10" s="16" t="n">
        <v>15183.09</v>
      </c>
      <c r="G10" s="16" t="n">
        <v>1897.89</v>
      </c>
      <c r="H10" s="16" t="n">
        <v>1897.89</v>
      </c>
      <c r="I10" s="16">
        <f>SUM(K10:T10)</f>
        <v/>
      </c>
      <c r="J10" s="16">
        <f>F10-(G10+H10+I10)</f>
        <v/>
      </c>
      <c r="K10" s="16" t="n">
        <v>1138.73</v>
      </c>
      <c r="L10" s="16" t="n">
        <v>1138.73</v>
      </c>
      <c r="M10" s="16" t="n">
        <v>1138.73</v>
      </c>
      <c r="N10" s="16" t="n">
        <v>1138.73</v>
      </c>
      <c r="O10" s="16" t="n">
        <v>1138.73</v>
      </c>
      <c r="P10" s="16" t="n">
        <v>1138.73</v>
      </c>
      <c r="Q10" s="16" t="n">
        <v>1138.73</v>
      </c>
      <c r="R10" s="16" t="n">
        <v>1138.73</v>
      </c>
      <c r="S10" s="16" t="n">
        <v>1138.73</v>
      </c>
      <c r="T10" s="16" t="n">
        <v>1138.73</v>
      </c>
      <c r="U10" s="16" t="n">
        <v>350</v>
      </c>
      <c r="V10" s="16" t="n">
        <v>250</v>
      </c>
      <c r="W10" s="16">
        <f>U10+V10</f>
        <v/>
      </c>
    </row>
    <row r="11">
      <c r="A11" s="3" t="inlineStr">
        <is>
          <t>CANON-202603-004468</t>
        </is>
      </c>
      <c r="B11" s="3" t="inlineStr">
        <is>
          <t>2026-03-18</t>
        </is>
      </c>
      <c r="C11" s="3" t="inlineStr">
        <is>
          <t>Callum Okonkwo</t>
        </is>
      </c>
      <c r="D11" s="3" t="inlineStr">
        <is>
          <t>NY</t>
        </is>
      </c>
      <c r="E11" s="14" t="n">
        <v>365000</v>
      </c>
      <c r="F11" s="14" t="n">
        <v>5597.8</v>
      </c>
      <c r="G11" s="14" t="n">
        <v>699.73</v>
      </c>
      <c r="H11" s="14" t="n">
        <v>699.73</v>
      </c>
      <c r="I11" s="14">
        <f>SUM(K11:T11)</f>
        <v/>
      </c>
      <c r="J11" s="14">
        <f>F11-(G11+H11+I11)</f>
        <v/>
      </c>
      <c r="K11" s="14" t="n">
        <v>419.83</v>
      </c>
      <c r="L11" s="14" t="n">
        <v>419.83</v>
      </c>
      <c r="M11" s="14" t="n">
        <v>419.83</v>
      </c>
      <c r="N11" s="14" t="n">
        <v>419.83</v>
      </c>
      <c r="O11" s="14" t="n">
        <v>419.83</v>
      </c>
      <c r="P11" s="14" t="n">
        <v>419.83</v>
      </c>
      <c r="Q11" s="14" t="n">
        <v>419.83</v>
      </c>
      <c r="R11" s="14" t="n">
        <v>419.83</v>
      </c>
      <c r="S11" s="14" t="n">
        <v>419.83</v>
      </c>
      <c r="T11" s="14" t="n">
        <v>419.83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CANON-202603-004469</t>
        </is>
      </c>
      <c r="B12" s="15" t="inlineStr">
        <is>
          <t>2026-03-04</t>
        </is>
      </c>
      <c r="C12" s="15" t="inlineStr">
        <is>
          <t>Marisol Farkas</t>
        </is>
      </c>
      <c r="D12" s="15" t="inlineStr">
        <is>
          <t>DE</t>
        </is>
      </c>
      <c r="E12" s="16" t="n">
        <v>1125000</v>
      </c>
      <c r="F12" s="16" t="n">
        <v>17972.41</v>
      </c>
      <c r="G12" s="16" t="n">
        <v>2246.55</v>
      </c>
      <c r="H12" s="16" t="n">
        <v>2246.55</v>
      </c>
      <c r="I12" s="16">
        <f>SUM(K12:T12)</f>
        <v/>
      </c>
      <c r="J12" s="16">
        <f>F12-(G12+H12+I12)</f>
        <v/>
      </c>
      <c r="K12" s="16" t="n">
        <v>1347.93</v>
      </c>
      <c r="L12" s="16" t="n">
        <v>1347.93</v>
      </c>
      <c r="M12" s="16" t="n">
        <v>1347.93</v>
      </c>
      <c r="N12" s="16" t="n">
        <v>1347.93</v>
      </c>
      <c r="O12" s="16" t="n">
        <v>1347.93</v>
      </c>
      <c r="P12" s="16" t="n">
        <v>1347.93</v>
      </c>
      <c r="Q12" s="16" t="n">
        <v>1347.93</v>
      </c>
      <c r="R12" s="16" t="n">
        <v>1347.93</v>
      </c>
      <c r="S12" s="16" t="n">
        <v>1347.93</v>
      </c>
      <c r="T12" s="16" t="n">
        <v>1347.93</v>
      </c>
      <c r="U12" s="16" t="n">
        <v>350</v>
      </c>
      <c r="V12" s="16" t="n">
        <v>250</v>
      </c>
      <c r="W12" s="16">
        <f>U12+V12</f>
        <v/>
      </c>
    </row>
    <row r="13">
      <c r="A13" s="3" t="inlineStr">
        <is>
          <t>CANON-202603-004470</t>
        </is>
      </c>
      <c r="B13" s="3" t="inlineStr">
        <is>
          <t>2026-03-21</t>
        </is>
      </c>
      <c r="C13" s="3" t="inlineStr">
        <is>
          <t>Ottilie Fairweather</t>
        </is>
      </c>
      <c r="D13" s="3" t="inlineStr">
        <is>
          <t>NH</t>
        </is>
      </c>
      <c r="E13" s="14" t="n">
        <v>495000</v>
      </c>
      <c r="F13" s="14" t="n">
        <v>9457.799999999999</v>
      </c>
      <c r="G13" s="14" t="n">
        <v>1182.22</v>
      </c>
      <c r="H13" s="14" t="n">
        <v>1182.22</v>
      </c>
      <c r="I13" s="14">
        <f>SUM(K13:T13)</f>
        <v/>
      </c>
      <c r="J13" s="14">
        <f>F13-(G13+H13+I13)</f>
        <v/>
      </c>
      <c r="K13" s="14" t="n">
        <v>709.33</v>
      </c>
      <c r="L13" s="14" t="n">
        <v>709.33</v>
      </c>
      <c r="M13" s="14" t="n">
        <v>709.33</v>
      </c>
      <c r="N13" s="14" t="n">
        <v>709.33</v>
      </c>
      <c r="O13" s="14" t="n">
        <v>709.33</v>
      </c>
      <c r="P13" s="14" t="n">
        <v>709.33</v>
      </c>
      <c r="Q13" s="14" t="n">
        <v>709.33</v>
      </c>
      <c r="R13" s="14" t="n">
        <v>709.33</v>
      </c>
      <c r="S13" s="14" t="n">
        <v>709.33</v>
      </c>
      <c r="T13" s="14" t="n">
        <v>709.33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CANON-202603-004471</t>
        </is>
      </c>
      <c r="B14" s="15" t="inlineStr">
        <is>
          <t>2026-03-01</t>
        </is>
      </c>
      <c r="C14" s="15" t="inlineStr">
        <is>
          <t>Priya Montoya</t>
        </is>
      </c>
      <c r="D14" s="15" t="inlineStr">
        <is>
          <t>TN</t>
        </is>
      </c>
      <c r="E14" s="16" t="n">
        <v>1010000</v>
      </c>
      <c r="F14" s="16" t="n">
        <v>5376.26</v>
      </c>
      <c r="G14" s="16" t="n">
        <v>672.03</v>
      </c>
      <c r="H14" s="16" t="n">
        <v>672.03</v>
      </c>
      <c r="I14" s="16">
        <f>SUM(K14:T14)</f>
        <v/>
      </c>
      <c r="J14" s="16">
        <f>F14-(G14+H14+I14)</f>
        <v/>
      </c>
      <c r="K14" s="16" t="n">
        <v>403.22</v>
      </c>
      <c r="L14" s="16" t="n">
        <v>403.22</v>
      </c>
      <c r="M14" s="16" t="n">
        <v>403.22</v>
      </c>
      <c r="N14" s="16" t="n">
        <v>403.22</v>
      </c>
      <c r="O14" s="16" t="n">
        <v>403.22</v>
      </c>
      <c r="P14" s="16" t="n">
        <v>403.22</v>
      </c>
      <c r="Q14" s="16" t="n">
        <v>403.22</v>
      </c>
      <c r="R14" s="16" t="n">
        <v>403.22</v>
      </c>
      <c r="S14" s="16" t="n">
        <v>403.22</v>
      </c>
      <c r="T14" s="16" t="n">
        <v>403.22</v>
      </c>
      <c r="U14" s="16" t="n">
        <v>350</v>
      </c>
      <c r="V14" s="16" t="n">
        <v>250</v>
      </c>
      <c r="W14" s="16">
        <f>U14+V14</f>
        <v/>
      </c>
    </row>
    <row r="15">
      <c r="A15" s="3" t="inlineStr">
        <is>
          <t>CANON-202603-004472</t>
        </is>
      </c>
      <c r="B15" s="3" t="inlineStr">
        <is>
          <t>2026-03-22</t>
        </is>
      </c>
      <c r="C15" s="3" t="inlineStr">
        <is>
          <t>Aurelio Chattopadhyay</t>
        </is>
      </c>
      <c r="D15" s="3" t="inlineStr">
        <is>
          <t>NY</t>
        </is>
      </c>
      <c r="E15" s="14" t="n">
        <v>505000</v>
      </c>
      <c r="F15" s="14" t="n">
        <v>8054.71</v>
      </c>
      <c r="G15" s="14" t="n">
        <v>1006.84</v>
      </c>
      <c r="H15" s="14" t="n">
        <v>1006.84</v>
      </c>
      <c r="I15" s="14">
        <f>SUM(K15:T15)</f>
        <v/>
      </c>
      <c r="J15" s="14">
        <f>F15-(G15+H15+I15)</f>
        <v/>
      </c>
      <c r="K15" s="14" t="n">
        <v>604.1</v>
      </c>
      <c r="L15" s="14" t="n">
        <v>604.1</v>
      </c>
      <c r="M15" s="14" t="n">
        <v>604.1</v>
      </c>
      <c r="N15" s="14" t="n">
        <v>604.1</v>
      </c>
      <c r="O15" s="14" t="n">
        <v>604.1</v>
      </c>
      <c r="P15" s="14" t="n">
        <v>604.1</v>
      </c>
      <c r="Q15" s="14" t="n">
        <v>604.1</v>
      </c>
      <c r="R15" s="14" t="n">
        <v>604.1</v>
      </c>
      <c r="S15" s="14" t="n">
        <v>604.1</v>
      </c>
      <c r="T15" s="14" t="n">
        <v>604.1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CANON-202603-004473</t>
        </is>
      </c>
      <c r="B16" s="15" t="inlineStr">
        <is>
          <t>2026-03-22</t>
        </is>
      </c>
      <c r="C16" s="15" t="inlineStr">
        <is>
          <t>Saoirse Ashcombe</t>
        </is>
      </c>
      <c r="D16" s="15" t="inlineStr">
        <is>
          <t>IL</t>
        </is>
      </c>
      <c r="E16" s="16" t="n">
        <v>385000</v>
      </c>
      <c r="F16" s="16" t="n">
        <v>6273.56</v>
      </c>
      <c r="G16" s="16" t="n">
        <v>784.2</v>
      </c>
      <c r="H16" s="16" t="n">
        <v>784.2</v>
      </c>
      <c r="I16" s="16">
        <f>SUM(K16:T16)</f>
        <v/>
      </c>
      <c r="J16" s="16">
        <f>F16-(G16+H16+I16)</f>
        <v/>
      </c>
      <c r="K16" s="16" t="n">
        <v>470.52</v>
      </c>
      <c r="L16" s="16" t="n">
        <v>470.52</v>
      </c>
      <c r="M16" s="16" t="n">
        <v>470.52</v>
      </c>
      <c r="N16" s="16" t="n">
        <v>470.52</v>
      </c>
      <c r="O16" s="16" t="n">
        <v>470.52</v>
      </c>
      <c r="P16" s="16" t="n">
        <v>470.52</v>
      </c>
      <c r="Q16" s="16" t="n">
        <v>470.52</v>
      </c>
      <c r="R16" s="16" t="n">
        <v>470.52</v>
      </c>
      <c r="S16" s="16" t="n">
        <v>470.52</v>
      </c>
      <c r="T16" s="16" t="n">
        <v>470.52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CANON-202603-004474</t>
        </is>
      </c>
      <c r="B17" s="3" t="inlineStr">
        <is>
          <t>2026-03-13</t>
        </is>
      </c>
      <c r="C17" s="3" t="inlineStr">
        <is>
          <t>Cassius Larsson</t>
        </is>
      </c>
      <c r="D17" s="3" t="inlineStr">
        <is>
          <t>HI</t>
        </is>
      </c>
      <c r="E17" s="14" t="n">
        <v>1095000</v>
      </c>
      <c r="F17" s="14" t="n">
        <v>12507.6</v>
      </c>
      <c r="G17" s="14" t="n">
        <v>1563.45</v>
      </c>
      <c r="H17" s="14" t="n">
        <v>1563.45</v>
      </c>
      <c r="I17" s="14">
        <f>SUM(K17:T17)</f>
        <v/>
      </c>
      <c r="J17" s="14">
        <f>F17-(G17+H17+I17)</f>
        <v/>
      </c>
      <c r="K17" s="14" t="n">
        <v>938.0700000000001</v>
      </c>
      <c r="L17" s="14" t="n">
        <v>938.0700000000001</v>
      </c>
      <c r="M17" s="14" t="n">
        <v>938.0700000000001</v>
      </c>
      <c r="N17" s="14" t="n">
        <v>938.0700000000001</v>
      </c>
      <c r="O17" s="14" t="n">
        <v>938.0700000000001</v>
      </c>
      <c r="P17" s="14" t="n">
        <v>938.0700000000001</v>
      </c>
      <c r="Q17" s="14" t="n">
        <v>938.0700000000001</v>
      </c>
      <c r="R17" s="14" t="n">
        <v>938.0700000000001</v>
      </c>
      <c r="S17" s="14" t="n">
        <v>938.0700000000001</v>
      </c>
      <c r="T17" s="14" t="n">
        <v>938.0700000000001</v>
      </c>
      <c r="U17" s="14" t="n">
        <v>350</v>
      </c>
      <c r="V17" s="14" t="n">
        <v>250</v>
      </c>
      <c r="W17" s="14">
        <f>U17+V17</f>
        <v/>
      </c>
    </row>
    <row r="18">
      <c r="A18" s="15" t="inlineStr">
        <is>
          <t>CANON-202603-004475</t>
        </is>
      </c>
      <c r="B18" s="15" t="inlineStr">
        <is>
          <t>2026-03-21</t>
        </is>
      </c>
      <c r="C18" s="15" t="inlineStr">
        <is>
          <t>Callum Farkas</t>
        </is>
      </c>
      <c r="D18" s="15" t="inlineStr">
        <is>
          <t>MI</t>
        </is>
      </c>
      <c r="E18" s="16" t="n">
        <v>160000</v>
      </c>
      <c r="F18" s="16" t="n">
        <v>3644.97</v>
      </c>
      <c r="G18" s="16" t="n">
        <v>455.62</v>
      </c>
      <c r="H18" s="16" t="n">
        <v>455.62</v>
      </c>
      <c r="I18" s="16">
        <f>SUM(K18:T18)</f>
        <v/>
      </c>
      <c r="J18" s="16">
        <f>F18-(G18+H18+I18)</f>
        <v/>
      </c>
      <c r="K18" s="16" t="n">
        <v>273.37</v>
      </c>
      <c r="L18" s="16" t="n">
        <v>273.37</v>
      </c>
      <c r="M18" s="16" t="n">
        <v>273.37</v>
      </c>
      <c r="N18" s="16" t="n">
        <v>273.37</v>
      </c>
      <c r="O18" s="16" t="n">
        <v>273.37</v>
      </c>
      <c r="P18" s="16" t="n">
        <v>273.37</v>
      </c>
      <c r="Q18" s="16" t="n">
        <v>273.37</v>
      </c>
      <c r="R18" s="16" t="n">
        <v>273.37</v>
      </c>
      <c r="S18" s="16" t="n">
        <v>273.37</v>
      </c>
      <c r="T18" s="16" t="n">
        <v>273.37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CANON-202603-004476</t>
        </is>
      </c>
      <c r="B19" s="3" t="inlineStr">
        <is>
          <t>2026-03-31</t>
        </is>
      </c>
      <c r="C19" s="3" t="inlineStr">
        <is>
          <t>Thaddeus Ashcombe</t>
        </is>
      </c>
      <c r="D19" s="3" t="inlineStr">
        <is>
          <t>FL</t>
        </is>
      </c>
      <c r="E19" s="14" t="n">
        <v>385000</v>
      </c>
      <c r="F19" s="14" t="n">
        <v>6550.34</v>
      </c>
      <c r="G19" s="14" t="n">
        <v>818.79</v>
      </c>
      <c r="H19" s="14" t="n">
        <v>818.79</v>
      </c>
      <c r="I19" s="14">
        <f>SUM(K19:T19)</f>
        <v/>
      </c>
      <c r="J19" s="14">
        <f>F19-(G19+H19+I19)</f>
        <v/>
      </c>
      <c r="K19" s="14" t="n">
        <v>491.28</v>
      </c>
      <c r="L19" s="14" t="n">
        <v>491.28</v>
      </c>
      <c r="M19" s="14" t="n">
        <v>491.28</v>
      </c>
      <c r="N19" s="14" t="n">
        <v>491.28</v>
      </c>
      <c r="O19" s="14" t="n">
        <v>491.28</v>
      </c>
      <c r="P19" s="14" t="n">
        <v>491.28</v>
      </c>
      <c r="Q19" s="14" t="n">
        <v>491.28</v>
      </c>
      <c r="R19" s="14" t="n">
        <v>491.28</v>
      </c>
      <c r="S19" s="14" t="n">
        <v>491.28</v>
      </c>
      <c r="T19" s="14" t="n">
        <v>491.28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CANON-202603-004477</t>
        </is>
      </c>
      <c r="B20" s="15" t="inlineStr">
        <is>
          <t>2026-03-27</t>
        </is>
      </c>
      <c r="C20" s="15" t="inlineStr">
        <is>
          <t>Fitzgerald Vandermeer</t>
        </is>
      </c>
      <c r="D20" s="15" t="inlineStr">
        <is>
          <t>VT</t>
        </is>
      </c>
      <c r="E20" s="16" t="n">
        <v>310000</v>
      </c>
      <c r="F20" s="16" t="n">
        <v>5316.89</v>
      </c>
      <c r="G20" s="16" t="n">
        <v>664.61</v>
      </c>
      <c r="H20" s="16" t="n">
        <v>664.61</v>
      </c>
      <c r="I20" s="16">
        <f>SUM(K20:T20)</f>
        <v/>
      </c>
      <c r="J20" s="16">
        <f>F20-(G20+H20+I20)</f>
        <v/>
      </c>
      <c r="K20" s="16" t="n">
        <v>398.77</v>
      </c>
      <c r="L20" s="16" t="n">
        <v>398.77</v>
      </c>
      <c r="M20" s="16" t="n">
        <v>398.77</v>
      </c>
      <c r="N20" s="16" t="n">
        <v>398.77</v>
      </c>
      <c r="O20" s="16" t="n">
        <v>398.77</v>
      </c>
      <c r="P20" s="16" t="n">
        <v>398.77</v>
      </c>
      <c r="Q20" s="16" t="n">
        <v>398.77</v>
      </c>
      <c r="R20" s="16" t="n">
        <v>398.77</v>
      </c>
      <c r="S20" s="16" t="n">
        <v>398.77</v>
      </c>
      <c r="T20" s="16" t="n">
        <v>398.77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CANON-202603-004480</t>
        </is>
      </c>
      <c r="B21" s="3" t="inlineStr">
        <is>
          <t>2026-03-20</t>
        </is>
      </c>
      <c r="C21" s="3" t="inlineStr">
        <is>
          <t>Everett Ashcombe</t>
        </is>
      </c>
      <c r="D21" s="3" t="inlineStr">
        <is>
          <t>ID</t>
        </is>
      </c>
      <c r="E21" s="14" t="n">
        <v>1455000</v>
      </c>
      <c r="F21" s="14" t="n">
        <v>8744.51</v>
      </c>
      <c r="G21" s="14" t="n">
        <v>1093.06</v>
      </c>
      <c r="H21" s="14" t="n">
        <v>1093.06</v>
      </c>
      <c r="I21" s="14">
        <f>SUM(K21:T21)</f>
        <v/>
      </c>
      <c r="J21" s="14">
        <f>F21-(G21+H21+I21)</f>
        <v/>
      </c>
      <c r="K21" s="14" t="n">
        <v>655.84</v>
      </c>
      <c r="L21" s="14" t="n">
        <v>655.84</v>
      </c>
      <c r="M21" s="14" t="n">
        <v>655.84</v>
      </c>
      <c r="N21" s="14" t="n">
        <v>655.84</v>
      </c>
      <c r="O21" s="14" t="n">
        <v>655.84</v>
      </c>
      <c r="P21" s="14" t="n">
        <v>655.84</v>
      </c>
      <c r="Q21" s="14" t="n">
        <v>655.84</v>
      </c>
      <c r="R21" s="14" t="n">
        <v>655.84</v>
      </c>
      <c r="S21" s="14" t="n">
        <v>655.84</v>
      </c>
      <c r="T21" s="14" t="n">
        <v>655.84</v>
      </c>
      <c r="U21" s="14" t="n">
        <v>350</v>
      </c>
      <c r="V21" s="14" t="n">
        <v>250</v>
      </c>
      <c r="W21" s="14">
        <f>U21+V21</f>
        <v/>
      </c>
    </row>
    <row r="22">
      <c r="A22" s="15" t="inlineStr">
        <is>
          <t>CANON-202603-004481</t>
        </is>
      </c>
      <c r="B22" s="15" t="inlineStr">
        <is>
          <t>2026-03-08</t>
        </is>
      </c>
      <c r="C22" s="15" t="inlineStr">
        <is>
          <t>Horace Vasquez</t>
        </is>
      </c>
      <c r="D22" s="15" t="inlineStr">
        <is>
          <t>ND</t>
        </is>
      </c>
      <c r="E22" s="16" t="n">
        <v>1455000</v>
      </c>
      <c r="F22" s="16" t="n">
        <v>13040.06</v>
      </c>
      <c r="G22" s="16" t="n">
        <v>1630.01</v>
      </c>
      <c r="H22" s="16" t="n">
        <v>1630.01</v>
      </c>
      <c r="I22" s="16">
        <f>SUM(K22:T22)</f>
        <v/>
      </c>
      <c r="J22" s="16">
        <f>F22-(G22+H22+I22)</f>
        <v/>
      </c>
      <c r="K22" s="16" t="n">
        <v>978</v>
      </c>
      <c r="L22" s="16" t="n">
        <v>978</v>
      </c>
      <c r="M22" s="16" t="n">
        <v>978</v>
      </c>
      <c r="N22" s="16" t="n">
        <v>978</v>
      </c>
      <c r="O22" s="16" t="n">
        <v>978</v>
      </c>
      <c r="P22" s="16" t="n">
        <v>978</v>
      </c>
      <c r="Q22" s="16" t="n">
        <v>978</v>
      </c>
      <c r="R22" s="16" t="n">
        <v>978</v>
      </c>
      <c r="S22" s="16" t="n">
        <v>978</v>
      </c>
      <c r="T22" s="16" t="n">
        <v>978</v>
      </c>
      <c r="U22" s="16" t="n">
        <v>350</v>
      </c>
      <c r="V22" s="16" t="n">
        <v>250</v>
      </c>
      <c r="W22" s="16">
        <f>U22+V22</f>
        <v/>
      </c>
    </row>
    <row r="23">
      <c r="A23" s="3" t="inlineStr">
        <is>
          <t>CANON-202603-004482</t>
        </is>
      </c>
      <c r="B23" s="3" t="inlineStr">
        <is>
          <t>2026-03-15</t>
        </is>
      </c>
      <c r="C23" s="3" t="inlineStr">
        <is>
          <t>Leopold Underwood</t>
        </is>
      </c>
      <c r="D23" s="3" t="inlineStr">
        <is>
          <t>WA</t>
        </is>
      </c>
      <c r="E23" s="14" t="n">
        <v>705000</v>
      </c>
      <c r="F23" s="14" t="n">
        <v>7027.93</v>
      </c>
      <c r="G23" s="14" t="n">
        <v>878.49</v>
      </c>
      <c r="H23" s="14" t="n">
        <v>878.49</v>
      </c>
      <c r="I23" s="14">
        <f>SUM(K23:T23)</f>
        <v/>
      </c>
      <c r="J23" s="14">
        <f>F23-(G23+H23+I23)</f>
        <v/>
      </c>
      <c r="K23" s="14" t="n">
        <v>527.09</v>
      </c>
      <c r="L23" s="14" t="n">
        <v>527.09</v>
      </c>
      <c r="M23" s="14" t="n">
        <v>527.09</v>
      </c>
      <c r="N23" s="14" t="n">
        <v>527.09</v>
      </c>
      <c r="O23" s="14" t="n">
        <v>527.09</v>
      </c>
      <c r="P23" s="14" t="n">
        <v>527.09</v>
      </c>
      <c r="Q23" s="14" t="n">
        <v>527.09</v>
      </c>
      <c r="R23" s="14" t="n">
        <v>527.09</v>
      </c>
      <c r="S23" s="14" t="n">
        <v>527.09</v>
      </c>
      <c r="T23" s="14" t="n">
        <v>527.09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CANON-202603-004484</t>
        </is>
      </c>
      <c r="B24" s="15" t="inlineStr">
        <is>
          <t>2026-03-26</t>
        </is>
      </c>
      <c r="C24" s="15" t="inlineStr">
        <is>
          <t>Mireille Vasquez</t>
        </is>
      </c>
      <c r="D24" s="15" t="inlineStr">
        <is>
          <t>MT</t>
        </is>
      </c>
      <c r="E24" s="16" t="n">
        <v>650000</v>
      </c>
      <c r="F24" s="16" t="n">
        <v>6277.16</v>
      </c>
      <c r="G24" s="16" t="n">
        <v>784.64</v>
      </c>
      <c r="H24" s="16" t="n">
        <v>784.64</v>
      </c>
      <c r="I24" s="16">
        <f>SUM(K24:T24)</f>
        <v/>
      </c>
      <c r="J24" s="16">
        <f>F24-(G24+H24+I24)</f>
        <v/>
      </c>
      <c r="K24" s="16" t="n">
        <v>470.79</v>
      </c>
      <c r="L24" s="16" t="n">
        <v>470.79</v>
      </c>
      <c r="M24" s="16" t="n">
        <v>470.79</v>
      </c>
      <c r="N24" s="16" t="n">
        <v>470.79</v>
      </c>
      <c r="O24" s="16" t="n">
        <v>470.79</v>
      </c>
      <c r="P24" s="16" t="n">
        <v>470.79</v>
      </c>
      <c r="Q24" s="16" t="n">
        <v>470.79</v>
      </c>
      <c r="R24" s="16" t="n">
        <v>470.79</v>
      </c>
      <c r="S24" s="16" t="n">
        <v>470.79</v>
      </c>
      <c r="T24" s="16" t="n">
        <v>470.79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CANON-202603-004485</t>
        </is>
      </c>
      <c r="B25" s="3" t="inlineStr">
        <is>
          <t>2026-03-23</t>
        </is>
      </c>
      <c r="C25" s="3" t="inlineStr">
        <is>
          <t>Priya Castellanos</t>
        </is>
      </c>
      <c r="D25" s="3" t="inlineStr">
        <is>
          <t>AR</t>
        </is>
      </c>
      <c r="E25" s="14" t="n">
        <v>570000</v>
      </c>
      <c r="F25" s="14" t="n">
        <v>8168.1</v>
      </c>
      <c r="G25" s="14" t="n">
        <v>1021.01</v>
      </c>
      <c r="H25" s="14" t="n">
        <v>1021.01</v>
      </c>
      <c r="I25" s="14">
        <f>SUM(K25:T25)</f>
        <v/>
      </c>
      <c r="J25" s="14">
        <f>F25-(G25+H25+I25)</f>
        <v/>
      </c>
      <c r="K25" s="14" t="n">
        <v>612.61</v>
      </c>
      <c r="L25" s="14" t="n">
        <v>612.61</v>
      </c>
      <c r="M25" s="14" t="n">
        <v>612.61</v>
      </c>
      <c r="N25" s="14" t="n">
        <v>612.61</v>
      </c>
      <c r="O25" s="14" t="n">
        <v>612.61</v>
      </c>
      <c r="P25" s="14" t="n">
        <v>612.61</v>
      </c>
      <c r="Q25" s="14" t="n">
        <v>612.61</v>
      </c>
      <c r="R25" s="14" t="n">
        <v>612.61</v>
      </c>
      <c r="S25" s="14" t="n">
        <v>612.61</v>
      </c>
      <c r="T25" s="14" t="n">
        <v>612.61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CANON-202603-004486</t>
        </is>
      </c>
      <c r="B26" s="15" t="inlineStr">
        <is>
          <t>2026-03-24</t>
        </is>
      </c>
      <c r="C26" s="15" t="inlineStr">
        <is>
          <t>Thaddeus Montoya</t>
        </is>
      </c>
      <c r="D26" s="15" t="inlineStr">
        <is>
          <t>UT</t>
        </is>
      </c>
      <c r="E26" s="16" t="n">
        <v>520000</v>
      </c>
      <c r="F26" s="16" t="n">
        <v>7289.6</v>
      </c>
      <c r="G26" s="16" t="n">
        <v>911.2</v>
      </c>
      <c r="H26" s="16" t="n">
        <v>911.2</v>
      </c>
      <c r="I26" s="16">
        <f>SUM(K26:T26)</f>
        <v/>
      </c>
      <c r="J26" s="16">
        <f>F26-(G26+H26+I26)</f>
        <v/>
      </c>
      <c r="K26" s="16" t="n">
        <v>546.72</v>
      </c>
      <c r="L26" s="16" t="n">
        <v>546.72</v>
      </c>
      <c r="M26" s="16" t="n">
        <v>546.72</v>
      </c>
      <c r="N26" s="16" t="n">
        <v>546.72</v>
      </c>
      <c r="O26" s="16" t="n">
        <v>546.72</v>
      </c>
      <c r="P26" s="16" t="n">
        <v>546.72</v>
      </c>
      <c r="Q26" s="16" t="n">
        <v>546.72</v>
      </c>
      <c r="R26" s="16" t="n">
        <v>546.72</v>
      </c>
      <c r="S26" s="16" t="n">
        <v>546.72</v>
      </c>
      <c r="T26" s="16" t="n">
        <v>546.72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CANON-202603-004487</t>
        </is>
      </c>
      <c r="B27" s="3" t="inlineStr">
        <is>
          <t>2026-03-05</t>
        </is>
      </c>
      <c r="C27" s="3" t="inlineStr">
        <is>
          <t>Delphine Farkas</t>
        </is>
      </c>
      <c r="D27" s="3" t="inlineStr">
        <is>
          <t>CA</t>
        </is>
      </c>
      <c r="E27" s="14" t="n">
        <v>220000</v>
      </c>
      <c r="F27" s="14" t="n">
        <v>4365.14</v>
      </c>
      <c r="G27" s="14" t="n">
        <v>545.64</v>
      </c>
      <c r="H27" s="14" t="n">
        <v>545.64</v>
      </c>
      <c r="I27" s="14">
        <f>SUM(K27:T27)</f>
        <v/>
      </c>
      <c r="J27" s="14">
        <f>F27-(G27+H27+I27)</f>
        <v/>
      </c>
      <c r="K27" s="14" t="n">
        <v>327.39</v>
      </c>
      <c r="L27" s="14" t="n">
        <v>327.39</v>
      </c>
      <c r="M27" s="14" t="n">
        <v>327.39</v>
      </c>
      <c r="N27" s="14" t="n">
        <v>327.39</v>
      </c>
      <c r="O27" s="14" t="n">
        <v>327.39</v>
      </c>
      <c r="P27" s="14" t="n">
        <v>327.39</v>
      </c>
      <c r="Q27" s="14" t="n">
        <v>327.39</v>
      </c>
      <c r="R27" s="14" t="n">
        <v>327.39</v>
      </c>
      <c r="S27" s="14" t="n">
        <v>327.39</v>
      </c>
      <c r="T27" s="14" t="n">
        <v>327.39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CANON-202603-004488</t>
        </is>
      </c>
      <c r="B28" s="15" t="inlineStr">
        <is>
          <t>2026-03-13</t>
        </is>
      </c>
      <c r="C28" s="15" t="inlineStr">
        <is>
          <t>Horace Vandermeer</t>
        </is>
      </c>
      <c r="D28" s="15" t="inlineStr">
        <is>
          <t>KY</t>
        </is>
      </c>
      <c r="E28" s="16" t="n">
        <v>555000</v>
      </c>
      <c r="F28" s="16" t="n">
        <v>11286.91</v>
      </c>
      <c r="G28" s="16" t="n">
        <v>1410.86</v>
      </c>
      <c r="H28" s="16" t="n">
        <v>1410.86</v>
      </c>
      <c r="I28" s="16">
        <f>SUM(K28:T28)</f>
        <v/>
      </c>
      <c r="J28" s="16">
        <f>F28-(G28+H28+I28)</f>
        <v/>
      </c>
      <c r="K28" s="16" t="n">
        <v>846.52</v>
      </c>
      <c r="L28" s="16" t="n">
        <v>846.52</v>
      </c>
      <c r="M28" s="16" t="n">
        <v>846.52</v>
      </c>
      <c r="N28" s="16" t="n">
        <v>846.52</v>
      </c>
      <c r="O28" s="16" t="n">
        <v>846.52</v>
      </c>
      <c r="P28" s="16" t="n">
        <v>846.52</v>
      </c>
      <c r="Q28" s="16" t="n">
        <v>846.52</v>
      </c>
      <c r="R28" s="16" t="n">
        <v>846.52</v>
      </c>
      <c r="S28" s="16" t="n">
        <v>846.52</v>
      </c>
      <c r="T28" s="16" t="n">
        <v>846.52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CANON-202603-004489</t>
        </is>
      </c>
      <c r="B29" s="3" t="inlineStr">
        <is>
          <t>2026-03-13</t>
        </is>
      </c>
      <c r="C29" s="3" t="inlineStr">
        <is>
          <t>Saoirse Pennington</t>
        </is>
      </c>
      <c r="D29" s="3" t="inlineStr">
        <is>
          <t>AR</t>
        </is>
      </c>
      <c r="E29" s="14" t="n">
        <v>710000</v>
      </c>
      <c r="F29" s="14" t="n">
        <v>10174.3</v>
      </c>
      <c r="G29" s="14" t="n">
        <v>1271.79</v>
      </c>
      <c r="H29" s="14" t="n">
        <v>1271.79</v>
      </c>
      <c r="I29" s="14">
        <f>SUM(K29:T29)</f>
        <v/>
      </c>
      <c r="J29" s="14">
        <f>F29-(G29+H29+I29)</f>
        <v/>
      </c>
      <c r="K29" s="14" t="n">
        <v>763.0700000000001</v>
      </c>
      <c r="L29" s="14" t="n">
        <v>763.0700000000001</v>
      </c>
      <c r="M29" s="14" t="n">
        <v>763.0700000000001</v>
      </c>
      <c r="N29" s="14" t="n">
        <v>763.0700000000001</v>
      </c>
      <c r="O29" s="14" t="n">
        <v>763.0700000000001</v>
      </c>
      <c r="P29" s="14" t="n">
        <v>763.0700000000001</v>
      </c>
      <c r="Q29" s="14" t="n">
        <v>763.0700000000001</v>
      </c>
      <c r="R29" s="14" t="n">
        <v>763.0700000000001</v>
      </c>
      <c r="S29" s="14" t="n">
        <v>763.0700000000001</v>
      </c>
      <c r="T29" s="14" t="n">
        <v>763.0700000000001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CANON-202603-004490</t>
        </is>
      </c>
      <c r="B30" s="15" t="inlineStr">
        <is>
          <t>2026-03-04</t>
        </is>
      </c>
      <c r="C30" s="15" t="inlineStr">
        <is>
          <t>Horace Ashcombe</t>
        </is>
      </c>
      <c r="D30" s="15" t="inlineStr">
        <is>
          <t>AZ</t>
        </is>
      </c>
      <c r="E30" s="16" t="n">
        <v>285000</v>
      </c>
      <c r="F30" s="16" t="n">
        <v>3448.91</v>
      </c>
      <c r="G30" s="16" t="n">
        <v>431.11</v>
      </c>
      <c r="H30" s="16" t="n">
        <v>431.11</v>
      </c>
      <c r="I30" s="16">
        <f>SUM(K30:T30)</f>
        <v/>
      </c>
      <c r="J30" s="16">
        <f>F30-(G30+H30+I30)</f>
        <v/>
      </c>
      <c r="K30" s="16" t="n">
        <v>258.67</v>
      </c>
      <c r="L30" s="16" t="n">
        <v>258.67</v>
      </c>
      <c r="M30" s="16" t="n">
        <v>258.67</v>
      </c>
      <c r="N30" s="16" t="n">
        <v>258.67</v>
      </c>
      <c r="O30" s="16" t="n">
        <v>258.67</v>
      </c>
      <c r="P30" s="16" t="n">
        <v>258.67</v>
      </c>
      <c r="Q30" s="16" t="n">
        <v>258.67</v>
      </c>
      <c r="R30" s="16" t="n">
        <v>258.67</v>
      </c>
      <c r="S30" s="16" t="n">
        <v>258.67</v>
      </c>
      <c r="T30" s="16" t="n">
        <v>258.67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CANON-202603-004491</t>
        </is>
      </c>
      <c r="B31" s="3" t="inlineStr">
        <is>
          <t>2026-03-06</t>
        </is>
      </c>
      <c r="C31" s="3" t="inlineStr">
        <is>
          <t>Ingrid Whitlock</t>
        </is>
      </c>
      <c r="D31" s="3" t="inlineStr">
        <is>
          <t>RI</t>
        </is>
      </c>
      <c r="E31" s="14" t="n">
        <v>340000</v>
      </c>
      <c r="F31" s="14" t="n">
        <v>6548.41</v>
      </c>
      <c r="G31" s="14" t="n">
        <v>818.55</v>
      </c>
      <c r="H31" s="14" t="n">
        <v>818.55</v>
      </c>
      <c r="I31" s="14">
        <f>SUM(K31:T31)</f>
        <v/>
      </c>
      <c r="J31" s="14">
        <f>F31-(G31+H31+I31)</f>
        <v/>
      </c>
      <c r="K31" s="14" t="n">
        <v>491.13</v>
      </c>
      <c r="L31" s="14" t="n">
        <v>491.13</v>
      </c>
      <c r="M31" s="14" t="n">
        <v>491.13</v>
      </c>
      <c r="N31" s="14" t="n">
        <v>491.13</v>
      </c>
      <c r="O31" s="14" t="n">
        <v>491.13</v>
      </c>
      <c r="P31" s="14" t="n">
        <v>491.13</v>
      </c>
      <c r="Q31" s="14" t="n">
        <v>491.13</v>
      </c>
      <c r="R31" s="14" t="n">
        <v>491.13</v>
      </c>
      <c r="S31" s="14" t="n">
        <v>491.13</v>
      </c>
      <c r="T31" s="14" t="n">
        <v>491.13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CANON-202603-004493</t>
        </is>
      </c>
      <c r="B32" s="15" t="inlineStr">
        <is>
          <t>2026-03-22</t>
        </is>
      </c>
      <c r="C32" s="15" t="inlineStr">
        <is>
          <t>Saoirse Vandermeer</t>
        </is>
      </c>
      <c r="D32" s="15" t="inlineStr">
        <is>
          <t>CA</t>
        </is>
      </c>
      <c r="E32" s="16" t="n">
        <v>290000</v>
      </c>
      <c r="F32" s="16" t="n">
        <v>4690.79</v>
      </c>
      <c r="G32" s="16" t="n">
        <v>586.35</v>
      </c>
      <c r="H32" s="16" t="n">
        <v>586.35</v>
      </c>
      <c r="I32" s="16">
        <f>SUM(K32:T32)</f>
        <v/>
      </c>
      <c r="J32" s="16">
        <f>F32-(G32+H32+I32)</f>
        <v/>
      </c>
      <c r="K32" s="16" t="n">
        <v>351.81</v>
      </c>
      <c r="L32" s="16" t="n">
        <v>351.81</v>
      </c>
      <c r="M32" s="16" t="n">
        <v>351.81</v>
      </c>
      <c r="N32" s="16" t="n">
        <v>351.81</v>
      </c>
      <c r="O32" s="16" t="n">
        <v>351.81</v>
      </c>
      <c r="P32" s="16" t="n">
        <v>351.81</v>
      </c>
      <c r="Q32" s="16" t="n">
        <v>351.81</v>
      </c>
      <c r="R32" s="16" t="n">
        <v>351.81</v>
      </c>
      <c r="S32" s="16" t="n">
        <v>351.81</v>
      </c>
      <c r="T32" s="16" t="n">
        <v>351.81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CANON-202603-004494</t>
        </is>
      </c>
      <c r="B33" s="3" t="inlineStr">
        <is>
          <t>2026-03-10</t>
        </is>
      </c>
      <c r="C33" s="3" t="inlineStr">
        <is>
          <t>Emiliano Bellandi</t>
        </is>
      </c>
      <c r="D33" s="3" t="inlineStr">
        <is>
          <t>NV</t>
        </is>
      </c>
      <c r="E33" s="14" t="n">
        <v>330000</v>
      </c>
      <c r="F33" s="14" t="n">
        <v>4626.1</v>
      </c>
      <c r="G33" s="14" t="n">
        <v>578.26</v>
      </c>
      <c r="H33" s="14" t="n">
        <v>578.26</v>
      </c>
      <c r="I33" s="14">
        <f>SUM(K33:T33)</f>
        <v/>
      </c>
      <c r="J33" s="14">
        <f>F33-(G33+H33+I33)</f>
        <v/>
      </c>
      <c r="K33" s="14" t="n">
        <v>346.96</v>
      </c>
      <c r="L33" s="14" t="n">
        <v>346.96</v>
      </c>
      <c r="M33" s="14" t="n">
        <v>346.96</v>
      </c>
      <c r="N33" s="14" t="n">
        <v>346.96</v>
      </c>
      <c r="O33" s="14" t="n">
        <v>346.96</v>
      </c>
      <c r="P33" s="14" t="n">
        <v>346.96</v>
      </c>
      <c r="Q33" s="14" t="n">
        <v>346.96</v>
      </c>
      <c r="R33" s="14" t="n">
        <v>346.96</v>
      </c>
      <c r="S33" s="14" t="n">
        <v>346.96</v>
      </c>
      <c r="T33" s="14" t="n">
        <v>346.96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CANON-202603-004495</t>
        </is>
      </c>
      <c r="B34" s="15" t="inlineStr">
        <is>
          <t>2026-03-04</t>
        </is>
      </c>
      <c r="C34" s="15" t="inlineStr">
        <is>
          <t>Ottilie Okonkwo</t>
        </is>
      </c>
      <c r="D34" s="15" t="inlineStr">
        <is>
          <t>OH</t>
        </is>
      </c>
      <c r="E34" s="16" t="n">
        <v>415000</v>
      </c>
      <c r="F34" s="16" t="n">
        <v>4423.41</v>
      </c>
      <c r="G34" s="16" t="n">
        <v>552.9299999999999</v>
      </c>
      <c r="H34" s="16" t="n">
        <v>552.9299999999999</v>
      </c>
      <c r="I34" s="16">
        <f>SUM(K34:T34)</f>
        <v/>
      </c>
      <c r="J34" s="16">
        <f>F34-(G34+H34+I34)</f>
        <v/>
      </c>
      <c r="K34" s="16" t="n">
        <v>331.76</v>
      </c>
      <c r="L34" s="16" t="n">
        <v>331.76</v>
      </c>
      <c r="M34" s="16" t="n">
        <v>331.76</v>
      </c>
      <c r="N34" s="16" t="n">
        <v>331.76</v>
      </c>
      <c r="O34" s="16" t="n">
        <v>331.76</v>
      </c>
      <c r="P34" s="16" t="n">
        <v>331.76</v>
      </c>
      <c r="Q34" s="16" t="n">
        <v>331.76</v>
      </c>
      <c r="R34" s="16" t="n">
        <v>331.76</v>
      </c>
      <c r="S34" s="16" t="n">
        <v>331.76</v>
      </c>
      <c r="T34" s="16" t="n">
        <v>331.76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CANON-202603-004496</t>
        </is>
      </c>
      <c r="B35" s="3" t="inlineStr">
        <is>
          <t>2026-03-18</t>
        </is>
      </c>
      <c r="C35" s="3" t="inlineStr">
        <is>
          <t>Ottilie Blackwood</t>
        </is>
      </c>
      <c r="D35" s="3" t="inlineStr">
        <is>
          <t>IA</t>
        </is>
      </c>
      <c r="E35" s="14" t="n">
        <v>1950000</v>
      </c>
      <c r="F35" s="14" t="n">
        <v>27413.91</v>
      </c>
      <c r="G35" s="14" t="n">
        <v>3426.74</v>
      </c>
      <c r="H35" s="14" t="n">
        <v>3426.74</v>
      </c>
      <c r="I35" s="14">
        <f>SUM(K35:T35)</f>
        <v/>
      </c>
      <c r="J35" s="14">
        <f>F35-(G35+H35+I35)</f>
        <v/>
      </c>
      <c r="K35" s="14" t="n">
        <v>2056.04</v>
      </c>
      <c r="L35" s="14" t="n">
        <v>2056.04</v>
      </c>
      <c r="M35" s="14" t="n">
        <v>2056.04</v>
      </c>
      <c r="N35" s="14" t="n">
        <v>2056.04</v>
      </c>
      <c r="O35" s="14" t="n">
        <v>2056.04</v>
      </c>
      <c r="P35" s="14" t="n">
        <v>2056.04</v>
      </c>
      <c r="Q35" s="14" t="n">
        <v>2056.04</v>
      </c>
      <c r="R35" s="14" t="n">
        <v>2056.04</v>
      </c>
      <c r="S35" s="14" t="n">
        <v>2056.04</v>
      </c>
      <c r="T35" s="14" t="n">
        <v>2056.04</v>
      </c>
      <c r="U35" s="14" t="n">
        <v>350</v>
      </c>
      <c r="V35" s="14" t="n">
        <v>250</v>
      </c>
      <c r="W35" s="14">
        <f>U35+V35</f>
        <v/>
      </c>
    </row>
    <row r="36">
      <c r="A36" s="15" t="inlineStr">
        <is>
          <t>CANON-202603-004497</t>
        </is>
      </c>
      <c r="B36" s="15" t="inlineStr">
        <is>
          <t>2026-03-10</t>
        </is>
      </c>
      <c r="C36" s="15" t="inlineStr">
        <is>
          <t>Cassius Castellanos</t>
        </is>
      </c>
      <c r="D36" s="15" t="inlineStr">
        <is>
          <t>FL</t>
        </is>
      </c>
      <c r="E36" s="16" t="n">
        <v>430000</v>
      </c>
      <c r="F36" s="16" t="n">
        <v>7315.97</v>
      </c>
      <c r="G36" s="16" t="n">
        <v>914.5</v>
      </c>
      <c r="H36" s="16" t="n">
        <v>914.5</v>
      </c>
      <c r="I36" s="16">
        <f>SUM(K36:T36)</f>
        <v/>
      </c>
      <c r="J36" s="16">
        <f>F36-(G36+H36+I36)</f>
        <v/>
      </c>
      <c r="K36" s="16" t="n">
        <v>548.7</v>
      </c>
      <c r="L36" s="16" t="n">
        <v>548.7</v>
      </c>
      <c r="M36" s="16" t="n">
        <v>548.7</v>
      </c>
      <c r="N36" s="16" t="n">
        <v>548.7</v>
      </c>
      <c r="O36" s="16" t="n">
        <v>548.7</v>
      </c>
      <c r="P36" s="16" t="n">
        <v>548.7</v>
      </c>
      <c r="Q36" s="16" t="n">
        <v>548.7</v>
      </c>
      <c r="R36" s="16" t="n">
        <v>548.7</v>
      </c>
      <c r="S36" s="16" t="n">
        <v>548.7</v>
      </c>
      <c r="T36" s="16" t="n">
        <v>548.7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CANON-202603-004498</t>
        </is>
      </c>
      <c r="B37" s="3" t="inlineStr">
        <is>
          <t>2026-03-14</t>
        </is>
      </c>
      <c r="C37" s="3" t="inlineStr">
        <is>
          <t>Lorenzo Merriweather</t>
        </is>
      </c>
      <c r="D37" s="3" t="inlineStr">
        <is>
          <t>RI</t>
        </is>
      </c>
      <c r="E37" s="14" t="n">
        <v>385000</v>
      </c>
      <c r="F37" s="14" t="n">
        <v>9690.200000000001</v>
      </c>
      <c r="G37" s="14" t="n">
        <v>1211.28</v>
      </c>
      <c r="H37" s="14" t="n">
        <v>1211.28</v>
      </c>
      <c r="I37" s="14">
        <f>SUM(K37:T37)</f>
        <v/>
      </c>
      <c r="J37" s="14">
        <f>F37-(G37+H37+I37)</f>
        <v/>
      </c>
      <c r="K37" s="14" t="n">
        <v>726.76</v>
      </c>
      <c r="L37" s="14" t="n">
        <v>726.76</v>
      </c>
      <c r="M37" s="14" t="n">
        <v>726.76</v>
      </c>
      <c r="N37" s="14" t="n">
        <v>726.76</v>
      </c>
      <c r="O37" s="14" t="n">
        <v>726.76</v>
      </c>
      <c r="P37" s="14" t="n">
        <v>726.76</v>
      </c>
      <c r="Q37" s="14" t="n">
        <v>726.76</v>
      </c>
      <c r="R37" s="14" t="n">
        <v>726.76</v>
      </c>
      <c r="S37" s="14" t="n">
        <v>726.76</v>
      </c>
      <c r="T37" s="14" t="n">
        <v>726.76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CANON-202603-004500</t>
        </is>
      </c>
      <c r="B38" s="15" t="inlineStr">
        <is>
          <t>2026-03-28</t>
        </is>
      </c>
      <c r="C38" s="15" t="inlineStr">
        <is>
          <t>Saoirse Whitlock</t>
        </is>
      </c>
      <c r="D38" s="15" t="inlineStr">
        <is>
          <t>FL</t>
        </is>
      </c>
      <c r="E38" s="16" t="n">
        <v>535000</v>
      </c>
      <c r="F38" s="16" t="n">
        <v>7888.77</v>
      </c>
      <c r="G38" s="16" t="n">
        <v>986.1</v>
      </c>
      <c r="H38" s="16" t="n">
        <v>986.1</v>
      </c>
      <c r="I38" s="16">
        <f>SUM(K38:T38)</f>
        <v/>
      </c>
      <c r="J38" s="16">
        <f>F38-(G38+H38+I38)</f>
        <v/>
      </c>
      <c r="K38" s="16" t="n">
        <v>591.66</v>
      </c>
      <c r="L38" s="16" t="n">
        <v>591.66</v>
      </c>
      <c r="M38" s="16" t="n">
        <v>591.66</v>
      </c>
      <c r="N38" s="16" t="n">
        <v>591.66</v>
      </c>
      <c r="O38" s="16" t="n">
        <v>591.66</v>
      </c>
      <c r="P38" s="16" t="n">
        <v>591.66</v>
      </c>
      <c r="Q38" s="16" t="n">
        <v>591.66</v>
      </c>
      <c r="R38" s="16" t="n">
        <v>591.66</v>
      </c>
      <c r="S38" s="16" t="n">
        <v>591.66</v>
      </c>
      <c r="T38" s="16" t="n">
        <v>591.66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CANON-202603-004501</t>
        </is>
      </c>
      <c r="B39" s="3" t="inlineStr">
        <is>
          <t>2026-03-11</t>
        </is>
      </c>
      <c r="C39" s="3" t="inlineStr">
        <is>
          <t>Delphine Farkas</t>
        </is>
      </c>
      <c r="D39" s="3" t="inlineStr">
        <is>
          <t>AK</t>
        </is>
      </c>
      <c r="E39" s="14" t="n">
        <v>455000</v>
      </c>
      <c r="F39" s="14" t="n">
        <v>3977.51</v>
      </c>
      <c r="G39" s="14" t="n">
        <v>497.19</v>
      </c>
      <c r="H39" s="14" t="n">
        <v>497.19</v>
      </c>
      <c r="I39" s="14">
        <f>SUM(K39:T39)</f>
        <v/>
      </c>
      <c r="J39" s="14">
        <f>F39-(G39+H39+I39)</f>
        <v/>
      </c>
      <c r="K39" s="14" t="n">
        <v>298.31</v>
      </c>
      <c r="L39" s="14" t="n">
        <v>298.31</v>
      </c>
      <c r="M39" s="14" t="n">
        <v>298.31</v>
      </c>
      <c r="N39" s="14" t="n">
        <v>298.31</v>
      </c>
      <c r="O39" s="14" t="n">
        <v>298.31</v>
      </c>
      <c r="P39" s="14" t="n">
        <v>298.31</v>
      </c>
      <c r="Q39" s="14" t="n">
        <v>298.31</v>
      </c>
      <c r="R39" s="14" t="n">
        <v>298.31</v>
      </c>
      <c r="S39" s="14" t="n">
        <v>298.31</v>
      </c>
      <c r="T39" s="14" t="n">
        <v>298.31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CANON-202603-004502</t>
        </is>
      </c>
      <c r="B40" s="15" t="inlineStr">
        <is>
          <t>2026-03-25</t>
        </is>
      </c>
      <c r="C40" s="15" t="inlineStr">
        <is>
          <t>Wilhelmina Rourke</t>
        </is>
      </c>
      <c r="D40" s="15" t="inlineStr">
        <is>
          <t>RI</t>
        </is>
      </c>
      <c r="E40" s="16" t="n">
        <v>415000</v>
      </c>
      <c r="F40" s="16" t="n">
        <v>6812.14</v>
      </c>
      <c r="G40" s="16" t="n">
        <v>851.52</v>
      </c>
      <c r="H40" s="16" t="n">
        <v>851.52</v>
      </c>
      <c r="I40" s="16">
        <f>SUM(K40:T40)</f>
        <v/>
      </c>
      <c r="J40" s="16">
        <f>F40-(G40+H40+I40)</f>
        <v/>
      </c>
      <c r="K40" s="16" t="n">
        <v>510.91</v>
      </c>
      <c r="L40" s="16" t="n">
        <v>510.91</v>
      </c>
      <c r="M40" s="16" t="n">
        <v>510.91</v>
      </c>
      <c r="N40" s="16" t="n">
        <v>510.91</v>
      </c>
      <c r="O40" s="16" t="n">
        <v>510.91</v>
      </c>
      <c r="P40" s="16" t="n">
        <v>510.91</v>
      </c>
      <c r="Q40" s="16" t="n">
        <v>510.91</v>
      </c>
      <c r="R40" s="16" t="n">
        <v>510.91</v>
      </c>
      <c r="S40" s="16" t="n">
        <v>510.91</v>
      </c>
      <c r="T40" s="16" t="n">
        <v>510.91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CANON-202603-004503</t>
        </is>
      </c>
      <c r="B41" s="3" t="inlineStr">
        <is>
          <t>2026-03-18</t>
        </is>
      </c>
      <c r="C41" s="3" t="inlineStr">
        <is>
          <t>Saoirse Blackwood</t>
        </is>
      </c>
      <c r="D41" s="3" t="inlineStr">
        <is>
          <t>MO</t>
        </is>
      </c>
      <c r="E41" s="14" t="n">
        <v>390000</v>
      </c>
      <c r="F41" s="14" t="n">
        <v>4953.19</v>
      </c>
      <c r="G41" s="14" t="n">
        <v>619.15</v>
      </c>
      <c r="H41" s="14" t="n">
        <v>619.15</v>
      </c>
      <c r="I41" s="14">
        <f>SUM(K41:T41)</f>
        <v/>
      </c>
      <c r="J41" s="14">
        <f>F41-(G41+H41+I41)</f>
        <v/>
      </c>
      <c r="K41" s="14" t="n">
        <v>371.49</v>
      </c>
      <c r="L41" s="14" t="n">
        <v>371.49</v>
      </c>
      <c r="M41" s="14" t="n">
        <v>371.49</v>
      </c>
      <c r="N41" s="14" t="n">
        <v>371.49</v>
      </c>
      <c r="O41" s="14" t="n">
        <v>371.49</v>
      </c>
      <c r="P41" s="14" t="n">
        <v>371.49</v>
      </c>
      <c r="Q41" s="14" t="n">
        <v>371.49</v>
      </c>
      <c r="R41" s="14" t="n">
        <v>371.49</v>
      </c>
      <c r="S41" s="14" t="n">
        <v>371.49</v>
      </c>
      <c r="T41" s="14" t="n">
        <v>371.49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CANON-202603-004504</t>
        </is>
      </c>
      <c r="B42" s="15" t="inlineStr">
        <is>
          <t>2026-03-30</t>
        </is>
      </c>
      <c r="C42" s="15" t="inlineStr">
        <is>
          <t>Emiliano Whitlock</t>
        </is>
      </c>
      <c r="D42" s="15" t="inlineStr">
        <is>
          <t>WI</t>
        </is>
      </c>
      <c r="E42" s="16" t="n">
        <v>770000</v>
      </c>
      <c r="F42" s="16" t="n">
        <v>14023.27</v>
      </c>
      <c r="G42" s="16" t="n">
        <v>1752.91</v>
      </c>
      <c r="H42" s="16" t="n">
        <v>1752.91</v>
      </c>
      <c r="I42" s="16">
        <f>SUM(K42:T42)</f>
        <v/>
      </c>
      <c r="J42" s="16">
        <f>F42-(G42+H42+I42)</f>
        <v/>
      </c>
      <c r="K42" s="16" t="n">
        <v>1051.75</v>
      </c>
      <c r="L42" s="16" t="n">
        <v>1051.75</v>
      </c>
      <c r="M42" s="16" t="n">
        <v>1051.75</v>
      </c>
      <c r="N42" s="16" t="n">
        <v>1051.75</v>
      </c>
      <c r="O42" s="16" t="n">
        <v>1051.75</v>
      </c>
      <c r="P42" s="16" t="n">
        <v>1051.75</v>
      </c>
      <c r="Q42" s="16" t="n">
        <v>1051.75</v>
      </c>
      <c r="R42" s="16" t="n">
        <v>1051.75</v>
      </c>
      <c r="S42" s="16" t="n">
        <v>1051.75</v>
      </c>
      <c r="T42" s="16" t="n">
        <v>1051.75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CANON-202603-004505</t>
        </is>
      </c>
      <c r="B43" s="3" t="inlineStr">
        <is>
          <t>2026-03-17</t>
        </is>
      </c>
      <c r="C43" s="3" t="inlineStr">
        <is>
          <t>Wilhelmina Fairweather</t>
        </is>
      </c>
      <c r="D43" s="3" t="inlineStr">
        <is>
          <t>IL</t>
        </is>
      </c>
      <c r="E43" s="14" t="n">
        <v>1950000</v>
      </c>
      <c r="F43" s="14" t="n">
        <v>33893.56</v>
      </c>
      <c r="G43" s="14" t="n">
        <v>4236.69</v>
      </c>
      <c r="H43" s="14" t="n">
        <v>4236.69</v>
      </c>
      <c r="I43" s="14">
        <f>SUM(K43:T43)</f>
        <v/>
      </c>
      <c r="J43" s="14">
        <f>F43-(G43+H43+I43)</f>
        <v/>
      </c>
      <c r="K43" s="14" t="n">
        <v>2542.02</v>
      </c>
      <c r="L43" s="14" t="n">
        <v>2542.02</v>
      </c>
      <c r="M43" s="14" t="n">
        <v>2542.02</v>
      </c>
      <c r="N43" s="14" t="n">
        <v>2542.02</v>
      </c>
      <c r="O43" s="14" t="n">
        <v>2542.02</v>
      </c>
      <c r="P43" s="14" t="n">
        <v>2542.02</v>
      </c>
      <c r="Q43" s="14" t="n">
        <v>2542.02</v>
      </c>
      <c r="R43" s="14" t="n">
        <v>2542.02</v>
      </c>
      <c r="S43" s="14" t="n">
        <v>2542.02</v>
      </c>
      <c r="T43" s="14" t="n">
        <v>2542.02</v>
      </c>
      <c r="U43" s="14" t="n">
        <v>350</v>
      </c>
      <c r="V43" s="14" t="n">
        <v>250</v>
      </c>
      <c r="W43" s="14">
        <f>U43+V43</f>
        <v/>
      </c>
    </row>
    <row r="44">
      <c r="A44" s="15" t="inlineStr">
        <is>
          <t>CANON-202603-004507</t>
        </is>
      </c>
      <c r="B44" s="15" t="inlineStr">
        <is>
          <t>2026-03-02</t>
        </is>
      </c>
      <c r="C44" s="15" t="inlineStr">
        <is>
          <t>Ottilie Montoya</t>
        </is>
      </c>
      <c r="D44" s="15" t="inlineStr">
        <is>
          <t>TX</t>
        </is>
      </c>
      <c r="E44" s="16" t="n">
        <v>1070000</v>
      </c>
      <c r="F44" s="16" t="n">
        <v>15726.25</v>
      </c>
      <c r="G44" s="16" t="n">
        <v>1965.78</v>
      </c>
      <c r="H44" s="16" t="n">
        <v>1965.78</v>
      </c>
      <c r="I44" s="16">
        <f>SUM(K44:T44)</f>
        <v/>
      </c>
      <c r="J44" s="16">
        <f>F44-(G44+H44+I44)</f>
        <v/>
      </c>
      <c r="K44" s="16" t="n">
        <v>1179.47</v>
      </c>
      <c r="L44" s="16" t="n">
        <v>1179.47</v>
      </c>
      <c r="M44" s="16" t="n">
        <v>1179.47</v>
      </c>
      <c r="N44" s="16" t="n">
        <v>1179.47</v>
      </c>
      <c r="O44" s="16" t="n">
        <v>1179.47</v>
      </c>
      <c r="P44" s="16" t="n">
        <v>1179.47</v>
      </c>
      <c r="Q44" s="16" t="n">
        <v>1179.47</v>
      </c>
      <c r="R44" s="16" t="n">
        <v>1179.47</v>
      </c>
      <c r="S44" s="16" t="n">
        <v>1179.47</v>
      </c>
      <c r="T44" s="16" t="n">
        <v>1179.47</v>
      </c>
      <c r="U44" s="16" t="n">
        <v>350</v>
      </c>
      <c r="V44" s="16" t="n">
        <v>250</v>
      </c>
      <c r="W44" s="16">
        <f>U44+V44</f>
        <v/>
      </c>
    </row>
    <row r="45">
      <c r="A45" s="3" t="inlineStr">
        <is>
          <t>CANON-202603-004508</t>
        </is>
      </c>
      <c r="B45" s="3" t="inlineStr">
        <is>
          <t>2026-03-01</t>
        </is>
      </c>
      <c r="C45" s="3" t="inlineStr">
        <is>
          <t>Emiliano Whitlock</t>
        </is>
      </c>
      <c r="D45" s="3" t="inlineStr">
        <is>
          <t>MS</t>
        </is>
      </c>
      <c r="E45" s="14" t="n">
        <v>875000</v>
      </c>
      <c r="F45" s="14" t="n">
        <v>7152.82</v>
      </c>
      <c r="G45" s="14" t="n">
        <v>894.1</v>
      </c>
      <c r="H45" s="14" t="n">
        <v>894.1</v>
      </c>
      <c r="I45" s="14">
        <f>SUM(K45:T45)</f>
        <v/>
      </c>
      <c r="J45" s="14">
        <f>F45-(G45+H45+I45)</f>
        <v/>
      </c>
      <c r="K45" s="14" t="n">
        <v>536.46</v>
      </c>
      <c r="L45" s="14" t="n">
        <v>536.46</v>
      </c>
      <c r="M45" s="14" t="n">
        <v>536.46</v>
      </c>
      <c r="N45" s="14" t="n">
        <v>536.46</v>
      </c>
      <c r="O45" s="14" t="n">
        <v>536.46</v>
      </c>
      <c r="P45" s="14" t="n">
        <v>536.46</v>
      </c>
      <c r="Q45" s="14" t="n">
        <v>536.46</v>
      </c>
      <c r="R45" s="14" t="n">
        <v>536.46</v>
      </c>
      <c r="S45" s="14" t="n">
        <v>536.46</v>
      </c>
      <c r="T45" s="14" t="n">
        <v>536.46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CANON-202603-004509</t>
        </is>
      </c>
      <c r="B46" s="15" t="inlineStr">
        <is>
          <t>2026-03-10</t>
        </is>
      </c>
      <c r="C46" s="15" t="inlineStr">
        <is>
          <t>Delphine Thistlewood</t>
        </is>
      </c>
      <c r="D46" s="15" t="inlineStr">
        <is>
          <t>FL</t>
        </is>
      </c>
      <c r="E46" s="16" t="n">
        <v>555000</v>
      </c>
      <c r="F46" s="16" t="n">
        <v>8183.68</v>
      </c>
      <c r="G46" s="16" t="n">
        <v>1022.96</v>
      </c>
      <c r="H46" s="16" t="n">
        <v>1022.96</v>
      </c>
      <c r="I46" s="16">
        <f>SUM(K46:T46)</f>
        <v/>
      </c>
      <c r="J46" s="16">
        <f>F46-(G46+H46+I46)</f>
        <v/>
      </c>
      <c r="K46" s="16" t="n">
        <v>613.78</v>
      </c>
      <c r="L46" s="16" t="n">
        <v>613.78</v>
      </c>
      <c r="M46" s="16" t="n">
        <v>613.78</v>
      </c>
      <c r="N46" s="16" t="n">
        <v>613.78</v>
      </c>
      <c r="O46" s="16" t="n">
        <v>613.78</v>
      </c>
      <c r="P46" s="16" t="n">
        <v>613.78</v>
      </c>
      <c r="Q46" s="16" t="n">
        <v>613.78</v>
      </c>
      <c r="R46" s="16" t="n">
        <v>613.78</v>
      </c>
      <c r="S46" s="16" t="n">
        <v>613.78</v>
      </c>
      <c r="T46" s="16" t="n">
        <v>613.78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CANON-202603-004510</t>
        </is>
      </c>
      <c r="B47" s="3" t="inlineStr">
        <is>
          <t>2026-03-07</t>
        </is>
      </c>
      <c r="C47" s="3" t="inlineStr">
        <is>
          <t>Aurelio Underwood</t>
        </is>
      </c>
      <c r="D47" s="3" t="inlineStr">
        <is>
          <t>TX</t>
        </is>
      </c>
      <c r="E47" s="14" t="n">
        <v>380000</v>
      </c>
      <c r="F47" s="14" t="n">
        <v>5235.96</v>
      </c>
      <c r="G47" s="14" t="n">
        <v>654.5</v>
      </c>
      <c r="H47" s="14" t="n">
        <v>654.5</v>
      </c>
      <c r="I47" s="14">
        <f>SUM(K47:T47)</f>
        <v/>
      </c>
      <c r="J47" s="14">
        <f>F47-(G47+H47+I47)</f>
        <v/>
      </c>
      <c r="K47" s="14" t="n">
        <v>392.7</v>
      </c>
      <c r="L47" s="14" t="n">
        <v>392.7</v>
      </c>
      <c r="M47" s="14" t="n">
        <v>392.7</v>
      </c>
      <c r="N47" s="14" t="n">
        <v>392.7</v>
      </c>
      <c r="O47" s="14" t="n">
        <v>392.7</v>
      </c>
      <c r="P47" s="14" t="n">
        <v>392.7</v>
      </c>
      <c r="Q47" s="14" t="n">
        <v>392.7</v>
      </c>
      <c r="R47" s="14" t="n">
        <v>392.7</v>
      </c>
      <c r="S47" s="14" t="n">
        <v>392.7</v>
      </c>
      <c r="T47" s="14" t="n">
        <v>392.7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CANON-202603-004511</t>
        </is>
      </c>
      <c r="B48" s="15" t="inlineStr">
        <is>
          <t>2026-03-23</t>
        </is>
      </c>
      <c r="C48" s="15" t="inlineStr">
        <is>
          <t>Sunniva Okonkwo</t>
        </is>
      </c>
      <c r="D48" s="15" t="inlineStr">
        <is>
          <t>TX</t>
        </is>
      </c>
      <c r="E48" s="16" t="n">
        <v>395000</v>
      </c>
      <c r="F48" s="16" t="n">
        <v>3483.29</v>
      </c>
      <c r="G48" s="16" t="n">
        <v>435.41</v>
      </c>
      <c r="H48" s="16" t="n">
        <v>435.41</v>
      </c>
      <c r="I48" s="16">
        <f>SUM(K48:T48)</f>
        <v/>
      </c>
      <c r="J48" s="16">
        <f>F48-(G48+H48+I48)</f>
        <v/>
      </c>
      <c r="K48" s="16" t="n">
        <v>261.25</v>
      </c>
      <c r="L48" s="16" t="n">
        <v>261.25</v>
      </c>
      <c r="M48" s="16" t="n">
        <v>261.25</v>
      </c>
      <c r="N48" s="16" t="n">
        <v>261.25</v>
      </c>
      <c r="O48" s="16" t="n">
        <v>261.25</v>
      </c>
      <c r="P48" s="16" t="n">
        <v>261.25</v>
      </c>
      <c r="Q48" s="16" t="n">
        <v>261.25</v>
      </c>
      <c r="R48" s="16" t="n">
        <v>261.25</v>
      </c>
      <c r="S48" s="16" t="n">
        <v>261.25</v>
      </c>
      <c r="T48" s="16" t="n">
        <v>261.25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CANON-202603-004512</t>
        </is>
      </c>
      <c r="B49" s="3" t="inlineStr">
        <is>
          <t>2026-03-17</t>
        </is>
      </c>
      <c r="C49" s="3" t="inlineStr">
        <is>
          <t>Cassius Castellanos</t>
        </is>
      </c>
      <c r="D49" s="3" t="inlineStr">
        <is>
          <t>WY</t>
        </is>
      </c>
      <c r="E49" s="14" t="n">
        <v>380000</v>
      </c>
      <c r="F49" s="14" t="n">
        <v>4871.72</v>
      </c>
      <c r="G49" s="14" t="n">
        <v>608.97</v>
      </c>
      <c r="H49" s="14" t="n">
        <v>608.97</v>
      </c>
      <c r="I49" s="14">
        <f>SUM(K49:T49)</f>
        <v/>
      </c>
      <c r="J49" s="14">
        <f>F49-(G49+H49+I49)</f>
        <v/>
      </c>
      <c r="K49" s="14" t="n">
        <v>365.38</v>
      </c>
      <c r="L49" s="14" t="n">
        <v>365.38</v>
      </c>
      <c r="M49" s="14" t="n">
        <v>365.38</v>
      </c>
      <c r="N49" s="14" t="n">
        <v>365.38</v>
      </c>
      <c r="O49" s="14" t="n">
        <v>365.38</v>
      </c>
      <c r="P49" s="14" t="n">
        <v>365.38</v>
      </c>
      <c r="Q49" s="14" t="n">
        <v>365.38</v>
      </c>
      <c r="R49" s="14" t="n">
        <v>365.38</v>
      </c>
      <c r="S49" s="14" t="n">
        <v>365.38</v>
      </c>
      <c r="T49" s="14" t="n">
        <v>365.38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CANON-202603-004513</t>
        </is>
      </c>
      <c r="B50" s="15" t="inlineStr">
        <is>
          <t>2026-03-29</t>
        </is>
      </c>
      <c r="C50" s="15" t="inlineStr">
        <is>
          <t>Leopold Rourke</t>
        </is>
      </c>
      <c r="D50" s="15" t="inlineStr">
        <is>
          <t>MO</t>
        </is>
      </c>
      <c r="E50" s="16" t="n">
        <v>620000</v>
      </c>
      <c r="F50" s="16" t="n">
        <v>6824.4</v>
      </c>
      <c r="G50" s="16" t="n">
        <v>853.05</v>
      </c>
      <c r="H50" s="16" t="n">
        <v>853.05</v>
      </c>
      <c r="I50" s="16">
        <f>SUM(K50:T50)</f>
        <v/>
      </c>
      <c r="J50" s="16">
        <f>F50-(G50+H50+I50)</f>
        <v/>
      </c>
      <c r="K50" s="16" t="n">
        <v>511.83</v>
      </c>
      <c r="L50" s="16" t="n">
        <v>511.83</v>
      </c>
      <c r="M50" s="16" t="n">
        <v>511.83</v>
      </c>
      <c r="N50" s="16" t="n">
        <v>511.83</v>
      </c>
      <c r="O50" s="16" t="n">
        <v>511.83</v>
      </c>
      <c r="P50" s="16" t="n">
        <v>511.83</v>
      </c>
      <c r="Q50" s="16" t="n">
        <v>511.83</v>
      </c>
      <c r="R50" s="16" t="n">
        <v>511.83</v>
      </c>
      <c r="S50" s="16" t="n">
        <v>511.83</v>
      </c>
      <c r="T50" s="16" t="n">
        <v>511.83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CANON-202603-004514</t>
        </is>
      </c>
      <c r="B51" s="3" t="inlineStr">
        <is>
          <t>2026-03-05</t>
        </is>
      </c>
      <c r="C51" s="3" t="inlineStr">
        <is>
          <t>Marisol Pennington</t>
        </is>
      </c>
      <c r="D51" s="3" t="inlineStr">
        <is>
          <t>NJ</t>
        </is>
      </c>
      <c r="E51" s="14" t="n">
        <v>365000</v>
      </c>
      <c r="F51" s="14" t="n">
        <v>3979.69</v>
      </c>
      <c r="G51" s="14" t="n">
        <v>497.46</v>
      </c>
      <c r="H51" s="14" t="n">
        <v>497.46</v>
      </c>
      <c r="I51" s="14">
        <f>SUM(K51:T51)</f>
        <v/>
      </c>
      <c r="J51" s="14">
        <f>F51-(G51+H51+I51)</f>
        <v/>
      </c>
      <c r="K51" s="14" t="n">
        <v>298.48</v>
      </c>
      <c r="L51" s="14" t="n">
        <v>298.48</v>
      </c>
      <c r="M51" s="14" t="n">
        <v>298.48</v>
      </c>
      <c r="N51" s="14" t="n">
        <v>298.48</v>
      </c>
      <c r="O51" s="14" t="n">
        <v>298.48</v>
      </c>
      <c r="P51" s="14" t="n">
        <v>298.48</v>
      </c>
      <c r="Q51" s="14" t="n">
        <v>298.48</v>
      </c>
      <c r="R51" s="14" t="n">
        <v>298.48</v>
      </c>
      <c r="S51" s="14" t="n">
        <v>298.48</v>
      </c>
      <c r="T51" s="14" t="n">
        <v>298.48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CANON-202603-004515</t>
        </is>
      </c>
      <c r="B52" s="15" t="inlineStr">
        <is>
          <t>2026-03-19</t>
        </is>
      </c>
      <c r="C52" s="15" t="inlineStr">
        <is>
          <t>Ramona Farkas</t>
        </is>
      </c>
      <c r="D52" s="15" t="inlineStr">
        <is>
          <t>SD</t>
        </is>
      </c>
      <c r="E52" s="16" t="n">
        <v>430000</v>
      </c>
      <c r="F52" s="16" t="n">
        <v>5718.82</v>
      </c>
      <c r="G52" s="16" t="n">
        <v>714.85</v>
      </c>
      <c r="H52" s="16" t="n">
        <v>714.85</v>
      </c>
      <c r="I52" s="16">
        <f>SUM(K52:T52)</f>
        <v/>
      </c>
      <c r="J52" s="16">
        <f>F52-(G52+H52+I52)</f>
        <v/>
      </c>
      <c r="K52" s="16" t="n">
        <v>428.91</v>
      </c>
      <c r="L52" s="16" t="n">
        <v>428.91</v>
      </c>
      <c r="M52" s="16" t="n">
        <v>428.91</v>
      </c>
      <c r="N52" s="16" t="n">
        <v>428.91</v>
      </c>
      <c r="O52" s="16" t="n">
        <v>428.91</v>
      </c>
      <c r="P52" s="16" t="n">
        <v>428.91</v>
      </c>
      <c r="Q52" s="16" t="n">
        <v>428.91</v>
      </c>
      <c r="R52" s="16" t="n">
        <v>428.91</v>
      </c>
      <c r="S52" s="16" t="n">
        <v>428.91</v>
      </c>
      <c r="T52" s="16" t="n">
        <v>428.91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CANON-202603-004516</t>
        </is>
      </c>
      <c r="B53" s="3" t="inlineStr">
        <is>
          <t>2026-03-02</t>
        </is>
      </c>
      <c r="C53" s="3" t="inlineStr">
        <is>
          <t>Noor Chattopadhyay</t>
        </is>
      </c>
      <c r="D53" s="3" t="inlineStr">
        <is>
          <t>SC</t>
        </is>
      </c>
      <c r="E53" s="14" t="n">
        <v>1225000</v>
      </c>
      <c r="F53" s="14" t="n">
        <v>9221.360000000001</v>
      </c>
      <c r="G53" s="14" t="n">
        <v>1152.67</v>
      </c>
      <c r="H53" s="14" t="n">
        <v>1152.67</v>
      </c>
      <c r="I53" s="14">
        <f>SUM(K53:T53)</f>
        <v/>
      </c>
      <c r="J53" s="14">
        <f>F53-(G53+H53+I53)</f>
        <v/>
      </c>
      <c r="K53" s="14" t="n">
        <v>691.6</v>
      </c>
      <c r="L53" s="14" t="n">
        <v>691.6</v>
      </c>
      <c r="M53" s="14" t="n">
        <v>691.6</v>
      </c>
      <c r="N53" s="14" t="n">
        <v>691.6</v>
      </c>
      <c r="O53" s="14" t="n">
        <v>691.6</v>
      </c>
      <c r="P53" s="14" t="n">
        <v>691.6</v>
      </c>
      <c r="Q53" s="14" t="n">
        <v>691.6</v>
      </c>
      <c r="R53" s="14" t="n">
        <v>691.6</v>
      </c>
      <c r="S53" s="14" t="n">
        <v>691.6</v>
      </c>
      <c r="T53" s="14" t="n">
        <v>691.6</v>
      </c>
      <c r="U53" s="14" t="n">
        <v>350</v>
      </c>
      <c r="V53" s="14" t="n">
        <v>250</v>
      </c>
      <c r="W53" s="14">
        <f>U53+V53</f>
        <v/>
      </c>
    </row>
    <row r="54">
      <c r="A54" s="15" t="inlineStr">
        <is>
          <t>CANON-202603-004519</t>
        </is>
      </c>
      <c r="B54" s="15" t="inlineStr">
        <is>
          <t>2026-03-21</t>
        </is>
      </c>
      <c r="C54" s="15" t="inlineStr">
        <is>
          <t>Callum Delacroix</t>
        </is>
      </c>
      <c r="D54" s="15" t="inlineStr">
        <is>
          <t>ME</t>
        </is>
      </c>
      <c r="E54" s="16" t="n">
        <v>745000</v>
      </c>
      <c r="F54" s="16" t="n">
        <v>5527.16</v>
      </c>
      <c r="G54" s="16" t="n">
        <v>690.89</v>
      </c>
      <c r="H54" s="16" t="n">
        <v>690.89</v>
      </c>
      <c r="I54" s="16">
        <f>SUM(K54:T54)</f>
        <v/>
      </c>
      <c r="J54" s="16">
        <f>F54-(G54+H54+I54)</f>
        <v/>
      </c>
      <c r="K54" s="16" t="n">
        <v>414.54</v>
      </c>
      <c r="L54" s="16" t="n">
        <v>414.54</v>
      </c>
      <c r="M54" s="16" t="n">
        <v>414.54</v>
      </c>
      <c r="N54" s="16" t="n">
        <v>414.54</v>
      </c>
      <c r="O54" s="16" t="n">
        <v>414.54</v>
      </c>
      <c r="P54" s="16" t="n">
        <v>414.54</v>
      </c>
      <c r="Q54" s="16" t="n">
        <v>414.54</v>
      </c>
      <c r="R54" s="16" t="n">
        <v>414.54</v>
      </c>
      <c r="S54" s="16" t="n">
        <v>414.54</v>
      </c>
      <c r="T54" s="16" t="n">
        <v>414.54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CANON-202603-004520</t>
        </is>
      </c>
      <c r="B55" s="3" t="inlineStr">
        <is>
          <t>2026-03-06</t>
        </is>
      </c>
      <c r="C55" s="3" t="inlineStr">
        <is>
          <t>Mireille Vasquez</t>
        </is>
      </c>
      <c r="D55" s="3" t="inlineStr">
        <is>
          <t>ND</t>
        </is>
      </c>
      <c r="E55" s="14" t="n">
        <v>300000</v>
      </c>
      <c r="F55" s="14" t="n">
        <v>5621.77</v>
      </c>
      <c r="G55" s="14" t="n">
        <v>702.72</v>
      </c>
      <c r="H55" s="14" t="n">
        <v>702.72</v>
      </c>
      <c r="I55" s="14">
        <f>SUM(K55:T55)</f>
        <v/>
      </c>
      <c r="J55" s="14">
        <f>F55-(G55+H55+I55)</f>
        <v/>
      </c>
      <c r="K55" s="14" t="n">
        <v>421.63</v>
      </c>
      <c r="L55" s="14" t="n">
        <v>421.63</v>
      </c>
      <c r="M55" s="14" t="n">
        <v>421.63</v>
      </c>
      <c r="N55" s="14" t="n">
        <v>421.63</v>
      </c>
      <c r="O55" s="14" t="n">
        <v>421.63</v>
      </c>
      <c r="P55" s="14" t="n">
        <v>421.63</v>
      </c>
      <c r="Q55" s="14" t="n">
        <v>421.63</v>
      </c>
      <c r="R55" s="14" t="n">
        <v>421.63</v>
      </c>
      <c r="S55" s="14" t="n">
        <v>421.63</v>
      </c>
      <c r="T55" s="14" t="n">
        <v>421.63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CANON-202603-004521</t>
        </is>
      </c>
      <c r="B56" s="15" t="inlineStr">
        <is>
          <t>2026-03-03</t>
        </is>
      </c>
      <c r="C56" s="15" t="inlineStr">
        <is>
          <t>Delphine Montoya</t>
        </is>
      </c>
      <c r="D56" s="15" t="inlineStr">
        <is>
          <t>MA</t>
        </is>
      </c>
      <c r="E56" s="16" t="n">
        <v>605000</v>
      </c>
      <c r="F56" s="16" t="n">
        <v>7852.94</v>
      </c>
      <c r="G56" s="16" t="n">
        <v>981.62</v>
      </c>
      <c r="H56" s="16" t="n">
        <v>981.62</v>
      </c>
      <c r="I56" s="16">
        <f>SUM(K56:T56)</f>
        <v/>
      </c>
      <c r="J56" s="16">
        <f>F56-(G56+H56+I56)</f>
        <v/>
      </c>
      <c r="K56" s="16" t="n">
        <v>588.97</v>
      </c>
      <c r="L56" s="16" t="n">
        <v>588.97</v>
      </c>
      <c r="M56" s="16" t="n">
        <v>588.97</v>
      </c>
      <c r="N56" s="16" t="n">
        <v>588.97</v>
      </c>
      <c r="O56" s="16" t="n">
        <v>588.97</v>
      </c>
      <c r="P56" s="16" t="n">
        <v>588.97</v>
      </c>
      <c r="Q56" s="16" t="n">
        <v>588.97</v>
      </c>
      <c r="R56" s="16" t="n">
        <v>588.97</v>
      </c>
      <c r="S56" s="16" t="n">
        <v>588.97</v>
      </c>
      <c r="T56" s="16" t="n">
        <v>588.97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CANON-202603-004522</t>
        </is>
      </c>
      <c r="B57" s="3" t="inlineStr">
        <is>
          <t>2026-03-01</t>
        </is>
      </c>
      <c r="C57" s="3" t="inlineStr">
        <is>
          <t>Noor Chattopadhyay</t>
        </is>
      </c>
      <c r="D57" s="3" t="inlineStr">
        <is>
          <t>MA</t>
        </is>
      </c>
      <c r="E57" s="14" t="n">
        <v>1460000</v>
      </c>
      <c r="F57" s="14" t="n">
        <v>11078.99</v>
      </c>
      <c r="G57" s="14" t="n">
        <v>1384.87</v>
      </c>
      <c r="H57" s="14" t="n">
        <v>1384.87</v>
      </c>
      <c r="I57" s="14">
        <f>SUM(K57:T57)</f>
        <v/>
      </c>
      <c r="J57" s="14">
        <f>F57-(G57+H57+I57)</f>
        <v/>
      </c>
      <c r="K57" s="14" t="n">
        <v>830.92</v>
      </c>
      <c r="L57" s="14" t="n">
        <v>830.92</v>
      </c>
      <c r="M57" s="14" t="n">
        <v>830.92</v>
      </c>
      <c r="N57" s="14" t="n">
        <v>830.92</v>
      </c>
      <c r="O57" s="14" t="n">
        <v>830.92</v>
      </c>
      <c r="P57" s="14" t="n">
        <v>830.92</v>
      </c>
      <c r="Q57" s="14" t="n">
        <v>830.92</v>
      </c>
      <c r="R57" s="14" t="n">
        <v>830.92</v>
      </c>
      <c r="S57" s="14" t="n">
        <v>830.92</v>
      </c>
      <c r="T57" s="14" t="n">
        <v>830.92</v>
      </c>
      <c r="U57" s="14" t="n">
        <v>350</v>
      </c>
      <c r="V57" s="14" t="n">
        <v>250</v>
      </c>
      <c r="W57" s="14">
        <f>U57+V57</f>
        <v/>
      </c>
    </row>
    <row r="58">
      <c r="A58" s="15" t="inlineStr">
        <is>
          <t>CANON-202603-004523</t>
        </is>
      </c>
      <c r="B58" s="15" t="inlineStr">
        <is>
          <t>2026-03-20</t>
        </is>
      </c>
      <c r="C58" s="15" t="inlineStr">
        <is>
          <t>Horace Farkas</t>
        </is>
      </c>
      <c r="D58" s="15" t="inlineStr">
        <is>
          <t>AL</t>
        </is>
      </c>
      <c r="E58" s="16" t="n">
        <v>305000</v>
      </c>
      <c r="F58" s="16" t="n">
        <v>4641.08</v>
      </c>
      <c r="G58" s="16" t="n">
        <v>580.13</v>
      </c>
      <c r="H58" s="16" t="n">
        <v>580.13</v>
      </c>
      <c r="I58" s="16">
        <f>SUM(K58:T58)</f>
        <v/>
      </c>
      <c r="J58" s="16">
        <f>F58-(G58+H58+I58)</f>
        <v/>
      </c>
      <c r="K58" s="16" t="n">
        <v>348.08</v>
      </c>
      <c r="L58" s="16" t="n">
        <v>348.08</v>
      </c>
      <c r="M58" s="16" t="n">
        <v>348.08</v>
      </c>
      <c r="N58" s="16" t="n">
        <v>348.08</v>
      </c>
      <c r="O58" s="16" t="n">
        <v>348.08</v>
      </c>
      <c r="P58" s="16" t="n">
        <v>348.08</v>
      </c>
      <c r="Q58" s="16" t="n">
        <v>348.08</v>
      </c>
      <c r="R58" s="16" t="n">
        <v>348.08</v>
      </c>
      <c r="S58" s="16" t="n">
        <v>348.08</v>
      </c>
      <c r="T58" s="16" t="n">
        <v>348.08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CANON-202603-004524</t>
        </is>
      </c>
      <c r="B59" s="3" t="inlineStr">
        <is>
          <t>2026-03-16</t>
        </is>
      </c>
      <c r="C59" s="3" t="inlineStr">
        <is>
          <t>Noor Montoya</t>
        </is>
      </c>
      <c r="D59" s="3" t="inlineStr">
        <is>
          <t>MT</t>
        </is>
      </c>
      <c r="E59" s="14" t="n">
        <v>430000</v>
      </c>
      <c r="F59" s="14" t="n">
        <v>4791.44</v>
      </c>
      <c r="G59" s="14" t="n">
        <v>598.9299999999999</v>
      </c>
      <c r="H59" s="14" t="n">
        <v>598.9299999999999</v>
      </c>
      <c r="I59" s="14">
        <f>SUM(K59:T59)</f>
        <v/>
      </c>
      <c r="J59" s="14">
        <f>F59-(G59+H59+I59)</f>
        <v/>
      </c>
      <c r="K59" s="14" t="n">
        <v>359.36</v>
      </c>
      <c r="L59" s="14" t="n">
        <v>359.36</v>
      </c>
      <c r="M59" s="14" t="n">
        <v>359.36</v>
      </c>
      <c r="N59" s="14" t="n">
        <v>359.36</v>
      </c>
      <c r="O59" s="14" t="n">
        <v>359.36</v>
      </c>
      <c r="P59" s="14" t="n">
        <v>359.36</v>
      </c>
      <c r="Q59" s="14" t="n">
        <v>359.36</v>
      </c>
      <c r="R59" s="14" t="n">
        <v>359.36</v>
      </c>
      <c r="S59" s="14" t="n">
        <v>359.36</v>
      </c>
      <c r="T59" s="14" t="n">
        <v>359.36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CANON-202603-004525</t>
        </is>
      </c>
      <c r="B60" s="15" t="inlineStr">
        <is>
          <t>2026-03-31</t>
        </is>
      </c>
      <c r="C60" s="15" t="inlineStr">
        <is>
          <t>Wilhelmina Chattopadhyay</t>
        </is>
      </c>
      <c r="D60" s="15" t="inlineStr">
        <is>
          <t>VT</t>
        </is>
      </c>
      <c r="E60" s="16" t="n">
        <v>1250000</v>
      </c>
      <c r="F60" s="16" t="n">
        <v>19490.08</v>
      </c>
      <c r="G60" s="16" t="n">
        <v>2436.26</v>
      </c>
      <c r="H60" s="16" t="n">
        <v>2436.26</v>
      </c>
      <c r="I60" s="16">
        <f>SUM(K60:T60)</f>
        <v/>
      </c>
      <c r="J60" s="16">
        <f>F60-(G60+H60+I60)</f>
        <v/>
      </c>
      <c r="K60" s="16" t="n">
        <v>1461.76</v>
      </c>
      <c r="L60" s="16" t="n">
        <v>1461.76</v>
      </c>
      <c r="M60" s="16" t="n">
        <v>1461.76</v>
      </c>
      <c r="N60" s="16" t="n">
        <v>1461.76</v>
      </c>
      <c r="O60" s="16" t="n">
        <v>1461.76</v>
      </c>
      <c r="P60" s="16" t="n">
        <v>1461.76</v>
      </c>
      <c r="Q60" s="16" t="n">
        <v>1461.76</v>
      </c>
      <c r="R60" s="16" t="n">
        <v>1461.76</v>
      </c>
      <c r="S60" s="16" t="n">
        <v>1461.76</v>
      </c>
      <c r="T60" s="16" t="n">
        <v>1461.76</v>
      </c>
      <c r="U60" s="16" t="n">
        <v>350</v>
      </c>
      <c r="V60" s="16" t="n">
        <v>250</v>
      </c>
      <c r="W60" s="16">
        <f>U60+V60</f>
        <v/>
      </c>
    </row>
    <row r="61">
      <c r="A61" s="3" t="inlineStr">
        <is>
          <t>CANON-202603-004526</t>
        </is>
      </c>
      <c r="B61" s="3" t="inlineStr">
        <is>
          <t>2026-03-17</t>
        </is>
      </c>
      <c r="C61" s="3" t="inlineStr">
        <is>
          <t>Emiliano Kingsford</t>
        </is>
      </c>
      <c r="D61" s="3" t="inlineStr">
        <is>
          <t>IN</t>
        </is>
      </c>
      <c r="E61" s="14" t="n">
        <v>275000</v>
      </c>
      <c r="F61" s="14" t="n">
        <v>6214.26</v>
      </c>
      <c r="G61" s="14" t="n">
        <v>776.78</v>
      </c>
      <c r="H61" s="14" t="n">
        <v>776.78</v>
      </c>
      <c r="I61" s="14">
        <f>SUM(K61:T61)</f>
        <v/>
      </c>
      <c r="J61" s="14">
        <f>F61-(G61+H61+I61)</f>
        <v/>
      </c>
      <c r="K61" s="14" t="n">
        <v>466.07</v>
      </c>
      <c r="L61" s="14" t="n">
        <v>466.07</v>
      </c>
      <c r="M61" s="14" t="n">
        <v>466.07</v>
      </c>
      <c r="N61" s="14" t="n">
        <v>466.07</v>
      </c>
      <c r="O61" s="14" t="n">
        <v>466.07</v>
      </c>
      <c r="P61" s="14" t="n">
        <v>466.07</v>
      </c>
      <c r="Q61" s="14" t="n">
        <v>466.07</v>
      </c>
      <c r="R61" s="14" t="n">
        <v>466.07</v>
      </c>
      <c r="S61" s="14" t="n">
        <v>466.07</v>
      </c>
      <c r="T61" s="14" t="n">
        <v>466.07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CANON-202603-004530</t>
        </is>
      </c>
      <c r="B62" s="15" t="inlineStr">
        <is>
          <t>2026-03-27</t>
        </is>
      </c>
      <c r="C62" s="15" t="inlineStr">
        <is>
          <t>Priya Merriweather</t>
        </is>
      </c>
      <c r="D62" s="15" t="inlineStr">
        <is>
          <t>NY</t>
        </is>
      </c>
      <c r="E62" s="16" t="n">
        <v>1915000</v>
      </c>
      <c r="F62" s="16" t="n">
        <v>31327.26</v>
      </c>
      <c r="G62" s="16" t="n">
        <v>3915.91</v>
      </c>
      <c r="H62" s="16" t="n">
        <v>3915.91</v>
      </c>
      <c r="I62" s="16">
        <f>SUM(K62:T62)</f>
        <v/>
      </c>
      <c r="J62" s="16">
        <f>F62-(G62+H62+I62)</f>
        <v/>
      </c>
      <c r="K62" s="16" t="n">
        <v>2349.54</v>
      </c>
      <c r="L62" s="16" t="n">
        <v>2349.54</v>
      </c>
      <c r="M62" s="16" t="n">
        <v>2349.54</v>
      </c>
      <c r="N62" s="16" t="n">
        <v>2349.54</v>
      </c>
      <c r="O62" s="16" t="n">
        <v>2349.54</v>
      </c>
      <c r="P62" s="16" t="n">
        <v>2349.54</v>
      </c>
      <c r="Q62" s="16" t="n">
        <v>2349.54</v>
      </c>
      <c r="R62" s="16" t="n">
        <v>2349.54</v>
      </c>
      <c r="S62" s="16" t="n">
        <v>2349.54</v>
      </c>
      <c r="T62" s="16" t="n">
        <v>2349.54</v>
      </c>
      <c r="U62" s="16" t="n">
        <v>350</v>
      </c>
      <c r="V62" s="16" t="n">
        <v>250</v>
      </c>
      <c r="W62" s="16">
        <f>U62+V62</f>
        <v/>
      </c>
    </row>
    <row r="63">
      <c r="A63" s="3" t="inlineStr">
        <is>
          <t>CANON-202603-004531</t>
        </is>
      </c>
      <c r="B63" s="3" t="inlineStr">
        <is>
          <t>2026-03-19</t>
        </is>
      </c>
      <c r="C63" s="3" t="inlineStr">
        <is>
          <t>Aurelio Vandermeer</t>
        </is>
      </c>
      <c r="D63" s="3" t="inlineStr">
        <is>
          <t>NY</t>
        </is>
      </c>
      <c r="E63" s="14" t="n">
        <v>495000</v>
      </c>
      <c r="F63" s="14" t="n">
        <v>7591.55</v>
      </c>
      <c r="G63" s="14" t="n">
        <v>948.9400000000001</v>
      </c>
      <c r="H63" s="14" t="n">
        <v>948.9400000000001</v>
      </c>
      <c r="I63" s="14">
        <f>SUM(K63:T63)</f>
        <v/>
      </c>
      <c r="J63" s="14">
        <f>F63-(G63+H63+I63)</f>
        <v/>
      </c>
      <c r="K63" s="14" t="n">
        <v>569.37</v>
      </c>
      <c r="L63" s="14" t="n">
        <v>569.37</v>
      </c>
      <c r="M63" s="14" t="n">
        <v>569.37</v>
      </c>
      <c r="N63" s="14" t="n">
        <v>569.37</v>
      </c>
      <c r="O63" s="14" t="n">
        <v>569.37</v>
      </c>
      <c r="P63" s="14" t="n">
        <v>569.37</v>
      </c>
      <c r="Q63" s="14" t="n">
        <v>569.37</v>
      </c>
      <c r="R63" s="14" t="n">
        <v>569.37</v>
      </c>
      <c r="S63" s="14" t="n">
        <v>569.37</v>
      </c>
      <c r="T63" s="14" t="n">
        <v>569.37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CANON-202603-004535</t>
        </is>
      </c>
      <c r="B64" s="15" t="inlineStr">
        <is>
          <t>2026-03-05</t>
        </is>
      </c>
      <c r="C64" s="15" t="inlineStr">
        <is>
          <t>Leopold Larsson</t>
        </is>
      </c>
      <c r="D64" s="15" t="inlineStr">
        <is>
          <t>DE</t>
        </is>
      </c>
      <c r="E64" s="16" t="n">
        <v>160000</v>
      </c>
      <c r="F64" s="16" t="n">
        <v>2939.49</v>
      </c>
      <c r="G64" s="16" t="n">
        <v>367.44</v>
      </c>
      <c r="H64" s="16" t="n">
        <v>367.44</v>
      </c>
      <c r="I64" s="16">
        <f>SUM(K64:T64)</f>
        <v/>
      </c>
      <c r="J64" s="16">
        <f>F64-(G64+H64+I64)</f>
        <v/>
      </c>
      <c r="K64" s="16" t="n">
        <v>220.46</v>
      </c>
      <c r="L64" s="16" t="n">
        <v>220.46</v>
      </c>
      <c r="M64" s="16" t="n">
        <v>220.46</v>
      </c>
      <c r="N64" s="16" t="n">
        <v>220.46</v>
      </c>
      <c r="O64" s="16" t="n">
        <v>220.46</v>
      </c>
      <c r="P64" s="16" t="n">
        <v>220.46</v>
      </c>
      <c r="Q64" s="16" t="n">
        <v>220.46</v>
      </c>
      <c r="R64" s="16" t="n">
        <v>220.46</v>
      </c>
      <c r="S64" s="16" t="n">
        <v>220.46</v>
      </c>
      <c r="T64" s="16" t="n">
        <v>220.46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CANON-202603-004536</t>
        </is>
      </c>
      <c r="B65" s="3" t="inlineStr">
        <is>
          <t>2026-03-31</t>
        </is>
      </c>
      <c r="C65" s="3" t="inlineStr">
        <is>
          <t>Mireille Larsson</t>
        </is>
      </c>
      <c r="D65" s="3" t="inlineStr">
        <is>
          <t>HI</t>
        </is>
      </c>
      <c r="E65" s="14" t="n">
        <v>775000</v>
      </c>
      <c r="F65" s="14" t="n">
        <v>6920.98</v>
      </c>
      <c r="G65" s="14" t="n">
        <v>865.12</v>
      </c>
      <c r="H65" s="14" t="n">
        <v>865.12</v>
      </c>
      <c r="I65" s="14">
        <f>SUM(K65:T65)</f>
        <v/>
      </c>
      <c r="J65" s="14">
        <f>F65-(G65+H65+I65)</f>
        <v/>
      </c>
      <c r="K65" s="14" t="n">
        <v>519.0700000000001</v>
      </c>
      <c r="L65" s="14" t="n">
        <v>519.0700000000001</v>
      </c>
      <c r="M65" s="14" t="n">
        <v>519.0700000000001</v>
      </c>
      <c r="N65" s="14" t="n">
        <v>519.0700000000001</v>
      </c>
      <c r="O65" s="14" t="n">
        <v>519.0700000000001</v>
      </c>
      <c r="P65" s="14" t="n">
        <v>519.0700000000001</v>
      </c>
      <c r="Q65" s="14" t="n">
        <v>519.0700000000001</v>
      </c>
      <c r="R65" s="14" t="n">
        <v>519.0700000000001</v>
      </c>
      <c r="S65" s="14" t="n">
        <v>519.0700000000001</v>
      </c>
      <c r="T65" s="14" t="n">
        <v>519.0700000000001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CANON-202603-004537</t>
        </is>
      </c>
      <c r="B66" s="15" t="inlineStr">
        <is>
          <t>2026-03-07</t>
        </is>
      </c>
      <c r="C66" s="15" t="inlineStr">
        <is>
          <t>Wilhelmina Delacroix</t>
        </is>
      </c>
      <c r="D66" s="15" t="inlineStr">
        <is>
          <t>SC</t>
        </is>
      </c>
      <c r="E66" s="16" t="n">
        <v>845000</v>
      </c>
      <c r="F66" s="16" t="n">
        <v>10880.42</v>
      </c>
      <c r="G66" s="16" t="n">
        <v>1360.05</v>
      </c>
      <c r="H66" s="16" t="n">
        <v>1360.05</v>
      </c>
      <c r="I66" s="16">
        <f>SUM(K66:T66)</f>
        <v/>
      </c>
      <c r="J66" s="16">
        <f>F66-(G66+H66+I66)</f>
        <v/>
      </c>
      <c r="K66" s="16" t="n">
        <v>816.03</v>
      </c>
      <c r="L66" s="16" t="n">
        <v>816.03</v>
      </c>
      <c r="M66" s="16" t="n">
        <v>816.03</v>
      </c>
      <c r="N66" s="16" t="n">
        <v>816.03</v>
      </c>
      <c r="O66" s="16" t="n">
        <v>816.03</v>
      </c>
      <c r="P66" s="16" t="n">
        <v>816.03</v>
      </c>
      <c r="Q66" s="16" t="n">
        <v>816.03</v>
      </c>
      <c r="R66" s="16" t="n">
        <v>816.03</v>
      </c>
      <c r="S66" s="16" t="n">
        <v>816.03</v>
      </c>
      <c r="T66" s="16" t="n">
        <v>816.03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CANON-202603-004538</t>
        </is>
      </c>
      <c r="B67" s="3" t="inlineStr">
        <is>
          <t>2026-03-03</t>
        </is>
      </c>
      <c r="C67" s="3" t="inlineStr">
        <is>
          <t>Ingrid Ashcombe</t>
        </is>
      </c>
      <c r="D67" s="3" t="inlineStr">
        <is>
          <t>WI</t>
        </is>
      </c>
      <c r="E67" s="14" t="n">
        <v>1090000</v>
      </c>
      <c r="F67" s="14" t="n">
        <v>7104.61</v>
      </c>
      <c r="G67" s="14" t="n">
        <v>888.08</v>
      </c>
      <c r="H67" s="14" t="n">
        <v>888.08</v>
      </c>
      <c r="I67" s="14">
        <f>SUM(K67:T67)</f>
        <v/>
      </c>
      <c r="J67" s="14">
        <f>F67-(G67+H67+I67)</f>
        <v/>
      </c>
      <c r="K67" s="14" t="n">
        <v>532.85</v>
      </c>
      <c r="L67" s="14" t="n">
        <v>532.85</v>
      </c>
      <c r="M67" s="14" t="n">
        <v>532.85</v>
      </c>
      <c r="N67" s="14" t="n">
        <v>532.85</v>
      </c>
      <c r="O67" s="14" t="n">
        <v>532.85</v>
      </c>
      <c r="P67" s="14" t="n">
        <v>532.85</v>
      </c>
      <c r="Q67" s="14" t="n">
        <v>532.85</v>
      </c>
      <c r="R67" s="14" t="n">
        <v>532.85</v>
      </c>
      <c r="S67" s="14" t="n">
        <v>532.85</v>
      </c>
      <c r="T67" s="14" t="n">
        <v>532.85</v>
      </c>
      <c r="U67" s="14" t="n">
        <v>350</v>
      </c>
      <c r="V67" s="14" t="n">
        <v>250</v>
      </c>
      <c r="W67" s="14">
        <f>U67+V67</f>
        <v/>
      </c>
    </row>
    <row r="68">
      <c r="A68" s="15" t="inlineStr">
        <is>
          <t>CANON-202603-004539</t>
        </is>
      </c>
      <c r="B68" s="15" t="inlineStr">
        <is>
          <t>2026-03-29</t>
        </is>
      </c>
      <c r="C68" s="15" t="inlineStr">
        <is>
          <t>Noor Vandermeer</t>
        </is>
      </c>
      <c r="D68" s="15" t="inlineStr">
        <is>
          <t>MI</t>
        </is>
      </c>
      <c r="E68" s="16" t="n">
        <v>345000</v>
      </c>
      <c r="F68" s="16" t="n">
        <v>6407.17</v>
      </c>
      <c r="G68" s="16" t="n">
        <v>800.9</v>
      </c>
      <c r="H68" s="16" t="n">
        <v>800.9</v>
      </c>
      <c r="I68" s="16">
        <f>SUM(K68:T68)</f>
        <v/>
      </c>
      <c r="J68" s="16">
        <f>F68-(G68+H68+I68)</f>
        <v/>
      </c>
      <c r="K68" s="16" t="n">
        <v>480.54</v>
      </c>
      <c r="L68" s="16" t="n">
        <v>480.54</v>
      </c>
      <c r="M68" s="16" t="n">
        <v>480.54</v>
      </c>
      <c r="N68" s="16" t="n">
        <v>480.54</v>
      </c>
      <c r="O68" s="16" t="n">
        <v>480.54</v>
      </c>
      <c r="P68" s="16" t="n">
        <v>480.54</v>
      </c>
      <c r="Q68" s="16" t="n">
        <v>480.54</v>
      </c>
      <c r="R68" s="16" t="n">
        <v>480.54</v>
      </c>
      <c r="S68" s="16" t="n">
        <v>480.54</v>
      </c>
      <c r="T68" s="16" t="n">
        <v>480.54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CANON-202603-004540</t>
        </is>
      </c>
      <c r="B69" s="3" t="inlineStr">
        <is>
          <t>2026-03-13</t>
        </is>
      </c>
      <c r="C69" s="3" t="inlineStr">
        <is>
          <t>Aurelio Bellandi</t>
        </is>
      </c>
      <c r="D69" s="3" t="inlineStr">
        <is>
          <t>WA</t>
        </is>
      </c>
      <c r="E69" s="14" t="n">
        <v>880000</v>
      </c>
      <c r="F69" s="14" t="n">
        <v>8772.450000000001</v>
      </c>
      <c r="G69" s="14" t="n">
        <v>1096.56</v>
      </c>
      <c r="H69" s="14" t="n">
        <v>1096.56</v>
      </c>
      <c r="I69" s="14">
        <f>SUM(K69:T69)</f>
        <v/>
      </c>
      <c r="J69" s="14">
        <f>F69-(G69+H69+I69)</f>
        <v/>
      </c>
      <c r="K69" s="14" t="n">
        <v>657.9299999999999</v>
      </c>
      <c r="L69" s="14" t="n">
        <v>657.9299999999999</v>
      </c>
      <c r="M69" s="14" t="n">
        <v>657.9299999999999</v>
      </c>
      <c r="N69" s="14" t="n">
        <v>657.9299999999999</v>
      </c>
      <c r="O69" s="14" t="n">
        <v>657.9299999999999</v>
      </c>
      <c r="P69" s="14" t="n">
        <v>657.9299999999999</v>
      </c>
      <c r="Q69" s="14" t="n">
        <v>657.9299999999999</v>
      </c>
      <c r="R69" s="14" t="n">
        <v>657.9299999999999</v>
      </c>
      <c r="S69" s="14" t="n">
        <v>657.9299999999999</v>
      </c>
      <c r="T69" s="14" t="n">
        <v>657.9299999999999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CANON-202603-004541</t>
        </is>
      </c>
      <c r="B70" s="15" t="inlineStr">
        <is>
          <t>2026-03-28</t>
        </is>
      </c>
      <c r="C70" s="15" t="inlineStr">
        <is>
          <t>Priya Ashcombe</t>
        </is>
      </c>
      <c r="D70" s="15" t="inlineStr">
        <is>
          <t>FL</t>
        </is>
      </c>
      <c r="E70" s="16" t="n">
        <v>195000</v>
      </c>
      <c r="F70" s="16" t="n">
        <v>2521.46</v>
      </c>
      <c r="G70" s="16" t="n">
        <v>315.18</v>
      </c>
      <c r="H70" s="16" t="n">
        <v>315.18</v>
      </c>
      <c r="I70" s="16">
        <f>SUM(K70:T70)</f>
        <v/>
      </c>
      <c r="J70" s="16">
        <f>F70-(G70+H70+I70)</f>
        <v/>
      </c>
      <c r="K70" s="16" t="n">
        <v>189.11</v>
      </c>
      <c r="L70" s="16" t="n">
        <v>189.11</v>
      </c>
      <c r="M70" s="16" t="n">
        <v>189.11</v>
      </c>
      <c r="N70" s="16" t="n">
        <v>189.11</v>
      </c>
      <c r="O70" s="16" t="n">
        <v>189.11</v>
      </c>
      <c r="P70" s="16" t="n">
        <v>189.11</v>
      </c>
      <c r="Q70" s="16" t="n">
        <v>189.11</v>
      </c>
      <c r="R70" s="16" t="n">
        <v>189.11</v>
      </c>
      <c r="S70" s="16" t="n">
        <v>189.11</v>
      </c>
      <c r="T70" s="16" t="n">
        <v>189.11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CANON-202603-004545</t>
        </is>
      </c>
      <c r="B71" s="3" t="inlineStr">
        <is>
          <t>2026-03-30</t>
        </is>
      </c>
      <c r="C71" s="3" t="inlineStr">
        <is>
          <t>Wilhelmina Okonkwo</t>
        </is>
      </c>
      <c r="D71" s="3" t="inlineStr">
        <is>
          <t>MD</t>
        </is>
      </c>
      <c r="E71" s="14" t="n">
        <v>330000</v>
      </c>
      <c r="F71" s="14" t="n">
        <v>3756.23</v>
      </c>
      <c r="G71" s="14" t="n">
        <v>469.53</v>
      </c>
      <c r="H71" s="14" t="n">
        <v>469.53</v>
      </c>
      <c r="I71" s="14">
        <f>SUM(K71:T71)</f>
        <v/>
      </c>
      <c r="J71" s="14">
        <f>F71-(G71+H71+I71)</f>
        <v/>
      </c>
      <c r="K71" s="14" t="n">
        <v>281.72</v>
      </c>
      <c r="L71" s="14" t="n">
        <v>281.72</v>
      </c>
      <c r="M71" s="14" t="n">
        <v>281.72</v>
      </c>
      <c r="N71" s="14" t="n">
        <v>281.72</v>
      </c>
      <c r="O71" s="14" t="n">
        <v>281.72</v>
      </c>
      <c r="P71" s="14" t="n">
        <v>281.72</v>
      </c>
      <c r="Q71" s="14" t="n">
        <v>281.72</v>
      </c>
      <c r="R71" s="14" t="n">
        <v>281.72</v>
      </c>
      <c r="S71" s="14" t="n">
        <v>281.72</v>
      </c>
      <c r="T71" s="14" t="n">
        <v>281.72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CANON-202603-004547</t>
        </is>
      </c>
      <c r="B72" s="15" t="inlineStr">
        <is>
          <t>2026-03-26</t>
        </is>
      </c>
      <c r="C72" s="15" t="inlineStr">
        <is>
          <t>Anouk Castellanos</t>
        </is>
      </c>
      <c r="D72" s="15" t="inlineStr">
        <is>
          <t>SD</t>
        </is>
      </c>
      <c r="E72" s="16" t="n">
        <v>445000</v>
      </c>
      <c r="F72" s="16" t="n">
        <v>5918.31</v>
      </c>
      <c r="G72" s="16" t="n">
        <v>739.79</v>
      </c>
      <c r="H72" s="16" t="n">
        <v>739.79</v>
      </c>
      <c r="I72" s="16">
        <f>SUM(K72:T72)</f>
        <v/>
      </c>
      <c r="J72" s="16">
        <f>F72-(G72+H72+I72)</f>
        <v/>
      </c>
      <c r="K72" s="16" t="n">
        <v>443.87</v>
      </c>
      <c r="L72" s="16" t="n">
        <v>443.87</v>
      </c>
      <c r="M72" s="16" t="n">
        <v>443.87</v>
      </c>
      <c r="N72" s="16" t="n">
        <v>443.87</v>
      </c>
      <c r="O72" s="16" t="n">
        <v>443.87</v>
      </c>
      <c r="P72" s="16" t="n">
        <v>443.87</v>
      </c>
      <c r="Q72" s="16" t="n">
        <v>443.87</v>
      </c>
      <c r="R72" s="16" t="n">
        <v>443.87</v>
      </c>
      <c r="S72" s="16" t="n">
        <v>443.87</v>
      </c>
      <c r="T72" s="16" t="n">
        <v>443.87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CANON-202603-004548</t>
        </is>
      </c>
      <c r="B73" s="3" t="inlineStr">
        <is>
          <t>2026-03-06</t>
        </is>
      </c>
      <c r="C73" s="3" t="inlineStr">
        <is>
          <t>Ottilie Pennington</t>
        </is>
      </c>
      <c r="D73" s="3" t="inlineStr">
        <is>
          <t>MI</t>
        </is>
      </c>
      <c r="E73" s="14" t="n">
        <v>490000</v>
      </c>
      <c r="F73" s="14" t="n">
        <v>9100.030000000001</v>
      </c>
      <c r="G73" s="14" t="n">
        <v>1137.5</v>
      </c>
      <c r="H73" s="14" t="n">
        <v>1137.5</v>
      </c>
      <c r="I73" s="14">
        <f>SUM(K73:T73)</f>
        <v/>
      </c>
      <c r="J73" s="14">
        <f>F73-(G73+H73+I73)</f>
        <v/>
      </c>
      <c r="K73" s="14" t="n">
        <v>682.5</v>
      </c>
      <c r="L73" s="14" t="n">
        <v>682.5</v>
      </c>
      <c r="M73" s="14" t="n">
        <v>682.5</v>
      </c>
      <c r="N73" s="14" t="n">
        <v>682.5</v>
      </c>
      <c r="O73" s="14" t="n">
        <v>682.5</v>
      </c>
      <c r="P73" s="14" t="n">
        <v>682.5</v>
      </c>
      <c r="Q73" s="14" t="n">
        <v>682.5</v>
      </c>
      <c r="R73" s="14" t="n">
        <v>682.5</v>
      </c>
      <c r="S73" s="14" t="n">
        <v>682.5</v>
      </c>
      <c r="T73" s="14" t="n">
        <v>682.5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CANON-202603-004549</t>
        </is>
      </c>
      <c r="B74" s="15" t="inlineStr">
        <is>
          <t>2026-03-19</t>
        </is>
      </c>
      <c r="C74" s="15" t="inlineStr">
        <is>
          <t>Horace Fairweather</t>
        </is>
      </c>
      <c r="D74" s="15" t="inlineStr">
        <is>
          <t>CA</t>
        </is>
      </c>
      <c r="E74" s="16" t="n">
        <v>420000</v>
      </c>
      <c r="F74" s="16" t="n">
        <v>6793.57</v>
      </c>
      <c r="G74" s="16" t="n">
        <v>849.2</v>
      </c>
      <c r="H74" s="16" t="n">
        <v>849.2</v>
      </c>
      <c r="I74" s="16">
        <f>SUM(K74:T74)</f>
        <v/>
      </c>
      <c r="J74" s="16">
        <f>F74-(G74+H74+I74)</f>
        <v/>
      </c>
      <c r="K74" s="16" t="n">
        <v>509.52</v>
      </c>
      <c r="L74" s="16" t="n">
        <v>509.52</v>
      </c>
      <c r="M74" s="16" t="n">
        <v>509.52</v>
      </c>
      <c r="N74" s="16" t="n">
        <v>509.52</v>
      </c>
      <c r="O74" s="16" t="n">
        <v>509.52</v>
      </c>
      <c r="P74" s="16" t="n">
        <v>509.52</v>
      </c>
      <c r="Q74" s="16" t="n">
        <v>509.52</v>
      </c>
      <c r="R74" s="16" t="n">
        <v>509.52</v>
      </c>
      <c r="S74" s="16" t="n">
        <v>509.52</v>
      </c>
      <c r="T74" s="16" t="n">
        <v>509.52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CANON-202603-004550</t>
        </is>
      </c>
      <c r="B75" s="3" t="inlineStr">
        <is>
          <t>2026-03-05</t>
        </is>
      </c>
      <c r="C75" s="3" t="inlineStr">
        <is>
          <t>Beatrix Thistlewood</t>
        </is>
      </c>
      <c r="D75" s="3" t="inlineStr">
        <is>
          <t>NY</t>
        </is>
      </c>
      <c r="E75" s="14" t="n">
        <v>930000</v>
      </c>
      <c r="F75" s="14" t="n">
        <v>18066.34</v>
      </c>
      <c r="G75" s="14" t="n">
        <v>2258.29</v>
      </c>
      <c r="H75" s="14" t="n">
        <v>2258.29</v>
      </c>
      <c r="I75" s="14">
        <f>SUM(K75:T75)</f>
        <v/>
      </c>
      <c r="J75" s="14">
        <f>F75-(G75+H75+I75)</f>
        <v/>
      </c>
      <c r="K75" s="14" t="n">
        <v>1354.98</v>
      </c>
      <c r="L75" s="14" t="n">
        <v>1354.98</v>
      </c>
      <c r="M75" s="14" t="n">
        <v>1354.98</v>
      </c>
      <c r="N75" s="14" t="n">
        <v>1354.98</v>
      </c>
      <c r="O75" s="14" t="n">
        <v>1354.98</v>
      </c>
      <c r="P75" s="14" t="n">
        <v>1354.98</v>
      </c>
      <c r="Q75" s="14" t="n">
        <v>1354.98</v>
      </c>
      <c r="R75" s="14" t="n">
        <v>1354.98</v>
      </c>
      <c r="S75" s="14" t="n">
        <v>1354.98</v>
      </c>
      <c r="T75" s="14" t="n">
        <v>1354.98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CANON-202603-004551</t>
        </is>
      </c>
      <c r="B76" s="15" t="inlineStr">
        <is>
          <t>2026-03-10</t>
        </is>
      </c>
      <c r="C76" s="15" t="inlineStr">
        <is>
          <t>Noor Delacroix</t>
        </is>
      </c>
      <c r="D76" s="15" t="inlineStr">
        <is>
          <t>SD</t>
        </is>
      </c>
      <c r="E76" s="16" t="n">
        <v>860000</v>
      </c>
      <c r="F76" s="16" t="n">
        <v>14487.67</v>
      </c>
      <c r="G76" s="16" t="n">
        <v>1810.96</v>
      </c>
      <c r="H76" s="16" t="n">
        <v>1810.96</v>
      </c>
      <c r="I76" s="16">
        <f>SUM(K76:T76)</f>
        <v/>
      </c>
      <c r="J76" s="16">
        <f>F76-(G76+H76+I76)</f>
        <v/>
      </c>
      <c r="K76" s="16" t="n">
        <v>1086.58</v>
      </c>
      <c r="L76" s="16" t="n">
        <v>1086.58</v>
      </c>
      <c r="M76" s="16" t="n">
        <v>1086.58</v>
      </c>
      <c r="N76" s="16" t="n">
        <v>1086.58</v>
      </c>
      <c r="O76" s="16" t="n">
        <v>1086.58</v>
      </c>
      <c r="P76" s="16" t="n">
        <v>1086.58</v>
      </c>
      <c r="Q76" s="16" t="n">
        <v>1086.58</v>
      </c>
      <c r="R76" s="16" t="n">
        <v>1086.58</v>
      </c>
      <c r="S76" s="16" t="n">
        <v>1086.58</v>
      </c>
      <c r="T76" s="16" t="n">
        <v>1086.58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CANON-202603-004555</t>
        </is>
      </c>
      <c r="B77" s="3" t="inlineStr">
        <is>
          <t>2026-03-31</t>
        </is>
      </c>
      <c r="C77" s="3" t="inlineStr">
        <is>
          <t>Priya Montoya</t>
        </is>
      </c>
      <c r="D77" s="3" t="inlineStr">
        <is>
          <t>MS</t>
        </is>
      </c>
      <c r="E77" s="14" t="n">
        <v>330000</v>
      </c>
      <c r="F77" s="14" t="n">
        <v>3011.31</v>
      </c>
      <c r="G77" s="14" t="n">
        <v>376.41</v>
      </c>
      <c r="H77" s="14" t="n">
        <v>376.41</v>
      </c>
      <c r="I77" s="14">
        <f>SUM(K77:T77)</f>
        <v/>
      </c>
      <c r="J77" s="14">
        <f>F77-(G77+H77+I77)</f>
        <v/>
      </c>
      <c r="K77" s="14" t="n">
        <v>225.85</v>
      </c>
      <c r="L77" s="14" t="n">
        <v>225.85</v>
      </c>
      <c r="M77" s="14" t="n">
        <v>225.85</v>
      </c>
      <c r="N77" s="14" t="n">
        <v>225.85</v>
      </c>
      <c r="O77" s="14" t="n">
        <v>225.85</v>
      </c>
      <c r="P77" s="14" t="n">
        <v>225.85</v>
      </c>
      <c r="Q77" s="14" t="n">
        <v>225.85</v>
      </c>
      <c r="R77" s="14" t="n">
        <v>225.85</v>
      </c>
      <c r="S77" s="14" t="n">
        <v>225.85</v>
      </c>
      <c r="T77" s="14" t="n">
        <v>225.85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CANON-202603-004556</t>
        </is>
      </c>
      <c r="B78" s="15" t="inlineStr">
        <is>
          <t>2026-03-07</t>
        </is>
      </c>
      <c r="C78" s="15" t="inlineStr">
        <is>
          <t>Saoirse Farkas</t>
        </is>
      </c>
      <c r="D78" s="15" t="inlineStr">
        <is>
          <t>WA</t>
        </is>
      </c>
      <c r="E78" s="16" t="n">
        <v>1255000</v>
      </c>
      <c r="F78" s="16" t="n">
        <v>15397.8</v>
      </c>
      <c r="G78" s="16" t="n">
        <v>1924.72</v>
      </c>
      <c r="H78" s="16" t="n">
        <v>1924.72</v>
      </c>
      <c r="I78" s="16">
        <f>SUM(K78:T78)</f>
        <v/>
      </c>
      <c r="J78" s="16">
        <f>F78-(G78+H78+I78)</f>
        <v/>
      </c>
      <c r="K78" s="16" t="n">
        <v>1154.83</v>
      </c>
      <c r="L78" s="16" t="n">
        <v>1154.83</v>
      </c>
      <c r="M78" s="16" t="n">
        <v>1154.83</v>
      </c>
      <c r="N78" s="16" t="n">
        <v>1154.83</v>
      </c>
      <c r="O78" s="16" t="n">
        <v>1154.83</v>
      </c>
      <c r="P78" s="16" t="n">
        <v>1154.83</v>
      </c>
      <c r="Q78" s="16" t="n">
        <v>1154.83</v>
      </c>
      <c r="R78" s="16" t="n">
        <v>1154.83</v>
      </c>
      <c r="S78" s="16" t="n">
        <v>1154.83</v>
      </c>
      <c r="T78" s="16" t="n">
        <v>1154.83</v>
      </c>
      <c r="U78" s="16" t="n">
        <v>350</v>
      </c>
      <c r="V78" s="16" t="n">
        <v>250</v>
      </c>
      <c r="W78" s="16">
        <f>U78+V78</f>
        <v/>
      </c>
    </row>
    <row r="79">
      <c r="A79" s="3" t="inlineStr">
        <is>
          <t>CANON-202603-004557</t>
        </is>
      </c>
      <c r="B79" s="3" t="inlineStr">
        <is>
          <t>2026-03-29</t>
        </is>
      </c>
      <c r="C79" s="3" t="inlineStr">
        <is>
          <t>Mireille Okonkwo</t>
        </is>
      </c>
      <c r="D79" s="3" t="inlineStr">
        <is>
          <t>AL</t>
        </is>
      </c>
      <c r="E79" s="14" t="n">
        <v>785000</v>
      </c>
      <c r="F79" s="14" t="n">
        <v>6848.5</v>
      </c>
      <c r="G79" s="14" t="n">
        <v>856.0599999999999</v>
      </c>
      <c r="H79" s="14" t="n">
        <v>856.0599999999999</v>
      </c>
      <c r="I79" s="14">
        <f>SUM(K79:T79)</f>
        <v/>
      </c>
      <c r="J79" s="14">
        <f>F79-(G79+H79+I79)</f>
        <v/>
      </c>
      <c r="K79" s="14" t="n">
        <v>513.64</v>
      </c>
      <c r="L79" s="14" t="n">
        <v>513.64</v>
      </c>
      <c r="M79" s="14" t="n">
        <v>513.64</v>
      </c>
      <c r="N79" s="14" t="n">
        <v>513.64</v>
      </c>
      <c r="O79" s="14" t="n">
        <v>513.64</v>
      </c>
      <c r="P79" s="14" t="n">
        <v>513.64</v>
      </c>
      <c r="Q79" s="14" t="n">
        <v>513.64</v>
      </c>
      <c r="R79" s="14" t="n">
        <v>513.64</v>
      </c>
      <c r="S79" s="14" t="n">
        <v>513.64</v>
      </c>
      <c r="T79" s="14" t="n">
        <v>513.64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CANON-202603-004558</t>
        </is>
      </c>
      <c r="B80" s="15" t="inlineStr">
        <is>
          <t>2026-03-19</t>
        </is>
      </c>
      <c r="C80" s="15" t="inlineStr">
        <is>
          <t>Desmond Pennington</t>
        </is>
      </c>
      <c r="D80" s="15" t="inlineStr">
        <is>
          <t>TX</t>
        </is>
      </c>
      <c r="E80" s="16" t="n">
        <v>1245000</v>
      </c>
      <c r="F80" s="16" t="n">
        <v>12580.08</v>
      </c>
      <c r="G80" s="16" t="n">
        <v>1572.51</v>
      </c>
      <c r="H80" s="16" t="n">
        <v>1572.51</v>
      </c>
      <c r="I80" s="16">
        <f>SUM(K80:T80)</f>
        <v/>
      </c>
      <c r="J80" s="16">
        <f>F80-(G80+H80+I80)</f>
        <v/>
      </c>
      <c r="K80" s="16" t="n">
        <v>943.51</v>
      </c>
      <c r="L80" s="16" t="n">
        <v>943.51</v>
      </c>
      <c r="M80" s="16" t="n">
        <v>943.51</v>
      </c>
      <c r="N80" s="16" t="n">
        <v>943.51</v>
      </c>
      <c r="O80" s="16" t="n">
        <v>943.51</v>
      </c>
      <c r="P80" s="16" t="n">
        <v>943.51</v>
      </c>
      <c r="Q80" s="16" t="n">
        <v>943.51</v>
      </c>
      <c r="R80" s="16" t="n">
        <v>943.51</v>
      </c>
      <c r="S80" s="16" t="n">
        <v>943.51</v>
      </c>
      <c r="T80" s="16" t="n">
        <v>943.51</v>
      </c>
      <c r="U80" s="16" t="n">
        <v>350</v>
      </c>
      <c r="V80" s="16" t="n">
        <v>250</v>
      </c>
      <c r="W80" s="16">
        <f>U80+V80</f>
        <v/>
      </c>
    </row>
    <row r="81">
      <c r="A81" s="3" t="inlineStr">
        <is>
          <t>CANON-202603-004559</t>
        </is>
      </c>
      <c r="B81" s="3" t="inlineStr">
        <is>
          <t>2026-03-28</t>
        </is>
      </c>
      <c r="C81" s="3" t="inlineStr">
        <is>
          <t>Lorenzo Rourke</t>
        </is>
      </c>
      <c r="D81" s="3" t="inlineStr">
        <is>
          <t>NM</t>
        </is>
      </c>
      <c r="E81" s="14" t="n">
        <v>1145000</v>
      </c>
      <c r="F81" s="14" t="n">
        <v>8897.190000000001</v>
      </c>
      <c r="G81" s="14" t="n">
        <v>1112.15</v>
      </c>
      <c r="H81" s="14" t="n">
        <v>1112.15</v>
      </c>
      <c r="I81" s="14">
        <f>SUM(K81:T81)</f>
        <v/>
      </c>
      <c r="J81" s="14">
        <f>F81-(G81+H81+I81)</f>
        <v/>
      </c>
      <c r="K81" s="14" t="n">
        <v>667.29</v>
      </c>
      <c r="L81" s="14" t="n">
        <v>667.29</v>
      </c>
      <c r="M81" s="14" t="n">
        <v>667.29</v>
      </c>
      <c r="N81" s="14" t="n">
        <v>667.29</v>
      </c>
      <c r="O81" s="14" t="n">
        <v>667.29</v>
      </c>
      <c r="P81" s="14" t="n">
        <v>667.29</v>
      </c>
      <c r="Q81" s="14" t="n">
        <v>667.29</v>
      </c>
      <c r="R81" s="14" t="n">
        <v>667.29</v>
      </c>
      <c r="S81" s="14" t="n">
        <v>667.29</v>
      </c>
      <c r="T81" s="14" t="n">
        <v>667.29</v>
      </c>
      <c r="U81" s="14" t="n">
        <v>350</v>
      </c>
      <c r="V81" s="14" t="n">
        <v>250</v>
      </c>
      <c r="W81" s="14">
        <f>U81+V81</f>
        <v/>
      </c>
    </row>
    <row r="82">
      <c r="A82" s="15" t="inlineStr">
        <is>
          <t>CANON-202603-004560</t>
        </is>
      </c>
      <c r="B82" s="15" t="inlineStr">
        <is>
          <t>2026-03-10</t>
        </is>
      </c>
      <c r="C82" s="15" t="inlineStr">
        <is>
          <t>Sunniva Nakashima</t>
        </is>
      </c>
      <c r="D82" s="15" t="inlineStr">
        <is>
          <t>CA</t>
        </is>
      </c>
      <c r="E82" s="16" t="n">
        <v>455000</v>
      </c>
      <c r="F82" s="16" t="n">
        <v>4710.21</v>
      </c>
      <c r="G82" s="16" t="n">
        <v>588.78</v>
      </c>
      <c r="H82" s="16" t="n">
        <v>588.78</v>
      </c>
      <c r="I82" s="16">
        <f>SUM(K82:T82)</f>
        <v/>
      </c>
      <c r="J82" s="16">
        <f>F82-(G82+H82+I82)</f>
        <v/>
      </c>
      <c r="K82" s="16" t="n">
        <v>353.27</v>
      </c>
      <c r="L82" s="16" t="n">
        <v>353.27</v>
      </c>
      <c r="M82" s="16" t="n">
        <v>353.27</v>
      </c>
      <c r="N82" s="16" t="n">
        <v>353.27</v>
      </c>
      <c r="O82" s="16" t="n">
        <v>353.27</v>
      </c>
      <c r="P82" s="16" t="n">
        <v>353.27</v>
      </c>
      <c r="Q82" s="16" t="n">
        <v>353.27</v>
      </c>
      <c r="R82" s="16" t="n">
        <v>353.27</v>
      </c>
      <c r="S82" s="16" t="n">
        <v>353.27</v>
      </c>
      <c r="T82" s="16" t="n">
        <v>353.27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CANON-202603-004561</t>
        </is>
      </c>
      <c r="B83" s="3" t="inlineStr">
        <is>
          <t>2026-03-10</t>
        </is>
      </c>
      <c r="C83" s="3" t="inlineStr">
        <is>
          <t>Anouk Whitlock</t>
        </is>
      </c>
      <c r="D83" s="3" t="inlineStr">
        <is>
          <t>KY</t>
        </is>
      </c>
      <c r="E83" s="14" t="n">
        <v>530000</v>
      </c>
      <c r="F83" s="14" t="n">
        <v>10778.49</v>
      </c>
      <c r="G83" s="14" t="n">
        <v>1347.31</v>
      </c>
      <c r="H83" s="14" t="n">
        <v>1347.31</v>
      </c>
      <c r="I83" s="14">
        <f>SUM(K83:T83)</f>
        <v/>
      </c>
      <c r="J83" s="14">
        <f>F83-(G83+H83+I83)</f>
        <v/>
      </c>
      <c r="K83" s="14" t="n">
        <v>808.39</v>
      </c>
      <c r="L83" s="14" t="n">
        <v>808.39</v>
      </c>
      <c r="M83" s="14" t="n">
        <v>808.39</v>
      </c>
      <c r="N83" s="14" t="n">
        <v>808.39</v>
      </c>
      <c r="O83" s="14" t="n">
        <v>808.39</v>
      </c>
      <c r="P83" s="14" t="n">
        <v>808.39</v>
      </c>
      <c r="Q83" s="14" t="n">
        <v>808.39</v>
      </c>
      <c r="R83" s="14" t="n">
        <v>808.39</v>
      </c>
      <c r="S83" s="14" t="n">
        <v>808.39</v>
      </c>
      <c r="T83" s="14" t="n">
        <v>808.39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CANON-202603-004562</t>
        </is>
      </c>
      <c r="B84" s="15" t="inlineStr">
        <is>
          <t>2026-03-21</t>
        </is>
      </c>
      <c r="C84" s="15" t="inlineStr">
        <is>
          <t>Emiliano Larsson</t>
        </is>
      </c>
      <c r="D84" s="15" t="inlineStr">
        <is>
          <t>MI</t>
        </is>
      </c>
      <c r="E84" s="16" t="n">
        <v>555000</v>
      </c>
      <c r="F84" s="16" t="n">
        <v>13055.76</v>
      </c>
      <c r="G84" s="16" t="n">
        <v>1631.97</v>
      </c>
      <c r="H84" s="16" t="n">
        <v>1631.97</v>
      </c>
      <c r="I84" s="16">
        <f>SUM(K84:T84)</f>
        <v/>
      </c>
      <c r="J84" s="16">
        <f>F84-(G84+H84+I84)</f>
        <v/>
      </c>
      <c r="K84" s="16" t="n">
        <v>979.1799999999999</v>
      </c>
      <c r="L84" s="16" t="n">
        <v>979.1799999999999</v>
      </c>
      <c r="M84" s="16" t="n">
        <v>979.1799999999999</v>
      </c>
      <c r="N84" s="16" t="n">
        <v>979.1799999999999</v>
      </c>
      <c r="O84" s="16" t="n">
        <v>979.1799999999999</v>
      </c>
      <c r="P84" s="16" t="n">
        <v>979.1799999999999</v>
      </c>
      <c r="Q84" s="16" t="n">
        <v>979.1799999999999</v>
      </c>
      <c r="R84" s="16" t="n">
        <v>979.1799999999999</v>
      </c>
      <c r="S84" s="16" t="n">
        <v>979.1799999999999</v>
      </c>
      <c r="T84" s="16" t="n">
        <v>979.1799999999999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CANON-202603-004565</t>
        </is>
      </c>
      <c r="B85" s="3" t="inlineStr">
        <is>
          <t>2026-03-02</t>
        </is>
      </c>
      <c r="C85" s="3" t="inlineStr">
        <is>
          <t>Aurelio Larsson</t>
        </is>
      </c>
      <c r="D85" s="3" t="inlineStr">
        <is>
          <t>FL</t>
        </is>
      </c>
      <c r="E85" s="14" t="n">
        <v>450000</v>
      </c>
      <c r="F85" s="14" t="n">
        <v>7656.24</v>
      </c>
      <c r="G85" s="14" t="n">
        <v>957.03</v>
      </c>
      <c r="H85" s="14" t="n">
        <v>957.03</v>
      </c>
      <c r="I85" s="14">
        <f>SUM(K85:T85)</f>
        <v/>
      </c>
      <c r="J85" s="14">
        <f>F85-(G85+H85+I85)</f>
        <v/>
      </c>
      <c r="K85" s="14" t="n">
        <v>574.22</v>
      </c>
      <c r="L85" s="14" t="n">
        <v>574.22</v>
      </c>
      <c r="M85" s="14" t="n">
        <v>574.22</v>
      </c>
      <c r="N85" s="14" t="n">
        <v>574.22</v>
      </c>
      <c r="O85" s="14" t="n">
        <v>574.22</v>
      </c>
      <c r="P85" s="14" t="n">
        <v>574.22</v>
      </c>
      <c r="Q85" s="14" t="n">
        <v>574.22</v>
      </c>
      <c r="R85" s="14" t="n">
        <v>574.22</v>
      </c>
      <c r="S85" s="14" t="n">
        <v>574.22</v>
      </c>
      <c r="T85" s="14" t="n">
        <v>574.22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CANON-202603-004566</t>
        </is>
      </c>
      <c r="B86" s="15" t="inlineStr">
        <is>
          <t>2026-03-20</t>
        </is>
      </c>
      <c r="C86" s="15" t="inlineStr">
        <is>
          <t>Desmond Farkas</t>
        </is>
      </c>
      <c r="D86" s="15" t="inlineStr">
        <is>
          <t>AK</t>
        </is>
      </c>
      <c r="E86" s="16" t="n">
        <v>750000</v>
      </c>
      <c r="F86" s="16" t="n">
        <v>8878.370000000001</v>
      </c>
      <c r="G86" s="16" t="n">
        <v>1109.8</v>
      </c>
      <c r="H86" s="16" t="n">
        <v>1109.8</v>
      </c>
      <c r="I86" s="16">
        <f>SUM(K86:T86)</f>
        <v/>
      </c>
      <c r="J86" s="16">
        <f>F86-(G86+H86+I86)</f>
        <v/>
      </c>
      <c r="K86" s="16" t="n">
        <v>665.88</v>
      </c>
      <c r="L86" s="16" t="n">
        <v>665.88</v>
      </c>
      <c r="M86" s="16" t="n">
        <v>665.88</v>
      </c>
      <c r="N86" s="16" t="n">
        <v>665.88</v>
      </c>
      <c r="O86" s="16" t="n">
        <v>665.88</v>
      </c>
      <c r="P86" s="16" t="n">
        <v>665.88</v>
      </c>
      <c r="Q86" s="16" t="n">
        <v>665.88</v>
      </c>
      <c r="R86" s="16" t="n">
        <v>665.88</v>
      </c>
      <c r="S86" s="16" t="n">
        <v>665.88</v>
      </c>
      <c r="T86" s="16" t="n">
        <v>665.88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CANON-202603-004567</t>
        </is>
      </c>
      <c r="B87" s="3" t="inlineStr">
        <is>
          <t>2026-03-14</t>
        </is>
      </c>
      <c r="C87" s="3" t="inlineStr">
        <is>
          <t>Anouk Thistlewood</t>
        </is>
      </c>
      <c r="D87" s="3" t="inlineStr">
        <is>
          <t>ND</t>
        </is>
      </c>
      <c r="E87" s="14" t="n">
        <v>505000</v>
      </c>
      <c r="F87" s="14" t="n">
        <v>5348.82</v>
      </c>
      <c r="G87" s="14" t="n">
        <v>668.6</v>
      </c>
      <c r="H87" s="14" t="n">
        <v>668.6</v>
      </c>
      <c r="I87" s="14">
        <f>SUM(K87:T87)</f>
        <v/>
      </c>
      <c r="J87" s="14">
        <f>F87-(G87+H87+I87)</f>
        <v/>
      </c>
      <c r="K87" s="14" t="n">
        <v>401.16</v>
      </c>
      <c r="L87" s="14" t="n">
        <v>401.16</v>
      </c>
      <c r="M87" s="14" t="n">
        <v>401.16</v>
      </c>
      <c r="N87" s="14" t="n">
        <v>401.16</v>
      </c>
      <c r="O87" s="14" t="n">
        <v>401.16</v>
      </c>
      <c r="P87" s="14" t="n">
        <v>401.16</v>
      </c>
      <c r="Q87" s="14" t="n">
        <v>401.16</v>
      </c>
      <c r="R87" s="14" t="n">
        <v>401.16</v>
      </c>
      <c r="S87" s="14" t="n">
        <v>401.16</v>
      </c>
      <c r="T87" s="14" t="n">
        <v>401.16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CANON-202603-004568</t>
        </is>
      </c>
      <c r="B88" s="15" t="inlineStr">
        <is>
          <t>2026-03-21</t>
        </is>
      </c>
      <c r="C88" s="15" t="inlineStr">
        <is>
          <t>Leopold Blackwood</t>
        </is>
      </c>
      <c r="D88" s="15" t="inlineStr">
        <is>
          <t>IL</t>
        </is>
      </c>
      <c r="E88" s="16" t="n">
        <v>615000</v>
      </c>
      <c r="F88" s="16" t="n">
        <v>5745.61</v>
      </c>
      <c r="G88" s="16" t="n">
        <v>718.2</v>
      </c>
      <c r="H88" s="16" t="n">
        <v>718.2</v>
      </c>
      <c r="I88" s="16">
        <f>SUM(K88:T88)</f>
        <v/>
      </c>
      <c r="J88" s="16">
        <f>F88-(G88+H88+I88)</f>
        <v/>
      </c>
      <c r="K88" s="16" t="n">
        <v>430.92</v>
      </c>
      <c r="L88" s="16" t="n">
        <v>430.92</v>
      </c>
      <c r="M88" s="16" t="n">
        <v>430.92</v>
      </c>
      <c r="N88" s="16" t="n">
        <v>430.92</v>
      </c>
      <c r="O88" s="16" t="n">
        <v>430.92</v>
      </c>
      <c r="P88" s="16" t="n">
        <v>430.92</v>
      </c>
      <c r="Q88" s="16" t="n">
        <v>430.92</v>
      </c>
      <c r="R88" s="16" t="n">
        <v>430.92</v>
      </c>
      <c r="S88" s="16" t="n">
        <v>430.92</v>
      </c>
      <c r="T88" s="16" t="n">
        <v>430.92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CANON-202603-004570</t>
        </is>
      </c>
      <c r="B89" s="3" t="inlineStr">
        <is>
          <t>2026-03-01</t>
        </is>
      </c>
      <c r="C89" s="3" t="inlineStr">
        <is>
          <t>Ottilie Underwood</t>
        </is>
      </c>
      <c r="D89" s="3" t="inlineStr">
        <is>
          <t>DE</t>
        </is>
      </c>
      <c r="E89" s="14" t="n">
        <v>700000</v>
      </c>
      <c r="F89" s="14" t="n">
        <v>6010.77</v>
      </c>
      <c r="G89" s="14" t="n">
        <v>751.35</v>
      </c>
      <c r="H89" s="14" t="n">
        <v>751.35</v>
      </c>
      <c r="I89" s="14">
        <f>SUM(K89:T89)</f>
        <v/>
      </c>
      <c r="J89" s="14">
        <f>F89-(G89+H89+I89)</f>
        <v/>
      </c>
      <c r="K89" s="14" t="n">
        <v>450.81</v>
      </c>
      <c r="L89" s="14" t="n">
        <v>450.81</v>
      </c>
      <c r="M89" s="14" t="n">
        <v>450.81</v>
      </c>
      <c r="N89" s="14" t="n">
        <v>450.81</v>
      </c>
      <c r="O89" s="14" t="n">
        <v>450.81</v>
      </c>
      <c r="P89" s="14" t="n">
        <v>450.81</v>
      </c>
      <c r="Q89" s="14" t="n">
        <v>450.81</v>
      </c>
      <c r="R89" s="14" t="n">
        <v>450.81</v>
      </c>
      <c r="S89" s="14" t="n">
        <v>450.81</v>
      </c>
      <c r="T89" s="14" t="n">
        <v>450.81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CANON-202603-004571</t>
        </is>
      </c>
      <c r="B90" s="15" t="inlineStr">
        <is>
          <t>2026-03-14</t>
        </is>
      </c>
      <c r="C90" s="15" t="inlineStr">
        <is>
          <t>Delphine Nakashima</t>
        </is>
      </c>
      <c r="D90" s="15" t="inlineStr">
        <is>
          <t>NJ</t>
        </is>
      </c>
      <c r="E90" s="16" t="n">
        <v>255000</v>
      </c>
      <c r="F90" s="16" t="n">
        <v>2780.33</v>
      </c>
      <c r="G90" s="16" t="n">
        <v>347.54</v>
      </c>
      <c r="H90" s="16" t="n">
        <v>347.54</v>
      </c>
      <c r="I90" s="16">
        <f>SUM(K90:T90)</f>
        <v/>
      </c>
      <c r="J90" s="16">
        <f>F90-(G90+H90+I90)</f>
        <v/>
      </c>
      <c r="K90" s="16" t="n">
        <v>208.52</v>
      </c>
      <c r="L90" s="16" t="n">
        <v>208.52</v>
      </c>
      <c r="M90" s="16" t="n">
        <v>208.52</v>
      </c>
      <c r="N90" s="16" t="n">
        <v>208.52</v>
      </c>
      <c r="O90" s="16" t="n">
        <v>208.52</v>
      </c>
      <c r="P90" s="16" t="n">
        <v>208.52</v>
      </c>
      <c r="Q90" s="16" t="n">
        <v>208.52</v>
      </c>
      <c r="R90" s="16" t="n">
        <v>208.52</v>
      </c>
      <c r="S90" s="16" t="n">
        <v>208.52</v>
      </c>
      <c r="T90" s="16" t="n">
        <v>208.52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CANON-202603-004574</t>
        </is>
      </c>
      <c r="B91" s="3" t="inlineStr">
        <is>
          <t>2026-03-20</t>
        </is>
      </c>
      <c r="C91" s="3" t="inlineStr">
        <is>
          <t>Ramona Blackwood</t>
        </is>
      </c>
      <c r="D91" s="3" t="inlineStr">
        <is>
          <t>AL</t>
        </is>
      </c>
      <c r="E91" s="14" t="n">
        <v>465000</v>
      </c>
      <c r="F91" s="14" t="n">
        <v>7075.74</v>
      </c>
      <c r="G91" s="14" t="n">
        <v>884.47</v>
      </c>
      <c r="H91" s="14" t="n">
        <v>884.47</v>
      </c>
      <c r="I91" s="14">
        <f>SUM(K91:T91)</f>
        <v/>
      </c>
      <c r="J91" s="14">
        <f>F91-(G91+H91+I91)</f>
        <v/>
      </c>
      <c r="K91" s="14" t="n">
        <v>530.6799999999999</v>
      </c>
      <c r="L91" s="14" t="n">
        <v>530.6799999999999</v>
      </c>
      <c r="M91" s="14" t="n">
        <v>530.6799999999999</v>
      </c>
      <c r="N91" s="14" t="n">
        <v>530.6799999999999</v>
      </c>
      <c r="O91" s="14" t="n">
        <v>530.6799999999999</v>
      </c>
      <c r="P91" s="14" t="n">
        <v>530.6799999999999</v>
      </c>
      <c r="Q91" s="14" t="n">
        <v>530.6799999999999</v>
      </c>
      <c r="R91" s="14" t="n">
        <v>530.6799999999999</v>
      </c>
      <c r="S91" s="14" t="n">
        <v>530.6799999999999</v>
      </c>
      <c r="T91" s="14" t="n">
        <v>530.6799999999999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CANON-202603-004575</t>
        </is>
      </c>
      <c r="B92" s="15" t="inlineStr">
        <is>
          <t>2026-03-28</t>
        </is>
      </c>
      <c r="C92" s="15" t="inlineStr">
        <is>
          <t>Thaddeus Delacroix</t>
        </is>
      </c>
      <c r="D92" s="15" t="inlineStr">
        <is>
          <t>KS</t>
        </is>
      </c>
      <c r="E92" s="16" t="n">
        <v>635000</v>
      </c>
      <c r="F92" s="16" t="n">
        <v>6396.06</v>
      </c>
      <c r="G92" s="16" t="n">
        <v>799.51</v>
      </c>
      <c r="H92" s="16" t="n">
        <v>799.51</v>
      </c>
      <c r="I92" s="16">
        <f>SUM(K92:T92)</f>
        <v/>
      </c>
      <c r="J92" s="16">
        <f>F92-(G92+H92+I92)</f>
        <v/>
      </c>
      <c r="K92" s="16" t="n">
        <v>479.7</v>
      </c>
      <c r="L92" s="16" t="n">
        <v>479.7</v>
      </c>
      <c r="M92" s="16" t="n">
        <v>479.7</v>
      </c>
      <c r="N92" s="16" t="n">
        <v>479.7</v>
      </c>
      <c r="O92" s="16" t="n">
        <v>479.7</v>
      </c>
      <c r="P92" s="16" t="n">
        <v>479.7</v>
      </c>
      <c r="Q92" s="16" t="n">
        <v>479.7</v>
      </c>
      <c r="R92" s="16" t="n">
        <v>479.7</v>
      </c>
      <c r="S92" s="16" t="n">
        <v>479.7</v>
      </c>
      <c r="T92" s="16" t="n">
        <v>479.7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CANON-202603-004576</t>
        </is>
      </c>
      <c r="B93" s="3" t="inlineStr">
        <is>
          <t>2026-03-12</t>
        </is>
      </c>
      <c r="C93" s="3" t="inlineStr">
        <is>
          <t>Mireille Whitlock</t>
        </is>
      </c>
      <c r="D93" s="3" t="inlineStr">
        <is>
          <t>NC</t>
        </is>
      </c>
      <c r="E93" s="14" t="n">
        <v>510000</v>
      </c>
      <c r="F93" s="14" t="n">
        <v>6090.25</v>
      </c>
      <c r="G93" s="14" t="n">
        <v>761.28</v>
      </c>
      <c r="H93" s="14" t="n">
        <v>761.28</v>
      </c>
      <c r="I93" s="14">
        <f>SUM(K93:T93)</f>
        <v/>
      </c>
      <c r="J93" s="14">
        <f>F93-(G93+H93+I93)</f>
        <v/>
      </c>
      <c r="K93" s="14" t="n">
        <v>456.77</v>
      </c>
      <c r="L93" s="14" t="n">
        <v>456.77</v>
      </c>
      <c r="M93" s="14" t="n">
        <v>456.77</v>
      </c>
      <c r="N93" s="14" t="n">
        <v>456.77</v>
      </c>
      <c r="O93" s="14" t="n">
        <v>456.77</v>
      </c>
      <c r="P93" s="14" t="n">
        <v>456.77</v>
      </c>
      <c r="Q93" s="14" t="n">
        <v>456.77</v>
      </c>
      <c r="R93" s="14" t="n">
        <v>456.77</v>
      </c>
      <c r="S93" s="14" t="n">
        <v>456.77</v>
      </c>
      <c r="T93" s="14" t="n">
        <v>456.77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CANON-202603-004577</t>
        </is>
      </c>
      <c r="B94" s="15" t="inlineStr">
        <is>
          <t>2026-03-20</t>
        </is>
      </c>
      <c r="C94" s="15" t="inlineStr">
        <is>
          <t>Cassius Merriweather</t>
        </is>
      </c>
      <c r="D94" s="15" t="inlineStr">
        <is>
          <t>FL</t>
        </is>
      </c>
      <c r="E94" s="16" t="n">
        <v>715000</v>
      </c>
      <c r="F94" s="16" t="n">
        <v>6163.56</v>
      </c>
      <c r="G94" s="16" t="n">
        <v>770.45</v>
      </c>
      <c r="H94" s="16" t="n">
        <v>770.45</v>
      </c>
      <c r="I94" s="16">
        <f>SUM(K94:T94)</f>
        <v/>
      </c>
      <c r="J94" s="16">
        <f>F94-(G94+H94+I94)</f>
        <v/>
      </c>
      <c r="K94" s="16" t="n">
        <v>462.27</v>
      </c>
      <c r="L94" s="16" t="n">
        <v>462.27</v>
      </c>
      <c r="M94" s="16" t="n">
        <v>462.27</v>
      </c>
      <c r="N94" s="16" t="n">
        <v>462.27</v>
      </c>
      <c r="O94" s="16" t="n">
        <v>462.27</v>
      </c>
      <c r="P94" s="16" t="n">
        <v>462.27</v>
      </c>
      <c r="Q94" s="16" t="n">
        <v>462.27</v>
      </c>
      <c r="R94" s="16" t="n">
        <v>462.27</v>
      </c>
      <c r="S94" s="16" t="n">
        <v>462.27</v>
      </c>
      <c r="T94" s="16" t="n">
        <v>462.27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CANON-202603-004580</t>
        </is>
      </c>
      <c r="B95" s="3" t="inlineStr">
        <is>
          <t>2026-03-01</t>
        </is>
      </c>
      <c r="C95" s="3" t="inlineStr">
        <is>
          <t>Anouk Ashcombe</t>
        </is>
      </c>
      <c r="D95" s="3" t="inlineStr">
        <is>
          <t>CA</t>
        </is>
      </c>
      <c r="E95" s="14" t="n">
        <v>1080000</v>
      </c>
      <c r="F95" s="14" t="n">
        <v>18633.79</v>
      </c>
      <c r="G95" s="14" t="n">
        <v>2329.22</v>
      </c>
      <c r="H95" s="14" t="n">
        <v>2329.22</v>
      </c>
      <c r="I95" s="14">
        <f>SUM(K95:T95)</f>
        <v/>
      </c>
      <c r="J95" s="14">
        <f>F95-(G95+H95+I95)</f>
        <v/>
      </c>
      <c r="K95" s="14" t="n">
        <v>1397.53</v>
      </c>
      <c r="L95" s="14" t="n">
        <v>1397.53</v>
      </c>
      <c r="M95" s="14" t="n">
        <v>1397.53</v>
      </c>
      <c r="N95" s="14" t="n">
        <v>1397.53</v>
      </c>
      <c r="O95" s="14" t="n">
        <v>1397.53</v>
      </c>
      <c r="P95" s="14" t="n">
        <v>1397.53</v>
      </c>
      <c r="Q95" s="14" t="n">
        <v>1397.53</v>
      </c>
      <c r="R95" s="14" t="n">
        <v>1397.53</v>
      </c>
      <c r="S95" s="14" t="n">
        <v>1397.53</v>
      </c>
      <c r="T95" s="14" t="n">
        <v>1397.53</v>
      </c>
      <c r="U95" s="14" t="n">
        <v>350</v>
      </c>
      <c r="V95" s="14" t="n">
        <v>250</v>
      </c>
      <c r="W95" s="14">
        <f>U95+V95</f>
        <v/>
      </c>
    </row>
    <row r="96">
      <c r="A96" s="15" t="inlineStr">
        <is>
          <t>CANON-202603-004581</t>
        </is>
      </c>
      <c r="B96" s="15" t="inlineStr">
        <is>
          <t>2026-03-20</t>
        </is>
      </c>
      <c r="C96" s="15" t="inlineStr">
        <is>
          <t>Lorenzo Okonkwo</t>
        </is>
      </c>
      <c r="D96" s="15" t="inlineStr">
        <is>
          <t>WY</t>
        </is>
      </c>
      <c r="E96" s="16" t="n">
        <v>320000</v>
      </c>
      <c r="F96" s="16" t="n">
        <v>4102.5</v>
      </c>
      <c r="G96" s="16" t="n">
        <v>512.8099999999999</v>
      </c>
      <c r="H96" s="16" t="n">
        <v>512.8099999999999</v>
      </c>
      <c r="I96" s="16">
        <f>SUM(K96:T96)</f>
        <v/>
      </c>
      <c r="J96" s="16">
        <f>F96-(G96+H96+I96)</f>
        <v/>
      </c>
      <c r="K96" s="16" t="n">
        <v>307.69</v>
      </c>
      <c r="L96" s="16" t="n">
        <v>307.69</v>
      </c>
      <c r="M96" s="16" t="n">
        <v>307.69</v>
      </c>
      <c r="N96" s="16" t="n">
        <v>307.69</v>
      </c>
      <c r="O96" s="16" t="n">
        <v>307.69</v>
      </c>
      <c r="P96" s="16" t="n">
        <v>307.69</v>
      </c>
      <c r="Q96" s="16" t="n">
        <v>307.69</v>
      </c>
      <c r="R96" s="16" t="n">
        <v>307.69</v>
      </c>
      <c r="S96" s="16" t="n">
        <v>307.69</v>
      </c>
      <c r="T96" s="16" t="n">
        <v>307.69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CANON-202603-004582</t>
        </is>
      </c>
      <c r="B97" s="3" t="inlineStr">
        <is>
          <t>2026-03-22</t>
        </is>
      </c>
      <c r="C97" s="3" t="inlineStr">
        <is>
          <t>Leopold Rourke</t>
        </is>
      </c>
      <c r="D97" s="3" t="inlineStr">
        <is>
          <t>AL</t>
        </is>
      </c>
      <c r="E97" s="14" t="n">
        <v>1875000</v>
      </c>
      <c r="F97" s="14" t="n">
        <v>30433.28</v>
      </c>
      <c r="G97" s="14" t="n">
        <v>3804.16</v>
      </c>
      <c r="H97" s="14" t="n">
        <v>3804.16</v>
      </c>
      <c r="I97" s="14">
        <f>SUM(K97:T97)</f>
        <v/>
      </c>
      <c r="J97" s="14">
        <f>F97-(G97+H97+I97)</f>
        <v/>
      </c>
      <c r="K97" s="14" t="n">
        <v>2282.5</v>
      </c>
      <c r="L97" s="14" t="n">
        <v>2282.5</v>
      </c>
      <c r="M97" s="14" t="n">
        <v>2282.5</v>
      </c>
      <c r="N97" s="14" t="n">
        <v>2282.5</v>
      </c>
      <c r="O97" s="14" t="n">
        <v>2282.5</v>
      </c>
      <c r="P97" s="14" t="n">
        <v>2282.5</v>
      </c>
      <c r="Q97" s="14" t="n">
        <v>2282.5</v>
      </c>
      <c r="R97" s="14" t="n">
        <v>2282.5</v>
      </c>
      <c r="S97" s="14" t="n">
        <v>2282.5</v>
      </c>
      <c r="T97" s="14" t="n">
        <v>2282.5</v>
      </c>
      <c r="U97" s="14" t="n">
        <v>350</v>
      </c>
      <c r="V97" s="14" t="n">
        <v>250</v>
      </c>
      <c r="W97" s="14">
        <f>U97+V97</f>
        <v/>
      </c>
    </row>
    <row r="98">
      <c r="A98" s="15" t="inlineStr">
        <is>
          <t>CANON-202603-004583</t>
        </is>
      </c>
      <c r="B98" s="15" t="inlineStr">
        <is>
          <t>2026-03-29</t>
        </is>
      </c>
      <c r="C98" s="15" t="inlineStr">
        <is>
          <t>Marisol Blackwood</t>
        </is>
      </c>
      <c r="D98" s="15" t="inlineStr">
        <is>
          <t>MT</t>
        </is>
      </c>
      <c r="E98" s="16" t="n">
        <v>565000</v>
      </c>
      <c r="F98" s="16" t="n">
        <v>7974.59</v>
      </c>
      <c r="G98" s="16" t="n">
        <v>996.8200000000001</v>
      </c>
      <c r="H98" s="16" t="n">
        <v>996.8200000000001</v>
      </c>
      <c r="I98" s="16">
        <f>SUM(K98:T98)</f>
        <v/>
      </c>
      <c r="J98" s="16">
        <f>F98-(G98+H98+I98)</f>
        <v/>
      </c>
      <c r="K98" s="16" t="n">
        <v>598.09</v>
      </c>
      <c r="L98" s="16" t="n">
        <v>598.09</v>
      </c>
      <c r="M98" s="16" t="n">
        <v>598.09</v>
      </c>
      <c r="N98" s="16" t="n">
        <v>598.09</v>
      </c>
      <c r="O98" s="16" t="n">
        <v>598.09</v>
      </c>
      <c r="P98" s="16" t="n">
        <v>598.09</v>
      </c>
      <c r="Q98" s="16" t="n">
        <v>598.09</v>
      </c>
      <c r="R98" s="16" t="n">
        <v>598.09</v>
      </c>
      <c r="S98" s="16" t="n">
        <v>598.09</v>
      </c>
      <c r="T98" s="16" t="n">
        <v>598.09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CANON-202603-004585</t>
        </is>
      </c>
      <c r="B99" s="3" t="inlineStr">
        <is>
          <t>2026-03-20</t>
        </is>
      </c>
      <c r="C99" s="3" t="inlineStr">
        <is>
          <t>Marisol Vandermeer</t>
        </is>
      </c>
      <c r="D99" s="3" t="inlineStr">
        <is>
          <t>NY</t>
        </is>
      </c>
      <c r="E99" s="14" t="n">
        <v>505000</v>
      </c>
      <c r="F99" s="14" t="n">
        <v>6712.26</v>
      </c>
      <c r="G99" s="14" t="n">
        <v>839.03</v>
      </c>
      <c r="H99" s="14" t="n">
        <v>839.03</v>
      </c>
      <c r="I99" s="14">
        <f>SUM(K99:T99)</f>
        <v/>
      </c>
      <c r="J99" s="14">
        <f>F99-(G99+H99+I99)</f>
        <v/>
      </c>
      <c r="K99" s="14" t="n">
        <v>503.42</v>
      </c>
      <c r="L99" s="14" t="n">
        <v>503.42</v>
      </c>
      <c r="M99" s="14" t="n">
        <v>503.42</v>
      </c>
      <c r="N99" s="14" t="n">
        <v>503.42</v>
      </c>
      <c r="O99" s="14" t="n">
        <v>503.42</v>
      </c>
      <c r="P99" s="14" t="n">
        <v>503.42</v>
      </c>
      <c r="Q99" s="14" t="n">
        <v>503.42</v>
      </c>
      <c r="R99" s="14" t="n">
        <v>503.42</v>
      </c>
      <c r="S99" s="14" t="n">
        <v>503.42</v>
      </c>
      <c r="T99" s="14" t="n">
        <v>503.42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CANON-202603-004586</t>
        </is>
      </c>
      <c r="B100" s="15" t="inlineStr">
        <is>
          <t>2026-03-28</t>
        </is>
      </c>
      <c r="C100" s="15" t="inlineStr">
        <is>
          <t>Aurelio Harrington</t>
        </is>
      </c>
      <c r="D100" s="15" t="inlineStr">
        <is>
          <t>SD</t>
        </is>
      </c>
      <c r="E100" s="16" t="n">
        <v>1115000</v>
      </c>
      <c r="F100" s="16" t="n">
        <v>15817.63</v>
      </c>
      <c r="G100" s="16" t="n">
        <v>1977.2</v>
      </c>
      <c r="H100" s="16" t="n">
        <v>1977.2</v>
      </c>
      <c r="I100" s="16">
        <f>SUM(K100:T100)</f>
        <v/>
      </c>
      <c r="J100" s="16">
        <f>F100-(G100+H100+I100)</f>
        <v/>
      </c>
      <c r="K100" s="16" t="n">
        <v>1186.32</v>
      </c>
      <c r="L100" s="16" t="n">
        <v>1186.32</v>
      </c>
      <c r="M100" s="16" t="n">
        <v>1186.32</v>
      </c>
      <c r="N100" s="16" t="n">
        <v>1186.32</v>
      </c>
      <c r="O100" s="16" t="n">
        <v>1186.32</v>
      </c>
      <c r="P100" s="16" t="n">
        <v>1186.32</v>
      </c>
      <c r="Q100" s="16" t="n">
        <v>1186.32</v>
      </c>
      <c r="R100" s="16" t="n">
        <v>1186.32</v>
      </c>
      <c r="S100" s="16" t="n">
        <v>1186.32</v>
      </c>
      <c r="T100" s="16" t="n">
        <v>1186.32</v>
      </c>
      <c r="U100" s="16" t="n">
        <v>350</v>
      </c>
      <c r="V100" s="16" t="n">
        <v>250</v>
      </c>
      <c r="W100" s="16">
        <f>U100+V100</f>
        <v/>
      </c>
    </row>
    <row r="101">
      <c r="A101" s="3" t="inlineStr">
        <is>
          <t>CANON-202603-004588</t>
        </is>
      </c>
      <c r="B101" s="3" t="inlineStr">
        <is>
          <t>2026-03-23</t>
        </is>
      </c>
      <c r="C101" s="3" t="inlineStr">
        <is>
          <t>Ingrid Farkas</t>
        </is>
      </c>
      <c r="D101" s="3" t="inlineStr">
        <is>
          <t>NY</t>
        </is>
      </c>
      <c r="E101" s="14" t="n">
        <v>340000</v>
      </c>
      <c r="F101" s="14" t="n">
        <v>5214.39</v>
      </c>
      <c r="G101" s="14" t="n">
        <v>651.8</v>
      </c>
      <c r="H101" s="14" t="n">
        <v>651.8</v>
      </c>
      <c r="I101" s="14">
        <f>SUM(K101:T101)</f>
        <v/>
      </c>
      <c r="J101" s="14">
        <f>F101-(G101+H101+I101)</f>
        <v/>
      </c>
      <c r="K101" s="14" t="n">
        <v>391.08</v>
      </c>
      <c r="L101" s="14" t="n">
        <v>391.08</v>
      </c>
      <c r="M101" s="14" t="n">
        <v>391.08</v>
      </c>
      <c r="N101" s="14" t="n">
        <v>391.08</v>
      </c>
      <c r="O101" s="14" t="n">
        <v>391.08</v>
      </c>
      <c r="P101" s="14" t="n">
        <v>391.08</v>
      </c>
      <c r="Q101" s="14" t="n">
        <v>391.08</v>
      </c>
      <c r="R101" s="14" t="n">
        <v>391.08</v>
      </c>
      <c r="S101" s="14" t="n">
        <v>391.08</v>
      </c>
      <c r="T101" s="14" t="n">
        <v>391.08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CANON-202603-004589</t>
        </is>
      </c>
      <c r="B102" s="15" t="inlineStr">
        <is>
          <t>2026-03-16</t>
        </is>
      </c>
      <c r="C102" s="15" t="inlineStr">
        <is>
          <t>Wilhelmina Blackwood</t>
        </is>
      </c>
      <c r="D102" s="15" t="inlineStr">
        <is>
          <t>ND</t>
        </is>
      </c>
      <c r="E102" s="16" t="n">
        <v>830000</v>
      </c>
      <c r="F102" s="16" t="n">
        <v>12848.6</v>
      </c>
      <c r="G102" s="16" t="n">
        <v>1606.08</v>
      </c>
      <c r="H102" s="16" t="n">
        <v>1606.08</v>
      </c>
      <c r="I102" s="16">
        <f>SUM(K102:T102)</f>
        <v/>
      </c>
      <c r="J102" s="16">
        <f>F102-(G102+H102+I102)</f>
        <v/>
      </c>
      <c r="K102" s="16" t="n">
        <v>963.64</v>
      </c>
      <c r="L102" s="16" t="n">
        <v>963.64</v>
      </c>
      <c r="M102" s="16" t="n">
        <v>963.64</v>
      </c>
      <c r="N102" s="16" t="n">
        <v>963.64</v>
      </c>
      <c r="O102" s="16" t="n">
        <v>963.64</v>
      </c>
      <c r="P102" s="16" t="n">
        <v>963.64</v>
      </c>
      <c r="Q102" s="16" t="n">
        <v>963.64</v>
      </c>
      <c r="R102" s="16" t="n">
        <v>963.64</v>
      </c>
      <c r="S102" s="16" t="n">
        <v>963.64</v>
      </c>
      <c r="T102" s="16" t="n">
        <v>963.64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CANON-202603-004591</t>
        </is>
      </c>
      <c r="B103" s="3" t="inlineStr">
        <is>
          <t>2026-03-03</t>
        </is>
      </c>
      <c r="C103" s="3" t="inlineStr">
        <is>
          <t>Delphine Farkas</t>
        </is>
      </c>
      <c r="D103" s="3" t="inlineStr">
        <is>
          <t>WV</t>
        </is>
      </c>
      <c r="E103" s="14" t="n">
        <v>440000</v>
      </c>
      <c r="F103" s="14" t="n">
        <v>4487.44</v>
      </c>
      <c r="G103" s="14" t="n">
        <v>560.9299999999999</v>
      </c>
      <c r="H103" s="14" t="n">
        <v>560.9299999999999</v>
      </c>
      <c r="I103" s="14">
        <f>SUM(K103:T103)</f>
        <v/>
      </c>
      <c r="J103" s="14">
        <f>F103-(G103+H103+I103)</f>
        <v/>
      </c>
      <c r="K103" s="14" t="n">
        <v>336.56</v>
      </c>
      <c r="L103" s="14" t="n">
        <v>336.56</v>
      </c>
      <c r="M103" s="14" t="n">
        <v>336.56</v>
      </c>
      <c r="N103" s="14" t="n">
        <v>336.56</v>
      </c>
      <c r="O103" s="14" t="n">
        <v>336.56</v>
      </c>
      <c r="P103" s="14" t="n">
        <v>336.56</v>
      </c>
      <c r="Q103" s="14" t="n">
        <v>336.56</v>
      </c>
      <c r="R103" s="14" t="n">
        <v>336.56</v>
      </c>
      <c r="S103" s="14" t="n">
        <v>336.56</v>
      </c>
      <c r="T103" s="14" t="n">
        <v>336.56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CANON-202603-004592</t>
        </is>
      </c>
      <c r="B104" s="15" t="inlineStr">
        <is>
          <t>2026-03-15</t>
        </is>
      </c>
      <c r="C104" s="15" t="inlineStr">
        <is>
          <t>Fitzgerald Merriweather</t>
        </is>
      </c>
      <c r="D104" s="15" t="inlineStr">
        <is>
          <t>ME</t>
        </is>
      </c>
      <c r="E104" s="16" t="n">
        <v>800000</v>
      </c>
      <c r="F104" s="16" t="n">
        <v>8971.83</v>
      </c>
      <c r="G104" s="16" t="n">
        <v>1121.48</v>
      </c>
      <c r="H104" s="16" t="n">
        <v>1121.48</v>
      </c>
      <c r="I104" s="16">
        <f>SUM(K104:T104)</f>
        <v/>
      </c>
      <c r="J104" s="16">
        <f>F104-(G104+H104+I104)</f>
        <v/>
      </c>
      <c r="K104" s="16" t="n">
        <v>672.89</v>
      </c>
      <c r="L104" s="16" t="n">
        <v>672.89</v>
      </c>
      <c r="M104" s="16" t="n">
        <v>672.89</v>
      </c>
      <c r="N104" s="16" t="n">
        <v>672.89</v>
      </c>
      <c r="O104" s="16" t="n">
        <v>672.89</v>
      </c>
      <c r="P104" s="16" t="n">
        <v>672.89</v>
      </c>
      <c r="Q104" s="16" t="n">
        <v>672.89</v>
      </c>
      <c r="R104" s="16" t="n">
        <v>672.89</v>
      </c>
      <c r="S104" s="16" t="n">
        <v>672.89</v>
      </c>
      <c r="T104" s="16" t="n">
        <v>672.89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CANON-202603-004593</t>
        </is>
      </c>
      <c r="B105" s="3" t="inlineStr">
        <is>
          <t>2026-03-04</t>
        </is>
      </c>
      <c r="C105" s="3" t="inlineStr">
        <is>
          <t>Ottilie Harrington</t>
        </is>
      </c>
      <c r="D105" s="3" t="inlineStr">
        <is>
          <t>OH</t>
        </is>
      </c>
      <c r="E105" s="14" t="n">
        <v>865000</v>
      </c>
      <c r="F105" s="14" t="n">
        <v>12485.27</v>
      </c>
      <c r="G105" s="14" t="n">
        <v>1560.66</v>
      </c>
      <c r="H105" s="14" t="n">
        <v>1560.66</v>
      </c>
      <c r="I105" s="14">
        <f>SUM(K105:T105)</f>
        <v/>
      </c>
      <c r="J105" s="14">
        <f>F105-(G105+H105+I105)</f>
        <v/>
      </c>
      <c r="K105" s="14" t="n">
        <v>936.4</v>
      </c>
      <c r="L105" s="14" t="n">
        <v>936.4</v>
      </c>
      <c r="M105" s="14" t="n">
        <v>936.4</v>
      </c>
      <c r="N105" s="14" t="n">
        <v>936.4</v>
      </c>
      <c r="O105" s="14" t="n">
        <v>936.4</v>
      </c>
      <c r="P105" s="14" t="n">
        <v>936.4</v>
      </c>
      <c r="Q105" s="14" t="n">
        <v>936.4</v>
      </c>
      <c r="R105" s="14" t="n">
        <v>936.4</v>
      </c>
      <c r="S105" s="14" t="n">
        <v>936.4</v>
      </c>
      <c r="T105" s="14" t="n">
        <v>936.4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CANON-202603-004595</t>
        </is>
      </c>
      <c r="B106" s="15" t="inlineStr">
        <is>
          <t>2026-03-14</t>
        </is>
      </c>
      <c r="C106" s="15" t="inlineStr">
        <is>
          <t>Desmond Okonkwo</t>
        </is>
      </c>
      <c r="D106" s="15" t="inlineStr">
        <is>
          <t>NH</t>
        </is>
      </c>
      <c r="E106" s="16" t="n">
        <v>525000</v>
      </c>
      <c r="F106" s="16" t="n">
        <v>5669.7</v>
      </c>
      <c r="G106" s="16" t="n">
        <v>708.71</v>
      </c>
      <c r="H106" s="16" t="n">
        <v>708.71</v>
      </c>
      <c r="I106" s="16">
        <f>SUM(K106:T106)</f>
        <v/>
      </c>
      <c r="J106" s="16">
        <f>F106-(G106+H106+I106)</f>
        <v/>
      </c>
      <c r="K106" s="16" t="n">
        <v>425.23</v>
      </c>
      <c r="L106" s="16" t="n">
        <v>425.23</v>
      </c>
      <c r="M106" s="16" t="n">
        <v>425.23</v>
      </c>
      <c r="N106" s="16" t="n">
        <v>425.23</v>
      </c>
      <c r="O106" s="16" t="n">
        <v>425.23</v>
      </c>
      <c r="P106" s="16" t="n">
        <v>425.23</v>
      </c>
      <c r="Q106" s="16" t="n">
        <v>425.23</v>
      </c>
      <c r="R106" s="16" t="n">
        <v>425.23</v>
      </c>
      <c r="S106" s="16" t="n">
        <v>425.23</v>
      </c>
      <c r="T106" s="16" t="n">
        <v>425.23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CANON-202603-004596</t>
        </is>
      </c>
      <c r="B107" s="3" t="inlineStr">
        <is>
          <t>2026-03-23</t>
        </is>
      </c>
      <c r="C107" s="3" t="inlineStr">
        <is>
          <t>Mireille Montoya</t>
        </is>
      </c>
      <c r="D107" s="3" t="inlineStr">
        <is>
          <t>MO</t>
        </is>
      </c>
      <c r="E107" s="14" t="n">
        <v>1475000</v>
      </c>
      <c r="F107" s="14" t="n">
        <v>8492.4</v>
      </c>
      <c r="G107" s="14" t="n">
        <v>1061.55</v>
      </c>
      <c r="H107" s="14" t="n">
        <v>1061.55</v>
      </c>
      <c r="I107" s="14">
        <f>SUM(K107:T107)</f>
        <v/>
      </c>
      <c r="J107" s="14">
        <f>F107-(G107+H107+I107)</f>
        <v/>
      </c>
      <c r="K107" s="14" t="n">
        <v>636.9299999999999</v>
      </c>
      <c r="L107" s="14" t="n">
        <v>636.9299999999999</v>
      </c>
      <c r="M107" s="14" t="n">
        <v>636.9299999999999</v>
      </c>
      <c r="N107" s="14" t="n">
        <v>636.9299999999999</v>
      </c>
      <c r="O107" s="14" t="n">
        <v>636.9299999999999</v>
      </c>
      <c r="P107" s="14" t="n">
        <v>636.9299999999999</v>
      </c>
      <c r="Q107" s="14" t="n">
        <v>636.9299999999999</v>
      </c>
      <c r="R107" s="14" t="n">
        <v>636.9299999999999</v>
      </c>
      <c r="S107" s="14" t="n">
        <v>636.9299999999999</v>
      </c>
      <c r="T107" s="14" t="n">
        <v>636.9299999999999</v>
      </c>
      <c r="U107" s="14" t="n">
        <v>350</v>
      </c>
      <c r="V107" s="14" t="n">
        <v>250</v>
      </c>
      <c r="W107" s="14">
        <f>U107+V107</f>
        <v/>
      </c>
    </row>
    <row r="108">
      <c r="A108" s="15" t="inlineStr">
        <is>
          <t>CANON-202603-004599</t>
        </is>
      </c>
      <c r="B108" s="15" t="inlineStr">
        <is>
          <t>2026-03-05</t>
        </is>
      </c>
      <c r="C108" s="15" t="inlineStr">
        <is>
          <t>Anouk Rourke</t>
        </is>
      </c>
      <c r="D108" s="15" t="inlineStr">
        <is>
          <t>FL</t>
        </is>
      </c>
      <c r="E108" s="16" t="n">
        <v>725000</v>
      </c>
      <c r="F108" s="16" t="n">
        <v>10690.38</v>
      </c>
      <c r="G108" s="16" t="n">
        <v>1336.3</v>
      </c>
      <c r="H108" s="16" t="n">
        <v>1336.3</v>
      </c>
      <c r="I108" s="16">
        <f>SUM(K108:T108)</f>
        <v/>
      </c>
      <c r="J108" s="16">
        <f>F108-(G108+H108+I108)</f>
        <v/>
      </c>
      <c r="K108" s="16" t="n">
        <v>801.78</v>
      </c>
      <c r="L108" s="16" t="n">
        <v>801.78</v>
      </c>
      <c r="M108" s="16" t="n">
        <v>801.78</v>
      </c>
      <c r="N108" s="16" t="n">
        <v>801.78</v>
      </c>
      <c r="O108" s="16" t="n">
        <v>801.78</v>
      </c>
      <c r="P108" s="16" t="n">
        <v>801.78</v>
      </c>
      <c r="Q108" s="16" t="n">
        <v>801.78</v>
      </c>
      <c r="R108" s="16" t="n">
        <v>801.78</v>
      </c>
      <c r="S108" s="16" t="n">
        <v>801.78</v>
      </c>
      <c r="T108" s="16" t="n">
        <v>801.78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CANON-202603-004602</t>
        </is>
      </c>
      <c r="B109" s="3" t="inlineStr">
        <is>
          <t>2026-03-21</t>
        </is>
      </c>
      <c r="C109" s="3" t="inlineStr">
        <is>
          <t>Horace Whitlock</t>
        </is>
      </c>
      <c r="D109" s="3" t="inlineStr">
        <is>
          <t>CA</t>
        </is>
      </c>
      <c r="E109" s="14" t="n">
        <v>455000</v>
      </c>
      <c r="F109" s="14" t="n">
        <v>11284.88</v>
      </c>
      <c r="G109" s="14" t="n">
        <v>1410.61</v>
      </c>
      <c r="H109" s="14" t="n">
        <v>1410.61</v>
      </c>
      <c r="I109" s="14">
        <f>SUM(K109:T109)</f>
        <v/>
      </c>
      <c r="J109" s="14">
        <f>F109-(G109+H109+I109)</f>
        <v/>
      </c>
      <c r="K109" s="14" t="n">
        <v>846.37</v>
      </c>
      <c r="L109" s="14" t="n">
        <v>846.37</v>
      </c>
      <c r="M109" s="14" t="n">
        <v>846.37</v>
      </c>
      <c r="N109" s="14" t="n">
        <v>846.37</v>
      </c>
      <c r="O109" s="14" t="n">
        <v>846.37</v>
      </c>
      <c r="P109" s="14" t="n">
        <v>846.37</v>
      </c>
      <c r="Q109" s="14" t="n">
        <v>846.37</v>
      </c>
      <c r="R109" s="14" t="n">
        <v>846.37</v>
      </c>
      <c r="S109" s="14" t="n">
        <v>846.37</v>
      </c>
      <c r="T109" s="14" t="n">
        <v>846.37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CANON-202603-004604</t>
        </is>
      </c>
      <c r="B110" s="15" t="inlineStr">
        <is>
          <t>2026-03-18</t>
        </is>
      </c>
      <c r="C110" s="15" t="inlineStr">
        <is>
          <t>Saoirse Whitlock</t>
        </is>
      </c>
      <c r="D110" s="15" t="inlineStr">
        <is>
          <t>SD</t>
        </is>
      </c>
      <c r="E110" s="16" t="n">
        <v>675000</v>
      </c>
      <c r="F110" s="16" t="n">
        <v>7780.26</v>
      </c>
      <c r="G110" s="16" t="n">
        <v>972.53</v>
      </c>
      <c r="H110" s="16" t="n">
        <v>972.53</v>
      </c>
      <c r="I110" s="16">
        <f>SUM(K110:T110)</f>
        <v/>
      </c>
      <c r="J110" s="16">
        <f>F110-(G110+H110+I110)</f>
        <v/>
      </c>
      <c r="K110" s="16" t="n">
        <v>583.52</v>
      </c>
      <c r="L110" s="16" t="n">
        <v>583.52</v>
      </c>
      <c r="M110" s="16" t="n">
        <v>583.52</v>
      </c>
      <c r="N110" s="16" t="n">
        <v>583.52</v>
      </c>
      <c r="O110" s="16" t="n">
        <v>583.52</v>
      </c>
      <c r="P110" s="16" t="n">
        <v>583.52</v>
      </c>
      <c r="Q110" s="16" t="n">
        <v>583.52</v>
      </c>
      <c r="R110" s="16" t="n">
        <v>583.52</v>
      </c>
      <c r="S110" s="16" t="n">
        <v>583.52</v>
      </c>
      <c r="T110" s="16" t="n">
        <v>583.52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CANON-202603-004605</t>
        </is>
      </c>
      <c r="B111" s="3" t="inlineStr">
        <is>
          <t>2026-03-10</t>
        </is>
      </c>
      <c r="C111" s="3" t="inlineStr">
        <is>
          <t>Sunniva Vandermeer</t>
        </is>
      </c>
      <c r="D111" s="3" t="inlineStr">
        <is>
          <t>NY</t>
        </is>
      </c>
      <c r="E111" s="14" t="n">
        <v>705000</v>
      </c>
      <c r="F111" s="14" t="n">
        <v>9370.57</v>
      </c>
      <c r="G111" s="14" t="n">
        <v>1171.32</v>
      </c>
      <c r="H111" s="14" t="n">
        <v>1171.32</v>
      </c>
      <c r="I111" s="14">
        <f>SUM(K111:T111)</f>
        <v/>
      </c>
      <c r="J111" s="14">
        <f>F111-(G111+H111+I111)</f>
        <v/>
      </c>
      <c r="K111" s="14" t="n">
        <v>702.79</v>
      </c>
      <c r="L111" s="14" t="n">
        <v>702.79</v>
      </c>
      <c r="M111" s="14" t="n">
        <v>702.79</v>
      </c>
      <c r="N111" s="14" t="n">
        <v>702.79</v>
      </c>
      <c r="O111" s="14" t="n">
        <v>702.79</v>
      </c>
      <c r="P111" s="14" t="n">
        <v>702.79</v>
      </c>
      <c r="Q111" s="14" t="n">
        <v>702.79</v>
      </c>
      <c r="R111" s="14" t="n">
        <v>702.79</v>
      </c>
      <c r="S111" s="14" t="n">
        <v>702.79</v>
      </c>
      <c r="T111" s="14" t="n">
        <v>702.79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CANON-202603-004606</t>
        </is>
      </c>
      <c r="B112" s="15" t="inlineStr">
        <is>
          <t>2026-03-11</t>
        </is>
      </c>
      <c r="C112" s="15" t="inlineStr">
        <is>
          <t>Everett Vandermeer</t>
        </is>
      </c>
      <c r="D112" s="15" t="inlineStr">
        <is>
          <t>OH</t>
        </is>
      </c>
      <c r="E112" s="16" t="n">
        <v>495000</v>
      </c>
      <c r="F112" s="16" t="n">
        <v>8243.950000000001</v>
      </c>
      <c r="G112" s="16" t="n">
        <v>1030.49</v>
      </c>
      <c r="H112" s="16" t="n">
        <v>1030.49</v>
      </c>
      <c r="I112" s="16">
        <f>SUM(K112:T112)</f>
        <v/>
      </c>
      <c r="J112" s="16">
        <f>F112-(G112+H112+I112)</f>
        <v/>
      </c>
      <c r="K112" s="16" t="n">
        <v>618.3</v>
      </c>
      <c r="L112" s="16" t="n">
        <v>618.3</v>
      </c>
      <c r="M112" s="16" t="n">
        <v>618.3</v>
      </c>
      <c r="N112" s="16" t="n">
        <v>618.3</v>
      </c>
      <c r="O112" s="16" t="n">
        <v>618.3</v>
      </c>
      <c r="P112" s="16" t="n">
        <v>618.3</v>
      </c>
      <c r="Q112" s="16" t="n">
        <v>618.3</v>
      </c>
      <c r="R112" s="16" t="n">
        <v>618.3</v>
      </c>
      <c r="S112" s="16" t="n">
        <v>618.3</v>
      </c>
      <c r="T112" s="16" t="n">
        <v>618.3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CANON-202603-004608</t>
        </is>
      </c>
      <c r="B113" s="3" t="inlineStr">
        <is>
          <t>2026-03-21</t>
        </is>
      </c>
      <c r="C113" s="3" t="inlineStr">
        <is>
          <t>Ramona Kingsford</t>
        </is>
      </c>
      <c r="D113" s="3" t="inlineStr">
        <is>
          <t>PA</t>
        </is>
      </c>
      <c r="E113" s="14" t="n">
        <v>390000</v>
      </c>
      <c r="F113" s="14" t="n">
        <v>2990.61</v>
      </c>
      <c r="G113" s="14" t="n">
        <v>373.83</v>
      </c>
      <c r="H113" s="14" t="n">
        <v>373.83</v>
      </c>
      <c r="I113" s="14">
        <f>SUM(K113:T113)</f>
        <v/>
      </c>
      <c r="J113" s="14">
        <f>F113-(G113+H113+I113)</f>
        <v/>
      </c>
      <c r="K113" s="14" t="n">
        <v>224.3</v>
      </c>
      <c r="L113" s="14" t="n">
        <v>224.3</v>
      </c>
      <c r="M113" s="14" t="n">
        <v>224.3</v>
      </c>
      <c r="N113" s="14" t="n">
        <v>224.3</v>
      </c>
      <c r="O113" s="14" t="n">
        <v>224.3</v>
      </c>
      <c r="P113" s="14" t="n">
        <v>224.3</v>
      </c>
      <c r="Q113" s="14" t="n">
        <v>224.3</v>
      </c>
      <c r="R113" s="14" t="n">
        <v>224.3</v>
      </c>
      <c r="S113" s="14" t="n">
        <v>224.3</v>
      </c>
      <c r="T113" s="14" t="n">
        <v>224.3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CANON-202603-004609</t>
        </is>
      </c>
      <c r="B114" s="15" t="inlineStr">
        <is>
          <t>2026-03-05</t>
        </is>
      </c>
      <c r="C114" s="15" t="inlineStr">
        <is>
          <t>Noor Merriweather</t>
        </is>
      </c>
      <c r="D114" s="15" t="inlineStr">
        <is>
          <t>CA</t>
        </is>
      </c>
      <c r="E114" s="16" t="n">
        <v>675000</v>
      </c>
      <c r="F114" s="16" t="n">
        <v>13829.77</v>
      </c>
      <c r="G114" s="16" t="n">
        <v>1728.72</v>
      </c>
      <c r="H114" s="16" t="n">
        <v>1728.72</v>
      </c>
      <c r="I114" s="16">
        <f>SUM(K114:T114)</f>
        <v/>
      </c>
      <c r="J114" s="16">
        <f>F114-(G114+H114+I114)</f>
        <v/>
      </c>
      <c r="K114" s="16" t="n">
        <v>1037.23</v>
      </c>
      <c r="L114" s="16" t="n">
        <v>1037.23</v>
      </c>
      <c r="M114" s="16" t="n">
        <v>1037.23</v>
      </c>
      <c r="N114" s="16" t="n">
        <v>1037.23</v>
      </c>
      <c r="O114" s="16" t="n">
        <v>1037.23</v>
      </c>
      <c r="P114" s="16" t="n">
        <v>1037.23</v>
      </c>
      <c r="Q114" s="16" t="n">
        <v>1037.23</v>
      </c>
      <c r="R114" s="16" t="n">
        <v>1037.23</v>
      </c>
      <c r="S114" s="16" t="n">
        <v>1037.23</v>
      </c>
      <c r="T114" s="16" t="n">
        <v>1037.23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CANON-202603-004610</t>
        </is>
      </c>
      <c r="B115" s="3" t="inlineStr">
        <is>
          <t>2026-03-20</t>
        </is>
      </c>
      <c r="C115" s="3" t="inlineStr">
        <is>
          <t>Cassius Fairweather</t>
        </is>
      </c>
      <c r="D115" s="3" t="inlineStr">
        <is>
          <t>CA</t>
        </is>
      </c>
      <c r="E115" s="14" t="n">
        <v>590000</v>
      </c>
      <c r="F115" s="14" t="n">
        <v>8270.9</v>
      </c>
      <c r="G115" s="14" t="n">
        <v>1033.86</v>
      </c>
      <c r="H115" s="14" t="n">
        <v>1033.86</v>
      </c>
      <c r="I115" s="14">
        <f>SUM(K115:T115)</f>
        <v/>
      </c>
      <c r="J115" s="14">
        <f>F115-(G115+H115+I115)</f>
        <v/>
      </c>
      <c r="K115" s="14" t="n">
        <v>620.3200000000001</v>
      </c>
      <c r="L115" s="14" t="n">
        <v>620.3200000000001</v>
      </c>
      <c r="M115" s="14" t="n">
        <v>620.3200000000001</v>
      </c>
      <c r="N115" s="14" t="n">
        <v>620.3200000000001</v>
      </c>
      <c r="O115" s="14" t="n">
        <v>620.3200000000001</v>
      </c>
      <c r="P115" s="14" t="n">
        <v>620.3200000000001</v>
      </c>
      <c r="Q115" s="14" t="n">
        <v>620.3200000000001</v>
      </c>
      <c r="R115" s="14" t="n">
        <v>620.3200000000001</v>
      </c>
      <c r="S115" s="14" t="n">
        <v>620.3200000000001</v>
      </c>
      <c r="T115" s="14" t="n">
        <v>620.3200000000001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CANON-202603-004611</t>
        </is>
      </c>
      <c r="B116" s="15" t="inlineStr">
        <is>
          <t>2026-03-23</t>
        </is>
      </c>
      <c r="C116" s="15" t="inlineStr">
        <is>
          <t>Horace Fairweather</t>
        </is>
      </c>
      <c r="D116" s="15" t="inlineStr">
        <is>
          <t>MD</t>
        </is>
      </c>
      <c r="E116" s="16" t="n">
        <v>665000</v>
      </c>
      <c r="F116" s="16" t="n">
        <v>9587.879999999999</v>
      </c>
      <c r="G116" s="16" t="n">
        <v>1198.48</v>
      </c>
      <c r="H116" s="16" t="n">
        <v>1198.48</v>
      </c>
      <c r="I116" s="16">
        <f>SUM(K116:T116)</f>
        <v/>
      </c>
      <c r="J116" s="16">
        <f>F116-(G116+H116+I116)</f>
        <v/>
      </c>
      <c r="K116" s="16" t="n">
        <v>719.09</v>
      </c>
      <c r="L116" s="16" t="n">
        <v>719.09</v>
      </c>
      <c r="M116" s="16" t="n">
        <v>719.09</v>
      </c>
      <c r="N116" s="16" t="n">
        <v>719.09</v>
      </c>
      <c r="O116" s="16" t="n">
        <v>719.09</v>
      </c>
      <c r="P116" s="16" t="n">
        <v>719.09</v>
      </c>
      <c r="Q116" s="16" t="n">
        <v>719.09</v>
      </c>
      <c r="R116" s="16" t="n">
        <v>719.09</v>
      </c>
      <c r="S116" s="16" t="n">
        <v>719.09</v>
      </c>
      <c r="T116" s="16" t="n">
        <v>719.09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CANON-202603-004612</t>
        </is>
      </c>
      <c r="B117" s="3" t="inlineStr">
        <is>
          <t>2026-03-09</t>
        </is>
      </c>
      <c r="C117" s="3" t="inlineStr">
        <is>
          <t>Beatrix Bellandi</t>
        </is>
      </c>
      <c r="D117" s="3" t="inlineStr">
        <is>
          <t>NH</t>
        </is>
      </c>
      <c r="E117" s="14" t="n">
        <v>320000</v>
      </c>
      <c r="F117" s="14" t="n">
        <v>3987.47</v>
      </c>
      <c r="G117" s="14" t="n">
        <v>498.43</v>
      </c>
      <c r="H117" s="14" t="n">
        <v>498.43</v>
      </c>
      <c r="I117" s="14">
        <f>SUM(K117:T117)</f>
        <v/>
      </c>
      <c r="J117" s="14">
        <f>F117-(G117+H117+I117)</f>
        <v/>
      </c>
      <c r="K117" s="14" t="n">
        <v>299.06</v>
      </c>
      <c r="L117" s="14" t="n">
        <v>299.06</v>
      </c>
      <c r="M117" s="14" t="n">
        <v>299.06</v>
      </c>
      <c r="N117" s="14" t="n">
        <v>299.06</v>
      </c>
      <c r="O117" s="14" t="n">
        <v>299.06</v>
      </c>
      <c r="P117" s="14" t="n">
        <v>299.06</v>
      </c>
      <c r="Q117" s="14" t="n">
        <v>299.06</v>
      </c>
      <c r="R117" s="14" t="n">
        <v>299.06</v>
      </c>
      <c r="S117" s="14" t="n">
        <v>299.06</v>
      </c>
      <c r="T117" s="14" t="n">
        <v>299.06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CANON-202603-004613</t>
        </is>
      </c>
      <c r="B118" s="15" t="inlineStr">
        <is>
          <t>2026-03-16</t>
        </is>
      </c>
      <c r="C118" s="15" t="inlineStr">
        <is>
          <t>Lorenzo Delacroix</t>
        </is>
      </c>
      <c r="D118" s="15" t="inlineStr">
        <is>
          <t>IL</t>
        </is>
      </c>
      <c r="E118" s="16" t="n">
        <v>860000</v>
      </c>
      <c r="F118" s="16" t="n">
        <v>12145.19</v>
      </c>
      <c r="G118" s="16" t="n">
        <v>1518.15</v>
      </c>
      <c r="H118" s="16" t="n">
        <v>1518.15</v>
      </c>
      <c r="I118" s="16">
        <f>SUM(K118:T118)</f>
        <v/>
      </c>
      <c r="J118" s="16">
        <f>F118-(G118+H118+I118)</f>
        <v/>
      </c>
      <c r="K118" s="16" t="n">
        <v>910.89</v>
      </c>
      <c r="L118" s="16" t="n">
        <v>910.89</v>
      </c>
      <c r="M118" s="16" t="n">
        <v>910.89</v>
      </c>
      <c r="N118" s="16" t="n">
        <v>910.89</v>
      </c>
      <c r="O118" s="16" t="n">
        <v>910.89</v>
      </c>
      <c r="P118" s="16" t="n">
        <v>910.89</v>
      </c>
      <c r="Q118" s="16" t="n">
        <v>910.89</v>
      </c>
      <c r="R118" s="16" t="n">
        <v>910.89</v>
      </c>
      <c r="S118" s="16" t="n">
        <v>910.89</v>
      </c>
      <c r="T118" s="16" t="n">
        <v>910.89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CANON-202603-004615</t>
        </is>
      </c>
      <c r="B119" s="3" t="inlineStr">
        <is>
          <t>2026-03-31</t>
        </is>
      </c>
      <c r="C119" s="3" t="inlineStr">
        <is>
          <t>Saoirse Kingsford</t>
        </is>
      </c>
      <c r="D119" s="3" t="inlineStr">
        <is>
          <t>WY</t>
        </is>
      </c>
      <c r="E119" s="14" t="n">
        <v>795000</v>
      </c>
      <c r="F119" s="14" t="n">
        <v>8833.200000000001</v>
      </c>
      <c r="G119" s="14" t="n">
        <v>1104.15</v>
      </c>
      <c r="H119" s="14" t="n">
        <v>1104.15</v>
      </c>
      <c r="I119" s="14">
        <f>SUM(K119:T119)</f>
        <v/>
      </c>
      <c r="J119" s="14">
        <f>F119-(G119+H119+I119)</f>
        <v/>
      </c>
      <c r="K119" s="14" t="n">
        <v>662.49</v>
      </c>
      <c r="L119" s="14" t="n">
        <v>662.49</v>
      </c>
      <c r="M119" s="14" t="n">
        <v>662.49</v>
      </c>
      <c r="N119" s="14" t="n">
        <v>662.49</v>
      </c>
      <c r="O119" s="14" t="n">
        <v>662.49</v>
      </c>
      <c r="P119" s="14" t="n">
        <v>662.49</v>
      </c>
      <c r="Q119" s="14" t="n">
        <v>662.49</v>
      </c>
      <c r="R119" s="14" t="n">
        <v>662.49</v>
      </c>
      <c r="S119" s="14" t="n">
        <v>662.49</v>
      </c>
      <c r="T119" s="14" t="n">
        <v>662.49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CANON-202603-004617</t>
        </is>
      </c>
      <c r="B120" s="15" t="inlineStr">
        <is>
          <t>2026-03-09</t>
        </is>
      </c>
      <c r="C120" s="15" t="inlineStr">
        <is>
          <t>Cassius Blackwood</t>
        </is>
      </c>
      <c r="D120" s="15" t="inlineStr">
        <is>
          <t>CO</t>
        </is>
      </c>
      <c r="E120" s="16" t="n">
        <v>985000</v>
      </c>
      <c r="F120" s="16" t="n">
        <v>11251.13</v>
      </c>
      <c r="G120" s="16" t="n">
        <v>1406.39</v>
      </c>
      <c r="H120" s="16" t="n">
        <v>1406.39</v>
      </c>
      <c r="I120" s="16">
        <f>SUM(K120:T120)</f>
        <v/>
      </c>
      <c r="J120" s="16">
        <f>F120-(G120+H120+I120)</f>
        <v/>
      </c>
      <c r="K120" s="16" t="n">
        <v>843.83</v>
      </c>
      <c r="L120" s="16" t="n">
        <v>843.83</v>
      </c>
      <c r="M120" s="16" t="n">
        <v>843.83</v>
      </c>
      <c r="N120" s="16" t="n">
        <v>843.83</v>
      </c>
      <c r="O120" s="16" t="n">
        <v>843.83</v>
      </c>
      <c r="P120" s="16" t="n">
        <v>843.83</v>
      </c>
      <c r="Q120" s="16" t="n">
        <v>843.83</v>
      </c>
      <c r="R120" s="16" t="n">
        <v>843.83</v>
      </c>
      <c r="S120" s="16" t="n">
        <v>843.83</v>
      </c>
      <c r="T120" s="16" t="n">
        <v>843.83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CANON-202603-004618</t>
        </is>
      </c>
      <c r="B121" s="3" t="inlineStr">
        <is>
          <t>2026-03-17</t>
        </is>
      </c>
      <c r="C121" s="3" t="inlineStr">
        <is>
          <t>Wilhelmina Chattopadhyay</t>
        </is>
      </c>
      <c r="D121" s="3" t="inlineStr">
        <is>
          <t>MO</t>
        </is>
      </c>
      <c r="E121" s="14" t="n">
        <v>625000</v>
      </c>
      <c r="F121" s="14" t="n">
        <v>8255.33</v>
      </c>
      <c r="G121" s="14" t="n">
        <v>1031.92</v>
      </c>
      <c r="H121" s="14" t="n">
        <v>1031.92</v>
      </c>
      <c r="I121" s="14">
        <f>SUM(K121:T121)</f>
        <v/>
      </c>
      <c r="J121" s="14">
        <f>F121-(G121+H121+I121)</f>
        <v/>
      </c>
      <c r="K121" s="14" t="n">
        <v>619.15</v>
      </c>
      <c r="L121" s="14" t="n">
        <v>619.15</v>
      </c>
      <c r="M121" s="14" t="n">
        <v>619.15</v>
      </c>
      <c r="N121" s="14" t="n">
        <v>619.15</v>
      </c>
      <c r="O121" s="14" t="n">
        <v>619.15</v>
      </c>
      <c r="P121" s="14" t="n">
        <v>619.15</v>
      </c>
      <c r="Q121" s="14" t="n">
        <v>619.15</v>
      </c>
      <c r="R121" s="14" t="n">
        <v>619.15</v>
      </c>
      <c r="S121" s="14" t="n">
        <v>619.15</v>
      </c>
      <c r="T121" s="14" t="n">
        <v>619.15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CANON-202603-004622</t>
        </is>
      </c>
      <c r="B122" s="15" t="inlineStr">
        <is>
          <t>2026-03-28</t>
        </is>
      </c>
      <c r="C122" s="15" t="inlineStr">
        <is>
          <t>Fitzgerald Harrington</t>
        </is>
      </c>
      <c r="D122" s="15" t="inlineStr">
        <is>
          <t>LA</t>
        </is>
      </c>
      <c r="E122" s="16" t="n">
        <v>495000</v>
      </c>
      <c r="F122" s="16" t="n">
        <v>7176.38</v>
      </c>
      <c r="G122" s="16" t="n">
        <v>897.05</v>
      </c>
      <c r="H122" s="16" t="n">
        <v>897.05</v>
      </c>
      <c r="I122" s="16">
        <f>SUM(K122:T122)</f>
        <v/>
      </c>
      <c r="J122" s="16">
        <f>F122-(G122+H122+I122)</f>
        <v/>
      </c>
      <c r="K122" s="16" t="n">
        <v>538.23</v>
      </c>
      <c r="L122" s="16" t="n">
        <v>538.23</v>
      </c>
      <c r="M122" s="16" t="n">
        <v>538.23</v>
      </c>
      <c r="N122" s="16" t="n">
        <v>538.23</v>
      </c>
      <c r="O122" s="16" t="n">
        <v>538.23</v>
      </c>
      <c r="P122" s="16" t="n">
        <v>538.23</v>
      </c>
      <c r="Q122" s="16" t="n">
        <v>538.23</v>
      </c>
      <c r="R122" s="16" t="n">
        <v>538.23</v>
      </c>
      <c r="S122" s="16" t="n">
        <v>538.23</v>
      </c>
      <c r="T122" s="16" t="n">
        <v>538.23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CANON-202603-004624</t>
        </is>
      </c>
      <c r="B123" s="3" t="inlineStr">
        <is>
          <t>2026-03-24</t>
        </is>
      </c>
      <c r="C123" s="3" t="inlineStr">
        <is>
          <t>Marisol Blackwood</t>
        </is>
      </c>
      <c r="D123" s="3" t="inlineStr">
        <is>
          <t>WI</t>
        </is>
      </c>
      <c r="E123" s="14" t="n">
        <v>890000</v>
      </c>
      <c r="F123" s="14" t="n">
        <v>11090.17</v>
      </c>
      <c r="G123" s="14" t="n">
        <v>1386.27</v>
      </c>
      <c r="H123" s="14" t="n">
        <v>1386.27</v>
      </c>
      <c r="I123" s="14">
        <f>SUM(K123:T123)</f>
        <v/>
      </c>
      <c r="J123" s="14">
        <f>F123-(G123+H123+I123)</f>
        <v/>
      </c>
      <c r="K123" s="14" t="n">
        <v>831.76</v>
      </c>
      <c r="L123" s="14" t="n">
        <v>831.76</v>
      </c>
      <c r="M123" s="14" t="n">
        <v>831.76</v>
      </c>
      <c r="N123" s="14" t="n">
        <v>831.76</v>
      </c>
      <c r="O123" s="14" t="n">
        <v>831.76</v>
      </c>
      <c r="P123" s="14" t="n">
        <v>831.76</v>
      </c>
      <c r="Q123" s="14" t="n">
        <v>831.76</v>
      </c>
      <c r="R123" s="14" t="n">
        <v>831.76</v>
      </c>
      <c r="S123" s="14" t="n">
        <v>831.76</v>
      </c>
      <c r="T123" s="14" t="n">
        <v>831.76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CANON-202603-004625</t>
        </is>
      </c>
      <c r="B124" s="15" t="inlineStr">
        <is>
          <t>2026-03-28</t>
        </is>
      </c>
      <c r="C124" s="15" t="inlineStr">
        <is>
          <t>Emiliano Nakashima</t>
        </is>
      </c>
      <c r="D124" s="15" t="inlineStr">
        <is>
          <t>MI</t>
        </is>
      </c>
      <c r="E124" s="16" t="n">
        <v>470000</v>
      </c>
      <c r="F124" s="16" t="n">
        <v>5586.31</v>
      </c>
      <c r="G124" s="16" t="n">
        <v>698.29</v>
      </c>
      <c r="H124" s="16" t="n">
        <v>698.29</v>
      </c>
      <c r="I124" s="16">
        <f>SUM(K124:T124)</f>
        <v/>
      </c>
      <c r="J124" s="16">
        <f>F124-(G124+H124+I124)</f>
        <v/>
      </c>
      <c r="K124" s="16" t="n">
        <v>418.97</v>
      </c>
      <c r="L124" s="16" t="n">
        <v>418.97</v>
      </c>
      <c r="M124" s="16" t="n">
        <v>418.97</v>
      </c>
      <c r="N124" s="16" t="n">
        <v>418.97</v>
      </c>
      <c r="O124" s="16" t="n">
        <v>418.97</v>
      </c>
      <c r="P124" s="16" t="n">
        <v>418.97</v>
      </c>
      <c r="Q124" s="16" t="n">
        <v>418.97</v>
      </c>
      <c r="R124" s="16" t="n">
        <v>418.97</v>
      </c>
      <c r="S124" s="16" t="n">
        <v>418.97</v>
      </c>
      <c r="T124" s="16" t="n">
        <v>418.97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CANON-202603-004626</t>
        </is>
      </c>
      <c r="B125" s="3" t="inlineStr">
        <is>
          <t>2026-03-02</t>
        </is>
      </c>
      <c r="C125" s="3" t="inlineStr">
        <is>
          <t>Lorenzo Okonkwo</t>
        </is>
      </c>
      <c r="D125" s="3" t="inlineStr">
        <is>
          <t>MT</t>
        </is>
      </c>
      <c r="E125" s="14" t="n">
        <v>515000</v>
      </c>
      <c r="F125" s="14" t="n">
        <v>4973.45</v>
      </c>
      <c r="G125" s="14" t="n">
        <v>621.6799999999999</v>
      </c>
      <c r="H125" s="14" t="n">
        <v>621.6799999999999</v>
      </c>
      <c r="I125" s="14">
        <f>SUM(K125:T125)</f>
        <v/>
      </c>
      <c r="J125" s="14">
        <f>F125-(G125+H125+I125)</f>
        <v/>
      </c>
      <c r="K125" s="14" t="n">
        <v>373.01</v>
      </c>
      <c r="L125" s="14" t="n">
        <v>373.01</v>
      </c>
      <c r="M125" s="14" t="n">
        <v>373.01</v>
      </c>
      <c r="N125" s="14" t="n">
        <v>373.01</v>
      </c>
      <c r="O125" s="14" t="n">
        <v>373.01</v>
      </c>
      <c r="P125" s="14" t="n">
        <v>373.01</v>
      </c>
      <c r="Q125" s="14" t="n">
        <v>373.01</v>
      </c>
      <c r="R125" s="14" t="n">
        <v>373.01</v>
      </c>
      <c r="S125" s="14" t="n">
        <v>373.01</v>
      </c>
      <c r="T125" s="14" t="n">
        <v>373.01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CANON-202603-004627</t>
        </is>
      </c>
      <c r="B126" s="15" t="inlineStr">
        <is>
          <t>2026-03-18</t>
        </is>
      </c>
      <c r="C126" s="15" t="inlineStr">
        <is>
          <t>Marisol Farkas</t>
        </is>
      </c>
      <c r="D126" s="15" t="inlineStr">
        <is>
          <t>FL</t>
        </is>
      </c>
      <c r="E126" s="16" t="n">
        <v>1090000</v>
      </c>
      <c r="F126" s="16" t="n">
        <v>16814.25</v>
      </c>
      <c r="G126" s="16" t="n">
        <v>2101.78</v>
      </c>
      <c r="H126" s="16" t="n">
        <v>2101.78</v>
      </c>
      <c r="I126" s="16">
        <f>SUM(K126:T126)</f>
        <v/>
      </c>
      <c r="J126" s="16">
        <f>F126-(G126+H126+I126)</f>
        <v/>
      </c>
      <c r="K126" s="16" t="n">
        <v>1261.07</v>
      </c>
      <c r="L126" s="16" t="n">
        <v>1261.07</v>
      </c>
      <c r="M126" s="16" t="n">
        <v>1261.07</v>
      </c>
      <c r="N126" s="16" t="n">
        <v>1261.07</v>
      </c>
      <c r="O126" s="16" t="n">
        <v>1261.07</v>
      </c>
      <c r="P126" s="16" t="n">
        <v>1261.07</v>
      </c>
      <c r="Q126" s="16" t="n">
        <v>1261.07</v>
      </c>
      <c r="R126" s="16" t="n">
        <v>1261.07</v>
      </c>
      <c r="S126" s="16" t="n">
        <v>1261.07</v>
      </c>
      <c r="T126" s="16" t="n">
        <v>1261.07</v>
      </c>
      <c r="U126" s="16" t="n">
        <v>350</v>
      </c>
      <c r="V126" s="16" t="n">
        <v>250</v>
      </c>
      <c r="W126" s="16">
        <f>U126+V126</f>
        <v/>
      </c>
    </row>
    <row r="127">
      <c r="A127" s="3" t="inlineStr">
        <is>
          <t>CANON-202603-004628</t>
        </is>
      </c>
      <c r="B127" s="3" t="inlineStr">
        <is>
          <t>2026-03-07</t>
        </is>
      </c>
      <c r="C127" s="3" t="inlineStr">
        <is>
          <t>Beatrix Okonkwo</t>
        </is>
      </c>
      <c r="D127" s="3" t="inlineStr">
        <is>
          <t>MT</t>
        </is>
      </c>
      <c r="E127" s="14" t="n">
        <v>360000</v>
      </c>
      <c r="F127" s="14" t="n">
        <v>4011.44</v>
      </c>
      <c r="G127" s="14" t="n">
        <v>501.43</v>
      </c>
      <c r="H127" s="14" t="n">
        <v>501.43</v>
      </c>
      <c r="I127" s="14">
        <f>SUM(K127:T127)</f>
        <v/>
      </c>
      <c r="J127" s="14">
        <f>F127-(G127+H127+I127)</f>
        <v/>
      </c>
      <c r="K127" s="14" t="n">
        <v>300.86</v>
      </c>
      <c r="L127" s="14" t="n">
        <v>300.86</v>
      </c>
      <c r="M127" s="14" t="n">
        <v>300.86</v>
      </c>
      <c r="N127" s="14" t="n">
        <v>300.86</v>
      </c>
      <c r="O127" s="14" t="n">
        <v>300.86</v>
      </c>
      <c r="P127" s="14" t="n">
        <v>300.86</v>
      </c>
      <c r="Q127" s="14" t="n">
        <v>300.86</v>
      </c>
      <c r="R127" s="14" t="n">
        <v>300.86</v>
      </c>
      <c r="S127" s="14" t="n">
        <v>300.86</v>
      </c>
      <c r="T127" s="14" t="n">
        <v>300.86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CANON-202603-004630</t>
        </is>
      </c>
      <c r="B128" s="15" t="inlineStr">
        <is>
          <t>2026-03-10</t>
        </is>
      </c>
      <c r="C128" s="15" t="inlineStr">
        <is>
          <t>Emiliano Kingsford</t>
        </is>
      </c>
      <c r="D128" s="15" t="inlineStr">
        <is>
          <t>WV</t>
        </is>
      </c>
      <c r="E128" s="16" t="n">
        <v>420000</v>
      </c>
      <c r="F128" s="16" t="n">
        <v>10262.49</v>
      </c>
      <c r="G128" s="16" t="n">
        <v>1282.81</v>
      </c>
      <c r="H128" s="16" t="n">
        <v>1282.81</v>
      </c>
      <c r="I128" s="16">
        <f>SUM(K128:T128)</f>
        <v/>
      </c>
      <c r="J128" s="16">
        <f>F128-(G128+H128+I128)</f>
        <v/>
      </c>
      <c r="K128" s="16" t="n">
        <v>769.6900000000001</v>
      </c>
      <c r="L128" s="16" t="n">
        <v>769.6900000000001</v>
      </c>
      <c r="M128" s="16" t="n">
        <v>769.6900000000001</v>
      </c>
      <c r="N128" s="16" t="n">
        <v>769.6900000000001</v>
      </c>
      <c r="O128" s="16" t="n">
        <v>769.6900000000001</v>
      </c>
      <c r="P128" s="16" t="n">
        <v>769.6900000000001</v>
      </c>
      <c r="Q128" s="16" t="n">
        <v>769.6900000000001</v>
      </c>
      <c r="R128" s="16" t="n">
        <v>769.6900000000001</v>
      </c>
      <c r="S128" s="16" t="n">
        <v>769.6900000000001</v>
      </c>
      <c r="T128" s="16" t="n">
        <v>769.6900000000001</v>
      </c>
      <c r="U128" s="16" t="n">
        <v>350</v>
      </c>
      <c r="V128" s="16" t="n">
        <v>0</v>
      </c>
      <c r="W128" s="16">
        <f>U128+V128</f>
        <v/>
      </c>
    </row>
    <row r="129">
      <c r="A129" s="3" t="inlineStr">
        <is>
          <t>CANON-202603-004632</t>
        </is>
      </c>
      <c r="B129" s="3" t="inlineStr">
        <is>
          <t>2026-03-17</t>
        </is>
      </c>
      <c r="C129" s="3" t="inlineStr">
        <is>
          <t>Priya Bellandi</t>
        </is>
      </c>
      <c r="D129" s="3" t="inlineStr">
        <is>
          <t>NE</t>
        </is>
      </c>
      <c r="E129" s="14" t="n">
        <v>970000</v>
      </c>
      <c r="F129" s="14" t="n">
        <v>19137.82</v>
      </c>
      <c r="G129" s="14" t="n">
        <v>2392.23</v>
      </c>
      <c r="H129" s="14" t="n">
        <v>2392.23</v>
      </c>
      <c r="I129" s="14">
        <f>SUM(K129:T129)</f>
        <v/>
      </c>
      <c r="J129" s="14">
        <f>F129-(G129+H129+I129)</f>
        <v/>
      </c>
      <c r="K129" s="14" t="n">
        <v>1435.34</v>
      </c>
      <c r="L129" s="14" t="n">
        <v>1435.34</v>
      </c>
      <c r="M129" s="14" t="n">
        <v>1435.34</v>
      </c>
      <c r="N129" s="14" t="n">
        <v>1435.34</v>
      </c>
      <c r="O129" s="14" t="n">
        <v>1435.34</v>
      </c>
      <c r="P129" s="14" t="n">
        <v>1435.34</v>
      </c>
      <c r="Q129" s="14" t="n">
        <v>1435.34</v>
      </c>
      <c r="R129" s="14" t="n">
        <v>1435.34</v>
      </c>
      <c r="S129" s="14" t="n">
        <v>1435.34</v>
      </c>
      <c r="T129" s="14" t="n">
        <v>1435.34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CANON-202603-004633</t>
        </is>
      </c>
      <c r="B130" s="15" t="inlineStr">
        <is>
          <t>2026-03-21</t>
        </is>
      </c>
      <c r="C130" s="15" t="inlineStr">
        <is>
          <t>Horace Merriweather</t>
        </is>
      </c>
      <c r="D130" s="15" t="inlineStr">
        <is>
          <t>MN</t>
        </is>
      </c>
      <c r="E130" s="16" t="n">
        <v>335000</v>
      </c>
      <c r="F130" s="16" t="n">
        <v>5298.27</v>
      </c>
      <c r="G130" s="16" t="n">
        <v>662.28</v>
      </c>
      <c r="H130" s="16" t="n">
        <v>662.28</v>
      </c>
      <c r="I130" s="16">
        <f>SUM(K130:T130)</f>
        <v/>
      </c>
      <c r="J130" s="16">
        <f>F130-(G130+H130+I130)</f>
        <v/>
      </c>
      <c r="K130" s="16" t="n">
        <v>397.37</v>
      </c>
      <c r="L130" s="16" t="n">
        <v>397.37</v>
      </c>
      <c r="M130" s="16" t="n">
        <v>397.37</v>
      </c>
      <c r="N130" s="16" t="n">
        <v>397.37</v>
      </c>
      <c r="O130" s="16" t="n">
        <v>397.37</v>
      </c>
      <c r="P130" s="16" t="n">
        <v>397.37</v>
      </c>
      <c r="Q130" s="16" t="n">
        <v>397.37</v>
      </c>
      <c r="R130" s="16" t="n">
        <v>397.37</v>
      </c>
      <c r="S130" s="16" t="n">
        <v>397.37</v>
      </c>
      <c r="T130" s="16" t="n">
        <v>397.37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CANON-202603-004634</t>
        </is>
      </c>
      <c r="B131" s="3" t="inlineStr">
        <is>
          <t>2026-03-29</t>
        </is>
      </c>
      <c r="C131" s="3" t="inlineStr">
        <is>
          <t>Fenwick Fairweather</t>
        </is>
      </c>
      <c r="D131" s="3" t="inlineStr">
        <is>
          <t>CA</t>
        </is>
      </c>
      <c r="E131" s="14" t="n">
        <v>1510000</v>
      </c>
      <c r="F131" s="14" t="n">
        <v>17911.3</v>
      </c>
      <c r="G131" s="14" t="n">
        <v>2238.91</v>
      </c>
      <c r="H131" s="14" t="n">
        <v>2238.91</v>
      </c>
      <c r="I131" s="14">
        <f>SUM(K131:T131)</f>
        <v/>
      </c>
      <c r="J131" s="14">
        <f>F131-(G131+H131+I131)</f>
        <v/>
      </c>
      <c r="K131" s="14" t="n">
        <v>1343.35</v>
      </c>
      <c r="L131" s="14" t="n">
        <v>1343.35</v>
      </c>
      <c r="M131" s="14" t="n">
        <v>1343.35</v>
      </c>
      <c r="N131" s="14" t="n">
        <v>1343.35</v>
      </c>
      <c r="O131" s="14" t="n">
        <v>1343.35</v>
      </c>
      <c r="P131" s="14" t="n">
        <v>1343.35</v>
      </c>
      <c r="Q131" s="14" t="n">
        <v>1343.35</v>
      </c>
      <c r="R131" s="14" t="n">
        <v>1343.35</v>
      </c>
      <c r="S131" s="14" t="n">
        <v>1343.35</v>
      </c>
      <c r="T131" s="14" t="n">
        <v>1343.35</v>
      </c>
      <c r="U131" s="14" t="n">
        <v>350</v>
      </c>
      <c r="V131" s="14" t="n">
        <v>250</v>
      </c>
      <c r="W131" s="14">
        <f>U131+V131</f>
        <v/>
      </c>
    </row>
    <row r="132">
      <c r="A132" s="15" t="inlineStr">
        <is>
          <t>CANON-202603-004635</t>
        </is>
      </c>
      <c r="B132" s="15" t="inlineStr">
        <is>
          <t>2026-03-06</t>
        </is>
      </c>
      <c r="C132" s="15" t="inlineStr">
        <is>
          <t>Fenwick Fairweather</t>
        </is>
      </c>
      <c r="D132" s="15" t="inlineStr">
        <is>
          <t>WA</t>
        </is>
      </c>
      <c r="E132" s="16" t="n">
        <v>495000</v>
      </c>
      <c r="F132" s="16" t="n">
        <v>5693.66</v>
      </c>
      <c r="G132" s="16" t="n">
        <v>711.71</v>
      </c>
      <c r="H132" s="16" t="n">
        <v>711.71</v>
      </c>
      <c r="I132" s="16">
        <f>SUM(K132:T132)</f>
        <v/>
      </c>
      <c r="J132" s="16">
        <f>F132-(G132+H132+I132)</f>
        <v/>
      </c>
      <c r="K132" s="16" t="n">
        <v>427.02</v>
      </c>
      <c r="L132" s="16" t="n">
        <v>427.02</v>
      </c>
      <c r="M132" s="16" t="n">
        <v>427.02</v>
      </c>
      <c r="N132" s="16" t="n">
        <v>427.02</v>
      </c>
      <c r="O132" s="16" t="n">
        <v>427.02</v>
      </c>
      <c r="P132" s="16" t="n">
        <v>427.02</v>
      </c>
      <c r="Q132" s="16" t="n">
        <v>427.02</v>
      </c>
      <c r="R132" s="16" t="n">
        <v>427.02</v>
      </c>
      <c r="S132" s="16" t="n">
        <v>427.02</v>
      </c>
      <c r="T132" s="16" t="n">
        <v>427.02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CANON-202603-004638</t>
        </is>
      </c>
      <c r="B133" s="3" t="inlineStr">
        <is>
          <t>2026-03-03</t>
        </is>
      </c>
      <c r="C133" s="3" t="inlineStr">
        <is>
          <t>Horace Harrington</t>
        </is>
      </c>
      <c r="D133" s="3" t="inlineStr">
        <is>
          <t>NY</t>
        </is>
      </c>
      <c r="E133" s="14" t="n">
        <v>800000</v>
      </c>
      <c r="F133" s="14" t="n">
        <v>10633.27</v>
      </c>
      <c r="G133" s="14" t="n">
        <v>1329.16</v>
      </c>
      <c r="H133" s="14" t="n">
        <v>1329.16</v>
      </c>
      <c r="I133" s="14">
        <f>SUM(K133:T133)</f>
        <v/>
      </c>
      <c r="J133" s="14">
        <f>F133-(G133+H133+I133)</f>
        <v/>
      </c>
      <c r="K133" s="14" t="n">
        <v>797.5</v>
      </c>
      <c r="L133" s="14" t="n">
        <v>797.5</v>
      </c>
      <c r="M133" s="14" t="n">
        <v>797.5</v>
      </c>
      <c r="N133" s="14" t="n">
        <v>797.5</v>
      </c>
      <c r="O133" s="14" t="n">
        <v>797.5</v>
      </c>
      <c r="P133" s="14" t="n">
        <v>797.5</v>
      </c>
      <c r="Q133" s="14" t="n">
        <v>797.5</v>
      </c>
      <c r="R133" s="14" t="n">
        <v>797.5</v>
      </c>
      <c r="S133" s="14" t="n">
        <v>797.5</v>
      </c>
      <c r="T133" s="14" t="n">
        <v>797.5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CANON-202603-004642</t>
        </is>
      </c>
      <c r="B134" s="15" t="inlineStr">
        <is>
          <t>2026-03-26</t>
        </is>
      </c>
      <c r="C134" s="15" t="inlineStr">
        <is>
          <t>Lorenzo Delacroix</t>
        </is>
      </c>
      <c r="D134" s="15" t="inlineStr">
        <is>
          <t>PA</t>
        </is>
      </c>
      <c r="E134" s="16" t="n">
        <v>965000</v>
      </c>
      <c r="F134" s="16" t="n">
        <v>12024.74</v>
      </c>
      <c r="G134" s="16" t="n">
        <v>1503.09</v>
      </c>
      <c r="H134" s="16" t="n">
        <v>1503.09</v>
      </c>
      <c r="I134" s="16">
        <f>SUM(K134:T134)</f>
        <v/>
      </c>
      <c r="J134" s="16">
        <f>F134-(G134+H134+I134)</f>
        <v/>
      </c>
      <c r="K134" s="16" t="n">
        <v>901.86</v>
      </c>
      <c r="L134" s="16" t="n">
        <v>901.86</v>
      </c>
      <c r="M134" s="16" t="n">
        <v>901.86</v>
      </c>
      <c r="N134" s="16" t="n">
        <v>901.86</v>
      </c>
      <c r="O134" s="16" t="n">
        <v>901.86</v>
      </c>
      <c r="P134" s="16" t="n">
        <v>901.86</v>
      </c>
      <c r="Q134" s="16" t="n">
        <v>901.86</v>
      </c>
      <c r="R134" s="16" t="n">
        <v>901.86</v>
      </c>
      <c r="S134" s="16" t="n">
        <v>901.86</v>
      </c>
      <c r="T134" s="16" t="n">
        <v>901.86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CANON-202603-004644</t>
        </is>
      </c>
      <c r="B135" s="3" t="inlineStr">
        <is>
          <t>2026-03-10</t>
        </is>
      </c>
      <c r="C135" s="3" t="inlineStr">
        <is>
          <t>Delphine Okonkwo</t>
        </is>
      </c>
      <c r="D135" s="3" t="inlineStr">
        <is>
          <t>SD</t>
        </is>
      </c>
      <c r="E135" s="14" t="n">
        <v>365000</v>
      </c>
      <c r="F135" s="14" t="n">
        <v>4854.34</v>
      </c>
      <c r="G135" s="14" t="n">
        <v>606.79</v>
      </c>
      <c r="H135" s="14" t="n">
        <v>606.79</v>
      </c>
      <c r="I135" s="14">
        <f>SUM(K135:T135)</f>
        <v/>
      </c>
      <c r="J135" s="14">
        <f>F135-(G135+H135+I135)</f>
        <v/>
      </c>
      <c r="K135" s="14" t="n">
        <v>364.08</v>
      </c>
      <c r="L135" s="14" t="n">
        <v>364.08</v>
      </c>
      <c r="M135" s="14" t="n">
        <v>364.08</v>
      </c>
      <c r="N135" s="14" t="n">
        <v>364.08</v>
      </c>
      <c r="O135" s="14" t="n">
        <v>364.08</v>
      </c>
      <c r="P135" s="14" t="n">
        <v>364.08</v>
      </c>
      <c r="Q135" s="14" t="n">
        <v>364.08</v>
      </c>
      <c r="R135" s="14" t="n">
        <v>364.08</v>
      </c>
      <c r="S135" s="14" t="n">
        <v>364.08</v>
      </c>
      <c r="T135" s="14" t="n">
        <v>364.08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CANON-202603-004647</t>
        </is>
      </c>
      <c r="B136" s="15" t="inlineStr">
        <is>
          <t>2026-03-12</t>
        </is>
      </c>
      <c r="C136" s="15" t="inlineStr">
        <is>
          <t>Fenwick Farkas</t>
        </is>
      </c>
      <c r="D136" s="15" t="inlineStr">
        <is>
          <t>IL</t>
        </is>
      </c>
      <c r="E136" s="16" t="n">
        <v>560000</v>
      </c>
      <c r="F136" s="16" t="n">
        <v>7908.5</v>
      </c>
      <c r="G136" s="16" t="n">
        <v>988.5599999999999</v>
      </c>
      <c r="H136" s="16" t="n">
        <v>988.5599999999999</v>
      </c>
      <c r="I136" s="16">
        <f>SUM(K136:T136)</f>
        <v/>
      </c>
      <c r="J136" s="16">
        <f>F136-(G136+H136+I136)</f>
        <v/>
      </c>
      <c r="K136" s="16" t="n">
        <v>593.14</v>
      </c>
      <c r="L136" s="16" t="n">
        <v>593.14</v>
      </c>
      <c r="M136" s="16" t="n">
        <v>593.14</v>
      </c>
      <c r="N136" s="16" t="n">
        <v>593.14</v>
      </c>
      <c r="O136" s="16" t="n">
        <v>593.14</v>
      </c>
      <c r="P136" s="16" t="n">
        <v>593.14</v>
      </c>
      <c r="Q136" s="16" t="n">
        <v>593.14</v>
      </c>
      <c r="R136" s="16" t="n">
        <v>593.14</v>
      </c>
      <c r="S136" s="16" t="n">
        <v>593.14</v>
      </c>
      <c r="T136" s="16" t="n">
        <v>593.14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CANON-202603-004648</t>
        </is>
      </c>
      <c r="B137" s="3" t="inlineStr">
        <is>
          <t>2026-03-26</t>
        </is>
      </c>
      <c r="C137" s="3" t="inlineStr">
        <is>
          <t>Priya Fairweather</t>
        </is>
      </c>
      <c r="D137" s="3" t="inlineStr">
        <is>
          <t>NJ</t>
        </is>
      </c>
      <c r="E137" s="14" t="n">
        <v>450000</v>
      </c>
      <c r="F137" s="14" t="n">
        <v>4906.47</v>
      </c>
      <c r="G137" s="14" t="n">
        <v>613.3099999999999</v>
      </c>
      <c r="H137" s="14" t="n">
        <v>613.3099999999999</v>
      </c>
      <c r="I137" s="14">
        <f>SUM(K137:T137)</f>
        <v/>
      </c>
      <c r="J137" s="14">
        <f>F137-(G137+H137+I137)</f>
        <v/>
      </c>
      <c r="K137" s="14" t="n">
        <v>367.99</v>
      </c>
      <c r="L137" s="14" t="n">
        <v>367.99</v>
      </c>
      <c r="M137" s="14" t="n">
        <v>367.99</v>
      </c>
      <c r="N137" s="14" t="n">
        <v>367.99</v>
      </c>
      <c r="O137" s="14" t="n">
        <v>367.99</v>
      </c>
      <c r="P137" s="14" t="n">
        <v>367.99</v>
      </c>
      <c r="Q137" s="14" t="n">
        <v>367.99</v>
      </c>
      <c r="R137" s="14" t="n">
        <v>367.99</v>
      </c>
      <c r="S137" s="14" t="n">
        <v>367.99</v>
      </c>
      <c r="T137" s="14" t="n">
        <v>367.99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CANON-202603-004649</t>
        </is>
      </c>
      <c r="B138" s="15" t="inlineStr">
        <is>
          <t>2026-03-04</t>
        </is>
      </c>
      <c r="C138" s="15" t="inlineStr">
        <is>
          <t>Beatrix Bellandi</t>
        </is>
      </c>
      <c r="D138" s="15" t="inlineStr">
        <is>
          <t>FL</t>
        </is>
      </c>
      <c r="E138" s="16" t="n">
        <v>370000</v>
      </c>
      <c r="F138" s="16" t="n">
        <v>6295.14</v>
      </c>
      <c r="G138" s="16" t="n">
        <v>786.89</v>
      </c>
      <c r="H138" s="16" t="n">
        <v>786.89</v>
      </c>
      <c r="I138" s="16">
        <f>SUM(K138:T138)</f>
        <v/>
      </c>
      <c r="J138" s="16">
        <f>F138-(G138+H138+I138)</f>
        <v/>
      </c>
      <c r="K138" s="16" t="n">
        <v>472.14</v>
      </c>
      <c r="L138" s="16" t="n">
        <v>472.14</v>
      </c>
      <c r="M138" s="16" t="n">
        <v>472.14</v>
      </c>
      <c r="N138" s="16" t="n">
        <v>472.14</v>
      </c>
      <c r="O138" s="16" t="n">
        <v>472.14</v>
      </c>
      <c r="P138" s="16" t="n">
        <v>472.14</v>
      </c>
      <c r="Q138" s="16" t="n">
        <v>472.14</v>
      </c>
      <c r="R138" s="16" t="n">
        <v>472.14</v>
      </c>
      <c r="S138" s="16" t="n">
        <v>472.14</v>
      </c>
      <c r="T138" s="16" t="n">
        <v>472.14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CANON-202603-004654</t>
        </is>
      </c>
      <c r="B139" s="3" t="inlineStr">
        <is>
          <t>2026-03-18</t>
        </is>
      </c>
      <c r="C139" s="3" t="inlineStr">
        <is>
          <t>Horace Bellandi</t>
        </is>
      </c>
      <c r="D139" s="3" t="inlineStr">
        <is>
          <t>IA</t>
        </is>
      </c>
      <c r="E139" s="14" t="n">
        <v>670000</v>
      </c>
      <c r="F139" s="14" t="n">
        <v>11185.23</v>
      </c>
      <c r="G139" s="14" t="n">
        <v>1398.15</v>
      </c>
      <c r="H139" s="14" t="n">
        <v>1398.15</v>
      </c>
      <c r="I139" s="14">
        <f>SUM(K139:T139)</f>
        <v/>
      </c>
      <c r="J139" s="14">
        <f>F139-(G139+H139+I139)</f>
        <v/>
      </c>
      <c r="K139" s="14" t="n">
        <v>838.89</v>
      </c>
      <c r="L139" s="14" t="n">
        <v>838.89</v>
      </c>
      <c r="M139" s="14" t="n">
        <v>838.89</v>
      </c>
      <c r="N139" s="14" t="n">
        <v>838.89</v>
      </c>
      <c r="O139" s="14" t="n">
        <v>838.89</v>
      </c>
      <c r="P139" s="14" t="n">
        <v>838.89</v>
      </c>
      <c r="Q139" s="14" t="n">
        <v>838.89</v>
      </c>
      <c r="R139" s="14" t="n">
        <v>838.89</v>
      </c>
      <c r="S139" s="14" t="n">
        <v>838.89</v>
      </c>
      <c r="T139" s="14" t="n">
        <v>838.89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CANON-202603-004655</t>
        </is>
      </c>
      <c r="B140" s="15" t="inlineStr">
        <is>
          <t>2026-03-06</t>
        </is>
      </c>
      <c r="C140" s="15" t="inlineStr">
        <is>
          <t>Anouk Thistlewood</t>
        </is>
      </c>
      <c r="D140" s="15" t="inlineStr">
        <is>
          <t>VT</t>
        </is>
      </c>
      <c r="E140" s="16" t="n">
        <v>285000</v>
      </c>
      <c r="F140" s="16" t="n">
        <v>4166</v>
      </c>
      <c r="G140" s="16" t="n">
        <v>520.75</v>
      </c>
      <c r="H140" s="16" t="n">
        <v>520.75</v>
      </c>
      <c r="I140" s="16">
        <f>SUM(K140:T140)</f>
        <v/>
      </c>
      <c r="J140" s="16">
        <f>F140-(G140+H140+I140)</f>
        <v/>
      </c>
      <c r="K140" s="16" t="n">
        <v>312.45</v>
      </c>
      <c r="L140" s="16" t="n">
        <v>312.45</v>
      </c>
      <c r="M140" s="16" t="n">
        <v>312.45</v>
      </c>
      <c r="N140" s="16" t="n">
        <v>312.45</v>
      </c>
      <c r="O140" s="16" t="n">
        <v>312.45</v>
      </c>
      <c r="P140" s="16" t="n">
        <v>312.45</v>
      </c>
      <c r="Q140" s="16" t="n">
        <v>312.45</v>
      </c>
      <c r="R140" s="16" t="n">
        <v>312.45</v>
      </c>
      <c r="S140" s="16" t="n">
        <v>312.45</v>
      </c>
      <c r="T140" s="16" t="n">
        <v>312.45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CANON-202603-004656</t>
        </is>
      </c>
      <c r="B141" s="3" t="inlineStr">
        <is>
          <t>2026-03-11</t>
        </is>
      </c>
      <c r="C141" s="3" t="inlineStr">
        <is>
          <t>Emiliano Fairweather</t>
        </is>
      </c>
      <c r="D141" s="3" t="inlineStr">
        <is>
          <t>MA</t>
        </is>
      </c>
      <c r="E141" s="14" t="n">
        <v>1030000</v>
      </c>
      <c r="F141" s="14" t="n">
        <v>11312.63</v>
      </c>
      <c r="G141" s="14" t="n">
        <v>1414.08</v>
      </c>
      <c r="H141" s="14" t="n">
        <v>1414.08</v>
      </c>
      <c r="I141" s="14">
        <f>SUM(K141:T141)</f>
        <v/>
      </c>
      <c r="J141" s="14">
        <f>F141-(G141+H141+I141)</f>
        <v/>
      </c>
      <c r="K141" s="14" t="n">
        <v>848.45</v>
      </c>
      <c r="L141" s="14" t="n">
        <v>848.45</v>
      </c>
      <c r="M141" s="14" t="n">
        <v>848.45</v>
      </c>
      <c r="N141" s="14" t="n">
        <v>848.45</v>
      </c>
      <c r="O141" s="14" t="n">
        <v>848.45</v>
      </c>
      <c r="P141" s="14" t="n">
        <v>848.45</v>
      </c>
      <c r="Q141" s="14" t="n">
        <v>848.45</v>
      </c>
      <c r="R141" s="14" t="n">
        <v>848.45</v>
      </c>
      <c r="S141" s="14" t="n">
        <v>848.45</v>
      </c>
      <c r="T141" s="14" t="n">
        <v>848.45</v>
      </c>
      <c r="U141" s="14" t="n">
        <v>350</v>
      </c>
      <c r="V141" s="14" t="n">
        <v>250</v>
      </c>
      <c r="W141" s="14">
        <f>U141+V141</f>
        <v/>
      </c>
    </row>
    <row r="142">
      <c r="A142" s="15" t="inlineStr">
        <is>
          <t>CANON-202603-004657</t>
        </is>
      </c>
      <c r="B142" s="15" t="inlineStr">
        <is>
          <t>2026-03-27</t>
        </is>
      </c>
      <c r="C142" s="15" t="inlineStr">
        <is>
          <t>Horace Vasquez</t>
        </is>
      </c>
      <c r="D142" s="15" t="inlineStr">
        <is>
          <t>RI</t>
        </is>
      </c>
      <c r="E142" s="16" t="n">
        <v>780000</v>
      </c>
      <c r="F142" s="16" t="n">
        <v>16217.82</v>
      </c>
      <c r="G142" s="16" t="n">
        <v>2027.23</v>
      </c>
      <c r="H142" s="16" t="n">
        <v>2027.23</v>
      </c>
      <c r="I142" s="16">
        <f>SUM(K142:T142)</f>
        <v/>
      </c>
      <c r="J142" s="16">
        <f>F142-(G142+H142+I142)</f>
        <v/>
      </c>
      <c r="K142" s="16" t="n">
        <v>1216.34</v>
      </c>
      <c r="L142" s="16" t="n">
        <v>1216.34</v>
      </c>
      <c r="M142" s="16" t="n">
        <v>1216.34</v>
      </c>
      <c r="N142" s="16" t="n">
        <v>1216.34</v>
      </c>
      <c r="O142" s="16" t="n">
        <v>1216.34</v>
      </c>
      <c r="P142" s="16" t="n">
        <v>1216.34</v>
      </c>
      <c r="Q142" s="16" t="n">
        <v>1216.34</v>
      </c>
      <c r="R142" s="16" t="n">
        <v>1216.34</v>
      </c>
      <c r="S142" s="16" t="n">
        <v>1216.34</v>
      </c>
      <c r="T142" s="16" t="n">
        <v>1216.34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CANON-202603-004660</t>
        </is>
      </c>
      <c r="B143" s="3" t="inlineStr">
        <is>
          <t>2026-03-30</t>
        </is>
      </c>
      <c r="C143" s="3" t="inlineStr">
        <is>
          <t>Fitzgerald Nakashima</t>
        </is>
      </c>
      <c r="D143" s="3" t="inlineStr">
        <is>
          <t>ID</t>
        </is>
      </c>
      <c r="E143" s="14" t="n">
        <v>450000</v>
      </c>
      <c r="F143" s="14" t="n">
        <v>5337.81</v>
      </c>
      <c r="G143" s="14" t="n">
        <v>667.23</v>
      </c>
      <c r="H143" s="14" t="n">
        <v>667.23</v>
      </c>
      <c r="I143" s="14">
        <f>SUM(K143:T143)</f>
        <v/>
      </c>
      <c r="J143" s="14">
        <f>F143-(G143+H143+I143)</f>
        <v/>
      </c>
      <c r="K143" s="14" t="n">
        <v>400.34</v>
      </c>
      <c r="L143" s="14" t="n">
        <v>400.34</v>
      </c>
      <c r="M143" s="14" t="n">
        <v>400.34</v>
      </c>
      <c r="N143" s="14" t="n">
        <v>400.34</v>
      </c>
      <c r="O143" s="14" t="n">
        <v>400.34</v>
      </c>
      <c r="P143" s="14" t="n">
        <v>400.34</v>
      </c>
      <c r="Q143" s="14" t="n">
        <v>400.34</v>
      </c>
      <c r="R143" s="14" t="n">
        <v>400.34</v>
      </c>
      <c r="S143" s="14" t="n">
        <v>400.34</v>
      </c>
      <c r="T143" s="14" t="n">
        <v>400.34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CANON-202603-004661</t>
        </is>
      </c>
      <c r="B144" s="15" t="inlineStr">
        <is>
          <t>2026-03-19</t>
        </is>
      </c>
      <c r="C144" s="15" t="inlineStr">
        <is>
          <t>Ottilie Montoya</t>
        </is>
      </c>
      <c r="D144" s="15" t="inlineStr">
        <is>
          <t>TX</t>
        </is>
      </c>
      <c r="E144" s="16" t="n">
        <v>765000</v>
      </c>
      <c r="F144" s="16" t="n">
        <v>9135.379999999999</v>
      </c>
      <c r="G144" s="16" t="n">
        <v>1141.92</v>
      </c>
      <c r="H144" s="16" t="n">
        <v>1141.92</v>
      </c>
      <c r="I144" s="16">
        <f>SUM(K144:T144)</f>
        <v/>
      </c>
      <c r="J144" s="16">
        <f>F144-(G144+H144+I144)</f>
        <v/>
      </c>
      <c r="K144" s="16" t="n">
        <v>685.15</v>
      </c>
      <c r="L144" s="16" t="n">
        <v>685.15</v>
      </c>
      <c r="M144" s="16" t="n">
        <v>685.15</v>
      </c>
      <c r="N144" s="16" t="n">
        <v>685.15</v>
      </c>
      <c r="O144" s="16" t="n">
        <v>685.15</v>
      </c>
      <c r="P144" s="16" t="n">
        <v>685.15</v>
      </c>
      <c r="Q144" s="16" t="n">
        <v>685.15</v>
      </c>
      <c r="R144" s="16" t="n">
        <v>685.15</v>
      </c>
      <c r="S144" s="16" t="n">
        <v>685.15</v>
      </c>
      <c r="T144" s="16" t="n">
        <v>685.15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CANON-202603-004662</t>
        </is>
      </c>
      <c r="B145" s="3" t="inlineStr">
        <is>
          <t>2026-03-22</t>
        </is>
      </c>
      <c r="C145" s="3" t="inlineStr">
        <is>
          <t>Noor Nakashima</t>
        </is>
      </c>
      <c r="D145" s="3" t="inlineStr">
        <is>
          <t>GA</t>
        </is>
      </c>
      <c r="E145" s="14" t="n">
        <v>455000</v>
      </c>
      <c r="F145" s="14" t="n">
        <v>3907.73</v>
      </c>
      <c r="G145" s="14" t="n">
        <v>488.47</v>
      </c>
      <c r="H145" s="14" t="n">
        <v>488.47</v>
      </c>
      <c r="I145" s="14">
        <f>SUM(K145:T145)</f>
        <v/>
      </c>
      <c r="J145" s="14">
        <f>F145-(G145+H145+I145)</f>
        <v/>
      </c>
      <c r="K145" s="14" t="n">
        <v>293.08</v>
      </c>
      <c r="L145" s="14" t="n">
        <v>293.08</v>
      </c>
      <c r="M145" s="14" t="n">
        <v>293.08</v>
      </c>
      <c r="N145" s="14" t="n">
        <v>293.08</v>
      </c>
      <c r="O145" s="14" t="n">
        <v>293.08</v>
      </c>
      <c r="P145" s="14" t="n">
        <v>293.08</v>
      </c>
      <c r="Q145" s="14" t="n">
        <v>293.08</v>
      </c>
      <c r="R145" s="14" t="n">
        <v>293.08</v>
      </c>
      <c r="S145" s="14" t="n">
        <v>293.08</v>
      </c>
      <c r="T145" s="14" t="n">
        <v>293.08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CANON-202603-004663</t>
        </is>
      </c>
      <c r="B146" s="15" t="inlineStr">
        <is>
          <t>2026-03-21</t>
        </is>
      </c>
      <c r="C146" s="15" t="inlineStr">
        <is>
          <t>Callum Blackwood</t>
        </is>
      </c>
      <c r="D146" s="15" t="inlineStr">
        <is>
          <t>IA</t>
        </is>
      </c>
      <c r="E146" s="16" t="n">
        <v>485000</v>
      </c>
      <c r="F146" s="16" t="n">
        <v>6392.19</v>
      </c>
      <c r="G146" s="16" t="n">
        <v>799.02</v>
      </c>
      <c r="H146" s="16" t="n">
        <v>799.02</v>
      </c>
      <c r="I146" s="16">
        <f>SUM(K146:T146)</f>
        <v/>
      </c>
      <c r="J146" s="16">
        <f>F146-(G146+H146+I146)</f>
        <v/>
      </c>
      <c r="K146" s="16" t="n">
        <v>479.41</v>
      </c>
      <c r="L146" s="16" t="n">
        <v>479.41</v>
      </c>
      <c r="M146" s="16" t="n">
        <v>479.41</v>
      </c>
      <c r="N146" s="16" t="n">
        <v>479.41</v>
      </c>
      <c r="O146" s="16" t="n">
        <v>479.41</v>
      </c>
      <c r="P146" s="16" t="n">
        <v>479.41</v>
      </c>
      <c r="Q146" s="16" t="n">
        <v>479.41</v>
      </c>
      <c r="R146" s="16" t="n">
        <v>479.41</v>
      </c>
      <c r="S146" s="16" t="n">
        <v>479.41</v>
      </c>
      <c r="T146" s="16" t="n">
        <v>479.41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CANON-202603-004665</t>
        </is>
      </c>
      <c r="B147" s="3" t="inlineStr">
        <is>
          <t>2026-03-02</t>
        </is>
      </c>
      <c r="C147" s="3" t="inlineStr">
        <is>
          <t>Horace Fairweather</t>
        </is>
      </c>
      <c r="D147" s="3" t="inlineStr">
        <is>
          <t>MI</t>
        </is>
      </c>
      <c r="E147" s="14" t="n">
        <v>695000</v>
      </c>
      <c r="F147" s="14" t="n">
        <v>16349.1</v>
      </c>
      <c r="G147" s="14" t="n">
        <v>2043.64</v>
      </c>
      <c r="H147" s="14" t="n">
        <v>2043.64</v>
      </c>
      <c r="I147" s="14">
        <f>SUM(K147:T147)</f>
        <v/>
      </c>
      <c r="J147" s="14">
        <f>F147-(G147+H147+I147)</f>
        <v/>
      </c>
      <c r="K147" s="14" t="n">
        <v>1226.18</v>
      </c>
      <c r="L147" s="14" t="n">
        <v>1226.18</v>
      </c>
      <c r="M147" s="14" t="n">
        <v>1226.18</v>
      </c>
      <c r="N147" s="14" t="n">
        <v>1226.18</v>
      </c>
      <c r="O147" s="14" t="n">
        <v>1226.18</v>
      </c>
      <c r="P147" s="14" t="n">
        <v>1226.18</v>
      </c>
      <c r="Q147" s="14" t="n">
        <v>1226.18</v>
      </c>
      <c r="R147" s="14" t="n">
        <v>1226.18</v>
      </c>
      <c r="S147" s="14" t="n">
        <v>1226.18</v>
      </c>
      <c r="T147" s="14" t="n">
        <v>1226.18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CANON-202603-004666</t>
        </is>
      </c>
      <c r="B148" s="15" t="inlineStr">
        <is>
          <t>2026-03-14</t>
        </is>
      </c>
      <c r="C148" s="15" t="inlineStr">
        <is>
          <t>Ramona Farkas</t>
        </is>
      </c>
      <c r="D148" s="15" t="inlineStr">
        <is>
          <t>NJ</t>
        </is>
      </c>
      <c r="E148" s="16" t="n">
        <v>1360000</v>
      </c>
      <c r="F148" s="16" t="n">
        <v>10874.19</v>
      </c>
      <c r="G148" s="16" t="n">
        <v>1359.27</v>
      </c>
      <c r="H148" s="16" t="n">
        <v>1359.27</v>
      </c>
      <c r="I148" s="16">
        <f>SUM(K148:T148)</f>
        <v/>
      </c>
      <c r="J148" s="16">
        <f>F148-(G148+H148+I148)</f>
        <v/>
      </c>
      <c r="K148" s="16" t="n">
        <v>815.5599999999999</v>
      </c>
      <c r="L148" s="16" t="n">
        <v>815.5599999999999</v>
      </c>
      <c r="M148" s="16" t="n">
        <v>815.5599999999999</v>
      </c>
      <c r="N148" s="16" t="n">
        <v>815.5599999999999</v>
      </c>
      <c r="O148" s="16" t="n">
        <v>815.5599999999999</v>
      </c>
      <c r="P148" s="16" t="n">
        <v>815.5599999999999</v>
      </c>
      <c r="Q148" s="16" t="n">
        <v>815.5599999999999</v>
      </c>
      <c r="R148" s="16" t="n">
        <v>815.5599999999999</v>
      </c>
      <c r="S148" s="16" t="n">
        <v>815.5599999999999</v>
      </c>
      <c r="T148" s="16" t="n">
        <v>815.5599999999999</v>
      </c>
      <c r="U148" s="16" t="n">
        <v>350</v>
      </c>
      <c r="V148" s="16" t="n">
        <v>250</v>
      </c>
      <c r="W148" s="16">
        <f>U148+V148</f>
        <v/>
      </c>
    </row>
    <row r="149">
      <c r="A149" s="3" t="inlineStr">
        <is>
          <t>CANON-202603-004667</t>
        </is>
      </c>
      <c r="B149" s="3" t="inlineStr">
        <is>
          <t>2026-03-30</t>
        </is>
      </c>
      <c r="C149" s="3" t="inlineStr">
        <is>
          <t>Ramona Fairweather</t>
        </is>
      </c>
      <c r="D149" s="3" t="inlineStr">
        <is>
          <t>IL</t>
        </is>
      </c>
      <c r="E149" s="14" t="n">
        <v>290000</v>
      </c>
      <c r="F149" s="14" t="n">
        <v>7245.84</v>
      </c>
      <c r="G149" s="14" t="n">
        <v>905.73</v>
      </c>
      <c r="H149" s="14" t="n">
        <v>905.73</v>
      </c>
      <c r="I149" s="14">
        <f>SUM(K149:T149)</f>
        <v/>
      </c>
      <c r="J149" s="14">
        <f>F149-(G149+H149+I149)</f>
        <v/>
      </c>
      <c r="K149" s="14" t="n">
        <v>543.4400000000001</v>
      </c>
      <c r="L149" s="14" t="n">
        <v>543.4400000000001</v>
      </c>
      <c r="M149" s="14" t="n">
        <v>543.4400000000001</v>
      </c>
      <c r="N149" s="14" t="n">
        <v>543.4400000000001</v>
      </c>
      <c r="O149" s="14" t="n">
        <v>543.4400000000001</v>
      </c>
      <c r="P149" s="14" t="n">
        <v>543.4400000000001</v>
      </c>
      <c r="Q149" s="14" t="n">
        <v>543.4400000000001</v>
      </c>
      <c r="R149" s="14" t="n">
        <v>543.4400000000001</v>
      </c>
      <c r="S149" s="14" t="n">
        <v>543.4400000000001</v>
      </c>
      <c r="T149" s="14" t="n">
        <v>543.4400000000001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CANON-202603-004668</t>
        </is>
      </c>
      <c r="B150" s="15" t="inlineStr">
        <is>
          <t>2026-03-12</t>
        </is>
      </c>
      <c r="C150" s="15" t="inlineStr">
        <is>
          <t>Fitzgerald Harrington</t>
        </is>
      </c>
      <c r="D150" s="15" t="inlineStr">
        <is>
          <t>NE</t>
        </is>
      </c>
      <c r="E150" s="16" t="n">
        <v>235000</v>
      </c>
      <c r="F150" s="16" t="n">
        <v>4490.07</v>
      </c>
      <c r="G150" s="16" t="n">
        <v>561.26</v>
      </c>
      <c r="H150" s="16" t="n">
        <v>561.26</v>
      </c>
      <c r="I150" s="16">
        <f>SUM(K150:T150)</f>
        <v/>
      </c>
      <c r="J150" s="16">
        <f>F150-(G150+H150+I150)</f>
        <v/>
      </c>
      <c r="K150" s="16" t="n">
        <v>336.76</v>
      </c>
      <c r="L150" s="16" t="n">
        <v>336.76</v>
      </c>
      <c r="M150" s="16" t="n">
        <v>336.76</v>
      </c>
      <c r="N150" s="16" t="n">
        <v>336.76</v>
      </c>
      <c r="O150" s="16" t="n">
        <v>336.76</v>
      </c>
      <c r="P150" s="16" t="n">
        <v>336.76</v>
      </c>
      <c r="Q150" s="16" t="n">
        <v>336.76</v>
      </c>
      <c r="R150" s="16" t="n">
        <v>336.76</v>
      </c>
      <c r="S150" s="16" t="n">
        <v>336.76</v>
      </c>
      <c r="T150" s="16" t="n">
        <v>336.76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CANON-202603-004673</t>
        </is>
      </c>
      <c r="B151" s="3" t="inlineStr">
        <is>
          <t>2026-03-22</t>
        </is>
      </c>
      <c r="C151" s="3" t="inlineStr">
        <is>
          <t>Fenwick Merriweather</t>
        </is>
      </c>
      <c r="D151" s="3" t="inlineStr">
        <is>
          <t>UT</t>
        </is>
      </c>
      <c r="E151" s="14" t="n">
        <v>530000</v>
      </c>
      <c r="F151" s="14" t="n">
        <v>7429.79</v>
      </c>
      <c r="G151" s="14" t="n">
        <v>928.72</v>
      </c>
      <c r="H151" s="14" t="n">
        <v>928.72</v>
      </c>
      <c r="I151" s="14">
        <f>SUM(K151:T151)</f>
        <v/>
      </c>
      <c r="J151" s="14">
        <f>F151-(G151+H151+I151)</f>
        <v/>
      </c>
      <c r="K151" s="14" t="n">
        <v>557.23</v>
      </c>
      <c r="L151" s="14" t="n">
        <v>557.23</v>
      </c>
      <c r="M151" s="14" t="n">
        <v>557.23</v>
      </c>
      <c r="N151" s="14" t="n">
        <v>557.23</v>
      </c>
      <c r="O151" s="14" t="n">
        <v>557.23</v>
      </c>
      <c r="P151" s="14" t="n">
        <v>557.23</v>
      </c>
      <c r="Q151" s="14" t="n">
        <v>557.23</v>
      </c>
      <c r="R151" s="14" t="n">
        <v>557.23</v>
      </c>
      <c r="S151" s="14" t="n">
        <v>557.23</v>
      </c>
      <c r="T151" s="14" t="n">
        <v>557.23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CANON-202603-004674</t>
        </is>
      </c>
      <c r="B152" s="15" t="inlineStr">
        <is>
          <t>2026-03-28</t>
        </is>
      </c>
      <c r="C152" s="15" t="inlineStr">
        <is>
          <t>Desmond Ashcombe</t>
        </is>
      </c>
      <c r="D152" s="15" t="inlineStr">
        <is>
          <t>CO</t>
        </is>
      </c>
      <c r="E152" s="16" t="n">
        <v>840000</v>
      </c>
      <c r="F152" s="16" t="n">
        <v>14023.27</v>
      </c>
      <c r="G152" s="16" t="n">
        <v>1752.91</v>
      </c>
      <c r="H152" s="16" t="n">
        <v>1752.91</v>
      </c>
      <c r="I152" s="16">
        <f>SUM(K152:T152)</f>
        <v/>
      </c>
      <c r="J152" s="16">
        <f>F152-(G152+H152+I152)</f>
        <v/>
      </c>
      <c r="K152" s="16" t="n">
        <v>1051.75</v>
      </c>
      <c r="L152" s="16" t="n">
        <v>1051.75</v>
      </c>
      <c r="M152" s="16" t="n">
        <v>1051.75</v>
      </c>
      <c r="N152" s="16" t="n">
        <v>1051.75</v>
      </c>
      <c r="O152" s="16" t="n">
        <v>1051.75</v>
      </c>
      <c r="P152" s="16" t="n">
        <v>1051.75</v>
      </c>
      <c r="Q152" s="16" t="n">
        <v>1051.75</v>
      </c>
      <c r="R152" s="16" t="n">
        <v>1051.75</v>
      </c>
      <c r="S152" s="16" t="n">
        <v>1051.75</v>
      </c>
      <c r="T152" s="16" t="n">
        <v>1051.75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CANON-202603-004675</t>
        </is>
      </c>
      <c r="B153" s="3" t="inlineStr">
        <is>
          <t>2026-03-27</t>
        </is>
      </c>
      <c r="C153" s="3" t="inlineStr">
        <is>
          <t>Priya Vandermeer</t>
        </is>
      </c>
      <c r="D153" s="3" t="inlineStr">
        <is>
          <t>AL</t>
        </is>
      </c>
      <c r="E153" s="14" t="n">
        <v>300000</v>
      </c>
      <c r="F153" s="14" t="n">
        <v>2921.6</v>
      </c>
      <c r="G153" s="14" t="n">
        <v>365.2</v>
      </c>
      <c r="H153" s="14" t="n">
        <v>365.2</v>
      </c>
      <c r="I153" s="14">
        <f>SUM(K153:T153)</f>
        <v/>
      </c>
      <c r="J153" s="14">
        <f>F153-(G153+H153+I153)</f>
        <v/>
      </c>
      <c r="K153" s="14" t="n">
        <v>219.12</v>
      </c>
      <c r="L153" s="14" t="n">
        <v>219.12</v>
      </c>
      <c r="M153" s="14" t="n">
        <v>219.12</v>
      </c>
      <c r="N153" s="14" t="n">
        <v>219.12</v>
      </c>
      <c r="O153" s="14" t="n">
        <v>219.12</v>
      </c>
      <c r="P153" s="14" t="n">
        <v>219.12</v>
      </c>
      <c r="Q153" s="14" t="n">
        <v>219.12</v>
      </c>
      <c r="R153" s="14" t="n">
        <v>219.12</v>
      </c>
      <c r="S153" s="14" t="n">
        <v>219.12</v>
      </c>
      <c r="T153" s="14" t="n">
        <v>219.12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CANON-202603-004676</t>
        </is>
      </c>
      <c r="B154" s="15" t="inlineStr">
        <is>
          <t>2026-03-14</t>
        </is>
      </c>
      <c r="C154" s="15" t="inlineStr">
        <is>
          <t>Horace Montoya</t>
        </is>
      </c>
      <c r="D154" s="15" t="inlineStr">
        <is>
          <t>WI</t>
        </is>
      </c>
      <c r="E154" s="16" t="n">
        <v>475000</v>
      </c>
      <c r="F154" s="16" t="n">
        <v>6829.52</v>
      </c>
      <c r="G154" s="16" t="n">
        <v>853.6900000000001</v>
      </c>
      <c r="H154" s="16" t="n">
        <v>853.6900000000001</v>
      </c>
      <c r="I154" s="16">
        <f>SUM(K154:T154)</f>
        <v/>
      </c>
      <c r="J154" s="16">
        <f>F154-(G154+H154+I154)</f>
        <v/>
      </c>
      <c r="K154" s="16" t="n">
        <v>512.21</v>
      </c>
      <c r="L154" s="16" t="n">
        <v>512.21</v>
      </c>
      <c r="M154" s="16" t="n">
        <v>512.21</v>
      </c>
      <c r="N154" s="16" t="n">
        <v>512.21</v>
      </c>
      <c r="O154" s="16" t="n">
        <v>512.21</v>
      </c>
      <c r="P154" s="16" t="n">
        <v>512.21</v>
      </c>
      <c r="Q154" s="16" t="n">
        <v>512.21</v>
      </c>
      <c r="R154" s="16" t="n">
        <v>512.21</v>
      </c>
      <c r="S154" s="16" t="n">
        <v>512.21</v>
      </c>
      <c r="T154" s="16" t="n">
        <v>512.21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CANON-202603-004677</t>
        </is>
      </c>
      <c r="B155" s="3" t="inlineStr">
        <is>
          <t>2026-03-04</t>
        </is>
      </c>
      <c r="C155" s="3" t="inlineStr">
        <is>
          <t>Beatrix Vandermeer</t>
        </is>
      </c>
      <c r="D155" s="3" t="inlineStr">
        <is>
          <t>HI</t>
        </is>
      </c>
      <c r="E155" s="14" t="n">
        <v>740000</v>
      </c>
      <c r="F155" s="14" t="n">
        <v>9989.459999999999</v>
      </c>
      <c r="G155" s="14" t="n">
        <v>1248.68</v>
      </c>
      <c r="H155" s="14" t="n">
        <v>1248.68</v>
      </c>
      <c r="I155" s="14">
        <f>SUM(K155:T155)</f>
        <v/>
      </c>
      <c r="J155" s="14">
        <f>F155-(G155+H155+I155)</f>
        <v/>
      </c>
      <c r="K155" s="14" t="n">
        <v>749.21</v>
      </c>
      <c r="L155" s="14" t="n">
        <v>749.21</v>
      </c>
      <c r="M155" s="14" t="n">
        <v>749.21</v>
      </c>
      <c r="N155" s="14" t="n">
        <v>749.21</v>
      </c>
      <c r="O155" s="14" t="n">
        <v>749.21</v>
      </c>
      <c r="P155" s="14" t="n">
        <v>749.21</v>
      </c>
      <c r="Q155" s="14" t="n">
        <v>749.21</v>
      </c>
      <c r="R155" s="14" t="n">
        <v>749.21</v>
      </c>
      <c r="S155" s="14" t="n">
        <v>749.21</v>
      </c>
      <c r="T155" s="14" t="n">
        <v>749.21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CANON-202603-004681</t>
        </is>
      </c>
      <c r="B156" s="15" t="inlineStr">
        <is>
          <t>2026-03-24</t>
        </is>
      </c>
      <c r="C156" s="15" t="inlineStr">
        <is>
          <t>Ramona Ashcombe</t>
        </is>
      </c>
      <c r="D156" s="15" t="inlineStr">
        <is>
          <t>FL</t>
        </is>
      </c>
      <c r="E156" s="16" t="n">
        <v>270000</v>
      </c>
      <c r="F156" s="16" t="n">
        <v>4593.75</v>
      </c>
      <c r="G156" s="16" t="n">
        <v>574.22</v>
      </c>
      <c r="H156" s="16" t="n">
        <v>574.22</v>
      </c>
      <c r="I156" s="16">
        <f>SUM(K156:T156)</f>
        <v/>
      </c>
      <c r="J156" s="16">
        <f>F156-(G156+H156+I156)</f>
        <v/>
      </c>
      <c r="K156" s="16" t="n">
        <v>344.53</v>
      </c>
      <c r="L156" s="16" t="n">
        <v>344.53</v>
      </c>
      <c r="M156" s="16" t="n">
        <v>344.53</v>
      </c>
      <c r="N156" s="16" t="n">
        <v>344.53</v>
      </c>
      <c r="O156" s="16" t="n">
        <v>344.53</v>
      </c>
      <c r="P156" s="16" t="n">
        <v>344.53</v>
      </c>
      <c r="Q156" s="16" t="n">
        <v>344.53</v>
      </c>
      <c r="R156" s="16" t="n">
        <v>344.53</v>
      </c>
      <c r="S156" s="16" t="n">
        <v>344.53</v>
      </c>
      <c r="T156" s="16" t="n">
        <v>344.53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CANON-202603-004683</t>
        </is>
      </c>
      <c r="B157" s="3" t="inlineStr">
        <is>
          <t>2026-03-22</t>
        </is>
      </c>
      <c r="C157" s="3" t="inlineStr">
        <is>
          <t>Saoirse Montoya</t>
        </is>
      </c>
      <c r="D157" s="3" t="inlineStr">
        <is>
          <t>ME</t>
        </is>
      </c>
      <c r="E157" s="14" t="n">
        <v>1015000</v>
      </c>
      <c r="F157" s="14" t="n">
        <v>9631.77</v>
      </c>
      <c r="G157" s="14" t="n">
        <v>1203.97</v>
      </c>
      <c r="H157" s="14" t="n">
        <v>1203.97</v>
      </c>
      <c r="I157" s="14">
        <f>SUM(K157:T157)</f>
        <v/>
      </c>
      <c r="J157" s="14">
        <f>F157-(G157+H157+I157)</f>
        <v/>
      </c>
      <c r="K157" s="14" t="n">
        <v>722.38</v>
      </c>
      <c r="L157" s="14" t="n">
        <v>722.38</v>
      </c>
      <c r="M157" s="14" t="n">
        <v>722.38</v>
      </c>
      <c r="N157" s="14" t="n">
        <v>722.38</v>
      </c>
      <c r="O157" s="14" t="n">
        <v>722.38</v>
      </c>
      <c r="P157" s="14" t="n">
        <v>722.38</v>
      </c>
      <c r="Q157" s="14" t="n">
        <v>722.38</v>
      </c>
      <c r="R157" s="14" t="n">
        <v>722.38</v>
      </c>
      <c r="S157" s="14" t="n">
        <v>722.38</v>
      </c>
      <c r="T157" s="14" t="n">
        <v>722.38</v>
      </c>
      <c r="U157" s="14" t="n">
        <v>350</v>
      </c>
      <c r="V157" s="14" t="n">
        <v>250</v>
      </c>
      <c r="W157" s="14">
        <f>U157+V157</f>
        <v/>
      </c>
    </row>
    <row r="158">
      <c r="A158" s="15" t="inlineStr">
        <is>
          <t>CANON-202603-004684</t>
        </is>
      </c>
      <c r="B158" s="15" t="inlineStr">
        <is>
          <t>2026-03-31</t>
        </is>
      </c>
      <c r="C158" s="15" t="inlineStr">
        <is>
          <t>Ramona Thistlewood</t>
        </is>
      </c>
      <c r="D158" s="15" t="inlineStr">
        <is>
          <t>TX</t>
        </is>
      </c>
      <c r="E158" s="16" t="n">
        <v>785000</v>
      </c>
      <c r="F158" s="16" t="n">
        <v>6201.4</v>
      </c>
      <c r="G158" s="16" t="n">
        <v>775.17</v>
      </c>
      <c r="H158" s="16" t="n">
        <v>775.17</v>
      </c>
      <c r="I158" s="16">
        <f>SUM(K158:T158)</f>
        <v/>
      </c>
      <c r="J158" s="16">
        <f>F158-(G158+H158+I158)</f>
        <v/>
      </c>
      <c r="K158" s="16" t="n">
        <v>465.1</v>
      </c>
      <c r="L158" s="16" t="n">
        <v>465.1</v>
      </c>
      <c r="M158" s="16" t="n">
        <v>465.1</v>
      </c>
      <c r="N158" s="16" t="n">
        <v>465.1</v>
      </c>
      <c r="O158" s="16" t="n">
        <v>465.1</v>
      </c>
      <c r="P158" s="16" t="n">
        <v>465.1</v>
      </c>
      <c r="Q158" s="16" t="n">
        <v>465.1</v>
      </c>
      <c r="R158" s="16" t="n">
        <v>465.1</v>
      </c>
      <c r="S158" s="16" t="n">
        <v>465.1</v>
      </c>
      <c r="T158" s="16" t="n">
        <v>465.1</v>
      </c>
      <c r="U158" s="16" t="n">
        <v>350</v>
      </c>
      <c r="V158" s="16" t="n">
        <v>0</v>
      </c>
      <c r="W158" s="16">
        <f>U158+V158</f>
        <v/>
      </c>
    </row>
    <row r="159">
      <c r="A159" s="3" t="inlineStr">
        <is>
          <t>CANON-202603-004685</t>
        </is>
      </c>
      <c r="B159" s="3" t="inlineStr">
        <is>
          <t>2026-03-17</t>
        </is>
      </c>
      <c r="C159" s="3" t="inlineStr">
        <is>
          <t>Lorenzo Vandermeer</t>
        </is>
      </c>
      <c r="D159" s="3" t="inlineStr">
        <is>
          <t>DE</t>
        </is>
      </c>
      <c r="E159" s="14" t="n">
        <v>300000</v>
      </c>
      <c r="F159" s="14" t="n">
        <v>5271.91</v>
      </c>
      <c r="G159" s="14" t="n">
        <v>658.99</v>
      </c>
      <c r="H159" s="14" t="n">
        <v>658.99</v>
      </c>
      <c r="I159" s="14">
        <f>SUM(K159:T159)</f>
        <v/>
      </c>
      <c r="J159" s="14">
        <f>F159-(G159+H159+I159)</f>
        <v/>
      </c>
      <c r="K159" s="14" t="n">
        <v>395.39</v>
      </c>
      <c r="L159" s="14" t="n">
        <v>395.39</v>
      </c>
      <c r="M159" s="14" t="n">
        <v>395.39</v>
      </c>
      <c r="N159" s="14" t="n">
        <v>395.39</v>
      </c>
      <c r="O159" s="14" t="n">
        <v>395.39</v>
      </c>
      <c r="P159" s="14" t="n">
        <v>395.39</v>
      </c>
      <c r="Q159" s="14" t="n">
        <v>395.39</v>
      </c>
      <c r="R159" s="14" t="n">
        <v>395.39</v>
      </c>
      <c r="S159" s="14" t="n">
        <v>395.39</v>
      </c>
      <c r="T159" s="14" t="n">
        <v>395.39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CANON-202603-004686</t>
        </is>
      </c>
      <c r="B160" s="15" t="inlineStr">
        <is>
          <t>2026-03-10</t>
        </is>
      </c>
      <c r="C160" s="15" t="inlineStr">
        <is>
          <t>Horace Harrington</t>
        </is>
      </c>
      <c r="D160" s="15" t="inlineStr">
        <is>
          <t>HI</t>
        </is>
      </c>
      <c r="E160" s="16" t="n">
        <v>230000</v>
      </c>
      <c r="F160" s="16" t="n">
        <v>6782.86</v>
      </c>
      <c r="G160" s="16" t="n">
        <v>847.86</v>
      </c>
      <c r="H160" s="16" t="n">
        <v>847.86</v>
      </c>
      <c r="I160" s="16">
        <f>SUM(K160:T160)</f>
        <v/>
      </c>
      <c r="J160" s="16">
        <f>F160-(G160+H160+I160)</f>
        <v/>
      </c>
      <c r="K160" s="16" t="n">
        <v>508.71</v>
      </c>
      <c r="L160" s="16" t="n">
        <v>508.71</v>
      </c>
      <c r="M160" s="16" t="n">
        <v>508.71</v>
      </c>
      <c r="N160" s="16" t="n">
        <v>508.71</v>
      </c>
      <c r="O160" s="16" t="n">
        <v>508.71</v>
      </c>
      <c r="P160" s="16" t="n">
        <v>508.71</v>
      </c>
      <c r="Q160" s="16" t="n">
        <v>508.71</v>
      </c>
      <c r="R160" s="16" t="n">
        <v>508.71</v>
      </c>
      <c r="S160" s="16" t="n">
        <v>508.71</v>
      </c>
      <c r="T160" s="16" t="n">
        <v>508.71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CANON-202603-004687</t>
        </is>
      </c>
      <c r="B161" s="3" t="inlineStr">
        <is>
          <t>2026-03-02</t>
        </is>
      </c>
      <c r="C161" s="3" t="inlineStr">
        <is>
          <t>Delphine Pennington</t>
        </is>
      </c>
      <c r="D161" s="3" t="inlineStr">
        <is>
          <t>PA</t>
        </is>
      </c>
      <c r="E161" s="14" t="n">
        <v>1070000</v>
      </c>
      <c r="F161" s="14" t="n">
        <v>9401.559999999999</v>
      </c>
      <c r="G161" s="14" t="n">
        <v>1175.19</v>
      </c>
      <c r="H161" s="14" t="n">
        <v>1175.19</v>
      </c>
      <c r="I161" s="14">
        <f>SUM(K161:T161)</f>
        <v/>
      </c>
      <c r="J161" s="14">
        <f>F161-(G161+H161+I161)</f>
        <v/>
      </c>
      <c r="K161" s="14" t="n">
        <v>705.12</v>
      </c>
      <c r="L161" s="14" t="n">
        <v>705.12</v>
      </c>
      <c r="M161" s="14" t="n">
        <v>705.12</v>
      </c>
      <c r="N161" s="14" t="n">
        <v>705.12</v>
      </c>
      <c r="O161" s="14" t="n">
        <v>705.12</v>
      </c>
      <c r="P161" s="14" t="n">
        <v>705.12</v>
      </c>
      <c r="Q161" s="14" t="n">
        <v>705.12</v>
      </c>
      <c r="R161" s="14" t="n">
        <v>705.12</v>
      </c>
      <c r="S161" s="14" t="n">
        <v>705.12</v>
      </c>
      <c r="T161" s="14" t="n">
        <v>705.12</v>
      </c>
      <c r="U161" s="14" t="n">
        <v>350</v>
      </c>
      <c r="V161" s="14" t="n">
        <v>250</v>
      </c>
      <c r="W161" s="14">
        <f>U161+V161</f>
        <v/>
      </c>
    </row>
    <row r="162">
      <c r="A162" s="15" t="inlineStr">
        <is>
          <t>CANON-202603-004688</t>
        </is>
      </c>
      <c r="B162" s="15" t="inlineStr">
        <is>
          <t>2026-03-30</t>
        </is>
      </c>
      <c r="C162" s="15" t="inlineStr">
        <is>
          <t>Cassius Merriweather</t>
        </is>
      </c>
      <c r="D162" s="15" t="inlineStr">
        <is>
          <t>CA</t>
        </is>
      </c>
      <c r="E162" s="16" t="n">
        <v>960000</v>
      </c>
      <c r="F162" s="16" t="n">
        <v>13457.74</v>
      </c>
      <c r="G162" s="16" t="n">
        <v>1682.22</v>
      </c>
      <c r="H162" s="16" t="n">
        <v>1682.22</v>
      </c>
      <c r="I162" s="16">
        <f>SUM(K162:T162)</f>
        <v/>
      </c>
      <c r="J162" s="16">
        <f>F162-(G162+H162+I162)</f>
        <v/>
      </c>
      <c r="K162" s="16" t="n">
        <v>1009.33</v>
      </c>
      <c r="L162" s="16" t="n">
        <v>1009.33</v>
      </c>
      <c r="M162" s="16" t="n">
        <v>1009.33</v>
      </c>
      <c r="N162" s="16" t="n">
        <v>1009.33</v>
      </c>
      <c r="O162" s="16" t="n">
        <v>1009.33</v>
      </c>
      <c r="P162" s="16" t="n">
        <v>1009.33</v>
      </c>
      <c r="Q162" s="16" t="n">
        <v>1009.33</v>
      </c>
      <c r="R162" s="16" t="n">
        <v>1009.33</v>
      </c>
      <c r="S162" s="16" t="n">
        <v>1009.33</v>
      </c>
      <c r="T162" s="16" t="n">
        <v>1009.33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CANON-202603-004690</t>
        </is>
      </c>
      <c r="B163" s="3" t="inlineStr">
        <is>
          <t>2026-03-10</t>
        </is>
      </c>
      <c r="C163" s="3" t="inlineStr">
        <is>
          <t>Anouk Larsson</t>
        </is>
      </c>
      <c r="D163" s="3" t="inlineStr">
        <is>
          <t>NJ</t>
        </is>
      </c>
      <c r="E163" s="14" t="n">
        <v>1300000</v>
      </c>
      <c r="F163" s="14" t="n">
        <v>10394.44</v>
      </c>
      <c r="G163" s="14" t="n">
        <v>1299.31</v>
      </c>
      <c r="H163" s="14" t="n">
        <v>1299.31</v>
      </c>
      <c r="I163" s="14">
        <f>SUM(K163:T163)</f>
        <v/>
      </c>
      <c r="J163" s="14">
        <f>F163-(G163+H163+I163)</f>
        <v/>
      </c>
      <c r="K163" s="14" t="n">
        <v>779.58</v>
      </c>
      <c r="L163" s="14" t="n">
        <v>779.58</v>
      </c>
      <c r="M163" s="14" t="n">
        <v>779.58</v>
      </c>
      <c r="N163" s="14" t="n">
        <v>779.58</v>
      </c>
      <c r="O163" s="14" t="n">
        <v>779.58</v>
      </c>
      <c r="P163" s="14" t="n">
        <v>779.58</v>
      </c>
      <c r="Q163" s="14" t="n">
        <v>779.58</v>
      </c>
      <c r="R163" s="14" t="n">
        <v>779.58</v>
      </c>
      <c r="S163" s="14" t="n">
        <v>779.58</v>
      </c>
      <c r="T163" s="14" t="n">
        <v>779.58</v>
      </c>
      <c r="U163" s="14" t="n">
        <v>350</v>
      </c>
      <c r="V163" s="14" t="n">
        <v>250</v>
      </c>
      <c r="W163" s="14">
        <f>U163+V163</f>
        <v/>
      </c>
    </row>
    <row r="164">
      <c r="A164" s="15" t="inlineStr">
        <is>
          <t>CANON-202603-004691</t>
        </is>
      </c>
      <c r="B164" s="15" t="inlineStr">
        <is>
          <t>2026-03-23</t>
        </is>
      </c>
      <c r="C164" s="15" t="inlineStr">
        <is>
          <t>Horace Vandermeer</t>
        </is>
      </c>
      <c r="D164" s="15" t="inlineStr">
        <is>
          <t>SD</t>
        </is>
      </c>
      <c r="E164" s="16" t="n">
        <v>1950000</v>
      </c>
      <c r="F164" s="16" t="n">
        <v>19018.4</v>
      </c>
      <c r="G164" s="16" t="n">
        <v>2377.3</v>
      </c>
      <c r="H164" s="16" t="n">
        <v>2377.3</v>
      </c>
      <c r="I164" s="16">
        <f>SUM(K164:T164)</f>
        <v/>
      </c>
      <c r="J164" s="16">
        <f>F164-(G164+H164+I164)</f>
        <v/>
      </c>
      <c r="K164" s="16" t="n">
        <v>1426.38</v>
      </c>
      <c r="L164" s="16" t="n">
        <v>1426.38</v>
      </c>
      <c r="M164" s="16" t="n">
        <v>1426.38</v>
      </c>
      <c r="N164" s="16" t="n">
        <v>1426.38</v>
      </c>
      <c r="O164" s="16" t="n">
        <v>1426.38</v>
      </c>
      <c r="P164" s="16" t="n">
        <v>1426.38</v>
      </c>
      <c r="Q164" s="16" t="n">
        <v>1426.38</v>
      </c>
      <c r="R164" s="16" t="n">
        <v>1426.38</v>
      </c>
      <c r="S164" s="16" t="n">
        <v>1426.38</v>
      </c>
      <c r="T164" s="16" t="n">
        <v>1426.38</v>
      </c>
      <c r="U164" s="16" t="n">
        <v>350</v>
      </c>
      <c r="V164" s="16" t="n">
        <v>250</v>
      </c>
      <c r="W164" s="16">
        <f>U164+V164</f>
        <v/>
      </c>
    </row>
    <row r="165">
      <c r="A165" s="3" t="inlineStr">
        <is>
          <t>CANON-202603-004692</t>
        </is>
      </c>
      <c r="B165" s="3" t="inlineStr">
        <is>
          <t>2026-03-03</t>
        </is>
      </c>
      <c r="C165" s="3" t="inlineStr">
        <is>
          <t>Priya Ashcombe</t>
        </is>
      </c>
      <c r="D165" s="3" t="inlineStr">
        <is>
          <t>NY</t>
        </is>
      </c>
      <c r="E165" s="14" t="n">
        <v>475000</v>
      </c>
      <c r="F165" s="14" t="n">
        <v>7284.81</v>
      </c>
      <c r="G165" s="14" t="n">
        <v>910.6</v>
      </c>
      <c r="H165" s="14" t="n">
        <v>910.6</v>
      </c>
      <c r="I165" s="14">
        <f>SUM(K165:T165)</f>
        <v/>
      </c>
      <c r="J165" s="14">
        <f>F165-(G165+H165+I165)</f>
        <v/>
      </c>
      <c r="K165" s="14" t="n">
        <v>546.36</v>
      </c>
      <c r="L165" s="14" t="n">
        <v>546.36</v>
      </c>
      <c r="M165" s="14" t="n">
        <v>546.36</v>
      </c>
      <c r="N165" s="14" t="n">
        <v>546.36</v>
      </c>
      <c r="O165" s="14" t="n">
        <v>546.36</v>
      </c>
      <c r="P165" s="14" t="n">
        <v>546.36</v>
      </c>
      <c r="Q165" s="14" t="n">
        <v>546.36</v>
      </c>
      <c r="R165" s="14" t="n">
        <v>546.36</v>
      </c>
      <c r="S165" s="14" t="n">
        <v>546.36</v>
      </c>
      <c r="T165" s="14" t="n">
        <v>546.36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CANON-202603-004693</t>
        </is>
      </c>
      <c r="B166" s="15" t="inlineStr">
        <is>
          <t>2026-03-18</t>
        </is>
      </c>
      <c r="C166" s="15" t="inlineStr">
        <is>
          <t>Cassius Underwood</t>
        </is>
      </c>
      <c r="D166" s="15" t="inlineStr">
        <is>
          <t>MN</t>
        </is>
      </c>
      <c r="E166" s="16" t="n">
        <v>365000</v>
      </c>
      <c r="F166" s="16" t="n">
        <v>3694.55</v>
      </c>
      <c r="G166" s="16" t="n">
        <v>461.82</v>
      </c>
      <c r="H166" s="16" t="n">
        <v>461.82</v>
      </c>
      <c r="I166" s="16">
        <f>SUM(K166:T166)</f>
        <v/>
      </c>
      <c r="J166" s="16">
        <f>F166-(G166+H166+I166)</f>
        <v/>
      </c>
      <c r="K166" s="16" t="n">
        <v>277.09</v>
      </c>
      <c r="L166" s="16" t="n">
        <v>277.09</v>
      </c>
      <c r="M166" s="16" t="n">
        <v>277.09</v>
      </c>
      <c r="N166" s="16" t="n">
        <v>277.09</v>
      </c>
      <c r="O166" s="16" t="n">
        <v>277.09</v>
      </c>
      <c r="P166" s="16" t="n">
        <v>277.09</v>
      </c>
      <c r="Q166" s="16" t="n">
        <v>277.09</v>
      </c>
      <c r="R166" s="16" t="n">
        <v>277.09</v>
      </c>
      <c r="S166" s="16" t="n">
        <v>277.09</v>
      </c>
      <c r="T166" s="16" t="n">
        <v>277.09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CANON-202603-004695</t>
        </is>
      </c>
      <c r="B167" s="3" t="inlineStr">
        <is>
          <t>2026-03-26</t>
        </is>
      </c>
      <c r="C167" s="3" t="inlineStr">
        <is>
          <t>Everett Harrington</t>
        </is>
      </c>
      <c r="D167" s="3" t="inlineStr">
        <is>
          <t>WA</t>
        </is>
      </c>
      <c r="E167" s="14" t="n">
        <v>560000</v>
      </c>
      <c r="F167" s="14" t="n">
        <v>8159</v>
      </c>
      <c r="G167" s="14" t="n">
        <v>1019.88</v>
      </c>
      <c r="H167" s="14" t="n">
        <v>1019.88</v>
      </c>
      <c r="I167" s="14">
        <f>SUM(K167:T167)</f>
        <v/>
      </c>
      <c r="J167" s="14">
        <f>F167-(G167+H167+I167)</f>
        <v/>
      </c>
      <c r="K167" s="14" t="n">
        <v>611.92</v>
      </c>
      <c r="L167" s="14" t="n">
        <v>611.92</v>
      </c>
      <c r="M167" s="14" t="n">
        <v>611.92</v>
      </c>
      <c r="N167" s="14" t="n">
        <v>611.92</v>
      </c>
      <c r="O167" s="14" t="n">
        <v>611.92</v>
      </c>
      <c r="P167" s="14" t="n">
        <v>611.92</v>
      </c>
      <c r="Q167" s="14" t="n">
        <v>611.92</v>
      </c>
      <c r="R167" s="14" t="n">
        <v>611.92</v>
      </c>
      <c r="S167" s="14" t="n">
        <v>611.92</v>
      </c>
      <c r="T167" s="14" t="n">
        <v>611.92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CANON-202603-004696</t>
        </is>
      </c>
      <c r="B168" s="15" t="inlineStr">
        <is>
          <t>2026-03-10</t>
        </is>
      </c>
      <c r="C168" s="15" t="inlineStr">
        <is>
          <t>Sunniva Castellanos</t>
        </is>
      </c>
      <c r="D168" s="15" t="inlineStr">
        <is>
          <t>TX</t>
        </is>
      </c>
      <c r="E168" s="16" t="n">
        <v>605000</v>
      </c>
      <c r="F168" s="16" t="n">
        <v>7224.7</v>
      </c>
      <c r="G168" s="16" t="n">
        <v>903.09</v>
      </c>
      <c r="H168" s="16" t="n">
        <v>903.09</v>
      </c>
      <c r="I168" s="16">
        <f>SUM(K168:T168)</f>
        <v/>
      </c>
      <c r="J168" s="16">
        <f>F168-(G168+H168+I168)</f>
        <v/>
      </c>
      <c r="K168" s="16" t="n">
        <v>541.85</v>
      </c>
      <c r="L168" s="16" t="n">
        <v>541.85</v>
      </c>
      <c r="M168" s="16" t="n">
        <v>541.85</v>
      </c>
      <c r="N168" s="16" t="n">
        <v>541.85</v>
      </c>
      <c r="O168" s="16" t="n">
        <v>541.85</v>
      </c>
      <c r="P168" s="16" t="n">
        <v>541.85</v>
      </c>
      <c r="Q168" s="16" t="n">
        <v>541.85</v>
      </c>
      <c r="R168" s="16" t="n">
        <v>541.85</v>
      </c>
      <c r="S168" s="16" t="n">
        <v>541.85</v>
      </c>
      <c r="T168" s="16" t="n">
        <v>541.85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CANON-202603-004699</t>
        </is>
      </c>
      <c r="B169" s="3" t="inlineStr">
        <is>
          <t>2026-03-20</t>
        </is>
      </c>
      <c r="C169" s="3" t="inlineStr">
        <is>
          <t>Wilhelmina Vasquez</t>
        </is>
      </c>
      <c r="D169" s="3" t="inlineStr">
        <is>
          <t>VT</t>
        </is>
      </c>
      <c r="E169" s="14" t="n">
        <v>315000</v>
      </c>
      <c r="F169" s="14" t="n">
        <v>4604.53</v>
      </c>
      <c r="G169" s="14" t="n">
        <v>575.5700000000001</v>
      </c>
      <c r="H169" s="14" t="n">
        <v>575.5700000000001</v>
      </c>
      <c r="I169" s="14">
        <f>SUM(K169:T169)</f>
        <v/>
      </c>
      <c r="J169" s="14">
        <f>F169-(G169+H169+I169)</f>
        <v/>
      </c>
      <c r="K169" s="14" t="n">
        <v>345.34</v>
      </c>
      <c r="L169" s="14" t="n">
        <v>345.34</v>
      </c>
      <c r="M169" s="14" t="n">
        <v>345.34</v>
      </c>
      <c r="N169" s="14" t="n">
        <v>345.34</v>
      </c>
      <c r="O169" s="14" t="n">
        <v>345.34</v>
      </c>
      <c r="P169" s="14" t="n">
        <v>345.34</v>
      </c>
      <c r="Q169" s="14" t="n">
        <v>345.34</v>
      </c>
      <c r="R169" s="14" t="n">
        <v>345.34</v>
      </c>
      <c r="S169" s="14" t="n">
        <v>345.34</v>
      </c>
      <c r="T169" s="14" t="n">
        <v>345.34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CANON-202603-004700</t>
        </is>
      </c>
      <c r="B170" s="15" t="inlineStr">
        <is>
          <t>2026-03-02</t>
        </is>
      </c>
      <c r="C170" s="15" t="inlineStr">
        <is>
          <t>Desmond Harrington</t>
        </is>
      </c>
      <c r="D170" s="15" t="inlineStr">
        <is>
          <t>FL</t>
        </is>
      </c>
      <c r="E170" s="16" t="n">
        <v>660000</v>
      </c>
      <c r="F170" s="16" t="n">
        <v>6438.05</v>
      </c>
      <c r="G170" s="16" t="n">
        <v>804.76</v>
      </c>
      <c r="H170" s="16" t="n">
        <v>804.76</v>
      </c>
      <c r="I170" s="16">
        <f>SUM(K170:T170)</f>
        <v/>
      </c>
      <c r="J170" s="16">
        <f>F170-(G170+H170+I170)</f>
        <v/>
      </c>
      <c r="K170" s="16" t="n">
        <v>482.85</v>
      </c>
      <c r="L170" s="16" t="n">
        <v>482.85</v>
      </c>
      <c r="M170" s="16" t="n">
        <v>482.85</v>
      </c>
      <c r="N170" s="16" t="n">
        <v>482.85</v>
      </c>
      <c r="O170" s="16" t="n">
        <v>482.85</v>
      </c>
      <c r="P170" s="16" t="n">
        <v>482.85</v>
      </c>
      <c r="Q170" s="16" t="n">
        <v>482.85</v>
      </c>
      <c r="R170" s="16" t="n">
        <v>482.85</v>
      </c>
      <c r="S170" s="16" t="n">
        <v>482.85</v>
      </c>
      <c r="T170" s="16" t="n">
        <v>482.85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CANON-202603-004701</t>
        </is>
      </c>
      <c r="B171" s="3" t="inlineStr">
        <is>
          <t>2026-03-27</t>
        </is>
      </c>
      <c r="C171" s="3" t="inlineStr">
        <is>
          <t>Cassius Montoya</t>
        </is>
      </c>
      <c r="D171" s="3" t="inlineStr">
        <is>
          <t>OH</t>
        </is>
      </c>
      <c r="E171" s="14" t="n">
        <v>305000</v>
      </c>
      <c r="F171" s="14" t="n">
        <v>5079.6</v>
      </c>
      <c r="G171" s="14" t="n">
        <v>634.95</v>
      </c>
      <c r="H171" s="14" t="n">
        <v>634.95</v>
      </c>
      <c r="I171" s="14">
        <f>SUM(K171:T171)</f>
        <v/>
      </c>
      <c r="J171" s="14">
        <f>F171-(G171+H171+I171)</f>
        <v/>
      </c>
      <c r="K171" s="14" t="n">
        <v>380.97</v>
      </c>
      <c r="L171" s="14" t="n">
        <v>380.97</v>
      </c>
      <c r="M171" s="14" t="n">
        <v>380.97</v>
      </c>
      <c r="N171" s="14" t="n">
        <v>380.97</v>
      </c>
      <c r="O171" s="14" t="n">
        <v>380.97</v>
      </c>
      <c r="P171" s="14" t="n">
        <v>380.97</v>
      </c>
      <c r="Q171" s="14" t="n">
        <v>380.97</v>
      </c>
      <c r="R171" s="14" t="n">
        <v>380.97</v>
      </c>
      <c r="S171" s="14" t="n">
        <v>380.97</v>
      </c>
      <c r="T171" s="14" t="n">
        <v>380.97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CANON-202603-004702</t>
        </is>
      </c>
      <c r="B172" s="15" t="inlineStr">
        <is>
          <t>2026-03-11</t>
        </is>
      </c>
      <c r="C172" s="15" t="inlineStr">
        <is>
          <t>Wilhelmina Harrington</t>
        </is>
      </c>
      <c r="D172" s="15" t="inlineStr">
        <is>
          <t>MD</t>
        </is>
      </c>
      <c r="E172" s="16" t="n">
        <v>400000</v>
      </c>
      <c r="F172" s="16" t="n">
        <v>4553.01</v>
      </c>
      <c r="G172" s="16" t="n">
        <v>569.13</v>
      </c>
      <c r="H172" s="16" t="n">
        <v>569.13</v>
      </c>
      <c r="I172" s="16">
        <f>SUM(K172:T172)</f>
        <v/>
      </c>
      <c r="J172" s="16">
        <f>F172-(G172+H172+I172)</f>
        <v/>
      </c>
      <c r="K172" s="16" t="n">
        <v>341.48</v>
      </c>
      <c r="L172" s="16" t="n">
        <v>341.48</v>
      </c>
      <c r="M172" s="16" t="n">
        <v>341.48</v>
      </c>
      <c r="N172" s="16" t="n">
        <v>341.48</v>
      </c>
      <c r="O172" s="16" t="n">
        <v>341.48</v>
      </c>
      <c r="P172" s="16" t="n">
        <v>341.48</v>
      </c>
      <c r="Q172" s="16" t="n">
        <v>341.48</v>
      </c>
      <c r="R172" s="16" t="n">
        <v>341.48</v>
      </c>
      <c r="S172" s="16" t="n">
        <v>341.48</v>
      </c>
      <c r="T172" s="16" t="n">
        <v>341.48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CANON-202603-004704</t>
        </is>
      </c>
      <c r="B173" s="3" t="inlineStr">
        <is>
          <t>2026-03-14</t>
        </is>
      </c>
      <c r="C173" s="3" t="inlineStr">
        <is>
          <t>Beatrix Nakashima</t>
        </is>
      </c>
      <c r="D173" s="3" t="inlineStr">
        <is>
          <t>TX</t>
        </is>
      </c>
      <c r="E173" s="14" t="n">
        <v>710000</v>
      </c>
      <c r="F173" s="14" t="n">
        <v>8478.58</v>
      </c>
      <c r="G173" s="14" t="n">
        <v>1059.82</v>
      </c>
      <c r="H173" s="14" t="n">
        <v>1059.82</v>
      </c>
      <c r="I173" s="14">
        <f>SUM(K173:T173)</f>
        <v/>
      </c>
      <c r="J173" s="14">
        <f>F173-(G173+H173+I173)</f>
        <v/>
      </c>
      <c r="K173" s="14" t="n">
        <v>635.89</v>
      </c>
      <c r="L173" s="14" t="n">
        <v>635.89</v>
      </c>
      <c r="M173" s="14" t="n">
        <v>635.89</v>
      </c>
      <c r="N173" s="14" t="n">
        <v>635.89</v>
      </c>
      <c r="O173" s="14" t="n">
        <v>635.89</v>
      </c>
      <c r="P173" s="14" t="n">
        <v>635.89</v>
      </c>
      <c r="Q173" s="14" t="n">
        <v>635.89</v>
      </c>
      <c r="R173" s="14" t="n">
        <v>635.89</v>
      </c>
      <c r="S173" s="14" t="n">
        <v>635.89</v>
      </c>
      <c r="T173" s="14" t="n">
        <v>635.89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CANON-202603-004708</t>
        </is>
      </c>
      <c r="B174" s="15" t="inlineStr">
        <is>
          <t>2026-03-22</t>
        </is>
      </c>
      <c r="C174" s="15" t="inlineStr">
        <is>
          <t>Delphine Underwood</t>
        </is>
      </c>
      <c r="D174" s="15" t="inlineStr">
        <is>
          <t>OR</t>
        </is>
      </c>
      <c r="E174" s="16" t="n">
        <v>395000</v>
      </c>
      <c r="F174" s="16" t="n">
        <v>5347.99</v>
      </c>
      <c r="G174" s="16" t="n">
        <v>668.5</v>
      </c>
      <c r="H174" s="16" t="n">
        <v>668.5</v>
      </c>
      <c r="I174" s="16">
        <f>SUM(K174:T174)</f>
        <v/>
      </c>
      <c r="J174" s="16">
        <f>F174-(G174+H174+I174)</f>
        <v/>
      </c>
      <c r="K174" s="16" t="n">
        <v>401.1</v>
      </c>
      <c r="L174" s="16" t="n">
        <v>401.1</v>
      </c>
      <c r="M174" s="16" t="n">
        <v>401.1</v>
      </c>
      <c r="N174" s="16" t="n">
        <v>401.1</v>
      </c>
      <c r="O174" s="16" t="n">
        <v>401.1</v>
      </c>
      <c r="P174" s="16" t="n">
        <v>401.1</v>
      </c>
      <c r="Q174" s="16" t="n">
        <v>401.1</v>
      </c>
      <c r="R174" s="16" t="n">
        <v>401.1</v>
      </c>
      <c r="S174" s="16" t="n">
        <v>401.1</v>
      </c>
      <c r="T174" s="16" t="n">
        <v>401.1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CANON-202603-004709</t>
        </is>
      </c>
      <c r="B175" s="3" t="inlineStr">
        <is>
          <t>2026-03-30</t>
        </is>
      </c>
      <c r="C175" s="3" t="inlineStr">
        <is>
          <t>Delphine Kingsford</t>
        </is>
      </c>
      <c r="D175" s="3" t="inlineStr">
        <is>
          <t>NY</t>
        </is>
      </c>
      <c r="E175" s="14" t="n">
        <v>815000</v>
      </c>
      <c r="F175" s="14" t="n">
        <v>15832.33</v>
      </c>
      <c r="G175" s="14" t="n">
        <v>1979.04</v>
      </c>
      <c r="H175" s="14" t="n">
        <v>1979.04</v>
      </c>
      <c r="I175" s="14">
        <f>SUM(K175:T175)</f>
        <v/>
      </c>
      <c r="J175" s="14">
        <f>F175-(G175+H175+I175)</f>
        <v/>
      </c>
      <c r="K175" s="14" t="n">
        <v>1187.42</v>
      </c>
      <c r="L175" s="14" t="n">
        <v>1187.42</v>
      </c>
      <c r="M175" s="14" t="n">
        <v>1187.42</v>
      </c>
      <c r="N175" s="14" t="n">
        <v>1187.42</v>
      </c>
      <c r="O175" s="14" t="n">
        <v>1187.42</v>
      </c>
      <c r="P175" s="14" t="n">
        <v>1187.42</v>
      </c>
      <c r="Q175" s="14" t="n">
        <v>1187.42</v>
      </c>
      <c r="R175" s="14" t="n">
        <v>1187.42</v>
      </c>
      <c r="S175" s="14" t="n">
        <v>1187.42</v>
      </c>
      <c r="T175" s="14" t="n">
        <v>1187.42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CANON-202603-004710</t>
        </is>
      </c>
      <c r="B176" s="15" t="inlineStr">
        <is>
          <t>2026-03-11</t>
        </is>
      </c>
      <c r="C176" s="15" t="inlineStr">
        <is>
          <t>Noor Chattopadhyay</t>
        </is>
      </c>
      <c r="D176" s="15" t="inlineStr">
        <is>
          <t>WV</t>
        </is>
      </c>
      <c r="E176" s="16" t="n">
        <v>820000</v>
      </c>
      <c r="F176" s="16" t="n">
        <v>16551.71</v>
      </c>
      <c r="G176" s="16" t="n">
        <v>2068.96</v>
      </c>
      <c r="H176" s="16" t="n">
        <v>2068.96</v>
      </c>
      <c r="I176" s="16">
        <f>SUM(K176:T176)</f>
        <v/>
      </c>
      <c r="J176" s="16">
        <f>F176-(G176+H176+I176)</f>
        <v/>
      </c>
      <c r="K176" s="16" t="n">
        <v>1241.38</v>
      </c>
      <c r="L176" s="16" t="n">
        <v>1241.38</v>
      </c>
      <c r="M176" s="16" t="n">
        <v>1241.38</v>
      </c>
      <c r="N176" s="16" t="n">
        <v>1241.38</v>
      </c>
      <c r="O176" s="16" t="n">
        <v>1241.38</v>
      </c>
      <c r="P176" s="16" t="n">
        <v>1241.38</v>
      </c>
      <c r="Q176" s="16" t="n">
        <v>1241.38</v>
      </c>
      <c r="R176" s="16" t="n">
        <v>1241.38</v>
      </c>
      <c r="S176" s="16" t="n">
        <v>1241.38</v>
      </c>
      <c r="T176" s="16" t="n">
        <v>1241.38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CANON-202603-004711</t>
        </is>
      </c>
      <c r="B177" s="3" t="inlineStr">
        <is>
          <t>2026-03-13</t>
        </is>
      </c>
      <c r="C177" s="3" t="inlineStr">
        <is>
          <t>Thaddeus Rourke</t>
        </is>
      </c>
      <c r="D177" s="3" t="inlineStr">
        <is>
          <t>WA</t>
        </is>
      </c>
      <c r="E177" s="14" t="n">
        <v>600000</v>
      </c>
      <c r="F177" s="14" t="n">
        <v>5981.22</v>
      </c>
      <c r="G177" s="14" t="n">
        <v>747.65</v>
      </c>
      <c r="H177" s="14" t="n">
        <v>747.65</v>
      </c>
      <c r="I177" s="14">
        <f>SUM(K177:T177)</f>
        <v/>
      </c>
      <c r="J177" s="14">
        <f>F177-(G177+H177+I177)</f>
        <v/>
      </c>
      <c r="K177" s="14" t="n">
        <v>448.59</v>
      </c>
      <c r="L177" s="14" t="n">
        <v>448.59</v>
      </c>
      <c r="M177" s="14" t="n">
        <v>448.59</v>
      </c>
      <c r="N177" s="14" t="n">
        <v>448.59</v>
      </c>
      <c r="O177" s="14" t="n">
        <v>448.59</v>
      </c>
      <c r="P177" s="14" t="n">
        <v>448.59</v>
      </c>
      <c r="Q177" s="14" t="n">
        <v>448.59</v>
      </c>
      <c r="R177" s="14" t="n">
        <v>448.59</v>
      </c>
      <c r="S177" s="14" t="n">
        <v>448.59</v>
      </c>
      <c r="T177" s="14" t="n">
        <v>448.59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CANON-202603-004712</t>
        </is>
      </c>
      <c r="B178" s="15" t="inlineStr">
        <is>
          <t>2026-03-10</t>
        </is>
      </c>
      <c r="C178" s="15" t="inlineStr">
        <is>
          <t>Ottilie Kingsford</t>
        </is>
      </c>
      <c r="D178" s="15" t="inlineStr">
        <is>
          <t>MA</t>
        </is>
      </c>
      <c r="E178" s="16" t="n">
        <v>365000</v>
      </c>
      <c r="F178" s="16" t="n">
        <v>5466.61</v>
      </c>
      <c r="G178" s="16" t="n">
        <v>683.33</v>
      </c>
      <c r="H178" s="16" t="n">
        <v>683.33</v>
      </c>
      <c r="I178" s="16">
        <f>SUM(K178:T178)</f>
        <v/>
      </c>
      <c r="J178" s="16">
        <f>F178-(G178+H178+I178)</f>
        <v/>
      </c>
      <c r="K178" s="16" t="n">
        <v>410</v>
      </c>
      <c r="L178" s="16" t="n">
        <v>410</v>
      </c>
      <c r="M178" s="16" t="n">
        <v>410</v>
      </c>
      <c r="N178" s="16" t="n">
        <v>410</v>
      </c>
      <c r="O178" s="16" t="n">
        <v>410</v>
      </c>
      <c r="P178" s="16" t="n">
        <v>410</v>
      </c>
      <c r="Q178" s="16" t="n">
        <v>410</v>
      </c>
      <c r="R178" s="16" t="n">
        <v>410</v>
      </c>
      <c r="S178" s="16" t="n">
        <v>410</v>
      </c>
      <c r="T178" s="16" t="n">
        <v>410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CANON-202603-004713</t>
        </is>
      </c>
      <c r="B179" s="3" t="inlineStr">
        <is>
          <t>2026-03-11</t>
        </is>
      </c>
      <c r="C179" s="3" t="inlineStr">
        <is>
          <t>Horace Ashcombe</t>
        </is>
      </c>
      <c r="D179" s="3" t="inlineStr">
        <is>
          <t>GA</t>
        </is>
      </c>
      <c r="E179" s="14" t="n">
        <v>355000</v>
      </c>
      <c r="F179" s="14" t="n">
        <v>4763.89</v>
      </c>
      <c r="G179" s="14" t="n">
        <v>595.49</v>
      </c>
      <c r="H179" s="14" t="n">
        <v>595.49</v>
      </c>
      <c r="I179" s="14">
        <f>SUM(K179:T179)</f>
        <v/>
      </c>
      <c r="J179" s="14">
        <f>F179-(G179+H179+I179)</f>
        <v/>
      </c>
      <c r="K179" s="14" t="n">
        <v>357.29</v>
      </c>
      <c r="L179" s="14" t="n">
        <v>357.29</v>
      </c>
      <c r="M179" s="14" t="n">
        <v>357.29</v>
      </c>
      <c r="N179" s="14" t="n">
        <v>357.29</v>
      </c>
      <c r="O179" s="14" t="n">
        <v>357.29</v>
      </c>
      <c r="P179" s="14" t="n">
        <v>357.29</v>
      </c>
      <c r="Q179" s="14" t="n">
        <v>357.29</v>
      </c>
      <c r="R179" s="14" t="n">
        <v>357.29</v>
      </c>
      <c r="S179" s="14" t="n">
        <v>357.29</v>
      </c>
      <c r="T179" s="14" t="n">
        <v>357.29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CANON-202603-004714</t>
        </is>
      </c>
      <c r="B180" s="15" t="inlineStr">
        <is>
          <t>2026-03-05</t>
        </is>
      </c>
      <c r="C180" s="15" t="inlineStr">
        <is>
          <t>Mireille Chattopadhyay</t>
        </is>
      </c>
      <c r="D180" s="15" t="inlineStr">
        <is>
          <t>MI</t>
        </is>
      </c>
      <c r="E180" s="16" t="n">
        <v>540000</v>
      </c>
      <c r="F180" s="16" t="n">
        <v>5749.73</v>
      </c>
      <c r="G180" s="16" t="n">
        <v>718.72</v>
      </c>
      <c r="H180" s="16" t="n">
        <v>718.72</v>
      </c>
      <c r="I180" s="16">
        <f>SUM(K180:T180)</f>
        <v/>
      </c>
      <c r="J180" s="16">
        <f>F180-(G180+H180+I180)</f>
        <v/>
      </c>
      <c r="K180" s="16" t="n">
        <v>431.23</v>
      </c>
      <c r="L180" s="16" t="n">
        <v>431.23</v>
      </c>
      <c r="M180" s="16" t="n">
        <v>431.23</v>
      </c>
      <c r="N180" s="16" t="n">
        <v>431.23</v>
      </c>
      <c r="O180" s="16" t="n">
        <v>431.23</v>
      </c>
      <c r="P180" s="16" t="n">
        <v>431.23</v>
      </c>
      <c r="Q180" s="16" t="n">
        <v>431.23</v>
      </c>
      <c r="R180" s="16" t="n">
        <v>431.23</v>
      </c>
      <c r="S180" s="16" t="n">
        <v>431.23</v>
      </c>
      <c r="T180" s="16" t="n">
        <v>431.23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CANON-202603-004715</t>
        </is>
      </c>
      <c r="B181" s="3" t="inlineStr">
        <is>
          <t>2026-03-21</t>
        </is>
      </c>
      <c r="C181" s="3" t="inlineStr">
        <is>
          <t>Beatrix Whitlock</t>
        </is>
      </c>
      <c r="D181" s="3" t="inlineStr">
        <is>
          <t>LA</t>
        </is>
      </c>
      <c r="E181" s="14" t="n">
        <v>515000</v>
      </c>
      <c r="F181" s="14" t="n">
        <v>6470.83</v>
      </c>
      <c r="G181" s="14" t="n">
        <v>808.85</v>
      </c>
      <c r="H181" s="14" t="n">
        <v>808.85</v>
      </c>
      <c r="I181" s="14">
        <f>SUM(K181:T181)</f>
        <v/>
      </c>
      <c r="J181" s="14">
        <f>F181-(G181+H181+I181)</f>
        <v/>
      </c>
      <c r="K181" s="14" t="n">
        <v>485.31</v>
      </c>
      <c r="L181" s="14" t="n">
        <v>485.31</v>
      </c>
      <c r="M181" s="14" t="n">
        <v>485.31</v>
      </c>
      <c r="N181" s="14" t="n">
        <v>485.31</v>
      </c>
      <c r="O181" s="14" t="n">
        <v>485.31</v>
      </c>
      <c r="P181" s="14" t="n">
        <v>485.31</v>
      </c>
      <c r="Q181" s="14" t="n">
        <v>485.31</v>
      </c>
      <c r="R181" s="14" t="n">
        <v>485.31</v>
      </c>
      <c r="S181" s="14" t="n">
        <v>485.31</v>
      </c>
      <c r="T181" s="14" t="n">
        <v>485.31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CANON-202603-004716</t>
        </is>
      </c>
      <c r="B182" s="15" t="inlineStr">
        <is>
          <t>2026-03-16</t>
        </is>
      </c>
      <c r="C182" s="15" t="inlineStr">
        <is>
          <t>Ramona Castellanos</t>
        </is>
      </c>
      <c r="D182" s="15" t="inlineStr">
        <is>
          <t>NE</t>
        </is>
      </c>
      <c r="E182" s="16" t="n">
        <v>1115000</v>
      </c>
      <c r="F182" s="16" t="n">
        <v>12736.04</v>
      </c>
      <c r="G182" s="16" t="n">
        <v>1592.01</v>
      </c>
      <c r="H182" s="16" t="n">
        <v>1592.01</v>
      </c>
      <c r="I182" s="16">
        <f>SUM(K182:T182)</f>
        <v/>
      </c>
      <c r="J182" s="16">
        <f>F182-(G182+H182+I182)</f>
        <v/>
      </c>
      <c r="K182" s="16" t="n">
        <v>955.2</v>
      </c>
      <c r="L182" s="16" t="n">
        <v>955.2</v>
      </c>
      <c r="M182" s="16" t="n">
        <v>955.2</v>
      </c>
      <c r="N182" s="16" t="n">
        <v>955.2</v>
      </c>
      <c r="O182" s="16" t="n">
        <v>955.2</v>
      </c>
      <c r="P182" s="16" t="n">
        <v>955.2</v>
      </c>
      <c r="Q182" s="16" t="n">
        <v>955.2</v>
      </c>
      <c r="R182" s="16" t="n">
        <v>955.2</v>
      </c>
      <c r="S182" s="16" t="n">
        <v>955.2</v>
      </c>
      <c r="T182" s="16" t="n">
        <v>955.2</v>
      </c>
      <c r="U182" s="16" t="n">
        <v>350</v>
      </c>
      <c r="V182" s="16" t="n">
        <v>250</v>
      </c>
      <c r="W182" s="16">
        <f>U182+V182</f>
        <v/>
      </c>
    </row>
    <row r="183">
      <c r="A183" s="3" t="inlineStr">
        <is>
          <t>CANON-202603-004717</t>
        </is>
      </c>
      <c r="B183" s="3" t="inlineStr">
        <is>
          <t>2026-03-11</t>
        </is>
      </c>
      <c r="C183" s="3" t="inlineStr">
        <is>
          <t>Ramona Delacroix</t>
        </is>
      </c>
      <c r="D183" s="3" t="inlineStr">
        <is>
          <t>AR</t>
        </is>
      </c>
      <c r="E183" s="14" t="n">
        <v>1215000</v>
      </c>
      <c r="F183" s="14" t="n">
        <v>14732.34</v>
      </c>
      <c r="G183" s="14" t="n">
        <v>1841.54</v>
      </c>
      <c r="H183" s="14" t="n">
        <v>1841.54</v>
      </c>
      <c r="I183" s="14">
        <f>SUM(K183:T183)</f>
        <v/>
      </c>
      <c r="J183" s="14">
        <f>F183-(G183+H183+I183)</f>
        <v/>
      </c>
      <c r="K183" s="14" t="n">
        <v>1104.93</v>
      </c>
      <c r="L183" s="14" t="n">
        <v>1104.93</v>
      </c>
      <c r="M183" s="14" t="n">
        <v>1104.93</v>
      </c>
      <c r="N183" s="14" t="n">
        <v>1104.93</v>
      </c>
      <c r="O183" s="14" t="n">
        <v>1104.93</v>
      </c>
      <c r="P183" s="14" t="n">
        <v>1104.93</v>
      </c>
      <c r="Q183" s="14" t="n">
        <v>1104.93</v>
      </c>
      <c r="R183" s="14" t="n">
        <v>1104.93</v>
      </c>
      <c r="S183" s="14" t="n">
        <v>1104.93</v>
      </c>
      <c r="T183" s="14" t="n">
        <v>1104.93</v>
      </c>
      <c r="U183" s="14" t="n">
        <v>350</v>
      </c>
      <c r="V183" s="14" t="n">
        <v>250</v>
      </c>
      <c r="W183" s="14">
        <f>U183+V183</f>
        <v/>
      </c>
    </row>
    <row r="184">
      <c r="A184" s="15" t="inlineStr">
        <is>
          <t>CANON-202603-004718</t>
        </is>
      </c>
      <c r="B184" s="15" t="inlineStr">
        <is>
          <t>2026-03-13</t>
        </is>
      </c>
      <c r="C184" s="15" t="inlineStr">
        <is>
          <t>Anouk Whitlock</t>
        </is>
      </c>
      <c r="D184" s="15" t="inlineStr">
        <is>
          <t>AL</t>
        </is>
      </c>
      <c r="E184" s="16" t="n">
        <v>675000</v>
      </c>
      <c r="F184" s="16" t="n">
        <v>8901.73</v>
      </c>
      <c r="G184" s="16" t="n">
        <v>1112.72</v>
      </c>
      <c r="H184" s="16" t="n">
        <v>1112.72</v>
      </c>
      <c r="I184" s="16">
        <f>SUM(K184:T184)</f>
        <v/>
      </c>
      <c r="J184" s="16">
        <f>F184-(G184+H184+I184)</f>
        <v/>
      </c>
      <c r="K184" s="16" t="n">
        <v>667.63</v>
      </c>
      <c r="L184" s="16" t="n">
        <v>667.63</v>
      </c>
      <c r="M184" s="16" t="n">
        <v>667.63</v>
      </c>
      <c r="N184" s="16" t="n">
        <v>667.63</v>
      </c>
      <c r="O184" s="16" t="n">
        <v>667.63</v>
      </c>
      <c r="P184" s="16" t="n">
        <v>667.63</v>
      </c>
      <c r="Q184" s="16" t="n">
        <v>667.63</v>
      </c>
      <c r="R184" s="16" t="n">
        <v>667.63</v>
      </c>
      <c r="S184" s="16" t="n">
        <v>667.63</v>
      </c>
      <c r="T184" s="16" t="n">
        <v>667.63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CANON-202603-004719</t>
        </is>
      </c>
      <c r="B185" s="3" t="inlineStr">
        <is>
          <t>2026-03-02</t>
        </is>
      </c>
      <c r="C185" s="3" t="inlineStr">
        <is>
          <t>Priya Nakashima</t>
        </is>
      </c>
      <c r="D185" s="3" t="inlineStr">
        <is>
          <t>TX</t>
        </is>
      </c>
      <c r="E185" s="14" t="n">
        <v>935000</v>
      </c>
      <c r="F185" s="14" t="n">
        <v>11165.46</v>
      </c>
      <c r="G185" s="14" t="n">
        <v>1395.68</v>
      </c>
      <c r="H185" s="14" t="n">
        <v>1395.68</v>
      </c>
      <c r="I185" s="14">
        <f>SUM(K185:T185)</f>
        <v/>
      </c>
      <c r="J185" s="14">
        <f>F185-(G185+H185+I185)</f>
        <v/>
      </c>
      <c r="K185" s="14" t="n">
        <v>837.41</v>
      </c>
      <c r="L185" s="14" t="n">
        <v>837.41</v>
      </c>
      <c r="M185" s="14" t="n">
        <v>837.41</v>
      </c>
      <c r="N185" s="14" t="n">
        <v>837.41</v>
      </c>
      <c r="O185" s="14" t="n">
        <v>837.41</v>
      </c>
      <c r="P185" s="14" t="n">
        <v>837.41</v>
      </c>
      <c r="Q185" s="14" t="n">
        <v>837.41</v>
      </c>
      <c r="R185" s="14" t="n">
        <v>837.41</v>
      </c>
      <c r="S185" s="14" t="n">
        <v>837.41</v>
      </c>
      <c r="T185" s="14" t="n">
        <v>837.41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CANON-202603-004721</t>
        </is>
      </c>
      <c r="B186" s="15" t="inlineStr">
        <is>
          <t>2026-03-24</t>
        </is>
      </c>
      <c r="C186" s="15" t="inlineStr">
        <is>
          <t>Ottilie Rourke</t>
        </is>
      </c>
      <c r="D186" s="15" t="inlineStr">
        <is>
          <t>MN</t>
        </is>
      </c>
      <c r="E186" s="16" t="n">
        <v>380000</v>
      </c>
      <c r="F186" s="16" t="n">
        <v>9215.290000000001</v>
      </c>
      <c r="G186" s="16" t="n">
        <v>1151.91</v>
      </c>
      <c r="H186" s="16" t="n">
        <v>1151.91</v>
      </c>
      <c r="I186" s="16">
        <f>SUM(K186:T186)</f>
        <v/>
      </c>
      <c r="J186" s="16">
        <f>F186-(G186+H186+I186)</f>
        <v/>
      </c>
      <c r="K186" s="16" t="n">
        <v>691.15</v>
      </c>
      <c r="L186" s="16" t="n">
        <v>691.15</v>
      </c>
      <c r="M186" s="16" t="n">
        <v>691.15</v>
      </c>
      <c r="N186" s="16" t="n">
        <v>691.15</v>
      </c>
      <c r="O186" s="16" t="n">
        <v>691.15</v>
      </c>
      <c r="P186" s="16" t="n">
        <v>691.15</v>
      </c>
      <c r="Q186" s="16" t="n">
        <v>691.15</v>
      </c>
      <c r="R186" s="16" t="n">
        <v>691.15</v>
      </c>
      <c r="S186" s="16" t="n">
        <v>691.15</v>
      </c>
      <c r="T186" s="16" t="n">
        <v>691.15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CANON-202603-004723</t>
        </is>
      </c>
      <c r="B187" s="3" t="inlineStr">
        <is>
          <t>2026-03-23</t>
        </is>
      </c>
      <c r="C187" s="3" t="inlineStr">
        <is>
          <t>Noor Fairweather</t>
        </is>
      </c>
      <c r="D187" s="3" t="inlineStr">
        <is>
          <t>AK</t>
        </is>
      </c>
      <c r="E187" s="14" t="n">
        <v>675000</v>
      </c>
      <c r="F187" s="14" t="n">
        <v>7990.53</v>
      </c>
      <c r="G187" s="14" t="n">
        <v>998.8200000000001</v>
      </c>
      <c r="H187" s="14" t="n">
        <v>998.8200000000001</v>
      </c>
      <c r="I187" s="14">
        <f>SUM(K187:T187)</f>
        <v/>
      </c>
      <c r="J187" s="14">
        <f>F187-(G187+H187+I187)</f>
        <v/>
      </c>
      <c r="K187" s="14" t="n">
        <v>599.29</v>
      </c>
      <c r="L187" s="14" t="n">
        <v>599.29</v>
      </c>
      <c r="M187" s="14" t="n">
        <v>599.29</v>
      </c>
      <c r="N187" s="14" t="n">
        <v>599.29</v>
      </c>
      <c r="O187" s="14" t="n">
        <v>599.29</v>
      </c>
      <c r="P187" s="14" t="n">
        <v>599.29</v>
      </c>
      <c r="Q187" s="14" t="n">
        <v>599.29</v>
      </c>
      <c r="R187" s="14" t="n">
        <v>599.29</v>
      </c>
      <c r="S187" s="14" t="n">
        <v>599.29</v>
      </c>
      <c r="T187" s="14" t="n">
        <v>599.29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CANON-202603-004724</t>
        </is>
      </c>
      <c r="B188" s="15" t="inlineStr">
        <is>
          <t>2026-03-22</t>
        </is>
      </c>
      <c r="C188" s="15" t="inlineStr">
        <is>
          <t>Mireille Fairweather</t>
        </is>
      </c>
      <c r="D188" s="15" t="inlineStr">
        <is>
          <t>WY</t>
        </is>
      </c>
      <c r="E188" s="16" t="n">
        <v>495000</v>
      </c>
      <c r="F188" s="16" t="n">
        <v>4061.48</v>
      </c>
      <c r="G188" s="16" t="n">
        <v>507.69</v>
      </c>
      <c r="H188" s="16" t="n">
        <v>507.69</v>
      </c>
      <c r="I188" s="16">
        <f>SUM(K188:T188)</f>
        <v/>
      </c>
      <c r="J188" s="16">
        <f>F188-(G188+H188+I188)</f>
        <v/>
      </c>
      <c r="K188" s="16" t="n">
        <v>304.61</v>
      </c>
      <c r="L188" s="16" t="n">
        <v>304.61</v>
      </c>
      <c r="M188" s="16" t="n">
        <v>304.61</v>
      </c>
      <c r="N188" s="16" t="n">
        <v>304.61</v>
      </c>
      <c r="O188" s="16" t="n">
        <v>304.61</v>
      </c>
      <c r="P188" s="16" t="n">
        <v>304.61</v>
      </c>
      <c r="Q188" s="16" t="n">
        <v>304.61</v>
      </c>
      <c r="R188" s="16" t="n">
        <v>304.61</v>
      </c>
      <c r="S188" s="16" t="n">
        <v>304.61</v>
      </c>
      <c r="T188" s="16" t="n">
        <v>304.61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CANON-202603-004725</t>
        </is>
      </c>
      <c r="B189" s="3" t="inlineStr">
        <is>
          <t>2026-03-11</t>
        </is>
      </c>
      <c r="C189" s="3" t="inlineStr">
        <is>
          <t>Marisol Bellandi</t>
        </is>
      </c>
      <c r="D189" s="3" t="inlineStr">
        <is>
          <t>CO</t>
        </is>
      </c>
      <c r="E189" s="14" t="n">
        <v>870000</v>
      </c>
      <c r="F189" s="14" t="n">
        <v>6574.07</v>
      </c>
      <c r="G189" s="14" t="n">
        <v>821.76</v>
      </c>
      <c r="H189" s="14" t="n">
        <v>821.76</v>
      </c>
      <c r="I189" s="14">
        <f>SUM(K189:T189)</f>
        <v/>
      </c>
      <c r="J189" s="14">
        <f>F189-(G189+H189+I189)</f>
        <v/>
      </c>
      <c r="K189" s="14" t="n">
        <v>493.06</v>
      </c>
      <c r="L189" s="14" t="n">
        <v>493.06</v>
      </c>
      <c r="M189" s="14" t="n">
        <v>493.06</v>
      </c>
      <c r="N189" s="14" t="n">
        <v>493.06</v>
      </c>
      <c r="O189" s="14" t="n">
        <v>493.06</v>
      </c>
      <c r="P189" s="14" t="n">
        <v>493.06</v>
      </c>
      <c r="Q189" s="14" t="n">
        <v>493.06</v>
      </c>
      <c r="R189" s="14" t="n">
        <v>493.06</v>
      </c>
      <c r="S189" s="14" t="n">
        <v>493.06</v>
      </c>
      <c r="T189" s="14" t="n">
        <v>493.06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CANON-202603-004726</t>
        </is>
      </c>
      <c r="B190" s="15" t="inlineStr">
        <is>
          <t>2026-03-18</t>
        </is>
      </c>
      <c r="C190" s="15" t="inlineStr">
        <is>
          <t>Everett Underwood</t>
        </is>
      </c>
      <c r="D190" s="15" t="inlineStr">
        <is>
          <t>IN</t>
        </is>
      </c>
      <c r="E190" s="16" t="n">
        <v>410000</v>
      </c>
      <c r="F190" s="16" t="n">
        <v>9264.9</v>
      </c>
      <c r="G190" s="16" t="n">
        <v>1158.11</v>
      </c>
      <c r="H190" s="16" t="n">
        <v>1158.11</v>
      </c>
      <c r="I190" s="16">
        <f>SUM(K190:T190)</f>
        <v/>
      </c>
      <c r="J190" s="16">
        <f>F190-(G190+H190+I190)</f>
        <v/>
      </c>
      <c r="K190" s="16" t="n">
        <v>694.87</v>
      </c>
      <c r="L190" s="16" t="n">
        <v>694.87</v>
      </c>
      <c r="M190" s="16" t="n">
        <v>694.87</v>
      </c>
      <c r="N190" s="16" t="n">
        <v>694.87</v>
      </c>
      <c r="O190" s="16" t="n">
        <v>694.87</v>
      </c>
      <c r="P190" s="16" t="n">
        <v>694.87</v>
      </c>
      <c r="Q190" s="16" t="n">
        <v>694.87</v>
      </c>
      <c r="R190" s="16" t="n">
        <v>694.87</v>
      </c>
      <c r="S190" s="16" t="n">
        <v>694.87</v>
      </c>
      <c r="T190" s="16" t="n">
        <v>694.87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CANON-202603-004727</t>
        </is>
      </c>
      <c r="B191" s="3" t="inlineStr">
        <is>
          <t>2026-03-18</t>
        </is>
      </c>
      <c r="C191" s="3" t="inlineStr">
        <is>
          <t>Wilhelmina Farkas</t>
        </is>
      </c>
      <c r="D191" s="3" t="inlineStr">
        <is>
          <t>MS</t>
        </is>
      </c>
      <c r="E191" s="14" t="n">
        <v>1015000</v>
      </c>
      <c r="F191" s="14" t="n">
        <v>10612.78</v>
      </c>
      <c r="G191" s="14" t="n">
        <v>1326.6</v>
      </c>
      <c r="H191" s="14" t="n">
        <v>1326.6</v>
      </c>
      <c r="I191" s="14">
        <f>SUM(K191:T191)</f>
        <v/>
      </c>
      <c r="J191" s="14">
        <f>F191-(G191+H191+I191)</f>
        <v/>
      </c>
      <c r="K191" s="14" t="n">
        <v>795.96</v>
      </c>
      <c r="L191" s="14" t="n">
        <v>795.96</v>
      </c>
      <c r="M191" s="14" t="n">
        <v>795.96</v>
      </c>
      <c r="N191" s="14" t="n">
        <v>795.96</v>
      </c>
      <c r="O191" s="14" t="n">
        <v>795.96</v>
      </c>
      <c r="P191" s="14" t="n">
        <v>795.96</v>
      </c>
      <c r="Q191" s="14" t="n">
        <v>795.96</v>
      </c>
      <c r="R191" s="14" t="n">
        <v>795.96</v>
      </c>
      <c r="S191" s="14" t="n">
        <v>795.96</v>
      </c>
      <c r="T191" s="14" t="n">
        <v>795.96</v>
      </c>
      <c r="U191" s="14" t="n">
        <v>350</v>
      </c>
      <c r="V191" s="14" t="n">
        <v>250</v>
      </c>
      <c r="W191" s="14">
        <f>U191+V191</f>
        <v/>
      </c>
    </row>
    <row r="192">
      <c r="A192" s="15" t="inlineStr">
        <is>
          <t>CANON-202603-004728</t>
        </is>
      </c>
      <c r="B192" s="15" t="inlineStr">
        <is>
          <t>2026-03-11</t>
        </is>
      </c>
      <c r="C192" s="15" t="inlineStr">
        <is>
          <t>Sunniva Blackwood</t>
        </is>
      </c>
      <c r="D192" s="15" t="inlineStr">
        <is>
          <t>NJ</t>
        </is>
      </c>
      <c r="E192" s="16" t="n">
        <v>735000</v>
      </c>
      <c r="F192" s="16" t="n">
        <v>6945.38</v>
      </c>
      <c r="G192" s="16" t="n">
        <v>868.17</v>
      </c>
      <c r="H192" s="16" t="n">
        <v>868.17</v>
      </c>
      <c r="I192" s="16">
        <f>SUM(K192:T192)</f>
        <v/>
      </c>
      <c r="J192" s="16">
        <f>F192-(G192+H192+I192)</f>
        <v/>
      </c>
      <c r="K192" s="16" t="n">
        <v>520.9</v>
      </c>
      <c r="L192" s="16" t="n">
        <v>520.9</v>
      </c>
      <c r="M192" s="16" t="n">
        <v>520.9</v>
      </c>
      <c r="N192" s="16" t="n">
        <v>520.9</v>
      </c>
      <c r="O192" s="16" t="n">
        <v>520.9</v>
      </c>
      <c r="P192" s="16" t="n">
        <v>520.9</v>
      </c>
      <c r="Q192" s="16" t="n">
        <v>520.9</v>
      </c>
      <c r="R192" s="16" t="n">
        <v>520.9</v>
      </c>
      <c r="S192" s="16" t="n">
        <v>520.9</v>
      </c>
      <c r="T192" s="16" t="n">
        <v>520.9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CANON-202603-004729</t>
        </is>
      </c>
      <c r="B193" s="3" t="inlineStr">
        <is>
          <t>2026-03-23</t>
        </is>
      </c>
      <c r="C193" s="3" t="inlineStr">
        <is>
          <t>Beatrix Whitlock</t>
        </is>
      </c>
      <c r="D193" s="3" t="inlineStr">
        <is>
          <t>NY</t>
        </is>
      </c>
      <c r="E193" s="14" t="n">
        <v>790000</v>
      </c>
      <c r="F193" s="14" t="n">
        <v>10500.36</v>
      </c>
      <c r="G193" s="14" t="n">
        <v>1312.55</v>
      </c>
      <c r="H193" s="14" t="n">
        <v>1312.55</v>
      </c>
      <c r="I193" s="14">
        <f>SUM(K193:T193)</f>
        <v/>
      </c>
      <c r="J193" s="14">
        <f>F193-(G193+H193+I193)</f>
        <v/>
      </c>
      <c r="K193" s="14" t="n">
        <v>787.53</v>
      </c>
      <c r="L193" s="14" t="n">
        <v>787.53</v>
      </c>
      <c r="M193" s="14" t="n">
        <v>787.53</v>
      </c>
      <c r="N193" s="14" t="n">
        <v>787.53</v>
      </c>
      <c r="O193" s="14" t="n">
        <v>787.53</v>
      </c>
      <c r="P193" s="14" t="n">
        <v>787.53</v>
      </c>
      <c r="Q193" s="14" t="n">
        <v>787.53</v>
      </c>
      <c r="R193" s="14" t="n">
        <v>787.53</v>
      </c>
      <c r="S193" s="14" t="n">
        <v>787.53</v>
      </c>
      <c r="T193" s="14" t="n">
        <v>787.53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CANON-202603-004730</t>
        </is>
      </c>
      <c r="B194" s="15" t="inlineStr">
        <is>
          <t>2026-03-02</t>
        </is>
      </c>
      <c r="C194" s="15" t="inlineStr">
        <is>
          <t>Noor Underwood</t>
        </is>
      </c>
      <c r="D194" s="15" t="inlineStr">
        <is>
          <t>DE</t>
        </is>
      </c>
      <c r="E194" s="16" t="n">
        <v>760000</v>
      </c>
      <c r="F194" s="16" t="n">
        <v>9864.85</v>
      </c>
      <c r="G194" s="16" t="n">
        <v>1233.11</v>
      </c>
      <c r="H194" s="16" t="n">
        <v>1233.11</v>
      </c>
      <c r="I194" s="16">
        <f>SUM(K194:T194)</f>
        <v/>
      </c>
      <c r="J194" s="16">
        <f>F194-(G194+H194+I194)</f>
        <v/>
      </c>
      <c r="K194" s="16" t="n">
        <v>739.86</v>
      </c>
      <c r="L194" s="16" t="n">
        <v>739.86</v>
      </c>
      <c r="M194" s="16" t="n">
        <v>739.86</v>
      </c>
      <c r="N194" s="16" t="n">
        <v>739.86</v>
      </c>
      <c r="O194" s="16" t="n">
        <v>739.86</v>
      </c>
      <c r="P194" s="16" t="n">
        <v>739.86</v>
      </c>
      <c r="Q194" s="16" t="n">
        <v>739.86</v>
      </c>
      <c r="R194" s="16" t="n">
        <v>739.86</v>
      </c>
      <c r="S194" s="16" t="n">
        <v>739.86</v>
      </c>
      <c r="T194" s="16" t="n">
        <v>739.86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CANON-202603-004731</t>
        </is>
      </c>
      <c r="B195" s="3" t="inlineStr">
        <is>
          <t>2026-03-01</t>
        </is>
      </c>
      <c r="C195" s="3" t="inlineStr">
        <is>
          <t>Callum Chattopadhyay</t>
        </is>
      </c>
      <c r="D195" s="3" t="inlineStr">
        <is>
          <t>CA</t>
        </is>
      </c>
      <c r="E195" s="14" t="n">
        <v>665000</v>
      </c>
      <c r="F195" s="14" t="n">
        <v>9322.290000000001</v>
      </c>
      <c r="G195" s="14" t="n">
        <v>1165.29</v>
      </c>
      <c r="H195" s="14" t="n">
        <v>1165.29</v>
      </c>
      <c r="I195" s="14">
        <f>SUM(K195:T195)</f>
        <v/>
      </c>
      <c r="J195" s="14">
        <f>F195-(G195+H195+I195)</f>
        <v/>
      </c>
      <c r="K195" s="14" t="n">
        <v>699.17</v>
      </c>
      <c r="L195" s="14" t="n">
        <v>699.17</v>
      </c>
      <c r="M195" s="14" t="n">
        <v>699.17</v>
      </c>
      <c r="N195" s="14" t="n">
        <v>699.17</v>
      </c>
      <c r="O195" s="14" t="n">
        <v>699.17</v>
      </c>
      <c r="P195" s="14" t="n">
        <v>699.17</v>
      </c>
      <c r="Q195" s="14" t="n">
        <v>699.17</v>
      </c>
      <c r="R195" s="14" t="n">
        <v>699.17</v>
      </c>
      <c r="S195" s="14" t="n">
        <v>699.17</v>
      </c>
      <c r="T195" s="14" t="n">
        <v>699.17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CANON-202603-004732</t>
        </is>
      </c>
      <c r="B196" s="15" t="inlineStr">
        <is>
          <t>2026-03-31</t>
        </is>
      </c>
      <c r="C196" s="15" t="inlineStr">
        <is>
          <t>Fitzgerald Harrington</t>
        </is>
      </c>
      <c r="D196" s="15" t="inlineStr">
        <is>
          <t>ND</t>
        </is>
      </c>
      <c r="E196" s="16" t="n">
        <v>755000</v>
      </c>
      <c r="F196" s="16" t="n">
        <v>5290.16</v>
      </c>
      <c r="G196" s="16" t="n">
        <v>661.27</v>
      </c>
      <c r="H196" s="16" t="n">
        <v>661.27</v>
      </c>
      <c r="I196" s="16">
        <f>SUM(K196:T196)</f>
        <v/>
      </c>
      <c r="J196" s="16">
        <f>F196-(G196+H196+I196)</f>
        <v/>
      </c>
      <c r="K196" s="16" t="n">
        <v>396.76</v>
      </c>
      <c r="L196" s="16" t="n">
        <v>396.76</v>
      </c>
      <c r="M196" s="16" t="n">
        <v>396.76</v>
      </c>
      <c r="N196" s="16" t="n">
        <v>396.76</v>
      </c>
      <c r="O196" s="16" t="n">
        <v>396.76</v>
      </c>
      <c r="P196" s="16" t="n">
        <v>396.76</v>
      </c>
      <c r="Q196" s="16" t="n">
        <v>396.76</v>
      </c>
      <c r="R196" s="16" t="n">
        <v>396.76</v>
      </c>
      <c r="S196" s="16" t="n">
        <v>396.76</v>
      </c>
      <c r="T196" s="16" t="n">
        <v>396.76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CANON-202603-004733</t>
        </is>
      </c>
      <c r="B197" s="3" t="inlineStr">
        <is>
          <t>2026-03-29</t>
        </is>
      </c>
      <c r="C197" s="3" t="inlineStr">
        <is>
          <t>Delphine Castellanos</t>
        </is>
      </c>
      <c r="D197" s="3" t="inlineStr">
        <is>
          <t>OH</t>
        </is>
      </c>
      <c r="E197" s="14" t="n">
        <v>965000</v>
      </c>
      <c r="F197" s="14" t="n">
        <v>20357.27</v>
      </c>
      <c r="G197" s="14" t="n">
        <v>2544.66</v>
      </c>
      <c r="H197" s="14" t="n">
        <v>2544.66</v>
      </c>
      <c r="I197" s="14">
        <f>SUM(K197:T197)</f>
        <v/>
      </c>
      <c r="J197" s="14">
        <f>F197-(G197+H197+I197)</f>
        <v/>
      </c>
      <c r="K197" s="14" t="n">
        <v>1526.8</v>
      </c>
      <c r="L197" s="14" t="n">
        <v>1526.8</v>
      </c>
      <c r="M197" s="14" t="n">
        <v>1526.8</v>
      </c>
      <c r="N197" s="14" t="n">
        <v>1526.8</v>
      </c>
      <c r="O197" s="14" t="n">
        <v>1526.8</v>
      </c>
      <c r="P197" s="14" t="n">
        <v>1526.8</v>
      </c>
      <c r="Q197" s="14" t="n">
        <v>1526.8</v>
      </c>
      <c r="R197" s="14" t="n">
        <v>1526.8</v>
      </c>
      <c r="S197" s="14" t="n">
        <v>1526.8</v>
      </c>
      <c r="T197" s="14" t="n">
        <v>1526.8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CANON-202603-004734</t>
        </is>
      </c>
      <c r="B198" s="15" t="inlineStr">
        <is>
          <t>2026-03-12</t>
        </is>
      </c>
      <c r="C198" s="15" t="inlineStr">
        <is>
          <t>Callum Blackwood</t>
        </is>
      </c>
      <c r="D198" s="15" t="inlineStr">
        <is>
          <t>IL</t>
        </is>
      </c>
      <c r="E198" s="16" t="n">
        <v>350000</v>
      </c>
      <c r="F198" s="16" t="n">
        <v>3650.07</v>
      </c>
      <c r="G198" s="16" t="n">
        <v>456.26</v>
      </c>
      <c r="H198" s="16" t="n">
        <v>456.26</v>
      </c>
      <c r="I198" s="16">
        <f>SUM(K198:T198)</f>
        <v/>
      </c>
      <c r="J198" s="16">
        <f>F198-(G198+H198+I198)</f>
        <v/>
      </c>
      <c r="K198" s="16" t="n">
        <v>273.76</v>
      </c>
      <c r="L198" s="16" t="n">
        <v>273.76</v>
      </c>
      <c r="M198" s="16" t="n">
        <v>273.76</v>
      </c>
      <c r="N198" s="16" t="n">
        <v>273.76</v>
      </c>
      <c r="O198" s="16" t="n">
        <v>273.76</v>
      </c>
      <c r="P198" s="16" t="n">
        <v>273.76</v>
      </c>
      <c r="Q198" s="16" t="n">
        <v>273.76</v>
      </c>
      <c r="R198" s="16" t="n">
        <v>273.76</v>
      </c>
      <c r="S198" s="16" t="n">
        <v>273.76</v>
      </c>
      <c r="T198" s="16" t="n">
        <v>273.76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CANON-202603-004736</t>
        </is>
      </c>
      <c r="B199" s="3" t="inlineStr">
        <is>
          <t>2026-03-12</t>
        </is>
      </c>
      <c r="C199" s="3" t="inlineStr">
        <is>
          <t>Sunniva Okonkwo</t>
        </is>
      </c>
      <c r="D199" s="3" t="inlineStr">
        <is>
          <t>PA</t>
        </is>
      </c>
      <c r="E199" s="14" t="n">
        <v>365000</v>
      </c>
      <c r="F199" s="14" t="n">
        <v>4373.28</v>
      </c>
      <c r="G199" s="14" t="n">
        <v>546.66</v>
      </c>
      <c r="H199" s="14" t="n">
        <v>546.66</v>
      </c>
      <c r="I199" s="14">
        <f>SUM(K199:T199)</f>
        <v/>
      </c>
      <c r="J199" s="14">
        <f>F199-(G199+H199+I199)</f>
        <v/>
      </c>
      <c r="K199" s="14" t="n">
        <v>328</v>
      </c>
      <c r="L199" s="14" t="n">
        <v>328</v>
      </c>
      <c r="M199" s="14" t="n">
        <v>328</v>
      </c>
      <c r="N199" s="14" t="n">
        <v>328</v>
      </c>
      <c r="O199" s="14" t="n">
        <v>328</v>
      </c>
      <c r="P199" s="14" t="n">
        <v>328</v>
      </c>
      <c r="Q199" s="14" t="n">
        <v>328</v>
      </c>
      <c r="R199" s="14" t="n">
        <v>328</v>
      </c>
      <c r="S199" s="14" t="n">
        <v>328</v>
      </c>
      <c r="T199" s="14" t="n">
        <v>328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CANON-202603-004737</t>
        </is>
      </c>
      <c r="B200" s="15" t="inlineStr">
        <is>
          <t>2026-03-18</t>
        </is>
      </c>
      <c r="C200" s="15" t="inlineStr">
        <is>
          <t>Mireille Fairweather</t>
        </is>
      </c>
      <c r="D200" s="15" t="inlineStr">
        <is>
          <t>CA</t>
        </is>
      </c>
      <c r="E200" s="16" t="n">
        <v>610000</v>
      </c>
      <c r="F200" s="16" t="n">
        <v>5657</v>
      </c>
      <c r="G200" s="16" t="n">
        <v>707.12</v>
      </c>
      <c r="H200" s="16" t="n">
        <v>707.12</v>
      </c>
      <c r="I200" s="16">
        <f>SUM(K200:T200)</f>
        <v/>
      </c>
      <c r="J200" s="16">
        <f>F200-(G200+H200+I200)</f>
        <v/>
      </c>
      <c r="K200" s="16" t="n">
        <v>424.27</v>
      </c>
      <c r="L200" s="16" t="n">
        <v>424.27</v>
      </c>
      <c r="M200" s="16" t="n">
        <v>424.27</v>
      </c>
      <c r="N200" s="16" t="n">
        <v>424.27</v>
      </c>
      <c r="O200" s="16" t="n">
        <v>424.27</v>
      </c>
      <c r="P200" s="16" t="n">
        <v>424.27</v>
      </c>
      <c r="Q200" s="16" t="n">
        <v>424.27</v>
      </c>
      <c r="R200" s="16" t="n">
        <v>424.27</v>
      </c>
      <c r="S200" s="16" t="n">
        <v>424.27</v>
      </c>
      <c r="T200" s="16" t="n">
        <v>424.27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CANON-202603-004738</t>
        </is>
      </c>
      <c r="B201" s="3" t="inlineStr">
        <is>
          <t>2026-03-28</t>
        </is>
      </c>
      <c r="C201" s="3" t="inlineStr">
        <is>
          <t>Thaddeus Delacroix</t>
        </is>
      </c>
      <c r="D201" s="3" t="inlineStr">
        <is>
          <t>SC</t>
        </is>
      </c>
      <c r="E201" s="14" t="n">
        <v>775000</v>
      </c>
      <c r="F201" s="14" t="n">
        <v>9979.08</v>
      </c>
      <c r="G201" s="14" t="n">
        <v>1247.38</v>
      </c>
      <c r="H201" s="14" t="n">
        <v>1247.38</v>
      </c>
      <c r="I201" s="14">
        <f>SUM(K201:T201)</f>
        <v/>
      </c>
      <c r="J201" s="14">
        <f>F201-(G201+H201+I201)</f>
        <v/>
      </c>
      <c r="K201" s="14" t="n">
        <v>748.4299999999999</v>
      </c>
      <c r="L201" s="14" t="n">
        <v>748.4299999999999</v>
      </c>
      <c r="M201" s="14" t="n">
        <v>748.4299999999999</v>
      </c>
      <c r="N201" s="14" t="n">
        <v>748.4299999999999</v>
      </c>
      <c r="O201" s="14" t="n">
        <v>748.4299999999999</v>
      </c>
      <c r="P201" s="14" t="n">
        <v>748.4299999999999</v>
      </c>
      <c r="Q201" s="14" t="n">
        <v>748.4299999999999</v>
      </c>
      <c r="R201" s="14" t="n">
        <v>748.4299999999999</v>
      </c>
      <c r="S201" s="14" t="n">
        <v>748.4299999999999</v>
      </c>
      <c r="T201" s="14" t="n">
        <v>748.4299999999999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CANON-202603-004739</t>
        </is>
      </c>
      <c r="B202" s="15" t="inlineStr">
        <is>
          <t>2026-03-10</t>
        </is>
      </c>
      <c r="C202" s="15" t="inlineStr">
        <is>
          <t>Sunniva Kingsford</t>
        </is>
      </c>
      <c r="D202" s="15" t="inlineStr">
        <is>
          <t>NY</t>
        </is>
      </c>
      <c r="E202" s="16" t="n">
        <v>1405000</v>
      </c>
      <c r="F202" s="16" t="n">
        <v>9768.299999999999</v>
      </c>
      <c r="G202" s="16" t="n">
        <v>1221.04</v>
      </c>
      <c r="H202" s="16" t="n">
        <v>1221.04</v>
      </c>
      <c r="I202" s="16">
        <f>SUM(K202:T202)</f>
        <v/>
      </c>
      <c r="J202" s="16">
        <f>F202-(G202+H202+I202)</f>
        <v/>
      </c>
      <c r="K202" s="16" t="n">
        <v>732.62</v>
      </c>
      <c r="L202" s="16" t="n">
        <v>732.62</v>
      </c>
      <c r="M202" s="16" t="n">
        <v>732.62</v>
      </c>
      <c r="N202" s="16" t="n">
        <v>732.62</v>
      </c>
      <c r="O202" s="16" t="n">
        <v>732.62</v>
      </c>
      <c r="P202" s="16" t="n">
        <v>732.62</v>
      </c>
      <c r="Q202" s="16" t="n">
        <v>732.62</v>
      </c>
      <c r="R202" s="16" t="n">
        <v>732.62</v>
      </c>
      <c r="S202" s="16" t="n">
        <v>732.62</v>
      </c>
      <c r="T202" s="16" t="n">
        <v>732.62</v>
      </c>
      <c r="U202" s="16" t="n">
        <v>350</v>
      </c>
      <c r="V202" s="16" t="n">
        <v>250</v>
      </c>
      <c r="W202" s="16">
        <f>U202+V202</f>
        <v/>
      </c>
    </row>
    <row r="203">
      <c r="A203" s="3" t="inlineStr">
        <is>
          <t>CANON-202603-004740</t>
        </is>
      </c>
      <c r="B203" s="3" t="inlineStr">
        <is>
          <t>2026-03-05</t>
        </is>
      </c>
      <c r="C203" s="3" t="inlineStr">
        <is>
          <t>Everett Harrington</t>
        </is>
      </c>
      <c r="D203" s="3" t="inlineStr">
        <is>
          <t>RI</t>
        </is>
      </c>
      <c r="E203" s="14" t="n">
        <v>375000</v>
      </c>
      <c r="F203" s="14" t="n">
        <v>6155.55</v>
      </c>
      <c r="G203" s="14" t="n">
        <v>769.4400000000001</v>
      </c>
      <c r="H203" s="14" t="n">
        <v>769.4400000000001</v>
      </c>
      <c r="I203" s="14">
        <f>SUM(K203:T203)</f>
        <v/>
      </c>
      <c r="J203" s="14">
        <f>F203-(G203+H203+I203)</f>
        <v/>
      </c>
      <c r="K203" s="14" t="n">
        <v>461.67</v>
      </c>
      <c r="L203" s="14" t="n">
        <v>461.67</v>
      </c>
      <c r="M203" s="14" t="n">
        <v>461.67</v>
      </c>
      <c r="N203" s="14" t="n">
        <v>461.67</v>
      </c>
      <c r="O203" s="14" t="n">
        <v>461.67</v>
      </c>
      <c r="P203" s="14" t="n">
        <v>461.67</v>
      </c>
      <c r="Q203" s="14" t="n">
        <v>461.67</v>
      </c>
      <c r="R203" s="14" t="n">
        <v>461.67</v>
      </c>
      <c r="S203" s="14" t="n">
        <v>461.67</v>
      </c>
      <c r="T203" s="14" t="n">
        <v>461.67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CANON-202603-004741</t>
        </is>
      </c>
      <c r="B204" s="15" t="inlineStr">
        <is>
          <t>2026-03-25</t>
        </is>
      </c>
      <c r="C204" s="15" t="inlineStr">
        <is>
          <t>Ottilie Ashcombe</t>
        </is>
      </c>
      <c r="D204" s="15" t="inlineStr">
        <is>
          <t>MS</t>
        </is>
      </c>
      <c r="E204" s="16" t="n">
        <v>855000</v>
      </c>
      <c r="F204" s="16" t="n">
        <v>10565.26</v>
      </c>
      <c r="G204" s="16" t="n">
        <v>1320.66</v>
      </c>
      <c r="H204" s="16" t="n">
        <v>1320.66</v>
      </c>
      <c r="I204" s="16">
        <f>SUM(K204:T204)</f>
        <v/>
      </c>
      <c r="J204" s="16">
        <f>F204-(G204+H204+I204)</f>
        <v/>
      </c>
      <c r="K204" s="16" t="n">
        <v>792.39</v>
      </c>
      <c r="L204" s="16" t="n">
        <v>792.39</v>
      </c>
      <c r="M204" s="16" t="n">
        <v>792.39</v>
      </c>
      <c r="N204" s="16" t="n">
        <v>792.39</v>
      </c>
      <c r="O204" s="16" t="n">
        <v>792.39</v>
      </c>
      <c r="P204" s="16" t="n">
        <v>792.39</v>
      </c>
      <c r="Q204" s="16" t="n">
        <v>792.39</v>
      </c>
      <c r="R204" s="16" t="n">
        <v>792.39</v>
      </c>
      <c r="S204" s="16" t="n">
        <v>792.39</v>
      </c>
      <c r="T204" s="16" t="n">
        <v>792.39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CANON-202603-004742</t>
        </is>
      </c>
      <c r="B205" s="3" t="inlineStr">
        <is>
          <t>2026-03-25</t>
        </is>
      </c>
      <c r="C205" s="3" t="inlineStr">
        <is>
          <t>Wilhelmina Montoya</t>
        </is>
      </c>
      <c r="D205" s="3" t="inlineStr">
        <is>
          <t>AK</t>
        </is>
      </c>
      <c r="E205" s="14" t="n">
        <v>450000</v>
      </c>
      <c r="F205" s="14" t="n">
        <v>6146.56</v>
      </c>
      <c r="G205" s="14" t="n">
        <v>768.3200000000001</v>
      </c>
      <c r="H205" s="14" t="n">
        <v>768.3200000000001</v>
      </c>
      <c r="I205" s="14">
        <f>SUM(K205:T205)</f>
        <v/>
      </c>
      <c r="J205" s="14">
        <f>F205-(G205+H205+I205)</f>
        <v/>
      </c>
      <c r="K205" s="14" t="n">
        <v>460.99</v>
      </c>
      <c r="L205" s="14" t="n">
        <v>460.99</v>
      </c>
      <c r="M205" s="14" t="n">
        <v>460.99</v>
      </c>
      <c r="N205" s="14" t="n">
        <v>460.99</v>
      </c>
      <c r="O205" s="14" t="n">
        <v>460.99</v>
      </c>
      <c r="P205" s="14" t="n">
        <v>460.99</v>
      </c>
      <c r="Q205" s="14" t="n">
        <v>460.99</v>
      </c>
      <c r="R205" s="14" t="n">
        <v>460.99</v>
      </c>
      <c r="S205" s="14" t="n">
        <v>460.99</v>
      </c>
      <c r="T205" s="14" t="n">
        <v>460.99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CANON-202603-004743</t>
        </is>
      </c>
      <c r="B206" s="15" t="inlineStr">
        <is>
          <t>2026-03-26</t>
        </is>
      </c>
      <c r="C206" s="15" t="inlineStr">
        <is>
          <t>Ramona Harrington</t>
        </is>
      </c>
      <c r="D206" s="15" t="inlineStr">
        <is>
          <t>CO</t>
        </is>
      </c>
      <c r="E206" s="16" t="n">
        <v>660000</v>
      </c>
      <c r="F206" s="16" t="n">
        <v>7538.82</v>
      </c>
      <c r="G206" s="16" t="n">
        <v>942.35</v>
      </c>
      <c r="H206" s="16" t="n">
        <v>942.35</v>
      </c>
      <c r="I206" s="16">
        <f>SUM(K206:T206)</f>
        <v/>
      </c>
      <c r="J206" s="16">
        <f>F206-(G206+H206+I206)</f>
        <v/>
      </c>
      <c r="K206" s="16" t="n">
        <v>565.41</v>
      </c>
      <c r="L206" s="16" t="n">
        <v>565.41</v>
      </c>
      <c r="M206" s="16" t="n">
        <v>565.41</v>
      </c>
      <c r="N206" s="16" t="n">
        <v>565.41</v>
      </c>
      <c r="O206" s="16" t="n">
        <v>565.41</v>
      </c>
      <c r="P206" s="16" t="n">
        <v>565.41</v>
      </c>
      <c r="Q206" s="16" t="n">
        <v>565.41</v>
      </c>
      <c r="R206" s="16" t="n">
        <v>565.41</v>
      </c>
      <c r="S206" s="16" t="n">
        <v>565.41</v>
      </c>
      <c r="T206" s="16" t="n">
        <v>565.41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CANON-202603-004746</t>
        </is>
      </c>
      <c r="B207" s="3" t="inlineStr">
        <is>
          <t>2026-03-15</t>
        </is>
      </c>
      <c r="C207" s="3" t="inlineStr">
        <is>
          <t>Callum Pennington</t>
        </is>
      </c>
      <c r="D207" s="3" t="inlineStr">
        <is>
          <t>NJ</t>
        </is>
      </c>
      <c r="E207" s="14" t="n">
        <v>815000</v>
      </c>
      <c r="F207" s="14" t="n">
        <v>7701.34</v>
      </c>
      <c r="G207" s="14" t="n">
        <v>962.67</v>
      </c>
      <c r="H207" s="14" t="n">
        <v>962.67</v>
      </c>
      <c r="I207" s="14">
        <f>SUM(K207:T207)</f>
        <v/>
      </c>
      <c r="J207" s="14">
        <f>F207-(G207+H207+I207)</f>
        <v/>
      </c>
      <c r="K207" s="14" t="n">
        <v>577.6</v>
      </c>
      <c r="L207" s="14" t="n">
        <v>577.6</v>
      </c>
      <c r="M207" s="14" t="n">
        <v>577.6</v>
      </c>
      <c r="N207" s="14" t="n">
        <v>577.6</v>
      </c>
      <c r="O207" s="14" t="n">
        <v>577.6</v>
      </c>
      <c r="P207" s="14" t="n">
        <v>577.6</v>
      </c>
      <c r="Q207" s="14" t="n">
        <v>577.6</v>
      </c>
      <c r="R207" s="14" t="n">
        <v>577.6</v>
      </c>
      <c r="S207" s="14" t="n">
        <v>577.6</v>
      </c>
      <c r="T207" s="14" t="n">
        <v>577.6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CANON-202603-004747</t>
        </is>
      </c>
      <c r="B208" s="15" t="inlineStr">
        <is>
          <t>2026-03-07</t>
        </is>
      </c>
      <c r="C208" s="15" t="inlineStr">
        <is>
          <t>Sunniva Nakashima</t>
        </is>
      </c>
      <c r="D208" s="15" t="inlineStr">
        <is>
          <t>PA</t>
        </is>
      </c>
      <c r="E208" s="16" t="n">
        <v>1595000</v>
      </c>
      <c r="F208" s="16" t="n">
        <v>14014.49</v>
      </c>
      <c r="G208" s="16" t="n">
        <v>1751.81</v>
      </c>
      <c r="H208" s="16" t="n">
        <v>1751.81</v>
      </c>
      <c r="I208" s="16">
        <f>SUM(K208:T208)</f>
        <v/>
      </c>
      <c r="J208" s="16">
        <f>F208-(G208+H208+I208)</f>
        <v/>
      </c>
      <c r="K208" s="16" t="n">
        <v>1051.09</v>
      </c>
      <c r="L208" s="16" t="n">
        <v>1051.09</v>
      </c>
      <c r="M208" s="16" t="n">
        <v>1051.09</v>
      </c>
      <c r="N208" s="16" t="n">
        <v>1051.09</v>
      </c>
      <c r="O208" s="16" t="n">
        <v>1051.09</v>
      </c>
      <c r="P208" s="16" t="n">
        <v>1051.09</v>
      </c>
      <c r="Q208" s="16" t="n">
        <v>1051.09</v>
      </c>
      <c r="R208" s="16" t="n">
        <v>1051.09</v>
      </c>
      <c r="S208" s="16" t="n">
        <v>1051.09</v>
      </c>
      <c r="T208" s="16" t="n">
        <v>1051.09</v>
      </c>
      <c r="U208" s="16" t="n">
        <v>350</v>
      </c>
      <c r="V208" s="16" t="n">
        <v>250</v>
      </c>
      <c r="W208" s="16">
        <f>U208+V208</f>
        <v/>
      </c>
    </row>
    <row r="209">
      <c r="A209" s="3" t="inlineStr">
        <is>
          <t>CANON-202603-004748</t>
        </is>
      </c>
      <c r="B209" s="3" t="inlineStr">
        <is>
          <t>2026-03-31</t>
        </is>
      </c>
      <c r="C209" s="3" t="inlineStr">
        <is>
          <t>Wilhelmina Harrington</t>
        </is>
      </c>
      <c r="D209" s="3" t="inlineStr">
        <is>
          <t>VA</t>
        </is>
      </c>
      <c r="E209" s="14" t="n">
        <v>760000</v>
      </c>
      <c r="F209" s="14" t="n">
        <v>8602.15</v>
      </c>
      <c r="G209" s="14" t="n">
        <v>1075.27</v>
      </c>
      <c r="H209" s="14" t="n">
        <v>1075.27</v>
      </c>
      <c r="I209" s="14">
        <f>SUM(K209:T209)</f>
        <v/>
      </c>
      <c r="J209" s="14">
        <f>F209-(G209+H209+I209)</f>
        <v/>
      </c>
      <c r="K209" s="14" t="n">
        <v>645.16</v>
      </c>
      <c r="L209" s="14" t="n">
        <v>645.16</v>
      </c>
      <c r="M209" s="14" t="n">
        <v>645.16</v>
      </c>
      <c r="N209" s="14" t="n">
        <v>645.16</v>
      </c>
      <c r="O209" s="14" t="n">
        <v>645.16</v>
      </c>
      <c r="P209" s="14" t="n">
        <v>645.16</v>
      </c>
      <c r="Q209" s="14" t="n">
        <v>645.16</v>
      </c>
      <c r="R209" s="14" t="n">
        <v>645.16</v>
      </c>
      <c r="S209" s="14" t="n">
        <v>645.16</v>
      </c>
      <c r="T209" s="14" t="n">
        <v>645.16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CANON-202603-004749</t>
        </is>
      </c>
      <c r="B210" s="15" t="inlineStr">
        <is>
          <t>2026-03-17</t>
        </is>
      </c>
      <c r="C210" s="15" t="inlineStr">
        <is>
          <t>Fitzgerald Blackwood</t>
        </is>
      </c>
      <c r="D210" s="15" t="inlineStr">
        <is>
          <t>DE</t>
        </is>
      </c>
      <c r="E210" s="16" t="n">
        <v>1895000</v>
      </c>
      <c r="F210" s="16" t="n">
        <v>20813.05</v>
      </c>
      <c r="G210" s="16" t="n">
        <v>2601.63</v>
      </c>
      <c r="H210" s="16" t="n">
        <v>2601.63</v>
      </c>
      <c r="I210" s="16">
        <f>SUM(K210:T210)</f>
        <v/>
      </c>
      <c r="J210" s="16">
        <f>F210-(G210+H210+I210)</f>
        <v/>
      </c>
      <c r="K210" s="16" t="n">
        <v>1560.98</v>
      </c>
      <c r="L210" s="16" t="n">
        <v>1560.98</v>
      </c>
      <c r="M210" s="16" t="n">
        <v>1560.98</v>
      </c>
      <c r="N210" s="16" t="n">
        <v>1560.98</v>
      </c>
      <c r="O210" s="16" t="n">
        <v>1560.98</v>
      </c>
      <c r="P210" s="16" t="n">
        <v>1560.98</v>
      </c>
      <c r="Q210" s="16" t="n">
        <v>1560.98</v>
      </c>
      <c r="R210" s="16" t="n">
        <v>1560.98</v>
      </c>
      <c r="S210" s="16" t="n">
        <v>1560.98</v>
      </c>
      <c r="T210" s="16" t="n">
        <v>1560.98</v>
      </c>
      <c r="U210" s="16" t="n">
        <v>350</v>
      </c>
      <c r="V210" s="16" t="n">
        <v>250</v>
      </c>
      <c r="W210" s="16">
        <f>U210+V210</f>
        <v/>
      </c>
    </row>
    <row r="211">
      <c r="A211" s="3" t="inlineStr">
        <is>
          <t>CANON-202603-004750</t>
        </is>
      </c>
      <c r="B211" s="3" t="inlineStr">
        <is>
          <t>2026-03-11</t>
        </is>
      </c>
      <c r="C211" s="3" t="inlineStr">
        <is>
          <t>Beatrix Larsson</t>
        </is>
      </c>
      <c r="D211" s="3" t="inlineStr">
        <is>
          <t>KS</t>
        </is>
      </c>
      <c r="E211" s="14" t="n">
        <v>420000</v>
      </c>
      <c r="F211" s="14" t="n">
        <v>4881.3</v>
      </c>
      <c r="G211" s="14" t="n">
        <v>610.16</v>
      </c>
      <c r="H211" s="14" t="n">
        <v>610.16</v>
      </c>
      <c r="I211" s="14">
        <f>SUM(K211:T211)</f>
        <v/>
      </c>
      <c r="J211" s="14">
        <f>F211-(G211+H211+I211)</f>
        <v/>
      </c>
      <c r="K211" s="14" t="n">
        <v>366.1</v>
      </c>
      <c r="L211" s="14" t="n">
        <v>366.1</v>
      </c>
      <c r="M211" s="14" t="n">
        <v>366.1</v>
      </c>
      <c r="N211" s="14" t="n">
        <v>366.1</v>
      </c>
      <c r="O211" s="14" t="n">
        <v>366.1</v>
      </c>
      <c r="P211" s="14" t="n">
        <v>366.1</v>
      </c>
      <c r="Q211" s="14" t="n">
        <v>366.1</v>
      </c>
      <c r="R211" s="14" t="n">
        <v>366.1</v>
      </c>
      <c r="S211" s="14" t="n">
        <v>366.1</v>
      </c>
      <c r="T211" s="14" t="n">
        <v>366.1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CANON-202603-004753</t>
        </is>
      </c>
      <c r="B212" s="15" t="inlineStr">
        <is>
          <t>2026-03-20</t>
        </is>
      </c>
      <c r="C212" s="15" t="inlineStr">
        <is>
          <t>Anouk Nakashima</t>
        </is>
      </c>
      <c r="D212" s="15" t="inlineStr">
        <is>
          <t>AL</t>
        </is>
      </c>
      <c r="E212" s="16" t="n">
        <v>855000</v>
      </c>
      <c r="F212" s="16" t="n">
        <v>11275.53</v>
      </c>
      <c r="G212" s="16" t="n">
        <v>1409.44</v>
      </c>
      <c r="H212" s="16" t="n">
        <v>1409.44</v>
      </c>
      <c r="I212" s="16">
        <f>SUM(K212:T212)</f>
        <v/>
      </c>
      <c r="J212" s="16">
        <f>F212-(G212+H212+I212)</f>
        <v/>
      </c>
      <c r="K212" s="16" t="n">
        <v>845.66</v>
      </c>
      <c r="L212" s="16" t="n">
        <v>845.66</v>
      </c>
      <c r="M212" s="16" t="n">
        <v>845.66</v>
      </c>
      <c r="N212" s="16" t="n">
        <v>845.66</v>
      </c>
      <c r="O212" s="16" t="n">
        <v>845.66</v>
      </c>
      <c r="P212" s="16" t="n">
        <v>845.66</v>
      </c>
      <c r="Q212" s="16" t="n">
        <v>845.66</v>
      </c>
      <c r="R212" s="16" t="n">
        <v>845.66</v>
      </c>
      <c r="S212" s="16" t="n">
        <v>845.66</v>
      </c>
      <c r="T212" s="16" t="n">
        <v>845.66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CANON-202603-004754</t>
        </is>
      </c>
      <c r="B213" s="3" t="inlineStr">
        <is>
          <t>2026-03-12</t>
        </is>
      </c>
      <c r="C213" s="3" t="inlineStr">
        <is>
          <t>Aurelio Kingsford</t>
        </is>
      </c>
      <c r="D213" s="3" t="inlineStr">
        <is>
          <t>AZ</t>
        </is>
      </c>
      <c r="E213" s="14" t="n">
        <v>545000</v>
      </c>
      <c r="F213" s="14" t="n">
        <v>5715.9</v>
      </c>
      <c r="G213" s="14" t="n">
        <v>714.49</v>
      </c>
      <c r="H213" s="14" t="n">
        <v>714.49</v>
      </c>
      <c r="I213" s="14">
        <f>SUM(K213:T213)</f>
        <v/>
      </c>
      <c r="J213" s="14">
        <f>F213-(G213+H213+I213)</f>
        <v/>
      </c>
      <c r="K213" s="14" t="n">
        <v>428.69</v>
      </c>
      <c r="L213" s="14" t="n">
        <v>428.69</v>
      </c>
      <c r="M213" s="14" t="n">
        <v>428.69</v>
      </c>
      <c r="N213" s="14" t="n">
        <v>428.69</v>
      </c>
      <c r="O213" s="14" t="n">
        <v>428.69</v>
      </c>
      <c r="P213" s="14" t="n">
        <v>428.69</v>
      </c>
      <c r="Q213" s="14" t="n">
        <v>428.69</v>
      </c>
      <c r="R213" s="14" t="n">
        <v>428.69</v>
      </c>
      <c r="S213" s="14" t="n">
        <v>428.69</v>
      </c>
      <c r="T213" s="14" t="n">
        <v>428.69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CANON-202603-004756</t>
        </is>
      </c>
      <c r="B214" s="15" t="inlineStr">
        <is>
          <t>2026-03-19</t>
        </is>
      </c>
      <c r="C214" s="15" t="inlineStr">
        <is>
          <t>Everett Farkas</t>
        </is>
      </c>
      <c r="D214" s="15" t="inlineStr">
        <is>
          <t>MA</t>
        </is>
      </c>
      <c r="E214" s="16" t="n">
        <v>795000</v>
      </c>
      <c r="F214" s="16" t="n">
        <v>10319.16</v>
      </c>
      <c r="G214" s="16" t="n">
        <v>1289.89</v>
      </c>
      <c r="H214" s="16" t="n">
        <v>1289.89</v>
      </c>
      <c r="I214" s="16">
        <f>SUM(K214:T214)</f>
        <v/>
      </c>
      <c r="J214" s="16">
        <f>F214-(G214+H214+I214)</f>
        <v/>
      </c>
      <c r="K214" s="16" t="n">
        <v>773.9400000000001</v>
      </c>
      <c r="L214" s="16" t="n">
        <v>773.9400000000001</v>
      </c>
      <c r="M214" s="16" t="n">
        <v>773.9400000000001</v>
      </c>
      <c r="N214" s="16" t="n">
        <v>773.9400000000001</v>
      </c>
      <c r="O214" s="16" t="n">
        <v>773.9400000000001</v>
      </c>
      <c r="P214" s="16" t="n">
        <v>773.9400000000001</v>
      </c>
      <c r="Q214" s="16" t="n">
        <v>773.9400000000001</v>
      </c>
      <c r="R214" s="16" t="n">
        <v>773.9400000000001</v>
      </c>
      <c r="S214" s="16" t="n">
        <v>773.9400000000001</v>
      </c>
      <c r="T214" s="16" t="n">
        <v>773.9400000000001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CANON-202603-004757</t>
        </is>
      </c>
      <c r="B215" s="3" t="inlineStr">
        <is>
          <t>2026-03-07</t>
        </is>
      </c>
      <c r="C215" s="3" t="inlineStr">
        <is>
          <t>Fenwick Castellanos</t>
        </is>
      </c>
      <c r="D215" s="3" t="inlineStr">
        <is>
          <t>CA</t>
        </is>
      </c>
      <c r="E215" s="14" t="n">
        <v>1535000</v>
      </c>
      <c r="F215" s="14" t="n">
        <v>26484.14</v>
      </c>
      <c r="G215" s="14" t="n">
        <v>3310.52</v>
      </c>
      <c r="H215" s="14" t="n">
        <v>3310.52</v>
      </c>
      <c r="I215" s="14">
        <f>SUM(K215:T215)</f>
        <v/>
      </c>
      <c r="J215" s="14">
        <f>F215-(G215+H215+I215)</f>
        <v/>
      </c>
      <c r="K215" s="14" t="n">
        <v>1986.31</v>
      </c>
      <c r="L215" s="14" t="n">
        <v>1986.31</v>
      </c>
      <c r="M215" s="14" t="n">
        <v>1986.31</v>
      </c>
      <c r="N215" s="14" t="n">
        <v>1986.31</v>
      </c>
      <c r="O215" s="14" t="n">
        <v>1986.31</v>
      </c>
      <c r="P215" s="14" t="n">
        <v>1986.31</v>
      </c>
      <c r="Q215" s="14" t="n">
        <v>1986.31</v>
      </c>
      <c r="R215" s="14" t="n">
        <v>1986.31</v>
      </c>
      <c r="S215" s="14" t="n">
        <v>1986.31</v>
      </c>
      <c r="T215" s="14" t="n">
        <v>1986.31</v>
      </c>
      <c r="U215" s="14" t="n">
        <v>350</v>
      </c>
      <c r="V215" s="14" t="n">
        <v>250</v>
      </c>
      <c r="W215" s="14">
        <f>U215+V215</f>
        <v/>
      </c>
    </row>
    <row r="216">
      <c r="A216" s="15" t="inlineStr">
        <is>
          <t>CANON-202603-004758</t>
        </is>
      </c>
      <c r="B216" s="15" t="inlineStr">
        <is>
          <t>2026-03-31</t>
        </is>
      </c>
      <c r="C216" s="15" t="inlineStr">
        <is>
          <t>Horace Fairweather</t>
        </is>
      </c>
      <c r="D216" s="15" t="inlineStr">
        <is>
          <t>PA</t>
        </is>
      </c>
      <c r="E216" s="16" t="n">
        <v>420000</v>
      </c>
      <c r="F216" s="16" t="n">
        <v>5032.28</v>
      </c>
      <c r="G216" s="16" t="n">
        <v>629.03</v>
      </c>
      <c r="H216" s="16" t="n">
        <v>629.03</v>
      </c>
      <c r="I216" s="16">
        <f>SUM(K216:T216)</f>
        <v/>
      </c>
      <c r="J216" s="16">
        <f>F216-(G216+H216+I216)</f>
        <v/>
      </c>
      <c r="K216" s="16" t="n">
        <v>377.42</v>
      </c>
      <c r="L216" s="16" t="n">
        <v>377.42</v>
      </c>
      <c r="M216" s="16" t="n">
        <v>377.42</v>
      </c>
      <c r="N216" s="16" t="n">
        <v>377.42</v>
      </c>
      <c r="O216" s="16" t="n">
        <v>377.42</v>
      </c>
      <c r="P216" s="16" t="n">
        <v>377.42</v>
      </c>
      <c r="Q216" s="16" t="n">
        <v>377.42</v>
      </c>
      <c r="R216" s="16" t="n">
        <v>377.42</v>
      </c>
      <c r="S216" s="16" t="n">
        <v>377.42</v>
      </c>
      <c r="T216" s="16" t="n">
        <v>377.42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CANON-202603-004759</t>
        </is>
      </c>
      <c r="B217" s="3" t="inlineStr">
        <is>
          <t>2026-03-15</t>
        </is>
      </c>
      <c r="C217" s="3" t="inlineStr">
        <is>
          <t>Thaddeus Castellanos</t>
        </is>
      </c>
      <c r="D217" s="3" t="inlineStr">
        <is>
          <t>MI</t>
        </is>
      </c>
      <c r="E217" s="14" t="n">
        <v>775000</v>
      </c>
      <c r="F217" s="14" t="n">
        <v>8251.93</v>
      </c>
      <c r="G217" s="14" t="n">
        <v>1031.49</v>
      </c>
      <c r="H217" s="14" t="n">
        <v>1031.49</v>
      </c>
      <c r="I217" s="14">
        <f>SUM(K217:T217)</f>
        <v/>
      </c>
      <c r="J217" s="14">
        <f>F217-(G217+H217+I217)</f>
        <v/>
      </c>
      <c r="K217" s="14" t="n">
        <v>618.89</v>
      </c>
      <c r="L217" s="14" t="n">
        <v>618.89</v>
      </c>
      <c r="M217" s="14" t="n">
        <v>618.89</v>
      </c>
      <c r="N217" s="14" t="n">
        <v>618.89</v>
      </c>
      <c r="O217" s="14" t="n">
        <v>618.89</v>
      </c>
      <c r="P217" s="14" t="n">
        <v>618.89</v>
      </c>
      <c r="Q217" s="14" t="n">
        <v>618.89</v>
      </c>
      <c r="R217" s="14" t="n">
        <v>618.89</v>
      </c>
      <c r="S217" s="14" t="n">
        <v>618.89</v>
      </c>
      <c r="T217" s="14" t="n">
        <v>618.89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CANON-202603-004760</t>
        </is>
      </c>
      <c r="B218" s="15" t="inlineStr">
        <is>
          <t>2026-03-17</t>
        </is>
      </c>
      <c r="C218" s="15" t="inlineStr">
        <is>
          <t>Horace Kingsford</t>
        </is>
      </c>
      <c r="D218" s="15" t="inlineStr">
        <is>
          <t>TX</t>
        </is>
      </c>
      <c r="E218" s="16" t="n">
        <v>340000</v>
      </c>
      <c r="F218" s="16" t="n">
        <v>4684.81</v>
      </c>
      <c r="G218" s="16" t="n">
        <v>585.6</v>
      </c>
      <c r="H218" s="16" t="n">
        <v>585.6</v>
      </c>
      <c r="I218" s="16">
        <f>SUM(K218:T218)</f>
        <v/>
      </c>
      <c r="J218" s="16">
        <f>F218-(G218+H218+I218)</f>
        <v/>
      </c>
      <c r="K218" s="16" t="n">
        <v>351.36</v>
      </c>
      <c r="L218" s="16" t="n">
        <v>351.36</v>
      </c>
      <c r="M218" s="16" t="n">
        <v>351.36</v>
      </c>
      <c r="N218" s="16" t="n">
        <v>351.36</v>
      </c>
      <c r="O218" s="16" t="n">
        <v>351.36</v>
      </c>
      <c r="P218" s="16" t="n">
        <v>351.36</v>
      </c>
      <c r="Q218" s="16" t="n">
        <v>351.36</v>
      </c>
      <c r="R218" s="16" t="n">
        <v>351.36</v>
      </c>
      <c r="S218" s="16" t="n">
        <v>351.36</v>
      </c>
      <c r="T218" s="16" t="n">
        <v>351.36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CANON-202603-004761</t>
        </is>
      </c>
      <c r="B219" s="3" t="inlineStr">
        <is>
          <t>2026-03-06</t>
        </is>
      </c>
      <c r="C219" s="3" t="inlineStr">
        <is>
          <t>Lorenzo Chattopadhyay</t>
        </is>
      </c>
      <c r="D219" s="3" t="inlineStr">
        <is>
          <t>CA</t>
        </is>
      </c>
      <c r="E219" s="14" t="n">
        <v>530000</v>
      </c>
      <c r="F219" s="14" t="n">
        <v>7429.79</v>
      </c>
      <c r="G219" s="14" t="n">
        <v>928.72</v>
      </c>
      <c r="H219" s="14" t="n">
        <v>928.72</v>
      </c>
      <c r="I219" s="14">
        <f>SUM(K219:T219)</f>
        <v/>
      </c>
      <c r="J219" s="14">
        <f>F219-(G219+H219+I219)</f>
        <v/>
      </c>
      <c r="K219" s="14" t="n">
        <v>557.23</v>
      </c>
      <c r="L219" s="14" t="n">
        <v>557.23</v>
      </c>
      <c r="M219" s="14" t="n">
        <v>557.23</v>
      </c>
      <c r="N219" s="14" t="n">
        <v>557.23</v>
      </c>
      <c r="O219" s="14" t="n">
        <v>557.23</v>
      </c>
      <c r="P219" s="14" t="n">
        <v>557.23</v>
      </c>
      <c r="Q219" s="14" t="n">
        <v>557.23</v>
      </c>
      <c r="R219" s="14" t="n">
        <v>557.23</v>
      </c>
      <c r="S219" s="14" t="n">
        <v>557.23</v>
      </c>
      <c r="T219" s="14" t="n">
        <v>557.23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CANON-202603-004762</t>
        </is>
      </c>
      <c r="B220" s="15" t="inlineStr">
        <is>
          <t>2026-03-13</t>
        </is>
      </c>
      <c r="C220" s="15" t="inlineStr">
        <is>
          <t>Thaddeus Okonkwo</t>
        </is>
      </c>
      <c r="D220" s="15" t="inlineStr">
        <is>
          <t>RI</t>
        </is>
      </c>
      <c r="E220" s="16" t="n">
        <v>365000</v>
      </c>
      <c r="F220" s="16" t="n">
        <v>5991.4</v>
      </c>
      <c r="G220" s="16" t="n">
        <v>748.92</v>
      </c>
      <c r="H220" s="16" t="n">
        <v>748.92</v>
      </c>
      <c r="I220" s="16">
        <f>SUM(K220:T220)</f>
        <v/>
      </c>
      <c r="J220" s="16">
        <f>F220-(G220+H220+I220)</f>
        <v/>
      </c>
      <c r="K220" s="16" t="n">
        <v>449.35</v>
      </c>
      <c r="L220" s="16" t="n">
        <v>449.35</v>
      </c>
      <c r="M220" s="16" t="n">
        <v>449.35</v>
      </c>
      <c r="N220" s="16" t="n">
        <v>449.35</v>
      </c>
      <c r="O220" s="16" t="n">
        <v>449.35</v>
      </c>
      <c r="P220" s="16" t="n">
        <v>449.35</v>
      </c>
      <c r="Q220" s="16" t="n">
        <v>449.35</v>
      </c>
      <c r="R220" s="16" t="n">
        <v>449.35</v>
      </c>
      <c r="S220" s="16" t="n">
        <v>449.35</v>
      </c>
      <c r="T220" s="16" t="n">
        <v>449.35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CANON-202603-004763</t>
        </is>
      </c>
      <c r="B221" s="3" t="inlineStr">
        <is>
          <t>2026-03-05</t>
        </is>
      </c>
      <c r="C221" s="3" t="inlineStr">
        <is>
          <t>Sunniva Larsson</t>
        </is>
      </c>
      <c r="D221" s="3" t="inlineStr">
        <is>
          <t>AL</t>
        </is>
      </c>
      <c r="E221" s="14" t="n">
        <v>735000</v>
      </c>
      <c r="F221" s="14" t="n">
        <v>6412.29</v>
      </c>
      <c r="G221" s="14" t="n">
        <v>801.54</v>
      </c>
      <c r="H221" s="14" t="n">
        <v>801.54</v>
      </c>
      <c r="I221" s="14">
        <f>SUM(K221:T221)</f>
        <v/>
      </c>
      <c r="J221" s="14">
        <f>F221-(G221+H221+I221)</f>
        <v/>
      </c>
      <c r="K221" s="14" t="n">
        <v>480.92</v>
      </c>
      <c r="L221" s="14" t="n">
        <v>480.92</v>
      </c>
      <c r="M221" s="14" t="n">
        <v>480.92</v>
      </c>
      <c r="N221" s="14" t="n">
        <v>480.92</v>
      </c>
      <c r="O221" s="14" t="n">
        <v>480.92</v>
      </c>
      <c r="P221" s="14" t="n">
        <v>480.92</v>
      </c>
      <c r="Q221" s="14" t="n">
        <v>480.92</v>
      </c>
      <c r="R221" s="14" t="n">
        <v>480.92</v>
      </c>
      <c r="S221" s="14" t="n">
        <v>480.92</v>
      </c>
      <c r="T221" s="14" t="n">
        <v>480.92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CANON-202603-004764</t>
        </is>
      </c>
      <c r="B222" s="15" t="inlineStr">
        <is>
          <t>2026-03-18</t>
        </is>
      </c>
      <c r="C222" s="15" t="inlineStr">
        <is>
          <t>Noor Pennington</t>
        </is>
      </c>
      <c r="D222" s="15" t="inlineStr">
        <is>
          <t>TX</t>
        </is>
      </c>
      <c r="E222" s="16" t="n">
        <v>710000</v>
      </c>
      <c r="F222" s="16" t="n">
        <v>8478.58</v>
      </c>
      <c r="G222" s="16" t="n">
        <v>1059.82</v>
      </c>
      <c r="H222" s="16" t="n">
        <v>1059.82</v>
      </c>
      <c r="I222" s="16">
        <f>SUM(K222:T222)</f>
        <v/>
      </c>
      <c r="J222" s="16">
        <f>F222-(G222+H222+I222)</f>
        <v/>
      </c>
      <c r="K222" s="16" t="n">
        <v>635.89</v>
      </c>
      <c r="L222" s="16" t="n">
        <v>635.89</v>
      </c>
      <c r="M222" s="16" t="n">
        <v>635.89</v>
      </c>
      <c r="N222" s="16" t="n">
        <v>635.89</v>
      </c>
      <c r="O222" s="16" t="n">
        <v>635.89</v>
      </c>
      <c r="P222" s="16" t="n">
        <v>635.89</v>
      </c>
      <c r="Q222" s="16" t="n">
        <v>635.89</v>
      </c>
      <c r="R222" s="16" t="n">
        <v>635.89</v>
      </c>
      <c r="S222" s="16" t="n">
        <v>635.89</v>
      </c>
      <c r="T222" s="16" t="n">
        <v>635.89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CANON-202603-004765</t>
        </is>
      </c>
      <c r="B223" s="3" t="inlineStr">
        <is>
          <t>2026-03-13</t>
        </is>
      </c>
      <c r="C223" s="3" t="inlineStr">
        <is>
          <t>Cassius Underwood</t>
        </is>
      </c>
      <c r="D223" s="3" t="inlineStr">
        <is>
          <t>MN</t>
        </is>
      </c>
      <c r="E223" s="14" t="n">
        <v>910000</v>
      </c>
      <c r="F223" s="14" t="n">
        <v>12473.33</v>
      </c>
      <c r="G223" s="14" t="n">
        <v>1559.17</v>
      </c>
      <c r="H223" s="14" t="n">
        <v>1559.17</v>
      </c>
      <c r="I223" s="14">
        <f>SUM(K223:T223)</f>
        <v/>
      </c>
      <c r="J223" s="14">
        <f>F223-(G223+H223+I223)</f>
        <v/>
      </c>
      <c r="K223" s="14" t="n">
        <v>935.5</v>
      </c>
      <c r="L223" s="14" t="n">
        <v>935.5</v>
      </c>
      <c r="M223" s="14" t="n">
        <v>935.5</v>
      </c>
      <c r="N223" s="14" t="n">
        <v>935.5</v>
      </c>
      <c r="O223" s="14" t="n">
        <v>935.5</v>
      </c>
      <c r="P223" s="14" t="n">
        <v>935.5</v>
      </c>
      <c r="Q223" s="14" t="n">
        <v>935.5</v>
      </c>
      <c r="R223" s="14" t="n">
        <v>935.5</v>
      </c>
      <c r="S223" s="14" t="n">
        <v>935.5</v>
      </c>
      <c r="T223" s="14" t="n">
        <v>935.5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CANON-202603-004766</t>
        </is>
      </c>
      <c r="B224" s="15" t="inlineStr">
        <is>
          <t>2026-03-14</t>
        </is>
      </c>
      <c r="C224" s="15" t="inlineStr">
        <is>
          <t>Priya Nakashima</t>
        </is>
      </c>
      <c r="D224" s="15" t="inlineStr">
        <is>
          <t>AZ</t>
        </is>
      </c>
      <c r="E224" s="16" t="n">
        <v>265000</v>
      </c>
      <c r="F224" s="16" t="n">
        <v>3206.88</v>
      </c>
      <c r="G224" s="16" t="n">
        <v>400.86</v>
      </c>
      <c r="H224" s="16" t="n">
        <v>400.86</v>
      </c>
      <c r="I224" s="16">
        <f>SUM(K224:T224)</f>
        <v/>
      </c>
      <c r="J224" s="16">
        <f>F224-(G224+H224+I224)</f>
        <v/>
      </c>
      <c r="K224" s="16" t="n">
        <v>240.52</v>
      </c>
      <c r="L224" s="16" t="n">
        <v>240.52</v>
      </c>
      <c r="M224" s="16" t="n">
        <v>240.52</v>
      </c>
      <c r="N224" s="16" t="n">
        <v>240.52</v>
      </c>
      <c r="O224" s="16" t="n">
        <v>240.52</v>
      </c>
      <c r="P224" s="16" t="n">
        <v>240.52</v>
      </c>
      <c r="Q224" s="16" t="n">
        <v>240.52</v>
      </c>
      <c r="R224" s="16" t="n">
        <v>240.52</v>
      </c>
      <c r="S224" s="16" t="n">
        <v>240.52</v>
      </c>
      <c r="T224" s="16" t="n">
        <v>240.52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CANON-202603-004767</t>
        </is>
      </c>
      <c r="B225" s="3" t="inlineStr">
        <is>
          <t>2026-03-26</t>
        </is>
      </c>
      <c r="C225" s="3" t="inlineStr">
        <is>
          <t>Thaddeus Vandermeer</t>
        </is>
      </c>
      <c r="D225" s="3" t="inlineStr">
        <is>
          <t>NV</t>
        </is>
      </c>
      <c r="E225" s="14" t="n">
        <v>840000</v>
      </c>
      <c r="F225" s="14" t="n">
        <v>10205.45</v>
      </c>
      <c r="G225" s="14" t="n">
        <v>1275.68</v>
      </c>
      <c r="H225" s="14" t="n">
        <v>1275.68</v>
      </c>
      <c r="I225" s="14">
        <f>SUM(K225:T225)</f>
        <v/>
      </c>
      <c r="J225" s="14">
        <f>F225-(G225+H225+I225)</f>
        <v/>
      </c>
      <c r="K225" s="14" t="n">
        <v>765.41</v>
      </c>
      <c r="L225" s="14" t="n">
        <v>765.41</v>
      </c>
      <c r="M225" s="14" t="n">
        <v>765.41</v>
      </c>
      <c r="N225" s="14" t="n">
        <v>765.41</v>
      </c>
      <c r="O225" s="14" t="n">
        <v>765.41</v>
      </c>
      <c r="P225" s="14" t="n">
        <v>765.41</v>
      </c>
      <c r="Q225" s="14" t="n">
        <v>765.41</v>
      </c>
      <c r="R225" s="14" t="n">
        <v>765.41</v>
      </c>
      <c r="S225" s="14" t="n">
        <v>765.41</v>
      </c>
      <c r="T225" s="14" t="n">
        <v>765.41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CANON-202603-004771</t>
        </is>
      </c>
      <c r="B226" s="15" t="inlineStr">
        <is>
          <t>2026-03-24</t>
        </is>
      </c>
      <c r="C226" s="15" t="inlineStr">
        <is>
          <t>Callum Kingsford</t>
        </is>
      </c>
      <c r="D226" s="15" t="inlineStr">
        <is>
          <t>SD</t>
        </is>
      </c>
      <c r="E226" s="16" t="n">
        <v>670000</v>
      </c>
      <c r="F226" s="16" t="n">
        <v>11286.91</v>
      </c>
      <c r="G226" s="16" t="n">
        <v>1410.86</v>
      </c>
      <c r="H226" s="16" t="n">
        <v>1410.86</v>
      </c>
      <c r="I226" s="16">
        <f>SUM(K226:T226)</f>
        <v/>
      </c>
      <c r="J226" s="16">
        <f>F226-(G226+H226+I226)</f>
        <v/>
      </c>
      <c r="K226" s="16" t="n">
        <v>846.52</v>
      </c>
      <c r="L226" s="16" t="n">
        <v>846.52</v>
      </c>
      <c r="M226" s="16" t="n">
        <v>846.52</v>
      </c>
      <c r="N226" s="16" t="n">
        <v>846.52</v>
      </c>
      <c r="O226" s="16" t="n">
        <v>846.52</v>
      </c>
      <c r="P226" s="16" t="n">
        <v>846.52</v>
      </c>
      <c r="Q226" s="16" t="n">
        <v>846.52</v>
      </c>
      <c r="R226" s="16" t="n">
        <v>846.52</v>
      </c>
      <c r="S226" s="16" t="n">
        <v>846.52</v>
      </c>
      <c r="T226" s="16" t="n">
        <v>846.52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CANON-202603-004772</t>
        </is>
      </c>
      <c r="B227" s="3" t="inlineStr">
        <is>
          <t>2026-03-02</t>
        </is>
      </c>
      <c r="C227" s="3" t="inlineStr">
        <is>
          <t>Ottilie Vandermeer</t>
        </is>
      </c>
      <c r="D227" s="3" t="inlineStr">
        <is>
          <t>NH</t>
        </is>
      </c>
      <c r="E227" s="14" t="n">
        <v>230000</v>
      </c>
      <c r="F227" s="14" t="n">
        <v>3515.63</v>
      </c>
      <c r="G227" s="14" t="n">
        <v>439.45</v>
      </c>
      <c r="H227" s="14" t="n">
        <v>439.45</v>
      </c>
      <c r="I227" s="14">
        <f>SUM(K227:T227)</f>
        <v/>
      </c>
      <c r="J227" s="14">
        <f>F227-(G227+H227+I227)</f>
        <v/>
      </c>
      <c r="K227" s="14" t="n">
        <v>263.67</v>
      </c>
      <c r="L227" s="14" t="n">
        <v>263.67</v>
      </c>
      <c r="M227" s="14" t="n">
        <v>263.67</v>
      </c>
      <c r="N227" s="14" t="n">
        <v>263.67</v>
      </c>
      <c r="O227" s="14" t="n">
        <v>263.67</v>
      </c>
      <c r="P227" s="14" t="n">
        <v>263.67</v>
      </c>
      <c r="Q227" s="14" t="n">
        <v>263.67</v>
      </c>
      <c r="R227" s="14" t="n">
        <v>263.67</v>
      </c>
      <c r="S227" s="14" t="n">
        <v>263.67</v>
      </c>
      <c r="T227" s="14" t="n">
        <v>263.67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CANON-202603-004773</t>
        </is>
      </c>
      <c r="B228" s="15" t="inlineStr">
        <is>
          <t>2026-03-16</t>
        </is>
      </c>
      <c r="C228" s="15" t="inlineStr">
        <is>
          <t>Ramona Bellandi</t>
        </is>
      </c>
      <c r="D228" s="15" t="inlineStr">
        <is>
          <t>MA</t>
        </is>
      </c>
      <c r="E228" s="16" t="n">
        <v>515000</v>
      </c>
      <c r="F228" s="16" t="n">
        <v>4422.21</v>
      </c>
      <c r="G228" s="16" t="n">
        <v>552.78</v>
      </c>
      <c r="H228" s="16" t="n">
        <v>552.78</v>
      </c>
      <c r="I228" s="16">
        <f>SUM(K228:T228)</f>
        <v/>
      </c>
      <c r="J228" s="16">
        <f>F228-(G228+H228+I228)</f>
        <v/>
      </c>
      <c r="K228" s="16" t="n">
        <v>331.67</v>
      </c>
      <c r="L228" s="16" t="n">
        <v>331.67</v>
      </c>
      <c r="M228" s="16" t="n">
        <v>331.67</v>
      </c>
      <c r="N228" s="16" t="n">
        <v>331.67</v>
      </c>
      <c r="O228" s="16" t="n">
        <v>331.67</v>
      </c>
      <c r="P228" s="16" t="n">
        <v>331.67</v>
      </c>
      <c r="Q228" s="16" t="n">
        <v>331.67</v>
      </c>
      <c r="R228" s="16" t="n">
        <v>331.67</v>
      </c>
      <c r="S228" s="16" t="n">
        <v>331.67</v>
      </c>
      <c r="T228" s="16" t="n">
        <v>331.67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CANON-202603-004774</t>
        </is>
      </c>
      <c r="B229" s="3" t="inlineStr">
        <is>
          <t>2026-03-18</t>
        </is>
      </c>
      <c r="C229" s="3" t="inlineStr">
        <is>
          <t>Emiliano Larsson</t>
        </is>
      </c>
      <c r="D229" s="3" t="inlineStr">
        <is>
          <t>HI</t>
        </is>
      </c>
      <c r="E229" s="14" t="n">
        <v>680000</v>
      </c>
      <c r="F229" s="14" t="n">
        <v>9179.51</v>
      </c>
      <c r="G229" s="14" t="n">
        <v>1147.44</v>
      </c>
      <c r="H229" s="14" t="n">
        <v>1147.44</v>
      </c>
      <c r="I229" s="14">
        <f>SUM(K229:T229)</f>
        <v/>
      </c>
      <c r="J229" s="14">
        <f>F229-(G229+H229+I229)</f>
        <v/>
      </c>
      <c r="K229" s="14" t="n">
        <v>688.46</v>
      </c>
      <c r="L229" s="14" t="n">
        <v>688.46</v>
      </c>
      <c r="M229" s="14" t="n">
        <v>688.46</v>
      </c>
      <c r="N229" s="14" t="n">
        <v>688.46</v>
      </c>
      <c r="O229" s="14" t="n">
        <v>688.46</v>
      </c>
      <c r="P229" s="14" t="n">
        <v>688.46</v>
      </c>
      <c r="Q229" s="14" t="n">
        <v>688.46</v>
      </c>
      <c r="R229" s="14" t="n">
        <v>688.46</v>
      </c>
      <c r="S229" s="14" t="n">
        <v>688.46</v>
      </c>
      <c r="T229" s="14" t="n">
        <v>688.46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CANON-202603-004775</t>
        </is>
      </c>
      <c r="B230" s="15" t="inlineStr">
        <is>
          <t>2026-03-27</t>
        </is>
      </c>
      <c r="C230" s="15" t="inlineStr">
        <is>
          <t>Desmond Farkas</t>
        </is>
      </c>
      <c r="D230" s="15" t="inlineStr">
        <is>
          <t>NY</t>
        </is>
      </c>
      <c r="E230" s="16" t="n">
        <v>680000</v>
      </c>
      <c r="F230" s="16" t="n">
        <v>13209.8</v>
      </c>
      <c r="G230" s="16" t="n">
        <v>1651.22</v>
      </c>
      <c r="H230" s="16" t="n">
        <v>1651.22</v>
      </c>
      <c r="I230" s="16">
        <f>SUM(K230:T230)</f>
        <v/>
      </c>
      <c r="J230" s="16">
        <f>F230-(G230+H230+I230)</f>
        <v/>
      </c>
      <c r="K230" s="16" t="n">
        <v>990.73</v>
      </c>
      <c r="L230" s="16" t="n">
        <v>990.73</v>
      </c>
      <c r="M230" s="16" t="n">
        <v>990.73</v>
      </c>
      <c r="N230" s="16" t="n">
        <v>990.73</v>
      </c>
      <c r="O230" s="16" t="n">
        <v>990.73</v>
      </c>
      <c r="P230" s="16" t="n">
        <v>990.73</v>
      </c>
      <c r="Q230" s="16" t="n">
        <v>990.73</v>
      </c>
      <c r="R230" s="16" t="n">
        <v>990.73</v>
      </c>
      <c r="S230" s="16" t="n">
        <v>990.73</v>
      </c>
      <c r="T230" s="16" t="n">
        <v>990.73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CANON-202603-004777</t>
        </is>
      </c>
      <c r="B231" s="3" t="inlineStr">
        <is>
          <t>2026-03-18</t>
        </is>
      </c>
      <c r="C231" s="3" t="inlineStr">
        <is>
          <t>Callum Farkas</t>
        </is>
      </c>
      <c r="D231" s="3" t="inlineStr">
        <is>
          <t>FL</t>
        </is>
      </c>
      <c r="E231" s="14" t="n">
        <v>1950000</v>
      </c>
      <c r="F231" s="14" t="n">
        <v>35388.87</v>
      </c>
      <c r="G231" s="14" t="n">
        <v>4423.61</v>
      </c>
      <c r="H231" s="14" t="n">
        <v>4423.61</v>
      </c>
      <c r="I231" s="14">
        <f>SUM(K231:T231)</f>
        <v/>
      </c>
      <c r="J231" s="14">
        <f>F231-(G231+H231+I231)</f>
        <v/>
      </c>
      <c r="K231" s="14" t="n">
        <v>2654.17</v>
      </c>
      <c r="L231" s="14" t="n">
        <v>2654.17</v>
      </c>
      <c r="M231" s="14" t="n">
        <v>2654.17</v>
      </c>
      <c r="N231" s="14" t="n">
        <v>2654.17</v>
      </c>
      <c r="O231" s="14" t="n">
        <v>2654.17</v>
      </c>
      <c r="P231" s="14" t="n">
        <v>2654.17</v>
      </c>
      <c r="Q231" s="14" t="n">
        <v>2654.17</v>
      </c>
      <c r="R231" s="14" t="n">
        <v>2654.17</v>
      </c>
      <c r="S231" s="14" t="n">
        <v>2654.17</v>
      </c>
      <c r="T231" s="14" t="n">
        <v>2654.17</v>
      </c>
      <c r="U231" s="14" t="n">
        <v>350</v>
      </c>
      <c r="V231" s="14" t="n">
        <v>250</v>
      </c>
      <c r="W231" s="14">
        <f>U231+V231</f>
        <v/>
      </c>
    </row>
    <row r="232">
      <c r="A232" s="15" t="inlineStr">
        <is>
          <t>CANON-202603-004778</t>
        </is>
      </c>
      <c r="B232" s="15" t="inlineStr">
        <is>
          <t>2026-03-14</t>
        </is>
      </c>
      <c r="C232" s="15" t="inlineStr">
        <is>
          <t>Ottilie Harrington</t>
        </is>
      </c>
      <c r="D232" s="15" t="inlineStr">
        <is>
          <t>NY</t>
        </is>
      </c>
      <c r="E232" s="16" t="n">
        <v>630000</v>
      </c>
      <c r="F232" s="16" t="n">
        <v>8373.700000000001</v>
      </c>
      <c r="G232" s="16" t="n">
        <v>1046.71</v>
      </c>
      <c r="H232" s="16" t="n">
        <v>1046.71</v>
      </c>
      <c r="I232" s="16">
        <f>SUM(K232:T232)</f>
        <v/>
      </c>
      <c r="J232" s="16">
        <f>F232-(G232+H232+I232)</f>
        <v/>
      </c>
      <c r="K232" s="16" t="n">
        <v>628.03</v>
      </c>
      <c r="L232" s="16" t="n">
        <v>628.03</v>
      </c>
      <c r="M232" s="16" t="n">
        <v>628.03</v>
      </c>
      <c r="N232" s="16" t="n">
        <v>628.03</v>
      </c>
      <c r="O232" s="16" t="n">
        <v>628.03</v>
      </c>
      <c r="P232" s="16" t="n">
        <v>628.03</v>
      </c>
      <c r="Q232" s="16" t="n">
        <v>628.03</v>
      </c>
      <c r="R232" s="16" t="n">
        <v>628.03</v>
      </c>
      <c r="S232" s="16" t="n">
        <v>628.03</v>
      </c>
      <c r="T232" s="16" t="n">
        <v>628.03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CANON-202603-004779</t>
        </is>
      </c>
      <c r="B233" s="3" t="inlineStr">
        <is>
          <t>2026-03-20</t>
        </is>
      </c>
      <c r="C233" s="3" t="inlineStr">
        <is>
          <t>Thaddeus Rourke</t>
        </is>
      </c>
      <c r="D233" s="3" t="inlineStr">
        <is>
          <t>FL</t>
        </is>
      </c>
      <c r="E233" s="14" t="n">
        <v>525000</v>
      </c>
      <c r="F233" s="14" t="n">
        <v>7741.31</v>
      </c>
      <c r="G233" s="14" t="n">
        <v>967.66</v>
      </c>
      <c r="H233" s="14" t="n">
        <v>967.66</v>
      </c>
      <c r="I233" s="14">
        <f>SUM(K233:T233)</f>
        <v/>
      </c>
      <c r="J233" s="14">
        <f>F233-(G233+H233+I233)</f>
        <v/>
      </c>
      <c r="K233" s="14" t="n">
        <v>580.6</v>
      </c>
      <c r="L233" s="14" t="n">
        <v>580.6</v>
      </c>
      <c r="M233" s="14" t="n">
        <v>580.6</v>
      </c>
      <c r="N233" s="14" t="n">
        <v>580.6</v>
      </c>
      <c r="O233" s="14" t="n">
        <v>580.6</v>
      </c>
      <c r="P233" s="14" t="n">
        <v>580.6</v>
      </c>
      <c r="Q233" s="14" t="n">
        <v>580.6</v>
      </c>
      <c r="R233" s="14" t="n">
        <v>580.6</v>
      </c>
      <c r="S233" s="14" t="n">
        <v>580.6</v>
      </c>
      <c r="T233" s="14" t="n">
        <v>580.6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CANON-202603-004780</t>
        </is>
      </c>
      <c r="B234" s="15" t="inlineStr">
        <is>
          <t>2026-03-25</t>
        </is>
      </c>
      <c r="C234" s="15" t="inlineStr">
        <is>
          <t>Marisol Blackwood</t>
        </is>
      </c>
      <c r="D234" s="15" t="inlineStr">
        <is>
          <t>CA</t>
        </is>
      </c>
      <c r="E234" s="16" t="n">
        <v>1145000</v>
      </c>
      <c r="F234" s="16" t="n">
        <v>19755.27</v>
      </c>
      <c r="G234" s="16" t="n">
        <v>2469.41</v>
      </c>
      <c r="H234" s="16" t="n">
        <v>2469.41</v>
      </c>
      <c r="I234" s="16">
        <f>SUM(K234:T234)</f>
        <v/>
      </c>
      <c r="J234" s="16">
        <f>F234-(G234+H234+I234)</f>
        <v/>
      </c>
      <c r="K234" s="16" t="n">
        <v>1481.65</v>
      </c>
      <c r="L234" s="16" t="n">
        <v>1481.65</v>
      </c>
      <c r="M234" s="16" t="n">
        <v>1481.65</v>
      </c>
      <c r="N234" s="16" t="n">
        <v>1481.65</v>
      </c>
      <c r="O234" s="16" t="n">
        <v>1481.65</v>
      </c>
      <c r="P234" s="16" t="n">
        <v>1481.65</v>
      </c>
      <c r="Q234" s="16" t="n">
        <v>1481.65</v>
      </c>
      <c r="R234" s="16" t="n">
        <v>1481.65</v>
      </c>
      <c r="S234" s="16" t="n">
        <v>1481.65</v>
      </c>
      <c r="T234" s="16" t="n">
        <v>1481.65</v>
      </c>
      <c r="U234" s="16" t="n">
        <v>350</v>
      </c>
      <c r="V234" s="16" t="n">
        <v>250</v>
      </c>
      <c r="W234" s="16">
        <f>U234+V234</f>
        <v/>
      </c>
    </row>
    <row r="235">
      <c r="A235" s="3" t="inlineStr">
        <is>
          <t>CANON-202603-004781</t>
        </is>
      </c>
      <c r="B235" s="3" t="inlineStr">
        <is>
          <t>2026-03-14</t>
        </is>
      </c>
      <c r="C235" s="3" t="inlineStr">
        <is>
          <t>Wilhelmina Castellanos</t>
        </is>
      </c>
      <c r="D235" s="3" t="inlineStr">
        <is>
          <t>AL</t>
        </is>
      </c>
      <c r="E235" s="14" t="n">
        <v>575000</v>
      </c>
      <c r="F235" s="14" t="n">
        <v>4433.11</v>
      </c>
      <c r="G235" s="14" t="n">
        <v>554.14</v>
      </c>
      <c r="H235" s="14" t="n">
        <v>554.14</v>
      </c>
      <c r="I235" s="14">
        <f>SUM(K235:T235)</f>
        <v/>
      </c>
      <c r="J235" s="14">
        <f>F235-(G235+H235+I235)</f>
        <v/>
      </c>
      <c r="K235" s="14" t="n">
        <v>332.48</v>
      </c>
      <c r="L235" s="14" t="n">
        <v>332.48</v>
      </c>
      <c r="M235" s="14" t="n">
        <v>332.48</v>
      </c>
      <c r="N235" s="14" t="n">
        <v>332.48</v>
      </c>
      <c r="O235" s="14" t="n">
        <v>332.48</v>
      </c>
      <c r="P235" s="14" t="n">
        <v>332.48</v>
      </c>
      <c r="Q235" s="14" t="n">
        <v>332.48</v>
      </c>
      <c r="R235" s="14" t="n">
        <v>332.48</v>
      </c>
      <c r="S235" s="14" t="n">
        <v>332.48</v>
      </c>
      <c r="T235" s="14" t="n">
        <v>332.48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CANON-202603-004782</t>
        </is>
      </c>
      <c r="B236" s="15" t="inlineStr">
        <is>
          <t>2026-03-04</t>
        </is>
      </c>
      <c r="C236" s="15" t="inlineStr">
        <is>
          <t>Saoirse Vandermeer</t>
        </is>
      </c>
      <c r="D236" s="15" t="inlineStr">
        <is>
          <t>NV</t>
        </is>
      </c>
      <c r="E236" s="16" t="n">
        <v>340000</v>
      </c>
      <c r="F236" s="16" t="n">
        <v>4766.29</v>
      </c>
      <c r="G236" s="16" t="n">
        <v>595.79</v>
      </c>
      <c r="H236" s="16" t="n">
        <v>595.79</v>
      </c>
      <c r="I236" s="16">
        <f>SUM(K236:T236)</f>
        <v/>
      </c>
      <c r="J236" s="16">
        <f>F236-(G236+H236+I236)</f>
        <v/>
      </c>
      <c r="K236" s="16" t="n">
        <v>357.47</v>
      </c>
      <c r="L236" s="16" t="n">
        <v>357.47</v>
      </c>
      <c r="M236" s="16" t="n">
        <v>357.47</v>
      </c>
      <c r="N236" s="16" t="n">
        <v>357.47</v>
      </c>
      <c r="O236" s="16" t="n">
        <v>357.47</v>
      </c>
      <c r="P236" s="16" t="n">
        <v>357.47</v>
      </c>
      <c r="Q236" s="16" t="n">
        <v>357.47</v>
      </c>
      <c r="R236" s="16" t="n">
        <v>357.47</v>
      </c>
      <c r="S236" s="16" t="n">
        <v>357.47</v>
      </c>
      <c r="T236" s="16" t="n">
        <v>357.47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CANON-202603-004787</t>
        </is>
      </c>
      <c r="B237" s="3" t="inlineStr">
        <is>
          <t>2026-03-14</t>
        </is>
      </c>
      <c r="C237" s="3" t="inlineStr">
        <is>
          <t>Anouk Ashcombe</t>
        </is>
      </c>
      <c r="D237" s="3" t="inlineStr">
        <is>
          <t>MS</t>
        </is>
      </c>
      <c r="E237" s="14" t="n">
        <v>1295000</v>
      </c>
      <c r="F237" s="14" t="n">
        <v>13540.45</v>
      </c>
      <c r="G237" s="14" t="n">
        <v>1692.56</v>
      </c>
      <c r="H237" s="14" t="n">
        <v>1692.56</v>
      </c>
      <c r="I237" s="14">
        <f>SUM(K237:T237)</f>
        <v/>
      </c>
      <c r="J237" s="14">
        <f>F237-(G237+H237+I237)</f>
        <v/>
      </c>
      <c r="K237" s="14" t="n">
        <v>1015.53</v>
      </c>
      <c r="L237" s="14" t="n">
        <v>1015.53</v>
      </c>
      <c r="M237" s="14" t="n">
        <v>1015.53</v>
      </c>
      <c r="N237" s="14" t="n">
        <v>1015.53</v>
      </c>
      <c r="O237" s="14" t="n">
        <v>1015.53</v>
      </c>
      <c r="P237" s="14" t="n">
        <v>1015.53</v>
      </c>
      <c r="Q237" s="14" t="n">
        <v>1015.53</v>
      </c>
      <c r="R237" s="14" t="n">
        <v>1015.53</v>
      </c>
      <c r="S237" s="14" t="n">
        <v>1015.53</v>
      </c>
      <c r="T237" s="14" t="n">
        <v>1015.53</v>
      </c>
      <c r="U237" s="14" t="n">
        <v>350</v>
      </c>
      <c r="V237" s="14" t="n">
        <v>250</v>
      </c>
      <c r="W237" s="14">
        <f>U237+V237</f>
        <v/>
      </c>
    </row>
    <row r="238">
      <c r="A238" s="15" t="inlineStr">
        <is>
          <t>CANON-202603-004788</t>
        </is>
      </c>
      <c r="B238" s="15" t="inlineStr">
        <is>
          <t>2026-03-17</t>
        </is>
      </c>
      <c r="C238" s="15" t="inlineStr">
        <is>
          <t>Lorenzo Underwood</t>
        </is>
      </c>
      <c r="D238" s="15" t="inlineStr">
        <is>
          <t>MS</t>
        </is>
      </c>
      <c r="E238" s="16" t="n">
        <v>1950000</v>
      </c>
      <c r="F238" s="16" t="n">
        <v>14087.01</v>
      </c>
      <c r="G238" s="16" t="n">
        <v>1760.88</v>
      </c>
      <c r="H238" s="16" t="n">
        <v>1760.88</v>
      </c>
      <c r="I238" s="16">
        <f>SUM(K238:T238)</f>
        <v/>
      </c>
      <c r="J238" s="16">
        <f>F238-(G238+H238+I238)</f>
        <v/>
      </c>
      <c r="K238" s="16" t="n">
        <v>1056.53</v>
      </c>
      <c r="L238" s="16" t="n">
        <v>1056.53</v>
      </c>
      <c r="M238" s="16" t="n">
        <v>1056.53</v>
      </c>
      <c r="N238" s="16" t="n">
        <v>1056.53</v>
      </c>
      <c r="O238" s="16" t="n">
        <v>1056.53</v>
      </c>
      <c r="P238" s="16" t="n">
        <v>1056.53</v>
      </c>
      <c r="Q238" s="16" t="n">
        <v>1056.53</v>
      </c>
      <c r="R238" s="16" t="n">
        <v>1056.53</v>
      </c>
      <c r="S238" s="16" t="n">
        <v>1056.53</v>
      </c>
      <c r="T238" s="16" t="n">
        <v>1056.53</v>
      </c>
      <c r="U238" s="16" t="n">
        <v>350</v>
      </c>
      <c r="V238" s="16" t="n">
        <v>250</v>
      </c>
      <c r="W238" s="16">
        <f>U238+V238</f>
        <v/>
      </c>
    </row>
    <row r="239">
      <c r="A239" s="3" t="inlineStr">
        <is>
          <t>CANON-202603-004789</t>
        </is>
      </c>
      <c r="B239" s="3" t="inlineStr">
        <is>
          <t>2026-03-11</t>
        </is>
      </c>
      <c r="C239" s="3" t="inlineStr">
        <is>
          <t>Saoirse Whitlock</t>
        </is>
      </c>
      <c r="D239" s="3" t="inlineStr">
        <is>
          <t>MS</t>
        </is>
      </c>
      <c r="E239" s="14" t="n">
        <v>510000</v>
      </c>
      <c r="F239" s="14" t="n">
        <v>6302.08</v>
      </c>
      <c r="G239" s="14" t="n">
        <v>787.76</v>
      </c>
      <c r="H239" s="14" t="n">
        <v>787.76</v>
      </c>
      <c r="I239" s="14">
        <f>SUM(K239:T239)</f>
        <v/>
      </c>
      <c r="J239" s="14">
        <f>F239-(G239+H239+I239)</f>
        <v/>
      </c>
      <c r="K239" s="14" t="n">
        <v>472.66</v>
      </c>
      <c r="L239" s="14" t="n">
        <v>472.66</v>
      </c>
      <c r="M239" s="14" t="n">
        <v>472.66</v>
      </c>
      <c r="N239" s="14" t="n">
        <v>472.66</v>
      </c>
      <c r="O239" s="14" t="n">
        <v>472.66</v>
      </c>
      <c r="P239" s="14" t="n">
        <v>472.66</v>
      </c>
      <c r="Q239" s="14" t="n">
        <v>472.66</v>
      </c>
      <c r="R239" s="14" t="n">
        <v>472.66</v>
      </c>
      <c r="S239" s="14" t="n">
        <v>472.66</v>
      </c>
      <c r="T239" s="14" t="n">
        <v>472.66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CANON-202603-004790</t>
        </is>
      </c>
      <c r="B240" s="15" t="inlineStr">
        <is>
          <t>2026-03-27</t>
        </is>
      </c>
      <c r="C240" s="15" t="inlineStr">
        <is>
          <t>Lorenzo Whitlock</t>
        </is>
      </c>
      <c r="D240" s="15" t="inlineStr">
        <is>
          <t>AL</t>
        </is>
      </c>
      <c r="E240" s="16" t="n">
        <v>700000</v>
      </c>
      <c r="F240" s="16" t="n">
        <v>9231.43</v>
      </c>
      <c r="G240" s="16" t="n">
        <v>1153.93</v>
      </c>
      <c r="H240" s="16" t="n">
        <v>1153.93</v>
      </c>
      <c r="I240" s="16">
        <f>SUM(K240:T240)</f>
        <v/>
      </c>
      <c r="J240" s="16">
        <f>F240-(G240+H240+I240)</f>
        <v/>
      </c>
      <c r="K240" s="16" t="n">
        <v>692.36</v>
      </c>
      <c r="L240" s="16" t="n">
        <v>692.36</v>
      </c>
      <c r="M240" s="16" t="n">
        <v>692.36</v>
      </c>
      <c r="N240" s="16" t="n">
        <v>692.36</v>
      </c>
      <c r="O240" s="16" t="n">
        <v>692.36</v>
      </c>
      <c r="P240" s="16" t="n">
        <v>692.36</v>
      </c>
      <c r="Q240" s="16" t="n">
        <v>692.36</v>
      </c>
      <c r="R240" s="16" t="n">
        <v>692.36</v>
      </c>
      <c r="S240" s="16" t="n">
        <v>692.36</v>
      </c>
      <c r="T240" s="16" t="n">
        <v>692.36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CANON-202603-004791</t>
        </is>
      </c>
      <c r="B241" s="3" t="inlineStr">
        <is>
          <t>2026-03-03</t>
        </is>
      </c>
      <c r="C241" s="3" t="inlineStr">
        <is>
          <t>Ottilie Okonkwo</t>
        </is>
      </c>
      <c r="D241" s="3" t="inlineStr">
        <is>
          <t>AL</t>
        </is>
      </c>
      <c r="E241" s="14" t="n">
        <v>465000</v>
      </c>
      <c r="F241" s="14" t="n">
        <v>7075.74</v>
      </c>
      <c r="G241" s="14" t="n">
        <v>884.47</v>
      </c>
      <c r="H241" s="14" t="n">
        <v>884.47</v>
      </c>
      <c r="I241" s="14">
        <f>SUM(K241:T241)</f>
        <v/>
      </c>
      <c r="J241" s="14">
        <f>F241-(G241+H241+I241)</f>
        <v/>
      </c>
      <c r="K241" s="14" t="n">
        <v>530.6799999999999</v>
      </c>
      <c r="L241" s="14" t="n">
        <v>530.6799999999999</v>
      </c>
      <c r="M241" s="14" t="n">
        <v>530.6799999999999</v>
      </c>
      <c r="N241" s="14" t="n">
        <v>530.6799999999999</v>
      </c>
      <c r="O241" s="14" t="n">
        <v>530.6799999999999</v>
      </c>
      <c r="P241" s="14" t="n">
        <v>530.6799999999999</v>
      </c>
      <c r="Q241" s="14" t="n">
        <v>530.6799999999999</v>
      </c>
      <c r="R241" s="14" t="n">
        <v>530.6799999999999</v>
      </c>
      <c r="S241" s="14" t="n">
        <v>530.6799999999999</v>
      </c>
      <c r="T241" s="14" t="n">
        <v>530.6799999999999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CANON-202603-004792</t>
        </is>
      </c>
      <c r="B242" s="15" t="inlineStr">
        <is>
          <t>2026-03-20</t>
        </is>
      </c>
      <c r="C242" s="15" t="inlineStr">
        <is>
          <t>Horace Bellandi</t>
        </is>
      </c>
      <c r="D242" s="15" t="inlineStr">
        <is>
          <t>FL</t>
        </is>
      </c>
      <c r="E242" s="16" t="n">
        <v>655000</v>
      </c>
      <c r="F242" s="16" t="n">
        <v>14115.84</v>
      </c>
      <c r="G242" s="16" t="n">
        <v>1764.48</v>
      </c>
      <c r="H242" s="16" t="n">
        <v>1764.48</v>
      </c>
      <c r="I242" s="16">
        <f>SUM(K242:T242)</f>
        <v/>
      </c>
      <c r="J242" s="16">
        <f>F242-(G242+H242+I242)</f>
        <v/>
      </c>
      <c r="K242" s="16" t="n">
        <v>1058.69</v>
      </c>
      <c r="L242" s="16" t="n">
        <v>1058.69</v>
      </c>
      <c r="M242" s="16" t="n">
        <v>1058.69</v>
      </c>
      <c r="N242" s="16" t="n">
        <v>1058.69</v>
      </c>
      <c r="O242" s="16" t="n">
        <v>1058.69</v>
      </c>
      <c r="P242" s="16" t="n">
        <v>1058.69</v>
      </c>
      <c r="Q242" s="16" t="n">
        <v>1058.69</v>
      </c>
      <c r="R242" s="16" t="n">
        <v>1058.69</v>
      </c>
      <c r="S242" s="16" t="n">
        <v>1058.69</v>
      </c>
      <c r="T242" s="16" t="n">
        <v>1058.69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CANON-202603-004794</t>
        </is>
      </c>
      <c r="B243" s="3" t="inlineStr">
        <is>
          <t>2026-03-05</t>
        </is>
      </c>
      <c r="C243" s="3" t="inlineStr">
        <is>
          <t>Priya Underwood</t>
        </is>
      </c>
      <c r="D243" s="3" t="inlineStr">
        <is>
          <t>LA</t>
        </is>
      </c>
      <c r="E243" s="14" t="n">
        <v>965000</v>
      </c>
      <c r="F243" s="14" t="n">
        <v>12124.95</v>
      </c>
      <c r="G243" s="14" t="n">
        <v>1515.62</v>
      </c>
      <c r="H243" s="14" t="n">
        <v>1515.62</v>
      </c>
      <c r="I243" s="14">
        <f>SUM(K243:T243)</f>
        <v/>
      </c>
      <c r="J243" s="14">
        <f>F243-(G243+H243+I243)</f>
        <v/>
      </c>
      <c r="K243" s="14" t="n">
        <v>909.37</v>
      </c>
      <c r="L243" s="14" t="n">
        <v>909.37</v>
      </c>
      <c r="M243" s="14" t="n">
        <v>909.37</v>
      </c>
      <c r="N243" s="14" t="n">
        <v>909.37</v>
      </c>
      <c r="O243" s="14" t="n">
        <v>909.37</v>
      </c>
      <c r="P243" s="14" t="n">
        <v>909.37</v>
      </c>
      <c r="Q243" s="14" t="n">
        <v>909.37</v>
      </c>
      <c r="R243" s="14" t="n">
        <v>909.37</v>
      </c>
      <c r="S243" s="14" t="n">
        <v>909.37</v>
      </c>
      <c r="T243" s="14" t="n">
        <v>909.37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CANON-202603-004795</t>
        </is>
      </c>
      <c r="B244" s="15" t="inlineStr">
        <is>
          <t>2026-03-19</t>
        </is>
      </c>
      <c r="C244" s="15" t="inlineStr">
        <is>
          <t>Ottilie Kingsford</t>
        </is>
      </c>
      <c r="D244" s="15" t="inlineStr">
        <is>
          <t>AR</t>
        </is>
      </c>
      <c r="E244" s="16" t="n">
        <v>580000</v>
      </c>
      <c r="F244" s="16" t="n">
        <v>8311.4</v>
      </c>
      <c r="G244" s="16" t="n">
        <v>1038.92</v>
      </c>
      <c r="H244" s="16" t="n">
        <v>1038.92</v>
      </c>
      <c r="I244" s="16">
        <f>SUM(K244:T244)</f>
        <v/>
      </c>
      <c r="J244" s="16">
        <f>F244-(G244+H244+I244)</f>
        <v/>
      </c>
      <c r="K244" s="16" t="n">
        <v>623.35</v>
      </c>
      <c r="L244" s="16" t="n">
        <v>623.35</v>
      </c>
      <c r="M244" s="16" t="n">
        <v>623.35</v>
      </c>
      <c r="N244" s="16" t="n">
        <v>623.35</v>
      </c>
      <c r="O244" s="16" t="n">
        <v>623.35</v>
      </c>
      <c r="P244" s="16" t="n">
        <v>623.35</v>
      </c>
      <c r="Q244" s="16" t="n">
        <v>623.35</v>
      </c>
      <c r="R244" s="16" t="n">
        <v>623.35</v>
      </c>
      <c r="S244" s="16" t="n">
        <v>623.35</v>
      </c>
      <c r="T244" s="16" t="n">
        <v>623.35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CANON-202603-004797</t>
        </is>
      </c>
      <c r="B245" s="3" t="inlineStr">
        <is>
          <t>2026-03-25</t>
        </is>
      </c>
      <c r="C245" s="3" t="inlineStr">
        <is>
          <t>Ramona Whitlock</t>
        </is>
      </c>
      <c r="D245" s="3" t="inlineStr">
        <is>
          <t>FL</t>
        </is>
      </c>
      <c r="E245" s="14" t="n">
        <v>835000</v>
      </c>
      <c r="F245" s="14" t="n">
        <v>12312.37</v>
      </c>
      <c r="G245" s="14" t="n">
        <v>1539.05</v>
      </c>
      <c r="H245" s="14" t="n">
        <v>1539.05</v>
      </c>
      <c r="I245" s="14">
        <f>SUM(K245:T245)</f>
        <v/>
      </c>
      <c r="J245" s="14">
        <f>F245-(G245+H245+I245)</f>
        <v/>
      </c>
      <c r="K245" s="14" t="n">
        <v>923.4299999999999</v>
      </c>
      <c r="L245" s="14" t="n">
        <v>923.4299999999999</v>
      </c>
      <c r="M245" s="14" t="n">
        <v>923.4299999999999</v>
      </c>
      <c r="N245" s="14" t="n">
        <v>923.4299999999999</v>
      </c>
      <c r="O245" s="14" t="n">
        <v>923.4299999999999</v>
      </c>
      <c r="P245" s="14" t="n">
        <v>923.4299999999999</v>
      </c>
      <c r="Q245" s="14" t="n">
        <v>923.4299999999999</v>
      </c>
      <c r="R245" s="14" t="n">
        <v>923.4299999999999</v>
      </c>
      <c r="S245" s="14" t="n">
        <v>923.4299999999999</v>
      </c>
      <c r="T245" s="14" t="n">
        <v>923.4299999999999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CANON-202603-004798</t>
        </is>
      </c>
      <c r="B246" s="15" t="inlineStr">
        <is>
          <t>2026-03-26</t>
        </is>
      </c>
      <c r="C246" s="15" t="inlineStr">
        <is>
          <t>Callum Rourke</t>
        </is>
      </c>
      <c r="D246" s="15" t="inlineStr">
        <is>
          <t>FL</t>
        </is>
      </c>
      <c r="E246" s="16" t="n">
        <v>530000</v>
      </c>
      <c r="F246" s="16" t="n">
        <v>7815.04</v>
      </c>
      <c r="G246" s="16" t="n">
        <v>976.88</v>
      </c>
      <c r="H246" s="16" t="n">
        <v>976.88</v>
      </c>
      <c r="I246" s="16">
        <f>SUM(K246:T246)</f>
        <v/>
      </c>
      <c r="J246" s="16">
        <f>F246-(G246+H246+I246)</f>
        <v/>
      </c>
      <c r="K246" s="16" t="n">
        <v>586.13</v>
      </c>
      <c r="L246" s="16" t="n">
        <v>586.13</v>
      </c>
      <c r="M246" s="16" t="n">
        <v>586.13</v>
      </c>
      <c r="N246" s="16" t="n">
        <v>586.13</v>
      </c>
      <c r="O246" s="16" t="n">
        <v>586.13</v>
      </c>
      <c r="P246" s="16" t="n">
        <v>586.13</v>
      </c>
      <c r="Q246" s="16" t="n">
        <v>586.13</v>
      </c>
      <c r="R246" s="16" t="n">
        <v>586.13</v>
      </c>
      <c r="S246" s="16" t="n">
        <v>586.13</v>
      </c>
      <c r="T246" s="16" t="n">
        <v>586.13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CANON-202603-004799</t>
        </is>
      </c>
      <c r="B247" s="3" t="inlineStr">
        <is>
          <t>2026-03-23</t>
        </is>
      </c>
      <c r="C247" s="3" t="inlineStr">
        <is>
          <t>Anouk Bellandi</t>
        </is>
      </c>
      <c r="D247" s="3" t="inlineStr">
        <is>
          <t>LA</t>
        </is>
      </c>
      <c r="E247" s="14" t="n">
        <v>810000</v>
      </c>
      <c r="F247" s="14" t="n">
        <v>10177.41</v>
      </c>
      <c r="G247" s="14" t="n">
        <v>1272.18</v>
      </c>
      <c r="H247" s="14" t="n">
        <v>1272.18</v>
      </c>
      <c r="I247" s="14">
        <f>SUM(K247:T247)</f>
        <v/>
      </c>
      <c r="J247" s="14">
        <f>F247-(G247+H247+I247)</f>
        <v/>
      </c>
      <c r="K247" s="14" t="n">
        <v>763.3099999999999</v>
      </c>
      <c r="L247" s="14" t="n">
        <v>763.3099999999999</v>
      </c>
      <c r="M247" s="14" t="n">
        <v>763.3099999999999</v>
      </c>
      <c r="N247" s="14" t="n">
        <v>763.3099999999999</v>
      </c>
      <c r="O247" s="14" t="n">
        <v>763.3099999999999</v>
      </c>
      <c r="P247" s="14" t="n">
        <v>763.3099999999999</v>
      </c>
      <c r="Q247" s="14" t="n">
        <v>763.3099999999999</v>
      </c>
      <c r="R247" s="14" t="n">
        <v>763.3099999999999</v>
      </c>
      <c r="S247" s="14" t="n">
        <v>763.3099999999999</v>
      </c>
      <c r="T247" s="14" t="n">
        <v>763.3099999999999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CANON-202603-004802</t>
        </is>
      </c>
      <c r="B248" s="15" t="inlineStr">
        <is>
          <t>2026-03-28</t>
        </is>
      </c>
      <c r="C248" s="15" t="inlineStr">
        <is>
          <t>Everett Bellandi</t>
        </is>
      </c>
      <c r="D248" s="15" t="inlineStr">
        <is>
          <t>ID</t>
        </is>
      </c>
      <c r="E248" s="16" t="n">
        <v>645000</v>
      </c>
      <c r="F248" s="16" t="n">
        <v>6630.74</v>
      </c>
      <c r="G248" s="16" t="n">
        <v>828.84</v>
      </c>
      <c r="H248" s="16" t="n">
        <v>828.84</v>
      </c>
      <c r="I248" s="16">
        <f>SUM(K248:T248)</f>
        <v/>
      </c>
      <c r="J248" s="16">
        <f>F248-(G248+H248+I248)</f>
        <v/>
      </c>
      <c r="K248" s="16" t="n">
        <v>497.31</v>
      </c>
      <c r="L248" s="16" t="n">
        <v>497.31</v>
      </c>
      <c r="M248" s="16" t="n">
        <v>497.31</v>
      </c>
      <c r="N248" s="16" t="n">
        <v>497.31</v>
      </c>
      <c r="O248" s="16" t="n">
        <v>497.31</v>
      </c>
      <c r="P248" s="16" t="n">
        <v>497.31</v>
      </c>
      <c r="Q248" s="16" t="n">
        <v>497.31</v>
      </c>
      <c r="R248" s="16" t="n">
        <v>497.31</v>
      </c>
      <c r="S248" s="16" t="n">
        <v>497.31</v>
      </c>
      <c r="T248" s="16" t="n">
        <v>497.31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CANON-202603-004804</t>
        </is>
      </c>
      <c r="B249" s="3" t="inlineStr">
        <is>
          <t>2026-03-31</t>
        </is>
      </c>
      <c r="C249" s="3" t="inlineStr">
        <is>
          <t>Beatrix Vasquez</t>
        </is>
      </c>
      <c r="D249" s="3" t="inlineStr">
        <is>
          <t>WV</t>
        </is>
      </c>
      <c r="E249" s="14" t="n">
        <v>275000</v>
      </c>
      <c r="F249" s="14" t="n">
        <v>4382.27</v>
      </c>
      <c r="G249" s="14" t="n">
        <v>547.78</v>
      </c>
      <c r="H249" s="14" t="n">
        <v>547.78</v>
      </c>
      <c r="I249" s="14">
        <f>SUM(K249:T249)</f>
        <v/>
      </c>
      <c r="J249" s="14">
        <f>F249-(G249+H249+I249)</f>
        <v/>
      </c>
      <c r="K249" s="14" t="n">
        <v>328.67</v>
      </c>
      <c r="L249" s="14" t="n">
        <v>328.67</v>
      </c>
      <c r="M249" s="14" t="n">
        <v>328.67</v>
      </c>
      <c r="N249" s="14" t="n">
        <v>328.67</v>
      </c>
      <c r="O249" s="14" t="n">
        <v>328.67</v>
      </c>
      <c r="P249" s="14" t="n">
        <v>328.67</v>
      </c>
      <c r="Q249" s="14" t="n">
        <v>328.67</v>
      </c>
      <c r="R249" s="14" t="n">
        <v>328.67</v>
      </c>
      <c r="S249" s="14" t="n">
        <v>328.67</v>
      </c>
      <c r="T249" s="14" t="n">
        <v>328.67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CANON-202603-004805</t>
        </is>
      </c>
      <c r="B250" s="15" t="inlineStr">
        <is>
          <t>2026-03-05</t>
        </is>
      </c>
      <c r="C250" s="15" t="inlineStr">
        <is>
          <t>Delphine Pennington</t>
        </is>
      </c>
      <c r="D250" s="15" t="inlineStr">
        <is>
          <t>OR</t>
        </is>
      </c>
      <c r="E250" s="16" t="n">
        <v>190000</v>
      </c>
      <c r="F250" s="16" t="n">
        <v>3155.54</v>
      </c>
      <c r="G250" s="16" t="n">
        <v>394.44</v>
      </c>
      <c r="H250" s="16" t="n">
        <v>394.44</v>
      </c>
      <c r="I250" s="16">
        <f>SUM(K250:T250)</f>
        <v/>
      </c>
      <c r="J250" s="16">
        <f>F250-(G250+H250+I250)</f>
        <v/>
      </c>
      <c r="K250" s="16" t="n">
        <v>236.67</v>
      </c>
      <c r="L250" s="16" t="n">
        <v>236.67</v>
      </c>
      <c r="M250" s="16" t="n">
        <v>236.67</v>
      </c>
      <c r="N250" s="16" t="n">
        <v>236.67</v>
      </c>
      <c r="O250" s="16" t="n">
        <v>236.67</v>
      </c>
      <c r="P250" s="16" t="n">
        <v>236.67</v>
      </c>
      <c r="Q250" s="16" t="n">
        <v>236.67</v>
      </c>
      <c r="R250" s="16" t="n">
        <v>236.67</v>
      </c>
      <c r="S250" s="16" t="n">
        <v>236.67</v>
      </c>
      <c r="T250" s="16" t="n">
        <v>236.67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CANON-202603-004806</t>
        </is>
      </c>
      <c r="B251" s="3" t="inlineStr">
        <is>
          <t>2026-03-22</t>
        </is>
      </c>
      <c r="C251" s="3" t="inlineStr">
        <is>
          <t>Wilhelmina Fairweather</t>
        </is>
      </c>
      <c r="D251" s="3" t="inlineStr">
        <is>
          <t>CA</t>
        </is>
      </c>
      <c r="E251" s="14" t="n">
        <v>935000</v>
      </c>
      <c r="F251" s="14" t="n">
        <v>8670.969999999999</v>
      </c>
      <c r="G251" s="14" t="n">
        <v>1083.87</v>
      </c>
      <c r="H251" s="14" t="n">
        <v>1083.87</v>
      </c>
      <c r="I251" s="14">
        <f>SUM(K251:T251)</f>
        <v/>
      </c>
      <c r="J251" s="14">
        <f>F251-(G251+H251+I251)</f>
        <v/>
      </c>
      <c r="K251" s="14" t="n">
        <v>650.3200000000001</v>
      </c>
      <c r="L251" s="14" t="n">
        <v>650.3200000000001</v>
      </c>
      <c r="M251" s="14" t="n">
        <v>650.3200000000001</v>
      </c>
      <c r="N251" s="14" t="n">
        <v>650.3200000000001</v>
      </c>
      <c r="O251" s="14" t="n">
        <v>650.3200000000001</v>
      </c>
      <c r="P251" s="14" t="n">
        <v>650.3200000000001</v>
      </c>
      <c r="Q251" s="14" t="n">
        <v>650.3200000000001</v>
      </c>
      <c r="R251" s="14" t="n">
        <v>650.3200000000001</v>
      </c>
      <c r="S251" s="14" t="n">
        <v>650.3200000000001</v>
      </c>
      <c r="T251" s="14" t="n">
        <v>650.3200000000001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CANON-202603-004807</t>
        </is>
      </c>
      <c r="B252" s="15" t="inlineStr">
        <is>
          <t>2026-03-11</t>
        </is>
      </c>
      <c r="C252" s="15" t="inlineStr">
        <is>
          <t>Aurelio Vandermeer</t>
        </is>
      </c>
      <c r="D252" s="15" t="inlineStr">
        <is>
          <t>IL</t>
        </is>
      </c>
      <c r="E252" s="16" t="n">
        <v>1105000</v>
      </c>
      <c r="F252" s="16" t="n">
        <v>19206.35</v>
      </c>
      <c r="G252" s="16" t="n">
        <v>2400.79</v>
      </c>
      <c r="H252" s="16" t="n">
        <v>2400.79</v>
      </c>
      <c r="I252" s="16">
        <f>SUM(K252:T252)</f>
        <v/>
      </c>
      <c r="J252" s="16">
        <f>F252-(G252+H252+I252)</f>
        <v/>
      </c>
      <c r="K252" s="16" t="n">
        <v>1440.48</v>
      </c>
      <c r="L252" s="16" t="n">
        <v>1440.48</v>
      </c>
      <c r="M252" s="16" t="n">
        <v>1440.48</v>
      </c>
      <c r="N252" s="16" t="n">
        <v>1440.48</v>
      </c>
      <c r="O252" s="16" t="n">
        <v>1440.48</v>
      </c>
      <c r="P252" s="16" t="n">
        <v>1440.48</v>
      </c>
      <c r="Q252" s="16" t="n">
        <v>1440.48</v>
      </c>
      <c r="R252" s="16" t="n">
        <v>1440.48</v>
      </c>
      <c r="S252" s="16" t="n">
        <v>1440.48</v>
      </c>
      <c r="T252" s="16" t="n">
        <v>1440.48</v>
      </c>
      <c r="U252" s="16" t="n">
        <v>350</v>
      </c>
      <c r="V252" s="16" t="n">
        <v>250</v>
      </c>
      <c r="W252" s="16">
        <f>U252+V252</f>
        <v/>
      </c>
    </row>
    <row r="253">
      <c r="A253" s="3" t="inlineStr">
        <is>
          <t>CANON-202603-004809</t>
        </is>
      </c>
      <c r="B253" s="3" t="inlineStr">
        <is>
          <t>2026-03-29</t>
        </is>
      </c>
      <c r="C253" s="3" t="inlineStr">
        <is>
          <t>Anouk Castellanos</t>
        </is>
      </c>
      <c r="D253" s="3" t="inlineStr">
        <is>
          <t>WY</t>
        </is>
      </c>
      <c r="E253" s="14" t="n">
        <v>415000</v>
      </c>
      <c r="F253" s="14" t="n">
        <v>5320.43</v>
      </c>
      <c r="G253" s="14" t="n">
        <v>665.05</v>
      </c>
      <c r="H253" s="14" t="n">
        <v>665.05</v>
      </c>
      <c r="I253" s="14">
        <f>SUM(K253:T253)</f>
        <v/>
      </c>
      <c r="J253" s="14">
        <f>F253-(G253+H253+I253)</f>
        <v/>
      </c>
      <c r="K253" s="14" t="n">
        <v>399.03</v>
      </c>
      <c r="L253" s="14" t="n">
        <v>399.03</v>
      </c>
      <c r="M253" s="14" t="n">
        <v>399.03</v>
      </c>
      <c r="N253" s="14" t="n">
        <v>399.03</v>
      </c>
      <c r="O253" s="14" t="n">
        <v>399.03</v>
      </c>
      <c r="P253" s="14" t="n">
        <v>399.03</v>
      </c>
      <c r="Q253" s="14" t="n">
        <v>399.03</v>
      </c>
      <c r="R253" s="14" t="n">
        <v>399.03</v>
      </c>
      <c r="S253" s="14" t="n">
        <v>399.03</v>
      </c>
      <c r="T253" s="14" t="n">
        <v>399.03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CANON-202603-004810</t>
        </is>
      </c>
      <c r="B254" s="15" t="inlineStr">
        <is>
          <t>2026-03-13</t>
        </is>
      </c>
      <c r="C254" s="15" t="inlineStr">
        <is>
          <t>Mireille Vandermeer</t>
        </is>
      </c>
      <c r="D254" s="15" t="inlineStr">
        <is>
          <t>AR</t>
        </is>
      </c>
      <c r="E254" s="16" t="n">
        <v>675000</v>
      </c>
      <c r="F254" s="16" t="n">
        <v>14137.1</v>
      </c>
      <c r="G254" s="16" t="n">
        <v>1767.14</v>
      </c>
      <c r="H254" s="16" t="n">
        <v>1767.14</v>
      </c>
      <c r="I254" s="16">
        <f>SUM(K254:T254)</f>
        <v/>
      </c>
      <c r="J254" s="16">
        <f>F254-(G254+H254+I254)</f>
        <v/>
      </c>
      <c r="K254" s="16" t="n">
        <v>1060.28</v>
      </c>
      <c r="L254" s="16" t="n">
        <v>1060.28</v>
      </c>
      <c r="M254" s="16" t="n">
        <v>1060.28</v>
      </c>
      <c r="N254" s="16" t="n">
        <v>1060.28</v>
      </c>
      <c r="O254" s="16" t="n">
        <v>1060.28</v>
      </c>
      <c r="P254" s="16" t="n">
        <v>1060.28</v>
      </c>
      <c r="Q254" s="16" t="n">
        <v>1060.28</v>
      </c>
      <c r="R254" s="16" t="n">
        <v>1060.28</v>
      </c>
      <c r="S254" s="16" t="n">
        <v>1060.28</v>
      </c>
      <c r="T254" s="16" t="n">
        <v>1060.28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CANON-202603-004811</t>
        </is>
      </c>
      <c r="B255" s="3" t="inlineStr">
        <is>
          <t>2026-03-24</t>
        </is>
      </c>
      <c r="C255" s="3" t="inlineStr">
        <is>
          <t>Leopold Nakashima</t>
        </is>
      </c>
      <c r="D255" s="3" t="inlineStr">
        <is>
          <t>CA</t>
        </is>
      </c>
      <c r="E255" s="14" t="n">
        <v>745000</v>
      </c>
      <c r="F255" s="14" t="n">
        <v>15263.96</v>
      </c>
      <c r="G255" s="14" t="n">
        <v>1907.99</v>
      </c>
      <c r="H255" s="14" t="n">
        <v>1907.99</v>
      </c>
      <c r="I255" s="14">
        <f>SUM(K255:T255)</f>
        <v/>
      </c>
      <c r="J255" s="14">
        <f>F255-(G255+H255+I255)</f>
        <v/>
      </c>
      <c r="K255" s="14" t="n">
        <v>1144.8</v>
      </c>
      <c r="L255" s="14" t="n">
        <v>1144.8</v>
      </c>
      <c r="M255" s="14" t="n">
        <v>1144.8</v>
      </c>
      <c r="N255" s="14" t="n">
        <v>1144.8</v>
      </c>
      <c r="O255" s="14" t="n">
        <v>1144.8</v>
      </c>
      <c r="P255" s="14" t="n">
        <v>1144.8</v>
      </c>
      <c r="Q255" s="14" t="n">
        <v>1144.8</v>
      </c>
      <c r="R255" s="14" t="n">
        <v>1144.8</v>
      </c>
      <c r="S255" s="14" t="n">
        <v>1144.8</v>
      </c>
      <c r="T255" s="14" t="n">
        <v>1144.8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CANON-202603-004812</t>
        </is>
      </c>
      <c r="B256" s="15" t="inlineStr">
        <is>
          <t>2026-03-26</t>
        </is>
      </c>
      <c r="C256" s="15" t="inlineStr">
        <is>
          <t>Lorenzo Castellanos</t>
        </is>
      </c>
      <c r="D256" s="15" t="inlineStr">
        <is>
          <t>TX</t>
        </is>
      </c>
      <c r="E256" s="16" t="n">
        <v>1650000</v>
      </c>
      <c r="F256" s="16" t="n">
        <v>11519.12</v>
      </c>
      <c r="G256" s="16" t="n">
        <v>1439.89</v>
      </c>
      <c r="H256" s="16" t="n">
        <v>1439.89</v>
      </c>
      <c r="I256" s="16">
        <f>SUM(K256:T256)</f>
        <v/>
      </c>
      <c r="J256" s="16">
        <f>F256-(G256+H256+I256)</f>
        <v/>
      </c>
      <c r="K256" s="16" t="n">
        <v>863.9299999999999</v>
      </c>
      <c r="L256" s="16" t="n">
        <v>863.9299999999999</v>
      </c>
      <c r="M256" s="16" t="n">
        <v>863.9299999999999</v>
      </c>
      <c r="N256" s="16" t="n">
        <v>863.9299999999999</v>
      </c>
      <c r="O256" s="16" t="n">
        <v>863.9299999999999</v>
      </c>
      <c r="P256" s="16" t="n">
        <v>863.9299999999999</v>
      </c>
      <c r="Q256" s="16" t="n">
        <v>863.9299999999999</v>
      </c>
      <c r="R256" s="16" t="n">
        <v>863.9299999999999</v>
      </c>
      <c r="S256" s="16" t="n">
        <v>863.9299999999999</v>
      </c>
      <c r="T256" s="16" t="n">
        <v>863.9299999999999</v>
      </c>
      <c r="U256" s="16" t="n">
        <v>350</v>
      </c>
      <c r="V256" s="16" t="n">
        <v>250</v>
      </c>
      <c r="W256" s="16">
        <f>U256+V256</f>
        <v/>
      </c>
    </row>
    <row r="257">
      <c r="A257" s="3" t="inlineStr">
        <is>
          <t>CANON-202603-004813</t>
        </is>
      </c>
      <c r="B257" s="3" t="inlineStr">
        <is>
          <t>2026-03-22</t>
        </is>
      </c>
      <c r="C257" s="3" t="inlineStr">
        <is>
          <t>Horace Montoya</t>
        </is>
      </c>
      <c r="D257" s="3" t="inlineStr">
        <is>
          <t>NM</t>
        </is>
      </c>
      <c r="E257" s="14" t="n">
        <v>325000</v>
      </c>
      <c r="F257" s="14" t="n">
        <v>4984.35</v>
      </c>
      <c r="G257" s="14" t="n">
        <v>623.04</v>
      </c>
      <c r="H257" s="14" t="n">
        <v>623.04</v>
      </c>
      <c r="I257" s="14">
        <f>SUM(K257:T257)</f>
        <v/>
      </c>
      <c r="J257" s="14">
        <f>F257-(G257+H257+I257)</f>
        <v/>
      </c>
      <c r="K257" s="14" t="n">
        <v>373.83</v>
      </c>
      <c r="L257" s="14" t="n">
        <v>373.83</v>
      </c>
      <c r="M257" s="14" t="n">
        <v>373.83</v>
      </c>
      <c r="N257" s="14" t="n">
        <v>373.83</v>
      </c>
      <c r="O257" s="14" t="n">
        <v>373.83</v>
      </c>
      <c r="P257" s="14" t="n">
        <v>373.83</v>
      </c>
      <c r="Q257" s="14" t="n">
        <v>373.83</v>
      </c>
      <c r="R257" s="14" t="n">
        <v>373.83</v>
      </c>
      <c r="S257" s="14" t="n">
        <v>373.83</v>
      </c>
      <c r="T257" s="14" t="n">
        <v>373.83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CANON-202603-004814</t>
        </is>
      </c>
      <c r="B258" s="15" t="inlineStr">
        <is>
          <t>2026-03-10</t>
        </is>
      </c>
      <c r="C258" s="15" t="inlineStr">
        <is>
          <t>Cassius Whitlock</t>
        </is>
      </c>
      <c r="D258" s="15" t="inlineStr">
        <is>
          <t>OH</t>
        </is>
      </c>
      <c r="E258" s="16" t="n">
        <v>560000</v>
      </c>
      <c r="F258" s="16" t="n">
        <v>8082.95</v>
      </c>
      <c r="G258" s="16" t="n">
        <v>1010.37</v>
      </c>
      <c r="H258" s="16" t="n">
        <v>1010.37</v>
      </c>
      <c r="I258" s="16">
        <f>SUM(K258:T258)</f>
        <v/>
      </c>
      <c r="J258" s="16">
        <f>F258-(G258+H258+I258)</f>
        <v/>
      </c>
      <c r="K258" s="16" t="n">
        <v>606.22</v>
      </c>
      <c r="L258" s="16" t="n">
        <v>606.22</v>
      </c>
      <c r="M258" s="16" t="n">
        <v>606.22</v>
      </c>
      <c r="N258" s="16" t="n">
        <v>606.22</v>
      </c>
      <c r="O258" s="16" t="n">
        <v>606.22</v>
      </c>
      <c r="P258" s="16" t="n">
        <v>606.22</v>
      </c>
      <c r="Q258" s="16" t="n">
        <v>606.22</v>
      </c>
      <c r="R258" s="16" t="n">
        <v>606.22</v>
      </c>
      <c r="S258" s="16" t="n">
        <v>606.22</v>
      </c>
      <c r="T258" s="16" t="n">
        <v>606.22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CANON-202603-004817</t>
        </is>
      </c>
      <c r="B259" s="3" t="inlineStr">
        <is>
          <t>2026-03-27</t>
        </is>
      </c>
      <c r="C259" s="3" t="inlineStr">
        <is>
          <t>Wilhelmina Chattopadhyay</t>
        </is>
      </c>
      <c r="D259" s="3" t="inlineStr">
        <is>
          <t>KY</t>
        </is>
      </c>
      <c r="E259" s="14" t="n">
        <v>235000</v>
      </c>
      <c r="F259" s="14" t="n">
        <v>4628.22</v>
      </c>
      <c r="G259" s="14" t="n">
        <v>578.53</v>
      </c>
      <c r="H259" s="14" t="n">
        <v>578.53</v>
      </c>
      <c r="I259" s="14">
        <f>SUM(K259:T259)</f>
        <v/>
      </c>
      <c r="J259" s="14">
        <f>F259-(G259+H259+I259)</f>
        <v/>
      </c>
      <c r="K259" s="14" t="n">
        <v>347.12</v>
      </c>
      <c r="L259" s="14" t="n">
        <v>347.12</v>
      </c>
      <c r="M259" s="14" t="n">
        <v>347.12</v>
      </c>
      <c r="N259" s="14" t="n">
        <v>347.12</v>
      </c>
      <c r="O259" s="14" t="n">
        <v>347.12</v>
      </c>
      <c r="P259" s="14" t="n">
        <v>347.12</v>
      </c>
      <c r="Q259" s="14" t="n">
        <v>347.12</v>
      </c>
      <c r="R259" s="14" t="n">
        <v>347.12</v>
      </c>
      <c r="S259" s="14" t="n">
        <v>347.12</v>
      </c>
      <c r="T259" s="14" t="n">
        <v>347.12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CANON-202603-004819</t>
        </is>
      </c>
      <c r="B260" s="15" t="inlineStr">
        <is>
          <t>2026-03-18</t>
        </is>
      </c>
      <c r="C260" s="15" t="inlineStr">
        <is>
          <t>Fenwick Okonkwo</t>
        </is>
      </c>
      <c r="D260" s="15" t="inlineStr">
        <is>
          <t>GA</t>
        </is>
      </c>
      <c r="E260" s="16" t="n">
        <v>1010000</v>
      </c>
      <c r="F260" s="16" t="n">
        <v>6867.15</v>
      </c>
      <c r="G260" s="16" t="n">
        <v>858.39</v>
      </c>
      <c r="H260" s="16" t="n">
        <v>858.39</v>
      </c>
      <c r="I260" s="16">
        <f>SUM(K260:T260)</f>
        <v/>
      </c>
      <c r="J260" s="16">
        <f>F260-(G260+H260+I260)</f>
        <v/>
      </c>
      <c r="K260" s="16" t="n">
        <v>515.04</v>
      </c>
      <c r="L260" s="16" t="n">
        <v>515.04</v>
      </c>
      <c r="M260" s="16" t="n">
        <v>515.04</v>
      </c>
      <c r="N260" s="16" t="n">
        <v>515.04</v>
      </c>
      <c r="O260" s="16" t="n">
        <v>515.04</v>
      </c>
      <c r="P260" s="16" t="n">
        <v>515.04</v>
      </c>
      <c r="Q260" s="16" t="n">
        <v>515.04</v>
      </c>
      <c r="R260" s="16" t="n">
        <v>515.04</v>
      </c>
      <c r="S260" s="16" t="n">
        <v>515.04</v>
      </c>
      <c r="T260" s="16" t="n">
        <v>515.04</v>
      </c>
      <c r="U260" s="16" t="n">
        <v>350</v>
      </c>
      <c r="V260" s="16" t="n">
        <v>250</v>
      </c>
      <c r="W260" s="16">
        <f>U260+V260</f>
        <v/>
      </c>
    </row>
    <row r="261">
      <c r="A261" s="3" t="inlineStr">
        <is>
          <t>CANON-202603-004820</t>
        </is>
      </c>
      <c r="B261" s="3" t="inlineStr">
        <is>
          <t>2026-03-04</t>
        </is>
      </c>
      <c r="C261" s="3" t="inlineStr">
        <is>
          <t>Lorenzo Vandermeer</t>
        </is>
      </c>
      <c r="D261" s="3" t="inlineStr">
        <is>
          <t>AZ</t>
        </is>
      </c>
      <c r="E261" s="14" t="n">
        <v>1400000</v>
      </c>
      <c r="F261" s="14" t="n">
        <v>12424.12</v>
      </c>
      <c r="G261" s="14" t="n">
        <v>1553.02</v>
      </c>
      <c r="H261" s="14" t="n">
        <v>1553.02</v>
      </c>
      <c r="I261" s="14">
        <f>SUM(K261:T261)</f>
        <v/>
      </c>
      <c r="J261" s="14">
        <f>F261-(G261+H261+I261)</f>
        <v/>
      </c>
      <c r="K261" s="14" t="n">
        <v>931.8099999999999</v>
      </c>
      <c r="L261" s="14" t="n">
        <v>931.8099999999999</v>
      </c>
      <c r="M261" s="14" t="n">
        <v>931.8099999999999</v>
      </c>
      <c r="N261" s="14" t="n">
        <v>931.8099999999999</v>
      </c>
      <c r="O261" s="14" t="n">
        <v>931.8099999999999</v>
      </c>
      <c r="P261" s="14" t="n">
        <v>931.8099999999999</v>
      </c>
      <c r="Q261" s="14" t="n">
        <v>931.8099999999999</v>
      </c>
      <c r="R261" s="14" t="n">
        <v>931.8099999999999</v>
      </c>
      <c r="S261" s="14" t="n">
        <v>931.8099999999999</v>
      </c>
      <c r="T261" s="14" t="n">
        <v>931.8099999999999</v>
      </c>
      <c r="U261" s="14" t="n">
        <v>350</v>
      </c>
      <c r="V261" s="14" t="n">
        <v>250</v>
      </c>
      <c r="W261" s="14">
        <f>U261+V261</f>
        <v/>
      </c>
    </row>
    <row r="262">
      <c r="A262" s="15" t="inlineStr">
        <is>
          <t>CANON-202603-004821</t>
        </is>
      </c>
      <c r="B262" s="15" t="inlineStr">
        <is>
          <t>2026-03-14</t>
        </is>
      </c>
      <c r="C262" s="15" t="inlineStr">
        <is>
          <t>Emiliano Whitlock</t>
        </is>
      </c>
      <c r="D262" s="15" t="inlineStr">
        <is>
          <t>OH</t>
        </is>
      </c>
      <c r="E262" s="16" t="n">
        <v>280000</v>
      </c>
      <c r="F262" s="16" t="n">
        <v>4663.24</v>
      </c>
      <c r="G262" s="16" t="n">
        <v>582.9</v>
      </c>
      <c r="H262" s="16" t="n">
        <v>582.9</v>
      </c>
      <c r="I262" s="16">
        <f>SUM(K262:T262)</f>
        <v/>
      </c>
      <c r="J262" s="16">
        <f>F262-(G262+H262+I262)</f>
        <v/>
      </c>
      <c r="K262" s="16" t="n">
        <v>349.74</v>
      </c>
      <c r="L262" s="16" t="n">
        <v>349.74</v>
      </c>
      <c r="M262" s="16" t="n">
        <v>349.74</v>
      </c>
      <c r="N262" s="16" t="n">
        <v>349.74</v>
      </c>
      <c r="O262" s="16" t="n">
        <v>349.74</v>
      </c>
      <c r="P262" s="16" t="n">
        <v>349.74</v>
      </c>
      <c r="Q262" s="16" t="n">
        <v>349.74</v>
      </c>
      <c r="R262" s="16" t="n">
        <v>349.74</v>
      </c>
      <c r="S262" s="16" t="n">
        <v>349.74</v>
      </c>
      <c r="T262" s="16" t="n">
        <v>349.74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CANON-202603-004822</t>
        </is>
      </c>
      <c r="B263" s="3" t="inlineStr">
        <is>
          <t>2026-03-29</t>
        </is>
      </c>
      <c r="C263" s="3" t="inlineStr">
        <is>
          <t>Sunniva Chattopadhyay</t>
        </is>
      </c>
      <c r="D263" s="3" t="inlineStr">
        <is>
          <t>FL</t>
        </is>
      </c>
      <c r="E263" s="14" t="n">
        <v>685000</v>
      </c>
      <c r="F263" s="14" t="n">
        <v>5904.95</v>
      </c>
      <c r="G263" s="14" t="n">
        <v>738.12</v>
      </c>
      <c r="H263" s="14" t="n">
        <v>738.12</v>
      </c>
      <c r="I263" s="14">
        <f>SUM(K263:T263)</f>
        <v/>
      </c>
      <c r="J263" s="14">
        <f>F263-(G263+H263+I263)</f>
        <v/>
      </c>
      <c r="K263" s="14" t="n">
        <v>442.87</v>
      </c>
      <c r="L263" s="14" t="n">
        <v>442.87</v>
      </c>
      <c r="M263" s="14" t="n">
        <v>442.87</v>
      </c>
      <c r="N263" s="14" t="n">
        <v>442.87</v>
      </c>
      <c r="O263" s="14" t="n">
        <v>442.87</v>
      </c>
      <c r="P263" s="14" t="n">
        <v>442.87</v>
      </c>
      <c r="Q263" s="14" t="n">
        <v>442.87</v>
      </c>
      <c r="R263" s="14" t="n">
        <v>442.87</v>
      </c>
      <c r="S263" s="14" t="n">
        <v>442.87</v>
      </c>
      <c r="T263" s="14" t="n">
        <v>442.87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CANON-202603-004823</t>
        </is>
      </c>
      <c r="B264" s="15" t="inlineStr">
        <is>
          <t>2026-03-19</t>
        </is>
      </c>
      <c r="C264" s="15" t="inlineStr">
        <is>
          <t>Desmond Nakashima</t>
        </is>
      </c>
      <c r="D264" s="15" t="inlineStr">
        <is>
          <t>IL</t>
        </is>
      </c>
      <c r="E264" s="16" t="n">
        <v>1065000</v>
      </c>
      <c r="F264" s="16" t="n">
        <v>8792.77</v>
      </c>
      <c r="G264" s="16" t="n">
        <v>1099.1</v>
      </c>
      <c r="H264" s="16" t="n">
        <v>1099.1</v>
      </c>
      <c r="I264" s="16">
        <f>SUM(K264:T264)</f>
        <v/>
      </c>
      <c r="J264" s="16">
        <f>F264-(G264+H264+I264)</f>
        <v/>
      </c>
      <c r="K264" s="16" t="n">
        <v>659.46</v>
      </c>
      <c r="L264" s="16" t="n">
        <v>659.46</v>
      </c>
      <c r="M264" s="16" t="n">
        <v>659.46</v>
      </c>
      <c r="N264" s="16" t="n">
        <v>659.46</v>
      </c>
      <c r="O264" s="16" t="n">
        <v>659.46</v>
      </c>
      <c r="P264" s="16" t="n">
        <v>659.46</v>
      </c>
      <c r="Q264" s="16" t="n">
        <v>659.46</v>
      </c>
      <c r="R264" s="16" t="n">
        <v>659.46</v>
      </c>
      <c r="S264" s="16" t="n">
        <v>659.46</v>
      </c>
      <c r="T264" s="16" t="n">
        <v>659.46</v>
      </c>
      <c r="U264" s="16" t="n">
        <v>350</v>
      </c>
      <c r="V264" s="16" t="n">
        <v>250</v>
      </c>
      <c r="W264" s="16">
        <f>U264+V264</f>
        <v/>
      </c>
    </row>
    <row r="265">
      <c r="A265" s="3" t="inlineStr">
        <is>
          <t>CANON-202603-004824</t>
        </is>
      </c>
      <c r="B265" s="3" t="inlineStr">
        <is>
          <t>2026-03-13</t>
        </is>
      </c>
      <c r="C265" s="3" t="inlineStr">
        <is>
          <t>Thaddeus Vasquez</t>
        </is>
      </c>
      <c r="D265" s="3" t="inlineStr">
        <is>
          <t>AR</t>
        </is>
      </c>
      <c r="E265" s="14" t="n">
        <v>1310000</v>
      </c>
      <c r="F265" s="14" t="n">
        <v>15884.25</v>
      </c>
      <c r="G265" s="14" t="n">
        <v>1985.53</v>
      </c>
      <c r="H265" s="14" t="n">
        <v>1985.53</v>
      </c>
      <c r="I265" s="14">
        <f>SUM(K265:T265)</f>
        <v/>
      </c>
      <c r="J265" s="14">
        <f>F265-(G265+H265+I265)</f>
        <v/>
      </c>
      <c r="K265" s="14" t="n">
        <v>1191.32</v>
      </c>
      <c r="L265" s="14" t="n">
        <v>1191.32</v>
      </c>
      <c r="M265" s="14" t="n">
        <v>1191.32</v>
      </c>
      <c r="N265" s="14" t="n">
        <v>1191.32</v>
      </c>
      <c r="O265" s="14" t="n">
        <v>1191.32</v>
      </c>
      <c r="P265" s="14" t="n">
        <v>1191.32</v>
      </c>
      <c r="Q265" s="14" t="n">
        <v>1191.32</v>
      </c>
      <c r="R265" s="14" t="n">
        <v>1191.32</v>
      </c>
      <c r="S265" s="14" t="n">
        <v>1191.32</v>
      </c>
      <c r="T265" s="14" t="n">
        <v>1191.32</v>
      </c>
      <c r="U265" s="14" t="n">
        <v>350</v>
      </c>
      <c r="V265" s="14" t="n">
        <v>250</v>
      </c>
      <c r="W265" s="14">
        <f>U265+V265</f>
        <v/>
      </c>
    </row>
    <row r="266">
      <c r="A266" s="15" t="inlineStr">
        <is>
          <t>CANON-202603-004825</t>
        </is>
      </c>
      <c r="B266" s="15" t="inlineStr">
        <is>
          <t>2026-03-16</t>
        </is>
      </c>
      <c r="C266" s="15" t="inlineStr">
        <is>
          <t>Saoirse Castellanos</t>
        </is>
      </c>
      <c r="D266" s="15" t="inlineStr">
        <is>
          <t>MA</t>
        </is>
      </c>
      <c r="E266" s="16" t="n">
        <v>1030000</v>
      </c>
      <c r="F266" s="16" t="n">
        <v>11312.63</v>
      </c>
      <c r="G266" s="16" t="n">
        <v>1414.08</v>
      </c>
      <c r="H266" s="16" t="n">
        <v>1414.08</v>
      </c>
      <c r="I266" s="16">
        <f>SUM(K266:T266)</f>
        <v/>
      </c>
      <c r="J266" s="16">
        <f>F266-(G266+H266+I266)</f>
        <v/>
      </c>
      <c r="K266" s="16" t="n">
        <v>848.45</v>
      </c>
      <c r="L266" s="16" t="n">
        <v>848.45</v>
      </c>
      <c r="M266" s="16" t="n">
        <v>848.45</v>
      </c>
      <c r="N266" s="16" t="n">
        <v>848.45</v>
      </c>
      <c r="O266" s="16" t="n">
        <v>848.45</v>
      </c>
      <c r="P266" s="16" t="n">
        <v>848.45</v>
      </c>
      <c r="Q266" s="16" t="n">
        <v>848.45</v>
      </c>
      <c r="R266" s="16" t="n">
        <v>848.45</v>
      </c>
      <c r="S266" s="16" t="n">
        <v>848.45</v>
      </c>
      <c r="T266" s="16" t="n">
        <v>848.45</v>
      </c>
      <c r="U266" s="16" t="n">
        <v>350</v>
      </c>
      <c r="V266" s="16" t="n">
        <v>250</v>
      </c>
      <c r="W266" s="16">
        <f>U266+V266</f>
        <v/>
      </c>
    </row>
    <row r="267">
      <c r="A267" s="3" t="inlineStr">
        <is>
          <t>CANON-202603-004826</t>
        </is>
      </c>
      <c r="B267" s="3" t="inlineStr">
        <is>
          <t>2026-03-04</t>
        </is>
      </c>
      <c r="C267" s="3" t="inlineStr">
        <is>
          <t>Delphine Okonkwo</t>
        </is>
      </c>
      <c r="D267" s="3" t="inlineStr">
        <is>
          <t>MS</t>
        </is>
      </c>
      <c r="E267" s="14" t="n">
        <v>635000</v>
      </c>
      <c r="F267" s="14" t="n">
        <v>9416.059999999999</v>
      </c>
      <c r="G267" s="14" t="n">
        <v>1177.01</v>
      </c>
      <c r="H267" s="14" t="n">
        <v>1177.01</v>
      </c>
      <c r="I267" s="14">
        <f>SUM(K267:T267)</f>
        <v/>
      </c>
      <c r="J267" s="14">
        <f>F267-(G267+H267+I267)</f>
        <v/>
      </c>
      <c r="K267" s="14" t="n">
        <v>706.2</v>
      </c>
      <c r="L267" s="14" t="n">
        <v>706.2</v>
      </c>
      <c r="M267" s="14" t="n">
        <v>706.2</v>
      </c>
      <c r="N267" s="14" t="n">
        <v>706.2</v>
      </c>
      <c r="O267" s="14" t="n">
        <v>706.2</v>
      </c>
      <c r="P267" s="14" t="n">
        <v>706.2</v>
      </c>
      <c r="Q267" s="14" t="n">
        <v>706.2</v>
      </c>
      <c r="R267" s="14" t="n">
        <v>706.2</v>
      </c>
      <c r="S267" s="14" t="n">
        <v>706.2</v>
      </c>
      <c r="T267" s="14" t="n">
        <v>706.2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CANON-202603-004827</t>
        </is>
      </c>
      <c r="B268" s="15" t="inlineStr">
        <is>
          <t>2026-03-20</t>
        </is>
      </c>
      <c r="C268" s="15" t="inlineStr">
        <is>
          <t>Callum Underwood</t>
        </is>
      </c>
      <c r="D268" s="15" t="inlineStr">
        <is>
          <t>OH</t>
        </is>
      </c>
      <c r="E268" s="16" t="n">
        <v>365000</v>
      </c>
      <c r="F268" s="16" t="n">
        <v>9320.93</v>
      </c>
      <c r="G268" s="16" t="n">
        <v>1165.12</v>
      </c>
      <c r="H268" s="16" t="n">
        <v>1165.12</v>
      </c>
      <c r="I268" s="16">
        <f>SUM(K268:T268)</f>
        <v/>
      </c>
      <c r="J268" s="16">
        <f>F268-(G268+H268+I268)</f>
        <v/>
      </c>
      <c r="K268" s="16" t="n">
        <v>699.0700000000001</v>
      </c>
      <c r="L268" s="16" t="n">
        <v>699.0700000000001</v>
      </c>
      <c r="M268" s="16" t="n">
        <v>699.0700000000001</v>
      </c>
      <c r="N268" s="16" t="n">
        <v>699.0700000000001</v>
      </c>
      <c r="O268" s="16" t="n">
        <v>699.0700000000001</v>
      </c>
      <c r="P268" s="16" t="n">
        <v>699.0700000000001</v>
      </c>
      <c r="Q268" s="16" t="n">
        <v>699.0700000000001</v>
      </c>
      <c r="R268" s="16" t="n">
        <v>699.0700000000001</v>
      </c>
      <c r="S268" s="16" t="n">
        <v>699.0700000000001</v>
      </c>
      <c r="T268" s="16" t="n">
        <v>699.0700000000001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CANON-202603-004828</t>
        </is>
      </c>
      <c r="B269" s="3" t="inlineStr">
        <is>
          <t>2026-03-25</t>
        </is>
      </c>
      <c r="C269" s="3" t="inlineStr">
        <is>
          <t>Ingrid Harrington</t>
        </is>
      </c>
      <c r="D269" s="3" t="inlineStr">
        <is>
          <t>FL</t>
        </is>
      </c>
      <c r="E269" s="14" t="n">
        <v>775000</v>
      </c>
      <c r="F269" s="14" t="n">
        <v>11427.66</v>
      </c>
      <c r="G269" s="14" t="n">
        <v>1428.46</v>
      </c>
      <c r="H269" s="14" t="n">
        <v>1428.46</v>
      </c>
      <c r="I269" s="14">
        <f>SUM(K269:T269)</f>
        <v/>
      </c>
      <c r="J269" s="14">
        <f>F269-(G269+H269+I269)</f>
        <v/>
      </c>
      <c r="K269" s="14" t="n">
        <v>857.0700000000001</v>
      </c>
      <c r="L269" s="14" t="n">
        <v>857.0700000000001</v>
      </c>
      <c r="M269" s="14" t="n">
        <v>857.0700000000001</v>
      </c>
      <c r="N269" s="14" t="n">
        <v>857.0700000000001</v>
      </c>
      <c r="O269" s="14" t="n">
        <v>857.0700000000001</v>
      </c>
      <c r="P269" s="14" t="n">
        <v>857.0700000000001</v>
      </c>
      <c r="Q269" s="14" t="n">
        <v>857.0700000000001</v>
      </c>
      <c r="R269" s="14" t="n">
        <v>857.0700000000001</v>
      </c>
      <c r="S269" s="14" t="n">
        <v>857.0700000000001</v>
      </c>
      <c r="T269" s="14" t="n">
        <v>857.0700000000001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CANON-202603-004830</t>
        </is>
      </c>
      <c r="B270" s="15" t="inlineStr">
        <is>
          <t>2026-03-24</t>
        </is>
      </c>
      <c r="C270" s="15" t="inlineStr">
        <is>
          <t>Desmond Ashcombe</t>
        </is>
      </c>
      <c r="D270" s="15" t="inlineStr">
        <is>
          <t>FL</t>
        </is>
      </c>
      <c r="E270" s="16" t="n">
        <v>480000</v>
      </c>
      <c r="F270" s="16" t="n">
        <v>12522.21</v>
      </c>
      <c r="G270" s="16" t="n">
        <v>1565.28</v>
      </c>
      <c r="H270" s="16" t="n">
        <v>1565.28</v>
      </c>
      <c r="I270" s="16">
        <f>SUM(K270:T270)</f>
        <v/>
      </c>
      <c r="J270" s="16">
        <f>F270-(G270+H270+I270)</f>
        <v/>
      </c>
      <c r="K270" s="16" t="n">
        <v>939.17</v>
      </c>
      <c r="L270" s="16" t="n">
        <v>939.17</v>
      </c>
      <c r="M270" s="16" t="n">
        <v>939.17</v>
      </c>
      <c r="N270" s="16" t="n">
        <v>939.17</v>
      </c>
      <c r="O270" s="16" t="n">
        <v>939.17</v>
      </c>
      <c r="P270" s="16" t="n">
        <v>939.17</v>
      </c>
      <c r="Q270" s="16" t="n">
        <v>939.17</v>
      </c>
      <c r="R270" s="16" t="n">
        <v>939.17</v>
      </c>
      <c r="S270" s="16" t="n">
        <v>939.17</v>
      </c>
      <c r="T270" s="16" t="n">
        <v>939.17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CANON-202603-004831</t>
        </is>
      </c>
      <c r="B271" s="3" t="inlineStr">
        <is>
          <t>2026-03-10</t>
        </is>
      </c>
      <c r="C271" s="3" t="inlineStr">
        <is>
          <t>Mireille Okonkwo</t>
        </is>
      </c>
      <c r="D271" s="3" t="inlineStr">
        <is>
          <t>NJ</t>
        </is>
      </c>
      <c r="E271" s="14" t="n">
        <v>545000</v>
      </c>
      <c r="F271" s="14" t="n">
        <v>5149.98</v>
      </c>
      <c r="G271" s="14" t="n">
        <v>643.75</v>
      </c>
      <c r="H271" s="14" t="n">
        <v>643.75</v>
      </c>
      <c r="I271" s="14">
        <f>SUM(K271:T271)</f>
        <v/>
      </c>
      <c r="J271" s="14">
        <f>F271-(G271+H271+I271)</f>
        <v/>
      </c>
      <c r="K271" s="14" t="n">
        <v>386.25</v>
      </c>
      <c r="L271" s="14" t="n">
        <v>386.25</v>
      </c>
      <c r="M271" s="14" t="n">
        <v>386.25</v>
      </c>
      <c r="N271" s="14" t="n">
        <v>386.25</v>
      </c>
      <c r="O271" s="14" t="n">
        <v>386.25</v>
      </c>
      <c r="P271" s="14" t="n">
        <v>386.25</v>
      </c>
      <c r="Q271" s="14" t="n">
        <v>386.25</v>
      </c>
      <c r="R271" s="14" t="n">
        <v>386.25</v>
      </c>
      <c r="S271" s="14" t="n">
        <v>386.25</v>
      </c>
      <c r="T271" s="14" t="n">
        <v>386.25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CANON-202603-004833</t>
        </is>
      </c>
      <c r="B272" s="15" t="inlineStr">
        <is>
          <t>2026-03-26</t>
        </is>
      </c>
      <c r="C272" s="15" t="inlineStr">
        <is>
          <t>Noor Bellandi</t>
        </is>
      </c>
      <c r="D272" s="15" t="inlineStr">
        <is>
          <t>ME</t>
        </is>
      </c>
      <c r="E272" s="16" t="n">
        <v>550000</v>
      </c>
      <c r="F272" s="16" t="n">
        <v>6168.13</v>
      </c>
      <c r="G272" s="16" t="n">
        <v>771.02</v>
      </c>
      <c r="H272" s="16" t="n">
        <v>771.02</v>
      </c>
      <c r="I272" s="16">
        <f>SUM(K272:T272)</f>
        <v/>
      </c>
      <c r="J272" s="16">
        <f>F272-(G272+H272+I272)</f>
        <v/>
      </c>
      <c r="K272" s="16" t="n">
        <v>462.61</v>
      </c>
      <c r="L272" s="16" t="n">
        <v>462.61</v>
      </c>
      <c r="M272" s="16" t="n">
        <v>462.61</v>
      </c>
      <c r="N272" s="16" t="n">
        <v>462.61</v>
      </c>
      <c r="O272" s="16" t="n">
        <v>462.61</v>
      </c>
      <c r="P272" s="16" t="n">
        <v>462.61</v>
      </c>
      <c r="Q272" s="16" t="n">
        <v>462.61</v>
      </c>
      <c r="R272" s="16" t="n">
        <v>462.61</v>
      </c>
      <c r="S272" s="16" t="n">
        <v>462.61</v>
      </c>
      <c r="T272" s="16" t="n">
        <v>462.61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CANON-202603-004835</t>
        </is>
      </c>
      <c r="B273" s="3" t="inlineStr">
        <is>
          <t>2026-03-24</t>
        </is>
      </c>
      <c r="C273" s="3" t="inlineStr">
        <is>
          <t>Anouk Rourke</t>
        </is>
      </c>
      <c r="D273" s="3" t="inlineStr">
        <is>
          <t>NM</t>
        </is>
      </c>
      <c r="E273" s="14" t="n">
        <v>1950000</v>
      </c>
      <c r="F273" s="14" t="n">
        <v>31899.82</v>
      </c>
      <c r="G273" s="14" t="n">
        <v>3987.48</v>
      </c>
      <c r="H273" s="14" t="n">
        <v>3987.48</v>
      </c>
      <c r="I273" s="14">
        <f>SUM(K273:T273)</f>
        <v/>
      </c>
      <c r="J273" s="14">
        <f>F273-(G273+H273+I273)</f>
        <v/>
      </c>
      <c r="K273" s="14" t="n">
        <v>2392.49</v>
      </c>
      <c r="L273" s="14" t="n">
        <v>2392.49</v>
      </c>
      <c r="M273" s="14" t="n">
        <v>2392.49</v>
      </c>
      <c r="N273" s="14" t="n">
        <v>2392.49</v>
      </c>
      <c r="O273" s="14" t="n">
        <v>2392.49</v>
      </c>
      <c r="P273" s="14" t="n">
        <v>2392.49</v>
      </c>
      <c r="Q273" s="14" t="n">
        <v>2392.49</v>
      </c>
      <c r="R273" s="14" t="n">
        <v>2392.49</v>
      </c>
      <c r="S273" s="14" t="n">
        <v>2392.49</v>
      </c>
      <c r="T273" s="14" t="n">
        <v>2392.49</v>
      </c>
      <c r="U273" s="14" t="n">
        <v>350</v>
      </c>
      <c r="V273" s="14" t="n">
        <v>250</v>
      </c>
      <c r="W273" s="14">
        <f>U273+V273</f>
        <v/>
      </c>
    </row>
    <row r="274">
      <c r="A274" s="15" t="inlineStr">
        <is>
          <t>CANON-202603-004836</t>
        </is>
      </c>
      <c r="B274" s="15" t="inlineStr">
        <is>
          <t>2026-03-03</t>
        </is>
      </c>
      <c r="C274" s="15" t="inlineStr">
        <is>
          <t>Beatrix Fairweather</t>
        </is>
      </c>
      <c r="D274" s="15" t="inlineStr">
        <is>
          <t>TN</t>
        </is>
      </c>
      <c r="E274" s="16" t="n">
        <v>665000</v>
      </c>
      <c r="F274" s="16" t="n">
        <v>6767.29</v>
      </c>
      <c r="G274" s="16" t="n">
        <v>845.91</v>
      </c>
      <c r="H274" s="16" t="n">
        <v>845.91</v>
      </c>
      <c r="I274" s="16">
        <f>SUM(K274:T274)</f>
        <v/>
      </c>
      <c r="J274" s="16">
        <f>F274-(G274+H274+I274)</f>
        <v/>
      </c>
      <c r="K274" s="16" t="n">
        <v>507.55</v>
      </c>
      <c r="L274" s="16" t="n">
        <v>507.55</v>
      </c>
      <c r="M274" s="16" t="n">
        <v>507.55</v>
      </c>
      <c r="N274" s="16" t="n">
        <v>507.55</v>
      </c>
      <c r="O274" s="16" t="n">
        <v>507.55</v>
      </c>
      <c r="P274" s="16" t="n">
        <v>507.55</v>
      </c>
      <c r="Q274" s="16" t="n">
        <v>507.55</v>
      </c>
      <c r="R274" s="16" t="n">
        <v>507.55</v>
      </c>
      <c r="S274" s="16" t="n">
        <v>507.55</v>
      </c>
      <c r="T274" s="16" t="n">
        <v>507.55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CANON-202603-004837</t>
        </is>
      </c>
      <c r="B275" s="3" t="inlineStr">
        <is>
          <t>2026-03-13</t>
        </is>
      </c>
      <c r="C275" s="3" t="inlineStr">
        <is>
          <t>Fenwick Underwood</t>
        </is>
      </c>
      <c r="D275" s="3" t="inlineStr">
        <is>
          <t>OH</t>
        </is>
      </c>
      <c r="E275" s="14" t="n">
        <v>660000</v>
      </c>
      <c r="F275" s="14" t="n">
        <v>9526.33</v>
      </c>
      <c r="G275" s="14" t="n">
        <v>1190.79</v>
      </c>
      <c r="H275" s="14" t="n">
        <v>1190.79</v>
      </c>
      <c r="I275" s="14">
        <f>SUM(K275:T275)</f>
        <v/>
      </c>
      <c r="J275" s="14">
        <f>F275-(G275+H275+I275)</f>
        <v/>
      </c>
      <c r="K275" s="14" t="n">
        <v>714.47</v>
      </c>
      <c r="L275" s="14" t="n">
        <v>714.47</v>
      </c>
      <c r="M275" s="14" t="n">
        <v>714.47</v>
      </c>
      <c r="N275" s="14" t="n">
        <v>714.47</v>
      </c>
      <c r="O275" s="14" t="n">
        <v>714.47</v>
      </c>
      <c r="P275" s="14" t="n">
        <v>714.47</v>
      </c>
      <c r="Q275" s="14" t="n">
        <v>714.47</v>
      </c>
      <c r="R275" s="14" t="n">
        <v>714.47</v>
      </c>
      <c r="S275" s="14" t="n">
        <v>714.47</v>
      </c>
      <c r="T275" s="14" t="n">
        <v>714.47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CANON-202603-004838</t>
        </is>
      </c>
      <c r="B276" s="15" t="inlineStr">
        <is>
          <t>2026-03-15</t>
        </is>
      </c>
      <c r="C276" s="15" t="inlineStr">
        <is>
          <t>Leopold Kingsford</t>
        </is>
      </c>
      <c r="D276" s="15" t="inlineStr">
        <is>
          <t>SC</t>
        </is>
      </c>
      <c r="E276" s="16" t="n">
        <v>635000</v>
      </c>
      <c r="F276" s="16" t="n">
        <v>8176.4</v>
      </c>
      <c r="G276" s="16" t="n">
        <v>1022.05</v>
      </c>
      <c r="H276" s="16" t="n">
        <v>1022.05</v>
      </c>
      <c r="I276" s="16">
        <f>SUM(K276:T276)</f>
        <v/>
      </c>
      <c r="J276" s="16">
        <f>F276-(G276+H276+I276)</f>
        <v/>
      </c>
      <c r="K276" s="16" t="n">
        <v>613.23</v>
      </c>
      <c r="L276" s="16" t="n">
        <v>613.23</v>
      </c>
      <c r="M276" s="16" t="n">
        <v>613.23</v>
      </c>
      <c r="N276" s="16" t="n">
        <v>613.23</v>
      </c>
      <c r="O276" s="16" t="n">
        <v>613.23</v>
      </c>
      <c r="P276" s="16" t="n">
        <v>613.23</v>
      </c>
      <c r="Q276" s="16" t="n">
        <v>613.23</v>
      </c>
      <c r="R276" s="16" t="n">
        <v>613.23</v>
      </c>
      <c r="S276" s="16" t="n">
        <v>613.23</v>
      </c>
      <c r="T276" s="16" t="n">
        <v>613.23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CANON-202603-004840</t>
        </is>
      </c>
      <c r="B277" s="3" t="inlineStr">
        <is>
          <t>2026-03-02</t>
        </is>
      </c>
      <c r="C277" s="3" t="inlineStr">
        <is>
          <t>Noor Vandermeer</t>
        </is>
      </c>
      <c r="D277" s="3" t="inlineStr">
        <is>
          <t>AK</t>
        </is>
      </c>
      <c r="E277" s="14" t="n">
        <v>520000</v>
      </c>
      <c r="F277" s="14" t="n">
        <v>6155.67</v>
      </c>
      <c r="G277" s="14" t="n">
        <v>769.46</v>
      </c>
      <c r="H277" s="14" t="n">
        <v>769.46</v>
      </c>
      <c r="I277" s="14">
        <f>SUM(K277:T277)</f>
        <v/>
      </c>
      <c r="J277" s="14">
        <f>F277-(G277+H277+I277)</f>
        <v/>
      </c>
      <c r="K277" s="14" t="n">
        <v>461.68</v>
      </c>
      <c r="L277" s="14" t="n">
        <v>461.68</v>
      </c>
      <c r="M277" s="14" t="n">
        <v>461.68</v>
      </c>
      <c r="N277" s="14" t="n">
        <v>461.68</v>
      </c>
      <c r="O277" s="14" t="n">
        <v>461.68</v>
      </c>
      <c r="P277" s="14" t="n">
        <v>461.68</v>
      </c>
      <c r="Q277" s="14" t="n">
        <v>461.68</v>
      </c>
      <c r="R277" s="14" t="n">
        <v>461.68</v>
      </c>
      <c r="S277" s="14" t="n">
        <v>461.68</v>
      </c>
      <c r="T277" s="14" t="n">
        <v>461.68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CANON-202603-004842</t>
        </is>
      </c>
      <c r="B278" s="15" t="inlineStr">
        <is>
          <t>2026-03-19</t>
        </is>
      </c>
      <c r="C278" s="15" t="inlineStr">
        <is>
          <t>Anouk Nakashima</t>
        </is>
      </c>
      <c r="D278" s="15" t="inlineStr">
        <is>
          <t>AZ</t>
        </is>
      </c>
      <c r="E278" s="16" t="n">
        <v>1950000</v>
      </c>
      <c r="F278" s="16" t="n">
        <v>17305.03</v>
      </c>
      <c r="G278" s="16" t="n">
        <v>2163.13</v>
      </c>
      <c r="H278" s="16" t="n">
        <v>2163.13</v>
      </c>
      <c r="I278" s="16">
        <f>SUM(K278:T278)</f>
        <v/>
      </c>
      <c r="J278" s="16">
        <f>F278-(G278+H278+I278)</f>
        <v/>
      </c>
      <c r="K278" s="16" t="n">
        <v>1297.88</v>
      </c>
      <c r="L278" s="16" t="n">
        <v>1297.88</v>
      </c>
      <c r="M278" s="16" t="n">
        <v>1297.88</v>
      </c>
      <c r="N278" s="16" t="n">
        <v>1297.88</v>
      </c>
      <c r="O278" s="16" t="n">
        <v>1297.88</v>
      </c>
      <c r="P278" s="16" t="n">
        <v>1297.88</v>
      </c>
      <c r="Q278" s="16" t="n">
        <v>1297.88</v>
      </c>
      <c r="R278" s="16" t="n">
        <v>1297.88</v>
      </c>
      <c r="S278" s="16" t="n">
        <v>1297.88</v>
      </c>
      <c r="T278" s="16" t="n">
        <v>1297.88</v>
      </c>
      <c r="U278" s="16" t="n">
        <v>350</v>
      </c>
      <c r="V278" s="16" t="n">
        <v>250</v>
      </c>
      <c r="W278" s="16">
        <f>U278+V278</f>
        <v/>
      </c>
    </row>
    <row r="279">
      <c r="A279" s="3" t="inlineStr">
        <is>
          <t>CANON-202603-004843</t>
        </is>
      </c>
      <c r="B279" s="3" t="inlineStr">
        <is>
          <t>2026-03-12</t>
        </is>
      </c>
      <c r="C279" s="3" t="inlineStr">
        <is>
          <t>Thaddeus Fairweather</t>
        </is>
      </c>
      <c r="D279" s="3" t="inlineStr">
        <is>
          <t>MN</t>
        </is>
      </c>
      <c r="E279" s="14" t="n">
        <v>885000</v>
      </c>
      <c r="F279" s="14" t="n">
        <v>12130.65</v>
      </c>
      <c r="G279" s="14" t="n">
        <v>1516.33</v>
      </c>
      <c r="H279" s="14" t="n">
        <v>1516.33</v>
      </c>
      <c r="I279" s="14">
        <f>SUM(K279:T279)</f>
        <v/>
      </c>
      <c r="J279" s="14">
        <f>F279-(G279+H279+I279)</f>
        <v/>
      </c>
      <c r="K279" s="14" t="n">
        <v>909.8</v>
      </c>
      <c r="L279" s="14" t="n">
        <v>909.8</v>
      </c>
      <c r="M279" s="14" t="n">
        <v>909.8</v>
      </c>
      <c r="N279" s="14" t="n">
        <v>909.8</v>
      </c>
      <c r="O279" s="14" t="n">
        <v>909.8</v>
      </c>
      <c r="P279" s="14" t="n">
        <v>909.8</v>
      </c>
      <c r="Q279" s="14" t="n">
        <v>909.8</v>
      </c>
      <c r="R279" s="14" t="n">
        <v>909.8</v>
      </c>
      <c r="S279" s="14" t="n">
        <v>909.8</v>
      </c>
      <c r="T279" s="14" t="n">
        <v>909.8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CANON-202603-004844</t>
        </is>
      </c>
      <c r="B280" s="15" t="inlineStr">
        <is>
          <t>2026-03-19</t>
        </is>
      </c>
      <c r="C280" s="15" t="inlineStr">
        <is>
          <t>Saoirse Montoya</t>
        </is>
      </c>
      <c r="D280" s="15" t="inlineStr">
        <is>
          <t>UT</t>
        </is>
      </c>
      <c r="E280" s="16" t="n">
        <v>260000</v>
      </c>
      <c r="F280" s="16" t="n">
        <v>4205.54</v>
      </c>
      <c r="G280" s="16" t="n">
        <v>525.6900000000001</v>
      </c>
      <c r="H280" s="16" t="n">
        <v>525.6900000000001</v>
      </c>
      <c r="I280" s="16">
        <f>SUM(K280:T280)</f>
        <v/>
      </c>
      <c r="J280" s="16">
        <f>F280-(G280+H280+I280)</f>
        <v/>
      </c>
      <c r="K280" s="16" t="n">
        <v>315.42</v>
      </c>
      <c r="L280" s="16" t="n">
        <v>315.42</v>
      </c>
      <c r="M280" s="16" t="n">
        <v>315.42</v>
      </c>
      <c r="N280" s="16" t="n">
        <v>315.42</v>
      </c>
      <c r="O280" s="16" t="n">
        <v>315.42</v>
      </c>
      <c r="P280" s="16" t="n">
        <v>315.42</v>
      </c>
      <c r="Q280" s="16" t="n">
        <v>315.42</v>
      </c>
      <c r="R280" s="16" t="n">
        <v>315.42</v>
      </c>
      <c r="S280" s="16" t="n">
        <v>315.42</v>
      </c>
      <c r="T280" s="16" t="n">
        <v>315.42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CANON-202603-004845</t>
        </is>
      </c>
      <c r="B281" s="3" t="inlineStr">
        <is>
          <t>2026-03-11</t>
        </is>
      </c>
      <c r="C281" s="3" t="inlineStr">
        <is>
          <t>Priya Vasquez</t>
        </is>
      </c>
      <c r="D281" s="3" t="inlineStr">
        <is>
          <t>ID</t>
        </is>
      </c>
      <c r="E281" s="14" t="n">
        <v>275000</v>
      </c>
      <c r="F281" s="14" t="n">
        <v>3261.99</v>
      </c>
      <c r="G281" s="14" t="n">
        <v>407.75</v>
      </c>
      <c r="H281" s="14" t="n">
        <v>407.75</v>
      </c>
      <c r="I281" s="14">
        <f>SUM(K281:T281)</f>
        <v/>
      </c>
      <c r="J281" s="14">
        <f>F281-(G281+H281+I281)</f>
        <v/>
      </c>
      <c r="K281" s="14" t="n">
        <v>244.65</v>
      </c>
      <c r="L281" s="14" t="n">
        <v>244.65</v>
      </c>
      <c r="M281" s="14" t="n">
        <v>244.65</v>
      </c>
      <c r="N281" s="14" t="n">
        <v>244.65</v>
      </c>
      <c r="O281" s="14" t="n">
        <v>244.65</v>
      </c>
      <c r="P281" s="14" t="n">
        <v>244.65</v>
      </c>
      <c r="Q281" s="14" t="n">
        <v>244.65</v>
      </c>
      <c r="R281" s="14" t="n">
        <v>244.65</v>
      </c>
      <c r="S281" s="14" t="n">
        <v>244.65</v>
      </c>
      <c r="T281" s="14" t="n">
        <v>244.65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CANON-202603-004846</t>
        </is>
      </c>
      <c r="B282" s="15" t="inlineStr">
        <is>
          <t>2026-03-31</t>
        </is>
      </c>
      <c r="C282" s="15" t="inlineStr">
        <is>
          <t>Fitzgerald Kingsford</t>
        </is>
      </c>
      <c r="D282" s="15" t="inlineStr">
        <is>
          <t>OR</t>
        </is>
      </c>
      <c r="E282" s="16" t="n">
        <v>435000</v>
      </c>
      <c r="F282" s="16" t="n">
        <v>3298.15</v>
      </c>
      <c r="G282" s="16" t="n">
        <v>412.27</v>
      </c>
      <c r="H282" s="16" t="n">
        <v>412.27</v>
      </c>
      <c r="I282" s="16">
        <f>SUM(K282:T282)</f>
        <v/>
      </c>
      <c r="J282" s="16">
        <f>F282-(G282+H282+I282)</f>
        <v/>
      </c>
      <c r="K282" s="16" t="n">
        <v>247.36</v>
      </c>
      <c r="L282" s="16" t="n">
        <v>247.36</v>
      </c>
      <c r="M282" s="16" t="n">
        <v>247.36</v>
      </c>
      <c r="N282" s="16" t="n">
        <v>247.36</v>
      </c>
      <c r="O282" s="16" t="n">
        <v>247.36</v>
      </c>
      <c r="P282" s="16" t="n">
        <v>247.36</v>
      </c>
      <c r="Q282" s="16" t="n">
        <v>247.36</v>
      </c>
      <c r="R282" s="16" t="n">
        <v>247.36</v>
      </c>
      <c r="S282" s="16" t="n">
        <v>247.36</v>
      </c>
      <c r="T282" s="16" t="n">
        <v>247.36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CANON-202603-004847</t>
        </is>
      </c>
      <c r="B283" s="3" t="inlineStr">
        <is>
          <t>2026-03-26</t>
        </is>
      </c>
      <c r="C283" s="3" t="inlineStr">
        <is>
          <t>Sunniva Farkas</t>
        </is>
      </c>
      <c r="D283" s="3" t="inlineStr">
        <is>
          <t>PA</t>
        </is>
      </c>
      <c r="E283" s="14" t="n">
        <v>1125000</v>
      </c>
      <c r="F283" s="14" t="n">
        <v>14377.92</v>
      </c>
      <c r="G283" s="14" t="n">
        <v>1797.24</v>
      </c>
      <c r="H283" s="14" t="n">
        <v>1797.24</v>
      </c>
      <c r="I283" s="14">
        <f>SUM(K283:T283)</f>
        <v/>
      </c>
      <c r="J283" s="14">
        <f>F283-(G283+H283+I283)</f>
        <v/>
      </c>
      <c r="K283" s="14" t="n">
        <v>1078.34</v>
      </c>
      <c r="L283" s="14" t="n">
        <v>1078.34</v>
      </c>
      <c r="M283" s="14" t="n">
        <v>1078.34</v>
      </c>
      <c r="N283" s="14" t="n">
        <v>1078.34</v>
      </c>
      <c r="O283" s="14" t="n">
        <v>1078.34</v>
      </c>
      <c r="P283" s="14" t="n">
        <v>1078.34</v>
      </c>
      <c r="Q283" s="14" t="n">
        <v>1078.34</v>
      </c>
      <c r="R283" s="14" t="n">
        <v>1078.34</v>
      </c>
      <c r="S283" s="14" t="n">
        <v>1078.34</v>
      </c>
      <c r="T283" s="14" t="n">
        <v>1078.34</v>
      </c>
      <c r="U283" s="14" t="n">
        <v>350</v>
      </c>
      <c r="V283" s="14" t="n">
        <v>250</v>
      </c>
      <c r="W283" s="14">
        <f>U283+V283</f>
        <v/>
      </c>
    </row>
    <row r="284">
      <c r="A284" s="15" t="inlineStr">
        <is>
          <t>CANON-202603-004848</t>
        </is>
      </c>
      <c r="B284" s="15" t="inlineStr">
        <is>
          <t>2026-03-05</t>
        </is>
      </c>
      <c r="C284" s="15" t="inlineStr">
        <is>
          <t>Fenwick Kingsford</t>
        </is>
      </c>
      <c r="D284" s="15" t="inlineStr">
        <is>
          <t>FL</t>
        </is>
      </c>
      <c r="E284" s="16" t="n">
        <v>490000</v>
      </c>
      <c r="F284" s="16" t="n">
        <v>8336.799999999999</v>
      </c>
      <c r="G284" s="16" t="n">
        <v>1042.1</v>
      </c>
      <c r="H284" s="16" t="n">
        <v>1042.1</v>
      </c>
      <c r="I284" s="16">
        <f>SUM(K284:T284)</f>
        <v/>
      </c>
      <c r="J284" s="16">
        <f>F284-(G284+H284+I284)</f>
        <v/>
      </c>
      <c r="K284" s="16" t="n">
        <v>625.26</v>
      </c>
      <c r="L284" s="16" t="n">
        <v>625.26</v>
      </c>
      <c r="M284" s="16" t="n">
        <v>625.26</v>
      </c>
      <c r="N284" s="16" t="n">
        <v>625.26</v>
      </c>
      <c r="O284" s="16" t="n">
        <v>625.26</v>
      </c>
      <c r="P284" s="16" t="n">
        <v>625.26</v>
      </c>
      <c r="Q284" s="16" t="n">
        <v>625.26</v>
      </c>
      <c r="R284" s="16" t="n">
        <v>625.26</v>
      </c>
      <c r="S284" s="16" t="n">
        <v>625.26</v>
      </c>
      <c r="T284" s="16" t="n">
        <v>625.26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CANON-202603-004849</t>
        </is>
      </c>
      <c r="B285" s="3" t="inlineStr">
        <is>
          <t>2026-03-20</t>
        </is>
      </c>
      <c r="C285" s="3" t="inlineStr">
        <is>
          <t>Ingrid Fairweather</t>
        </is>
      </c>
      <c r="D285" s="3" t="inlineStr">
        <is>
          <t>NY</t>
        </is>
      </c>
      <c r="E285" s="14" t="n">
        <v>435000</v>
      </c>
      <c r="F285" s="14" t="n">
        <v>4269.67</v>
      </c>
      <c r="G285" s="14" t="n">
        <v>533.71</v>
      </c>
      <c r="H285" s="14" t="n">
        <v>533.71</v>
      </c>
      <c r="I285" s="14">
        <f>SUM(K285:T285)</f>
        <v/>
      </c>
      <c r="J285" s="14">
        <f>F285-(G285+H285+I285)</f>
        <v/>
      </c>
      <c r="K285" s="14" t="n">
        <v>320.23</v>
      </c>
      <c r="L285" s="14" t="n">
        <v>320.23</v>
      </c>
      <c r="M285" s="14" t="n">
        <v>320.23</v>
      </c>
      <c r="N285" s="14" t="n">
        <v>320.23</v>
      </c>
      <c r="O285" s="14" t="n">
        <v>320.23</v>
      </c>
      <c r="P285" s="14" t="n">
        <v>320.23</v>
      </c>
      <c r="Q285" s="14" t="n">
        <v>320.23</v>
      </c>
      <c r="R285" s="14" t="n">
        <v>320.23</v>
      </c>
      <c r="S285" s="14" t="n">
        <v>320.23</v>
      </c>
      <c r="T285" s="14" t="n">
        <v>320.23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CANON-202603-004850</t>
        </is>
      </c>
      <c r="B286" s="15" t="inlineStr">
        <is>
          <t>2026-03-05</t>
        </is>
      </c>
      <c r="C286" s="15" t="inlineStr">
        <is>
          <t>Lorenzo Pennington</t>
        </is>
      </c>
      <c r="D286" s="15" t="inlineStr">
        <is>
          <t>WY</t>
        </is>
      </c>
      <c r="E286" s="16" t="n">
        <v>360000</v>
      </c>
      <c r="F286" s="16" t="n">
        <v>4615.31</v>
      </c>
      <c r="G286" s="16" t="n">
        <v>576.91</v>
      </c>
      <c r="H286" s="16" t="n">
        <v>576.91</v>
      </c>
      <c r="I286" s="16">
        <f>SUM(K286:T286)</f>
        <v/>
      </c>
      <c r="J286" s="16">
        <f>F286-(G286+H286+I286)</f>
        <v/>
      </c>
      <c r="K286" s="16" t="n">
        <v>346.15</v>
      </c>
      <c r="L286" s="16" t="n">
        <v>346.15</v>
      </c>
      <c r="M286" s="16" t="n">
        <v>346.15</v>
      </c>
      <c r="N286" s="16" t="n">
        <v>346.15</v>
      </c>
      <c r="O286" s="16" t="n">
        <v>346.15</v>
      </c>
      <c r="P286" s="16" t="n">
        <v>346.15</v>
      </c>
      <c r="Q286" s="16" t="n">
        <v>346.15</v>
      </c>
      <c r="R286" s="16" t="n">
        <v>346.15</v>
      </c>
      <c r="S286" s="16" t="n">
        <v>346.15</v>
      </c>
      <c r="T286" s="16" t="n">
        <v>346.15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CANON-202603-004851</t>
        </is>
      </c>
      <c r="B287" s="3" t="inlineStr">
        <is>
          <t>2026-03-08</t>
        </is>
      </c>
      <c r="C287" s="3" t="inlineStr">
        <is>
          <t>Wilhelmina Bellandi</t>
        </is>
      </c>
      <c r="D287" s="3" t="inlineStr">
        <is>
          <t>MT</t>
        </is>
      </c>
      <c r="E287" s="14" t="n">
        <v>665000</v>
      </c>
      <c r="F287" s="14" t="n">
        <v>6422.02</v>
      </c>
      <c r="G287" s="14" t="n">
        <v>802.75</v>
      </c>
      <c r="H287" s="14" t="n">
        <v>802.75</v>
      </c>
      <c r="I287" s="14">
        <f>SUM(K287:T287)</f>
        <v/>
      </c>
      <c r="J287" s="14">
        <f>F287-(G287+H287+I287)</f>
        <v/>
      </c>
      <c r="K287" s="14" t="n">
        <v>481.65</v>
      </c>
      <c r="L287" s="14" t="n">
        <v>481.65</v>
      </c>
      <c r="M287" s="14" t="n">
        <v>481.65</v>
      </c>
      <c r="N287" s="14" t="n">
        <v>481.65</v>
      </c>
      <c r="O287" s="14" t="n">
        <v>481.65</v>
      </c>
      <c r="P287" s="14" t="n">
        <v>481.65</v>
      </c>
      <c r="Q287" s="14" t="n">
        <v>481.65</v>
      </c>
      <c r="R287" s="14" t="n">
        <v>481.65</v>
      </c>
      <c r="S287" s="14" t="n">
        <v>481.65</v>
      </c>
      <c r="T287" s="14" t="n">
        <v>481.65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CANON-202603-004852</t>
        </is>
      </c>
      <c r="B288" s="15" t="inlineStr">
        <is>
          <t>2026-03-02</t>
        </is>
      </c>
      <c r="C288" s="15" t="inlineStr">
        <is>
          <t>Beatrix Delacroix</t>
        </is>
      </c>
      <c r="D288" s="15" t="inlineStr">
        <is>
          <t>WV</t>
        </is>
      </c>
      <c r="E288" s="16" t="n">
        <v>560000</v>
      </c>
      <c r="F288" s="16" t="n">
        <v>7734.05</v>
      </c>
      <c r="G288" s="16" t="n">
        <v>966.76</v>
      </c>
      <c r="H288" s="16" t="n">
        <v>966.76</v>
      </c>
      <c r="I288" s="16">
        <f>SUM(K288:T288)</f>
        <v/>
      </c>
      <c r="J288" s="16">
        <f>F288-(G288+H288+I288)</f>
        <v/>
      </c>
      <c r="K288" s="16" t="n">
        <v>580.05</v>
      </c>
      <c r="L288" s="16" t="n">
        <v>580.05</v>
      </c>
      <c r="M288" s="16" t="n">
        <v>580.05</v>
      </c>
      <c r="N288" s="16" t="n">
        <v>580.05</v>
      </c>
      <c r="O288" s="16" t="n">
        <v>580.05</v>
      </c>
      <c r="P288" s="16" t="n">
        <v>580.05</v>
      </c>
      <c r="Q288" s="16" t="n">
        <v>580.05</v>
      </c>
      <c r="R288" s="16" t="n">
        <v>580.05</v>
      </c>
      <c r="S288" s="16" t="n">
        <v>580.05</v>
      </c>
      <c r="T288" s="16" t="n">
        <v>580.05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CANON-202603-004853</t>
        </is>
      </c>
      <c r="B289" s="3" t="inlineStr">
        <is>
          <t>2026-03-18</t>
        </is>
      </c>
      <c r="C289" s="3" t="inlineStr">
        <is>
          <t>Saoirse Kingsford</t>
        </is>
      </c>
      <c r="D289" s="3" t="inlineStr">
        <is>
          <t>WA</t>
        </is>
      </c>
      <c r="E289" s="14" t="n">
        <v>505000</v>
      </c>
      <c r="F289" s="14" t="n">
        <v>5034.19</v>
      </c>
      <c r="G289" s="14" t="n">
        <v>629.27</v>
      </c>
      <c r="H289" s="14" t="n">
        <v>629.27</v>
      </c>
      <c r="I289" s="14">
        <f>SUM(K289:T289)</f>
        <v/>
      </c>
      <c r="J289" s="14">
        <f>F289-(G289+H289+I289)</f>
        <v/>
      </c>
      <c r="K289" s="14" t="n">
        <v>377.56</v>
      </c>
      <c r="L289" s="14" t="n">
        <v>377.56</v>
      </c>
      <c r="M289" s="14" t="n">
        <v>377.56</v>
      </c>
      <c r="N289" s="14" t="n">
        <v>377.56</v>
      </c>
      <c r="O289" s="14" t="n">
        <v>377.56</v>
      </c>
      <c r="P289" s="14" t="n">
        <v>377.56</v>
      </c>
      <c r="Q289" s="14" t="n">
        <v>377.56</v>
      </c>
      <c r="R289" s="14" t="n">
        <v>377.56</v>
      </c>
      <c r="S289" s="14" t="n">
        <v>377.56</v>
      </c>
      <c r="T289" s="14" t="n">
        <v>377.56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CANON-202603-004854</t>
        </is>
      </c>
      <c r="B290" s="15" t="inlineStr">
        <is>
          <t>2026-03-09</t>
        </is>
      </c>
      <c r="C290" s="15" t="inlineStr">
        <is>
          <t>Sunniva Fairweather</t>
        </is>
      </c>
      <c r="D290" s="15" t="inlineStr">
        <is>
          <t>WY</t>
        </is>
      </c>
      <c r="E290" s="16" t="n">
        <v>345000</v>
      </c>
      <c r="F290" s="16" t="n">
        <v>6781.95</v>
      </c>
      <c r="G290" s="16" t="n">
        <v>847.74</v>
      </c>
      <c r="H290" s="16" t="n">
        <v>847.74</v>
      </c>
      <c r="I290" s="16">
        <f>SUM(K290:T290)</f>
        <v/>
      </c>
      <c r="J290" s="16">
        <f>F290-(G290+H290+I290)</f>
        <v/>
      </c>
      <c r="K290" s="16" t="n">
        <v>508.65</v>
      </c>
      <c r="L290" s="16" t="n">
        <v>508.65</v>
      </c>
      <c r="M290" s="16" t="n">
        <v>508.65</v>
      </c>
      <c r="N290" s="16" t="n">
        <v>508.65</v>
      </c>
      <c r="O290" s="16" t="n">
        <v>508.65</v>
      </c>
      <c r="P290" s="16" t="n">
        <v>508.65</v>
      </c>
      <c r="Q290" s="16" t="n">
        <v>508.65</v>
      </c>
      <c r="R290" s="16" t="n">
        <v>508.65</v>
      </c>
      <c r="S290" s="16" t="n">
        <v>508.65</v>
      </c>
      <c r="T290" s="16" t="n">
        <v>508.65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CANON-202603-004855</t>
        </is>
      </c>
      <c r="B291" s="3" t="inlineStr">
        <is>
          <t>2026-03-26</t>
        </is>
      </c>
      <c r="C291" s="3" t="inlineStr">
        <is>
          <t>Marisol Kingsford</t>
        </is>
      </c>
      <c r="D291" s="3" t="inlineStr">
        <is>
          <t>KS</t>
        </is>
      </c>
      <c r="E291" s="14" t="n">
        <v>450000</v>
      </c>
      <c r="F291" s="14" t="n">
        <v>8019.29</v>
      </c>
      <c r="G291" s="14" t="n">
        <v>1002.41</v>
      </c>
      <c r="H291" s="14" t="n">
        <v>1002.41</v>
      </c>
      <c r="I291" s="14">
        <f>SUM(K291:T291)</f>
        <v/>
      </c>
      <c r="J291" s="14">
        <f>F291-(G291+H291+I291)</f>
        <v/>
      </c>
      <c r="K291" s="14" t="n">
        <v>601.45</v>
      </c>
      <c r="L291" s="14" t="n">
        <v>601.45</v>
      </c>
      <c r="M291" s="14" t="n">
        <v>601.45</v>
      </c>
      <c r="N291" s="14" t="n">
        <v>601.45</v>
      </c>
      <c r="O291" s="14" t="n">
        <v>601.45</v>
      </c>
      <c r="P291" s="14" t="n">
        <v>601.45</v>
      </c>
      <c r="Q291" s="14" t="n">
        <v>601.45</v>
      </c>
      <c r="R291" s="14" t="n">
        <v>601.45</v>
      </c>
      <c r="S291" s="14" t="n">
        <v>601.45</v>
      </c>
      <c r="T291" s="14" t="n">
        <v>601.45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CANON-202603-004856</t>
        </is>
      </c>
      <c r="B292" s="15" t="inlineStr">
        <is>
          <t>2026-03-29</t>
        </is>
      </c>
      <c r="C292" s="15" t="inlineStr">
        <is>
          <t>Delphine Merriweather</t>
        </is>
      </c>
      <c r="D292" s="15" t="inlineStr">
        <is>
          <t>WI</t>
        </is>
      </c>
      <c r="E292" s="16" t="n">
        <v>1120000</v>
      </c>
      <c r="F292" s="16" t="n">
        <v>11809.07</v>
      </c>
      <c r="G292" s="16" t="n">
        <v>1476.13</v>
      </c>
      <c r="H292" s="16" t="n">
        <v>1476.13</v>
      </c>
      <c r="I292" s="16">
        <f>SUM(K292:T292)</f>
        <v/>
      </c>
      <c r="J292" s="16">
        <f>F292-(G292+H292+I292)</f>
        <v/>
      </c>
      <c r="K292" s="16" t="n">
        <v>885.6799999999999</v>
      </c>
      <c r="L292" s="16" t="n">
        <v>885.6799999999999</v>
      </c>
      <c r="M292" s="16" t="n">
        <v>885.6799999999999</v>
      </c>
      <c r="N292" s="16" t="n">
        <v>885.6799999999999</v>
      </c>
      <c r="O292" s="16" t="n">
        <v>885.6799999999999</v>
      </c>
      <c r="P292" s="16" t="n">
        <v>885.6799999999999</v>
      </c>
      <c r="Q292" s="16" t="n">
        <v>885.6799999999999</v>
      </c>
      <c r="R292" s="16" t="n">
        <v>885.6799999999999</v>
      </c>
      <c r="S292" s="16" t="n">
        <v>885.6799999999999</v>
      </c>
      <c r="T292" s="16" t="n">
        <v>885.6799999999999</v>
      </c>
      <c r="U292" s="16" t="n">
        <v>350</v>
      </c>
      <c r="V292" s="16" t="n">
        <v>250</v>
      </c>
      <c r="W292" s="16">
        <f>U292+V292</f>
        <v/>
      </c>
    </row>
    <row r="293">
      <c r="A293" s="3" t="inlineStr">
        <is>
          <t>CANON-202603-004857</t>
        </is>
      </c>
      <c r="B293" s="3" t="inlineStr">
        <is>
          <t>2026-03-25</t>
        </is>
      </c>
      <c r="C293" s="3" t="inlineStr">
        <is>
          <t>Horace Harrington</t>
        </is>
      </c>
      <c r="D293" s="3" t="inlineStr">
        <is>
          <t>NM</t>
        </is>
      </c>
      <c r="E293" s="14" t="n">
        <v>300000</v>
      </c>
      <c r="F293" s="14" t="n">
        <v>7054.77</v>
      </c>
      <c r="G293" s="14" t="n">
        <v>881.85</v>
      </c>
      <c r="H293" s="14" t="n">
        <v>881.85</v>
      </c>
      <c r="I293" s="14">
        <f>SUM(K293:T293)</f>
        <v/>
      </c>
      <c r="J293" s="14">
        <f>F293-(G293+H293+I293)</f>
        <v/>
      </c>
      <c r="K293" s="14" t="n">
        <v>529.11</v>
      </c>
      <c r="L293" s="14" t="n">
        <v>529.11</v>
      </c>
      <c r="M293" s="14" t="n">
        <v>529.11</v>
      </c>
      <c r="N293" s="14" t="n">
        <v>529.11</v>
      </c>
      <c r="O293" s="14" t="n">
        <v>529.11</v>
      </c>
      <c r="P293" s="14" t="n">
        <v>529.11</v>
      </c>
      <c r="Q293" s="14" t="n">
        <v>529.11</v>
      </c>
      <c r="R293" s="14" t="n">
        <v>529.11</v>
      </c>
      <c r="S293" s="14" t="n">
        <v>529.11</v>
      </c>
      <c r="T293" s="14" t="n">
        <v>529.11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CANON-202603-004860</t>
        </is>
      </c>
      <c r="B294" s="15" t="inlineStr">
        <is>
          <t>2026-03-26</t>
        </is>
      </c>
      <c r="C294" s="15" t="inlineStr">
        <is>
          <t>Saoirse Kingsford</t>
        </is>
      </c>
      <c r="D294" s="15" t="inlineStr">
        <is>
          <t>MI</t>
        </is>
      </c>
      <c r="E294" s="16" t="n">
        <v>885000</v>
      </c>
      <c r="F294" s="16" t="n">
        <v>17093.2</v>
      </c>
      <c r="G294" s="16" t="n">
        <v>2136.65</v>
      </c>
      <c r="H294" s="16" t="n">
        <v>2136.65</v>
      </c>
      <c r="I294" s="16">
        <f>SUM(K294:T294)</f>
        <v/>
      </c>
      <c r="J294" s="16">
        <f>F294-(G294+H294+I294)</f>
        <v/>
      </c>
      <c r="K294" s="16" t="n">
        <v>1281.99</v>
      </c>
      <c r="L294" s="16" t="n">
        <v>1281.99</v>
      </c>
      <c r="M294" s="16" t="n">
        <v>1281.99</v>
      </c>
      <c r="N294" s="16" t="n">
        <v>1281.99</v>
      </c>
      <c r="O294" s="16" t="n">
        <v>1281.99</v>
      </c>
      <c r="P294" s="16" t="n">
        <v>1281.99</v>
      </c>
      <c r="Q294" s="16" t="n">
        <v>1281.99</v>
      </c>
      <c r="R294" s="16" t="n">
        <v>1281.99</v>
      </c>
      <c r="S294" s="16" t="n">
        <v>1281.99</v>
      </c>
      <c r="T294" s="16" t="n">
        <v>1281.99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CANON-202603-004862</t>
        </is>
      </c>
      <c r="B295" s="3" t="inlineStr">
        <is>
          <t>2026-03-05</t>
        </is>
      </c>
      <c r="C295" s="3" t="inlineStr">
        <is>
          <t>Horace Montoya</t>
        </is>
      </c>
      <c r="D295" s="3" t="inlineStr">
        <is>
          <t>CO</t>
        </is>
      </c>
      <c r="E295" s="14" t="n">
        <v>720000</v>
      </c>
      <c r="F295" s="14" t="n">
        <v>5440.61</v>
      </c>
      <c r="G295" s="14" t="n">
        <v>680.08</v>
      </c>
      <c r="H295" s="14" t="n">
        <v>680.08</v>
      </c>
      <c r="I295" s="14">
        <f>SUM(K295:T295)</f>
        <v/>
      </c>
      <c r="J295" s="14">
        <f>F295-(G295+H295+I295)</f>
        <v/>
      </c>
      <c r="K295" s="14" t="n">
        <v>408.05</v>
      </c>
      <c r="L295" s="14" t="n">
        <v>408.05</v>
      </c>
      <c r="M295" s="14" t="n">
        <v>408.05</v>
      </c>
      <c r="N295" s="14" t="n">
        <v>408.05</v>
      </c>
      <c r="O295" s="14" t="n">
        <v>408.05</v>
      </c>
      <c r="P295" s="14" t="n">
        <v>408.05</v>
      </c>
      <c r="Q295" s="14" t="n">
        <v>408.05</v>
      </c>
      <c r="R295" s="14" t="n">
        <v>408.05</v>
      </c>
      <c r="S295" s="14" t="n">
        <v>408.05</v>
      </c>
      <c r="T295" s="14" t="n">
        <v>408.05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CANON-202603-004863</t>
        </is>
      </c>
      <c r="B296" s="15" t="inlineStr">
        <is>
          <t>2026-03-14</t>
        </is>
      </c>
      <c r="C296" s="15" t="inlineStr">
        <is>
          <t>Ottilie Okonkwo</t>
        </is>
      </c>
      <c r="D296" s="15" t="inlineStr">
        <is>
          <t>KY</t>
        </is>
      </c>
      <c r="E296" s="16" t="n">
        <v>470000</v>
      </c>
      <c r="F296" s="16" t="n">
        <v>7546.01</v>
      </c>
      <c r="G296" s="16" t="n">
        <v>943.25</v>
      </c>
      <c r="H296" s="16" t="n">
        <v>943.25</v>
      </c>
      <c r="I296" s="16">
        <f>SUM(K296:T296)</f>
        <v/>
      </c>
      <c r="J296" s="16">
        <f>F296-(G296+H296+I296)</f>
        <v/>
      </c>
      <c r="K296" s="16" t="n">
        <v>565.95</v>
      </c>
      <c r="L296" s="16" t="n">
        <v>565.95</v>
      </c>
      <c r="M296" s="16" t="n">
        <v>565.95</v>
      </c>
      <c r="N296" s="16" t="n">
        <v>565.95</v>
      </c>
      <c r="O296" s="16" t="n">
        <v>565.95</v>
      </c>
      <c r="P296" s="16" t="n">
        <v>565.95</v>
      </c>
      <c r="Q296" s="16" t="n">
        <v>565.95</v>
      </c>
      <c r="R296" s="16" t="n">
        <v>565.95</v>
      </c>
      <c r="S296" s="16" t="n">
        <v>565.95</v>
      </c>
      <c r="T296" s="16" t="n">
        <v>565.95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CANON-202603-004864</t>
        </is>
      </c>
      <c r="B297" s="3" t="inlineStr">
        <is>
          <t>2026-03-09</t>
        </is>
      </c>
      <c r="C297" s="3" t="inlineStr">
        <is>
          <t>Emiliano Merriweather</t>
        </is>
      </c>
      <c r="D297" s="3" t="inlineStr">
        <is>
          <t>OK</t>
        </is>
      </c>
      <c r="E297" s="14" t="n">
        <v>210000</v>
      </c>
      <c r="F297" s="14" t="n">
        <v>3888.94</v>
      </c>
      <c r="G297" s="14" t="n">
        <v>486.12</v>
      </c>
      <c r="H297" s="14" t="n">
        <v>486.12</v>
      </c>
      <c r="I297" s="14">
        <f>SUM(K297:T297)</f>
        <v/>
      </c>
      <c r="J297" s="14">
        <f>F297-(G297+H297+I297)</f>
        <v/>
      </c>
      <c r="K297" s="14" t="n">
        <v>291.67</v>
      </c>
      <c r="L297" s="14" t="n">
        <v>291.67</v>
      </c>
      <c r="M297" s="14" t="n">
        <v>291.67</v>
      </c>
      <c r="N297" s="14" t="n">
        <v>291.67</v>
      </c>
      <c r="O297" s="14" t="n">
        <v>291.67</v>
      </c>
      <c r="P297" s="14" t="n">
        <v>291.67</v>
      </c>
      <c r="Q297" s="14" t="n">
        <v>291.67</v>
      </c>
      <c r="R297" s="14" t="n">
        <v>291.67</v>
      </c>
      <c r="S297" s="14" t="n">
        <v>291.67</v>
      </c>
      <c r="T297" s="14" t="n">
        <v>291.67</v>
      </c>
      <c r="U297" s="14" t="n">
        <v>350</v>
      </c>
      <c r="V297" s="14" t="n">
        <v>0</v>
      </c>
      <c r="W297" s="14">
        <f>U297+V297</f>
        <v/>
      </c>
    </row>
    <row r="298">
      <c r="A298" s="15" t="inlineStr">
        <is>
          <t>CANON-202603-004865</t>
        </is>
      </c>
      <c r="B298" s="15" t="inlineStr">
        <is>
          <t>2026-03-18</t>
        </is>
      </c>
      <c r="C298" s="15" t="inlineStr">
        <is>
          <t>Saoirse Okonkwo</t>
        </is>
      </c>
      <c r="D298" s="15" t="inlineStr">
        <is>
          <t>VA</t>
        </is>
      </c>
      <c r="E298" s="16" t="n">
        <v>335000</v>
      </c>
      <c r="F298" s="16" t="n">
        <v>4375.09</v>
      </c>
      <c r="G298" s="16" t="n">
        <v>546.89</v>
      </c>
      <c r="H298" s="16" t="n">
        <v>546.89</v>
      </c>
      <c r="I298" s="16">
        <f>SUM(K298:T298)</f>
        <v/>
      </c>
      <c r="J298" s="16">
        <f>F298-(G298+H298+I298)</f>
        <v/>
      </c>
      <c r="K298" s="16" t="n">
        <v>328.13</v>
      </c>
      <c r="L298" s="16" t="n">
        <v>328.13</v>
      </c>
      <c r="M298" s="16" t="n">
        <v>328.13</v>
      </c>
      <c r="N298" s="16" t="n">
        <v>328.13</v>
      </c>
      <c r="O298" s="16" t="n">
        <v>328.13</v>
      </c>
      <c r="P298" s="16" t="n">
        <v>328.13</v>
      </c>
      <c r="Q298" s="16" t="n">
        <v>328.13</v>
      </c>
      <c r="R298" s="16" t="n">
        <v>328.13</v>
      </c>
      <c r="S298" s="16" t="n">
        <v>328.13</v>
      </c>
      <c r="T298" s="16" t="n">
        <v>328.13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CANON-202603-004866</t>
        </is>
      </c>
      <c r="B299" s="3" t="inlineStr">
        <is>
          <t>2026-03-30</t>
        </is>
      </c>
      <c r="C299" s="3" t="inlineStr">
        <is>
          <t>Horace Kingsford</t>
        </is>
      </c>
      <c r="D299" s="3" t="inlineStr">
        <is>
          <t>NY</t>
        </is>
      </c>
      <c r="E299" s="14" t="n">
        <v>895000</v>
      </c>
      <c r="F299" s="14" t="n">
        <v>17386.43</v>
      </c>
      <c r="G299" s="14" t="n">
        <v>2173.3</v>
      </c>
      <c r="H299" s="14" t="n">
        <v>2173.3</v>
      </c>
      <c r="I299" s="14">
        <f>SUM(K299:T299)</f>
        <v/>
      </c>
      <c r="J299" s="14">
        <f>F299-(G299+H299+I299)</f>
        <v/>
      </c>
      <c r="K299" s="14" t="n">
        <v>1303.98</v>
      </c>
      <c r="L299" s="14" t="n">
        <v>1303.98</v>
      </c>
      <c r="M299" s="14" t="n">
        <v>1303.98</v>
      </c>
      <c r="N299" s="14" t="n">
        <v>1303.98</v>
      </c>
      <c r="O299" s="14" t="n">
        <v>1303.98</v>
      </c>
      <c r="P299" s="14" t="n">
        <v>1303.98</v>
      </c>
      <c r="Q299" s="14" t="n">
        <v>1303.98</v>
      </c>
      <c r="R299" s="14" t="n">
        <v>1303.98</v>
      </c>
      <c r="S299" s="14" t="n">
        <v>1303.98</v>
      </c>
      <c r="T299" s="14" t="n">
        <v>1303.98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CANON-202603-004867</t>
        </is>
      </c>
      <c r="B300" s="15" t="inlineStr">
        <is>
          <t>2026-03-01</t>
        </is>
      </c>
      <c r="C300" s="15" t="inlineStr">
        <is>
          <t>Everett Delacroix</t>
        </is>
      </c>
      <c r="D300" s="15" t="inlineStr">
        <is>
          <t>OR</t>
        </is>
      </c>
      <c r="E300" s="16" t="n">
        <v>295000</v>
      </c>
      <c r="F300" s="16" t="n">
        <v>6124.24</v>
      </c>
      <c r="G300" s="16" t="n">
        <v>765.53</v>
      </c>
      <c r="H300" s="16" t="n">
        <v>765.53</v>
      </c>
      <c r="I300" s="16">
        <f>SUM(K300:T300)</f>
        <v/>
      </c>
      <c r="J300" s="16">
        <f>F300-(G300+H300+I300)</f>
        <v/>
      </c>
      <c r="K300" s="16" t="n">
        <v>459.32</v>
      </c>
      <c r="L300" s="16" t="n">
        <v>459.32</v>
      </c>
      <c r="M300" s="16" t="n">
        <v>459.32</v>
      </c>
      <c r="N300" s="16" t="n">
        <v>459.32</v>
      </c>
      <c r="O300" s="16" t="n">
        <v>459.32</v>
      </c>
      <c r="P300" s="16" t="n">
        <v>459.32</v>
      </c>
      <c r="Q300" s="16" t="n">
        <v>459.32</v>
      </c>
      <c r="R300" s="16" t="n">
        <v>459.32</v>
      </c>
      <c r="S300" s="16" t="n">
        <v>459.32</v>
      </c>
      <c r="T300" s="16" t="n">
        <v>459.32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CANON-202603-004868</t>
        </is>
      </c>
      <c r="B301" s="3" t="inlineStr">
        <is>
          <t>2026-03-27</t>
        </is>
      </c>
      <c r="C301" s="3" t="inlineStr">
        <is>
          <t>Ingrid Thistlewood</t>
        </is>
      </c>
      <c r="D301" s="3" t="inlineStr">
        <is>
          <t>MD</t>
        </is>
      </c>
      <c r="E301" s="14" t="n">
        <v>475000</v>
      </c>
      <c r="F301" s="14" t="n">
        <v>5406.7</v>
      </c>
      <c r="G301" s="14" t="n">
        <v>675.84</v>
      </c>
      <c r="H301" s="14" t="n">
        <v>675.84</v>
      </c>
      <c r="I301" s="14">
        <f>SUM(K301:T301)</f>
        <v/>
      </c>
      <c r="J301" s="14">
        <f>F301-(G301+H301+I301)</f>
        <v/>
      </c>
      <c r="K301" s="14" t="n">
        <v>405.5</v>
      </c>
      <c r="L301" s="14" t="n">
        <v>405.5</v>
      </c>
      <c r="M301" s="14" t="n">
        <v>405.5</v>
      </c>
      <c r="N301" s="14" t="n">
        <v>405.5</v>
      </c>
      <c r="O301" s="14" t="n">
        <v>405.5</v>
      </c>
      <c r="P301" s="14" t="n">
        <v>405.5</v>
      </c>
      <c r="Q301" s="14" t="n">
        <v>405.5</v>
      </c>
      <c r="R301" s="14" t="n">
        <v>405.5</v>
      </c>
      <c r="S301" s="14" t="n">
        <v>405.5</v>
      </c>
      <c r="T301" s="14" t="n">
        <v>405.5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CANON-202603-004869</t>
        </is>
      </c>
      <c r="B302" s="15" t="inlineStr">
        <is>
          <t>2026-03-31</t>
        </is>
      </c>
      <c r="C302" s="15" t="inlineStr">
        <is>
          <t>Sunniva Farkas</t>
        </is>
      </c>
      <c r="D302" s="15" t="inlineStr">
        <is>
          <t>OH</t>
        </is>
      </c>
      <c r="E302" s="16" t="n">
        <v>715000</v>
      </c>
      <c r="F302" s="16" t="n">
        <v>10320.2</v>
      </c>
      <c r="G302" s="16" t="n">
        <v>1290.03</v>
      </c>
      <c r="H302" s="16" t="n">
        <v>1290.03</v>
      </c>
      <c r="I302" s="16">
        <f>SUM(K302:T302)</f>
        <v/>
      </c>
      <c r="J302" s="16">
        <f>F302-(G302+H302+I302)</f>
        <v/>
      </c>
      <c r="K302" s="16" t="n">
        <v>774.01</v>
      </c>
      <c r="L302" s="16" t="n">
        <v>774.01</v>
      </c>
      <c r="M302" s="16" t="n">
        <v>774.01</v>
      </c>
      <c r="N302" s="16" t="n">
        <v>774.01</v>
      </c>
      <c r="O302" s="16" t="n">
        <v>774.01</v>
      </c>
      <c r="P302" s="16" t="n">
        <v>774.01</v>
      </c>
      <c r="Q302" s="16" t="n">
        <v>774.01</v>
      </c>
      <c r="R302" s="16" t="n">
        <v>774.01</v>
      </c>
      <c r="S302" s="16" t="n">
        <v>774.01</v>
      </c>
      <c r="T302" s="16" t="n">
        <v>774.01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CANON-202603-004870</t>
        </is>
      </c>
      <c r="B303" s="3" t="inlineStr">
        <is>
          <t>2026-03-10</t>
        </is>
      </c>
      <c r="C303" s="3" t="inlineStr">
        <is>
          <t>Leopold Harrington</t>
        </is>
      </c>
      <c r="D303" s="3" t="inlineStr">
        <is>
          <t>CA</t>
        </is>
      </c>
      <c r="E303" s="14" t="n">
        <v>460000</v>
      </c>
      <c r="F303" s="14" t="n">
        <v>7440.58</v>
      </c>
      <c r="G303" s="14" t="n">
        <v>930.0700000000001</v>
      </c>
      <c r="H303" s="14" t="n">
        <v>930.0700000000001</v>
      </c>
      <c r="I303" s="14">
        <f>SUM(K303:T303)</f>
        <v/>
      </c>
      <c r="J303" s="14">
        <f>F303-(G303+H303+I303)</f>
        <v/>
      </c>
      <c r="K303" s="14" t="n">
        <v>558.04</v>
      </c>
      <c r="L303" s="14" t="n">
        <v>558.04</v>
      </c>
      <c r="M303" s="14" t="n">
        <v>558.04</v>
      </c>
      <c r="N303" s="14" t="n">
        <v>558.04</v>
      </c>
      <c r="O303" s="14" t="n">
        <v>558.04</v>
      </c>
      <c r="P303" s="14" t="n">
        <v>558.04</v>
      </c>
      <c r="Q303" s="14" t="n">
        <v>558.04</v>
      </c>
      <c r="R303" s="14" t="n">
        <v>558.04</v>
      </c>
      <c r="S303" s="14" t="n">
        <v>558.04</v>
      </c>
      <c r="T303" s="14" t="n">
        <v>558.04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CANON-202603-004871</t>
        </is>
      </c>
      <c r="B304" s="15" t="inlineStr">
        <is>
          <t>2026-03-13</t>
        </is>
      </c>
      <c r="C304" s="15" t="inlineStr">
        <is>
          <t>Delphine Chattopadhyay</t>
        </is>
      </c>
      <c r="D304" s="15" t="inlineStr">
        <is>
          <t>HI</t>
        </is>
      </c>
      <c r="E304" s="16" t="n">
        <v>715000</v>
      </c>
      <c r="F304" s="16" t="n">
        <v>11582.37</v>
      </c>
      <c r="G304" s="16" t="n">
        <v>1447.8</v>
      </c>
      <c r="H304" s="16" t="n">
        <v>1447.8</v>
      </c>
      <c r="I304" s="16">
        <f>SUM(K304:T304)</f>
        <v/>
      </c>
      <c r="J304" s="16">
        <f>F304-(G304+H304+I304)</f>
        <v/>
      </c>
      <c r="K304" s="16" t="n">
        <v>868.6799999999999</v>
      </c>
      <c r="L304" s="16" t="n">
        <v>868.6799999999999</v>
      </c>
      <c r="M304" s="16" t="n">
        <v>868.6799999999999</v>
      </c>
      <c r="N304" s="16" t="n">
        <v>868.6799999999999</v>
      </c>
      <c r="O304" s="16" t="n">
        <v>868.6799999999999</v>
      </c>
      <c r="P304" s="16" t="n">
        <v>868.6799999999999</v>
      </c>
      <c r="Q304" s="16" t="n">
        <v>868.6799999999999</v>
      </c>
      <c r="R304" s="16" t="n">
        <v>868.6799999999999</v>
      </c>
      <c r="S304" s="16" t="n">
        <v>868.6799999999999</v>
      </c>
      <c r="T304" s="16" t="n">
        <v>868.6799999999999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CANON-202603-004872</t>
        </is>
      </c>
      <c r="B305" s="3" t="inlineStr">
        <is>
          <t>2026-03-30</t>
        </is>
      </c>
      <c r="C305" s="3" t="inlineStr">
        <is>
          <t>Marisol Whitlock</t>
        </is>
      </c>
      <c r="D305" s="3" t="inlineStr">
        <is>
          <t>PA</t>
        </is>
      </c>
      <c r="E305" s="14" t="n">
        <v>730000</v>
      </c>
      <c r="F305" s="14" t="n">
        <v>7580.36</v>
      </c>
      <c r="G305" s="14" t="n">
        <v>947.54</v>
      </c>
      <c r="H305" s="14" t="n">
        <v>947.54</v>
      </c>
      <c r="I305" s="14">
        <f>SUM(K305:T305)</f>
        <v/>
      </c>
      <c r="J305" s="14">
        <f>F305-(G305+H305+I305)</f>
        <v/>
      </c>
      <c r="K305" s="14" t="n">
        <v>568.53</v>
      </c>
      <c r="L305" s="14" t="n">
        <v>568.53</v>
      </c>
      <c r="M305" s="14" t="n">
        <v>568.53</v>
      </c>
      <c r="N305" s="14" t="n">
        <v>568.53</v>
      </c>
      <c r="O305" s="14" t="n">
        <v>568.53</v>
      </c>
      <c r="P305" s="14" t="n">
        <v>568.53</v>
      </c>
      <c r="Q305" s="14" t="n">
        <v>568.53</v>
      </c>
      <c r="R305" s="14" t="n">
        <v>568.53</v>
      </c>
      <c r="S305" s="14" t="n">
        <v>568.53</v>
      </c>
      <c r="T305" s="14" t="n">
        <v>568.53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CANON-202603-004875</t>
        </is>
      </c>
      <c r="B306" s="15" t="inlineStr">
        <is>
          <t>2026-03-08</t>
        </is>
      </c>
      <c r="C306" s="15" t="inlineStr">
        <is>
          <t>Emiliano Fairweather</t>
        </is>
      </c>
      <c r="D306" s="15" t="inlineStr">
        <is>
          <t>HI</t>
        </is>
      </c>
      <c r="E306" s="16" t="n">
        <v>560000</v>
      </c>
      <c r="F306" s="16" t="n">
        <v>7559.59</v>
      </c>
      <c r="G306" s="16" t="n">
        <v>944.95</v>
      </c>
      <c r="H306" s="16" t="n">
        <v>944.95</v>
      </c>
      <c r="I306" s="16">
        <f>SUM(K306:T306)</f>
        <v/>
      </c>
      <c r="J306" s="16">
        <f>F306-(G306+H306+I306)</f>
        <v/>
      </c>
      <c r="K306" s="16" t="n">
        <v>566.97</v>
      </c>
      <c r="L306" s="16" t="n">
        <v>566.97</v>
      </c>
      <c r="M306" s="16" t="n">
        <v>566.97</v>
      </c>
      <c r="N306" s="16" t="n">
        <v>566.97</v>
      </c>
      <c r="O306" s="16" t="n">
        <v>566.97</v>
      </c>
      <c r="P306" s="16" t="n">
        <v>566.97</v>
      </c>
      <c r="Q306" s="16" t="n">
        <v>566.97</v>
      </c>
      <c r="R306" s="16" t="n">
        <v>566.97</v>
      </c>
      <c r="S306" s="16" t="n">
        <v>566.97</v>
      </c>
      <c r="T306" s="16" t="n">
        <v>566.97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CANON-202603-004876</t>
        </is>
      </c>
      <c r="B307" s="3" t="inlineStr">
        <is>
          <t>2026-03-26</t>
        </is>
      </c>
      <c r="C307" s="3" t="inlineStr">
        <is>
          <t>Ingrid Fairweather</t>
        </is>
      </c>
      <c r="D307" s="3" t="inlineStr">
        <is>
          <t>OR</t>
        </is>
      </c>
      <c r="E307" s="14" t="n">
        <v>675000</v>
      </c>
      <c r="F307" s="14" t="n">
        <v>11576.02</v>
      </c>
      <c r="G307" s="14" t="n">
        <v>1447</v>
      </c>
      <c r="H307" s="14" t="n">
        <v>1447</v>
      </c>
      <c r="I307" s="14">
        <f>SUM(K307:T307)</f>
        <v/>
      </c>
      <c r="J307" s="14">
        <f>F307-(G307+H307+I307)</f>
        <v/>
      </c>
      <c r="K307" s="14" t="n">
        <v>868.2</v>
      </c>
      <c r="L307" s="14" t="n">
        <v>868.2</v>
      </c>
      <c r="M307" s="14" t="n">
        <v>868.2</v>
      </c>
      <c r="N307" s="14" t="n">
        <v>868.2</v>
      </c>
      <c r="O307" s="14" t="n">
        <v>868.2</v>
      </c>
      <c r="P307" s="14" t="n">
        <v>868.2</v>
      </c>
      <c r="Q307" s="14" t="n">
        <v>868.2</v>
      </c>
      <c r="R307" s="14" t="n">
        <v>868.2</v>
      </c>
      <c r="S307" s="14" t="n">
        <v>868.2</v>
      </c>
      <c r="T307" s="14" t="n">
        <v>868.2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CANON-202603-004877</t>
        </is>
      </c>
      <c r="B308" s="15" t="inlineStr">
        <is>
          <t>2026-03-17</t>
        </is>
      </c>
      <c r="C308" s="15" t="inlineStr">
        <is>
          <t>Fitzgerald Delacroix</t>
        </is>
      </c>
      <c r="D308" s="15" t="inlineStr">
        <is>
          <t>WI</t>
        </is>
      </c>
      <c r="E308" s="16" t="n">
        <v>1390000</v>
      </c>
      <c r="F308" s="16" t="n">
        <v>21317.67</v>
      </c>
      <c r="G308" s="16" t="n">
        <v>2664.71</v>
      </c>
      <c r="H308" s="16" t="n">
        <v>2664.71</v>
      </c>
      <c r="I308" s="16">
        <f>SUM(K308:T308)</f>
        <v/>
      </c>
      <c r="J308" s="16">
        <f>F308-(G308+H308+I308)</f>
        <v/>
      </c>
      <c r="K308" s="16" t="n">
        <v>1598.83</v>
      </c>
      <c r="L308" s="16" t="n">
        <v>1598.83</v>
      </c>
      <c r="M308" s="16" t="n">
        <v>1598.83</v>
      </c>
      <c r="N308" s="16" t="n">
        <v>1598.83</v>
      </c>
      <c r="O308" s="16" t="n">
        <v>1598.83</v>
      </c>
      <c r="P308" s="16" t="n">
        <v>1598.83</v>
      </c>
      <c r="Q308" s="16" t="n">
        <v>1598.83</v>
      </c>
      <c r="R308" s="16" t="n">
        <v>1598.83</v>
      </c>
      <c r="S308" s="16" t="n">
        <v>1598.83</v>
      </c>
      <c r="T308" s="16" t="n">
        <v>1598.83</v>
      </c>
      <c r="U308" s="16" t="n">
        <v>350</v>
      </c>
      <c r="V308" s="16" t="n">
        <v>250</v>
      </c>
      <c r="W308" s="16">
        <f>U308+V308</f>
        <v/>
      </c>
    </row>
    <row r="309">
      <c r="A309" s="3" t="inlineStr">
        <is>
          <t>CANON-202603-004878</t>
        </is>
      </c>
      <c r="B309" s="3" t="inlineStr">
        <is>
          <t>2026-03-11</t>
        </is>
      </c>
      <c r="C309" s="3" t="inlineStr">
        <is>
          <t>Sunniva Nakashima</t>
        </is>
      </c>
      <c r="D309" s="3" t="inlineStr">
        <is>
          <t>CA</t>
        </is>
      </c>
      <c r="E309" s="14" t="n">
        <v>560000</v>
      </c>
      <c r="F309" s="14" t="n">
        <v>7850.35</v>
      </c>
      <c r="G309" s="14" t="n">
        <v>981.29</v>
      </c>
      <c r="H309" s="14" t="n">
        <v>981.29</v>
      </c>
      <c r="I309" s="14">
        <f>SUM(K309:T309)</f>
        <v/>
      </c>
      <c r="J309" s="14">
        <f>F309-(G309+H309+I309)</f>
        <v/>
      </c>
      <c r="K309" s="14" t="n">
        <v>588.78</v>
      </c>
      <c r="L309" s="14" t="n">
        <v>588.78</v>
      </c>
      <c r="M309" s="14" t="n">
        <v>588.78</v>
      </c>
      <c r="N309" s="14" t="n">
        <v>588.78</v>
      </c>
      <c r="O309" s="14" t="n">
        <v>588.78</v>
      </c>
      <c r="P309" s="14" t="n">
        <v>588.78</v>
      </c>
      <c r="Q309" s="14" t="n">
        <v>588.78</v>
      </c>
      <c r="R309" s="14" t="n">
        <v>588.78</v>
      </c>
      <c r="S309" s="14" t="n">
        <v>588.78</v>
      </c>
      <c r="T309" s="14" t="n">
        <v>588.78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CANON-202603-004879</t>
        </is>
      </c>
      <c r="B310" s="15" t="inlineStr">
        <is>
          <t>2026-03-04</t>
        </is>
      </c>
      <c r="C310" s="15" t="inlineStr">
        <is>
          <t>Cassius Fairweather</t>
        </is>
      </c>
      <c r="D310" s="15" t="inlineStr">
        <is>
          <t>AZ</t>
        </is>
      </c>
      <c r="E310" s="16" t="n">
        <v>250000</v>
      </c>
      <c r="F310" s="16" t="n">
        <v>3025.35</v>
      </c>
      <c r="G310" s="16" t="n">
        <v>378.17</v>
      </c>
      <c r="H310" s="16" t="n">
        <v>378.17</v>
      </c>
      <c r="I310" s="16">
        <f>SUM(K310:T310)</f>
        <v/>
      </c>
      <c r="J310" s="16">
        <f>F310-(G310+H310+I310)</f>
        <v/>
      </c>
      <c r="K310" s="16" t="n">
        <v>226.9</v>
      </c>
      <c r="L310" s="16" t="n">
        <v>226.9</v>
      </c>
      <c r="M310" s="16" t="n">
        <v>226.9</v>
      </c>
      <c r="N310" s="16" t="n">
        <v>226.9</v>
      </c>
      <c r="O310" s="16" t="n">
        <v>226.9</v>
      </c>
      <c r="P310" s="16" t="n">
        <v>226.9</v>
      </c>
      <c r="Q310" s="16" t="n">
        <v>226.9</v>
      </c>
      <c r="R310" s="16" t="n">
        <v>226.9</v>
      </c>
      <c r="S310" s="16" t="n">
        <v>226.9</v>
      </c>
      <c r="T310" s="16" t="n">
        <v>226.9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CANON-202603-004880</t>
        </is>
      </c>
      <c r="B311" s="3" t="inlineStr">
        <is>
          <t>2026-03-05</t>
        </is>
      </c>
      <c r="C311" s="3" t="inlineStr">
        <is>
          <t>Aurelio Okonkwo</t>
        </is>
      </c>
      <c r="D311" s="3" t="inlineStr">
        <is>
          <t>ME</t>
        </is>
      </c>
      <c r="E311" s="14" t="n">
        <v>905000</v>
      </c>
      <c r="F311" s="14" t="n">
        <v>10149.38</v>
      </c>
      <c r="G311" s="14" t="n">
        <v>1268.67</v>
      </c>
      <c r="H311" s="14" t="n">
        <v>1268.67</v>
      </c>
      <c r="I311" s="14">
        <f>SUM(K311:T311)</f>
        <v/>
      </c>
      <c r="J311" s="14">
        <f>F311-(G311+H311+I311)</f>
        <v/>
      </c>
      <c r="K311" s="14" t="n">
        <v>761.2</v>
      </c>
      <c r="L311" s="14" t="n">
        <v>761.2</v>
      </c>
      <c r="M311" s="14" t="n">
        <v>761.2</v>
      </c>
      <c r="N311" s="14" t="n">
        <v>761.2</v>
      </c>
      <c r="O311" s="14" t="n">
        <v>761.2</v>
      </c>
      <c r="P311" s="14" t="n">
        <v>761.2</v>
      </c>
      <c r="Q311" s="14" t="n">
        <v>761.2</v>
      </c>
      <c r="R311" s="14" t="n">
        <v>761.2</v>
      </c>
      <c r="S311" s="14" t="n">
        <v>761.2</v>
      </c>
      <c r="T311" s="14" t="n">
        <v>761.2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CANON-202603-004881</t>
        </is>
      </c>
      <c r="B312" s="15" t="inlineStr">
        <is>
          <t>2026-03-30</t>
        </is>
      </c>
      <c r="C312" s="15" t="inlineStr">
        <is>
          <t>Ingrid Vandermeer</t>
        </is>
      </c>
      <c r="D312" s="15" t="inlineStr">
        <is>
          <t>NY</t>
        </is>
      </c>
      <c r="E312" s="16" t="n">
        <v>605000</v>
      </c>
      <c r="F312" s="16" t="n">
        <v>8041.41</v>
      </c>
      <c r="G312" s="16" t="n">
        <v>1005.18</v>
      </c>
      <c r="H312" s="16" t="n">
        <v>1005.18</v>
      </c>
      <c r="I312" s="16">
        <f>SUM(K312:T312)</f>
        <v/>
      </c>
      <c r="J312" s="16">
        <f>F312-(G312+H312+I312)</f>
        <v/>
      </c>
      <c r="K312" s="16" t="n">
        <v>603.11</v>
      </c>
      <c r="L312" s="16" t="n">
        <v>603.11</v>
      </c>
      <c r="M312" s="16" t="n">
        <v>603.11</v>
      </c>
      <c r="N312" s="16" t="n">
        <v>603.11</v>
      </c>
      <c r="O312" s="16" t="n">
        <v>603.11</v>
      </c>
      <c r="P312" s="16" t="n">
        <v>603.11</v>
      </c>
      <c r="Q312" s="16" t="n">
        <v>603.11</v>
      </c>
      <c r="R312" s="16" t="n">
        <v>603.11</v>
      </c>
      <c r="S312" s="16" t="n">
        <v>603.11</v>
      </c>
      <c r="T312" s="16" t="n">
        <v>603.11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CANON-202603-004882</t>
        </is>
      </c>
      <c r="B313" s="3" t="inlineStr">
        <is>
          <t>2026-03-07</t>
        </is>
      </c>
      <c r="C313" s="3" t="inlineStr">
        <is>
          <t>Ottilie Vasquez</t>
        </is>
      </c>
      <c r="D313" s="3" t="inlineStr">
        <is>
          <t>WI</t>
        </is>
      </c>
      <c r="E313" s="14" t="n">
        <v>800000</v>
      </c>
      <c r="F313" s="14" t="n">
        <v>14569.63</v>
      </c>
      <c r="G313" s="14" t="n">
        <v>1821.2</v>
      </c>
      <c r="H313" s="14" t="n">
        <v>1821.2</v>
      </c>
      <c r="I313" s="14">
        <f>SUM(K313:T313)</f>
        <v/>
      </c>
      <c r="J313" s="14">
        <f>F313-(G313+H313+I313)</f>
        <v/>
      </c>
      <c r="K313" s="14" t="n">
        <v>1092.72</v>
      </c>
      <c r="L313" s="14" t="n">
        <v>1092.72</v>
      </c>
      <c r="M313" s="14" t="n">
        <v>1092.72</v>
      </c>
      <c r="N313" s="14" t="n">
        <v>1092.72</v>
      </c>
      <c r="O313" s="14" t="n">
        <v>1092.72</v>
      </c>
      <c r="P313" s="14" t="n">
        <v>1092.72</v>
      </c>
      <c r="Q313" s="14" t="n">
        <v>1092.72</v>
      </c>
      <c r="R313" s="14" t="n">
        <v>1092.72</v>
      </c>
      <c r="S313" s="14" t="n">
        <v>1092.72</v>
      </c>
      <c r="T313" s="14" t="n">
        <v>1092.72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CANON-202603-004883</t>
        </is>
      </c>
      <c r="B314" s="15" t="inlineStr">
        <is>
          <t>2026-03-06</t>
        </is>
      </c>
      <c r="C314" s="15" t="inlineStr">
        <is>
          <t>Callum Farkas</t>
        </is>
      </c>
      <c r="D314" s="15" t="inlineStr">
        <is>
          <t>PA</t>
        </is>
      </c>
      <c r="E314" s="16" t="n">
        <v>415000</v>
      </c>
      <c r="F314" s="16" t="n">
        <v>4972.36</v>
      </c>
      <c r="G314" s="16" t="n">
        <v>621.54</v>
      </c>
      <c r="H314" s="16" t="n">
        <v>621.54</v>
      </c>
      <c r="I314" s="16">
        <f>SUM(K314:T314)</f>
        <v/>
      </c>
      <c r="J314" s="16">
        <f>F314-(G314+H314+I314)</f>
        <v/>
      </c>
      <c r="K314" s="16" t="n">
        <v>372.93</v>
      </c>
      <c r="L314" s="16" t="n">
        <v>372.93</v>
      </c>
      <c r="M314" s="16" t="n">
        <v>372.93</v>
      </c>
      <c r="N314" s="16" t="n">
        <v>372.93</v>
      </c>
      <c r="O314" s="16" t="n">
        <v>372.93</v>
      </c>
      <c r="P314" s="16" t="n">
        <v>372.93</v>
      </c>
      <c r="Q314" s="16" t="n">
        <v>372.93</v>
      </c>
      <c r="R314" s="16" t="n">
        <v>372.93</v>
      </c>
      <c r="S314" s="16" t="n">
        <v>372.93</v>
      </c>
      <c r="T314" s="16" t="n">
        <v>372.93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CANON-202603-004885</t>
        </is>
      </c>
      <c r="B315" s="3" t="inlineStr">
        <is>
          <t>2026-03-02</t>
        </is>
      </c>
      <c r="C315" s="3" t="inlineStr">
        <is>
          <t>Horace Bellandi</t>
        </is>
      </c>
      <c r="D315" s="3" t="inlineStr">
        <is>
          <t>DE</t>
        </is>
      </c>
      <c r="E315" s="14" t="n">
        <v>460000</v>
      </c>
      <c r="F315" s="14" t="n">
        <v>6889.42</v>
      </c>
      <c r="G315" s="14" t="n">
        <v>861.1799999999999</v>
      </c>
      <c r="H315" s="14" t="n">
        <v>861.1799999999999</v>
      </c>
      <c r="I315" s="14">
        <f>SUM(K315:T315)</f>
        <v/>
      </c>
      <c r="J315" s="14">
        <f>F315-(G315+H315+I315)</f>
        <v/>
      </c>
      <c r="K315" s="14" t="n">
        <v>516.71</v>
      </c>
      <c r="L315" s="14" t="n">
        <v>516.71</v>
      </c>
      <c r="M315" s="14" t="n">
        <v>516.71</v>
      </c>
      <c r="N315" s="14" t="n">
        <v>516.71</v>
      </c>
      <c r="O315" s="14" t="n">
        <v>516.71</v>
      </c>
      <c r="P315" s="14" t="n">
        <v>516.71</v>
      </c>
      <c r="Q315" s="14" t="n">
        <v>516.71</v>
      </c>
      <c r="R315" s="14" t="n">
        <v>516.71</v>
      </c>
      <c r="S315" s="14" t="n">
        <v>516.71</v>
      </c>
      <c r="T315" s="14" t="n">
        <v>516.71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CANON-202603-004886</t>
        </is>
      </c>
      <c r="B316" s="15" t="inlineStr">
        <is>
          <t>2026-03-25</t>
        </is>
      </c>
      <c r="C316" s="15" t="inlineStr">
        <is>
          <t>Ingrid Harrington</t>
        </is>
      </c>
      <c r="D316" s="15" t="inlineStr">
        <is>
          <t>MO</t>
        </is>
      </c>
      <c r="E316" s="16" t="n">
        <v>1140000</v>
      </c>
      <c r="F316" s="16" t="n">
        <v>10617.62</v>
      </c>
      <c r="G316" s="16" t="n">
        <v>1327.2</v>
      </c>
      <c r="H316" s="16" t="n">
        <v>1327.2</v>
      </c>
      <c r="I316" s="16">
        <f>SUM(K316:T316)</f>
        <v/>
      </c>
      <c r="J316" s="16">
        <f>F316-(G316+H316+I316)</f>
        <v/>
      </c>
      <c r="K316" s="16" t="n">
        <v>796.3200000000001</v>
      </c>
      <c r="L316" s="16" t="n">
        <v>796.3200000000001</v>
      </c>
      <c r="M316" s="16" t="n">
        <v>796.3200000000001</v>
      </c>
      <c r="N316" s="16" t="n">
        <v>796.3200000000001</v>
      </c>
      <c r="O316" s="16" t="n">
        <v>796.3200000000001</v>
      </c>
      <c r="P316" s="16" t="n">
        <v>796.3200000000001</v>
      </c>
      <c r="Q316" s="16" t="n">
        <v>796.3200000000001</v>
      </c>
      <c r="R316" s="16" t="n">
        <v>796.3200000000001</v>
      </c>
      <c r="S316" s="16" t="n">
        <v>796.3200000000001</v>
      </c>
      <c r="T316" s="16" t="n">
        <v>796.3200000000001</v>
      </c>
      <c r="U316" s="16" t="n">
        <v>350</v>
      </c>
      <c r="V316" s="16" t="n">
        <v>250</v>
      </c>
      <c r="W316" s="16">
        <f>U316+V316</f>
        <v/>
      </c>
    </row>
    <row r="317">
      <c r="A317" s="3" t="inlineStr">
        <is>
          <t>CANON-202603-004888</t>
        </is>
      </c>
      <c r="B317" s="3" t="inlineStr">
        <is>
          <t>2026-03-09</t>
        </is>
      </c>
      <c r="C317" s="3" t="inlineStr">
        <is>
          <t>Noor Thistlewood</t>
        </is>
      </c>
      <c r="D317" s="3" t="inlineStr">
        <is>
          <t>MA</t>
        </is>
      </c>
      <c r="E317" s="14" t="n">
        <v>1430000</v>
      </c>
      <c r="F317" s="14" t="n">
        <v>19418.18</v>
      </c>
      <c r="G317" s="14" t="n">
        <v>2427.27</v>
      </c>
      <c r="H317" s="14" t="n">
        <v>2427.27</v>
      </c>
      <c r="I317" s="14">
        <f>SUM(K317:T317)</f>
        <v/>
      </c>
      <c r="J317" s="14">
        <f>F317-(G317+H317+I317)</f>
        <v/>
      </c>
      <c r="K317" s="14" t="n">
        <v>1456.36</v>
      </c>
      <c r="L317" s="14" t="n">
        <v>1456.36</v>
      </c>
      <c r="M317" s="14" t="n">
        <v>1456.36</v>
      </c>
      <c r="N317" s="14" t="n">
        <v>1456.36</v>
      </c>
      <c r="O317" s="14" t="n">
        <v>1456.36</v>
      </c>
      <c r="P317" s="14" t="n">
        <v>1456.36</v>
      </c>
      <c r="Q317" s="14" t="n">
        <v>1456.36</v>
      </c>
      <c r="R317" s="14" t="n">
        <v>1456.36</v>
      </c>
      <c r="S317" s="14" t="n">
        <v>1456.36</v>
      </c>
      <c r="T317" s="14" t="n">
        <v>1456.36</v>
      </c>
      <c r="U317" s="14" t="n">
        <v>350</v>
      </c>
      <c r="V317" s="14" t="n">
        <v>250</v>
      </c>
      <c r="W317" s="14">
        <f>U317+V317</f>
        <v/>
      </c>
    </row>
    <row r="318">
      <c r="A318" s="15" t="inlineStr">
        <is>
          <t>CANON-202603-004889</t>
        </is>
      </c>
      <c r="B318" s="15" t="inlineStr">
        <is>
          <t>2026-03-10</t>
        </is>
      </c>
      <c r="C318" s="15" t="inlineStr">
        <is>
          <t>Ingrid Farkas</t>
        </is>
      </c>
      <c r="D318" s="15" t="inlineStr">
        <is>
          <t>WV</t>
        </is>
      </c>
      <c r="E318" s="16" t="n">
        <v>365000</v>
      </c>
      <c r="F318" s="16" t="n">
        <v>5816.47</v>
      </c>
      <c r="G318" s="16" t="n">
        <v>727.0599999999999</v>
      </c>
      <c r="H318" s="16" t="n">
        <v>727.0599999999999</v>
      </c>
      <c r="I318" s="16">
        <f>SUM(K318:T318)</f>
        <v/>
      </c>
      <c r="J318" s="16">
        <f>F318-(G318+H318+I318)</f>
        <v/>
      </c>
      <c r="K318" s="16" t="n">
        <v>436.24</v>
      </c>
      <c r="L318" s="16" t="n">
        <v>436.24</v>
      </c>
      <c r="M318" s="16" t="n">
        <v>436.24</v>
      </c>
      <c r="N318" s="16" t="n">
        <v>436.24</v>
      </c>
      <c r="O318" s="16" t="n">
        <v>436.24</v>
      </c>
      <c r="P318" s="16" t="n">
        <v>436.24</v>
      </c>
      <c r="Q318" s="16" t="n">
        <v>436.24</v>
      </c>
      <c r="R318" s="16" t="n">
        <v>436.24</v>
      </c>
      <c r="S318" s="16" t="n">
        <v>436.24</v>
      </c>
      <c r="T318" s="16" t="n">
        <v>436.24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CANON-202603-004893</t>
        </is>
      </c>
      <c r="B319" s="3" t="inlineStr">
        <is>
          <t>2026-03-14</t>
        </is>
      </c>
      <c r="C319" s="3" t="inlineStr">
        <is>
          <t>Noor Harrington</t>
        </is>
      </c>
      <c r="D319" s="3" t="inlineStr">
        <is>
          <t>MT</t>
        </is>
      </c>
      <c r="E319" s="14" t="n">
        <v>490000</v>
      </c>
      <c r="F319" s="14" t="n">
        <v>5460.01</v>
      </c>
      <c r="G319" s="14" t="n">
        <v>682.5</v>
      </c>
      <c r="H319" s="14" t="n">
        <v>682.5</v>
      </c>
      <c r="I319" s="14">
        <f>SUM(K319:T319)</f>
        <v/>
      </c>
      <c r="J319" s="14">
        <f>F319-(G319+H319+I319)</f>
        <v/>
      </c>
      <c r="K319" s="14" t="n">
        <v>409.5</v>
      </c>
      <c r="L319" s="14" t="n">
        <v>409.5</v>
      </c>
      <c r="M319" s="14" t="n">
        <v>409.5</v>
      </c>
      <c r="N319" s="14" t="n">
        <v>409.5</v>
      </c>
      <c r="O319" s="14" t="n">
        <v>409.5</v>
      </c>
      <c r="P319" s="14" t="n">
        <v>409.5</v>
      </c>
      <c r="Q319" s="14" t="n">
        <v>409.5</v>
      </c>
      <c r="R319" s="14" t="n">
        <v>409.5</v>
      </c>
      <c r="S319" s="14" t="n">
        <v>409.5</v>
      </c>
      <c r="T319" s="14" t="n">
        <v>409.5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CANON-202603-004894</t>
        </is>
      </c>
      <c r="B320" s="15" t="inlineStr">
        <is>
          <t>2026-03-26</t>
        </is>
      </c>
      <c r="C320" s="15" t="inlineStr">
        <is>
          <t>Beatrix Castellanos</t>
        </is>
      </c>
      <c r="D320" s="15" t="inlineStr">
        <is>
          <t>NY</t>
        </is>
      </c>
      <c r="E320" s="16" t="n">
        <v>890000</v>
      </c>
      <c r="F320" s="16" t="n">
        <v>11829.52</v>
      </c>
      <c r="G320" s="16" t="n">
        <v>1478.69</v>
      </c>
      <c r="H320" s="16" t="n">
        <v>1478.69</v>
      </c>
      <c r="I320" s="16">
        <f>SUM(K320:T320)</f>
        <v/>
      </c>
      <c r="J320" s="16">
        <f>F320-(G320+H320+I320)</f>
        <v/>
      </c>
      <c r="K320" s="16" t="n">
        <v>887.21</v>
      </c>
      <c r="L320" s="16" t="n">
        <v>887.21</v>
      </c>
      <c r="M320" s="16" t="n">
        <v>887.21</v>
      </c>
      <c r="N320" s="16" t="n">
        <v>887.21</v>
      </c>
      <c r="O320" s="16" t="n">
        <v>887.21</v>
      </c>
      <c r="P320" s="16" t="n">
        <v>887.21</v>
      </c>
      <c r="Q320" s="16" t="n">
        <v>887.21</v>
      </c>
      <c r="R320" s="16" t="n">
        <v>887.21</v>
      </c>
      <c r="S320" s="16" t="n">
        <v>887.21</v>
      </c>
      <c r="T320" s="16" t="n">
        <v>887.21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CANON-202603-004895</t>
        </is>
      </c>
      <c r="B321" s="3" t="inlineStr">
        <is>
          <t>2026-03-26</t>
        </is>
      </c>
      <c r="C321" s="3" t="inlineStr">
        <is>
          <t>Marisol Montoya</t>
        </is>
      </c>
      <c r="D321" s="3" t="inlineStr">
        <is>
          <t>AL</t>
        </is>
      </c>
      <c r="E321" s="14" t="n">
        <v>290000</v>
      </c>
      <c r="F321" s="14" t="n">
        <v>4412.82</v>
      </c>
      <c r="G321" s="14" t="n">
        <v>551.6</v>
      </c>
      <c r="H321" s="14" t="n">
        <v>551.6</v>
      </c>
      <c r="I321" s="14">
        <f>SUM(K321:T321)</f>
        <v/>
      </c>
      <c r="J321" s="14">
        <f>F321-(G321+H321+I321)</f>
        <v/>
      </c>
      <c r="K321" s="14" t="n">
        <v>330.96</v>
      </c>
      <c r="L321" s="14" t="n">
        <v>330.96</v>
      </c>
      <c r="M321" s="14" t="n">
        <v>330.96</v>
      </c>
      <c r="N321" s="14" t="n">
        <v>330.96</v>
      </c>
      <c r="O321" s="14" t="n">
        <v>330.96</v>
      </c>
      <c r="P321" s="14" t="n">
        <v>330.96</v>
      </c>
      <c r="Q321" s="14" t="n">
        <v>330.96</v>
      </c>
      <c r="R321" s="14" t="n">
        <v>330.96</v>
      </c>
      <c r="S321" s="14" t="n">
        <v>330.96</v>
      </c>
      <c r="T321" s="14" t="n">
        <v>330.96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CANON-202603-004897</t>
        </is>
      </c>
      <c r="B322" s="15" t="inlineStr">
        <is>
          <t>2026-03-13</t>
        </is>
      </c>
      <c r="C322" s="15" t="inlineStr">
        <is>
          <t>Fitzgerald Rourke</t>
        </is>
      </c>
      <c r="D322" s="15" t="inlineStr">
        <is>
          <t>NE</t>
        </is>
      </c>
      <c r="E322" s="16" t="n">
        <v>1950000</v>
      </c>
      <c r="F322" s="16" t="n">
        <v>13769.26</v>
      </c>
      <c r="G322" s="16" t="n">
        <v>1721.16</v>
      </c>
      <c r="H322" s="16" t="n">
        <v>1721.16</v>
      </c>
      <c r="I322" s="16">
        <f>SUM(K322:T322)</f>
        <v/>
      </c>
      <c r="J322" s="16">
        <f>F322-(G322+H322+I322)</f>
        <v/>
      </c>
      <c r="K322" s="16" t="n">
        <v>1032.69</v>
      </c>
      <c r="L322" s="16" t="n">
        <v>1032.69</v>
      </c>
      <c r="M322" s="16" t="n">
        <v>1032.69</v>
      </c>
      <c r="N322" s="16" t="n">
        <v>1032.69</v>
      </c>
      <c r="O322" s="16" t="n">
        <v>1032.69</v>
      </c>
      <c r="P322" s="16" t="n">
        <v>1032.69</v>
      </c>
      <c r="Q322" s="16" t="n">
        <v>1032.69</v>
      </c>
      <c r="R322" s="16" t="n">
        <v>1032.69</v>
      </c>
      <c r="S322" s="16" t="n">
        <v>1032.69</v>
      </c>
      <c r="T322" s="16" t="n">
        <v>1032.69</v>
      </c>
      <c r="U322" s="16" t="n">
        <v>350</v>
      </c>
      <c r="V322" s="16" t="n">
        <v>250</v>
      </c>
      <c r="W322" s="16">
        <f>U322+V322</f>
        <v/>
      </c>
    </row>
    <row r="323">
      <c r="A323" s="3" t="inlineStr">
        <is>
          <t>CANON-202603-004898</t>
        </is>
      </c>
      <c r="B323" s="3" t="inlineStr">
        <is>
          <t>2026-03-18</t>
        </is>
      </c>
      <c r="C323" s="3" t="inlineStr">
        <is>
          <t>Sunniva Vandermeer</t>
        </is>
      </c>
      <c r="D323" s="3" t="inlineStr">
        <is>
          <t>MS</t>
        </is>
      </c>
      <c r="E323" s="14" t="n">
        <v>530000</v>
      </c>
      <c r="F323" s="14" t="n">
        <v>6549.22</v>
      </c>
      <c r="G323" s="14" t="n">
        <v>818.65</v>
      </c>
      <c r="H323" s="14" t="n">
        <v>818.65</v>
      </c>
      <c r="I323" s="14">
        <f>SUM(K323:T323)</f>
        <v/>
      </c>
      <c r="J323" s="14">
        <f>F323-(G323+H323+I323)</f>
        <v/>
      </c>
      <c r="K323" s="14" t="n">
        <v>491.19</v>
      </c>
      <c r="L323" s="14" t="n">
        <v>491.19</v>
      </c>
      <c r="M323" s="14" t="n">
        <v>491.19</v>
      </c>
      <c r="N323" s="14" t="n">
        <v>491.19</v>
      </c>
      <c r="O323" s="14" t="n">
        <v>491.19</v>
      </c>
      <c r="P323" s="14" t="n">
        <v>491.19</v>
      </c>
      <c r="Q323" s="14" t="n">
        <v>491.19</v>
      </c>
      <c r="R323" s="14" t="n">
        <v>491.19</v>
      </c>
      <c r="S323" s="14" t="n">
        <v>491.19</v>
      </c>
      <c r="T323" s="14" t="n">
        <v>491.19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CANON-202603-004899</t>
        </is>
      </c>
      <c r="B324" s="15" t="inlineStr">
        <is>
          <t>2026-03-03</t>
        </is>
      </c>
      <c r="C324" s="15" t="inlineStr">
        <is>
          <t>Emiliano Fairweather</t>
        </is>
      </c>
      <c r="D324" s="15" t="inlineStr">
        <is>
          <t>NJ</t>
        </is>
      </c>
      <c r="E324" s="16" t="n">
        <v>1025000</v>
      </c>
      <c r="F324" s="16" t="n">
        <v>8195.620000000001</v>
      </c>
      <c r="G324" s="16" t="n">
        <v>1024.45</v>
      </c>
      <c r="H324" s="16" t="n">
        <v>1024.45</v>
      </c>
      <c r="I324" s="16">
        <f>SUM(K324:T324)</f>
        <v/>
      </c>
      <c r="J324" s="16">
        <f>F324-(G324+H324+I324)</f>
        <v/>
      </c>
      <c r="K324" s="16" t="n">
        <v>614.67</v>
      </c>
      <c r="L324" s="16" t="n">
        <v>614.67</v>
      </c>
      <c r="M324" s="16" t="n">
        <v>614.67</v>
      </c>
      <c r="N324" s="16" t="n">
        <v>614.67</v>
      </c>
      <c r="O324" s="16" t="n">
        <v>614.67</v>
      </c>
      <c r="P324" s="16" t="n">
        <v>614.67</v>
      </c>
      <c r="Q324" s="16" t="n">
        <v>614.67</v>
      </c>
      <c r="R324" s="16" t="n">
        <v>614.67</v>
      </c>
      <c r="S324" s="16" t="n">
        <v>614.67</v>
      </c>
      <c r="T324" s="16" t="n">
        <v>614.67</v>
      </c>
      <c r="U324" s="16" t="n">
        <v>350</v>
      </c>
      <c r="V324" s="16" t="n">
        <v>250</v>
      </c>
      <c r="W324" s="16">
        <f>U324+V324</f>
        <v/>
      </c>
    </row>
    <row r="325">
      <c r="A325" s="3" t="inlineStr">
        <is>
          <t>CANON-202603-004900</t>
        </is>
      </c>
      <c r="B325" s="3" t="inlineStr">
        <is>
          <t>2026-03-15</t>
        </is>
      </c>
      <c r="C325" s="3" t="inlineStr">
        <is>
          <t>Ottilie Montoya</t>
        </is>
      </c>
      <c r="D325" s="3" t="inlineStr">
        <is>
          <t>NY</t>
        </is>
      </c>
      <c r="E325" s="14" t="n">
        <v>995000</v>
      </c>
      <c r="F325" s="14" t="n">
        <v>19329.04</v>
      </c>
      <c r="G325" s="14" t="n">
        <v>2416.13</v>
      </c>
      <c r="H325" s="14" t="n">
        <v>2416.13</v>
      </c>
      <c r="I325" s="14">
        <f>SUM(K325:T325)</f>
        <v/>
      </c>
      <c r="J325" s="14">
        <f>F325-(G325+H325+I325)</f>
        <v/>
      </c>
      <c r="K325" s="14" t="n">
        <v>1449.68</v>
      </c>
      <c r="L325" s="14" t="n">
        <v>1449.68</v>
      </c>
      <c r="M325" s="14" t="n">
        <v>1449.68</v>
      </c>
      <c r="N325" s="14" t="n">
        <v>1449.68</v>
      </c>
      <c r="O325" s="14" t="n">
        <v>1449.68</v>
      </c>
      <c r="P325" s="14" t="n">
        <v>1449.68</v>
      </c>
      <c r="Q325" s="14" t="n">
        <v>1449.68</v>
      </c>
      <c r="R325" s="14" t="n">
        <v>1449.68</v>
      </c>
      <c r="S325" s="14" t="n">
        <v>1449.68</v>
      </c>
      <c r="T325" s="14" t="n">
        <v>1449.68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CANON-202603-004901</t>
        </is>
      </c>
      <c r="B326" s="15" t="inlineStr">
        <is>
          <t>2026-03-18</t>
        </is>
      </c>
      <c r="C326" s="15" t="inlineStr">
        <is>
          <t>Delphine Rourke</t>
        </is>
      </c>
      <c r="D326" s="15" t="inlineStr">
        <is>
          <t>AL</t>
        </is>
      </c>
      <c r="E326" s="16" t="n">
        <v>560000</v>
      </c>
      <c r="F326" s="16" t="n">
        <v>10793.66</v>
      </c>
      <c r="G326" s="16" t="n">
        <v>1349.21</v>
      </c>
      <c r="H326" s="16" t="n">
        <v>1349.21</v>
      </c>
      <c r="I326" s="16">
        <f>SUM(K326:T326)</f>
        <v/>
      </c>
      <c r="J326" s="16">
        <f>F326-(G326+H326+I326)</f>
        <v/>
      </c>
      <c r="K326" s="16" t="n">
        <v>809.52</v>
      </c>
      <c r="L326" s="16" t="n">
        <v>809.52</v>
      </c>
      <c r="M326" s="16" t="n">
        <v>809.52</v>
      </c>
      <c r="N326" s="16" t="n">
        <v>809.52</v>
      </c>
      <c r="O326" s="16" t="n">
        <v>809.52</v>
      </c>
      <c r="P326" s="16" t="n">
        <v>809.52</v>
      </c>
      <c r="Q326" s="16" t="n">
        <v>809.52</v>
      </c>
      <c r="R326" s="16" t="n">
        <v>809.52</v>
      </c>
      <c r="S326" s="16" t="n">
        <v>809.52</v>
      </c>
      <c r="T326" s="16" t="n">
        <v>809.52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CANON-202603-004903</t>
        </is>
      </c>
      <c r="B327" s="3" t="inlineStr">
        <is>
          <t>2026-03-08</t>
        </is>
      </c>
      <c r="C327" s="3" t="inlineStr">
        <is>
          <t>Ingrid Thistlewood</t>
        </is>
      </c>
      <c r="D327" s="3" t="inlineStr">
        <is>
          <t>ND</t>
        </is>
      </c>
      <c r="E327" s="14" t="n">
        <v>845000</v>
      </c>
      <c r="F327" s="14" t="n">
        <v>10740.03</v>
      </c>
      <c r="G327" s="14" t="n">
        <v>1342.5</v>
      </c>
      <c r="H327" s="14" t="n">
        <v>1342.5</v>
      </c>
      <c r="I327" s="14">
        <f>SUM(K327:T327)</f>
        <v/>
      </c>
      <c r="J327" s="14">
        <f>F327-(G327+H327+I327)</f>
        <v/>
      </c>
      <c r="K327" s="14" t="n">
        <v>805.5</v>
      </c>
      <c r="L327" s="14" t="n">
        <v>805.5</v>
      </c>
      <c r="M327" s="14" t="n">
        <v>805.5</v>
      </c>
      <c r="N327" s="14" t="n">
        <v>805.5</v>
      </c>
      <c r="O327" s="14" t="n">
        <v>805.5</v>
      </c>
      <c r="P327" s="14" t="n">
        <v>805.5</v>
      </c>
      <c r="Q327" s="14" t="n">
        <v>805.5</v>
      </c>
      <c r="R327" s="14" t="n">
        <v>805.5</v>
      </c>
      <c r="S327" s="14" t="n">
        <v>805.5</v>
      </c>
      <c r="T327" s="14" t="n">
        <v>805.5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CANON-202603-004905</t>
        </is>
      </c>
      <c r="B328" s="15" t="inlineStr">
        <is>
          <t>2026-03-15</t>
        </is>
      </c>
      <c r="C328" s="15" t="inlineStr">
        <is>
          <t>Delphine Merriweather</t>
        </is>
      </c>
      <c r="D328" s="15" t="inlineStr">
        <is>
          <t>IA</t>
        </is>
      </c>
      <c r="E328" s="16" t="n">
        <v>660000</v>
      </c>
      <c r="F328" s="16" t="n">
        <v>7538.82</v>
      </c>
      <c r="G328" s="16" t="n">
        <v>942.35</v>
      </c>
      <c r="H328" s="16" t="n">
        <v>942.35</v>
      </c>
      <c r="I328" s="16">
        <f>SUM(K328:T328)</f>
        <v/>
      </c>
      <c r="J328" s="16">
        <f>F328-(G328+H328+I328)</f>
        <v/>
      </c>
      <c r="K328" s="16" t="n">
        <v>565.41</v>
      </c>
      <c r="L328" s="16" t="n">
        <v>565.41</v>
      </c>
      <c r="M328" s="16" t="n">
        <v>565.41</v>
      </c>
      <c r="N328" s="16" t="n">
        <v>565.41</v>
      </c>
      <c r="O328" s="16" t="n">
        <v>565.41</v>
      </c>
      <c r="P328" s="16" t="n">
        <v>565.41</v>
      </c>
      <c r="Q328" s="16" t="n">
        <v>565.41</v>
      </c>
      <c r="R328" s="16" t="n">
        <v>565.41</v>
      </c>
      <c r="S328" s="16" t="n">
        <v>565.41</v>
      </c>
      <c r="T328" s="16" t="n">
        <v>565.41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CANON-202603-004906</t>
        </is>
      </c>
      <c r="B329" s="3" t="inlineStr">
        <is>
          <t>2026-03-18</t>
        </is>
      </c>
      <c r="C329" s="3" t="inlineStr">
        <is>
          <t>Callum Okonkwo</t>
        </is>
      </c>
      <c r="D329" s="3" t="inlineStr">
        <is>
          <t>NY</t>
        </is>
      </c>
      <c r="E329" s="14" t="n">
        <v>290000</v>
      </c>
      <c r="F329" s="14" t="n">
        <v>2846.44</v>
      </c>
      <c r="G329" s="14" t="n">
        <v>355.81</v>
      </c>
      <c r="H329" s="14" t="n">
        <v>355.81</v>
      </c>
      <c r="I329" s="14">
        <f>SUM(K329:T329)</f>
        <v/>
      </c>
      <c r="J329" s="14">
        <f>F329-(G329+H329+I329)</f>
        <v/>
      </c>
      <c r="K329" s="14" t="n">
        <v>213.48</v>
      </c>
      <c r="L329" s="14" t="n">
        <v>213.48</v>
      </c>
      <c r="M329" s="14" t="n">
        <v>213.48</v>
      </c>
      <c r="N329" s="14" t="n">
        <v>213.48</v>
      </c>
      <c r="O329" s="14" t="n">
        <v>213.48</v>
      </c>
      <c r="P329" s="14" t="n">
        <v>213.48</v>
      </c>
      <c r="Q329" s="14" t="n">
        <v>213.48</v>
      </c>
      <c r="R329" s="14" t="n">
        <v>213.48</v>
      </c>
      <c r="S329" s="14" t="n">
        <v>213.48</v>
      </c>
      <c r="T329" s="14" t="n">
        <v>213.48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CANON-202603-004907</t>
        </is>
      </c>
      <c r="B330" s="15" t="inlineStr">
        <is>
          <t>2026-03-18</t>
        </is>
      </c>
      <c r="C330" s="15" t="inlineStr">
        <is>
          <t>Mireille Rourke</t>
        </is>
      </c>
      <c r="D330" s="15" t="inlineStr">
        <is>
          <t>ND</t>
        </is>
      </c>
      <c r="E330" s="16" t="n">
        <v>535000</v>
      </c>
      <c r="F330" s="16" t="n">
        <v>5666.58</v>
      </c>
      <c r="G330" s="16" t="n">
        <v>708.3200000000001</v>
      </c>
      <c r="H330" s="16" t="n">
        <v>708.3200000000001</v>
      </c>
      <c r="I330" s="16">
        <f>SUM(K330:T330)</f>
        <v/>
      </c>
      <c r="J330" s="16">
        <f>F330-(G330+H330+I330)</f>
        <v/>
      </c>
      <c r="K330" s="16" t="n">
        <v>424.99</v>
      </c>
      <c r="L330" s="16" t="n">
        <v>424.99</v>
      </c>
      <c r="M330" s="16" t="n">
        <v>424.99</v>
      </c>
      <c r="N330" s="16" t="n">
        <v>424.99</v>
      </c>
      <c r="O330" s="16" t="n">
        <v>424.99</v>
      </c>
      <c r="P330" s="16" t="n">
        <v>424.99</v>
      </c>
      <c r="Q330" s="16" t="n">
        <v>424.99</v>
      </c>
      <c r="R330" s="16" t="n">
        <v>424.99</v>
      </c>
      <c r="S330" s="16" t="n">
        <v>424.99</v>
      </c>
      <c r="T330" s="16" t="n">
        <v>424.99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CANON-202603-004908</t>
        </is>
      </c>
      <c r="B331" s="3" t="inlineStr">
        <is>
          <t>2026-03-10</t>
        </is>
      </c>
      <c r="C331" s="3" t="inlineStr">
        <is>
          <t>Callum Okonkwo</t>
        </is>
      </c>
      <c r="D331" s="3" t="inlineStr">
        <is>
          <t>WA</t>
        </is>
      </c>
      <c r="E331" s="14" t="n">
        <v>570000</v>
      </c>
      <c r="F331" s="14" t="n">
        <v>5682.15</v>
      </c>
      <c r="G331" s="14" t="n">
        <v>710.27</v>
      </c>
      <c r="H331" s="14" t="n">
        <v>710.27</v>
      </c>
      <c r="I331" s="14">
        <f>SUM(K331:T331)</f>
        <v/>
      </c>
      <c r="J331" s="14">
        <f>F331-(G331+H331+I331)</f>
        <v/>
      </c>
      <c r="K331" s="14" t="n">
        <v>426.16</v>
      </c>
      <c r="L331" s="14" t="n">
        <v>426.16</v>
      </c>
      <c r="M331" s="14" t="n">
        <v>426.16</v>
      </c>
      <c r="N331" s="14" t="n">
        <v>426.16</v>
      </c>
      <c r="O331" s="14" t="n">
        <v>426.16</v>
      </c>
      <c r="P331" s="14" t="n">
        <v>426.16</v>
      </c>
      <c r="Q331" s="14" t="n">
        <v>426.16</v>
      </c>
      <c r="R331" s="14" t="n">
        <v>426.16</v>
      </c>
      <c r="S331" s="14" t="n">
        <v>426.16</v>
      </c>
      <c r="T331" s="14" t="n">
        <v>426.16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CANON-202603-004910</t>
        </is>
      </c>
      <c r="B332" s="15" t="inlineStr">
        <is>
          <t>2026-03-25</t>
        </is>
      </c>
      <c r="C332" s="15" t="inlineStr">
        <is>
          <t>Fenwick Okonkwo</t>
        </is>
      </c>
      <c r="D332" s="15" t="inlineStr">
        <is>
          <t>VT</t>
        </is>
      </c>
      <c r="E332" s="16" t="n">
        <v>1510000</v>
      </c>
      <c r="F332" s="16" t="n">
        <v>23544.01</v>
      </c>
      <c r="G332" s="16" t="n">
        <v>2943</v>
      </c>
      <c r="H332" s="16" t="n">
        <v>2943</v>
      </c>
      <c r="I332" s="16">
        <f>SUM(K332:T332)</f>
        <v/>
      </c>
      <c r="J332" s="16">
        <f>F332-(G332+H332+I332)</f>
        <v/>
      </c>
      <c r="K332" s="16" t="n">
        <v>1765.8</v>
      </c>
      <c r="L332" s="16" t="n">
        <v>1765.8</v>
      </c>
      <c r="M332" s="16" t="n">
        <v>1765.8</v>
      </c>
      <c r="N332" s="16" t="n">
        <v>1765.8</v>
      </c>
      <c r="O332" s="16" t="n">
        <v>1765.8</v>
      </c>
      <c r="P332" s="16" t="n">
        <v>1765.8</v>
      </c>
      <c r="Q332" s="16" t="n">
        <v>1765.8</v>
      </c>
      <c r="R332" s="16" t="n">
        <v>1765.8</v>
      </c>
      <c r="S332" s="16" t="n">
        <v>1765.8</v>
      </c>
      <c r="T332" s="16" t="n">
        <v>1765.8</v>
      </c>
      <c r="U332" s="16" t="n">
        <v>350</v>
      </c>
      <c r="V332" s="16" t="n">
        <v>250</v>
      </c>
      <c r="W332" s="16">
        <f>U332+V332</f>
        <v/>
      </c>
    </row>
    <row r="333">
      <c r="A333" s="3" t="inlineStr">
        <is>
          <t>CANON-202603-004911</t>
        </is>
      </c>
      <c r="B333" s="3" t="inlineStr">
        <is>
          <t>2026-03-05</t>
        </is>
      </c>
      <c r="C333" s="3" t="inlineStr">
        <is>
          <t>Lorenzo Larsson</t>
        </is>
      </c>
      <c r="D333" s="3" t="inlineStr">
        <is>
          <t>MD</t>
        </is>
      </c>
      <c r="E333" s="14" t="n">
        <v>395000</v>
      </c>
      <c r="F333" s="14" t="n">
        <v>4496.1</v>
      </c>
      <c r="G333" s="14" t="n">
        <v>562.01</v>
      </c>
      <c r="H333" s="14" t="n">
        <v>562.01</v>
      </c>
      <c r="I333" s="14">
        <f>SUM(K333:T333)</f>
        <v/>
      </c>
      <c r="J333" s="14">
        <f>F333-(G333+H333+I333)</f>
        <v/>
      </c>
      <c r="K333" s="14" t="n">
        <v>337.21</v>
      </c>
      <c r="L333" s="14" t="n">
        <v>337.21</v>
      </c>
      <c r="M333" s="14" t="n">
        <v>337.21</v>
      </c>
      <c r="N333" s="14" t="n">
        <v>337.21</v>
      </c>
      <c r="O333" s="14" t="n">
        <v>337.21</v>
      </c>
      <c r="P333" s="14" t="n">
        <v>337.21</v>
      </c>
      <c r="Q333" s="14" t="n">
        <v>337.21</v>
      </c>
      <c r="R333" s="14" t="n">
        <v>337.21</v>
      </c>
      <c r="S333" s="14" t="n">
        <v>337.21</v>
      </c>
      <c r="T333" s="14" t="n">
        <v>337.21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CANON-202603-004912</t>
        </is>
      </c>
      <c r="B334" s="15" t="inlineStr">
        <is>
          <t>2026-03-23</t>
        </is>
      </c>
      <c r="C334" s="15" t="inlineStr">
        <is>
          <t>Fitzgerald Fairweather</t>
        </is>
      </c>
      <c r="D334" s="15" t="inlineStr">
        <is>
          <t>NV</t>
        </is>
      </c>
      <c r="E334" s="16" t="n">
        <v>325000</v>
      </c>
      <c r="F334" s="16" t="n">
        <v>4556.01</v>
      </c>
      <c r="G334" s="16" t="n">
        <v>569.5</v>
      </c>
      <c r="H334" s="16" t="n">
        <v>569.5</v>
      </c>
      <c r="I334" s="16">
        <f>SUM(K334:T334)</f>
        <v/>
      </c>
      <c r="J334" s="16">
        <f>F334-(G334+H334+I334)</f>
        <v/>
      </c>
      <c r="K334" s="16" t="n">
        <v>341.7</v>
      </c>
      <c r="L334" s="16" t="n">
        <v>341.7</v>
      </c>
      <c r="M334" s="16" t="n">
        <v>341.7</v>
      </c>
      <c r="N334" s="16" t="n">
        <v>341.7</v>
      </c>
      <c r="O334" s="16" t="n">
        <v>341.7</v>
      </c>
      <c r="P334" s="16" t="n">
        <v>341.7</v>
      </c>
      <c r="Q334" s="16" t="n">
        <v>341.7</v>
      </c>
      <c r="R334" s="16" t="n">
        <v>341.7</v>
      </c>
      <c r="S334" s="16" t="n">
        <v>341.7</v>
      </c>
      <c r="T334" s="16" t="n">
        <v>341.7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CANON-202603-004913</t>
        </is>
      </c>
      <c r="B335" s="3" t="inlineStr">
        <is>
          <t>2026-03-21</t>
        </is>
      </c>
      <c r="C335" s="3" t="inlineStr">
        <is>
          <t>Fenwick Fairweather</t>
        </is>
      </c>
      <c r="D335" s="3" t="inlineStr">
        <is>
          <t>IN</t>
        </is>
      </c>
      <c r="E335" s="14" t="n">
        <v>1230000</v>
      </c>
      <c r="F335" s="14" t="n">
        <v>13293.11</v>
      </c>
      <c r="G335" s="14" t="n">
        <v>1661.64</v>
      </c>
      <c r="H335" s="14" t="n">
        <v>1661.64</v>
      </c>
      <c r="I335" s="14">
        <f>SUM(K335:T335)</f>
        <v/>
      </c>
      <c r="J335" s="14">
        <f>F335-(G335+H335+I335)</f>
        <v/>
      </c>
      <c r="K335" s="14" t="n">
        <v>996.98</v>
      </c>
      <c r="L335" s="14" t="n">
        <v>996.98</v>
      </c>
      <c r="M335" s="14" t="n">
        <v>996.98</v>
      </c>
      <c r="N335" s="14" t="n">
        <v>996.98</v>
      </c>
      <c r="O335" s="14" t="n">
        <v>996.98</v>
      </c>
      <c r="P335" s="14" t="n">
        <v>996.98</v>
      </c>
      <c r="Q335" s="14" t="n">
        <v>996.98</v>
      </c>
      <c r="R335" s="14" t="n">
        <v>996.98</v>
      </c>
      <c r="S335" s="14" t="n">
        <v>996.98</v>
      </c>
      <c r="T335" s="14" t="n">
        <v>996.98</v>
      </c>
      <c r="U335" s="14" t="n">
        <v>350</v>
      </c>
      <c r="V335" s="14" t="n">
        <v>250</v>
      </c>
      <c r="W335" s="14">
        <f>U335+V335</f>
        <v/>
      </c>
    </row>
    <row r="336">
      <c r="A336" s="15" t="inlineStr">
        <is>
          <t>CANON-202603-004914</t>
        </is>
      </c>
      <c r="B336" s="15" t="inlineStr">
        <is>
          <t>2026-03-07</t>
        </is>
      </c>
      <c r="C336" s="15" t="inlineStr">
        <is>
          <t>Thaddeus Kingsford</t>
        </is>
      </c>
      <c r="D336" s="15" t="inlineStr">
        <is>
          <t>CA</t>
        </is>
      </c>
      <c r="E336" s="16" t="n">
        <v>220000</v>
      </c>
      <c r="F336" s="16" t="n">
        <v>2704.49</v>
      </c>
      <c r="G336" s="16" t="n">
        <v>338.06</v>
      </c>
      <c r="H336" s="16" t="n">
        <v>338.06</v>
      </c>
      <c r="I336" s="16">
        <f>SUM(K336:T336)</f>
        <v/>
      </c>
      <c r="J336" s="16">
        <f>F336-(G336+H336+I336)</f>
        <v/>
      </c>
      <c r="K336" s="16" t="n">
        <v>202.84</v>
      </c>
      <c r="L336" s="16" t="n">
        <v>202.84</v>
      </c>
      <c r="M336" s="16" t="n">
        <v>202.84</v>
      </c>
      <c r="N336" s="16" t="n">
        <v>202.84</v>
      </c>
      <c r="O336" s="16" t="n">
        <v>202.84</v>
      </c>
      <c r="P336" s="16" t="n">
        <v>202.84</v>
      </c>
      <c r="Q336" s="16" t="n">
        <v>202.84</v>
      </c>
      <c r="R336" s="16" t="n">
        <v>202.84</v>
      </c>
      <c r="S336" s="16" t="n">
        <v>202.84</v>
      </c>
      <c r="T336" s="16" t="n">
        <v>202.84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CANON-202603-004915</t>
        </is>
      </c>
      <c r="B337" s="3" t="inlineStr">
        <is>
          <t>2026-03-10</t>
        </is>
      </c>
      <c r="C337" s="3" t="inlineStr">
        <is>
          <t>Sunniva Fairweather</t>
        </is>
      </c>
      <c r="D337" s="3" t="inlineStr">
        <is>
          <t>MI</t>
        </is>
      </c>
      <c r="E337" s="14" t="n">
        <v>215000</v>
      </c>
      <c r="F337" s="14" t="n">
        <v>4897.92</v>
      </c>
      <c r="G337" s="14" t="n">
        <v>612.24</v>
      </c>
      <c r="H337" s="14" t="n">
        <v>612.24</v>
      </c>
      <c r="I337" s="14">
        <f>SUM(K337:T337)</f>
        <v/>
      </c>
      <c r="J337" s="14">
        <f>F337-(G337+H337+I337)</f>
        <v/>
      </c>
      <c r="K337" s="14" t="n">
        <v>367.34</v>
      </c>
      <c r="L337" s="14" t="n">
        <v>367.34</v>
      </c>
      <c r="M337" s="14" t="n">
        <v>367.34</v>
      </c>
      <c r="N337" s="14" t="n">
        <v>367.34</v>
      </c>
      <c r="O337" s="14" t="n">
        <v>367.34</v>
      </c>
      <c r="P337" s="14" t="n">
        <v>367.34</v>
      </c>
      <c r="Q337" s="14" t="n">
        <v>367.34</v>
      </c>
      <c r="R337" s="14" t="n">
        <v>367.34</v>
      </c>
      <c r="S337" s="14" t="n">
        <v>367.34</v>
      </c>
      <c r="T337" s="14" t="n">
        <v>367.34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CANON-202603-004918</t>
        </is>
      </c>
      <c r="B338" s="15" t="inlineStr">
        <is>
          <t>2026-03-16</t>
        </is>
      </c>
      <c r="C338" s="15" t="inlineStr">
        <is>
          <t>Everett Nakashima</t>
        </is>
      </c>
      <c r="D338" s="15" t="inlineStr">
        <is>
          <t>TX</t>
        </is>
      </c>
      <c r="E338" s="16" t="n">
        <v>495000</v>
      </c>
      <c r="F338" s="16" t="n">
        <v>6820.52</v>
      </c>
      <c r="G338" s="16" t="n">
        <v>852.5700000000001</v>
      </c>
      <c r="H338" s="16" t="n">
        <v>852.5700000000001</v>
      </c>
      <c r="I338" s="16">
        <f>SUM(K338:T338)</f>
        <v/>
      </c>
      <c r="J338" s="16">
        <f>F338-(G338+H338+I338)</f>
        <v/>
      </c>
      <c r="K338" s="16" t="n">
        <v>511.54</v>
      </c>
      <c r="L338" s="16" t="n">
        <v>511.54</v>
      </c>
      <c r="M338" s="16" t="n">
        <v>511.54</v>
      </c>
      <c r="N338" s="16" t="n">
        <v>511.54</v>
      </c>
      <c r="O338" s="16" t="n">
        <v>511.54</v>
      </c>
      <c r="P338" s="16" t="n">
        <v>511.54</v>
      </c>
      <c r="Q338" s="16" t="n">
        <v>511.54</v>
      </c>
      <c r="R338" s="16" t="n">
        <v>511.54</v>
      </c>
      <c r="S338" s="16" t="n">
        <v>511.54</v>
      </c>
      <c r="T338" s="16" t="n">
        <v>511.54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CANON-202603-004919</t>
        </is>
      </c>
      <c r="B339" s="3" t="inlineStr">
        <is>
          <t>2026-03-02</t>
        </is>
      </c>
      <c r="C339" s="3" t="inlineStr">
        <is>
          <t>Cassius Vandermeer</t>
        </is>
      </c>
      <c r="D339" s="3" t="inlineStr">
        <is>
          <t>TX</t>
        </is>
      </c>
      <c r="E339" s="14" t="n">
        <v>555000</v>
      </c>
      <c r="F339" s="14" t="n">
        <v>6627.62</v>
      </c>
      <c r="G339" s="14" t="n">
        <v>828.45</v>
      </c>
      <c r="H339" s="14" t="n">
        <v>828.45</v>
      </c>
      <c r="I339" s="14">
        <f>SUM(K339:T339)</f>
        <v/>
      </c>
      <c r="J339" s="14">
        <f>F339-(G339+H339+I339)</f>
        <v/>
      </c>
      <c r="K339" s="14" t="n">
        <v>497.07</v>
      </c>
      <c r="L339" s="14" t="n">
        <v>497.07</v>
      </c>
      <c r="M339" s="14" t="n">
        <v>497.07</v>
      </c>
      <c r="N339" s="14" t="n">
        <v>497.07</v>
      </c>
      <c r="O339" s="14" t="n">
        <v>497.07</v>
      </c>
      <c r="P339" s="14" t="n">
        <v>497.07</v>
      </c>
      <c r="Q339" s="14" t="n">
        <v>497.07</v>
      </c>
      <c r="R339" s="14" t="n">
        <v>497.07</v>
      </c>
      <c r="S339" s="14" t="n">
        <v>497.07</v>
      </c>
      <c r="T339" s="14" t="n">
        <v>497.07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CANON-202603-004920</t>
        </is>
      </c>
      <c r="B340" s="15" t="inlineStr">
        <is>
          <t>2026-03-28</t>
        </is>
      </c>
      <c r="C340" s="15" t="inlineStr">
        <is>
          <t>Noor Vandermeer</t>
        </is>
      </c>
      <c r="D340" s="15" t="inlineStr">
        <is>
          <t>LA</t>
        </is>
      </c>
      <c r="E340" s="16" t="n">
        <v>1290000</v>
      </c>
      <c r="F340" s="16" t="n">
        <v>9475.719999999999</v>
      </c>
      <c r="G340" s="16" t="n">
        <v>1184.46</v>
      </c>
      <c r="H340" s="16" t="n">
        <v>1184.46</v>
      </c>
      <c r="I340" s="16">
        <f>SUM(K340:T340)</f>
        <v/>
      </c>
      <c r="J340" s="16">
        <f>F340-(G340+H340+I340)</f>
        <v/>
      </c>
      <c r="K340" s="16" t="n">
        <v>710.6799999999999</v>
      </c>
      <c r="L340" s="16" t="n">
        <v>710.6799999999999</v>
      </c>
      <c r="M340" s="16" t="n">
        <v>710.6799999999999</v>
      </c>
      <c r="N340" s="16" t="n">
        <v>710.6799999999999</v>
      </c>
      <c r="O340" s="16" t="n">
        <v>710.6799999999999</v>
      </c>
      <c r="P340" s="16" t="n">
        <v>710.6799999999999</v>
      </c>
      <c r="Q340" s="16" t="n">
        <v>710.6799999999999</v>
      </c>
      <c r="R340" s="16" t="n">
        <v>710.6799999999999</v>
      </c>
      <c r="S340" s="16" t="n">
        <v>710.6799999999999</v>
      </c>
      <c r="T340" s="16" t="n">
        <v>710.6799999999999</v>
      </c>
      <c r="U340" s="16" t="n">
        <v>350</v>
      </c>
      <c r="V340" s="16" t="n">
        <v>250</v>
      </c>
      <c r="W340" s="16">
        <f>U340+V340</f>
        <v/>
      </c>
    </row>
    <row r="341">
      <c r="A341" s="3" t="inlineStr">
        <is>
          <t>CANON-202603-004921</t>
        </is>
      </c>
      <c r="B341" s="3" t="inlineStr">
        <is>
          <t>2026-03-05</t>
        </is>
      </c>
      <c r="C341" s="3" t="inlineStr">
        <is>
          <t>Delphine Larsson</t>
        </is>
      </c>
      <c r="D341" s="3" t="inlineStr">
        <is>
          <t>IN</t>
        </is>
      </c>
      <c r="E341" s="14" t="n">
        <v>1070000</v>
      </c>
      <c r="F341" s="14" t="n">
        <v>11563.92</v>
      </c>
      <c r="G341" s="14" t="n">
        <v>1445.49</v>
      </c>
      <c r="H341" s="14" t="n">
        <v>1445.49</v>
      </c>
      <c r="I341" s="14">
        <f>SUM(K341:T341)</f>
        <v/>
      </c>
      <c r="J341" s="14">
        <f>F341-(G341+H341+I341)</f>
        <v/>
      </c>
      <c r="K341" s="14" t="n">
        <v>867.29</v>
      </c>
      <c r="L341" s="14" t="n">
        <v>867.29</v>
      </c>
      <c r="M341" s="14" t="n">
        <v>867.29</v>
      </c>
      <c r="N341" s="14" t="n">
        <v>867.29</v>
      </c>
      <c r="O341" s="14" t="n">
        <v>867.29</v>
      </c>
      <c r="P341" s="14" t="n">
        <v>867.29</v>
      </c>
      <c r="Q341" s="14" t="n">
        <v>867.29</v>
      </c>
      <c r="R341" s="14" t="n">
        <v>867.29</v>
      </c>
      <c r="S341" s="14" t="n">
        <v>867.29</v>
      </c>
      <c r="T341" s="14" t="n">
        <v>867.29</v>
      </c>
      <c r="U341" s="14" t="n">
        <v>350</v>
      </c>
      <c r="V341" s="14" t="n">
        <v>250</v>
      </c>
      <c r="W341" s="14">
        <f>U341+V341</f>
        <v/>
      </c>
    </row>
    <row r="342">
      <c r="A342" s="15" t="inlineStr">
        <is>
          <t>CANON-202603-004922</t>
        </is>
      </c>
      <c r="B342" s="15" t="inlineStr">
        <is>
          <t>2026-03-07</t>
        </is>
      </c>
      <c r="C342" s="15" t="inlineStr">
        <is>
          <t>Aurelio Vandermeer</t>
        </is>
      </c>
      <c r="D342" s="15" t="inlineStr">
        <is>
          <t>ID</t>
        </is>
      </c>
      <c r="E342" s="16" t="n">
        <v>490000</v>
      </c>
      <c r="F342" s="16" t="n">
        <v>5812.27</v>
      </c>
      <c r="G342" s="16" t="n">
        <v>726.53</v>
      </c>
      <c r="H342" s="16" t="n">
        <v>726.53</v>
      </c>
      <c r="I342" s="16">
        <f>SUM(K342:T342)</f>
        <v/>
      </c>
      <c r="J342" s="16">
        <f>F342-(G342+H342+I342)</f>
        <v/>
      </c>
      <c r="K342" s="16" t="n">
        <v>435.92</v>
      </c>
      <c r="L342" s="16" t="n">
        <v>435.92</v>
      </c>
      <c r="M342" s="16" t="n">
        <v>435.92</v>
      </c>
      <c r="N342" s="16" t="n">
        <v>435.92</v>
      </c>
      <c r="O342" s="16" t="n">
        <v>435.92</v>
      </c>
      <c r="P342" s="16" t="n">
        <v>435.92</v>
      </c>
      <c r="Q342" s="16" t="n">
        <v>435.92</v>
      </c>
      <c r="R342" s="16" t="n">
        <v>435.92</v>
      </c>
      <c r="S342" s="16" t="n">
        <v>435.92</v>
      </c>
      <c r="T342" s="16" t="n">
        <v>435.92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CANON-202603-004923</t>
        </is>
      </c>
      <c r="B343" s="3" t="inlineStr">
        <is>
          <t>2026-03-26</t>
        </is>
      </c>
      <c r="C343" s="3" t="inlineStr">
        <is>
          <t>Wilhelmina Fairweather</t>
        </is>
      </c>
      <c r="D343" s="3" t="inlineStr">
        <is>
          <t>PA</t>
        </is>
      </c>
      <c r="E343" s="14" t="n">
        <v>305000</v>
      </c>
      <c r="F343" s="14" t="n">
        <v>3654.39</v>
      </c>
      <c r="G343" s="14" t="n">
        <v>456.8</v>
      </c>
      <c r="H343" s="14" t="n">
        <v>456.8</v>
      </c>
      <c r="I343" s="14">
        <f>SUM(K343:T343)</f>
        <v/>
      </c>
      <c r="J343" s="14">
        <f>F343-(G343+H343+I343)</f>
        <v/>
      </c>
      <c r="K343" s="14" t="n">
        <v>274.08</v>
      </c>
      <c r="L343" s="14" t="n">
        <v>274.08</v>
      </c>
      <c r="M343" s="14" t="n">
        <v>274.08</v>
      </c>
      <c r="N343" s="14" t="n">
        <v>274.08</v>
      </c>
      <c r="O343" s="14" t="n">
        <v>274.08</v>
      </c>
      <c r="P343" s="14" t="n">
        <v>274.08</v>
      </c>
      <c r="Q343" s="14" t="n">
        <v>274.08</v>
      </c>
      <c r="R343" s="14" t="n">
        <v>274.08</v>
      </c>
      <c r="S343" s="14" t="n">
        <v>274.08</v>
      </c>
      <c r="T343" s="14" t="n">
        <v>274.08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CANON-202603-004925</t>
        </is>
      </c>
      <c r="B344" s="15" t="inlineStr">
        <is>
          <t>2026-03-28</t>
        </is>
      </c>
      <c r="C344" s="15" t="inlineStr">
        <is>
          <t>Ottilie Castellanos</t>
        </is>
      </c>
      <c r="D344" s="15" t="inlineStr">
        <is>
          <t>NY</t>
        </is>
      </c>
      <c r="E344" s="16" t="n">
        <v>480000</v>
      </c>
      <c r="F344" s="16" t="n">
        <v>11287.63</v>
      </c>
      <c r="G344" s="16" t="n">
        <v>1410.95</v>
      </c>
      <c r="H344" s="16" t="n">
        <v>1410.95</v>
      </c>
      <c r="I344" s="16">
        <f>SUM(K344:T344)</f>
        <v/>
      </c>
      <c r="J344" s="16">
        <f>F344-(G344+H344+I344)</f>
        <v/>
      </c>
      <c r="K344" s="16" t="n">
        <v>846.5700000000001</v>
      </c>
      <c r="L344" s="16" t="n">
        <v>846.5700000000001</v>
      </c>
      <c r="M344" s="16" t="n">
        <v>846.5700000000001</v>
      </c>
      <c r="N344" s="16" t="n">
        <v>846.5700000000001</v>
      </c>
      <c r="O344" s="16" t="n">
        <v>846.5700000000001</v>
      </c>
      <c r="P344" s="16" t="n">
        <v>846.5700000000001</v>
      </c>
      <c r="Q344" s="16" t="n">
        <v>846.5700000000001</v>
      </c>
      <c r="R344" s="16" t="n">
        <v>846.5700000000001</v>
      </c>
      <c r="S344" s="16" t="n">
        <v>846.5700000000001</v>
      </c>
      <c r="T344" s="16" t="n">
        <v>846.5700000000001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CANON-202603-004926</t>
        </is>
      </c>
      <c r="B345" s="3" t="inlineStr">
        <is>
          <t>2026-03-24</t>
        </is>
      </c>
      <c r="C345" s="3" t="inlineStr">
        <is>
          <t>Emiliano Whitlock</t>
        </is>
      </c>
      <c r="D345" s="3" t="inlineStr">
        <is>
          <t>FL</t>
        </is>
      </c>
      <c r="E345" s="14" t="n">
        <v>580000</v>
      </c>
      <c r="F345" s="14" t="n">
        <v>8552.309999999999</v>
      </c>
      <c r="G345" s="14" t="n">
        <v>1069.04</v>
      </c>
      <c r="H345" s="14" t="n">
        <v>1069.04</v>
      </c>
      <c r="I345" s="14">
        <f>SUM(K345:T345)</f>
        <v/>
      </c>
      <c r="J345" s="14">
        <f>F345-(G345+H345+I345)</f>
        <v/>
      </c>
      <c r="K345" s="14" t="n">
        <v>641.42</v>
      </c>
      <c r="L345" s="14" t="n">
        <v>641.42</v>
      </c>
      <c r="M345" s="14" t="n">
        <v>641.42</v>
      </c>
      <c r="N345" s="14" t="n">
        <v>641.42</v>
      </c>
      <c r="O345" s="14" t="n">
        <v>641.42</v>
      </c>
      <c r="P345" s="14" t="n">
        <v>641.42</v>
      </c>
      <c r="Q345" s="14" t="n">
        <v>641.42</v>
      </c>
      <c r="R345" s="14" t="n">
        <v>641.42</v>
      </c>
      <c r="S345" s="14" t="n">
        <v>641.42</v>
      </c>
      <c r="T345" s="14" t="n">
        <v>641.42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CANON-202603-004928</t>
        </is>
      </c>
      <c r="B346" s="15" t="inlineStr">
        <is>
          <t>2026-03-31</t>
        </is>
      </c>
      <c r="C346" s="15" t="inlineStr">
        <is>
          <t>Ramona Vandermeer</t>
        </is>
      </c>
      <c r="D346" s="15" t="inlineStr">
        <is>
          <t>HI</t>
        </is>
      </c>
      <c r="E346" s="16" t="n">
        <v>285000</v>
      </c>
      <c r="F346" s="16" t="n">
        <v>2841.08</v>
      </c>
      <c r="G346" s="16" t="n">
        <v>355.13</v>
      </c>
      <c r="H346" s="16" t="n">
        <v>355.13</v>
      </c>
      <c r="I346" s="16">
        <f>SUM(K346:T346)</f>
        <v/>
      </c>
      <c r="J346" s="16">
        <f>F346-(G346+H346+I346)</f>
        <v/>
      </c>
      <c r="K346" s="16" t="n">
        <v>213.08</v>
      </c>
      <c r="L346" s="16" t="n">
        <v>213.08</v>
      </c>
      <c r="M346" s="16" t="n">
        <v>213.08</v>
      </c>
      <c r="N346" s="16" t="n">
        <v>213.08</v>
      </c>
      <c r="O346" s="16" t="n">
        <v>213.08</v>
      </c>
      <c r="P346" s="16" t="n">
        <v>213.08</v>
      </c>
      <c r="Q346" s="16" t="n">
        <v>213.08</v>
      </c>
      <c r="R346" s="16" t="n">
        <v>213.08</v>
      </c>
      <c r="S346" s="16" t="n">
        <v>213.08</v>
      </c>
      <c r="T346" s="16" t="n">
        <v>213.08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CANON-202603-004929</t>
        </is>
      </c>
      <c r="B347" s="3" t="inlineStr">
        <is>
          <t>2026-03-18</t>
        </is>
      </c>
      <c r="C347" s="3" t="inlineStr">
        <is>
          <t>Delphine Bellandi</t>
        </is>
      </c>
      <c r="D347" s="3" t="inlineStr">
        <is>
          <t>IA</t>
        </is>
      </c>
      <c r="E347" s="14" t="n">
        <v>405000</v>
      </c>
      <c r="F347" s="14" t="n">
        <v>5337.81</v>
      </c>
      <c r="G347" s="14" t="n">
        <v>667.23</v>
      </c>
      <c r="H347" s="14" t="n">
        <v>667.23</v>
      </c>
      <c r="I347" s="14">
        <f>SUM(K347:T347)</f>
        <v/>
      </c>
      <c r="J347" s="14">
        <f>F347-(G347+H347+I347)</f>
        <v/>
      </c>
      <c r="K347" s="14" t="n">
        <v>400.34</v>
      </c>
      <c r="L347" s="14" t="n">
        <v>400.34</v>
      </c>
      <c r="M347" s="14" t="n">
        <v>400.34</v>
      </c>
      <c r="N347" s="14" t="n">
        <v>400.34</v>
      </c>
      <c r="O347" s="14" t="n">
        <v>400.34</v>
      </c>
      <c r="P347" s="14" t="n">
        <v>400.34</v>
      </c>
      <c r="Q347" s="14" t="n">
        <v>400.34</v>
      </c>
      <c r="R347" s="14" t="n">
        <v>400.34</v>
      </c>
      <c r="S347" s="14" t="n">
        <v>400.34</v>
      </c>
      <c r="T347" s="14" t="n">
        <v>400.34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CANON-202603-004930</t>
        </is>
      </c>
      <c r="B348" s="15" t="inlineStr">
        <is>
          <t>2026-03-09</t>
        </is>
      </c>
      <c r="C348" s="15" t="inlineStr">
        <is>
          <t>Cassius Harrington</t>
        </is>
      </c>
      <c r="D348" s="15" t="inlineStr">
        <is>
          <t>AR</t>
        </is>
      </c>
      <c r="E348" s="16" t="n">
        <v>595000</v>
      </c>
      <c r="F348" s="16" t="n">
        <v>8526.35</v>
      </c>
      <c r="G348" s="16" t="n">
        <v>1065.79</v>
      </c>
      <c r="H348" s="16" t="n">
        <v>1065.79</v>
      </c>
      <c r="I348" s="16">
        <f>SUM(K348:T348)</f>
        <v/>
      </c>
      <c r="J348" s="16">
        <f>F348-(G348+H348+I348)</f>
        <v/>
      </c>
      <c r="K348" s="16" t="n">
        <v>639.48</v>
      </c>
      <c r="L348" s="16" t="n">
        <v>639.48</v>
      </c>
      <c r="M348" s="16" t="n">
        <v>639.48</v>
      </c>
      <c r="N348" s="16" t="n">
        <v>639.48</v>
      </c>
      <c r="O348" s="16" t="n">
        <v>639.48</v>
      </c>
      <c r="P348" s="16" t="n">
        <v>639.48</v>
      </c>
      <c r="Q348" s="16" t="n">
        <v>639.48</v>
      </c>
      <c r="R348" s="16" t="n">
        <v>639.48</v>
      </c>
      <c r="S348" s="16" t="n">
        <v>639.48</v>
      </c>
      <c r="T348" s="16" t="n">
        <v>639.48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CANON-202603-004932</t>
        </is>
      </c>
      <c r="B349" s="3" t="inlineStr">
        <is>
          <t>2026-03-12</t>
        </is>
      </c>
      <c r="C349" s="3" t="inlineStr">
        <is>
          <t>Sunniva Farkas</t>
        </is>
      </c>
      <c r="D349" s="3" t="inlineStr">
        <is>
          <t>CA</t>
        </is>
      </c>
      <c r="E349" s="14" t="n">
        <v>270000</v>
      </c>
      <c r="F349" s="14" t="n">
        <v>4367.3</v>
      </c>
      <c r="G349" s="14" t="n">
        <v>545.91</v>
      </c>
      <c r="H349" s="14" t="n">
        <v>545.91</v>
      </c>
      <c r="I349" s="14">
        <f>SUM(K349:T349)</f>
        <v/>
      </c>
      <c r="J349" s="14">
        <f>F349-(G349+H349+I349)</f>
        <v/>
      </c>
      <c r="K349" s="14" t="n">
        <v>327.55</v>
      </c>
      <c r="L349" s="14" t="n">
        <v>327.55</v>
      </c>
      <c r="M349" s="14" t="n">
        <v>327.55</v>
      </c>
      <c r="N349" s="14" t="n">
        <v>327.55</v>
      </c>
      <c r="O349" s="14" t="n">
        <v>327.55</v>
      </c>
      <c r="P349" s="14" t="n">
        <v>327.55</v>
      </c>
      <c r="Q349" s="14" t="n">
        <v>327.55</v>
      </c>
      <c r="R349" s="14" t="n">
        <v>327.55</v>
      </c>
      <c r="S349" s="14" t="n">
        <v>327.55</v>
      </c>
      <c r="T349" s="14" t="n">
        <v>327.55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CANON-202603-004933</t>
        </is>
      </c>
      <c r="B350" s="15" t="inlineStr">
        <is>
          <t>2026-03-25</t>
        </is>
      </c>
      <c r="C350" s="15" t="inlineStr">
        <is>
          <t>Fitzgerald Delacroix</t>
        </is>
      </c>
      <c r="D350" s="15" t="inlineStr">
        <is>
          <t>OR</t>
        </is>
      </c>
      <c r="E350" s="16" t="n">
        <v>620000</v>
      </c>
      <c r="F350" s="16" t="n">
        <v>7275.07</v>
      </c>
      <c r="G350" s="16" t="n">
        <v>909.38</v>
      </c>
      <c r="H350" s="16" t="n">
        <v>909.38</v>
      </c>
      <c r="I350" s="16">
        <f>SUM(K350:T350)</f>
        <v/>
      </c>
      <c r="J350" s="16">
        <f>F350-(G350+H350+I350)</f>
        <v/>
      </c>
      <c r="K350" s="16" t="n">
        <v>545.63</v>
      </c>
      <c r="L350" s="16" t="n">
        <v>545.63</v>
      </c>
      <c r="M350" s="16" t="n">
        <v>545.63</v>
      </c>
      <c r="N350" s="16" t="n">
        <v>545.63</v>
      </c>
      <c r="O350" s="16" t="n">
        <v>545.63</v>
      </c>
      <c r="P350" s="16" t="n">
        <v>545.63</v>
      </c>
      <c r="Q350" s="16" t="n">
        <v>545.63</v>
      </c>
      <c r="R350" s="16" t="n">
        <v>545.63</v>
      </c>
      <c r="S350" s="16" t="n">
        <v>545.63</v>
      </c>
      <c r="T350" s="16" t="n">
        <v>545.63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CANON-202603-004934</t>
        </is>
      </c>
      <c r="B351" s="3" t="inlineStr">
        <is>
          <t>2026-03-26</t>
        </is>
      </c>
      <c r="C351" s="3" t="inlineStr">
        <is>
          <t>Marisol Blackwood</t>
        </is>
      </c>
      <c r="D351" s="3" t="inlineStr">
        <is>
          <t>IL</t>
        </is>
      </c>
      <c r="E351" s="14" t="n">
        <v>1245000</v>
      </c>
      <c r="F351" s="14" t="n">
        <v>14877.31</v>
      </c>
      <c r="G351" s="14" t="n">
        <v>1859.66</v>
      </c>
      <c r="H351" s="14" t="n">
        <v>1859.66</v>
      </c>
      <c r="I351" s="14">
        <f>SUM(K351:T351)</f>
        <v/>
      </c>
      <c r="J351" s="14">
        <f>F351-(G351+H351+I351)</f>
        <v/>
      </c>
      <c r="K351" s="14" t="n">
        <v>1115.8</v>
      </c>
      <c r="L351" s="14" t="n">
        <v>1115.8</v>
      </c>
      <c r="M351" s="14" t="n">
        <v>1115.8</v>
      </c>
      <c r="N351" s="14" t="n">
        <v>1115.8</v>
      </c>
      <c r="O351" s="14" t="n">
        <v>1115.8</v>
      </c>
      <c r="P351" s="14" t="n">
        <v>1115.8</v>
      </c>
      <c r="Q351" s="14" t="n">
        <v>1115.8</v>
      </c>
      <c r="R351" s="14" t="n">
        <v>1115.8</v>
      </c>
      <c r="S351" s="14" t="n">
        <v>1115.8</v>
      </c>
      <c r="T351" s="14" t="n">
        <v>1115.8</v>
      </c>
      <c r="U351" s="14" t="n">
        <v>350</v>
      </c>
      <c r="V351" s="14" t="n">
        <v>250</v>
      </c>
      <c r="W351" s="14">
        <f>U351+V351</f>
        <v/>
      </c>
    </row>
    <row r="352">
      <c r="A352" s="15" t="inlineStr">
        <is>
          <t>CANON-202603-004935</t>
        </is>
      </c>
      <c r="B352" s="15" t="inlineStr">
        <is>
          <t>2026-03-15</t>
        </is>
      </c>
      <c r="C352" s="15" t="inlineStr">
        <is>
          <t>Ramona Blackwood</t>
        </is>
      </c>
      <c r="D352" s="15" t="inlineStr">
        <is>
          <t>NE</t>
        </is>
      </c>
      <c r="E352" s="16" t="n">
        <v>285000</v>
      </c>
      <c r="F352" s="16" t="n">
        <v>4439.18</v>
      </c>
      <c r="G352" s="16" t="n">
        <v>554.9</v>
      </c>
      <c r="H352" s="16" t="n">
        <v>554.9</v>
      </c>
      <c r="I352" s="16">
        <f>SUM(K352:T352)</f>
        <v/>
      </c>
      <c r="J352" s="16">
        <f>F352-(G352+H352+I352)</f>
        <v/>
      </c>
      <c r="K352" s="16" t="n">
        <v>332.94</v>
      </c>
      <c r="L352" s="16" t="n">
        <v>332.94</v>
      </c>
      <c r="M352" s="16" t="n">
        <v>332.94</v>
      </c>
      <c r="N352" s="16" t="n">
        <v>332.94</v>
      </c>
      <c r="O352" s="16" t="n">
        <v>332.94</v>
      </c>
      <c r="P352" s="16" t="n">
        <v>332.94</v>
      </c>
      <c r="Q352" s="16" t="n">
        <v>332.94</v>
      </c>
      <c r="R352" s="16" t="n">
        <v>332.94</v>
      </c>
      <c r="S352" s="16" t="n">
        <v>332.94</v>
      </c>
      <c r="T352" s="16" t="n">
        <v>332.94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CANON-202603-004937</t>
        </is>
      </c>
      <c r="B353" s="3" t="inlineStr">
        <is>
          <t>2026-03-23</t>
        </is>
      </c>
      <c r="C353" s="3" t="inlineStr">
        <is>
          <t>Ramona Harrington</t>
        </is>
      </c>
      <c r="D353" s="3" t="inlineStr">
        <is>
          <t>MI</t>
        </is>
      </c>
      <c r="E353" s="14" t="n">
        <v>220000</v>
      </c>
      <c r="F353" s="14" t="n">
        <v>5011.83</v>
      </c>
      <c r="G353" s="14" t="n">
        <v>626.48</v>
      </c>
      <c r="H353" s="14" t="n">
        <v>626.48</v>
      </c>
      <c r="I353" s="14">
        <f>SUM(K353:T353)</f>
        <v/>
      </c>
      <c r="J353" s="14">
        <f>F353-(G353+H353+I353)</f>
        <v/>
      </c>
      <c r="K353" s="14" t="n">
        <v>375.89</v>
      </c>
      <c r="L353" s="14" t="n">
        <v>375.89</v>
      </c>
      <c r="M353" s="14" t="n">
        <v>375.89</v>
      </c>
      <c r="N353" s="14" t="n">
        <v>375.89</v>
      </c>
      <c r="O353" s="14" t="n">
        <v>375.89</v>
      </c>
      <c r="P353" s="14" t="n">
        <v>375.89</v>
      </c>
      <c r="Q353" s="14" t="n">
        <v>375.89</v>
      </c>
      <c r="R353" s="14" t="n">
        <v>375.89</v>
      </c>
      <c r="S353" s="14" t="n">
        <v>375.89</v>
      </c>
      <c r="T353" s="14" t="n">
        <v>375.89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CANON-202603-004938</t>
        </is>
      </c>
      <c r="B354" s="15" t="inlineStr">
        <is>
          <t>2026-03-09</t>
        </is>
      </c>
      <c r="C354" s="15" t="inlineStr">
        <is>
          <t>Aurelio Farkas</t>
        </is>
      </c>
      <c r="D354" s="15" t="inlineStr">
        <is>
          <t>MD</t>
        </is>
      </c>
      <c r="E354" s="16" t="n">
        <v>640000</v>
      </c>
      <c r="F354" s="16" t="n">
        <v>6313.5</v>
      </c>
      <c r="G354" s="16" t="n">
        <v>789.1900000000001</v>
      </c>
      <c r="H354" s="16" t="n">
        <v>789.1900000000001</v>
      </c>
      <c r="I354" s="16">
        <f>SUM(K354:T354)</f>
        <v/>
      </c>
      <c r="J354" s="16">
        <f>F354-(G354+H354+I354)</f>
        <v/>
      </c>
      <c r="K354" s="16" t="n">
        <v>473.51</v>
      </c>
      <c r="L354" s="16" t="n">
        <v>473.51</v>
      </c>
      <c r="M354" s="16" t="n">
        <v>473.51</v>
      </c>
      <c r="N354" s="16" t="n">
        <v>473.51</v>
      </c>
      <c r="O354" s="16" t="n">
        <v>473.51</v>
      </c>
      <c r="P354" s="16" t="n">
        <v>473.51</v>
      </c>
      <c r="Q354" s="16" t="n">
        <v>473.51</v>
      </c>
      <c r="R354" s="16" t="n">
        <v>473.51</v>
      </c>
      <c r="S354" s="16" t="n">
        <v>473.51</v>
      </c>
      <c r="T354" s="16" t="n">
        <v>473.51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CANON-202603-004939</t>
        </is>
      </c>
      <c r="B355" s="3" t="inlineStr">
        <is>
          <t>2026-03-25</t>
        </is>
      </c>
      <c r="C355" s="3" t="inlineStr">
        <is>
          <t>Cassius Farkas</t>
        </is>
      </c>
      <c r="D355" s="3" t="inlineStr">
        <is>
          <t>CA</t>
        </is>
      </c>
      <c r="E355" s="14" t="n">
        <v>380000</v>
      </c>
      <c r="F355" s="14" t="n">
        <v>3933.8</v>
      </c>
      <c r="G355" s="14" t="n">
        <v>491.73</v>
      </c>
      <c r="H355" s="14" t="n">
        <v>491.73</v>
      </c>
      <c r="I355" s="14">
        <f>SUM(K355:T355)</f>
        <v/>
      </c>
      <c r="J355" s="14">
        <f>F355-(G355+H355+I355)</f>
        <v/>
      </c>
      <c r="K355" s="14" t="n">
        <v>295.04</v>
      </c>
      <c r="L355" s="14" t="n">
        <v>295.04</v>
      </c>
      <c r="M355" s="14" t="n">
        <v>295.04</v>
      </c>
      <c r="N355" s="14" t="n">
        <v>295.04</v>
      </c>
      <c r="O355" s="14" t="n">
        <v>295.04</v>
      </c>
      <c r="P355" s="14" t="n">
        <v>295.04</v>
      </c>
      <c r="Q355" s="14" t="n">
        <v>295.04</v>
      </c>
      <c r="R355" s="14" t="n">
        <v>295.04</v>
      </c>
      <c r="S355" s="14" t="n">
        <v>295.04</v>
      </c>
      <c r="T355" s="14" t="n">
        <v>295.04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CANON-202603-004941</t>
        </is>
      </c>
      <c r="B356" s="15" t="inlineStr">
        <is>
          <t>2026-03-23</t>
        </is>
      </c>
      <c r="C356" s="15" t="inlineStr">
        <is>
          <t>Fenwick Nakashima</t>
        </is>
      </c>
      <c r="D356" s="15" t="inlineStr">
        <is>
          <t>PA</t>
        </is>
      </c>
      <c r="E356" s="16" t="n">
        <v>1210000</v>
      </c>
      <c r="F356" s="16" t="n">
        <v>10631.67</v>
      </c>
      <c r="G356" s="16" t="n">
        <v>1328.96</v>
      </c>
      <c r="H356" s="16" t="n">
        <v>1328.96</v>
      </c>
      <c r="I356" s="16">
        <f>SUM(K356:T356)</f>
        <v/>
      </c>
      <c r="J356" s="16">
        <f>F356-(G356+H356+I356)</f>
        <v/>
      </c>
      <c r="K356" s="16" t="n">
        <v>797.38</v>
      </c>
      <c r="L356" s="16" t="n">
        <v>797.38</v>
      </c>
      <c r="M356" s="16" t="n">
        <v>797.38</v>
      </c>
      <c r="N356" s="16" t="n">
        <v>797.38</v>
      </c>
      <c r="O356" s="16" t="n">
        <v>797.38</v>
      </c>
      <c r="P356" s="16" t="n">
        <v>797.38</v>
      </c>
      <c r="Q356" s="16" t="n">
        <v>797.38</v>
      </c>
      <c r="R356" s="16" t="n">
        <v>797.38</v>
      </c>
      <c r="S356" s="16" t="n">
        <v>797.38</v>
      </c>
      <c r="T356" s="16" t="n">
        <v>797.38</v>
      </c>
      <c r="U356" s="16" t="n">
        <v>350</v>
      </c>
      <c r="V356" s="16" t="n">
        <v>250</v>
      </c>
      <c r="W356" s="16">
        <f>U356+V356</f>
        <v/>
      </c>
    </row>
    <row r="357">
      <c r="A357" s="3" t="inlineStr">
        <is>
          <t>CANON-202603-004942</t>
        </is>
      </c>
      <c r="B357" s="3" t="inlineStr">
        <is>
          <t>2026-03-14</t>
        </is>
      </c>
      <c r="C357" s="3" t="inlineStr">
        <is>
          <t>Ramona Blackwood</t>
        </is>
      </c>
      <c r="D357" s="3" t="inlineStr">
        <is>
          <t>CO</t>
        </is>
      </c>
      <c r="E357" s="14" t="n">
        <v>670000</v>
      </c>
      <c r="F357" s="14" t="n">
        <v>7653.05</v>
      </c>
      <c r="G357" s="14" t="n">
        <v>956.63</v>
      </c>
      <c r="H357" s="14" t="n">
        <v>956.63</v>
      </c>
      <c r="I357" s="14">
        <f>SUM(K357:T357)</f>
        <v/>
      </c>
      <c r="J357" s="14">
        <f>F357-(G357+H357+I357)</f>
        <v/>
      </c>
      <c r="K357" s="14" t="n">
        <v>573.98</v>
      </c>
      <c r="L357" s="14" t="n">
        <v>573.98</v>
      </c>
      <c r="M357" s="14" t="n">
        <v>573.98</v>
      </c>
      <c r="N357" s="14" t="n">
        <v>573.98</v>
      </c>
      <c r="O357" s="14" t="n">
        <v>573.98</v>
      </c>
      <c r="P357" s="14" t="n">
        <v>573.98</v>
      </c>
      <c r="Q357" s="14" t="n">
        <v>573.98</v>
      </c>
      <c r="R357" s="14" t="n">
        <v>573.98</v>
      </c>
      <c r="S357" s="14" t="n">
        <v>573.98</v>
      </c>
      <c r="T357" s="14" t="n">
        <v>573.98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CANON-202603-004943</t>
        </is>
      </c>
      <c r="B358" s="15" t="inlineStr">
        <is>
          <t>2026-03-30</t>
        </is>
      </c>
      <c r="C358" s="15" t="inlineStr">
        <is>
          <t>Emiliano Vasquez</t>
        </is>
      </c>
      <c r="D358" s="15" t="inlineStr">
        <is>
          <t>FL</t>
        </is>
      </c>
      <c r="E358" s="16" t="n">
        <v>735000</v>
      </c>
      <c r="F358" s="16" t="n">
        <v>10837.84</v>
      </c>
      <c r="G358" s="16" t="n">
        <v>1354.73</v>
      </c>
      <c r="H358" s="16" t="n">
        <v>1354.73</v>
      </c>
      <c r="I358" s="16">
        <f>SUM(K358:T358)</f>
        <v/>
      </c>
      <c r="J358" s="16">
        <f>F358-(G358+H358+I358)</f>
        <v/>
      </c>
      <c r="K358" s="16" t="n">
        <v>812.84</v>
      </c>
      <c r="L358" s="16" t="n">
        <v>812.84</v>
      </c>
      <c r="M358" s="16" t="n">
        <v>812.84</v>
      </c>
      <c r="N358" s="16" t="n">
        <v>812.84</v>
      </c>
      <c r="O358" s="16" t="n">
        <v>812.84</v>
      </c>
      <c r="P358" s="16" t="n">
        <v>812.84</v>
      </c>
      <c r="Q358" s="16" t="n">
        <v>812.84</v>
      </c>
      <c r="R358" s="16" t="n">
        <v>812.84</v>
      </c>
      <c r="S358" s="16" t="n">
        <v>812.84</v>
      </c>
      <c r="T358" s="16" t="n">
        <v>812.84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CANON-202603-004945</t>
        </is>
      </c>
      <c r="B359" s="3" t="inlineStr">
        <is>
          <t>2026-03-18</t>
        </is>
      </c>
      <c r="C359" s="3" t="inlineStr">
        <is>
          <t>Lorenzo Thistlewood</t>
        </is>
      </c>
      <c r="D359" s="3" t="inlineStr">
        <is>
          <t>MD</t>
        </is>
      </c>
      <c r="E359" s="14" t="n">
        <v>625000</v>
      </c>
      <c r="F359" s="14" t="n">
        <v>6165.53</v>
      </c>
      <c r="G359" s="14" t="n">
        <v>770.6900000000001</v>
      </c>
      <c r="H359" s="14" t="n">
        <v>770.6900000000001</v>
      </c>
      <c r="I359" s="14">
        <f>SUM(K359:T359)</f>
        <v/>
      </c>
      <c r="J359" s="14">
        <f>F359-(G359+H359+I359)</f>
        <v/>
      </c>
      <c r="K359" s="14" t="n">
        <v>462.41</v>
      </c>
      <c r="L359" s="14" t="n">
        <v>462.41</v>
      </c>
      <c r="M359" s="14" t="n">
        <v>462.41</v>
      </c>
      <c r="N359" s="14" t="n">
        <v>462.41</v>
      </c>
      <c r="O359" s="14" t="n">
        <v>462.41</v>
      </c>
      <c r="P359" s="14" t="n">
        <v>462.41</v>
      </c>
      <c r="Q359" s="14" t="n">
        <v>462.41</v>
      </c>
      <c r="R359" s="14" t="n">
        <v>462.41</v>
      </c>
      <c r="S359" s="14" t="n">
        <v>462.41</v>
      </c>
      <c r="T359" s="14" t="n">
        <v>462.41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CANON-202603-004946</t>
        </is>
      </c>
      <c r="B360" s="15" t="inlineStr">
        <is>
          <t>2026-03-24</t>
        </is>
      </c>
      <c r="C360" s="15" t="inlineStr">
        <is>
          <t>Leopold Fairweather</t>
        </is>
      </c>
      <c r="D360" s="15" t="inlineStr">
        <is>
          <t>WA</t>
        </is>
      </c>
      <c r="E360" s="16" t="n">
        <v>715000</v>
      </c>
      <c r="F360" s="16" t="n">
        <v>7127.61</v>
      </c>
      <c r="G360" s="16" t="n">
        <v>890.95</v>
      </c>
      <c r="H360" s="16" t="n">
        <v>890.95</v>
      </c>
      <c r="I360" s="16">
        <f>SUM(K360:T360)</f>
        <v/>
      </c>
      <c r="J360" s="16">
        <f>F360-(G360+H360+I360)</f>
        <v/>
      </c>
      <c r="K360" s="16" t="n">
        <v>534.5700000000001</v>
      </c>
      <c r="L360" s="16" t="n">
        <v>534.5700000000001</v>
      </c>
      <c r="M360" s="16" t="n">
        <v>534.5700000000001</v>
      </c>
      <c r="N360" s="16" t="n">
        <v>534.5700000000001</v>
      </c>
      <c r="O360" s="16" t="n">
        <v>534.5700000000001</v>
      </c>
      <c r="P360" s="16" t="n">
        <v>534.5700000000001</v>
      </c>
      <c r="Q360" s="16" t="n">
        <v>534.5700000000001</v>
      </c>
      <c r="R360" s="16" t="n">
        <v>534.5700000000001</v>
      </c>
      <c r="S360" s="16" t="n">
        <v>534.5700000000001</v>
      </c>
      <c r="T360" s="16" t="n">
        <v>534.5700000000001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CANON-202603-004947</t>
        </is>
      </c>
      <c r="B361" s="3" t="inlineStr">
        <is>
          <t>2026-03-23</t>
        </is>
      </c>
      <c r="C361" s="3" t="inlineStr">
        <is>
          <t>Fitzgerald Bellandi</t>
        </is>
      </c>
      <c r="D361" s="3" t="inlineStr">
        <is>
          <t>VT</t>
        </is>
      </c>
      <c r="E361" s="14" t="n">
        <v>565000</v>
      </c>
      <c r="F361" s="14" t="n">
        <v>7157.73</v>
      </c>
      <c r="G361" s="14" t="n">
        <v>894.72</v>
      </c>
      <c r="H361" s="14" t="n">
        <v>894.72</v>
      </c>
      <c r="I361" s="14">
        <f>SUM(K361:T361)</f>
        <v/>
      </c>
      <c r="J361" s="14">
        <f>F361-(G361+H361+I361)</f>
        <v/>
      </c>
      <c r="K361" s="14" t="n">
        <v>536.83</v>
      </c>
      <c r="L361" s="14" t="n">
        <v>536.83</v>
      </c>
      <c r="M361" s="14" t="n">
        <v>536.83</v>
      </c>
      <c r="N361" s="14" t="n">
        <v>536.83</v>
      </c>
      <c r="O361" s="14" t="n">
        <v>536.83</v>
      </c>
      <c r="P361" s="14" t="n">
        <v>536.83</v>
      </c>
      <c r="Q361" s="14" t="n">
        <v>536.83</v>
      </c>
      <c r="R361" s="14" t="n">
        <v>536.83</v>
      </c>
      <c r="S361" s="14" t="n">
        <v>536.83</v>
      </c>
      <c r="T361" s="14" t="n">
        <v>536.83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CANON-202603-004948</t>
        </is>
      </c>
      <c r="B362" s="15" t="inlineStr">
        <is>
          <t>2026-03-28</t>
        </is>
      </c>
      <c r="C362" s="15" t="inlineStr">
        <is>
          <t>Beatrix Harrington</t>
        </is>
      </c>
      <c r="D362" s="15" t="inlineStr">
        <is>
          <t>AZ</t>
        </is>
      </c>
      <c r="E362" s="16" t="n">
        <v>805000</v>
      </c>
      <c r="F362" s="16" t="n">
        <v>12339.42</v>
      </c>
      <c r="G362" s="16" t="n">
        <v>1542.43</v>
      </c>
      <c r="H362" s="16" t="n">
        <v>1542.43</v>
      </c>
      <c r="I362" s="16">
        <f>SUM(K362:T362)</f>
        <v/>
      </c>
      <c r="J362" s="16">
        <f>F362-(G362+H362+I362)</f>
        <v/>
      </c>
      <c r="K362" s="16" t="n">
        <v>925.46</v>
      </c>
      <c r="L362" s="16" t="n">
        <v>925.46</v>
      </c>
      <c r="M362" s="16" t="n">
        <v>925.46</v>
      </c>
      <c r="N362" s="16" t="n">
        <v>925.46</v>
      </c>
      <c r="O362" s="16" t="n">
        <v>925.46</v>
      </c>
      <c r="P362" s="16" t="n">
        <v>925.46</v>
      </c>
      <c r="Q362" s="16" t="n">
        <v>925.46</v>
      </c>
      <c r="R362" s="16" t="n">
        <v>925.46</v>
      </c>
      <c r="S362" s="16" t="n">
        <v>925.46</v>
      </c>
      <c r="T362" s="16" t="n">
        <v>925.46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CANON-202603-004952</t>
        </is>
      </c>
      <c r="B363" s="3" t="inlineStr">
        <is>
          <t>2026-03-23</t>
        </is>
      </c>
      <c r="C363" s="3" t="inlineStr">
        <is>
          <t>Ingrid Chattopadhyay</t>
        </is>
      </c>
      <c r="D363" s="3" t="inlineStr">
        <is>
          <t>WA</t>
        </is>
      </c>
      <c r="E363" s="14" t="n">
        <v>730000</v>
      </c>
      <c r="F363" s="14" t="n">
        <v>7277.15</v>
      </c>
      <c r="G363" s="14" t="n">
        <v>909.64</v>
      </c>
      <c r="H363" s="14" t="n">
        <v>909.64</v>
      </c>
      <c r="I363" s="14">
        <f>SUM(K363:T363)</f>
        <v/>
      </c>
      <c r="J363" s="14">
        <f>F363-(G363+H363+I363)</f>
        <v/>
      </c>
      <c r="K363" s="14" t="n">
        <v>545.79</v>
      </c>
      <c r="L363" s="14" t="n">
        <v>545.79</v>
      </c>
      <c r="M363" s="14" t="n">
        <v>545.79</v>
      </c>
      <c r="N363" s="14" t="n">
        <v>545.79</v>
      </c>
      <c r="O363" s="14" t="n">
        <v>545.79</v>
      </c>
      <c r="P363" s="14" t="n">
        <v>545.79</v>
      </c>
      <c r="Q363" s="14" t="n">
        <v>545.79</v>
      </c>
      <c r="R363" s="14" t="n">
        <v>545.79</v>
      </c>
      <c r="S363" s="14" t="n">
        <v>545.79</v>
      </c>
      <c r="T363" s="14" t="n">
        <v>545.79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CANON-202603-004953</t>
        </is>
      </c>
      <c r="B364" s="15" t="inlineStr">
        <is>
          <t>2026-03-07</t>
        </is>
      </c>
      <c r="C364" s="15" t="inlineStr">
        <is>
          <t>Thaddeus Vandermeer</t>
        </is>
      </c>
      <c r="D364" s="15" t="inlineStr">
        <is>
          <t>TN</t>
        </is>
      </c>
      <c r="E364" s="16" t="n">
        <v>320000</v>
      </c>
      <c r="F364" s="16" t="n">
        <v>2404.76</v>
      </c>
      <c r="G364" s="16" t="n">
        <v>300.6</v>
      </c>
      <c r="H364" s="16" t="n">
        <v>300.6</v>
      </c>
      <c r="I364" s="16">
        <f>SUM(K364:T364)</f>
        <v/>
      </c>
      <c r="J364" s="16">
        <f>F364-(G364+H364+I364)</f>
        <v/>
      </c>
      <c r="K364" s="16" t="n">
        <v>180.36</v>
      </c>
      <c r="L364" s="16" t="n">
        <v>180.36</v>
      </c>
      <c r="M364" s="16" t="n">
        <v>180.36</v>
      </c>
      <c r="N364" s="16" t="n">
        <v>180.36</v>
      </c>
      <c r="O364" s="16" t="n">
        <v>180.36</v>
      </c>
      <c r="P364" s="16" t="n">
        <v>180.36</v>
      </c>
      <c r="Q364" s="16" t="n">
        <v>180.36</v>
      </c>
      <c r="R364" s="16" t="n">
        <v>180.36</v>
      </c>
      <c r="S364" s="16" t="n">
        <v>180.36</v>
      </c>
      <c r="T364" s="16" t="n">
        <v>180.36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CANON-202603-004954</t>
        </is>
      </c>
      <c r="B365" s="3" t="inlineStr">
        <is>
          <t>2026-03-17</t>
        </is>
      </c>
      <c r="C365" s="3" t="inlineStr">
        <is>
          <t>Delphine Bellandi</t>
        </is>
      </c>
      <c r="D365" s="3" t="inlineStr">
        <is>
          <t>AZ</t>
        </is>
      </c>
      <c r="E365" s="14" t="n">
        <v>640000</v>
      </c>
      <c r="F365" s="14" t="n">
        <v>4440.42</v>
      </c>
      <c r="G365" s="14" t="n">
        <v>555.05</v>
      </c>
      <c r="H365" s="14" t="n">
        <v>555.05</v>
      </c>
      <c r="I365" s="14">
        <f>SUM(K365:T365)</f>
        <v/>
      </c>
      <c r="J365" s="14">
        <f>F365-(G365+H365+I365)</f>
        <v/>
      </c>
      <c r="K365" s="14" t="n">
        <v>333.03</v>
      </c>
      <c r="L365" s="14" t="n">
        <v>333.03</v>
      </c>
      <c r="M365" s="14" t="n">
        <v>333.03</v>
      </c>
      <c r="N365" s="14" t="n">
        <v>333.03</v>
      </c>
      <c r="O365" s="14" t="n">
        <v>333.03</v>
      </c>
      <c r="P365" s="14" t="n">
        <v>333.03</v>
      </c>
      <c r="Q365" s="14" t="n">
        <v>333.03</v>
      </c>
      <c r="R365" s="14" t="n">
        <v>333.03</v>
      </c>
      <c r="S365" s="14" t="n">
        <v>333.03</v>
      </c>
      <c r="T365" s="14" t="n">
        <v>333.03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CANON-202603-004955</t>
        </is>
      </c>
      <c r="B366" s="15" t="inlineStr">
        <is>
          <t>2026-03-29</t>
        </is>
      </c>
      <c r="C366" s="15" t="inlineStr">
        <is>
          <t>Ramona Merriweather</t>
        </is>
      </c>
      <c r="D366" s="15" t="inlineStr">
        <is>
          <t>HI</t>
        </is>
      </c>
      <c r="E366" s="16" t="n">
        <v>365000</v>
      </c>
      <c r="F366" s="16" t="n">
        <v>3638.57</v>
      </c>
      <c r="G366" s="16" t="n">
        <v>454.82</v>
      </c>
      <c r="H366" s="16" t="n">
        <v>454.82</v>
      </c>
      <c r="I366" s="16">
        <f>SUM(K366:T366)</f>
        <v/>
      </c>
      <c r="J366" s="16">
        <f>F366-(G366+H366+I366)</f>
        <v/>
      </c>
      <c r="K366" s="16" t="n">
        <v>272.89</v>
      </c>
      <c r="L366" s="16" t="n">
        <v>272.89</v>
      </c>
      <c r="M366" s="16" t="n">
        <v>272.89</v>
      </c>
      <c r="N366" s="16" t="n">
        <v>272.89</v>
      </c>
      <c r="O366" s="16" t="n">
        <v>272.89</v>
      </c>
      <c r="P366" s="16" t="n">
        <v>272.89</v>
      </c>
      <c r="Q366" s="16" t="n">
        <v>272.89</v>
      </c>
      <c r="R366" s="16" t="n">
        <v>272.89</v>
      </c>
      <c r="S366" s="16" t="n">
        <v>272.89</v>
      </c>
      <c r="T366" s="16" t="n">
        <v>272.89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CANON-202603-004956</t>
        </is>
      </c>
      <c r="B367" s="3" t="inlineStr">
        <is>
          <t>2026-03-29</t>
        </is>
      </c>
      <c r="C367" s="3" t="inlineStr">
        <is>
          <t>Horace Whitlock</t>
        </is>
      </c>
      <c r="D367" s="3" t="inlineStr">
        <is>
          <t>HI</t>
        </is>
      </c>
      <c r="E367" s="14" t="n">
        <v>405000</v>
      </c>
      <c r="F367" s="14" t="n">
        <v>6308.31</v>
      </c>
      <c r="G367" s="14" t="n">
        <v>788.54</v>
      </c>
      <c r="H367" s="14" t="n">
        <v>788.54</v>
      </c>
      <c r="I367" s="14">
        <f>SUM(K367:T367)</f>
        <v/>
      </c>
      <c r="J367" s="14">
        <f>F367-(G367+H367+I367)</f>
        <v/>
      </c>
      <c r="K367" s="14" t="n">
        <v>473.12</v>
      </c>
      <c r="L367" s="14" t="n">
        <v>473.12</v>
      </c>
      <c r="M367" s="14" t="n">
        <v>473.12</v>
      </c>
      <c r="N367" s="14" t="n">
        <v>473.12</v>
      </c>
      <c r="O367" s="14" t="n">
        <v>473.12</v>
      </c>
      <c r="P367" s="14" t="n">
        <v>473.12</v>
      </c>
      <c r="Q367" s="14" t="n">
        <v>473.12</v>
      </c>
      <c r="R367" s="14" t="n">
        <v>473.12</v>
      </c>
      <c r="S367" s="14" t="n">
        <v>473.12</v>
      </c>
      <c r="T367" s="14" t="n">
        <v>473.12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CANON-202603-004957</t>
        </is>
      </c>
      <c r="B368" s="15" t="inlineStr">
        <is>
          <t>2026-03-18</t>
        </is>
      </c>
      <c r="C368" s="15" t="inlineStr">
        <is>
          <t>Fenwick Larsson</t>
        </is>
      </c>
      <c r="D368" s="15" t="inlineStr">
        <is>
          <t>WA</t>
        </is>
      </c>
      <c r="E368" s="16" t="n">
        <v>585000</v>
      </c>
      <c r="F368" s="16" t="n">
        <v>5831.69</v>
      </c>
      <c r="G368" s="16" t="n">
        <v>728.96</v>
      </c>
      <c r="H368" s="16" t="n">
        <v>728.96</v>
      </c>
      <c r="I368" s="16">
        <f>SUM(K368:T368)</f>
        <v/>
      </c>
      <c r="J368" s="16">
        <f>F368-(G368+H368+I368)</f>
        <v/>
      </c>
      <c r="K368" s="16" t="n">
        <v>437.38</v>
      </c>
      <c r="L368" s="16" t="n">
        <v>437.38</v>
      </c>
      <c r="M368" s="16" t="n">
        <v>437.38</v>
      </c>
      <c r="N368" s="16" t="n">
        <v>437.38</v>
      </c>
      <c r="O368" s="16" t="n">
        <v>437.38</v>
      </c>
      <c r="P368" s="16" t="n">
        <v>437.38</v>
      </c>
      <c r="Q368" s="16" t="n">
        <v>437.38</v>
      </c>
      <c r="R368" s="16" t="n">
        <v>437.38</v>
      </c>
      <c r="S368" s="16" t="n">
        <v>437.38</v>
      </c>
      <c r="T368" s="16" t="n">
        <v>437.38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CANON-202603-004958</t>
        </is>
      </c>
      <c r="B369" s="3" t="inlineStr">
        <is>
          <t>2026-03-30</t>
        </is>
      </c>
      <c r="C369" s="3" t="inlineStr">
        <is>
          <t>Delphine Okonkwo</t>
        </is>
      </c>
      <c r="D369" s="3" t="inlineStr">
        <is>
          <t>MA</t>
        </is>
      </c>
      <c r="E369" s="14" t="n">
        <v>520000</v>
      </c>
      <c r="F369" s="14" t="n">
        <v>6749.64</v>
      </c>
      <c r="G369" s="14" t="n">
        <v>843.71</v>
      </c>
      <c r="H369" s="14" t="n">
        <v>843.71</v>
      </c>
      <c r="I369" s="14">
        <f>SUM(K369:T369)</f>
        <v/>
      </c>
      <c r="J369" s="14">
        <f>F369-(G369+H369+I369)</f>
        <v/>
      </c>
      <c r="K369" s="14" t="n">
        <v>506.22</v>
      </c>
      <c r="L369" s="14" t="n">
        <v>506.22</v>
      </c>
      <c r="M369" s="14" t="n">
        <v>506.22</v>
      </c>
      <c r="N369" s="14" t="n">
        <v>506.22</v>
      </c>
      <c r="O369" s="14" t="n">
        <v>506.22</v>
      </c>
      <c r="P369" s="14" t="n">
        <v>506.22</v>
      </c>
      <c r="Q369" s="14" t="n">
        <v>506.22</v>
      </c>
      <c r="R369" s="14" t="n">
        <v>506.22</v>
      </c>
      <c r="S369" s="14" t="n">
        <v>506.22</v>
      </c>
      <c r="T369" s="14" t="n">
        <v>506.22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CANON-202603-004959</t>
        </is>
      </c>
      <c r="B370" s="15" t="inlineStr">
        <is>
          <t>2026-03-17</t>
        </is>
      </c>
      <c r="C370" s="15" t="inlineStr">
        <is>
          <t>Desmond Harrington</t>
        </is>
      </c>
      <c r="D370" s="15" t="inlineStr">
        <is>
          <t>IL</t>
        </is>
      </c>
      <c r="E370" s="16" t="n">
        <v>410000</v>
      </c>
      <c r="F370" s="16" t="n">
        <v>6680.95</v>
      </c>
      <c r="G370" s="16" t="n">
        <v>835.12</v>
      </c>
      <c r="H370" s="16" t="n">
        <v>835.12</v>
      </c>
      <c r="I370" s="16">
        <f>SUM(K370:T370)</f>
        <v/>
      </c>
      <c r="J370" s="16">
        <f>F370-(G370+H370+I370)</f>
        <v/>
      </c>
      <c r="K370" s="16" t="n">
        <v>501.07</v>
      </c>
      <c r="L370" s="16" t="n">
        <v>501.07</v>
      </c>
      <c r="M370" s="16" t="n">
        <v>501.07</v>
      </c>
      <c r="N370" s="16" t="n">
        <v>501.07</v>
      </c>
      <c r="O370" s="16" t="n">
        <v>501.07</v>
      </c>
      <c r="P370" s="16" t="n">
        <v>501.07</v>
      </c>
      <c r="Q370" s="16" t="n">
        <v>501.07</v>
      </c>
      <c r="R370" s="16" t="n">
        <v>501.07</v>
      </c>
      <c r="S370" s="16" t="n">
        <v>501.07</v>
      </c>
      <c r="T370" s="16" t="n">
        <v>501.07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CANON-202603-004960</t>
        </is>
      </c>
      <c r="B371" s="3" t="inlineStr">
        <is>
          <t>2026-03-08</t>
        </is>
      </c>
      <c r="C371" s="3" t="inlineStr">
        <is>
          <t>Marisol Rourke</t>
        </is>
      </c>
      <c r="D371" s="3" t="inlineStr">
        <is>
          <t>NY</t>
        </is>
      </c>
      <c r="E371" s="14" t="n">
        <v>1055000</v>
      </c>
      <c r="F371" s="14" t="n">
        <v>8197.84</v>
      </c>
      <c r="G371" s="14" t="n">
        <v>1024.73</v>
      </c>
      <c r="H371" s="14" t="n">
        <v>1024.73</v>
      </c>
      <c r="I371" s="14">
        <f>SUM(K371:T371)</f>
        <v/>
      </c>
      <c r="J371" s="14">
        <f>F371-(G371+H371+I371)</f>
        <v/>
      </c>
      <c r="K371" s="14" t="n">
        <v>614.84</v>
      </c>
      <c r="L371" s="14" t="n">
        <v>614.84</v>
      </c>
      <c r="M371" s="14" t="n">
        <v>614.84</v>
      </c>
      <c r="N371" s="14" t="n">
        <v>614.84</v>
      </c>
      <c r="O371" s="14" t="n">
        <v>614.84</v>
      </c>
      <c r="P371" s="14" t="n">
        <v>614.84</v>
      </c>
      <c r="Q371" s="14" t="n">
        <v>614.84</v>
      </c>
      <c r="R371" s="14" t="n">
        <v>614.84</v>
      </c>
      <c r="S371" s="14" t="n">
        <v>614.84</v>
      </c>
      <c r="T371" s="14" t="n">
        <v>614.84</v>
      </c>
      <c r="U371" s="14" t="n">
        <v>350</v>
      </c>
      <c r="V371" s="14" t="n">
        <v>250</v>
      </c>
      <c r="W371" s="14">
        <f>U371+V371</f>
        <v/>
      </c>
    </row>
    <row r="372">
      <c r="A372" s="15" t="inlineStr">
        <is>
          <t>CANON-202603-004961</t>
        </is>
      </c>
      <c r="B372" s="15" t="inlineStr">
        <is>
          <t>2026-03-27</t>
        </is>
      </c>
      <c r="C372" s="15" t="inlineStr">
        <is>
          <t>Priya Underwood</t>
        </is>
      </c>
      <c r="D372" s="15" t="inlineStr">
        <is>
          <t>MD</t>
        </is>
      </c>
      <c r="E372" s="16" t="n">
        <v>1640000</v>
      </c>
      <c r="F372" s="16" t="n">
        <v>19911.83</v>
      </c>
      <c r="G372" s="16" t="n">
        <v>2488.98</v>
      </c>
      <c r="H372" s="16" t="n">
        <v>2488.98</v>
      </c>
      <c r="I372" s="16">
        <f>SUM(K372:T372)</f>
        <v/>
      </c>
      <c r="J372" s="16">
        <f>F372-(G372+H372+I372)</f>
        <v/>
      </c>
      <c r="K372" s="16" t="n">
        <v>1493.39</v>
      </c>
      <c r="L372" s="16" t="n">
        <v>1493.39</v>
      </c>
      <c r="M372" s="16" t="n">
        <v>1493.39</v>
      </c>
      <c r="N372" s="16" t="n">
        <v>1493.39</v>
      </c>
      <c r="O372" s="16" t="n">
        <v>1493.39</v>
      </c>
      <c r="P372" s="16" t="n">
        <v>1493.39</v>
      </c>
      <c r="Q372" s="16" t="n">
        <v>1493.39</v>
      </c>
      <c r="R372" s="16" t="n">
        <v>1493.39</v>
      </c>
      <c r="S372" s="16" t="n">
        <v>1493.39</v>
      </c>
      <c r="T372" s="16" t="n">
        <v>1493.39</v>
      </c>
      <c r="U372" s="16" t="n">
        <v>350</v>
      </c>
      <c r="V372" s="16" t="n">
        <v>250</v>
      </c>
      <c r="W372" s="16">
        <f>U372+V372</f>
        <v/>
      </c>
    </row>
    <row r="373">
      <c r="A373" s="3" t="inlineStr">
        <is>
          <t>CANON-202603-004962</t>
        </is>
      </c>
      <c r="B373" s="3" t="inlineStr">
        <is>
          <t>2026-03-05</t>
        </is>
      </c>
      <c r="C373" s="3" t="inlineStr">
        <is>
          <t>Lorenzo Bellandi</t>
        </is>
      </c>
      <c r="D373" s="3" t="inlineStr">
        <is>
          <t>LA</t>
        </is>
      </c>
      <c r="E373" s="14" t="n">
        <v>1530000</v>
      </c>
      <c r="F373" s="14" t="n">
        <v>23660.31</v>
      </c>
      <c r="G373" s="14" t="n">
        <v>2957.54</v>
      </c>
      <c r="H373" s="14" t="n">
        <v>2957.54</v>
      </c>
      <c r="I373" s="14">
        <f>SUM(K373:T373)</f>
        <v/>
      </c>
      <c r="J373" s="14">
        <f>F373-(G373+H373+I373)</f>
        <v/>
      </c>
      <c r="K373" s="14" t="n">
        <v>1774.52</v>
      </c>
      <c r="L373" s="14" t="n">
        <v>1774.52</v>
      </c>
      <c r="M373" s="14" t="n">
        <v>1774.52</v>
      </c>
      <c r="N373" s="14" t="n">
        <v>1774.52</v>
      </c>
      <c r="O373" s="14" t="n">
        <v>1774.52</v>
      </c>
      <c r="P373" s="14" t="n">
        <v>1774.52</v>
      </c>
      <c r="Q373" s="14" t="n">
        <v>1774.52</v>
      </c>
      <c r="R373" s="14" t="n">
        <v>1774.52</v>
      </c>
      <c r="S373" s="14" t="n">
        <v>1774.52</v>
      </c>
      <c r="T373" s="14" t="n">
        <v>1774.52</v>
      </c>
      <c r="U373" s="14" t="n">
        <v>350</v>
      </c>
      <c r="V373" s="14" t="n">
        <v>250</v>
      </c>
      <c r="W373" s="14">
        <f>U373+V373</f>
        <v/>
      </c>
    </row>
    <row r="374">
      <c r="A374" s="15" t="inlineStr">
        <is>
          <t>CANON-202603-004963</t>
        </is>
      </c>
      <c r="B374" s="15" t="inlineStr">
        <is>
          <t>2026-03-17</t>
        </is>
      </c>
      <c r="C374" s="15" t="inlineStr">
        <is>
          <t>Fitzgerald Nakashima</t>
        </is>
      </c>
      <c r="D374" s="15" t="inlineStr">
        <is>
          <t>OH</t>
        </is>
      </c>
      <c r="E374" s="16" t="n">
        <v>540000</v>
      </c>
      <c r="F374" s="16" t="n">
        <v>11391.63</v>
      </c>
      <c r="G374" s="16" t="n">
        <v>1423.95</v>
      </c>
      <c r="H374" s="16" t="n">
        <v>1423.95</v>
      </c>
      <c r="I374" s="16">
        <f>SUM(K374:T374)</f>
        <v/>
      </c>
      <c r="J374" s="16">
        <f>F374-(G374+H374+I374)</f>
        <v/>
      </c>
      <c r="K374" s="16" t="n">
        <v>854.37</v>
      </c>
      <c r="L374" s="16" t="n">
        <v>854.37</v>
      </c>
      <c r="M374" s="16" t="n">
        <v>854.37</v>
      </c>
      <c r="N374" s="16" t="n">
        <v>854.37</v>
      </c>
      <c r="O374" s="16" t="n">
        <v>854.37</v>
      </c>
      <c r="P374" s="16" t="n">
        <v>854.37</v>
      </c>
      <c r="Q374" s="16" t="n">
        <v>854.37</v>
      </c>
      <c r="R374" s="16" t="n">
        <v>854.37</v>
      </c>
      <c r="S374" s="16" t="n">
        <v>854.37</v>
      </c>
      <c r="T374" s="16" t="n">
        <v>854.37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CANON-202603-004964</t>
        </is>
      </c>
      <c r="B375" s="3" t="inlineStr">
        <is>
          <t>2026-03-19</t>
        </is>
      </c>
      <c r="C375" s="3" t="inlineStr">
        <is>
          <t>Beatrix Harrington</t>
        </is>
      </c>
      <c r="D375" s="3" t="inlineStr">
        <is>
          <t>TN</t>
        </is>
      </c>
      <c r="E375" s="14" t="n">
        <v>235000</v>
      </c>
      <c r="F375" s="14" t="n">
        <v>3384.82</v>
      </c>
      <c r="G375" s="14" t="n">
        <v>423.1</v>
      </c>
      <c r="H375" s="14" t="n">
        <v>423.1</v>
      </c>
      <c r="I375" s="14">
        <f>SUM(K375:T375)</f>
        <v/>
      </c>
      <c r="J375" s="14">
        <f>F375-(G375+H375+I375)</f>
        <v/>
      </c>
      <c r="K375" s="14" t="n">
        <v>253.86</v>
      </c>
      <c r="L375" s="14" t="n">
        <v>253.86</v>
      </c>
      <c r="M375" s="14" t="n">
        <v>253.86</v>
      </c>
      <c r="N375" s="14" t="n">
        <v>253.86</v>
      </c>
      <c r="O375" s="14" t="n">
        <v>253.86</v>
      </c>
      <c r="P375" s="14" t="n">
        <v>253.86</v>
      </c>
      <c r="Q375" s="14" t="n">
        <v>253.86</v>
      </c>
      <c r="R375" s="14" t="n">
        <v>253.86</v>
      </c>
      <c r="S375" s="14" t="n">
        <v>253.86</v>
      </c>
      <c r="T375" s="14" t="n">
        <v>253.86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CANON-202603-004966</t>
        </is>
      </c>
      <c r="B376" s="15" t="inlineStr">
        <is>
          <t>2026-03-23</t>
        </is>
      </c>
      <c r="C376" s="15" t="inlineStr">
        <is>
          <t>Anouk Castellanos</t>
        </is>
      </c>
      <c r="D376" s="15" t="inlineStr">
        <is>
          <t>AK</t>
        </is>
      </c>
      <c r="E376" s="16" t="n">
        <v>595000</v>
      </c>
      <c r="F376" s="16" t="n">
        <v>10294.36</v>
      </c>
      <c r="G376" s="16" t="n">
        <v>1286.8</v>
      </c>
      <c r="H376" s="16" t="n">
        <v>1286.8</v>
      </c>
      <c r="I376" s="16">
        <f>SUM(K376:T376)</f>
        <v/>
      </c>
      <c r="J376" s="16">
        <f>F376-(G376+H376+I376)</f>
        <v/>
      </c>
      <c r="K376" s="16" t="n">
        <v>772.08</v>
      </c>
      <c r="L376" s="16" t="n">
        <v>772.08</v>
      </c>
      <c r="M376" s="16" t="n">
        <v>772.08</v>
      </c>
      <c r="N376" s="16" t="n">
        <v>772.08</v>
      </c>
      <c r="O376" s="16" t="n">
        <v>772.08</v>
      </c>
      <c r="P376" s="16" t="n">
        <v>772.08</v>
      </c>
      <c r="Q376" s="16" t="n">
        <v>772.08</v>
      </c>
      <c r="R376" s="16" t="n">
        <v>772.08</v>
      </c>
      <c r="S376" s="16" t="n">
        <v>772.08</v>
      </c>
      <c r="T376" s="16" t="n">
        <v>772.08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CANON-202603-004967</t>
        </is>
      </c>
      <c r="B377" s="3" t="inlineStr">
        <is>
          <t>2026-03-24</t>
        </is>
      </c>
      <c r="C377" s="3" t="inlineStr">
        <is>
          <t>Desmond Montoya</t>
        </is>
      </c>
      <c r="D377" s="3" t="inlineStr">
        <is>
          <t>OK</t>
        </is>
      </c>
      <c r="E377" s="14" t="n">
        <v>430000</v>
      </c>
      <c r="F377" s="14" t="n">
        <v>6491.63</v>
      </c>
      <c r="G377" s="14" t="n">
        <v>811.45</v>
      </c>
      <c r="H377" s="14" t="n">
        <v>811.45</v>
      </c>
      <c r="I377" s="14">
        <f>SUM(K377:T377)</f>
        <v/>
      </c>
      <c r="J377" s="14">
        <f>F377-(G377+H377+I377)</f>
        <v/>
      </c>
      <c r="K377" s="14" t="n">
        <v>486.87</v>
      </c>
      <c r="L377" s="14" t="n">
        <v>486.87</v>
      </c>
      <c r="M377" s="14" t="n">
        <v>486.87</v>
      </c>
      <c r="N377" s="14" t="n">
        <v>486.87</v>
      </c>
      <c r="O377" s="14" t="n">
        <v>486.87</v>
      </c>
      <c r="P377" s="14" t="n">
        <v>486.87</v>
      </c>
      <c r="Q377" s="14" t="n">
        <v>486.87</v>
      </c>
      <c r="R377" s="14" t="n">
        <v>486.87</v>
      </c>
      <c r="S377" s="14" t="n">
        <v>486.87</v>
      </c>
      <c r="T377" s="14" t="n">
        <v>486.87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CANON-202603-004968</t>
        </is>
      </c>
      <c r="B378" s="15" t="inlineStr">
        <is>
          <t>2026-03-30</t>
        </is>
      </c>
      <c r="C378" s="15" t="inlineStr">
        <is>
          <t>Marisol Bellandi</t>
        </is>
      </c>
      <c r="D378" s="15" t="inlineStr">
        <is>
          <t>MA</t>
        </is>
      </c>
      <c r="E378" s="16" t="n">
        <v>810000</v>
      </c>
      <c r="F378" s="16" t="n">
        <v>6955.32</v>
      </c>
      <c r="G378" s="16" t="n">
        <v>869.41</v>
      </c>
      <c r="H378" s="16" t="n">
        <v>869.41</v>
      </c>
      <c r="I378" s="16">
        <f>SUM(K378:T378)</f>
        <v/>
      </c>
      <c r="J378" s="16">
        <f>F378-(G378+H378+I378)</f>
        <v/>
      </c>
      <c r="K378" s="16" t="n">
        <v>521.65</v>
      </c>
      <c r="L378" s="16" t="n">
        <v>521.65</v>
      </c>
      <c r="M378" s="16" t="n">
        <v>521.65</v>
      </c>
      <c r="N378" s="16" t="n">
        <v>521.65</v>
      </c>
      <c r="O378" s="16" t="n">
        <v>521.65</v>
      </c>
      <c r="P378" s="16" t="n">
        <v>521.65</v>
      </c>
      <c r="Q378" s="16" t="n">
        <v>521.65</v>
      </c>
      <c r="R378" s="16" t="n">
        <v>521.65</v>
      </c>
      <c r="S378" s="16" t="n">
        <v>521.65</v>
      </c>
      <c r="T378" s="16" t="n">
        <v>521.65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CANON-202603-004970</t>
        </is>
      </c>
      <c r="B379" s="3" t="inlineStr">
        <is>
          <t>2026-03-22</t>
        </is>
      </c>
      <c r="C379" s="3" t="inlineStr">
        <is>
          <t>Callum Vandermeer</t>
        </is>
      </c>
      <c r="D379" s="3" t="inlineStr">
        <is>
          <t>CA</t>
        </is>
      </c>
      <c r="E379" s="14" t="n">
        <v>145000</v>
      </c>
      <c r="F379" s="14" t="n">
        <v>2877.02</v>
      </c>
      <c r="G379" s="14" t="n">
        <v>359.63</v>
      </c>
      <c r="H379" s="14" t="n">
        <v>359.63</v>
      </c>
      <c r="I379" s="14">
        <f>SUM(K379:T379)</f>
        <v/>
      </c>
      <c r="J379" s="14">
        <f>F379-(G379+H379+I379)</f>
        <v/>
      </c>
      <c r="K379" s="14" t="n">
        <v>215.78</v>
      </c>
      <c r="L379" s="14" t="n">
        <v>215.78</v>
      </c>
      <c r="M379" s="14" t="n">
        <v>215.78</v>
      </c>
      <c r="N379" s="14" t="n">
        <v>215.78</v>
      </c>
      <c r="O379" s="14" t="n">
        <v>215.78</v>
      </c>
      <c r="P379" s="14" t="n">
        <v>215.78</v>
      </c>
      <c r="Q379" s="14" t="n">
        <v>215.78</v>
      </c>
      <c r="R379" s="14" t="n">
        <v>215.78</v>
      </c>
      <c r="S379" s="14" t="n">
        <v>215.78</v>
      </c>
      <c r="T379" s="14" t="n">
        <v>215.78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CANON-202603-004971</t>
        </is>
      </c>
      <c r="B380" s="15" t="inlineStr">
        <is>
          <t>2026-03-26</t>
        </is>
      </c>
      <c r="C380" s="15" t="inlineStr">
        <is>
          <t>Anouk Montoya</t>
        </is>
      </c>
      <c r="D380" s="15" t="inlineStr">
        <is>
          <t>WY</t>
        </is>
      </c>
      <c r="E380" s="16" t="n">
        <v>855000</v>
      </c>
      <c r="F380" s="16" t="n">
        <v>9499.860000000001</v>
      </c>
      <c r="G380" s="16" t="n">
        <v>1187.48</v>
      </c>
      <c r="H380" s="16" t="n">
        <v>1187.48</v>
      </c>
      <c r="I380" s="16">
        <f>SUM(K380:T380)</f>
        <v/>
      </c>
      <c r="J380" s="16">
        <f>F380-(G380+H380+I380)</f>
        <v/>
      </c>
      <c r="K380" s="16" t="n">
        <v>712.49</v>
      </c>
      <c r="L380" s="16" t="n">
        <v>712.49</v>
      </c>
      <c r="M380" s="16" t="n">
        <v>712.49</v>
      </c>
      <c r="N380" s="16" t="n">
        <v>712.49</v>
      </c>
      <c r="O380" s="16" t="n">
        <v>712.49</v>
      </c>
      <c r="P380" s="16" t="n">
        <v>712.49</v>
      </c>
      <c r="Q380" s="16" t="n">
        <v>712.49</v>
      </c>
      <c r="R380" s="16" t="n">
        <v>712.49</v>
      </c>
      <c r="S380" s="16" t="n">
        <v>712.49</v>
      </c>
      <c r="T380" s="16" t="n">
        <v>712.49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CANON-202603-004973</t>
        </is>
      </c>
      <c r="B381" s="3" t="inlineStr">
        <is>
          <t>2026-03-23</t>
        </is>
      </c>
      <c r="C381" s="3" t="inlineStr">
        <is>
          <t>Fenwick Pennington</t>
        </is>
      </c>
      <c r="D381" s="3" t="inlineStr">
        <is>
          <t>KS</t>
        </is>
      </c>
      <c r="E381" s="14" t="n">
        <v>1105000</v>
      </c>
      <c r="F381" s="14" t="n">
        <v>9417.82</v>
      </c>
      <c r="G381" s="14" t="n">
        <v>1177.23</v>
      </c>
      <c r="H381" s="14" t="n">
        <v>1177.23</v>
      </c>
      <c r="I381" s="14">
        <f>SUM(K381:T381)</f>
        <v/>
      </c>
      <c r="J381" s="14">
        <f>F381-(G381+H381+I381)</f>
        <v/>
      </c>
      <c r="K381" s="14" t="n">
        <v>706.34</v>
      </c>
      <c r="L381" s="14" t="n">
        <v>706.34</v>
      </c>
      <c r="M381" s="14" t="n">
        <v>706.34</v>
      </c>
      <c r="N381" s="14" t="n">
        <v>706.34</v>
      </c>
      <c r="O381" s="14" t="n">
        <v>706.34</v>
      </c>
      <c r="P381" s="14" t="n">
        <v>706.34</v>
      </c>
      <c r="Q381" s="14" t="n">
        <v>706.34</v>
      </c>
      <c r="R381" s="14" t="n">
        <v>706.34</v>
      </c>
      <c r="S381" s="14" t="n">
        <v>706.34</v>
      </c>
      <c r="T381" s="14" t="n">
        <v>706.34</v>
      </c>
      <c r="U381" s="14" t="n">
        <v>350</v>
      </c>
      <c r="V381" s="14" t="n">
        <v>250</v>
      </c>
      <c r="W381" s="14">
        <f>U381+V381</f>
        <v/>
      </c>
    </row>
    <row r="382">
      <c r="A382" s="15" t="inlineStr">
        <is>
          <t>CANON-202603-004974</t>
        </is>
      </c>
      <c r="B382" s="15" t="inlineStr">
        <is>
          <t>2026-03-09</t>
        </is>
      </c>
      <c r="C382" s="15" t="inlineStr">
        <is>
          <t>Priya Underwood</t>
        </is>
      </c>
      <c r="D382" s="15" t="inlineStr">
        <is>
          <t>IL</t>
        </is>
      </c>
      <c r="E382" s="16" t="n">
        <v>500000</v>
      </c>
      <c r="F382" s="16" t="n">
        <v>7061.16</v>
      </c>
      <c r="G382" s="16" t="n">
        <v>882.64</v>
      </c>
      <c r="H382" s="16" t="n">
        <v>882.64</v>
      </c>
      <c r="I382" s="16">
        <f>SUM(K382:T382)</f>
        <v/>
      </c>
      <c r="J382" s="16">
        <f>F382-(G382+H382+I382)</f>
        <v/>
      </c>
      <c r="K382" s="16" t="n">
        <v>529.59</v>
      </c>
      <c r="L382" s="16" t="n">
        <v>529.59</v>
      </c>
      <c r="M382" s="16" t="n">
        <v>529.59</v>
      </c>
      <c r="N382" s="16" t="n">
        <v>529.59</v>
      </c>
      <c r="O382" s="16" t="n">
        <v>529.59</v>
      </c>
      <c r="P382" s="16" t="n">
        <v>529.59</v>
      </c>
      <c r="Q382" s="16" t="n">
        <v>529.59</v>
      </c>
      <c r="R382" s="16" t="n">
        <v>529.59</v>
      </c>
      <c r="S382" s="16" t="n">
        <v>529.59</v>
      </c>
      <c r="T382" s="16" t="n">
        <v>529.59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CANON-202603-004975</t>
        </is>
      </c>
      <c r="B383" s="3" t="inlineStr">
        <is>
          <t>2026-03-21</t>
        </is>
      </c>
      <c r="C383" s="3" t="inlineStr">
        <is>
          <t>Everett Montoya</t>
        </is>
      </c>
      <c r="D383" s="3" t="inlineStr">
        <is>
          <t>NY</t>
        </is>
      </c>
      <c r="E383" s="14" t="n">
        <v>760000</v>
      </c>
      <c r="F383" s="14" t="n">
        <v>10101.61</v>
      </c>
      <c r="G383" s="14" t="n">
        <v>1262.7</v>
      </c>
      <c r="H383" s="14" t="n">
        <v>1262.7</v>
      </c>
      <c r="I383" s="14">
        <f>SUM(K383:T383)</f>
        <v/>
      </c>
      <c r="J383" s="14">
        <f>F383-(G383+H383+I383)</f>
        <v/>
      </c>
      <c r="K383" s="14" t="n">
        <v>757.62</v>
      </c>
      <c r="L383" s="14" t="n">
        <v>757.62</v>
      </c>
      <c r="M383" s="14" t="n">
        <v>757.62</v>
      </c>
      <c r="N383" s="14" t="n">
        <v>757.62</v>
      </c>
      <c r="O383" s="14" t="n">
        <v>757.62</v>
      </c>
      <c r="P383" s="14" t="n">
        <v>757.62</v>
      </c>
      <c r="Q383" s="14" t="n">
        <v>757.62</v>
      </c>
      <c r="R383" s="14" t="n">
        <v>757.62</v>
      </c>
      <c r="S383" s="14" t="n">
        <v>757.62</v>
      </c>
      <c r="T383" s="14" t="n">
        <v>757.62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CANON-202603-004977</t>
        </is>
      </c>
      <c r="B384" s="15" t="inlineStr">
        <is>
          <t>2026-03-06</t>
        </is>
      </c>
      <c r="C384" s="15" t="inlineStr">
        <is>
          <t>Sunniva Ashcombe</t>
        </is>
      </c>
      <c r="D384" s="15" t="inlineStr">
        <is>
          <t>OK</t>
        </is>
      </c>
      <c r="E384" s="16" t="n">
        <v>600000</v>
      </c>
      <c r="F384" s="16" t="n">
        <v>11473.58</v>
      </c>
      <c r="G384" s="16" t="n">
        <v>1434.2</v>
      </c>
      <c r="H384" s="16" t="n">
        <v>1434.2</v>
      </c>
      <c r="I384" s="16">
        <f>SUM(K384:T384)</f>
        <v/>
      </c>
      <c r="J384" s="16">
        <f>F384-(G384+H384+I384)</f>
        <v/>
      </c>
      <c r="K384" s="16" t="n">
        <v>860.52</v>
      </c>
      <c r="L384" s="16" t="n">
        <v>860.52</v>
      </c>
      <c r="M384" s="16" t="n">
        <v>860.52</v>
      </c>
      <c r="N384" s="16" t="n">
        <v>860.52</v>
      </c>
      <c r="O384" s="16" t="n">
        <v>860.52</v>
      </c>
      <c r="P384" s="16" t="n">
        <v>860.52</v>
      </c>
      <c r="Q384" s="16" t="n">
        <v>860.52</v>
      </c>
      <c r="R384" s="16" t="n">
        <v>860.52</v>
      </c>
      <c r="S384" s="16" t="n">
        <v>860.52</v>
      </c>
      <c r="T384" s="16" t="n">
        <v>860.52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CANON-202603-004978</t>
        </is>
      </c>
      <c r="B385" s="3" t="inlineStr">
        <is>
          <t>2026-03-23</t>
        </is>
      </c>
      <c r="C385" s="3" t="inlineStr">
        <is>
          <t>Priya Harrington</t>
        </is>
      </c>
      <c r="D385" s="3" t="inlineStr">
        <is>
          <t>FL</t>
        </is>
      </c>
      <c r="E385" s="14" t="n">
        <v>910000</v>
      </c>
      <c r="F385" s="14" t="n">
        <v>19611.33</v>
      </c>
      <c r="G385" s="14" t="n">
        <v>2451.42</v>
      </c>
      <c r="H385" s="14" t="n">
        <v>2451.42</v>
      </c>
      <c r="I385" s="14">
        <f>SUM(K385:T385)</f>
        <v/>
      </c>
      <c r="J385" s="14">
        <f>F385-(G385+H385+I385)</f>
        <v/>
      </c>
      <c r="K385" s="14" t="n">
        <v>1470.85</v>
      </c>
      <c r="L385" s="14" t="n">
        <v>1470.85</v>
      </c>
      <c r="M385" s="14" t="n">
        <v>1470.85</v>
      </c>
      <c r="N385" s="14" t="n">
        <v>1470.85</v>
      </c>
      <c r="O385" s="14" t="n">
        <v>1470.85</v>
      </c>
      <c r="P385" s="14" t="n">
        <v>1470.85</v>
      </c>
      <c r="Q385" s="14" t="n">
        <v>1470.85</v>
      </c>
      <c r="R385" s="14" t="n">
        <v>1470.85</v>
      </c>
      <c r="S385" s="14" t="n">
        <v>1470.85</v>
      </c>
      <c r="T385" s="14" t="n">
        <v>1470.85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CANON-202603-004979</t>
        </is>
      </c>
      <c r="B386" s="15" t="inlineStr">
        <is>
          <t>2026-03-31</t>
        </is>
      </c>
      <c r="C386" s="15" t="inlineStr">
        <is>
          <t>Wilhelmina Delacroix</t>
        </is>
      </c>
      <c r="D386" s="15" t="inlineStr">
        <is>
          <t>OK</t>
        </is>
      </c>
      <c r="E386" s="16" t="n">
        <v>230000</v>
      </c>
      <c r="F386" s="16" t="n">
        <v>4259.32</v>
      </c>
      <c r="G386" s="16" t="n">
        <v>532.41</v>
      </c>
      <c r="H386" s="16" t="n">
        <v>532.41</v>
      </c>
      <c r="I386" s="16">
        <f>SUM(K386:T386)</f>
        <v/>
      </c>
      <c r="J386" s="16">
        <f>F386-(G386+H386+I386)</f>
        <v/>
      </c>
      <c r="K386" s="16" t="n">
        <v>319.45</v>
      </c>
      <c r="L386" s="16" t="n">
        <v>319.45</v>
      </c>
      <c r="M386" s="16" t="n">
        <v>319.45</v>
      </c>
      <c r="N386" s="16" t="n">
        <v>319.45</v>
      </c>
      <c r="O386" s="16" t="n">
        <v>319.45</v>
      </c>
      <c r="P386" s="16" t="n">
        <v>319.45</v>
      </c>
      <c r="Q386" s="16" t="n">
        <v>319.45</v>
      </c>
      <c r="R386" s="16" t="n">
        <v>319.45</v>
      </c>
      <c r="S386" s="16" t="n">
        <v>319.45</v>
      </c>
      <c r="T386" s="16" t="n">
        <v>319.45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CANON-202603-004981</t>
        </is>
      </c>
      <c r="B387" s="3" t="inlineStr">
        <is>
          <t>2026-03-01</t>
        </is>
      </c>
      <c r="C387" s="3" t="inlineStr">
        <is>
          <t>Leopold Harrington</t>
        </is>
      </c>
      <c r="D387" s="3" t="inlineStr">
        <is>
          <t>NJ</t>
        </is>
      </c>
      <c r="E387" s="14" t="n">
        <v>755000</v>
      </c>
      <c r="F387" s="14" t="n">
        <v>7134.36</v>
      </c>
      <c r="G387" s="14" t="n">
        <v>891.79</v>
      </c>
      <c r="H387" s="14" t="n">
        <v>891.79</v>
      </c>
      <c r="I387" s="14">
        <f>SUM(K387:T387)</f>
        <v/>
      </c>
      <c r="J387" s="14">
        <f>F387-(G387+H387+I387)</f>
        <v/>
      </c>
      <c r="K387" s="14" t="n">
        <v>535.08</v>
      </c>
      <c r="L387" s="14" t="n">
        <v>535.08</v>
      </c>
      <c r="M387" s="14" t="n">
        <v>535.08</v>
      </c>
      <c r="N387" s="14" t="n">
        <v>535.08</v>
      </c>
      <c r="O387" s="14" t="n">
        <v>535.08</v>
      </c>
      <c r="P387" s="14" t="n">
        <v>535.08</v>
      </c>
      <c r="Q387" s="14" t="n">
        <v>535.08</v>
      </c>
      <c r="R387" s="14" t="n">
        <v>535.08</v>
      </c>
      <c r="S387" s="14" t="n">
        <v>535.08</v>
      </c>
      <c r="T387" s="14" t="n">
        <v>535.08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CANON-202603-004982</t>
        </is>
      </c>
      <c r="B388" s="15" t="inlineStr">
        <is>
          <t>2026-03-27</t>
        </is>
      </c>
      <c r="C388" s="15" t="inlineStr">
        <is>
          <t>Sunniva Ashcombe</t>
        </is>
      </c>
      <c r="D388" s="15" t="inlineStr">
        <is>
          <t>IA</t>
        </is>
      </c>
      <c r="E388" s="16" t="n">
        <v>320000</v>
      </c>
      <c r="F388" s="16" t="n">
        <v>4217.52</v>
      </c>
      <c r="G388" s="16" t="n">
        <v>527.1900000000001</v>
      </c>
      <c r="H388" s="16" t="n">
        <v>527.1900000000001</v>
      </c>
      <c r="I388" s="16">
        <f>SUM(K388:T388)</f>
        <v/>
      </c>
      <c r="J388" s="16">
        <f>F388-(G388+H388+I388)</f>
        <v/>
      </c>
      <c r="K388" s="16" t="n">
        <v>316.31</v>
      </c>
      <c r="L388" s="16" t="n">
        <v>316.31</v>
      </c>
      <c r="M388" s="16" t="n">
        <v>316.31</v>
      </c>
      <c r="N388" s="16" t="n">
        <v>316.31</v>
      </c>
      <c r="O388" s="16" t="n">
        <v>316.31</v>
      </c>
      <c r="P388" s="16" t="n">
        <v>316.31</v>
      </c>
      <c r="Q388" s="16" t="n">
        <v>316.31</v>
      </c>
      <c r="R388" s="16" t="n">
        <v>316.31</v>
      </c>
      <c r="S388" s="16" t="n">
        <v>316.31</v>
      </c>
      <c r="T388" s="16" t="n">
        <v>316.31</v>
      </c>
      <c r="U388" s="16" t="n">
        <v>350</v>
      </c>
      <c r="V388" s="16" t="n">
        <v>0</v>
      </c>
      <c r="W388" s="16">
        <f>U388+V388</f>
        <v/>
      </c>
    </row>
    <row r="389">
      <c r="A389" s="3" t="inlineStr">
        <is>
          <t>CANON-202603-004983</t>
        </is>
      </c>
      <c r="B389" s="3" t="inlineStr">
        <is>
          <t>2026-03-09</t>
        </is>
      </c>
      <c r="C389" s="3" t="inlineStr">
        <is>
          <t>Mireille Thistlewood</t>
        </is>
      </c>
      <c r="D389" s="3" t="inlineStr">
        <is>
          <t>OH</t>
        </is>
      </c>
      <c r="E389" s="14" t="n">
        <v>315000</v>
      </c>
      <c r="F389" s="14" t="n">
        <v>5246.14</v>
      </c>
      <c r="G389" s="14" t="n">
        <v>655.77</v>
      </c>
      <c r="H389" s="14" t="n">
        <v>655.77</v>
      </c>
      <c r="I389" s="14">
        <f>SUM(K389:T389)</f>
        <v/>
      </c>
      <c r="J389" s="14">
        <f>F389-(G389+H389+I389)</f>
        <v/>
      </c>
      <c r="K389" s="14" t="n">
        <v>393.46</v>
      </c>
      <c r="L389" s="14" t="n">
        <v>393.46</v>
      </c>
      <c r="M389" s="14" t="n">
        <v>393.46</v>
      </c>
      <c r="N389" s="14" t="n">
        <v>393.46</v>
      </c>
      <c r="O389" s="14" t="n">
        <v>393.46</v>
      </c>
      <c r="P389" s="14" t="n">
        <v>393.46</v>
      </c>
      <c r="Q389" s="14" t="n">
        <v>393.46</v>
      </c>
      <c r="R389" s="14" t="n">
        <v>393.46</v>
      </c>
      <c r="S389" s="14" t="n">
        <v>393.46</v>
      </c>
      <c r="T389" s="14" t="n">
        <v>393.46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CANON-202603-004985</t>
        </is>
      </c>
      <c r="B390" s="15" t="inlineStr">
        <is>
          <t>2026-03-15</t>
        </is>
      </c>
      <c r="C390" s="15" t="inlineStr">
        <is>
          <t>Leopold Underwood</t>
        </is>
      </c>
      <c r="D390" s="15" t="inlineStr">
        <is>
          <t>NY</t>
        </is>
      </c>
      <c r="E390" s="16" t="n">
        <v>355000</v>
      </c>
      <c r="F390" s="16" t="n">
        <v>5444.44</v>
      </c>
      <c r="G390" s="16" t="n">
        <v>680.55</v>
      </c>
      <c r="H390" s="16" t="n">
        <v>680.55</v>
      </c>
      <c r="I390" s="16">
        <f>SUM(K390:T390)</f>
        <v/>
      </c>
      <c r="J390" s="16">
        <f>F390-(G390+H390+I390)</f>
        <v/>
      </c>
      <c r="K390" s="16" t="n">
        <v>408.33</v>
      </c>
      <c r="L390" s="16" t="n">
        <v>408.33</v>
      </c>
      <c r="M390" s="16" t="n">
        <v>408.33</v>
      </c>
      <c r="N390" s="16" t="n">
        <v>408.33</v>
      </c>
      <c r="O390" s="16" t="n">
        <v>408.33</v>
      </c>
      <c r="P390" s="16" t="n">
        <v>408.33</v>
      </c>
      <c r="Q390" s="16" t="n">
        <v>408.33</v>
      </c>
      <c r="R390" s="16" t="n">
        <v>408.33</v>
      </c>
      <c r="S390" s="16" t="n">
        <v>408.33</v>
      </c>
      <c r="T390" s="16" t="n">
        <v>408.33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CANON-202603-004987</t>
        </is>
      </c>
      <c r="B391" s="3" t="inlineStr">
        <is>
          <t>2026-03-05</t>
        </is>
      </c>
      <c r="C391" s="3" t="inlineStr">
        <is>
          <t>Marisol Ashcombe</t>
        </is>
      </c>
      <c r="D391" s="3" t="inlineStr">
        <is>
          <t>MI</t>
        </is>
      </c>
      <c r="E391" s="14" t="n">
        <v>365000</v>
      </c>
      <c r="F391" s="14" t="n">
        <v>3796.01</v>
      </c>
      <c r="G391" s="14" t="n">
        <v>474.5</v>
      </c>
      <c r="H391" s="14" t="n">
        <v>474.5</v>
      </c>
      <c r="I391" s="14">
        <f>SUM(K391:T391)</f>
        <v/>
      </c>
      <c r="J391" s="14">
        <f>F391-(G391+H391+I391)</f>
        <v/>
      </c>
      <c r="K391" s="14" t="n">
        <v>284.7</v>
      </c>
      <c r="L391" s="14" t="n">
        <v>284.7</v>
      </c>
      <c r="M391" s="14" t="n">
        <v>284.7</v>
      </c>
      <c r="N391" s="14" t="n">
        <v>284.7</v>
      </c>
      <c r="O391" s="14" t="n">
        <v>284.7</v>
      </c>
      <c r="P391" s="14" t="n">
        <v>284.7</v>
      </c>
      <c r="Q391" s="14" t="n">
        <v>284.7</v>
      </c>
      <c r="R391" s="14" t="n">
        <v>284.7</v>
      </c>
      <c r="S391" s="14" t="n">
        <v>284.7</v>
      </c>
      <c r="T391" s="14" t="n">
        <v>284.7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CANON-202603-004988</t>
        </is>
      </c>
      <c r="B392" s="15" t="inlineStr">
        <is>
          <t>2026-03-28</t>
        </is>
      </c>
      <c r="C392" s="15" t="inlineStr">
        <is>
          <t>Cassius Okonkwo</t>
        </is>
      </c>
      <c r="D392" s="15" t="inlineStr">
        <is>
          <t>WI</t>
        </is>
      </c>
      <c r="E392" s="16" t="n">
        <v>465000</v>
      </c>
      <c r="F392" s="16" t="n">
        <v>3744.01</v>
      </c>
      <c r="G392" s="16" t="n">
        <v>468</v>
      </c>
      <c r="H392" s="16" t="n">
        <v>468</v>
      </c>
      <c r="I392" s="16">
        <f>SUM(K392:T392)</f>
        <v/>
      </c>
      <c r="J392" s="16">
        <f>F392-(G392+H392+I392)</f>
        <v/>
      </c>
      <c r="K392" s="16" t="n">
        <v>280.8</v>
      </c>
      <c r="L392" s="16" t="n">
        <v>280.8</v>
      </c>
      <c r="M392" s="16" t="n">
        <v>280.8</v>
      </c>
      <c r="N392" s="16" t="n">
        <v>280.8</v>
      </c>
      <c r="O392" s="16" t="n">
        <v>280.8</v>
      </c>
      <c r="P392" s="16" t="n">
        <v>280.8</v>
      </c>
      <c r="Q392" s="16" t="n">
        <v>280.8</v>
      </c>
      <c r="R392" s="16" t="n">
        <v>280.8</v>
      </c>
      <c r="S392" s="16" t="n">
        <v>280.8</v>
      </c>
      <c r="T392" s="16" t="n">
        <v>280.8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CANON-202603-004990</t>
        </is>
      </c>
      <c r="B393" s="3" t="inlineStr">
        <is>
          <t>2026-03-03</t>
        </is>
      </c>
      <c r="C393" s="3" t="inlineStr">
        <is>
          <t>Fitzgerald Castellanos</t>
        </is>
      </c>
      <c r="D393" s="3" t="inlineStr">
        <is>
          <t>OH</t>
        </is>
      </c>
      <c r="E393" s="14" t="n">
        <v>725000</v>
      </c>
      <c r="F393" s="14" t="n">
        <v>10464.53</v>
      </c>
      <c r="G393" s="14" t="n">
        <v>1308.07</v>
      </c>
      <c r="H393" s="14" t="n">
        <v>1308.07</v>
      </c>
      <c r="I393" s="14">
        <f>SUM(K393:T393)</f>
        <v/>
      </c>
      <c r="J393" s="14">
        <f>F393-(G393+H393+I393)</f>
        <v/>
      </c>
      <c r="K393" s="14" t="n">
        <v>784.84</v>
      </c>
      <c r="L393" s="14" t="n">
        <v>784.84</v>
      </c>
      <c r="M393" s="14" t="n">
        <v>784.84</v>
      </c>
      <c r="N393" s="14" t="n">
        <v>784.84</v>
      </c>
      <c r="O393" s="14" t="n">
        <v>784.84</v>
      </c>
      <c r="P393" s="14" t="n">
        <v>784.84</v>
      </c>
      <c r="Q393" s="14" t="n">
        <v>784.84</v>
      </c>
      <c r="R393" s="14" t="n">
        <v>784.84</v>
      </c>
      <c r="S393" s="14" t="n">
        <v>784.84</v>
      </c>
      <c r="T393" s="14" t="n">
        <v>784.84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CANON-202603-004991</t>
        </is>
      </c>
      <c r="B394" s="15" t="inlineStr">
        <is>
          <t>2026-03-19</t>
        </is>
      </c>
      <c r="C394" s="15" t="inlineStr">
        <is>
          <t>Ramona Farkas</t>
        </is>
      </c>
      <c r="D394" s="15" t="inlineStr">
        <is>
          <t>ND</t>
        </is>
      </c>
      <c r="E394" s="16" t="n">
        <v>135000</v>
      </c>
      <c r="F394" s="16" t="n">
        <v>2023.83</v>
      </c>
      <c r="G394" s="16" t="n">
        <v>252.98</v>
      </c>
      <c r="H394" s="16" t="n">
        <v>252.98</v>
      </c>
      <c r="I394" s="16">
        <f>SUM(K394:T394)</f>
        <v/>
      </c>
      <c r="J394" s="16">
        <f>F394-(G394+H394+I394)</f>
        <v/>
      </c>
      <c r="K394" s="16" t="n">
        <v>151.79</v>
      </c>
      <c r="L394" s="16" t="n">
        <v>151.79</v>
      </c>
      <c r="M394" s="16" t="n">
        <v>151.79</v>
      </c>
      <c r="N394" s="16" t="n">
        <v>151.79</v>
      </c>
      <c r="O394" s="16" t="n">
        <v>151.79</v>
      </c>
      <c r="P394" s="16" t="n">
        <v>151.79</v>
      </c>
      <c r="Q394" s="16" t="n">
        <v>151.79</v>
      </c>
      <c r="R394" s="16" t="n">
        <v>151.79</v>
      </c>
      <c r="S394" s="16" t="n">
        <v>151.79</v>
      </c>
      <c r="T394" s="16" t="n">
        <v>151.79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CANON-202603-004992</t>
        </is>
      </c>
      <c r="B395" s="3" t="inlineStr">
        <is>
          <t>2026-03-20</t>
        </is>
      </c>
      <c r="C395" s="3" t="inlineStr">
        <is>
          <t>Everett Chattopadhyay</t>
        </is>
      </c>
      <c r="D395" s="3" t="inlineStr">
        <is>
          <t>WA</t>
        </is>
      </c>
      <c r="E395" s="14" t="n">
        <v>1620000</v>
      </c>
      <c r="F395" s="14" t="n">
        <v>19876.05</v>
      </c>
      <c r="G395" s="14" t="n">
        <v>2484.51</v>
      </c>
      <c r="H395" s="14" t="n">
        <v>2484.51</v>
      </c>
      <c r="I395" s="14">
        <f>SUM(K395:T395)</f>
        <v/>
      </c>
      <c r="J395" s="14">
        <f>F395-(G395+H395+I395)</f>
        <v/>
      </c>
      <c r="K395" s="14" t="n">
        <v>1490.7</v>
      </c>
      <c r="L395" s="14" t="n">
        <v>1490.7</v>
      </c>
      <c r="M395" s="14" t="n">
        <v>1490.7</v>
      </c>
      <c r="N395" s="14" t="n">
        <v>1490.7</v>
      </c>
      <c r="O395" s="14" t="n">
        <v>1490.7</v>
      </c>
      <c r="P395" s="14" t="n">
        <v>1490.7</v>
      </c>
      <c r="Q395" s="14" t="n">
        <v>1490.7</v>
      </c>
      <c r="R395" s="14" t="n">
        <v>1490.7</v>
      </c>
      <c r="S395" s="14" t="n">
        <v>1490.7</v>
      </c>
      <c r="T395" s="14" t="n">
        <v>1490.7</v>
      </c>
      <c r="U395" s="14" t="n">
        <v>350</v>
      </c>
      <c r="V395" s="14" t="n">
        <v>250</v>
      </c>
      <c r="W395" s="14">
        <f>U395+V395</f>
        <v/>
      </c>
    </row>
    <row r="396">
      <c r="A396" s="15" t="inlineStr">
        <is>
          <t>CANON-202603-004993</t>
        </is>
      </c>
      <c r="B396" s="15" t="inlineStr">
        <is>
          <t>2026-03-08</t>
        </is>
      </c>
      <c r="C396" s="15" t="inlineStr">
        <is>
          <t>Saoirse Thistlewood</t>
        </is>
      </c>
      <c r="D396" s="15" t="inlineStr">
        <is>
          <t>UT</t>
        </is>
      </c>
      <c r="E396" s="16" t="n">
        <v>575000</v>
      </c>
      <c r="F396" s="16" t="n">
        <v>8060.63</v>
      </c>
      <c r="G396" s="16" t="n">
        <v>1007.58</v>
      </c>
      <c r="H396" s="16" t="n">
        <v>1007.58</v>
      </c>
      <c r="I396" s="16">
        <f>SUM(K396:T396)</f>
        <v/>
      </c>
      <c r="J396" s="16">
        <f>F396-(G396+H396+I396)</f>
        <v/>
      </c>
      <c r="K396" s="16" t="n">
        <v>604.55</v>
      </c>
      <c r="L396" s="16" t="n">
        <v>604.55</v>
      </c>
      <c r="M396" s="16" t="n">
        <v>604.55</v>
      </c>
      <c r="N396" s="16" t="n">
        <v>604.55</v>
      </c>
      <c r="O396" s="16" t="n">
        <v>604.55</v>
      </c>
      <c r="P396" s="16" t="n">
        <v>604.55</v>
      </c>
      <c r="Q396" s="16" t="n">
        <v>604.55</v>
      </c>
      <c r="R396" s="16" t="n">
        <v>604.55</v>
      </c>
      <c r="S396" s="16" t="n">
        <v>604.55</v>
      </c>
      <c r="T396" s="16" t="n">
        <v>604.55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CANON-202603-004995</t>
        </is>
      </c>
      <c r="B397" s="3" t="inlineStr">
        <is>
          <t>2026-03-02</t>
        </is>
      </c>
      <c r="C397" s="3" t="inlineStr">
        <is>
          <t>Delphine Kingsford</t>
        </is>
      </c>
      <c r="D397" s="3" t="inlineStr">
        <is>
          <t>CA</t>
        </is>
      </c>
      <c r="E397" s="14" t="n">
        <v>470000</v>
      </c>
      <c r="F397" s="14" t="n">
        <v>4257.3</v>
      </c>
      <c r="G397" s="14" t="n">
        <v>532.16</v>
      </c>
      <c r="H397" s="14" t="n">
        <v>532.16</v>
      </c>
      <c r="I397" s="14">
        <f>SUM(K397:T397)</f>
        <v/>
      </c>
      <c r="J397" s="14">
        <f>F397-(G397+H397+I397)</f>
        <v/>
      </c>
      <c r="K397" s="14" t="n">
        <v>319.3</v>
      </c>
      <c r="L397" s="14" t="n">
        <v>319.3</v>
      </c>
      <c r="M397" s="14" t="n">
        <v>319.3</v>
      </c>
      <c r="N397" s="14" t="n">
        <v>319.3</v>
      </c>
      <c r="O397" s="14" t="n">
        <v>319.3</v>
      </c>
      <c r="P397" s="14" t="n">
        <v>319.3</v>
      </c>
      <c r="Q397" s="14" t="n">
        <v>319.3</v>
      </c>
      <c r="R397" s="14" t="n">
        <v>319.3</v>
      </c>
      <c r="S397" s="14" t="n">
        <v>319.3</v>
      </c>
      <c r="T397" s="14" t="n">
        <v>319.3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CANON-202603-004996</t>
        </is>
      </c>
      <c r="B398" s="15" t="inlineStr">
        <is>
          <t>2026-03-20</t>
        </is>
      </c>
      <c r="C398" s="15" t="inlineStr">
        <is>
          <t>Desmond Castellanos</t>
        </is>
      </c>
      <c r="D398" s="15" t="inlineStr">
        <is>
          <t>IA</t>
        </is>
      </c>
      <c r="E398" s="16" t="n">
        <v>465000</v>
      </c>
      <c r="F398" s="16" t="n">
        <v>6128.59</v>
      </c>
      <c r="G398" s="16" t="n">
        <v>766.0700000000001</v>
      </c>
      <c r="H398" s="16" t="n">
        <v>766.0700000000001</v>
      </c>
      <c r="I398" s="16">
        <f>SUM(K398:T398)</f>
        <v/>
      </c>
      <c r="J398" s="16">
        <f>F398-(G398+H398+I398)</f>
        <v/>
      </c>
      <c r="K398" s="16" t="n">
        <v>459.64</v>
      </c>
      <c r="L398" s="16" t="n">
        <v>459.64</v>
      </c>
      <c r="M398" s="16" t="n">
        <v>459.64</v>
      </c>
      <c r="N398" s="16" t="n">
        <v>459.64</v>
      </c>
      <c r="O398" s="16" t="n">
        <v>459.64</v>
      </c>
      <c r="P398" s="16" t="n">
        <v>459.64</v>
      </c>
      <c r="Q398" s="16" t="n">
        <v>459.64</v>
      </c>
      <c r="R398" s="16" t="n">
        <v>459.64</v>
      </c>
      <c r="S398" s="16" t="n">
        <v>459.64</v>
      </c>
      <c r="T398" s="16" t="n">
        <v>459.64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CANON-202603-004997</t>
        </is>
      </c>
      <c r="B399" s="3" t="inlineStr">
        <is>
          <t>2026-03-19</t>
        </is>
      </c>
      <c r="C399" s="3" t="inlineStr">
        <is>
          <t>Aurelio Chattopadhyay</t>
        </is>
      </c>
      <c r="D399" s="3" t="inlineStr">
        <is>
          <t>MA</t>
        </is>
      </c>
      <c r="E399" s="14" t="n">
        <v>655000</v>
      </c>
      <c r="F399" s="14" t="n">
        <v>8501.940000000001</v>
      </c>
      <c r="G399" s="14" t="n">
        <v>1062.74</v>
      </c>
      <c r="H399" s="14" t="n">
        <v>1062.74</v>
      </c>
      <c r="I399" s="14">
        <f>SUM(K399:T399)</f>
        <v/>
      </c>
      <c r="J399" s="14">
        <f>F399-(G399+H399+I399)</f>
        <v/>
      </c>
      <c r="K399" s="14" t="n">
        <v>637.65</v>
      </c>
      <c r="L399" s="14" t="n">
        <v>637.65</v>
      </c>
      <c r="M399" s="14" t="n">
        <v>637.65</v>
      </c>
      <c r="N399" s="14" t="n">
        <v>637.65</v>
      </c>
      <c r="O399" s="14" t="n">
        <v>637.65</v>
      </c>
      <c r="P399" s="14" t="n">
        <v>637.65</v>
      </c>
      <c r="Q399" s="14" t="n">
        <v>637.65</v>
      </c>
      <c r="R399" s="14" t="n">
        <v>637.65</v>
      </c>
      <c r="S399" s="14" t="n">
        <v>637.65</v>
      </c>
      <c r="T399" s="14" t="n">
        <v>637.65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CANON-202603-004998</t>
        </is>
      </c>
      <c r="B400" s="15" t="inlineStr">
        <is>
          <t>2026-03-14</t>
        </is>
      </c>
      <c r="C400" s="15" t="inlineStr">
        <is>
          <t>Anouk Underwood</t>
        </is>
      </c>
      <c r="D400" s="15" t="inlineStr">
        <is>
          <t>WV</t>
        </is>
      </c>
      <c r="E400" s="16" t="n">
        <v>735000</v>
      </c>
      <c r="F400" s="16" t="n">
        <v>10150.93</v>
      </c>
      <c r="G400" s="16" t="n">
        <v>1268.87</v>
      </c>
      <c r="H400" s="16" t="n">
        <v>1268.87</v>
      </c>
      <c r="I400" s="16">
        <f>SUM(K400:T400)</f>
        <v/>
      </c>
      <c r="J400" s="16">
        <f>F400-(G400+H400+I400)</f>
        <v/>
      </c>
      <c r="K400" s="16" t="n">
        <v>761.3200000000001</v>
      </c>
      <c r="L400" s="16" t="n">
        <v>761.3200000000001</v>
      </c>
      <c r="M400" s="16" t="n">
        <v>761.3200000000001</v>
      </c>
      <c r="N400" s="16" t="n">
        <v>761.3200000000001</v>
      </c>
      <c r="O400" s="16" t="n">
        <v>761.3200000000001</v>
      </c>
      <c r="P400" s="16" t="n">
        <v>761.3200000000001</v>
      </c>
      <c r="Q400" s="16" t="n">
        <v>761.3200000000001</v>
      </c>
      <c r="R400" s="16" t="n">
        <v>761.3200000000001</v>
      </c>
      <c r="S400" s="16" t="n">
        <v>761.3200000000001</v>
      </c>
      <c r="T400" s="16" t="n">
        <v>761.3200000000001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CANON-202603-004999</t>
        </is>
      </c>
      <c r="B401" s="3" t="inlineStr">
        <is>
          <t>2026-03-24</t>
        </is>
      </c>
      <c r="C401" s="3" t="inlineStr">
        <is>
          <t>Lorenzo Larsson</t>
        </is>
      </c>
      <c r="D401" s="3" t="inlineStr">
        <is>
          <t>NH</t>
        </is>
      </c>
      <c r="E401" s="14" t="n">
        <v>850000</v>
      </c>
      <c r="F401" s="14" t="n">
        <v>9179.51</v>
      </c>
      <c r="G401" s="14" t="n">
        <v>1147.44</v>
      </c>
      <c r="H401" s="14" t="n">
        <v>1147.44</v>
      </c>
      <c r="I401" s="14">
        <f>SUM(K401:T401)</f>
        <v/>
      </c>
      <c r="J401" s="14">
        <f>F401-(G401+H401+I401)</f>
        <v/>
      </c>
      <c r="K401" s="14" t="n">
        <v>688.46</v>
      </c>
      <c r="L401" s="14" t="n">
        <v>688.46</v>
      </c>
      <c r="M401" s="14" t="n">
        <v>688.46</v>
      </c>
      <c r="N401" s="14" t="n">
        <v>688.46</v>
      </c>
      <c r="O401" s="14" t="n">
        <v>688.46</v>
      </c>
      <c r="P401" s="14" t="n">
        <v>688.46</v>
      </c>
      <c r="Q401" s="14" t="n">
        <v>688.46</v>
      </c>
      <c r="R401" s="14" t="n">
        <v>688.46</v>
      </c>
      <c r="S401" s="14" t="n">
        <v>688.46</v>
      </c>
      <c r="T401" s="14" t="n">
        <v>688.46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CANON-202603-005000</t>
        </is>
      </c>
      <c r="B402" s="15" t="inlineStr">
        <is>
          <t>2026-03-30</t>
        </is>
      </c>
      <c r="C402" s="15" t="inlineStr">
        <is>
          <t>Everett Thistlewood</t>
        </is>
      </c>
      <c r="D402" s="15" t="inlineStr">
        <is>
          <t>MS</t>
        </is>
      </c>
      <c r="E402" s="16" t="n">
        <v>350000</v>
      </c>
      <c r="F402" s="16" t="n">
        <v>5855.33</v>
      </c>
      <c r="G402" s="16" t="n">
        <v>731.92</v>
      </c>
      <c r="H402" s="16" t="n">
        <v>731.92</v>
      </c>
      <c r="I402" s="16">
        <f>SUM(K402:T402)</f>
        <v/>
      </c>
      <c r="J402" s="16">
        <f>F402-(G402+H402+I402)</f>
        <v/>
      </c>
      <c r="K402" s="16" t="n">
        <v>439.15</v>
      </c>
      <c r="L402" s="16" t="n">
        <v>439.15</v>
      </c>
      <c r="M402" s="16" t="n">
        <v>439.15</v>
      </c>
      <c r="N402" s="16" t="n">
        <v>439.15</v>
      </c>
      <c r="O402" s="16" t="n">
        <v>439.15</v>
      </c>
      <c r="P402" s="16" t="n">
        <v>439.15</v>
      </c>
      <c r="Q402" s="16" t="n">
        <v>439.15</v>
      </c>
      <c r="R402" s="16" t="n">
        <v>439.15</v>
      </c>
      <c r="S402" s="16" t="n">
        <v>439.15</v>
      </c>
      <c r="T402" s="16" t="n">
        <v>439.15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CANON-202603-005001</t>
        </is>
      </c>
      <c r="B403" s="3" t="inlineStr">
        <is>
          <t>2026-03-05</t>
        </is>
      </c>
      <c r="C403" s="3" t="inlineStr">
        <is>
          <t>Priya Underwood</t>
        </is>
      </c>
      <c r="D403" s="3" t="inlineStr">
        <is>
          <t>VA</t>
        </is>
      </c>
      <c r="E403" s="14" t="n">
        <v>320000</v>
      </c>
      <c r="F403" s="14" t="n">
        <v>4179.18</v>
      </c>
      <c r="G403" s="14" t="n">
        <v>522.4</v>
      </c>
      <c r="H403" s="14" t="n">
        <v>522.4</v>
      </c>
      <c r="I403" s="14">
        <f>SUM(K403:T403)</f>
        <v/>
      </c>
      <c r="J403" s="14">
        <f>F403-(G403+H403+I403)</f>
        <v/>
      </c>
      <c r="K403" s="14" t="n">
        <v>313.44</v>
      </c>
      <c r="L403" s="14" t="n">
        <v>313.44</v>
      </c>
      <c r="M403" s="14" t="n">
        <v>313.44</v>
      </c>
      <c r="N403" s="14" t="n">
        <v>313.44</v>
      </c>
      <c r="O403" s="14" t="n">
        <v>313.44</v>
      </c>
      <c r="P403" s="14" t="n">
        <v>313.44</v>
      </c>
      <c r="Q403" s="14" t="n">
        <v>313.44</v>
      </c>
      <c r="R403" s="14" t="n">
        <v>313.44</v>
      </c>
      <c r="S403" s="14" t="n">
        <v>313.44</v>
      </c>
      <c r="T403" s="14" t="n">
        <v>313.44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CANON-202603-005002</t>
        </is>
      </c>
      <c r="B404" s="15" t="inlineStr">
        <is>
          <t>2026-03-30</t>
        </is>
      </c>
      <c r="C404" s="15" t="inlineStr">
        <is>
          <t>Noor Castellanos</t>
        </is>
      </c>
      <c r="D404" s="15" t="inlineStr">
        <is>
          <t>NE</t>
        </is>
      </c>
      <c r="E404" s="16" t="n">
        <v>630000</v>
      </c>
      <c r="F404" s="16" t="n">
        <v>5626.08</v>
      </c>
      <c r="G404" s="16" t="n">
        <v>703.26</v>
      </c>
      <c r="H404" s="16" t="n">
        <v>703.26</v>
      </c>
      <c r="I404" s="16">
        <f>SUM(K404:T404)</f>
        <v/>
      </c>
      <c r="J404" s="16">
        <f>F404-(G404+H404+I404)</f>
        <v/>
      </c>
      <c r="K404" s="16" t="n">
        <v>421.96</v>
      </c>
      <c r="L404" s="16" t="n">
        <v>421.96</v>
      </c>
      <c r="M404" s="16" t="n">
        <v>421.96</v>
      </c>
      <c r="N404" s="16" t="n">
        <v>421.96</v>
      </c>
      <c r="O404" s="16" t="n">
        <v>421.96</v>
      </c>
      <c r="P404" s="16" t="n">
        <v>421.96</v>
      </c>
      <c r="Q404" s="16" t="n">
        <v>421.96</v>
      </c>
      <c r="R404" s="16" t="n">
        <v>421.96</v>
      </c>
      <c r="S404" s="16" t="n">
        <v>421.96</v>
      </c>
      <c r="T404" s="16" t="n">
        <v>421.96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CANON-202603-005003</t>
        </is>
      </c>
      <c r="B405" s="3" t="inlineStr">
        <is>
          <t>2026-03-07</t>
        </is>
      </c>
      <c r="C405" s="3" t="inlineStr">
        <is>
          <t>Horace Pennington</t>
        </is>
      </c>
      <c r="D405" s="3" t="inlineStr">
        <is>
          <t>WI</t>
        </is>
      </c>
      <c r="E405" s="14" t="n">
        <v>1840000</v>
      </c>
      <c r="F405" s="14" t="n">
        <v>19400.61</v>
      </c>
      <c r="G405" s="14" t="n">
        <v>2425.08</v>
      </c>
      <c r="H405" s="14" t="n">
        <v>2425.08</v>
      </c>
      <c r="I405" s="14">
        <f>SUM(K405:T405)</f>
        <v/>
      </c>
      <c r="J405" s="14">
        <f>F405-(G405+H405+I405)</f>
        <v/>
      </c>
      <c r="K405" s="14" t="n">
        <v>1455.05</v>
      </c>
      <c r="L405" s="14" t="n">
        <v>1455.05</v>
      </c>
      <c r="M405" s="14" t="n">
        <v>1455.05</v>
      </c>
      <c r="N405" s="14" t="n">
        <v>1455.05</v>
      </c>
      <c r="O405" s="14" t="n">
        <v>1455.05</v>
      </c>
      <c r="P405" s="14" t="n">
        <v>1455.05</v>
      </c>
      <c r="Q405" s="14" t="n">
        <v>1455.05</v>
      </c>
      <c r="R405" s="14" t="n">
        <v>1455.05</v>
      </c>
      <c r="S405" s="14" t="n">
        <v>1455.05</v>
      </c>
      <c r="T405" s="14" t="n">
        <v>1455.05</v>
      </c>
      <c r="U405" s="14" t="n">
        <v>350</v>
      </c>
      <c r="V405" s="14" t="n">
        <v>250</v>
      </c>
      <c r="W405" s="14">
        <f>U405+V405</f>
        <v/>
      </c>
    </row>
    <row r="406">
      <c r="A406" s="15" t="inlineStr">
        <is>
          <t>CANON-202603-005005</t>
        </is>
      </c>
      <c r="B406" s="15" t="inlineStr">
        <is>
          <t>2026-03-24</t>
        </is>
      </c>
      <c r="C406" s="15" t="inlineStr">
        <is>
          <t>Cassius Harrington</t>
        </is>
      </c>
      <c r="D406" s="15" t="inlineStr">
        <is>
          <t>MO</t>
        </is>
      </c>
      <c r="E406" s="16" t="n">
        <v>695000</v>
      </c>
      <c r="F406" s="16" t="n">
        <v>7649.93</v>
      </c>
      <c r="G406" s="16" t="n">
        <v>956.24</v>
      </c>
      <c r="H406" s="16" t="n">
        <v>956.24</v>
      </c>
      <c r="I406" s="16">
        <f>SUM(K406:T406)</f>
        <v/>
      </c>
      <c r="J406" s="16">
        <f>F406-(G406+H406+I406)</f>
        <v/>
      </c>
      <c r="K406" s="16" t="n">
        <v>573.74</v>
      </c>
      <c r="L406" s="16" t="n">
        <v>573.74</v>
      </c>
      <c r="M406" s="16" t="n">
        <v>573.74</v>
      </c>
      <c r="N406" s="16" t="n">
        <v>573.74</v>
      </c>
      <c r="O406" s="16" t="n">
        <v>573.74</v>
      </c>
      <c r="P406" s="16" t="n">
        <v>573.74</v>
      </c>
      <c r="Q406" s="16" t="n">
        <v>573.74</v>
      </c>
      <c r="R406" s="16" t="n">
        <v>573.74</v>
      </c>
      <c r="S406" s="16" t="n">
        <v>573.74</v>
      </c>
      <c r="T406" s="16" t="n">
        <v>573.74</v>
      </c>
      <c r="U406" s="16" t="n">
        <v>350</v>
      </c>
      <c r="V406" s="16" t="n">
        <v>0</v>
      </c>
      <c r="W406" s="16">
        <f>U406+V406</f>
        <v/>
      </c>
    </row>
    <row r="407">
      <c r="A407" s="3" t="inlineStr">
        <is>
          <t>CANON-202603-005007</t>
        </is>
      </c>
      <c r="B407" s="3" t="inlineStr">
        <is>
          <t>2026-03-15</t>
        </is>
      </c>
      <c r="C407" s="3" t="inlineStr">
        <is>
          <t>Emiliano Larsson</t>
        </is>
      </c>
      <c r="D407" s="3" t="inlineStr">
        <is>
          <t>AZ</t>
        </is>
      </c>
      <c r="E407" s="14" t="n">
        <v>630000</v>
      </c>
      <c r="F407" s="14" t="n">
        <v>4371.03</v>
      </c>
      <c r="G407" s="14" t="n">
        <v>546.38</v>
      </c>
      <c r="H407" s="14" t="n">
        <v>546.38</v>
      </c>
      <c r="I407" s="14">
        <f>SUM(K407:T407)</f>
        <v/>
      </c>
      <c r="J407" s="14">
        <f>F407-(G407+H407+I407)</f>
        <v/>
      </c>
      <c r="K407" s="14" t="n">
        <v>327.83</v>
      </c>
      <c r="L407" s="14" t="n">
        <v>327.83</v>
      </c>
      <c r="M407" s="14" t="n">
        <v>327.83</v>
      </c>
      <c r="N407" s="14" t="n">
        <v>327.83</v>
      </c>
      <c r="O407" s="14" t="n">
        <v>327.83</v>
      </c>
      <c r="P407" s="14" t="n">
        <v>327.83</v>
      </c>
      <c r="Q407" s="14" t="n">
        <v>327.83</v>
      </c>
      <c r="R407" s="14" t="n">
        <v>327.83</v>
      </c>
      <c r="S407" s="14" t="n">
        <v>327.83</v>
      </c>
      <c r="T407" s="14" t="n">
        <v>327.83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CANON-202603-005008</t>
        </is>
      </c>
      <c r="B408" s="15" t="inlineStr">
        <is>
          <t>2026-03-29</t>
        </is>
      </c>
      <c r="C408" s="15" t="inlineStr">
        <is>
          <t>Ingrid Fairweather</t>
        </is>
      </c>
      <c r="D408" s="15" t="inlineStr">
        <is>
          <t>TX</t>
        </is>
      </c>
      <c r="E408" s="16" t="n">
        <v>480000</v>
      </c>
      <c r="F408" s="16" t="n">
        <v>6613.84</v>
      </c>
      <c r="G408" s="16" t="n">
        <v>826.73</v>
      </c>
      <c r="H408" s="16" t="n">
        <v>826.73</v>
      </c>
      <c r="I408" s="16">
        <f>SUM(K408:T408)</f>
        <v/>
      </c>
      <c r="J408" s="16">
        <f>F408-(G408+H408+I408)</f>
        <v/>
      </c>
      <c r="K408" s="16" t="n">
        <v>496.04</v>
      </c>
      <c r="L408" s="16" t="n">
        <v>496.04</v>
      </c>
      <c r="M408" s="16" t="n">
        <v>496.04</v>
      </c>
      <c r="N408" s="16" t="n">
        <v>496.04</v>
      </c>
      <c r="O408" s="16" t="n">
        <v>496.04</v>
      </c>
      <c r="P408" s="16" t="n">
        <v>496.04</v>
      </c>
      <c r="Q408" s="16" t="n">
        <v>496.04</v>
      </c>
      <c r="R408" s="16" t="n">
        <v>496.04</v>
      </c>
      <c r="S408" s="16" t="n">
        <v>496.04</v>
      </c>
      <c r="T408" s="16" t="n">
        <v>496.04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CANON-202603-005009</t>
        </is>
      </c>
      <c r="B409" s="3" t="inlineStr">
        <is>
          <t>2026-03-17</t>
        </is>
      </c>
      <c r="C409" s="3" t="inlineStr">
        <is>
          <t>Saoirse Vasquez</t>
        </is>
      </c>
      <c r="D409" s="3" t="inlineStr">
        <is>
          <t>UT</t>
        </is>
      </c>
      <c r="E409" s="14" t="n">
        <v>425000</v>
      </c>
      <c r="F409" s="14" t="n">
        <v>6874.44</v>
      </c>
      <c r="G409" s="14" t="n">
        <v>859.3</v>
      </c>
      <c r="H409" s="14" t="n">
        <v>859.3</v>
      </c>
      <c r="I409" s="14">
        <f>SUM(K409:T409)</f>
        <v/>
      </c>
      <c r="J409" s="14">
        <f>F409-(G409+H409+I409)</f>
        <v/>
      </c>
      <c r="K409" s="14" t="n">
        <v>515.58</v>
      </c>
      <c r="L409" s="14" t="n">
        <v>515.58</v>
      </c>
      <c r="M409" s="14" t="n">
        <v>515.58</v>
      </c>
      <c r="N409" s="14" t="n">
        <v>515.58</v>
      </c>
      <c r="O409" s="14" t="n">
        <v>515.58</v>
      </c>
      <c r="P409" s="14" t="n">
        <v>515.58</v>
      </c>
      <c r="Q409" s="14" t="n">
        <v>515.58</v>
      </c>
      <c r="R409" s="14" t="n">
        <v>515.58</v>
      </c>
      <c r="S409" s="14" t="n">
        <v>515.58</v>
      </c>
      <c r="T409" s="14" t="n">
        <v>515.58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CANON-202603-005010</t>
        </is>
      </c>
      <c r="B410" s="15" t="inlineStr">
        <is>
          <t>2026-03-19</t>
        </is>
      </c>
      <c r="C410" s="15" t="inlineStr">
        <is>
          <t>Fenwick Blackwood</t>
        </is>
      </c>
      <c r="D410" s="15" t="inlineStr">
        <is>
          <t>OH</t>
        </is>
      </c>
      <c r="E410" s="16" t="n">
        <v>180000</v>
      </c>
      <c r="F410" s="16" t="n">
        <v>3677.29</v>
      </c>
      <c r="G410" s="16" t="n">
        <v>459.66</v>
      </c>
      <c r="H410" s="16" t="n">
        <v>459.66</v>
      </c>
      <c r="I410" s="16">
        <f>SUM(K410:T410)</f>
        <v/>
      </c>
      <c r="J410" s="16">
        <f>F410-(G410+H410+I410)</f>
        <v/>
      </c>
      <c r="K410" s="16" t="n">
        <v>275.8</v>
      </c>
      <c r="L410" s="16" t="n">
        <v>275.8</v>
      </c>
      <c r="M410" s="16" t="n">
        <v>275.8</v>
      </c>
      <c r="N410" s="16" t="n">
        <v>275.8</v>
      </c>
      <c r="O410" s="16" t="n">
        <v>275.8</v>
      </c>
      <c r="P410" s="16" t="n">
        <v>275.8</v>
      </c>
      <c r="Q410" s="16" t="n">
        <v>275.8</v>
      </c>
      <c r="R410" s="16" t="n">
        <v>275.8</v>
      </c>
      <c r="S410" s="16" t="n">
        <v>275.8</v>
      </c>
      <c r="T410" s="16" t="n">
        <v>275.8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CANON-202603-005011</t>
        </is>
      </c>
      <c r="B411" s="3" t="inlineStr">
        <is>
          <t>2026-03-30</t>
        </is>
      </c>
      <c r="C411" s="3" t="inlineStr">
        <is>
          <t>Aurelio Fairweather</t>
        </is>
      </c>
      <c r="D411" s="3" t="inlineStr">
        <is>
          <t>IA</t>
        </is>
      </c>
      <c r="E411" s="14" t="n">
        <v>390000</v>
      </c>
      <c r="F411" s="14" t="n">
        <v>7881.5</v>
      </c>
      <c r="G411" s="14" t="n">
        <v>985.1900000000001</v>
      </c>
      <c r="H411" s="14" t="n">
        <v>985.1900000000001</v>
      </c>
      <c r="I411" s="14">
        <f>SUM(K411:T411)</f>
        <v/>
      </c>
      <c r="J411" s="14">
        <f>F411-(G411+H411+I411)</f>
        <v/>
      </c>
      <c r="K411" s="14" t="n">
        <v>591.11</v>
      </c>
      <c r="L411" s="14" t="n">
        <v>591.11</v>
      </c>
      <c r="M411" s="14" t="n">
        <v>591.11</v>
      </c>
      <c r="N411" s="14" t="n">
        <v>591.11</v>
      </c>
      <c r="O411" s="14" t="n">
        <v>591.11</v>
      </c>
      <c r="P411" s="14" t="n">
        <v>591.11</v>
      </c>
      <c r="Q411" s="14" t="n">
        <v>591.11</v>
      </c>
      <c r="R411" s="14" t="n">
        <v>591.11</v>
      </c>
      <c r="S411" s="14" t="n">
        <v>591.11</v>
      </c>
      <c r="T411" s="14" t="n">
        <v>591.11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CANON-202603-005012</t>
        </is>
      </c>
      <c r="B412" s="15" t="inlineStr">
        <is>
          <t>2026-03-14</t>
        </is>
      </c>
      <c r="C412" s="15" t="inlineStr">
        <is>
          <t>Ottilie Castellanos</t>
        </is>
      </c>
      <c r="D412" s="15" t="inlineStr">
        <is>
          <t>FL</t>
        </is>
      </c>
      <c r="E412" s="16" t="n">
        <v>795000</v>
      </c>
      <c r="F412" s="16" t="n">
        <v>11722.56</v>
      </c>
      <c r="G412" s="16" t="n">
        <v>1465.32</v>
      </c>
      <c r="H412" s="16" t="n">
        <v>1465.32</v>
      </c>
      <c r="I412" s="16">
        <f>SUM(K412:T412)</f>
        <v/>
      </c>
      <c r="J412" s="16">
        <f>F412-(G412+H412+I412)</f>
        <v/>
      </c>
      <c r="K412" s="16" t="n">
        <v>879.1900000000001</v>
      </c>
      <c r="L412" s="16" t="n">
        <v>879.1900000000001</v>
      </c>
      <c r="M412" s="16" t="n">
        <v>879.1900000000001</v>
      </c>
      <c r="N412" s="16" t="n">
        <v>879.1900000000001</v>
      </c>
      <c r="O412" s="16" t="n">
        <v>879.1900000000001</v>
      </c>
      <c r="P412" s="16" t="n">
        <v>879.1900000000001</v>
      </c>
      <c r="Q412" s="16" t="n">
        <v>879.1900000000001</v>
      </c>
      <c r="R412" s="16" t="n">
        <v>879.1900000000001</v>
      </c>
      <c r="S412" s="16" t="n">
        <v>879.1900000000001</v>
      </c>
      <c r="T412" s="16" t="n">
        <v>879.1900000000001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CANON-202603-005014</t>
        </is>
      </c>
      <c r="B413" s="3" t="inlineStr">
        <is>
          <t>2026-03-08</t>
        </is>
      </c>
      <c r="C413" s="3" t="inlineStr">
        <is>
          <t>Fenwick Castellanos</t>
        </is>
      </c>
      <c r="D413" s="3" t="inlineStr">
        <is>
          <t>TX</t>
        </is>
      </c>
      <c r="E413" s="14" t="n">
        <v>1185000</v>
      </c>
      <c r="F413" s="14" t="n">
        <v>17416.46</v>
      </c>
      <c r="G413" s="14" t="n">
        <v>2177.06</v>
      </c>
      <c r="H413" s="14" t="n">
        <v>2177.06</v>
      </c>
      <c r="I413" s="14">
        <f>SUM(K413:T413)</f>
        <v/>
      </c>
      <c r="J413" s="14">
        <f>F413-(G413+H413+I413)</f>
        <v/>
      </c>
      <c r="K413" s="14" t="n">
        <v>1306.23</v>
      </c>
      <c r="L413" s="14" t="n">
        <v>1306.23</v>
      </c>
      <c r="M413" s="14" t="n">
        <v>1306.23</v>
      </c>
      <c r="N413" s="14" t="n">
        <v>1306.23</v>
      </c>
      <c r="O413" s="14" t="n">
        <v>1306.23</v>
      </c>
      <c r="P413" s="14" t="n">
        <v>1306.23</v>
      </c>
      <c r="Q413" s="14" t="n">
        <v>1306.23</v>
      </c>
      <c r="R413" s="14" t="n">
        <v>1306.23</v>
      </c>
      <c r="S413" s="14" t="n">
        <v>1306.23</v>
      </c>
      <c r="T413" s="14" t="n">
        <v>1306.23</v>
      </c>
      <c r="U413" s="14" t="n">
        <v>350</v>
      </c>
      <c r="V413" s="14" t="n">
        <v>250</v>
      </c>
      <c r="W413" s="14">
        <f>U413+V413</f>
        <v/>
      </c>
    </row>
    <row r="414">
      <c r="A414" s="15" t="inlineStr">
        <is>
          <t>CANON-202603-005015</t>
        </is>
      </c>
      <c r="B414" s="15" t="inlineStr">
        <is>
          <t>2026-03-18</t>
        </is>
      </c>
      <c r="C414" s="15" t="inlineStr">
        <is>
          <t>Desmond Montoya</t>
        </is>
      </c>
      <c r="D414" s="15" t="inlineStr">
        <is>
          <t>LA</t>
        </is>
      </c>
      <c r="E414" s="16" t="n">
        <v>365000</v>
      </c>
      <c r="F414" s="16" t="n">
        <v>5291.67</v>
      </c>
      <c r="G414" s="16" t="n">
        <v>661.46</v>
      </c>
      <c r="H414" s="16" t="n">
        <v>661.46</v>
      </c>
      <c r="I414" s="16">
        <f>SUM(K414:T414)</f>
        <v/>
      </c>
      <c r="J414" s="16">
        <f>F414-(G414+H414+I414)</f>
        <v/>
      </c>
      <c r="K414" s="16" t="n">
        <v>396.88</v>
      </c>
      <c r="L414" s="16" t="n">
        <v>396.88</v>
      </c>
      <c r="M414" s="16" t="n">
        <v>396.88</v>
      </c>
      <c r="N414" s="16" t="n">
        <v>396.88</v>
      </c>
      <c r="O414" s="16" t="n">
        <v>396.88</v>
      </c>
      <c r="P414" s="16" t="n">
        <v>396.88</v>
      </c>
      <c r="Q414" s="16" t="n">
        <v>396.88</v>
      </c>
      <c r="R414" s="16" t="n">
        <v>396.88</v>
      </c>
      <c r="S414" s="16" t="n">
        <v>396.88</v>
      </c>
      <c r="T414" s="16" t="n">
        <v>396.88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CANON-202603-005017</t>
        </is>
      </c>
      <c r="B415" s="3" t="inlineStr">
        <is>
          <t>2026-03-02</t>
        </is>
      </c>
      <c r="C415" s="3" t="inlineStr">
        <is>
          <t>Beatrix Vasquez</t>
        </is>
      </c>
      <c r="D415" s="3" t="inlineStr">
        <is>
          <t>TX</t>
        </is>
      </c>
      <c r="E415" s="14" t="n">
        <v>430000</v>
      </c>
      <c r="F415" s="14" t="n">
        <v>5924.9</v>
      </c>
      <c r="G415" s="14" t="n">
        <v>740.61</v>
      </c>
      <c r="H415" s="14" t="n">
        <v>740.61</v>
      </c>
      <c r="I415" s="14">
        <f>SUM(K415:T415)</f>
        <v/>
      </c>
      <c r="J415" s="14">
        <f>F415-(G415+H415+I415)</f>
        <v/>
      </c>
      <c r="K415" s="14" t="n">
        <v>444.37</v>
      </c>
      <c r="L415" s="14" t="n">
        <v>444.37</v>
      </c>
      <c r="M415" s="14" t="n">
        <v>444.37</v>
      </c>
      <c r="N415" s="14" t="n">
        <v>444.37</v>
      </c>
      <c r="O415" s="14" t="n">
        <v>444.37</v>
      </c>
      <c r="P415" s="14" t="n">
        <v>444.37</v>
      </c>
      <c r="Q415" s="14" t="n">
        <v>444.37</v>
      </c>
      <c r="R415" s="14" t="n">
        <v>444.37</v>
      </c>
      <c r="S415" s="14" t="n">
        <v>444.37</v>
      </c>
      <c r="T415" s="14" t="n">
        <v>444.37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CANON-202603-005019</t>
        </is>
      </c>
      <c r="B416" s="15" t="inlineStr">
        <is>
          <t>2026-03-02</t>
        </is>
      </c>
      <c r="C416" s="15" t="inlineStr">
        <is>
          <t>Sunniva Nakashima</t>
        </is>
      </c>
      <c r="D416" s="15" t="inlineStr">
        <is>
          <t>MT</t>
        </is>
      </c>
      <c r="E416" s="16" t="n">
        <v>615000</v>
      </c>
      <c r="F416" s="16" t="n">
        <v>8680.309999999999</v>
      </c>
      <c r="G416" s="16" t="n">
        <v>1085.04</v>
      </c>
      <c r="H416" s="16" t="n">
        <v>1085.04</v>
      </c>
      <c r="I416" s="16">
        <f>SUM(K416:T416)</f>
        <v/>
      </c>
      <c r="J416" s="16">
        <f>F416-(G416+H416+I416)</f>
        <v/>
      </c>
      <c r="K416" s="16" t="n">
        <v>651.02</v>
      </c>
      <c r="L416" s="16" t="n">
        <v>651.02</v>
      </c>
      <c r="M416" s="16" t="n">
        <v>651.02</v>
      </c>
      <c r="N416" s="16" t="n">
        <v>651.02</v>
      </c>
      <c r="O416" s="16" t="n">
        <v>651.02</v>
      </c>
      <c r="P416" s="16" t="n">
        <v>651.02</v>
      </c>
      <c r="Q416" s="16" t="n">
        <v>651.02</v>
      </c>
      <c r="R416" s="16" t="n">
        <v>651.02</v>
      </c>
      <c r="S416" s="16" t="n">
        <v>651.02</v>
      </c>
      <c r="T416" s="16" t="n">
        <v>651.02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CANON-202603-005020</t>
        </is>
      </c>
      <c r="B417" s="3" t="inlineStr">
        <is>
          <t>2026-03-16</t>
        </is>
      </c>
      <c r="C417" s="3" t="inlineStr">
        <is>
          <t>Ramona Rourke</t>
        </is>
      </c>
      <c r="D417" s="3" t="inlineStr">
        <is>
          <t>CA</t>
        </is>
      </c>
      <c r="E417" s="14" t="n">
        <v>1575000</v>
      </c>
      <c r="F417" s="14" t="n">
        <v>27174.28</v>
      </c>
      <c r="G417" s="14" t="n">
        <v>3396.78</v>
      </c>
      <c r="H417" s="14" t="n">
        <v>3396.78</v>
      </c>
      <c r="I417" s="14">
        <f>SUM(K417:T417)</f>
        <v/>
      </c>
      <c r="J417" s="14">
        <f>F417-(G417+H417+I417)</f>
        <v/>
      </c>
      <c r="K417" s="14" t="n">
        <v>2038.07</v>
      </c>
      <c r="L417" s="14" t="n">
        <v>2038.07</v>
      </c>
      <c r="M417" s="14" t="n">
        <v>2038.07</v>
      </c>
      <c r="N417" s="14" t="n">
        <v>2038.07</v>
      </c>
      <c r="O417" s="14" t="n">
        <v>2038.07</v>
      </c>
      <c r="P417" s="14" t="n">
        <v>2038.07</v>
      </c>
      <c r="Q417" s="14" t="n">
        <v>2038.07</v>
      </c>
      <c r="R417" s="14" t="n">
        <v>2038.07</v>
      </c>
      <c r="S417" s="14" t="n">
        <v>2038.07</v>
      </c>
      <c r="T417" s="14" t="n">
        <v>2038.07</v>
      </c>
      <c r="U417" s="14" t="n">
        <v>350</v>
      </c>
      <c r="V417" s="14" t="n">
        <v>250</v>
      </c>
      <c r="W417" s="14">
        <f>U417+V417</f>
        <v/>
      </c>
    </row>
    <row r="418">
      <c r="A418" s="15" t="inlineStr">
        <is>
          <t>CANON-202603-005021</t>
        </is>
      </c>
      <c r="B418" s="15" t="inlineStr">
        <is>
          <t>2026-03-03</t>
        </is>
      </c>
      <c r="C418" s="15" t="inlineStr">
        <is>
          <t>Emiliano Nakashima</t>
        </is>
      </c>
      <c r="D418" s="15" t="inlineStr">
        <is>
          <t>ID</t>
        </is>
      </c>
      <c r="E418" s="16" t="n">
        <v>820000</v>
      </c>
      <c r="F418" s="16" t="n">
        <v>5576.62</v>
      </c>
      <c r="G418" s="16" t="n">
        <v>697.08</v>
      </c>
      <c r="H418" s="16" t="n">
        <v>697.08</v>
      </c>
      <c r="I418" s="16">
        <f>SUM(K418:T418)</f>
        <v/>
      </c>
      <c r="J418" s="16">
        <f>F418-(G418+H418+I418)</f>
        <v/>
      </c>
      <c r="K418" s="16" t="n">
        <v>418.25</v>
      </c>
      <c r="L418" s="16" t="n">
        <v>418.25</v>
      </c>
      <c r="M418" s="16" t="n">
        <v>418.25</v>
      </c>
      <c r="N418" s="16" t="n">
        <v>418.25</v>
      </c>
      <c r="O418" s="16" t="n">
        <v>418.25</v>
      </c>
      <c r="P418" s="16" t="n">
        <v>418.25</v>
      </c>
      <c r="Q418" s="16" t="n">
        <v>418.25</v>
      </c>
      <c r="R418" s="16" t="n">
        <v>418.25</v>
      </c>
      <c r="S418" s="16" t="n">
        <v>418.25</v>
      </c>
      <c r="T418" s="16" t="n">
        <v>418.25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CANON-202603-005022</t>
        </is>
      </c>
      <c r="B419" s="3" t="inlineStr">
        <is>
          <t>2026-03-27</t>
        </is>
      </c>
      <c r="C419" s="3" t="inlineStr">
        <is>
          <t>Priya Chattopadhyay</t>
        </is>
      </c>
      <c r="D419" s="3" t="inlineStr">
        <is>
          <t>IL</t>
        </is>
      </c>
      <c r="E419" s="14" t="n">
        <v>495000</v>
      </c>
      <c r="F419" s="14" t="n">
        <v>8066.02</v>
      </c>
      <c r="G419" s="14" t="n">
        <v>1008.25</v>
      </c>
      <c r="H419" s="14" t="n">
        <v>1008.25</v>
      </c>
      <c r="I419" s="14">
        <f>SUM(K419:T419)</f>
        <v/>
      </c>
      <c r="J419" s="14">
        <f>F419-(G419+H419+I419)</f>
        <v/>
      </c>
      <c r="K419" s="14" t="n">
        <v>604.95</v>
      </c>
      <c r="L419" s="14" t="n">
        <v>604.95</v>
      </c>
      <c r="M419" s="14" t="n">
        <v>604.95</v>
      </c>
      <c r="N419" s="14" t="n">
        <v>604.95</v>
      </c>
      <c r="O419" s="14" t="n">
        <v>604.95</v>
      </c>
      <c r="P419" s="14" t="n">
        <v>604.95</v>
      </c>
      <c r="Q419" s="14" t="n">
        <v>604.95</v>
      </c>
      <c r="R419" s="14" t="n">
        <v>604.95</v>
      </c>
      <c r="S419" s="14" t="n">
        <v>604.95</v>
      </c>
      <c r="T419" s="14" t="n">
        <v>604.95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CANON-202603-005024</t>
        </is>
      </c>
      <c r="B420" s="15" t="inlineStr">
        <is>
          <t>2026-03-06</t>
        </is>
      </c>
      <c r="C420" s="15" t="inlineStr">
        <is>
          <t>Horace Delacroix</t>
        </is>
      </c>
      <c r="D420" s="15" t="inlineStr">
        <is>
          <t>LA</t>
        </is>
      </c>
      <c r="E420" s="16" t="n">
        <v>880000</v>
      </c>
      <c r="F420" s="16" t="n">
        <v>16160.15</v>
      </c>
      <c r="G420" s="16" t="n">
        <v>2020.02</v>
      </c>
      <c r="H420" s="16" t="n">
        <v>2020.02</v>
      </c>
      <c r="I420" s="16">
        <f>SUM(K420:T420)</f>
        <v/>
      </c>
      <c r="J420" s="16">
        <f>F420-(G420+H420+I420)</f>
        <v/>
      </c>
      <c r="K420" s="16" t="n">
        <v>1212.01</v>
      </c>
      <c r="L420" s="16" t="n">
        <v>1212.01</v>
      </c>
      <c r="M420" s="16" t="n">
        <v>1212.01</v>
      </c>
      <c r="N420" s="16" t="n">
        <v>1212.01</v>
      </c>
      <c r="O420" s="16" t="n">
        <v>1212.01</v>
      </c>
      <c r="P420" s="16" t="n">
        <v>1212.01</v>
      </c>
      <c r="Q420" s="16" t="n">
        <v>1212.01</v>
      </c>
      <c r="R420" s="16" t="n">
        <v>1212.01</v>
      </c>
      <c r="S420" s="16" t="n">
        <v>1212.01</v>
      </c>
      <c r="T420" s="16" t="n">
        <v>1212.01</v>
      </c>
      <c r="U420" s="16" t="n">
        <v>350</v>
      </c>
      <c r="V420" s="16" t="n">
        <v>0</v>
      </c>
      <c r="W420" s="16">
        <f>U420+V420</f>
        <v/>
      </c>
    </row>
    <row r="421">
      <c r="A421" s="3" t="inlineStr">
        <is>
          <t>CANON-202603-005025</t>
        </is>
      </c>
      <c r="B421" s="3" t="inlineStr">
        <is>
          <t>2026-03-22</t>
        </is>
      </c>
      <c r="C421" s="3" t="inlineStr">
        <is>
          <t>Cassius Delacroix</t>
        </is>
      </c>
      <c r="D421" s="3" t="inlineStr">
        <is>
          <t>MI</t>
        </is>
      </c>
      <c r="E421" s="14" t="n">
        <v>435000</v>
      </c>
      <c r="F421" s="14" t="n">
        <v>8078.59</v>
      </c>
      <c r="G421" s="14" t="n">
        <v>1009.82</v>
      </c>
      <c r="H421" s="14" t="n">
        <v>1009.82</v>
      </c>
      <c r="I421" s="14">
        <f>SUM(K421:T421)</f>
        <v/>
      </c>
      <c r="J421" s="14">
        <f>F421-(G421+H421+I421)</f>
        <v/>
      </c>
      <c r="K421" s="14" t="n">
        <v>605.89</v>
      </c>
      <c r="L421" s="14" t="n">
        <v>605.89</v>
      </c>
      <c r="M421" s="14" t="n">
        <v>605.89</v>
      </c>
      <c r="N421" s="14" t="n">
        <v>605.89</v>
      </c>
      <c r="O421" s="14" t="n">
        <v>605.89</v>
      </c>
      <c r="P421" s="14" t="n">
        <v>605.89</v>
      </c>
      <c r="Q421" s="14" t="n">
        <v>605.89</v>
      </c>
      <c r="R421" s="14" t="n">
        <v>605.89</v>
      </c>
      <c r="S421" s="14" t="n">
        <v>605.89</v>
      </c>
      <c r="T421" s="14" t="n">
        <v>605.89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CANON-202603-005027</t>
        </is>
      </c>
      <c r="B422" s="15" t="inlineStr">
        <is>
          <t>2026-03-16</t>
        </is>
      </c>
      <c r="C422" s="15" t="inlineStr">
        <is>
          <t>Fitzgerald Chattopadhyay</t>
        </is>
      </c>
      <c r="D422" s="15" t="inlineStr">
        <is>
          <t>ID</t>
        </is>
      </c>
      <c r="E422" s="16" t="n">
        <v>225000</v>
      </c>
      <c r="F422" s="16" t="n">
        <v>3273.85</v>
      </c>
      <c r="G422" s="16" t="n">
        <v>409.23</v>
      </c>
      <c r="H422" s="16" t="n">
        <v>409.23</v>
      </c>
      <c r="I422" s="16">
        <f>SUM(K422:T422)</f>
        <v/>
      </c>
      <c r="J422" s="16">
        <f>F422-(G422+H422+I422)</f>
        <v/>
      </c>
      <c r="K422" s="16" t="n">
        <v>245.54</v>
      </c>
      <c r="L422" s="16" t="n">
        <v>245.54</v>
      </c>
      <c r="M422" s="16" t="n">
        <v>245.54</v>
      </c>
      <c r="N422" s="16" t="n">
        <v>245.54</v>
      </c>
      <c r="O422" s="16" t="n">
        <v>245.54</v>
      </c>
      <c r="P422" s="16" t="n">
        <v>245.54</v>
      </c>
      <c r="Q422" s="16" t="n">
        <v>245.54</v>
      </c>
      <c r="R422" s="16" t="n">
        <v>245.54</v>
      </c>
      <c r="S422" s="16" t="n">
        <v>245.54</v>
      </c>
      <c r="T422" s="16" t="n">
        <v>245.54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CANON-202603-005028</t>
        </is>
      </c>
      <c r="B423" s="3" t="inlineStr">
        <is>
          <t>2026-03-22</t>
        </is>
      </c>
      <c r="C423" s="3" t="inlineStr">
        <is>
          <t>Sunniva Blackwood</t>
        </is>
      </c>
      <c r="D423" s="3" t="inlineStr">
        <is>
          <t>LA</t>
        </is>
      </c>
      <c r="E423" s="14" t="n">
        <v>1950000</v>
      </c>
      <c r="F423" s="14" t="n">
        <v>25632.01</v>
      </c>
      <c r="G423" s="14" t="n">
        <v>3204</v>
      </c>
      <c r="H423" s="14" t="n">
        <v>3204</v>
      </c>
      <c r="I423" s="14">
        <f>SUM(K423:T423)</f>
        <v/>
      </c>
      <c r="J423" s="14">
        <f>F423-(G423+H423+I423)</f>
        <v/>
      </c>
      <c r="K423" s="14" t="n">
        <v>1922.4</v>
      </c>
      <c r="L423" s="14" t="n">
        <v>1922.4</v>
      </c>
      <c r="M423" s="14" t="n">
        <v>1922.4</v>
      </c>
      <c r="N423" s="14" t="n">
        <v>1922.4</v>
      </c>
      <c r="O423" s="14" t="n">
        <v>1922.4</v>
      </c>
      <c r="P423" s="14" t="n">
        <v>1922.4</v>
      </c>
      <c r="Q423" s="14" t="n">
        <v>1922.4</v>
      </c>
      <c r="R423" s="14" t="n">
        <v>1922.4</v>
      </c>
      <c r="S423" s="14" t="n">
        <v>1922.4</v>
      </c>
      <c r="T423" s="14" t="n">
        <v>1922.4</v>
      </c>
      <c r="U423" s="14" t="n">
        <v>350</v>
      </c>
      <c r="V423" s="14" t="n">
        <v>250</v>
      </c>
      <c r="W423" s="14">
        <f>U423+V423</f>
        <v/>
      </c>
    </row>
    <row r="424">
      <c r="A424" s="15" t="inlineStr">
        <is>
          <t>CANON-202603-005029</t>
        </is>
      </c>
      <c r="B424" s="15" t="inlineStr">
        <is>
          <t>2026-03-03</t>
        </is>
      </c>
      <c r="C424" s="15" t="inlineStr">
        <is>
          <t>Mireille Nakashima</t>
        </is>
      </c>
      <c r="D424" s="15" t="inlineStr">
        <is>
          <t>RI</t>
        </is>
      </c>
      <c r="E424" s="16" t="n">
        <v>1130000</v>
      </c>
      <c r="F424" s="16" t="n">
        <v>19785.3</v>
      </c>
      <c r="G424" s="16" t="n">
        <v>2473.16</v>
      </c>
      <c r="H424" s="16" t="n">
        <v>2473.16</v>
      </c>
      <c r="I424" s="16">
        <f>SUM(K424:T424)</f>
        <v/>
      </c>
      <c r="J424" s="16">
        <f>F424-(G424+H424+I424)</f>
        <v/>
      </c>
      <c r="K424" s="16" t="n">
        <v>1483.9</v>
      </c>
      <c r="L424" s="16" t="n">
        <v>1483.9</v>
      </c>
      <c r="M424" s="16" t="n">
        <v>1483.9</v>
      </c>
      <c r="N424" s="16" t="n">
        <v>1483.9</v>
      </c>
      <c r="O424" s="16" t="n">
        <v>1483.9</v>
      </c>
      <c r="P424" s="16" t="n">
        <v>1483.9</v>
      </c>
      <c r="Q424" s="16" t="n">
        <v>1483.9</v>
      </c>
      <c r="R424" s="16" t="n">
        <v>1483.9</v>
      </c>
      <c r="S424" s="16" t="n">
        <v>1483.9</v>
      </c>
      <c r="T424" s="16" t="n">
        <v>1483.9</v>
      </c>
      <c r="U424" s="16" t="n">
        <v>350</v>
      </c>
      <c r="V424" s="16" t="n">
        <v>250</v>
      </c>
      <c r="W424" s="16">
        <f>U424+V424</f>
        <v/>
      </c>
    </row>
    <row r="425">
      <c r="A425" s="3" t="inlineStr">
        <is>
          <t>CANON-202603-005030</t>
        </is>
      </c>
      <c r="B425" s="3" t="inlineStr">
        <is>
          <t>2026-03-19</t>
        </is>
      </c>
      <c r="C425" s="3" t="inlineStr">
        <is>
          <t>Everett Vandermeer</t>
        </is>
      </c>
      <c r="D425" s="3" t="inlineStr">
        <is>
          <t>VT</t>
        </is>
      </c>
      <c r="E425" s="14" t="n">
        <v>1950000</v>
      </c>
      <c r="F425" s="14" t="n">
        <v>14442.14</v>
      </c>
      <c r="G425" s="14" t="n">
        <v>1805.27</v>
      </c>
      <c r="H425" s="14" t="n">
        <v>1805.27</v>
      </c>
      <c r="I425" s="14">
        <f>SUM(K425:T425)</f>
        <v/>
      </c>
      <c r="J425" s="14">
        <f>F425-(G425+H425+I425)</f>
        <v/>
      </c>
      <c r="K425" s="14" t="n">
        <v>1083.16</v>
      </c>
      <c r="L425" s="14" t="n">
        <v>1083.16</v>
      </c>
      <c r="M425" s="14" t="n">
        <v>1083.16</v>
      </c>
      <c r="N425" s="14" t="n">
        <v>1083.16</v>
      </c>
      <c r="O425" s="14" t="n">
        <v>1083.16</v>
      </c>
      <c r="P425" s="14" t="n">
        <v>1083.16</v>
      </c>
      <c r="Q425" s="14" t="n">
        <v>1083.16</v>
      </c>
      <c r="R425" s="14" t="n">
        <v>1083.16</v>
      </c>
      <c r="S425" s="14" t="n">
        <v>1083.16</v>
      </c>
      <c r="T425" s="14" t="n">
        <v>1083.16</v>
      </c>
      <c r="U425" s="14" t="n">
        <v>350</v>
      </c>
      <c r="V425" s="14" t="n">
        <v>250</v>
      </c>
      <c r="W425" s="14">
        <f>U425+V425</f>
        <v/>
      </c>
    </row>
    <row r="426">
      <c r="A426" s="15" t="inlineStr">
        <is>
          <t>CANON-202603-005031</t>
        </is>
      </c>
      <c r="B426" s="15" t="inlineStr">
        <is>
          <t>2026-03-29</t>
        </is>
      </c>
      <c r="C426" s="15" t="inlineStr">
        <is>
          <t>Ramona Harrington</t>
        </is>
      </c>
      <c r="D426" s="15" t="inlineStr">
        <is>
          <t>CA</t>
        </is>
      </c>
      <c r="E426" s="16" t="n">
        <v>980000</v>
      </c>
      <c r="F426" s="16" t="n">
        <v>13738.11</v>
      </c>
      <c r="G426" s="16" t="n">
        <v>1717.26</v>
      </c>
      <c r="H426" s="16" t="n">
        <v>1717.26</v>
      </c>
      <c r="I426" s="16">
        <f>SUM(K426:T426)</f>
        <v/>
      </c>
      <c r="J426" s="16">
        <f>F426-(G426+H426+I426)</f>
        <v/>
      </c>
      <c r="K426" s="16" t="n">
        <v>1030.36</v>
      </c>
      <c r="L426" s="16" t="n">
        <v>1030.36</v>
      </c>
      <c r="M426" s="16" t="n">
        <v>1030.36</v>
      </c>
      <c r="N426" s="16" t="n">
        <v>1030.36</v>
      </c>
      <c r="O426" s="16" t="n">
        <v>1030.36</v>
      </c>
      <c r="P426" s="16" t="n">
        <v>1030.36</v>
      </c>
      <c r="Q426" s="16" t="n">
        <v>1030.36</v>
      </c>
      <c r="R426" s="16" t="n">
        <v>1030.36</v>
      </c>
      <c r="S426" s="16" t="n">
        <v>1030.36</v>
      </c>
      <c r="T426" s="16" t="n">
        <v>1030.36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CANON-202603-005032</t>
        </is>
      </c>
      <c r="B427" s="3" t="inlineStr">
        <is>
          <t>2026-03-25</t>
        </is>
      </c>
      <c r="C427" s="3" t="inlineStr">
        <is>
          <t>Everett Bellandi</t>
        </is>
      </c>
      <c r="D427" s="3" t="inlineStr">
        <is>
          <t>IA</t>
        </is>
      </c>
      <c r="E427" s="14" t="n">
        <v>890000</v>
      </c>
      <c r="F427" s="14" t="n">
        <v>5943.2</v>
      </c>
      <c r="G427" s="14" t="n">
        <v>742.9</v>
      </c>
      <c r="H427" s="14" t="n">
        <v>742.9</v>
      </c>
      <c r="I427" s="14">
        <f>SUM(K427:T427)</f>
        <v/>
      </c>
      <c r="J427" s="14">
        <f>F427-(G427+H427+I427)</f>
        <v/>
      </c>
      <c r="K427" s="14" t="n">
        <v>445.74</v>
      </c>
      <c r="L427" s="14" t="n">
        <v>445.74</v>
      </c>
      <c r="M427" s="14" t="n">
        <v>445.74</v>
      </c>
      <c r="N427" s="14" t="n">
        <v>445.74</v>
      </c>
      <c r="O427" s="14" t="n">
        <v>445.74</v>
      </c>
      <c r="P427" s="14" t="n">
        <v>445.74</v>
      </c>
      <c r="Q427" s="14" t="n">
        <v>445.74</v>
      </c>
      <c r="R427" s="14" t="n">
        <v>445.74</v>
      </c>
      <c r="S427" s="14" t="n">
        <v>445.74</v>
      </c>
      <c r="T427" s="14" t="n">
        <v>445.74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CANON-202603-005033</t>
        </is>
      </c>
      <c r="B428" s="15" t="inlineStr">
        <is>
          <t>2026-03-05</t>
        </is>
      </c>
      <c r="C428" s="15" t="inlineStr">
        <is>
          <t>Ottilie Delacroix</t>
        </is>
      </c>
      <c r="D428" s="15" t="inlineStr">
        <is>
          <t>CA</t>
        </is>
      </c>
      <c r="E428" s="16" t="n">
        <v>320000</v>
      </c>
      <c r="F428" s="16" t="n">
        <v>7936.61</v>
      </c>
      <c r="G428" s="16" t="n">
        <v>992.08</v>
      </c>
      <c r="H428" s="16" t="n">
        <v>992.08</v>
      </c>
      <c r="I428" s="16">
        <f>SUM(K428:T428)</f>
        <v/>
      </c>
      <c r="J428" s="16">
        <f>F428-(G428+H428+I428)</f>
        <v/>
      </c>
      <c r="K428" s="16" t="n">
        <v>595.25</v>
      </c>
      <c r="L428" s="16" t="n">
        <v>595.25</v>
      </c>
      <c r="M428" s="16" t="n">
        <v>595.25</v>
      </c>
      <c r="N428" s="16" t="n">
        <v>595.25</v>
      </c>
      <c r="O428" s="16" t="n">
        <v>595.25</v>
      </c>
      <c r="P428" s="16" t="n">
        <v>595.25</v>
      </c>
      <c r="Q428" s="16" t="n">
        <v>595.25</v>
      </c>
      <c r="R428" s="16" t="n">
        <v>595.25</v>
      </c>
      <c r="S428" s="16" t="n">
        <v>595.25</v>
      </c>
      <c r="T428" s="16" t="n">
        <v>595.25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CANON-202603-005035</t>
        </is>
      </c>
      <c r="B429" s="3" t="inlineStr">
        <is>
          <t>2026-03-03</t>
        </is>
      </c>
      <c r="C429" s="3" t="inlineStr">
        <is>
          <t>Ottilie Rourke</t>
        </is>
      </c>
      <c r="D429" s="3" t="inlineStr">
        <is>
          <t>PA</t>
        </is>
      </c>
      <c r="E429" s="14" t="n">
        <v>755000</v>
      </c>
      <c r="F429" s="14" t="n">
        <v>7839.96</v>
      </c>
      <c r="G429" s="14" t="n">
        <v>980</v>
      </c>
      <c r="H429" s="14" t="n">
        <v>980</v>
      </c>
      <c r="I429" s="14">
        <f>SUM(K429:T429)</f>
        <v/>
      </c>
      <c r="J429" s="14">
        <f>F429-(G429+H429+I429)</f>
        <v/>
      </c>
      <c r="K429" s="14" t="n">
        <v>588</v>
      </c>
      <c r="L429" s="14" t="n">
        <v>588</v>
      </c>
      <c r="M429" s="14" t="n">
        <v>588</v>
      </c>
      <c r="N429" s="14" t="n">
        <v>588</v>
      </c>
      <c r="O429" s="14" t="n">
        <v>588</v>
      </c>
      <c r="P429" s="14" t="n">
        <v>588</v>
      </c>
      <c r="Q429" s="14" t="n">
        <v>588</v>
      </c>
      <c r="R429" s="14" t="n">
        <v>588</v>
      </c>
      <c r="S429" s="14" t="n">
        <v>588</v>
      </c>
      <c r="T429" s="14" t="n">
        <v>588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CANON-202603-005036</t>
        </is>
      </c>
      <c r="B430" s="15" t="inlineStr">
        <is>
          <t>2026-03-03</t>
        </is>
      </c>
      <c r="C430" s="15" t="inlineStr">
        <is>
          <t>Desmond Castellanos</t>
        </is>
      </c>
      <c r="D430" s="15" t="inlineStr">
        <is>
          <t>NY</t>
        </is>
      </c>
      <c r="E430" s="16" t="n">
        <v>295000</v>
      </c>
      <c r="F430" s="16" t="n">
        <v>4524.26</v>
      </c>
      <c r="G430" s="16" t="n">
        <v>565.53</v>
      </c>
      <c r="H430" s="16" t="n">
        <v>565.53</v>
      </c>
      <c r="I430" s="16">
        <f>SUM(K430:T430)</f>
        <v/>
      </c>
      <c r="J430" s="16">
        <f>F430-(G430+H430+I430)</f>
        <v/>
      </c>
      <c r="K430" s="16" t="n">
        <v>339.32</v>
      </c>
      <c r="L430" s="16" t="n">
        <v>339.32</v>
      </c>
      <c r="M430" s="16" t="n">
        <v>339.32</v>
      </c>
      <c r="N430" s="16" t="n">
        <v>339.32</v>
      </c>
      <c r="O430" s="16" t="n">
        <v>339.32</v>
      </c>
      <c r="P430" s="16" t="n">
        <v>339.32</v>
      </c>
      <c r="Q430" s="16" t="n">
        <v>339.32</v>
      </c>
      <c r="R430" s="16" t="n">
        <v>339.32</v>
      </c>
      <c r="S430" s="16" t="n">
        <v>339.32</v>
      </c>
      <c r="T430" s="16" t="n">
        <v>339.32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CANON-202603-005037</t>
        </is>
      </c>
      <c r="B431" s="3" t="inlineStr">
        <is>
          <t>2026-03-29</t>
        </is>
      </c>
      <c r="C431" s="3" t="inlineStr">
        <is>
          <t>Priya Okonkwo</t>
        </is>
      </c>
      <c r="D431" s="3" t="inlineStr">
        <is>
          <t>NH</t>
        </is>
      </c>
      <c r="E431" s="14" t="n">
        <v>270000</v>
      </c>
      <c r="F431" s="14" t="n">
        <v>3364.43</v>
      </c>
      <c r="G431" s="14" t="n">
        <v>420.55</v>
      </c>
      <c r="H431" s="14" t="n">
        <v>420.55</v>
      </c>
      <c r="I431" s="14">
        <f>SUM(K431:T431)</f>
        <v/>
      </c>
      <c r="J431" s="14">
        <f>F431-(G431+H431+I431)</f>
        <v/>
      </c>
      <c r="K431" s="14" t="n">
        <v>252.33</v>
      </c>
      <c r="L431" s="14" t="n">
        <v>252.33</v>
      </c>
      <c r="M431" s="14" t="n">
        <v>252.33</v>
      </c>
      <c r="N431" s="14" t="n">
        <v>252.33</v>
      </c>
      <c r="O431" s="14" t="n">
        <v>252.33</v>
      </c>
      <c r="P431" s="14" t="n">
        <v>252.33</v>
      </c>
      <c r="Q431" s="14" t="n">
        <v>252.33</v>
      </c>
      <c r="R431" s="14" t="n">
        <v>252.33</v>
      </c>
      <c r="S431" s="14" t="n">
        <v>252.33</v>
      </c>
      <c r="T431" s="14" t="n">
        <v>252.33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CANON-202603-005038</t>
        </is>
      </c>
      <c r="B432" s="15" t="inlineStr">
        <is>
          <t>2026-03-26</t>
        </is>
      </c>
      <c r="C432" s="15" t="inlineStr">
        <is>
          <t>Wilhelmina Farkas</t>
        </is>
      </c>
      <c r="D432" s="15" t="inlineStr">
        <is>
          <t>AK</t>
        </is>
      </c>
      <c r="E432" s="16" t="n">
        <v>170000</v>
      </c>
      <c r="F432" s="16" t="n">
        <v>2848.37</v>
      </c>
      <c r="G432" s="16" t="n">
        <v>356.05</v>
      </c>
      <c r="H432" s="16" t="n">
        <v>356.05</v>
      </c>
      <c r="I432" s="16">
        <f>SUM(K432:T432)</f>
        <v/>
      </c>
      <c r="J432" s="16">
        <f>F432-(G432+H432+I432)</f>
        <v/>
      </c>
      <c r="K432" s="16" t="n">
        <v>213.63</v>
      </c>
      <c r="L432" s="16" t="n">
        <v>213.63</v>
      </c>
      <c r="M432" s="16" t="n">
        <v>213.63</v>
      </c>
      <c r="N432" s="16" t="n">
        <v>213.63</v>
      </c>
      <c r="O432" s="16" t="n">
        <v>213.63</v>
      </c>
      <c r="P432" s="16" t="n">
        <v>213.63</v>
      </c>
      <c r="Q432" s="16" t="n">
        <v>213.63</v>
      </c>
      <c r="R432" s="16" t="n">
        <v>213.63</v>
      </c>
      <c r="S432" s="16" t="n">
        <v>213.63</v>
      </c>
      <c r="T432" s="16" t="n">
        <v>213.63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CANON-202603-005040</t>
        </is>
      </c>
      <c r="B433" s="3" t="inlineStr">
        <is>
          <t>2026-03-16</t>
        </is>
      </c>
      <c r="C433" s="3" t="inlineStr">
        <is>
          <t>Fitzgerald Ashcombe</t>
        </is>
      </c>
      <c r="D433" s="3" t="inlineStr">
        <is>
          <t>ND</t>
        </is>
      </c>
      <c r="E433" s="14" t="n">
        <v>575000</v>
      </c>
      <c r="F433" s="14" t="n">
        <v>6090.25</v>
      </c>
      <c r="G433" s="14" t="n">
        <v>761.28</v>
      </c>
      <c r="H433" s="14" t="n">
        <v>761.28</v>
      </c>
      <c r="I433" s="14">
        <f>SUM(K433:T433)</f>
        <v/>
      </c>
      <c r="J433" s="14">
        <f>F433-(G433+H433+I433)</f>
        <v/>
      </c>
      <c r="K433" s="14" t="n">
        <v>456.77</v>
      </c>
      <c r="L433" s="14" t="n">
        <v>456.77</v>
      </c>
      <c r="M433" s="14" t="n">
        <v>456.77</v>
      </c>
      <c r="N433" s="14" t="n">
        <v>456.77</v>
      </c>
      <c r="O433" s="14" t="n">
        <v>456.77</v>
      </c>
      <c r="P433" s="14" t="n">
        <v>456.77</v>
      </c>
      <c r="Q433" s="14" t="n">
        <v>456.77</v>
      </c>
      <c r="R433" s="14" t="n">
        <v>456.77</v>
      </c>
      <c r="S433" s="14" t="n">
        <v>456.77</v>
      </c>
      <c r="T433" s="14" t="n">
        <v>456.77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CANON-202603-005041</t>
        </is>
      </c>
      <c r="B434" s="15" t="inlineStr">
        <is>
          <t>2026-03-20</t>
        </is>
      </c>
      <c r="C434" s="15" t="inlineStr">
        <is>
          <t>Saoirse Fairweather</t>
        </is>
      </c>
      <c r="D434" s="15" t="inlineStr">
        <is>
          <t>CA</t>
        </is>
      </c>
      <c r="E434" s="16" t="n">
        <v>575000</v>
      </c>
      <c r="F434" s="16" t="n">
        <v>9672.75</v>
      </c>
      <c r="G434" s="16" t="n">
        <v>1209.09</v>
      </c>
      <c r="H434" s="16" t="n">
        <v>1209.09</v>
      </c>
      <c r="I434" s="16">
        <f>SUM(K434:T434)</f>
        <v/>
      </c>
      <c r="J434" s="16">
        <f>F434-(G434+H434+I434)</f>
        <v/>
      </c>
      <c r="K434" s="16" t="n">
        <v>725.46</v>
      </c>
      <c r="L434" s="16" t="n">
        <v>725.46</v>
      </c>
      <c r="M434" s="16" t="n">
        <v>725.46</v>
      </c>
      <c r="N434" s="16" t="n">
        <v>725.46</v>
      </c>
      <c r="O434" s="16" t="n">
        <v>725.46</v>
      </c>
      <c r="P434" s="16" t="n">
        <v>725.46</v>
      </c>
      <c r="Q434" s="16" t="n">
        <v>725.46</v>
      </c>
      <c r="R434" s="16" t="n">
        <v>725.46</v>
      </c>
      <c r="S434" s="16" t="n">
        <v>725.46</v>
      </c>
      <c r="T434" s="16" t="n">
        <v>725.46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CANON-202603-005043</t>
        </is>
      </c>
      <c r="B435" s="3" t="inlineStr">
        <is>
          <t>2026-03-07</t>
        </is>
      </c>
      <c r="C435" s="3" t="inlineStr">
        <is>
          <t>Marisol Fairweather</t>
        </is>
      </c>
      <c r="D435" s="3" t="inlineStr">
        <is>
          <t>TN</t>
        </is>
      </c>
      <c r="E435" s="14" t="n">
        <v>615000</v>
      </c>
      <c r="F435" s="14" t="n">
        <v>6258.47</v>
      </c>
      <c r="G435" s="14" t="n">
        <v>782.3099999999999</v>
      </c>
      <c r="H435" s="14" t="n">
        <v>782.3099999999999</v>
      </c>
      <c r="I435" s="14">
        <f>SUM(K435:T435)</f>
        <v/>
      </c>
      <c r="J435" s="14">
        <f>F435-(G435+H435+I435)</f>
        <v/>
      </c>
      <c r="K435" s="14" t="n">
        <v>469.39</v>
      </c>
      <c r="L435" s="14" t="n">
        <v>469.39</v>
      </c>
      <c r="M435" s="14" t="n">
        <v>469.39</v>
      </c>
      <c r="N435" s="14" t="n">
        <v>469.39</v>
      </c>
      <c r="O435" s="14" t="n">
        <v>469.39</v>
      </c>
      <c r="P435" s="14" t="n">
        <v>469.39</v>
      </c>
      <c r="Q435" s="14" t="n">
        <v>469.39</v>
      </c>
      <c r="R435" s="14" t="n">
        <v>469.39</v>
      </c>
      <c r="S435" s="14" t="n">
        <v>469.39</v>
      </c>
      <c r="T435" s="14" t="n">
        <v>469.39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CANON-202603-005044</t>
        </is>
      </c>
      <c r="B436" s="15" t="inlineStr">
        <is>
          <t>2026-03-15</t>
        </is>
      </c>
      <c r="C436" s="15" t="inlineStr">
        <is>
          <t>Sunniva Pennington</t>
        </is>
      </c>
      <c r="D436" s="15" t="inlineStr">
        <is>
          <t>SD</t>
        </is>
      </c>
      <c r="E436" s="16" t="n">
        <v>705000</v>
      </c>
      <c r="F436" s="16" t="n">
        <v>8126.04</v>
      </c>
      <c r="G436" s="16" t="n">
        <v>1015.75</v>
      </c>
      <c r="H436" s="16" t="n">
        <v>1015.75</v>
      </c>
      <c r="I436" s="16">
        <f>SUM(K436:T436)</f>
        <v/>
      </c>
      <c r="J436" s="16">
        <f>F436-(G436+H436+I436)</f>
        <v/>
      </c>
      <c r="K436" s="16" t="n">
        <v>609.45</v>
      </c>
      <c r="L436" s="16" t="n">
        <v>609.45</v>
      </c>
      <c r="M436" s="16" t="n">
        <v>609.45</v>
      </c>
      <c r="N436" s="16" t="n">
        <v>609.45</v>
      </c>
      <c r="O436" s="16" t="n">
        <v>609.45</v>
      </c>
      <c r="P436" s="16" t="n">
        <v>609.45</v>
      </c>
      <c r="Q436" s="16" t="n">
        <v>609.45</v>
      </c>
      <c r="R436" s="16" t="n">
        <v>609.45</v>
      </c>
      <c r="S436" s="16" t="n">
        <v>609.45</v>
      </c>
      <c r="T436" s="16" t="n">
        <v>609.45</v>
      </c>
      <c r="U436" s="16" t="n">
        <v>350</v>
      </c>
      <c r="V436" s="16" t="n">
        <v>0</v>
      </c>
      <c r="W436" s="16">
        <f>U436+V436</f>
        <v/>
      </c>
    </row>
    <row r="437">
      <c r="A437" s="3" t="inlineStr">
        <is>
          <t>CANON-202603-005045</t>
        </is>
      </c>
      <c r="B437" s="3" t="inlineStr">
        <is>
          <t>2026-03-24</t>
        </is>
      </c>
      <c r="C437" s="3" t="inlineStr">
        <is>
          <t>Beatrix Castellanos</t>
        </is>
      </c>
      <c r="D437" s="3" t="inlineStr">
        <is>
          <t>NE</t>
        </is>
      </c>
      <c r="E437" s="14" t="n">
        <v>625000</v>
      </c>
      <c r="F437" s="14" t="n">
        <v>8437.040000000001</v>
      </c>
      <c r="G437" s="14" t="n">
        <v>1054.63</v>
      </c>
      <c r="H437" s="14" t="n">
        <v>1054.63</v>
      </c>
      <c r="I437" s="14">
        <f>SUM(K437:T437)</f>
        <v/>
      </c>
      <c r="J437" s="14">
        <f>F437-(G437+H437+I437)</f>
        <v/>
      </c>
      <c r="K437" s="14" t="n">
        <v>632.78</v>
      </c>
      <c r="L437" s="14" t="n">
        <v>632.78</v>
      </c>
      <c r="M437" s="14" t="n">
        <v>632.78</v>
      </c>
      <c r="N437" s="14" t="n">
        <v>632.78</v>
      </c>
      <c r="O437" s="14" t="n">
        <v>632.78</v>
      </c>
      <c r="P437" s="14" t="n">
        <v>632.78</v>
      </c>
      <c r="Q437" s="14" t="n">
        <v>632.78</v>
      </c>
      <c r="R437" s="14" t="n">
        <v>632.78</v>
      </c>
      <c r="S437" s="14" t="n">
        <v>632.78</v>
      </c>
      <c r="T437" s="14" t="n">
        <v>632.78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CANON-202603-005047</t>
        </is>
      </c>
      <c r="B438" s="15" t="inlineStr">
        <is>
          <t>2026-03-09</t>
        </is>
      </c>
      <c r="C438" s="15" t="inlineStr">
        <is>
          <t>Thaddeus Larsson</t>
        </is>
      </c>
      <c r="D438" s="15" t="inlineStr">
        <is>
          <t>TN</t>
        </is>
      </c>
      <c r="E438" s="16" t="n">
        <v>705000</v>
      </c>
      <c r="F438" s="16" t="n">
        <v>7174.34</v>
      </c>
      <c r="G438" s="16" t="n">
        <v>896.79</v>
      </c>
      <c r="H438" s="16" t="n">
        <v>896.79</v>
      </c>
      <c r="I438" s="16">
        <f>SUM(K438:T438)</f>
        <v/>
      </c>
      <c r="J438" s="16">
        <f>F438-(G438+H438+I438)</f>
        <v/>
      </c>
      <c r="K438" s="16" t="n">
        <v>538.08</v>
      </c>
      <c r="L438" s="16" t="n">
        <v>538.08</v>
      </c>
      <c r="M438" s="16" t="n">
        <v>538.08</v>
      </c>
      <c r="N438" s="16" t="n">
        <v>538.08</v>
      </c>
      <c r="O438" s="16" t="n">
        <v>538.08</v>
      </c>
      <c r="P438" s="16" t="n">
        <v>538.08</v>
      </c>
      <c r="Q438" s="16" t="n">
        <v>538.08</v>
      </c>
      <c r="R438" s="16" t="n">
        <v>538.08</v>
      </c>
      <c r="S438" s="16" t="n">
        <v>538.08</v>
      </c>
      <c r="T438" s="16" t="n">
        <v>538.08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CANON-202603-005048</t>
        </is>
      </c>
      <c r="B439" s="3" t="inlineStr">
        <is>
          <t>2026-03-22</t>
        </is>
      </c>
      <c r="C439" s="3" t="inlineStr">
        <is>
          <t>Noor Farkas</t>
        </is>
      </c>
      <c r="D439" s="3" t="inlineStr">
        <is>
          <t>MI</t>
        </is>
      </c>
      <c r="E439" s="14" t="n">
        <v>665000</v>
      </c>
      <c r="F439" s="14" t="n">
        <v>10703.36</v>
      </c>
      <c r="G439" s="14" t="n">
        <v>1337.92</v>
      </c>
      <c r="H439" s="14" t="n">
        <v>1337.92</v>
      </c>
      <c r="I439" s="14">
        <f>SUM(K439:T439)</f>
        <v/>
      </c>
      <c r="J439" s="14">
        <f>F439-(G439+H439+I439)</f>
        <v/>
      </c>
      <c r="K439" s="14" t="n">
        <v>802.75</v>
      </c>
      <c r="L439" s="14" t="n">
        <v>802.75</v>
      </c>
      <c r="M439" s="14" t="n">
        <v>802.75</v>
      </c>
      <c r="N439" s="14" t="n">
        <v>802.75</v>
      </c>
      <c r="O439" s="14" t="n">
        <v>802.75</v>
      </c>
      <c r="P439" s="14" t="n">
        <v>802.75</v>
      </c>
      <c r="Q439" s="14" t="n">
        <v>802.75</v>
      </c>
      <c r="R439" s="14" t="n">
        <v>802.75</v>
      </c>
      <c r="S439" s="14" t="n">
        <v>802.75</v>
      </c>
      <c r="T439" s="14" t="n">
        <v>802.75</v>
      </c>
      <c r="U439" s="14" t="n">
        <v>350</v>
      </c>
      <c r="V439" s="14" t="n">
        <v>0</v>
      </c>
      <c r="W439" s="14">
        <f>U439+V439</f>
        <v/>
      </c>
    </row>
    <row r="440">
      <c r="A440" s="15" t="inlineStr">
        <is>
          <t>CANON-202603-005053</t>
        </is>
      </c>
      <c r="B440" s="15" t="inlineStr">
        <is>
          <t>2026-03-13</t>
        </is>
      </c>
      <c r="C440" s="15" t="inlineStr">
        <is>
          <t>Wilhelmina Vasquez</t>
        </is>
      </c>
      <c r="D440" s="15" t="inlineStr">
        <is>
          <t>WV</t>
        </is>
      </c>
      <c r="E440" s="16" t="n">
        <v>1415000</v>
      </c>
      <c r="F440" s="16" t="n">
        <v>24052.03</v>
      </c>
      <c r="G440" s="16" t="n">
        <v>3006.5</v>
      </c>
      <c r="H440" s="16" t="n">
        <v>3006.5</v>
      </c>
      <c r="I440" s="16">
        <f>SUM(K440:T440)</f>
        <v/>
      </c>
      <c r="J440" s="16">
        <f>F440-(G440+H440+I440)</f>
        <v/>
      </c>
      <c r="K440" s="16" t="n">
        <v>1803.9</v>
      </c>
      <c r="L440" s="16" t="n">
        <v>1803.9</v>
      </c>
      <c r="M440" s="16" t="n">
        <v>1803.9</v>
      </c>
      <c r="N440" s="16" t="n">
        <v>1803.9</v>
      </c>
      <c r="O440" s="16" t="n">
        <v>1803.9</v>
      </c>
      <c r="P440" s="16" t="n">
        <v>1803.9</v>
      </c>
      <c r="Q440" s="16" t="n">
        <v>1803.9</v>
      </c>
      <c r="R440" s="16" t="n">
        <v>1803.9</v>
      </c>
      <c r="S440" s="16" t="n">
        <v>1803.9</v>
      </c>
      <c r="T440" s="16" t="n">
        <v>1803.9</v>
      </c>
      <c r="U440" s="16" t="n">
        <v>350</v>
      </c>
      <c r="V440" s="16" t="n">
        <v>250</v>
      </c>
      <c r="W440" s="16">
        <f>U440+V440</f>
        <v/>
      </c>
    </row>
    <row r="441">
      <c r="A441" s="3" t="inlineStr">
        <is>
          <t>CANON-202603-005054</t>
        </is>
      </c>
      <c r="B441" s="3" t="inlineStr">
        <is>
          <t>2026-03-19</t>
        </is>
      </c>
      <c r="C441" s="3" t="inlineStr">
        <is>
          <t>Emiliano Delacroix</t>
        </is>
      </c>
      <c r="D441" s="3" t="inlineStr">
        <is>
          <t>IN</t>
        </is>
      </c>
      <c r="E441" s="14" t="n">
        <v>565000</v>
      </c>
      <c r="F441" s="14" t="n">
        <v>7216.4</v>
      </c>
      <c r="G441" s="14" t="n">
        <v>902.05</v>
      </c>
      <c r="H441" s="14" t="n">
        <v>902.05</v>
      </c>
      <c r="I441" s="14">
        <f>SUM(K441:T441)</f>
        <v/>
      </c>
      <c r="J441" s="14">
        <f>F441-(G441+H441+I441)</f>
        <v/>
      </c>
      <c r="K441" s="14" t="n">
        <v>541.23</v>
      </c>
      <c r="L441" s="14" t="n">
        <v>541.23</v>
      </c>
      <c r="M441" s="14" t="n">
        <v>541.23</v>
      </c>
      <c r="N441" s="14" t="n">
        <v>541.23</v>
      </c>
      <c r="O441" s="14" t="n">
        <v>541.23</v>
      </c>
      <c r="P441" s="14" t="n">
        <v>541.23</v>
      </c>
      <c r="Q441" s="14" t="n">
        <v>541.23</v>
      </c>
      <c r="R441" s="14" t="n">
        <v>541.23</v>
      </c>
      <c r="S441" s="14" t="n">
        <v>541.23</v>
      </c>
      <c r="T441" s="14" t="n">
        <v>541.23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CANON-202603-005055</t>
        </is>
      </c>
      <c r="B442" s="15" t="inlineStr">
        <is>
          <t>2026-03-23</t>
        </is>
      </c>
      <c r="C442" s="15" t="inlineStr">
        <is>
          <t>Cassius Pennington</t>
        </is>
      </c>
      <c r="D442" s="15" t="inlineStr">
        <is>
          <t>ND</t>
        </is>
      </c>
      <c r="E442" s="16" t="n">
        <v>1950000</v>
      </c>
      <c r="F442" s="16" t="n">
        <v>17476.37</v>
      </c>
      <c r="G442" s="16" t="n">
        <v>2184.55</v>
      </c>
      <c r="H442" s="16" t="n">
        <v>2184.55</v>
      </c>
      <c r="I442" s="16">
        <f>SUM(K442:T442)</f>
        <v/>
      </c>
      <c r="J442" s="16">
        <f>F442-(G442+H442+I442)</f>
        <v/>
      </c>
      <c r="K442" s="16" t="n">
        <v>1310.73</v>
      </c>
      <c r="L442" s="16" t="n">
        <v>1310.73</v>
      </c>
      <c r="M442" s="16" t="n">
        <v>1310.73</v>
      </c>
      <c r="N442" s="16" t="n">
        <v>1310.73</v>
      </c>
      <c r="O442" s="16" t="n">
        <v>1310.73</v>
      </c>
      <c r="P442" s="16" t="n">
        <v>1310.73</v>
      </c>
      <c r="Q442" s="16" t="n">
        <v>1310.73</v>
      </c>
      <c r="R442" s="16" t="n">
        <v>1310.73</v>
      </c>
      <c r="S442" s="16" t="n">
        <v>1310.73</v>
      </c>
      <c r="T442" s="16" t="n">
        <v>1310.73</v>
      </c>
      <c r="U442" s="16" t="n">
        <v>350</v>
      </c>
      <c r="V442" s="16" t="n">
        <v>250</v>
      </c>
      <c r="W442" s="16">
        <f>U442+V442</f>
        <v/>
      </c>
    </row>
    <row r="443">
      <c r="A443" s="3" t="inlineStr">
        <is>
          <t>CANON-202603-005057</t>
        </is>
      </c>
      <c r="B443" s="3" t="inlineStr">
        <is>
          <t>2026-03-14</t>
        </is>
      </c>
      <c r="C443" s="3" t="inlineStr">
        <is>
          <t>Anouk Thistlewood</t>
        </is>
      </c>
      <c r="D443" s="3" t="inlineStr">
        <is>
          <t>AZ</t>
        </is>
      </c>
      <c r="E443" s="14" t="n">
        <v>760000</v>
      </c>
      <c r="F443" s="14" t="n">
        <v>5272.99</v>
      </c>
      <c r="G443" s="14" t="n">
        <v>659.12</v>
      </c>
      <c r="H443" s="14" t="n">
        <v>659.12</v>
      </c>
      <c r="I443" s="14">
        <f>SUM(K443:T443)</f>
        <v/>
      </c>
      <c r="J443" s="14">
        <f>F443-(G443+H443+I443)</f>
        <v/>
      </c>
      <c r="K443" s="14" t="n">
        <v>395.47</v>
      </c>
      <c r="L443" s="14" t="n">
        <v>395.47</v>
      </c>
      <c r="M443" s="14" t="n">
        <v>395.47</v>
      </c>
      <c r="N443" s="14" t="n">
        <v>395.47</v>
      </c>
      <c r="O443" s="14" t="n">
        <v>395.47</v>
      </c>
      <c r="P443" s="14" t="n">
        <v>395.47</v>
      </c>
      <c r="Q443" s="14" t="n">
        <v>395.47</v>
      </c>
      <c r="R443" s="14" t="n">
        <v>395.47</v>
      </c>
      <c r="S443" s="14" t="n">
        <v>395.47</v>
      </c>
      <c r="T443" s="14" t="n">
        <v>395.47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CANON-202603-005058</t>
        </is>
      </c>
      <c r="B444" s="15" t="inlineStr">
        <is>
          <t>2026-03-14</t>
        </is>
      </c>
      <c r="C444" s="15" t="inlineStr">
        <is>
          <t>Ingrid Merriweather</t>
        </is>
      </c>
      <c r="D444" s="15" t="inlineStr">
        <is>
          <t>MT</t>
        </is>
      </c>
      <c r="E444" s="16" t="n">
        <v>540000</v>
      </c>
      <c r="F444" s="16" t="n">
        <v>5214.88</v>
      </c>
      <c r="G444" s="16" t="n">
        <v>651.86</v>
      </c>
      <c r="H444" s="16" t="n">
        <v>651.86</v>
      </c>
      <c r="I444" s="16">
        <f>SUM(K444:T444)</f>
        <v/>
      </c>
      <c r="J444" s="16">
        <f>F444-(G444+H444+I444)</f>
        <v/>
      </c>
      <c r="K444" s="16" t="n">
        <v>391.12</v>
      </c>
      <c r="L444" s="16" t="n">
        <v>391.12</v>
      </c>
      <c r="M444" s="16" t="n">
        <v>391.12</v>
      </c>
      <c r="N444" s="16" t="n">
        <v>391.12</v>
      </c>
      <c r="O444" s="16" t="n">
        <v>391.12</v>
      </c>
      <c r="P444" s="16" t="n">
        <v>391.12</v>
      </c>
      <c r="Q444" s="16" t="n">
        <v>391.12</v>
      </c>
      <c r="R444" s="16" t="n">
        <v>391.12</v>
      </c>
      <c r="S444" s="16" t="n">
        <v>391.12</v>
      </c>
      <c r="T444" s="16" t="n">
        <v>391.12</v>
      </c>
      <c r="U444" s="16" t="n">
        <v>350</v>
      </c>
      <c r="V444" s="16" t="n">
        <v>0</v>
      </c>
      <c r="W444" s="16">
        <f>U444+V444</f>
        <v/>
      </c>
    </row>
    <row r="445">
      <c r="A445" s="3" t="inlineStr">
        <is>
          <t>CANON-202603-005059</t>
        </is>
      </c>
      <c r="B445" s="3" t="inlineStr">
        <is>
          <t>2026-03-20</t>
        </is>
      </c>
      <c r="C445" s="3" t="inlineStr">
        <is>
          <t>Priya Bellandi</t>
        </is>
      </c>
      <c r="D445" s="3" t="inlineStr">
        <is>
          <t>NY</t>
        </is>
      </c>
      <c r="E445" s="14" t="n">
        <v>290000</v>
      </c>
      <c r="F445" s="14" t="n">
        <v>4447.57</v>
      </c>
      <c r="G445" s="14" t="n">
        <v>555.95</v>
      </c>
      <c r="H445" s="14" t="n">
        <v>555.95</v>
      </c>
      <c r="I445" s="14">
        <f>SUM(K445:T445)</f>
        <v/>
      </c>
      <c r="J445" s="14">
        <f>F445-(G445+H445+I445)</f>
        <v/>
      </c>
      <c r="K445" s="14" t="n">
        <v>333.57</v>
      </c>
      <c r="L445" s="14" t="n">
        <v>333.57</v>
      </c>
      <c r="M445" s="14" t="n">
        <v>333.57</v>
      </c>
      <c r="N445" s="14" t="n">
        <v>333.57</v>
      </c>
      <c r="O445" s="14" t="n">
        <v>333.57</v>
      </c>
      <c r="P445" s="14" t="n">
        <v>333.57</v>
      </c>
      <c r="Q445" s="14" t="n">
        <v>333.57</v>
      </c>
      <c r="R445" s="14" t="n">
        <v>333.57</v>
      </c>
      <c r="S445" s="14" t="n">
        <v>333.57</v>
      </c>
      <c r="T445" s="14" t="n">
        <v>333.57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CANON-202603-005060</t>
        </is>
      </c>
      <c r="B446" s="15" t="inlineStr">
        <is>
          <t>2026-03-15</t>
        </is>
      </c>
      <c r="C446" s="15" t="inlineStr">
        <is>
          <t>Lorenzo Farkas</t>
        </is>
      </c>
      <c r="D446" s="15" t="inlineStr">
        <is>
          <t>NY</t>
        </is>
      </c>
      <c r="E446" s="16" t="n">
        <v>360000</v>
      </c>
      <c r="F446" s="16" t="n">
        <v>5521.12</v>
      </c>
      <c r="G446" s="16" t="n">
        <v>690.14</v>
      </c>
      <c r="H446" s="16" t="n">
        <v>690.14</v>
      </c>
      <c r="I446" s="16">
        <f>SUM(K446:T446)</f>
        <v/>
      </c>
      <c r="J446" s="16">
        <f>F446-(G446+H446+I446)</f>
        <v/>
      </c>
      <c r="K446" s="16" t="n">
        <v>414.08</v>
      </c>
      <c r="L446" s="16" t="n">
        <v>414.08</v>
      </c>
      <c r="M446" s="16" t="n">
        <v>414.08</v>
      </c>
      <c r="N446" s="16" t="n">
        <v>414.08</v>
      </c>
      <c r="O446" s="16" t="n">
        <v>414.08</v>
      </c>
      <c r="P446" s="16" t="n">
        <v>414.08</v>
      </c>
      <c r="Q446" s="16" t="n">
        <v>414.08</v>
      </c>
      <c r="R446" s="16" t="n">
        <v>414.08</v>
      </c>
      <c r="S446" s="16" t="n">
        <v>414.08</v>
      </c>
      <c r="T446" s="16" t="n">
        <v>414.08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CANON-202603-005061</t>
        </is>
      </c>
      <c r="B447" s="3" t="inlineStr">
        <is>
          <t>2026-03-23</t>
        </is>
      </c>
      <c r="C447" s="3" t="inlineStr">
        <is>
          <t>Emiliano Kingsford</t>
        </is>
      </c>
      <c r="D447" s="3" t="inlineStr">
        <is>
          <t>TX</t>
        </is>
      </c>
      <c r="E447" s="14" t="n">
        <v>750000</v>
      </c>
      <c r="F447" s="14" t="n">
        <v>5924.9</v>
      </c>
      <c r="G447" s="14" t="n">
        <v>740.61</v>
      </c>
      <c r="H447" s="14" t="n">
        <v>740.61</v>
      </c>
      <c r="I447" s="14">
        <f>SUM(K447:T447)</f>
        <v/>
      </c>
      <c r="J447" s="14">
        <f>F447-(G447+H447+I447)</f>
        <v/>
      </c>
      <c r="K447" s="14" t="n">
        <v>444.37</v>
      </c>
      <c r="L447" s="14" t="n">
        <v>444.37</v>
      </c>
      <c r="M447" s="14" t="n">
        <v>444.37</v>
      </c>
      <c r="N447" s="14" t="n">
        <v>444.37</v>
      </c>
      <c r="O447" s="14" t="n">
        <v>444.37</v>
      </c>
      <c r="P447" s="14" t="n">
        <v>444.37</v>
      </c>
      <c r="Q447" s="14" t="n">
        <v>444.37</v>
      </c>
      <c r="R447" s="14" t="n">
        <v>444.37</v>
      </c>
      <c r="S447" s="14" t="n">
        <v>444.37</v>
      </c>
      <c r="T447" s="14" t="n">
        <v>444.37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CANON-202603-005064</t>
        </is>
      </c>
      <c r="B448" s="15" t="inlineStr">
        <is>
          <t>2026-03-21</t>
        </is>
      </c>
      <c r="C448" s="15" t="inlineStr">
        <is>
          <t>Wilhelmina Delacroix</t>
        </is>
      </c>
      <c r="D448" s="15" t="inlineStr">
        <is>
          <t>OH</t>
        </is>
      </c>
      <c r="E448" s="16" t="n">
        <v>460000</v>
      </c>
      <c r="F448" s="16" t="n">
        <v>7661.03</v>
      </c>
      <c r="G448" s="16" t="n">
        <v>957.63</v>
      </c>
      <c r="H448" s="16" t="n">
        <v>957.63</v>
      </c>
      <c r="I448" s="16">
        <f>SUM(K448:T448)</f>
        <v/>
      </c>
      <c r="J448" s="16">
        <f>F448-(G448+H448+I448)</f>
        <v/>
      </c>
      <c r="K448" s="16" t="n">
        <v>574.58</v>
      </c>
      <c r="L448" s="16" t="n">
        <v>574.58</v>
      </c>
      <c r="M448" s="16" t="n">
        <v>574.58</v>
      </c>
      <c r="N448" s="16" t="n">
        <v>574.58</v>
      </c>
      <c r="O448" s="16" t="n">
        <v>574.58</v>
      </c>
      <c r="P448" s="16" t="n">
        <v>574.58</v>
      </c>
      <c r="Q448" s="16" t="n">
        <v>574.58</v>
      </c>
      <c r="R448" s="16" t="n">
        <v>574.58</v>
      </c>
      <c r="S448" s="16" t="n">
        <v>574.58</v>
      </c>
      <c r="T448" s="16" t="n">
        <v>574.58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CANON-202603-005065</t>
        </is>
      </c>
      <c r="B449" s="3" t="inlineStr">
        <is>
          <t>2026-03-03</t>
        </is>
      </c>
      <c r="C449" s="3" t="inlineStr">
        <is>
          <t>Ingrid Kingsford</t>
        </is>
      </c>
      <c r="D449" s="3" t="inlineStr">
        <is>
          <t>WA</t>
        </is>
      </c>
      <c r="E449" s="14" t="n">
        <v>550000</v>
      </c>
      <c r="F449" s="14" t="n">
        <v>5482.78</v>
      </c>
      <c r="G449" s="14" t="n">
        <v>685.35</v>
      </c>
      <c r="H449" s="14" t="n">
        <v>685.35</v>
      </c>
      <c r="I449" s="14">
        <f>SUM(K449:T449)</f>
        <v/>
      </c>
      <c r="J449" s="14">
        <f>F449-(G449+H449+I449)</f>
        <v/>
      </c>
      <c r="K449" s="14" t="n">
        <v>411.21</v>
      </c>
      <c r="L449" s="14" t="n">
        <v>411.21</v>
      </c>
      <c r="M449" s="14" t="n">
        <v>411.21</v>
      </c>
      <c r="N449" s="14" t="n">
        <v>411.21</v>
      </c>
      <c r="O449" s="14" t="n">
        <v>411.21</v>
      </c>
      <c r="P449" s="14" t="n">
        <v>411.21</v>
      </c>
      <c r="Q449" s="14" t="n">
        <v>411.21</v>
      </c>
      <c r="R449" s="14" t="n">
        <v>411.21</v>
      </c>
      <c r="S449" s="14" t="n">
        <v>411.21</v>
      </c>
      <c r="T449" s="14" t="n">
        <v>411.21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CANON-202603-005067</t>
        </is>
      </c>
      <c r="B450" s="15" t="inlineStr">
        <is>
          <t>2026-03-27</t>
        </is>
      </c>
      <c r="C450" s="15" t="inlineStr">
        <is>
          <t>Aurelio Merriweather</t>
        </is>
      </c>
      <c r="D450" s="15" t="inlineStr">
        <is>
          <t>CA</t>
        </is>
      </c>
      <c r="E450" s="16" t="n">
        <v>335000</v>
      </c>
      <c r="F450" s="16" t="n">
        <v>5418.68</v>
      </c>
      <c r="G450" s="16" t="n">
        <v>677.34</v>
      </c>
      <c r="H450" s="16" t="n">
        <v>677.34</v>
      </c>
      <c r="I450" s="16">
        <f>SUM(K450:T450)</f>
        <v/>
      </c>
      <c r="J450" s="16">
        <f>F450-(G450+H450+I450)</f>
        <v/>
      </c>
      <c r="K450" s="16" t="n">
        <v>406.4</v>
      </c>
      <c r="L450" s="16" t="n">
        <v>406.4</v>
      </c>
      <c r="M450" s="16" t="n">
        <v>406.4</v>
      </c>
      <c r="N450" s="16" t="n">
        <v>406.4</v>
      </c>
      <c r="O450" s="16" t="n">
        <v>406.4</v>
      </c>
      <c r="P450" s="16" t="n">
        <v>406.4</v>
      </c>
      <c r="Q450" s="16" t="n">
        <v>406.4</v>
      </c>
      <c r="R450" s="16" t="n">
        <v>406.4</v>
      </c>
      <c r="S450" s="16" t="n">
        <v>406.4</v>
      </c>
      <c r="T450" s="16" t="n">
        <v>406.4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CANON-202603-005068</t>
        </is>
      </c>
      <c r="B451" s="3" t="inlineStr">
        <is>
          <t>2026-03-05</t>
        </is>
      </c>
      <c r="C451" s="3" t="inlineStr">
        <is>
          <t>Beatrix Chattopadhyay</t>
        </is>
      </c>
      <c r="D451" s="3" t="inlineStr">
        <is>
          <t>OK</t>
        </is>
      </c>
      <c r="E451" s="14" t="n">
        <v>600000</v>
      </c>
      <c r="F451" s="14" t="n">
        <v>7850.35</v>
      </c>
      <c r="G451" s="14" t="n">
        <v>981.29</v>
      </c>
      <c r="H451" s="14" t="n">
        <v>981.29</v>
      </c>
      <c r="I451" s="14">
        <f>SUM(K451:T451)</f>
        <v/>
      </c>
      <c r="J451" s="14">
        <f>F451-(G451+H451+I451)</f>
        <v/>
      </c>
      <c r="K451" s="14" t="n">
        <v>588.78</v>
      </c>
      <c r="L451" s="14" t="n">
        <v>588.78</v>
      </c>
      <c r="M451" s="14" t="n">
        <v>588.78</v>
      </c>
      <c r="N451" s="14" t="n">
        <v>588.78</v>
      </c>
      <c r="O451" s="14" t="n">
        <v>588.78</v>
      </c>
      <c r="P451" s="14" t="n">
        <v>588.78</v>
      </c>
      <c r="Q451" s="14" t="n">
        <v>588.78</v>
      </c>
      <c r="R451" s="14" t="n">
        <v>588.78</v>
      </c>
      <c r="S451" s="14" t="n">
        <v>588.78</v>
      </c>
      <c r="T451" s="14" t="n">
        <v>588.78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CANON-202603-005071</t>
        </is>
      </c>
      <c r="B452" s="15" t="inlineStr">
        <is>
          <t>2026-03-09</t>
        </is>
      </c>
      <c r="C452" s="15" t="inlineStr">
        <is>
          <t>Saoirse Whitlock</t>
        </is>
      </c>
      <c r="D452" s="15" t="inlineStr">
        <is>
          <t>ID</t>
        </is>
      </c>
      <c r="E452" s="16" t="n">
        <v>275000</v>
      </c>
      <c r="F452" s="16" t="n">
        <v>3261.99</v>
      </c>
      <c r="G452" s="16" t="n">
        <v>407.75</v>
      </c>
      <c r="H452" s="16" t="n">
        <v>407.75</v>
      </c>
      <c r="I452" s="16">
        <f>SUM(K452:T452)</f>
        <v/>
      </c>
      <c r="J452" s="16">
        <f>F452-(G452+H452+I452)</f>
        <v/>
      </c>
      <c r="K452" s="16" t="n">
        <v>244.65</v>
      </c>
      <c r="L452" s="16" t="n">
        <v>244.65</v>
      </c>
      <c r="M452" s="16" t="n">
        <v>244.65</v>
      </c>
      <c r="N452" s="16" t="n">
        <v>244.65</v>
      </c>
      <c r="O452" s="16" t="n">
        <v>244.65</v>
      </c>
      <c r="P452" s="16" t="n">
        <v>244.65</v>
      </c>
      <c r="Q452" s="16" t="n">
        <v>244.65</v>
      </c>
      <c r="R452" s="16" t="n">
        <v>244.65</v>
      </c>
      <c r="S452" s="16" t="n">
        <v>244.65</v>
      </c>
      <c r="T452" s="16" t="n">
        <v>244.65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CANON-202603-005074</t>
        </is>
      </c>
      <c r="B453" s="3" t="inlineStr">
        <is>
          <t>2026-03-19</t>
        </is>
      </c>
      <c r="C453" s="3" t="inlineStr">
        <is>
          <t>Priya Underwood</t>
        </is>
      </c>
      <c r="D453" s="3" t="inlineStr">
        <is>
          <t>FL</t>
        </is>
      </c>
      <c r="E453" s="14" t="n">
        <v>910000</v>
      </c>
      <c r="F453" s="14" t="n">
        <v>13418.28</v>
      </c>
      <c r="G453" s="14" t="n">
        <v>1677.29</v>
      </c>
      <c r="H453" s="14" t="n">
        <v>1677.29</v>
      </c>
      <c r="I453" s="14">
        <f>SUM(K453:T453)</f>
        <v/>
      </c>
      <c r="J453" s="14">
        <f>F453-(G453+H453+I453)</f>
        <v/>
      </c>
      <c r="K453" s="14" t="n">
        <v>1006.37</v>
      </c>
      <c r="L453" s="14" t="n">
        <v>1006.37</v>
      </c>
      <c r="M453" s="14" t="n">
        <v>1006.37</v>
      </c>
      <c r="N453" s="14" t="n">
        <v>1006.37</v>
      </c>
      <c r="O453" s="14" t="n">
        <v>1006.37</v>
      </c>
      <c r="P453" s="14" t="n">
        <v>1006.37</v>
      </c>
      <c r="Q453" s="14" t="n">
        <v>1006.37</v>
      </c>
      <c r="R453" s="14" t="n">
        <v>1006.37</v>
      </c>
      <c r="S453" s="14" t="n">
        <v>1006.37</v>
      </c>
      <c r="T453" s="14" t="n">
        <v>1006.37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CANON-202603-005075</t>
        </is>
      </c>
      <c r="B454" s="15" t="inlineStr">
        <is>
          <t>2026-03-11</t>
        </is>
      </c>
      <c r="C454" s="15" t="inlineStr">
        <is>
          <t>Anouk Thistlewood</t>
        </is>
      </c>
      <c r="D454" s="15" t="inlineStr">
        <is>
          <t>GA</t>
        </is>
      </c>
      <c r="E454" s="16" t="n">
        <v>1760000</v>
      </c>
      <c r="F454" s="16" t="n">
        <v>17319.97</v>
      </c>
      <c r="G454" s="16" t="n">
        <v>2165</v>
      </c>
      <c r="H454" s="16" t="n">
        <v>2165</v>
      </c>
      <c r="I454" s="16">
        <f>SUM(K454:T454)</f>
        <v/>
      </c>
      <c r="J454" s="16">
        <f>F454-(G454+H454+I454)</f>
        <v/>
      </c>
      <c r="K454" s="16" t="n">
        <v>1299</v>
      </c>
      <c r="L454" s="16" t="n">
        <v>1299</v>
      </c>
      <c r="M454" s="16" t="n">
        <v>1299</v>
      </c>
      <c r="N454" s="16" t="n">
        <v>1299</v>
      </c>
      <c r="O454" s="16" t="n">
        <v>1299</v>
      </c>
      <c r="P454" s="16" t="n">
        <v>1299</v>
      </c>
      <c r="Q454" s="16" t="n">
        <v>1299</v>
      </c>
      <c r="R454" s="16" t="n">
        <v>1299</v>
      </c>
      <c r="S454" s="16" t="n">
        <v>1299</v>
      </c>
      <c r="T454" s="16" t="n">
        <v>1299</v>
      </c>
      <c r="U454" s="16" t="n">
        <v>350</v>
      </c>
      <c r="V454" s="16" t="n">
        <v>250</v>
      </c>
      <c r="W454" s="16">
        <f>U454+V454</f>
        <v/>
      </c>
    </row>
    <row r="455">
      <c r="A455" s="3" t="inlineStr">
        <is>
          <t>CANON-202603-005076</t>
        </is>
      </c>
      <c r="B455" s="3" t="inlineStr">
        <is>
          <t>2026-03-31</t>
        </is>
      </c>
      <c r="C455" s="3" t="inlineStr">
        <is>
          <t>Emiliano Bellandi</t>
        </is>
      </c>
      <c r="D455" s="3" t="inlineStr">
        <is>
          <t>TX</t>
        </is>
      </c>
      <c r="E455" s="14" t="n">
        <v>330000</v>
      </c>
      <c r="F455" s="14" t="n">
        <v>4547.02</v>
      </c>
      <c r="G455" s="14" t="n">
        <v>568.38</v>
      </c>
      <c r="H455" s="14" t="n">
        <v>568.38</v>
      </c>
      <c r="I455" s="14">
        <f>SUM(K455:T455)</f>
        <v/>
      </c>
      <c r="J455" s="14">
        <f>F455-(G455+H455+I455)</f>
        <v/>
      </c>
      <c r="K455" s="14" t="n">
        <v>341.03</v>
      </c>
      <c r="L455" s="14" t="n">
        <v>341.03</v>
      </c>
      <c r="M455" s="14" t="n">
        <v>341.03</v>
      </c>
      <c r="N455" s="14" t="n">
        <v>341.03</v>
      </c>
      <c r="O455" s="14" t="n">
        <v>341.03</v>
      </c>
      <c r="P455" s="14" t="n">
        <v>341.03</v>
      </c>
      <c r="Q455" s="14" t="n">
        <v>341.03</v>
      </c>
      <c r="R455" s="14" t="n">
        <v>341.03</v>
      </c>
      <c r="S455" s="14" t="n">
        <v>341.03</v>
      </c>
      <c r="T455" s="14" t="n">
        <v>341.03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CANON-202603-005077</t>
        </is>
      </c>
      <c r="B456" s="15" t="inlineStr">
        <is>
          <t>2026-03-31</t>
        </is>
      </c>
      <c r="C456" s="15" t="inlineStr">
        <is>
          <t>Thaddeus Chattopadhyay</t>
        </is>
      </c>
      <c r="D456" s="15" t="inlineStr">
        <is>
          <t>DE</t>
        </is>
      </c>
      <c r="E456" s="16" t="n">
        <v>1950000</v>
      </c>
      <c r="F456" s="16" t="n">
        <v>21417.12</v>
      </c>
      <c r="G456" s="16" t="n">
        <v>2677.14</v>
      </c>
      <c r="H456" s="16" t="n">
        <v>2677.14</v>
      </c>
      <c r="I456" s="16">
        <f>SUM(K456:T456)</f>
        <v/>
      </c>
      <c r="J456" s="16">
        <f>F456-(G456+H456+I456)</f>
        <v/>
      </c>
      <c r="K456" s="16" t="n">
        <v>1606.28</v>
      </c>
      <c r="L456" s="16" t="n">
        <v>1606.28</v>
      </c>
      <c r="M456" s="16" t="n">
        <v>1606.28</v>
      </c>
      <c r="N456" s="16" t="n">
        <v>1606.28</v>
      </c>
      <c r="O456" s="16" t="n">
        <v>1606.28</v>
      </c>
      <c r="P456" s="16" t="n">
        <v>1606.28</v>
      </c>
      <c r="Q456" s="16" t="n">
        <v>1606.28</v>
      </c>
      <c r="R456" s="16" t="n">
        <v>1606.28</v>
      </c>
      <c r="S456" s="16" t="n">
        <v>1606.28</v>
      </c>
      <c r="T456" s="16" t="n">
        <v>1606.28</v>
      </c>
      <c r="U456" s="16" t="n">
        <v>350</v>
      </c>
      <c r="V456" s="16" t="n">
        <v>250</v>
      </c>
      <c r="W456" s="16">
        <f>U456+V456</f>
        <v/>
      </c>
    </row>
    <row r="457">
      <c r="A457" s="3" t="inlineStr">
        <is>
          <t>CANON-202603-005079</t>
        </is>
      </c>
      <c r="B457" s="3" t="inlineStr">
        <is>
          <t>2026-03-22</t>
        </is>
      </c>
      <c r="C457" s="3" t="inlineStr">
        <is>
          <t>Cassius Vasquez</t>
        </is>
      </c>
      <c r="D457" s="3" t="inlineStr">
        <is>
          <t>SC</t>
        </is>
      </c>
      <c r="E457" s="14" t="n">
        <v>270000</v>
      </c>
      <c r="F457" s="14" t="n">
        <v>4011.44</v>
      </c>
      <c r="G457" s="14" t="n">
        <v>501.43</v>
      </c>
      <c r="H457" s="14" t="n">
        <v>501.43</v>
      </c>
      <c r="I457" s="14">
        <f>SUM(K457:T457)</f>
        <v/>
      </c>
      <c r="J457" s="14">
        <f>F457-(G457+H457+I457)</f>
        <v/>
      </c>
      <c r="K457" s="14" t="n">
        <v>300.86</v>
      </c>
      <c r="L457" s="14" t="n">
        <v>300.86</v>
      </c>
      <c r="M457" s="14" t="n">
        <v>300.86</v>
      </c>
      <c r="N457" s="14" t="n">
        <v>300.86</v>
      </c>
      <c r="O457" s="14" t="n">
        <v>300.86</v>
      </c>
      <c r="P457" s="14" t="n">
        <v>300.86</v>
      </c>
      <c r="Q457" s="14" t="n">
        <v>300.86</v>
      </c>
      <c r="R457" s="14" t="n">
        <v>300.86</v>
      </c>
      <c r="S457" s="14" t="n">
        <v>300.86</v>
      </c>
      <c r="T457" s="14" t="n">
        <v>300.86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CANON-202603-005080</t>
        </is>
      </c>
      <c r="B458" s="15" t="inlineStr">
        <is>
          <t>2026-03-15</t>
        </is>
      </c>
      <c r="C458" s="15" t="inlineStr">
        <is>
          <t>Desmond Bellandi</t>
        </is>
      </c>
      <c r="D458" s="15" t="inlineStr">
        <is>
          <t>VA</t>
        </is>
      </c>
      <c r="E458" s="16" t="n">
        <v>575000</v>
      </c>
      <c r="F458" s="16" t="n">
        <v>6508.21</v>
      </c>
      <c r="G458" s="16" t="n">
        <v>813.53</v>
      </c>
      <c r="H458" s="16" t="n">
        <v>813.53</v>
      </c>
      <c r="I458" s="16">
        <f>SUM(K458:T458)</f>
        <v/>
      </c>
      <c r="J458" s="16">
        <f>F458-(G458+H458+I458)</f>
        <v/>
      </c>
      <c r="K458" s="16" t="n">
        <v>488.12</v>
      </c>
      <c r="L458" s="16" t="n">
        <v>488.12</v>
      </c>
      <c r="M458" s="16" t="n">
        <v>488.12</v>
      </c>
      <c r="N458" s="16" t="n">
        <v>488.12</v>
      </c>
      <c r="O458" s="16" t="n">
        <v>488.12</v>
      </c>
      <c r="P458" s="16" t="n">
        <v>488.12</v>
      </c>
      <c r="Q458" s="16" t="n">
        <v>488.12</v>
      </c>
      <c r="R458" s="16" t="n">
        <v>488.12</v>
      </c>
      <c r="S458" s="16" t="n">
        <v>488.12</v>
      </c>
      <c r="T458" s="16" t="n">
        <v>488.12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CANON-202603-005081</t>
        </is>
      </c>
      <c r="B459" s="3" t="inlineStr">
        <is>
          <t>2026-03-30</t>
        </is>
      </c>
      <c r="C459" s="3" t="inlineStr">
        <is>
          <t>Ingrid Harrington</t>
        </is>
      </c>
      <c r="D459" s="3" t="inlineStr">
        <is>
          <t>NJ</t>
        </is>
      </c>
      <c r="E459" s="14" t="n">
        <v>1130000</v>
      </c>
      <c r="F459" s="14" t="n">
        <v>9035.17</v>
      </c>
      <c r="G459" s="14" t="n">
        <v>1129.4</v>
      </c>
      <c r="H459" s="14" t="n">
        <v>1129.4</v>
      </c>
      <c r="I459" s="14">
        <f>SUM(K459:T459)</f>
        <v/>
      </c>
      <c r="J459" s="14">
        <f>F459-(G459+H459+I459)</f>
        <v/>
      </c>
      <c r="K459" s="14" t="n">
        <v>677.64</v>
      </c>
      <c r="L459" s="14" t="n">
        <v>677.64</v>
      </c>
      <c r="M459" s="14" t="n">
        <v>677.64</v>
      </c>
      <c r="N459" s="14" t="n">
        <v>677.64</v>
      </c>
      <c r="O459" s="14" t="n">
        <v>677.64</v>
      </c>
      <c r="P459" s="14" t="n">
        <v>677.64</v>
      </c>
      <c r="Q459" s="14" t="n">
        <v>677.64</v>
      </c>
      <c r="R459" s="14" t="n">
        <v>677.64</v>
      </c>
      <c r="S459" s="14" t="n">
        <v>677.64</v>
      </c>
      <c r="T459" s="14" t="n">
        <v>677.64</v>
      </c>
      <c r="U459" s="14" t="n">
        <v>350</v>
      </c>
      <c r="V459" s="14" t="n">
        <v>250</v>
      </c>
      <c r="W459" s="14">
        <f>U459+V459</f>
        <v/>
      </c>
    </row>
    <row r="460">
      <c r="A460" s="15" t="inlineStr">
        <is>
          <t>CANON-202603-005082</t>
        </is>
      </c>
      <c r="B460" s="15" t="inlineStr">
        <is>
          <t>2026-03-04</t>
        </is>
      </c>
      <c r="C460" s="15" t="inlineStr">
        <is>
          <t>Saoirse Underwood</t>
        </is>
      </c>
      <c r="D460" s="15" t="inlineStr">
        <is>
          <t>MI</t>
        </is>
      </c>
      <c r="E460" s="16" t="n">
        <v>490000</v>
      </c>
      <c r="F460" s="16" t="n">
        <v>9100.030000000001</v>
      </c>
      <c r="G460" s="16" t="n">
        <v>1137.5</v>
      </c>
      <c r="H460" s="16" t="n">
        <v>1137.5</v>
      </c>
      <c r="I460" s="16">
        <f>SUM(K460:T460)</f>
        <v/>
      </c>
      <c r="J460" s="16">
        <f>F460-(G460+H460+I460)</f>
        <v/>
      </c>
      <c r="K460" s="16" t="n">
        <v>682.5</v>
      </c>
      <c r="L460" s="16" t="n">
        <v>682.5</v>
      </c>
      <c r="M460" s="16" t="n">
        <v>682.5</v>
      </c>
      <c r="N460" s="16" t="n">
        <v>682.5</v>
      </c>
      <c r="O460" s="16" t="n">
        <v>682.5</v>
      </c>
      <c r="P460" s="16" t="n">
        <v>682.5</v>
      </c>
      <c r="Q460" s="16" t="n">
        <v>682.5</v>
      </c>
      <c r="R460" s="16" t="n">
        <v>682.5</v>
      </c>
      <c r="S460" s="16" t="n">
        <v>682.5</v>
      </c>
      <c r="T460" s="16" t="n">
        <v>682.5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CANON-202603-005083</t>
        </is>
      </c>
      <c r="B461" s="3" t="inlineStr">
        <is>
          <t>2026-03-20</t>
        </is>
      </c>
      <c r="C461" s="3" t="inlineStr">
        <is>
          <t>Ottilie Delacroix</t>
        </is>
      </c>
      <c r="D461" s="3" t="inlineStr">
        <is>
          <t>SD</t>
        </is>
      </c>
      <c r="E461" s="14" t="n">
        <v>1365000</v>
      </c>
      <c r="F461" s="14" t="n">
        <v>13312.88</v>
      </c>
      <c r="G461" s="14" t="n">
        <v>1664.11</v>
      </c>
      <c r="H461" s="14" t="n">
        <v>1664.11</v>
      </c>
      <c r="I461" s="14">
        <f>SUM(K461:T461)</f>
        <v/>
      </c>
      <c r="J461" s="14">
        <f>F461-(G461+H461+I461)</f>
        <v/>
      </c>
      <c r="K461" s="14" t="n">
        <v>998.47</v>
      </c>
      <c r="L461" s="14" t="n">
        <v>998.47</v>
      </c>
      <c r="M461" s="14" t="n">
        <v>998.47</v>
      </c>
      <c r="N461" s="14" t="n">
        <v>998.47</v>
      </c>
      <c r="O461" s="14" t="n">
        <v>998.47</v>
      </c>
      <c r="P461" s="14" t="n">
        <v>998.47</v>
      </c>
      <c r="Q461" s="14" t="n">
        <v>998.47</v>
      </c>
      <c r="R461" s="14" t="n">
        <v>998.47</v>
      </c>
      <c r="S461" s="14" t="n">
        <v>998.47</v>
      </c>
      <c r="T461" s="14" t="n">
        <v>998.47</v>
      </c>
      <c r="U461" s="14" t="n">
        <v>350</v>
      </c>
      <c r="V461" s="14" t="n">
        <v>250</v>
      </c>
      <c r="W461" s="14">
        <f>U461+V461</f>
        <v/>
      </c>
    </row>
    <row r="462">
      <c r="A462" s="15" t="inlineStr">
        <is>
          <t>CANON-202603-005084</t>
        </is>
      </c>
      <c r="B462" s="15" t="inlineStr">
        <is>
          <t>2026-03-15</t>
        </is>
      </c>
      <c r="C462" s="15" t="inlineStr">
        <is>
          <t>Ottilie Vandermeer</t>
        </is>
      </c>
      <c r="D462" s="15" t="inlineStr">
        <is>
          <t>IN</t>
        </is>
      </c>
      <c r="E462" s="16" t="n">
        <v>430000</v>
      </c>
      <c r="F462" s="16" t="n">
        <v>6337.07</v>
      </c>
      <c r="G462" s="16" t="n">
        <v>792.13</v>
      </c>
      <c r="H462" s="16" t="n">
        <v>792.13</v>
      </c>
      <c r="I462" s="16">
        <f>SUM(K462:T462)</f>
        <v/>
      </c>
      <c r="J462" s="16">
        <f>F462-(G462+H462+I462)</f>
        <v/>
      </c>
      <c r="K462" s="16" t="n">
        <v>475.28</v>
      </c>
      <c r="L462" s="16" t="n">
        <v>475.28</v>
      </c>
      <c r="M462" s="16" t="n">
        <v>475.28</v>
      </c>
      <c r="N462" s="16" t="n">
        <v>475.28</v>
      </c>
      <c r="O462" s="16" t="n">
        <v>475.28</v>
      </c>
      <c r="P462" s="16" t="n">
        <v>475.28</v>
      </c>
      <c r="Q462" s="16" t="n">
        <v>475.28</v>
      </c>
      <c r="R462" s="16" t="n">
        <v>475.28</v>
      </c>
      <c r="S462" s="16" t="n">
        <v>475.28</v>
      </c>
      <c r="T462" s="16" t="n">
        <v>475.28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CANON-202603-005085</t>
        </is>
      </c>
      <c r="B463" s="3" t="inlineStr">
        <is>
          <t>2026-03-02</t>
        </is>
      </c>
      <c r="C463" s="3" t="inlineStr">
        <is>
          <t>Fitzgerald Vandermeer</t>
        </is>
      </c>
      <c r="D463" s="3" t="inlineStr">
        <is>
          <t>NH</t>
        </is>
      </c>
      <c r="E463" s="14" t="n">
        <v>1190000</v>
      </c>
      <c r="F463" s="14" t="n">
        <v>15816.99</v>
      </c>
      <c r="G463" s="14" t="n">
        <v>1977.12</v>
      </c>
      <c r="H463" s="14" t="n">
        <v>1977.12</v>
      </c>
      <c r="I463" s="14">
        <f>SUM(K463:T463)</f>
        <v/>
      </c>
      <c r="J463" s="14">
        <f>F463-(G463+H463+I463)</f>
        <v/>
      </c>
      <c r="K463" s="14" t="n">
        <v>1186.27</v>
      </c>
      <c r="L463" s="14" t="n">
        <v>1186.27</v>
      </c>
      <c r="M463" s="14" t="n">
        <v>1186.27</v>
      </c>
      <c r="N463" s="14" t="n">
        <v>1186.27</v>
      </c>
      <c r="O463" s="14" t="n">
        <v>1186.27</v>
      </c>
      <c r="P463" s="14" t="n">
        <v>1186.27</v>
      </c>
      <c r="Q463" s="14" t="n">
        <v>1186.27</v>
      </c>
      <c r="R463" s="14" t="n">
        <v>1186.27</v>
      </c>
      <c r="S463" s="14" t="n">
        <v>1186.27</v>
      </c>
      <c r="T463" s="14" t="n">
        <v>1186.27</v>
      </c>
      <c r="U463" s="14" t="n">
        <v>350</v>
      </c>
      <c r="V463" s="14" t="n">
        <v>250</v>
      </c>
      <c r="W463" s="14">
        <f>U463+V463</f>
        <v/>
      </c>
    </row>
    <row r="464">
      <c r="A464" s="15" t="inlineStr">
        <is>
          <t>CANON-202603-005086</t>
        </is>
      </c>
      <c r="B464" s="15" t="inlineStr">
        <is>
          <t>2026-03-09</t>
        </is>
      </c>
      <c r="C464" s="15" t="inlineStr">
        <is>
          <t>Marisol Nakashima</t>
        </is>
      </c>
      <c r="D464" s="15" t="inlineStr">
        <is>
          <t>IL</t>
        </is>
      </c>
      <c r="E464" s="16" t="n">
        <v>225000</v>
      </c>
      <c r="F464" s="16" t="n">
        <v>4497.42</v>
      </c>
      <c r="G464" s="16" t="n">
        <v>562.1799999999999</v>
      </c>
      <c r="H464" s="16" t="n">
        <v>562.1799999999999</v>
      </c>
      <c r="I464" s="16">
        <f>SUM(K464:T464)</f>
        <v/>
      </c>
      <c r="J464" s="16">
        <f>F464-(G464+H464+I464)</f>
        <v/>
      </c>
      <c r="K464" s="16" t="n">
        <v>337.31</v>
      </c>
      <c r="L464" s="16" t="n">
        <v>337.31</v>
      </c>
      <c r="M464" s="16" t="n">
        <v>337.31</v>
      </c>
      <c r="N464" s="16" t="n">
        <v>337.31</v>
      </c>
      <c r="O464" s="16" t="n">
        <v>337.31</v>
      </c>
      <c r="P464" s="16" t="n">
        <v>337.31</v>
      </c>
      <c r="Q464" s="16" t="n">
        <v>337.31</v>
      </c>
      <c r="R464" s="16" t="n">
        <v>337.31</v>
      </c>
      <c r="S464" s="16" t="n">
        <v>337.31</v>
      </c>
      <c r="T464" s="16" t="n">
        <v>337.31</v>
      </c>
      <c r="U464" s="16" t="n">
        <v>350</v>
      </c>
      <c r="V464" s="16" t="n">
        <v>0</v>
      </c>
      <c r="W464" s="16">
        <f>U464+V464</f>
        <v/>
      </c>
    </row>
    <row r="465">
      <c r="A465" s="3" t="inlineStr">
        <is>
          <t>CANON-202603-005088</t>
        </is>
      </c>
      <c r="B465" s="3" t="inlineStr">
        <is>
          <t>2026-03-01</t>
        </is>
      </c>
      <c r="C465" s="3" t="inlineStr">
        <is>
          <t>Everett Farkas</t>
        </is>
      </c>
      <c r="D465" s="3" t="inlineStr">
        <is>
          <t>NH</t>
        </is>
      </c>
      <c r="E465" s="14" t="n">
        <v>1930000</v>
      </c>
      <c r="F465" s="14" t="n">
        <v>17636.28</v>
      </c>
      <c r="G465" s="14" t="n">
        <v>2204.53</v>
      </c>
      <c r="H465" s="14" t="n">
        <v>2204.53</v>
      </c>
      <c r="I465" s="14">
        <f>SUM(K465:T465)</f>
        <v/>
      </c>
      <c r="J465" s="14">
        <f>F465-(G465+H465+I465)</f>
        <v/>
      </c>
      <c r="K465" s="14" t="n">
        <v>1322.72</v>
      </c>
      <c r="L465" s="14" t="n">
        <v>1322.72</v>
      </c>
      <c r="M465" s="14" t="n">
        <v>1322.72</v>
      </c>
      <c r="N465" s="14" t="n">
        <v>1322.72</v>
      </c>
      <c r="O465" s="14" t="n">
        <v>1322.72</v>
      </c>
      <c r="P465" s="14" t="n">
        <v>1322.72</v>
      </c>
      <c r="Q465" s="14" t="n">
        <v>1322.72</v>
      </c>
      <c r="R465" s="14" t="n">
        <v>1322.72</v>
      </c>
      <c r="S465" s="14" t="n">
        <v>1322.72</v>
      </c>
      <c r="T465" s="14" t="n">
        <v>1322.72</v>
      </c>
      <c r="U465" s="14" t="n">
        <v>350</v>
      </c>
      <c r="V465" s="14" t="n">
        <v>250</v>
      </c>
      <c r="W465" s="14">
        <f>U465+V465</f>
        <v/>
      </c>
    </row>
    <row r="466">
      <c r="A466" s="15" t="inlineStr">
        <is>
          <t>CANON-202603-005090</t>
        </is>
      </c>
      <c r="B466" s="15" t="inlineStr">
        <is>
          <t>2026-03-02</t>
        </is>
      </c>
      <c r="C466" s="15" t="inlineStr">
        <is>
          <t>Wilhelmina Thistlewood</t>
        </is>
      </c>
      <c r="D466" s="15" t="inlineStr">
        <is>
          <t>SD</t>
        </is>
      </c>
      <c r="E466" s="16" t="n">
        <v>685000</v>
      </c>
      <c r="F466" s="16" t="n">
        <v>7895.52</v>
      </c>
      <c r="G466" s="16" t="n">
        <v>986.9400000000001</v>
      </c>
      <c r="H466" s="16" t="n">
        <v>986.9400000000001</v>
      </c>
      <c r="I466" s="16">
        <f>SUM(K466:T466)</f>
        <v/>
      </c>
      <c r="J466" s="16">
        <f>F466-(G466+H466+I466)</f>
        <v/>
      </c>
      <c r="K466" s="16" t="n">
        <v>592.16</v>
      </c>
      <c r="L466" s="16" t="n">
        <v>592.16</v>
      </c>
      <c r="M466" s="16" t="n">
        <v>592.16</v>
      </c>
      <c r="N466" s="16" t="n">
        <v>592.16</v>
      </c>
      <c r="O466" s="16" t="n">
        <v>592.16</v>
      </c>
      <c r="P466" s="16" t="n">
        <v>592.16</v>
      </c>
      <c r="Q466" s="16" t="n">
        <v>592.16</v>
      </c>
      <c r="R466" s="16" t="n">
        <v>592.16</v>
      </c>
      <c r="S466" s="16" t="n">
        <v>592.16</v>
      </c>
      <c r="T466" s="16" t="n">
        <v>592.16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CANON-202603-005091</t>
        </is>
      </c>
      <c r="B467" s="3" t="inlineStr">
        <is>
          <t>2026-03-21</t>
        </is>
      </c>
      <c r="C467" s="3" t="inlineStr">
        <is>
          <t>Ingrid Kingsford</t>
        </is>
      </c>
      <c r="D467" s="3" t="inlineStr">
        <is>
          <t>OH</t>
        </is>
      </c>
      <c r="E467" s="14" t="n">
        <v>750000</v>
      </c>
      <c r="F467" s="14" t="n">
        <v>7161.41</v>
      </c>
      <c r="G467" s="14" t="n">
        <v>895.1799999999999</v>
      </c>
      <c r="H467" s="14" t="n">
        <v>895.1799999999999</v>
      </c>
      <c r="I467" s="14">
        <f>SUM(K467:T467)</f>
        <v/>
      </c>
      <c r="J467" s="14">
        <f>F467-(G467+H467+I467)</f>
        <v/>
      </c>
      <c r="K467" s="14" t="n">
        <v>537.11</v>
      </c>
      <c r="L467" s="14" t="n">
        <v>537.11</v>
      </c>
      <c r="M467" s="14" t="n">
        <v>537.11</v>
      </c>
      <c r="N467" s="14" t="n">
        <v>537.11</v>
      </c>
      <c r="O467" s="14" t="n">
        <v>537.11</v>
      </c>
      <c r="P467" s="14" t="n">
        <v>537.11</v>
      </c>
      <c r="Q467" s="14" t="n">
        <v>537.11</v>
      </c>
      <c r="R467" s="14" t="n">
        <v>537.11</v>
      </c>
      <c r="S467" s="14" t="n">
        <v>537.11</v>
      </c>
      <c r="T467" s="14" t="n">
        <v>537.11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CANON-202603-005092</t>
        </is>
      </c>
      <c r="B468" s="15" t="inlineStr">
        <is>
          <t>2026-03-24</t>
        </is>
      </c>
      <c r="C468" s="15" t="inlineStr">
        <is>
          <t>Ramona Farkas</t>
        </is>
      </c>
      <c r="D468" s="15" t="inlineStr">
        <is>
          <t>WY</t>
        </is>
      </c>
      <c r="E468" s="16" t="n">
        <v>505000</v>
      </c>
      <c r="F468" s="16" t="n">
        <v>5611.02</v>
      </c>
      <c r="G468" s="16" t="n">
        <v>701.38</v>
      </c>
      <c r="H468" s="16" t="n">
        <v>701.38</v>
      </c>
      <c r="I468" s="16">
        <f>SUM(K468:T468)</f>
        <v/>
      </c>
      <c r="J468" s="16">
        <f>F468-(G468+H468+I468)</f>
        <v/>
      </c>
      <c r="K468" s="16" t="n">
        <v>420.83</v>
      </c>
      <c r="L468" s="16" t="n">
        <v>420.83</v>
      </c>
      <c r="M468" s="16" t="n">
        <v>420.83</v>
      </c>
      <c r="N468" s="16" t="n">
        <v>420.83</v>
      </c>
      <c r="O468" s="16" t="n">
        <v>420.83</v>
      </c>
      <c r="P468" s="16" t="n">
        <v>420.83</v>
      </c>
      <c r="Q468" s="16" t="n">
        <v>420.83</v>
      </c>
      <c r="R468" s="16" t="n">
        <v>420.83</v>
      </c>
      <c r="S468" s="16" t="n">
        <v>420.83</v>
      </c>
      <c r="T468" s="16" t="n">
        <v>420.83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CANON-202603-005094</t>
        </is>
      </c>
      <c r="B469" s="3" t="inlineStr">
        <is>
          <t>2026-03-16</t>
        </is>
      </c>
      <c r="C469" s="3" t="inlineStr">
        <is>
          <t>Fitzgerald Vasquez</t>
        </is>
      </c>
      <c r="D469" s="3" t="inlineStr">
        <is>
          <t>KS</t>
        </is>
      </c>
      <c r="E469" s="14" t="n">
        <v>320000</v>
      </c>
      <c r="F469" s="14" t="n">
        <v>3719.09</v>
      </c>
      <c r="G469" s="14" t="n">
        <v>464.89</v>
      </c>
      <c r="H469" s="14" t="n">
        <v>464.89</v>
      </c>
      <c r="I469" s="14">
        <f>SUM(K469:T469)</f>
        <v/>
      </c>
      <c r="J469" s="14">
        <f>F469-(G469+H469+I469)</f>
        <v/>
      </c>
      <c r="K469" s="14" t="n">
        <v>278.93</v>
      </c>
      <c r="L469" s="14" t="n">
        <v>278.93</v>
      </c>
      <c r="M469" s="14" t="n">
        <v>278.93</v>
      </c>
      <c r="N469" s="14" t="n">
        <v>278.93</v>
      </c>
      <c r="O469" s="14" t="n">
        <v>278.93</v>
      </c>
      <c r="P469" s="14" t="n">
        <v>278.93</v>
      </c>
      <c r="Q469" s="14" t="n">
        <v>278.93</v>
      </c>
      <c r="R469" s="14" t="n">
        <v>278.93</v>
      </c>
      <c r="S469" s="14" t="n">
        <v>278.93</v>
      </c>
      <c r="T469" s="14" t="n">
        <v>278.93</v>
      </c>
      <c r="U469" s="14" t="n">
        <v>350</v>
      </c>
      <c r="V469" s="14" t="n">
        <v>0</v>
      </c>
      <c r="W469" s="14">
        <f>U469+V469</f>
        <v/>
      </c>
    </row>
    <row r="470">
      <c r="A470" s="15" t="inlineStr">
        <is>
          <t>CANON-202603-005095</t>
        </is>
      </c>
      <c r="B470" s="15" t="inlineStr">
        <is>
          <t>2026-03-17</t>
        </is>
      </c>
      <c r="C470" s="15" t="inlineStr">
        <is>
          <t>Delphine Nakashima</t>
        </is>
      </c>
      <c r="D470" s="15" t="inlineStr">
        <is>
          <t>FL</t>
        </is>
      </c>
      <c r="E470" s="16" t="n">
        <v>1380000</v>
      </c>
      <c r="F470" s="16" t="n">
        <v>25044.43</v>
      </c>
      <c r="G470" s="16" t="n">
        <v>3130.55</v>
      </c>
      <c r="H470" s="16" t="n">
        <v>3130.55</v>
      </c>
      <c r="I470" s="16">
        <f>SUM(K470:T470)</f>
        <v/>
      </c>
      <c r="J470" s="16">
        <f>F470-(G470+H470+I470)</f>
        <v/>
      </c>
      <c r="K470" s="16" t="n">
        <v>1878.33</v>
      </c>
      <c r="L470" s="16" t="n">
        <v>1878.33</v>
      </c>
      <c r="M470" s="16" t="n">
        <v>1878.33</v>
      </c>
      <c r="N470" s="16" t="n">
        <v>1878.33</v>
      </c>
      <c r="O470" s="16" t="n">
        <v>1878.33</v>
      </c>
      <c r="P470" s="16" t="n">
        <v>1878.33</v>
      </c>
      <c r="Q470" s="16" t="n">
        <v>1878.33</v>
      </c>
      <c r="R470" s="16" t="n">
        <v>1878.33</v>
      </c>
      <c r="S470" s="16" t="n">
        <v>1878.33</v>
      </c>
      <c r="T470" s="16" t="n">
        <v>1878.33</v>
      </c>
      <c r="U470" s="16" t="n">
        <v>350</v>
      </c>
      <c r="V470" s="16" t="n">
        <v>250</v>
      </c>
      <c r="W470" s="16">
        <f>U470+V470</f>
        <v/>
      </c>
    </row>
    <row r="471">
      <c r="A471" s="3" t="inlineStr">
        <is>
          <t>CANON-202603-005096</t>
        </is>
      </c>
      <c r="B471" s="3" t="inlineStr">
        <is>
          <t>2026-03-29</t>
        </is>
      </c>
      <c r="C471" s="3" t="inlineStr">
        <is>
          <t>Fitzgerald Larsson</t>
        </is>
      </c>
      <c r="D471" s="3" t="inlineStr">
        <is>
          <t>TX</t>
        </is>
      </c>
      <c r="E471" s="14" t="n">
        <v>1060000</v>
      </c>
      <c r="F471" s="14" t="n">
        <v>10710.75</v>
      </c>
      <c r="G471" s="14" t="n">
        <v>1338.84</v>
      </c>
      <c r="H471" s="14" t="n">
        <v>1338.84</v>
      </c>
      <c r="I471" s="14">
        <f>SUM(K471:T471)</f>
        <v/>
      </c>
      <c r="J471" s="14">
        <f>F471-(G471+H471+I471)</f>
        <v/>
      </c>
      <c r="K471" s="14" t="n">
        <v>803.3099999999999</v>
      </c>
      <c r="L471" s="14" t="n">
        <v>803.3099999999999</v>
      </c>
      <c r="M471" s="14" t="n">
        <v>803.3099999999999</v>
      </c>
      <c r="N471" s="14" t="n">
        <v>803.3099999999999</v>
      </c>
      <c r="O471" s="14" t="n">
        <v>803.3099999999999</v>
      </c>
      <c r="P471" s="14" t="n">
        <v>803.3099999999999</v>
      </c>
      <c r="Q471" s="14" t="n">
        <v>803.3099999999999</v>
      </c>
      <c r="R471" s="14" t="n">
        <v>803.3099999999999</v>
      </c>
      <c r="S471" s="14" t="n">
        <v>803.3099999999999</v>
      </c>
      <c r="T471" s="14" t="n">
        <v>803.3099999999999</v>
      </c>
      <c r="U471" s="14" t="n">
        <v>350</v>
      </c>
      <c r="V471" s="14" t="n">
        <v>250</v>
      </c>
      <c r="W471" s="14">
        <f>U471+V471</f>
        <v/>
      </c>
    </row>
    <row r="472">
      <c r="A472" s="15" t="inlineStr">
        <is>
          <t>CANON-202603-005097</t>
        </is>
      </c>
      <c r="B472" s="15" t="inlineStr">
        <is>
          <t>2026-03-18</t>
        </is>
      </c>
      <c r="C472" s="15" t="inlineStr">
        <is>
          <t>Ottilie Montoya</t>
        </is>
      </c>
      <c r="D472" s="15" t="inlineStr">
        <is>
          <t>CA</t>
        </is>
      </c>
      <c r="E472" s="16" t="n">
        <v>595000</v>
      </c>
      <c r="F472" s="16" t="n">
        <v>8340.99</v>
      </c>
      <c r="G472" s="16" t="n">
        <v>1042.62</v>
      </c>
      <c r="H472" s="16" t="n">
        <v>1042.62</v>
      </c>
      <c r="I472" s="16">
        <f>SUM(K472:T472)</f>
        <v/>
      </c>
      <c r="J472" s="16">
        <f>F472-(G472+H472+I472)</f>
        <v/>
      </c>
      <c r="K472" s="16" t="n">
        <v>625.5700000000001</v>
      </c>
      <c r="L472" s="16" t="n">
        <v>625.5700000000001</v>
      </c>
      <c r="M472" s="16" t="n">
        <v>625.5700000000001</v>
      </c>
      <c r="N472" s="16" t="n">
        <v>625.5700000000001</v>
      </c>
      <c r="O472" s="16" t="n">
        <v>625.5700000000001</v>
      </c>
      <c r="P472" s="16" t="n">
        <v>625.5700000000001</v>
      </c>
      <c r="Q472" s="16" t="n">
        <v>625.5700000000001</v>
      </c>
      <c r="R472" s="16" t="n">
        <v>625.5700000000001</v>
      </c>
      <c r="S472" s="16" t="n">
        <v>625.5700000000001</v>
      </c>
      <c r="T472" s="16" t="n">
        <v>625.5700000000001</v>
      </c>
      <c r="U472" s="16" t="n">
        <v>350</v>
      </c>
      <c r="V472" s="16" t="n">
        <v>0</v>
      </c>
      <c r="W472" s="16">
        <f>U472+V472</f>
        <v/>
      </c>
    </row>
    <row r="473">
      <c r="A473" s="3" t="inlineStr">
        <is>
          <t>CANON-202603-005098</t>
        </is>
      </c>
      <c r="B473" s="3" t="inlineStr">
        <is>
          <t>2026-03-15</t>
        </is>
      </c>
      <c r="C473" s="3" t="inlineStr">
        <is>
          <t>Lorenzo Whitlock</t>
        </is>
      </c>
      <c r="D473" s="3" t="inlineStr">
        <is>
          <t>ID</t>
        </is>
      </c>
      <c r="E473" s="14" t="n">
        <v>345000</v>
      </c>
      <c r="F473" s="14" t="n">
        <v>6274.89</v>
      </c>
      <c r="G473" s="14" t="n">
        <v>784.36</v>
      </c>
      <c r="H473" s="14" t="n">
        <v>784.36</v>
      </c>
      <c r="I473" s="14">
        <f>SUM(K473:T473)</f>
        <v/>
      </c>
      <c r="J473" s="14">
        <f>F473-(G473+H473+I473)</f>
        <v/>
      </c>
      <c r="K473" s="14" t="n">
        <v>470.62</v>
      </c>
      <c r="L473" s="14" t="n">
        <v>470.62</v>
      </c>
      <c r="M473" s="14" t="n">
        <v>470.62</v>
      </c>
      <c r="N473" s="14" t="n">
        <v>470.62</v>
      </c>
      <c r="O473" s="14" t="n">
        <v>470.62</v>
      </c>
      <c r="P473" s="14" t="n">
        <v>470.62</v>
      </c>
      <c r="Q473" s="14" t="n">
        <v>470.62</v>
      </c>
      <c r="R473" s="14" t="n">
        <v>470.62</v>
      </c>
      <c r="S473" s="14" t="n">
        <v>470.62</v>
      </c>
      <c r="T473" s="14" t="n">
        <v>470.62</v>
      </c>
      <c r="U473" s="14" t="n">
        <v>350</v>
      </c>
      <c r="V473" s="14" t="n">
        <v>0</v>
      </c>
      <c r="W473" s="14">
        <f>U473+V473</f>
        <v/>
      </c>
    </row>
    <row r="474">
      <c r="A474" s="15" t="inlineStr">
        <is>
          <t>CANON-202603-005099</t>
        </is>
      </c>
      <c r="B474" s="15" t="inlineStr">
        <is>
          <t>2026-03-16</t>
        </is>
      </c>
      <c r="C474" s="15" t="inlineStr">
        <is>
          <t>Ingrid Kingsford</t>
        </is>
      </c>
      <c r="D474" s="15" t="inlineStr">
        <is>
          <t>RI</t>
        </is>
      </c>
      <c r="E474" s="16" t="n">
        <v>810000</v>
      </c>
      <c r="F474" s="16" t="n">
        <v>11523.19</v>
      </c>
      <c r="G474" s="16" t="n">
        <v>1440.4</v>
      </c>
      <c r="H474" s="16" t="n">
        <v>1440.4</v>
      </c>
      <c r="I474" s="16">
        <f>SUM(K474:T474)</f>
        <v/>
      </c>
      <c r="J474" s="16">
        <f>F474-(G474+H474+I474)</f>
        <v/>
      </c>
      <c r="K474" s="16" t="n">
        <v>864.24</v>
      </c>
      <c r="L474" s="16" t="n">
        <v>864.24</v>
      </c>
      <c r="M474" s="16" t="n">
        <v>864.24</v>
      </c>
      <c r="N474" s="16" t="n">
        <v>864.24</v>
      </c>
      <c r="O474" s="16" t="n">
        <v>864.24</v>
      </c>
      <c r="P474" s="16" t="n">
        <v>864.24</v>
      </c>
      <c r="Q474" s="16" t="n">
        <v>864.24</v>
      </c>
      <c r="R474" s="16" t="n">
        <v>864.24</v>
      </c>
      <c r="S474" s="16" t="n">
        <v>864.24</v>
      </c>
      <c r="T474" s="16" t="n">
        <v>864.24</v>
      </c>
      <c r="U474" s="16" t="n">
        <v>350</v>
      </c>
      <c r="V474" s="16" t="n">
        <v>0</v>
      </c>
      <c r="W474" s="16">
        <f>U474+V474</f>
        <v/>
      </c>
    </row>
    <row r="475">
      <c r="A475" s="3" t="inlineStr">
        <is>
          <t>CANON-202603-005100</t>
        </is>
      </c>
      <c r="B475" s="3" t="inlineStr">
        <is>
          <t>2026-03-30</t>
        </is>
      </c>
      <c r="C475" s="3" t="inlineStr">
        <is>
          <t>Priya Fairweather</t>
        </is>
      </c>
      <c r="D475" s="3" t="inlineStr">
        <is>
          <t>NY</t>
        </is>
      </c>
      <c r="E475" s="14" t="n">
        <v>785000</v>
      </c>
      <c r="F475" s="14" t="n">
        <v>15249.55</v>
      </c>
      <c r="G475" s="14" t="n">
        <v>1906.19</v>
      </c>
      <c r="H475" s="14" t="n">
        <v>1906.19</v>
      </c>
      <c r="I475" s="14">
        <f>SUM(K475:T475)</f>
        <v/>
      </c>
      <c r="J475" s="14">
        <f>F475-(G475+H475+I475)</f>
        <v/>
      </c>
      <c r="K475" s="14" t="n">
        <v>1143.72</v>
      </c>
      <c r="L475" s="14" t="n">
        <v>1143.72</v>
      </c>
      <c r="M475" s="14" t="n">
        <v>1143.72</v>
      </c>
      <c r="N475" s="14" t="n">
        <v>1143.72</v>
      </c>
      <c r="O475" s="14" t="n">
        <v>1143.72</v>
      </c>
      <c r="P475" s="14" t="n">
        <v>1143.72</v>
      </c>
      <c r="Q475" s="14" t="n">
        <v>1143.72</v>
      </c>
      <c r="R475" s="14" t="n">
        <v>1143.72</v>
      </c>
      <c r="S475" s="14" t="n">
        <v>1143.72</v>
      </c>
      <c r="T475" s="14" t="n">
        <v>1143.72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CANON-202603-005101</t>
        </is>
      </c>
      <c r="B476" s="15" t="inlineStr">
        <is>
          <t>2026-03-07</t>
        </is>
      </c>
      <c r="C476" s="15" t="inlineStr">
        <is>
          <t>Horace Okonkwo</t>
        </is>
      </c>
      <c r="D476" s="15" t="inlineStr">
        <is>
          <t>MS</t>
        </is>
      </c>
      <c r="E476" s="16" t="n">
        <v>545000</v>
      </c>
      <c r="F476" s="16" t="n">
        <v>6734.58</v>
      </c>
      <c r="G476" s="16" t="n">
        <v>841.8200000000001</v>
      </c>
      <c r="H476" s="16" t="n">
        <v>841.8200000000001</v>
      </c>
      <c r="I476" s="16">
        <f>SUM(K476:T476)</f>
        <v/>
      </c>
      <c r="J476" s="16">
        <f>F476-(G476+H476+I476)</f>
        <v/>
      </c>
      <c r="K476" s="16" t="n">
        <v>505.09</v>
      </c>
      <c r="L476" s="16" t="n">
        <v>505.09</v>
      </c>
      <c r="M476" s="16" t="n">
        <v>505.09</v>
      </c>
      <c r="N476" s="16" t="n">
        <v>505.09</v>
      </c>
      <c r="O476" s="16" t="n">
        <v>505.09</v>
      </c>
      <c r="P476" s="16" t="n">
        <v>505.09</v>
      </c>
      <c r="Q476" s="16" t="n">
        <v>505.09</v>
      </c>
      <c r="R476" s="16" t="n">
        <v>505.09</v>
      </c>
      <c r="S476" s="16" t="n">
        <v>505.09</v>
      </c>
      <c r="T476" s="16" t="n">
        <v>505.09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CANON-202603-005102</t>
        </is>
      </c>
      <c r="B477" s="3" t="inlineStr">
        <is>
          <t>2026-03-26</t>
        </is>
      </c>
      <c r="C477" s="3" t="inlineStr">
        <is>
          <t>Callum Harrington</t>
        </is>
      </c>
      <c r="D477" s="3" t="inlineStr">
        <is>
          <t>RI</t>
        </is>
      </c>
      <c r="E477" s="14" t="n">
        <v>170000</v>
      </c>
      <c r="F477" s="14" t="n">
        <v>2120.79</v>
      </c>
      <c r="G477" s="14" t="n">
        <v>265.1</v>
      </c>
      <c r="H477" s="14" t="n">
        <v>265.1</v>
      </c>
      <c r="I477" s="14">
        <f>SUM(K477:T477)</f>
        <v/>
      </c>
      <c r="J477" s="14">
        <f>F477-(G477+H477+I477)</f>
        <v/>
      </c>
      <c r="K477" s="14" t="n">
        <v>159.06</v>
      </c>
      <c r="L477" s="14" t="n">
        <v>159.06</v>
      </c>
      <c r="M477" s="14" t="n">
        <v>159.06</v>
      </c>
      <c r="N477" s="14" t="n">
        <v>159.06</v>
      </c>
      <c r="O477" s="14" t="n">
        <v>159.06</v>
      </c>
      <c r="P477" s="14" t="n">
        <v>159.06</v>
      </c>
      <c r="Q477" s="14" t="n">
        <v>159.06</v>
      </c>
      <c r="R477" s="14" t="n">
        <v>159.06</v>
      </c>
      <c r="S477" s="14" t="n">
        <v>159.06</v>
      </c>
      <c r="T477" s="14" t="n">
        <v>159.06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CANON-202603-005103</t>
        </is>
      </c>
      <c r="B478" s="15" t="inlineStr">
        <is>
          <t>2026-03-16</t>
        </is>
      </c>
      <c r="C478" s="15" t="inlineStr">
        <is>
          <t>Marisol Underwood</t>
        </is>
      </c>
      <c r="D478" s="15" t="inlineStr">
        <is>
          <t>AR</t>
        </is>
      </c>
      <c r="E478" s="16" t="n">
        <v>475000</v>
      </c>
      <c r="F478" s="16" t="n">
        <v>7853.94</v>
      </c>
      <c r="G478" s="16" t="n">
        <v>981.74</v>
      </c>
      <c r="H478" s="16" t="n">
        <v>981.74</v>
      </c>
      <c r="I478" s="16">
        <f>SUM(K478:T478)</f>
        <v/>
      </c>
      <c r="J478" s="16">
        <f>F478-(G478+H478+I478)</f>
        <v/>
      </c>
      <c r="K478" s="16" t="n">
        <v>589.05</v>
      </c>
      <c r="L478" s="16" t="n">
        <v>589.05</v>
      </c>
      <c r="M478" s="16" t="n">
        <v>589.05</v>
      </c>
      <c r="N478" s="16" t="n">
        <v>589.05</v>
      </c>
      <c r="O478" s="16" t="n">
        <v>589.05</v>
      </c>
      <c r="P478" s="16" t="n">
        <v>589.05</v>
      </c>
      <c r="Q478" s="16" t="n">
        <v>589.05</v>
      </c>
      <c r="R478" s="16" t="n">
        <v>589.05</v>
      </c>
      <c r="S478" s="16" t="n">
        <v>589.05</v>
      </c>
      <c r="T478" s="16" t="n">
        <v>589.05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CANON-202603-005105</t>
        </is>
      </c>
      <c r="B479" s="3" t="inlineStr">
        <is>
          <t>2026-03-14</t>
        </is>
      </c>
      <c r="C479" s="3" t="inlineStr">
        <is>
          <t>Mireille Delacroix</t>
        </is>
      </c>
      <c r="D479" s="3" t="inlineStr">
        <is>
          <t>RI</t>
        </is>
      </c>
      <c r="E479" s="14" t="n">
        <v>320000</v>
      </c>
      <c r="F479" s="14" t="n">
        <v>3361.75</v>
      </c>
      <c r="G479" s="14" t="n">
        <v>420.22</v>
      </c>
      <c r="H479" s="14" t="n">
        <v>420.22</v>
      </c>
      <c r="I479" s="14">
        <f>SUM(K479:T479)</f>
        <v/>
      </c>
      <c r="J479" s="14">
        <f>F479-(G479+H479+I479)</f>
        <v/>
      </c>
      <c r="K479" s="14" t="n">
        <v>252.13</v>
      </c>
      <c r="L479" s="14" t="n">
        <v>252.13</v>
      </c>
      <c r="M479" s="14" t="n">
        <v>252.13</v>
      </c>
      <c r="N479" s="14" t="n">
        <v>252.13</v>
      </c>
      <c r="O479" s="14" t="n">
        <v>252.13</v>
      </c>
      <c r="P479" s="14" t="n">
        <v>252.13</v>
      </c>
      <c r="Q479" s="14" t="n">
        <v>252.13</v>
      </c>
      <c r="R479" s="14" t="n">
        <v>252.13</v>
      </c>
      <c r="S479" s="14" t="n">
        <v>252.13</v>
      </c>
      <c r="T479" s="14" t="n">
        <v>252.13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CANON-202603-005106</t>
        </is>
      </c>
      <c r="B480" s="15" t="inlineStr">
        <is>
          <t>2026-03-05</t>
        </is>
      </c>
      <c r="C480" s="15" t="inlineStr">
        <is>
          <t>Everett Fairweather</t>
        </is>
      </c>
      <c r="D480" s="15" t="inlineStr">
        <is>
          <t>MI</t>
        </is>
      </c>
      <c r="E480" s="16" t="n">
        <v>1205000</v>
      </c>
      <c r="F480" s="16" t="n">
        <v>23870.55</v>
      </c>
      <c r="G480" s="16" t="n">
        <v>2983.82</v>
      </c>
      <c r="H480" s="16" t="n">
        <v>2983.82</v>
      </c>
      <c r="I480" s="16">
        <f>SUM(K480:T480)</f>
        <v/>
      </c>
      <c r="J480" s="16">
        <f>F480-(G480+H480+I480)</f>
        <v/>
      </c>
      <c r="K480" s="16" t="n">
        <v>1790.29</v>
      </c>
      <c r="L480" s="16" t="n">
        <v>1790.29</v>
      </c>
      <c r="M480" s="16" t="n">
        <v>1790.29</v>
      </c>
      <c r="N480" s="16" t="n">
        <v>1790.29</v>
      </c>
      <c r="O480" s="16" t="n">
        <v>1790.29</v>
      </c>
      <c r="P480" s="16" t="n">
        <v>1790.29</v>
      </c>
      <c r="Q480" s="16" t="n">
        <v>1790.29</v>
      </c>
      <c r="R480" s="16" t="n">
        <v>1790.29</v>
      </c>
      <c r="S480" s="16" t="n">
        <v>1790.29</v>
      </c>
      <c r="T480" s="16" t="n">
        <v>1790.29</v>
      </c>
      <c r="U480" s="16" t="n">
        <v>350</v>
      </c>
      <c r="V480" s="16" t="n">
        <v>250</v>
      </c>
      <c r="W480" s="16">
        <f>U480+V480</f>
        <v/>
      </c>
    </row>
    <row r="481">
      <c r="A481" s="3" t="inlineStr">
        <is>
          <t>CANON-202603-005107</t>
        </is>
      </c>
      <c r="B481" s="3" t="inlineStr">
        <is>
          <t>2026-03-11</t>
        </is>
      </c>
      <c r="C481" s="3" t="inlineStr">
        <is>
          <t>Fenwick Whitlock</t>
        </is>
      </c>
      <c r="D481" s="3" t="inlineStr">
        <is>
          <t>AK</t>
        </is>
      </c>
      <c r="E481" s="14" t="n">
        <v>490000</v>
      </c>
      <c r="F481" s="14" t="n">
        <v>6692.93</v>
      </c>
      <c r="G481" s="14" t="n">
        <v>836.62</v>
      </c>
      <c r="H481" s="14" t="n">
        <v>836.62</v>
      </c>
      <c r="I481" s="14">
        <f>SUM(K481:T481)</f>
        <v/>
      </c>
      <c r="J481" s="14">
        <f>F481-(G481+H481+I481)</f>
        <v/>
      </c>
      <c r="K481" s="14" t="n">
        <v>501.97</v>
      </c>
      <c r="L481" s="14" t="n">
        <v>501.97</v>
      </c>
      <c r="M481" s="14" t="n">
        <v>501.97</v>
      </c>
      <c r="N481" s="14" t="n">
        <v>501.97</v>
      </c>
      <c r="O481" s="14" t="n">
        <v>501.97</v>
      </c>
      <c r="P481" s="14" t="n">
        <v>501.97</v>
      </c>
      <c r="Q481" s="14" t="n">
        <v>501.97</v>
      </c>
      <c r="R481" s="14" t="n">
        <v>501.97</v>
      </c>
      <c r="S481" s="14" t="n">
        <v>501.97</v>
      </c>
      <c r="T481" s="14" t="n">
        <v>501.97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CANON-202603-005108</t>
        </is>
      </c>
      <c r="B482" s="15" t="inlineStr">
        <is>
          <t>2026-03-27</t>
        </is>
      </c>
      <c r="C482" s="15" t="inlineStr">
        <is>
          <t>Noor Ashcombe</t>
        </is>
      </c>
      <c r="D482" s="15" t="inlineStr">
        <is>
          <t>MS</t>
        </is>
      </c>
      <c r="E482" s="16" t="n">
        <v>1950000</v>
      </c>
      <c r="F482" s="16" t="n">
        <v>12604.17</v>
      </c>
      <c r="G482" s="16" t="n">
        <v>1575.52</v>
      </c>
      <c r="H482" s="16" t="n">
        <v>1575.52</v>
      </c>
      <c r="I482" s="16">
        <f>SUM(K482:T482)</f>
        <v/>
      </c>
      <c r="J482" s="16">
        <f>F482-(G482+H482+I482)</f>
        <v/>
      </c>
      <c r="K482" s="16" t="n">
        <v>945.3099999999999</v>
      </c>
      <c r="L482" s="16" t="n">
        <v>945.3099999999999</v>
      </c>
      <c r="M482" s="16" t="n">
        <v>945.3099999999999</v>
      </c>
      <c r="N482" s="16" t="n">
        <v>945.3099999999999</v>
      </c>
      <c r="O482" s="16" t="n">
        <v>945.3099999999999</v>
      </c>
      <c r="P482" s="16" t="n">
        <v>945.3099999999999</v>
      </c>
      <c r="Q482" s="16" t="n">
        <v>945.3099999999999</v>
      </c>
      <c r="R482" s="16" t="n">
        <v>945.3099999999999</v>
      </c>
      <c r="S482" s="16" t="n">
        <v>945.3099999999999</v>
      </c>
      <c r="T482" s="16" t="n">
        <v>945.3099999999999</v>
      </c>
      <c r="U482" s="16" t="n">
        <v>350</v>
      </c>
      <c r="V482" s="16" t="n">
        <v>250</v>
      </c>
      <c r="W482" s="16">
        <f>U482+V482</f>
        <v/>
      </c>
    </row>
    <row r="483">
      <c r="A483" s="3" t="inlineStr">
        <is>
          <t>CANON-202603-005109</t>
        </is>
      </c>
      <c r="B483" s="3" t="inlineStr">
        <is>
          <t>2026-03-06</t>
        </is>
      </c>
      <c r="C483" s="3" t="inlineStr">
        <is>
          <t>Everett Farkas</t>
        </is>
      </c>
      <c r="D483" s="3" t="inlineStr">
        <is>
          <t>CA</t>
        </is>
      </c>
      <c r="E483" s="14" t="n">
        <v>1135000</v>
      </c>
      <c r="F483" s="14" t="n">
        <v>9301.799999999999</v>
      </c>
      <c r="G483" s="14" t="n">
        <v>1162.72</v>
      </c>
      <c r="H483" s="14" t="n">
        <v>1162.72</v>
      </c>
      <c r="I483" s="14">
        <f>SUM(K483:T483)</f>
        <v/>
      </c>
      <c r="J483" s="14">
        <f>F483-(G483+H483+I483)</f>
        <v/>
      </c>
      <c r="K483" s="14" t="n">
        <v>697.63</v>
      </c>
      <c r="L483" s="14" t="n">
        <v>697.63</v>
      </c>
      <c r="M483" s="14" t="n">
        <v>697.63</v>
      </c>
      <c r="N483" s="14" t="n">
        <v>697.63</v>
      </c>
      <c r="O483" s="14" t="n">
        <v>697.63</v>
      </c>
      <c r="P483" s="14" t="n">
        <v>697.63</v>
      </c>
      <c r="Q483" s="14" t="n">
        <v>697.63</v>
      </c>
      <c r="R483" s="14" t="n">
        <v>697.63</v>
      </c>
      <c r="S483" s="14" t="n">
        <v>697.63</v>
      </c>
      <c r="T483" s="14" t="n">
        <v>697.63</v>
      </c>
      <c r="U483" s="14" t="n">
        <v>350</v>
      </c>
      <c r="V483" s="14" t="n">
        <v>250</v>
      </c>
      <c r="W483" s="14">
        <f>U483+V483</f>
        <v/>
      </c>
    </row>
    <row r="484">
      <c r="A484" s="15" t="inlineStr">
        <is>
          <t>CANON-202603-005110</t>
        </is>
      </c>
      <c r="B484" s="15" t="inlineStr">
        <is>
          <t>2026-03-09</t>
        </is>
      </c>
      <c r="C484" s="15" t="inlineStr">
        <is>
          <t>Saoirse Kingsford</t>
        </is>
      </c>
      <c r="D484" s="15" t="inlineStr">
        <is>
          <t>WV</t>
        </is>
      </c>
      <c r="E484" s="16" t="n">
        <v>400000</v>
      </c>
      <c r="F484" s="16" t="n">
        <v>6374.21</v>
      </c>
      <c r="G484" s="16" t="n">
        <v>796.78</v>
      </c>
      <c r="H484" s="16" t="n">
        <v>796.78</v>
      </c>
      <c r="I484" s="16">
        <f>SUM(K484:T484)</f>
        <v/>
      </c>
      <c r="J484" s="16">
        <f>F484-(G484+H484+I484)</f>
        <v/>
      </c>
      <c r="K484" s="16" t="n">
        <v>478.07</v>
      </c>
      <c r="L484" s="16" t="n">
        <v>478.07</v>
      </c>
      <c r="M484" s="16" t="n">
        <v>478.07</v>
      </c>
      <c r="N484" s="16" t="n">
        <v>478.07</v>
      </c>
      <c r="O484" s="16" t="n">
        <v>478.07</v>
      </c>
      <c r="P484" s="16" t="n">
        <v>478.07</v>
      </c>
      <c r="Q484" s="16" t="n">
        <v>478.07</v>
      </c>
      <c r="R484" s="16" t="n">
        <v>478.07</v>
      </c>
      <c r="S484" s="16" t="n">
        <v>478.07</v>
      </c>
      <c r="T484" s="16" t="n">
        <v>478.07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CANON-202603-005114</t>
        </is>
      </c>
      <c r="B485" s="3" t="inlineStr">
        <is>
          <t>2026-03-11</t>
        </is>
      </c>
      <c r="C485" s="3" t="inlineStr">
        <is>
          <t>Desmond Kingsford</t>
        </is>
      </c>
      <c r="D485" s="3" t="inlineStr">
        <is>
          <t>CT</t>
        </is>
      </c>
      <c r="E485" s="14" t="n">
        <v>395000</v>
      </c>
      <c r="F485" s="14" t="n">
        <v>5300.66</v>
      </c>
      <c r="G485" s="14" t="n">
        <v>662.58</v>
      </c>
      <c r="H485" s="14" t="n">
        <v>662.58</v>
      </c>
      <c r="I485" s="14">
        <f>SUM(K485:T485)</f>
        <v/>
      </c>
      <c r="J485" s="14">
        <f>F485-(G485+H485+I485)</f>
        <v/>
      </c>
      <c r="K485" s="14" t="n">
        <v>397.55</v>
      </c>
      <c r="L485" s="14" t="n">
        <v>397.55</v>
      </c>
      <c r="M485" s="14" t="n">
        <v>397.55</v>
      </c>
      <c r="N485" s="14" t="n">
        <v>397.55</v>
      </c>
      <c r="O485" s="14" t="n">
        <v>397.55</v>
      </c>
      <c r="P485" s="14" t="n">
        <v>397.55</v>
      </c>
      <c r="Q485" s="14" t="n">
        <v>397.55</v>
      </c>
      <c r="R485" s="14" t="n">
        <v>397.55</v>
      </c>
      <c r="S485" s="14" t="n">
        <v>397.55</v>
      </c>
      <c r="T485" s="14" t="n">
        <v>397.55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CANON-202603-005117</t>
        </is>
      </c>
      <c r="B486" s="15" t="inlineStr">
        <is>
          <t>2026-03-10</t>
        </is>
      </c>
      <c r="C486" s="15" t="inlineStr">
        <is>
          <t>Ramona Bellandi</t>
        </is>
      </c>
      <c r="D486" s="15" t="inlineStr">
        <is>
          <t>MI</t>
        </is>
      </c>
      <c r="E486" s="16" t="n">
        <v>440000</v>
      </c>
      <c r="F486" s="16" t="n">
        <v>8171.45</v>
      </c>
      <c r="G486" s="16" t="n">
        <v>1021.43</v>
      </c>
      <c r="H486" s="16" t="n">
        <v>1021.43</v>
      </c>
      <c r="I486" s="16">
        <f>SUM(K486:T486)</f>
        <v/>
      </c>
      <c r="J486" s="16">
        <f>F486-(G486+H486+I486)</f>
        <v/>
      </c>
      <c r="K486" s="16" t="n">
        <v>612.86</v>
      </c>
      <c r="L486" s="16" t="n">
        <v>612.86</v>
      </c>
      <c r="M486" s="16" t="n">
        <v>612.86</v>
      </c>
      <c r="N486" s="16" t="n">
        <v>612.86</v>
      </c>
      <c r="O486" s="16" t="n">
        <v>612.86</v>
      </c>
      <c r="P486" s="16" t="n">
        <v>612.86</v>
      </c>
      <c r="Q486" s="16" t="n">
        <v>612.86</v>
      </c>
      <c r="R486" s="16" t="n">
        <v>612.86</v>
      </c>
      <c r="S486" s="16" t="n">
        <v>612.86</v>
      </c>
      <c r="T486" s="16" t="n">
        <v>612.86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CANON-202603-005118</t>
        </is>
      </c>
      <c r="B487" s="3" t="inlineStr">
        <is>
          <t>2026-03-10</t>
        </is>
      </c>
      <c r="C487" s="3" t="inlineStr">
        <is>
          <t>Fenwick Larsson</t>
        </is>
      </c>
      <c r="D487" s="3" t="inlineStr">
        <is>
          <t>NE</t>
        </is>
      </c>
      <c r="E487" s="14" t="n">
        <v>1015000</v>
      </c>
      <c r="F487" s="14" t="n">
        <v>11593.8</v>
      </c>
      <c r="G487" s="14" t="n">
        <v>1449.22</v>
      </c>
      <c r="H487" s="14" t="n">
        <v>1449.22</v>
      </c>
      <c r="I487" s="14">
        <f>SUM(K487:T487)</f>
        <v/>
      </c>
      <c r="J487" s="14">
        <f>F487-(G487+H487+I487)</f>
        <v/>
      </c>
      <c r="K487" s="14" t="n">
        <v>869.53</v>
      </c>
      <c r="L487" s="14" t="n">
        <v>869.53</v>
      </c>
      <c r="M487" s="14" t="n">
        <v>869.53</v>
      </c>
      <c r="N487" s="14" t="n">
        <v>869.53</v>
      </c>
      <c r="O487" s="14" t="n">
        <v>869.53</v>
      </c>
      <c r="P487" s="14" t="n">
        <v>869.53</v>
      </c>
      <c r="Q487" s="14" t="n">
        <v>869.53</v>
      </c>
      <c r="R487" s="14" t="n">
        <v>869.53</v>
      </c>
      <c r="S487" s="14" t="n">
        <v>869.53</v>
      </c>
      <c r="T487" s="14" t="n">
        <v>869.53</v>
      </c>
      <c r="U487" s="14" t="n">
        <v>350</v>
      </c>
      <c r="V487" s="14" t="n">
        <v>250</v>
      </c>
      <c r="W487" s="14">
        <f>U487+V487</f>
        <v/>
      </c>
    </row>
    <row r="488">
      <c r="A488" s="15" t="inlineStr">
        <is>
          <t>CANON-202603-005119</t>
        </is>
      </c>
      <c r="B488" s="15" t="inlineStr">
        <is>
          <t>2026-03-26</t>
        </is>
      </c>
      <c r="C488" s="15" t="inlineStr">
        <is>
          <t>Beatrix Rourke</t>
        </is>
      </c>
      <c r="D488" s="15" t="inlineStr">
        <is>
          <t>OK</t>
        </is>
      </c>
      <c r="E488" s="16" t="n">
        <v>1775000</v>
      </c>
      <c r="F488" s="16" t="n">
        <v>19651.03</v>
      </c>
      <c r="G488" s="16" t="n">
        <v>2456.38</v>
      </c>
      <c r="H488" s="16" t="n">
        <v>2456.38</v>
      </c>
      <c r="I488" s="16">
        <f>SUM(K488:T488)</f>
        <v/>
      </c>
      <c r="J488" s="16">
        <f>F488-(G488+H488+I488)</f>
        <v/>
      </c>
      <c r="K488" s="16" t="n">
        <v>1473.83</v>
      </c>
      <c r="L488" s="16" t="n">
        <v>1473.83</v>
      </c>
      <c r="M488" s="16" t="n">
        <v>1473.83</v>
      </c>
      <c r="N488" s="16" t="n">
        <v>1473.83</v>
      </c>
      <c r="O488" s="16" t="n">
        <v>1473.83</v>
      </c>
      <c r="P488" s="16" t="n">
        <v>1473.83</v>
      </c>
      <c r="Q488" s="16" t="n">
        <v>1473.83</v>
      </c>
      <c r="R488" s="16" t="n">
        <v>1473.83</v>
      </c>
      <c r="S488" s="16" t="n">
        <v>1473.83</v>
      </c>
      <c r="T488" s="16" t="n">
        <v>1473.83</v>
      </c>
      <c r="U488" s="16" t="n">
        <v>350</v>
      </c>
      <c r="V488" s="16" t="n">
        <v>250</v>
      </c>
      <c r="W488" s="16">
        <f>U488+V488</f>
        <v/>
      </c>
    </row>
    <row r="489">
      <c r="A489" s="3" t="inlineStr">
        <is>
          <t>CANON-202603-005120</t>
        </is>
      </c>
      <c r="B489" s="3" t="inlineStr">
        <is>
          <t>2026-03-08</t>
        </is>
      </c>
      <c r="C489" s="3" t="inlineStr">
        <is>
          <t>Aurelio Rourke</t>
        </is>
      </c>
      <c r="D489" s="3" t="inlineStr">
        <is>
          <t>MA</t>
        </is>
      </c>
      <c r="E489" s="14" t="n">
        <v>1205000</v>
      </c>
      <c r="F489" s="14" t="n">
        <v>19250.44</v>
      </c>
      <c r="G489" s="14" t="n">
        <v>2406.3</v>
      </c>
      <c r="H489" s="14" t="n">
        <v>2406.3</v>
      </c>
      <c r="I489" s="14">
        <f>SUM(K489:T489)</f>
        <v/>
      </c>
      <c r="J489" s="14">
        <f>F489-(G489+H489+I489)</f>
        <v/>
      </c>
      <c r="K489" s="14" t="n">
        <v>1443.78</v>
      </c>
      <c r="L489" s="14" t="n">
        <v>1443.78</v>
      </c>
      <c r="M489" s="14" t="n">
        <v>1443.78</v>
      </c>
      <c r="N489" s="14" t="n">
        <v>1443.78</v>
      </c>
      <c r="O489" s="14" t="n">
        <v>1443.78</v>
      </c>
      <c r="P489" s="14" t="n">
        <v>1443.78</v>
      </c>
      <c r="Q489" s="14" t="n">
        <v>1443.78</v>
      </c>
      <c r="R489" s="14" t="n">
        <v>1443.78</v>
      </c>
      <c r="S489" s="14" t="n">
        <v>1443.78</v>
      </c>
      <c r="T489" s="14" t="n">
        <v>1443.78</v>
      </c>
      <c r="U489" s="14" t="n">
        <v>350</v>
      </c>
      <c r="V489" s="14" t="n">
        <v>250</v>
      </c>
      <c r="W489" s="14">
        <f>U489+V489</f>
        <v/>
      </c>
    </row>
    <row r="490">
      <c r="A490" s="15" t="inlineStr">
        <is>
          <t>CANON-202603-005121</t>
        </is>
      </c>
      <c r="B490" s="15" t="inlineStr">
        <is>
          <t>2026-03-05</t>
        </is>
      </c>
      <c r="C490" s="15" t="inlineStr">
        <is>
          <t>Desmond Montoya</t>
        </is>
      </c>
      <c r="D490" s="15" t="inlineStr">
        <is>
          <t>VT</t>
        </is>
      </c>
      <c r="E490" s="16" t="n">
        <v>1190000</v>
      </c>
      <c r="F490" s="16" t="n">
        <v>18554.55</v>
      </c>
      <c r="G490" s="16" t="n">
        <v>2319.32</v>
      </c>
      <c r="H490" s="16" t="n">
        <v>2319.32</v>
      </c>
      <c r="I490" s="16">
        <f>SUM(K490:T490)</f>
        <v/>
      </c>
      <c r="J490" s="16">
        <f>F490-(G490+H490+I490)</f>
        <v/>
      </c>
      <c r="K490" s="16" t="n">
        <v>1391.59</v>
      </c>
      <c r="L490" s="16" t="n">
        <v>1391.59</v>
      </c>
      <c r="M490" s="16" t="n">
        <v>1391.59</v>
      </c>
      <c r="N490" s="16" t="n">
        <v>1391.59</v>
      </c>
      <c r="O490" s="16" t="n">
        <v>1391.59</v>
      </c>
      <c r="P490" s="16" t="n">
        <v>1391.59</v>
      </c>
      <c r="Q490" s="16" t="n">
        <v>1391.59</v>
      </c>
      <c r="R490" s="16" t="n">
        <v>1391.59</v>
      </c>
      <c r="S490" s="16" t="n">
        <v>1391.59</v>
      </c>
      <c r="T490" s="16" t="n">
        <v>1391.59</v>
      </c>
      <c r="U490" s="16" t="n">
        <v>350</v>
      </c>
      <c r="V490" s="16" t="n">
        <v>250</v>
      </c>
      <c r="W490" s="16">
        <f>U490+V490</f>
        <v/>
      </c>
    </row>
    <row r="491">
      <c r="A491" s="3" t="inlineStr">
        <is>
          <t>CANON-202603-005122</t>
        </is>
      </c>
      <c r="B491" s="3" t="inlineStr">
        <is>
          <t>2026-03-13</t>
        </is>
      </c>
      <c r="C491" s="3" t="inlineStr">
        <is>
          <t>Sunniva Bellandi</t>
        </is>
      </c>
      <c r="D491" s="3" t="inlineStr">
        <is>
          <t>CO</t>
        </is>
      </c>
      <c r="E491" s="14" t="n">
        <v>610000</v>
      </c>
      <c r="F491" s="14" t="n">
        <v>6967.71</v>
      </c>
      <c r="G491" s="14" t="n">
        <v>870.96</v>
      </c>
      <c r="H491" s="14" t="n">
        <v>870.96</v>
      </c>
      <c r="I491" s="14">
        <f>SUM(K491:T491)</f>
        <v/>
      </c>
      <c r="J491" s="14">
        <f>F491-(G491+H491+I491)</f>
        <v/>
      </c>
      <c r="K491" s="14" t="n">
        <v>522.58</v>
      </c>
      <c r="L491" s="14" t="n">
        <v>522.58</v>
      </c>
      <c r="M491" s="14" t="n">
        <v>522.58</v>
      </c>
      <c r="N491" s="14" t="n">
        <v>522.58</v>
      </c>
      <c r="O491" s="14" t="n">
        <v>522.58</v>
      </c>
      <c r="P491" s="14" t="n">
        <v>522.58</v>
      </c>
      <c r="Q491" s="14" t="n">
        <v>522.58</v>
      </c>
      <c r="R491" s="14" t="n">
        <v>522.58</v>
      </c>
      <c r="S491" s="14" t="n">
        <v>522.58</v>
      </c>
      <c r="T491" s="14" t="n">
        <v>522.58</v>
      </c>
      <c r="U491" s="14" t="n">
        <v>350</v>
      </c>
      <c r="V491" s="14" t="n">
        <v>0</v>
      </c>
      <c r="W491" s="14">
        <f>U491+V491</f>
        <v/>
      </c>
    </row>
    <row r="492">
      <c r="A492" s="15" t="inlineStr">
        <is>
          <t>CANON-202603-005124</t>
        </is>
      </c>
      <c r="B492" s="15" t="inlineStr">
        <is>
          <t>2026-03-10</t>
        </is>
      </c>
      <c r="C492" s="15" t="inlineStr">
        <is>
          <t>Leopold Blackwood</t>
        </is>
      </c>
      <c r="D492" s="15" t="inlineStr">
        <is>
          <t>OH</t>
        </is>
      </c>
      <c r="E492" s="16" t="n">
        <v>290000</v>
      </c>
      <c r="F492" s="16" t="n">
        <v>7405.67</v>
      </c>
      <c r="G492" s="16" t="n">
        <v>925.71</v>
      </c>
      <c r="H492" s="16" t="n">
        <v>925.71</v>
      </c>
      <c r="I492" s="16">
        <f>SUM(K492:T492)</f>
        <v/>
      </c>
      <c r="J492" s="16">
        <f>F492-(G492+H492+I492)</f>
        <v/>
      </c>
      <c r="K492" s="16" t="n">
        <v>555.4299999999999</v>
      </c>
      <c r="L492" s="16" t="n">
        <v>555.4299999999999</v>
      </c>
      <c r="M492" s="16" t="n">
        <v>555.4299999999999</v>
      </c>
      <c r="N492" s="16" t="n">
        <v>555.4299999999999</v>
      </c>
      <c r="O492" s="16" t="n">
        <v>555.4299999999999</v>
      </c>
      <c r="P492" s="16" t="n">
        <v>555.4299999999999</v>
      </c>
      <c r="Q492" s="16" t="n">
        <v>555.4299999999999</v>
      </c>
      <c r="R492" s="16" t="n">
        <v>555.4299999999999</v>
      </c>
      <c r="S492" s="16" t="n">
        <v>555.4299999999999</v>
      </c>
      <c r="T492" s="16" t="n">
        <v>555.4299999999999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CANON-202603-005125</t>
        </is>
      </c>
      <c r="B493" s="3" t="inlineStr">
        <is>
          <t>2026-03-07</t>
        </is>
      </c>
      <c r="C493" s="3" t="inlineStr">
        <is>
          <t>Marisol Thistlewood</t>
        </is>
      </c>
      <c r="D493" s="3" t="inlineStr">
        <is>
          <t>LA</t>
        </is>
      </c>
      <c r="E493" s="14" t="n">
        <v>630000</v>
      </c>
      <c r="F493" s="14" t="n">
        <v>7915.76</v>
      </c>
      <c r="G493" s="14" t="n">
        <v>989.47</v>
      </c>
      <c r="H493" s="14" t="n">
        <v>989.47</v>
      </c>
      <c r="I493" s="14">
        <f>SUM(K493:T493)</f>
        <v/>
      </c>
      <c r="J493" s="14">
        <f>F493-(G493+H493+I493)</f>
        <v/>
      </c>
      <c r="K493" s="14" t="n">
        <v>593.6799999999999</v>
      </c>
      <c r="L493" s="14" t="n">
        <v>593.6799999999999</v>
      </c>
      <c r="M493" s="14" t="n">
        <v>593.6799999999999</v>
      </c>
      <c r="N493" s="14" t="n">
        <v>593.6799999999999</v>
      </c>
      <c r="O493" s="14" t="n">
        <v>593.6799999999999</v>
      </c>
      <c r="P493" s="14" t="n">
        <v>593.6799999999999</v>
      </c>
      <c r="Q493" s="14" t="n">
        <v>593.6799999999999</v>
      </c>
      <c r="R493" s="14" t="n">
        <v>593.6799999999999</v>
      </c>
      <c r="S493" s="14" t="n">
        <v>593.6799999999999</v>
      </c>
      <c r="T493" s="14" t="n">
        <v>593.6799999999999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CANON-202603-005126</t>
        </is>
      </c>
      <c r="B494" s="15" t="inlineStr">
        <is>
          <t>2026-03-09</t>
        </is>
      </c>
      <c r="C494" s="15" t="inlineStr">
        <is>
          <t>Priya Chattopadhyay</t>
        </is>
      </c>
      <c r="D494" s="15" t="inlineStr">
        <is>
          <t>CA</t>
        </is>
      </c>
      <c r="E494" s="16" t="n">
        <v>865000</v>
      </c>
      <c r="F494" s="16" t="n">
        <v>12125.98</v>
      </c>
      <c r="G494" s="16" t="n">
        <v>1515.75</v>
      </c>
      <c r="H494" s="16" t="n">
        <v>1515.75</v>
      </c>
      <c r="I494" s="16">
        <f>SUM(K494:T494)</f>
        <v/>
      </c>
      <c r="J494" s="16">
        <f>F494-(G494+H494+I494)</f>
        <v/>
      </c>
      <c r="K494" s="16" t="n">
        <v>909.45</v>
      </c>
      <c r="L494" s="16" t="n">
        <v>909.45</v>
      </c>
      <c r="M494" s="16" t="n">
        <v>909.45</v>
      </c>
      <c r="N494" s="16" t="n">
        <v>909.45</v>
      </c>
      <c r="O494" s="16" t="n">
        <v>909.45</v>
      </c>
      <c r="P494" s="16" t="n">
        <v>909.45</v>
      </c>
      <c r="Q494" s="16" t="n">
        <v>909.45</v>
      </c>
      <c r="R494" s="16" t="n">
        <v>909.45</v>
      </c>
      <c r="S494" s="16" t="n">
        <v>909.45</v>
      </c>
      <c r="T494" s="16" t="n">
        <v>909.45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CANON-202603-005128</t>
        </is>
      </c>
      <c r="B495" s="3" t="inlineStr">
        <is>
          <t>2026-03-15</t>
        </is>
      </c>
      <c r="C495" s="3" t="inlineStr">
        <is>
          <t>Thaddeus Rourke</t>
        </is>
      </c>
      <c r="D495" s="3" t="inlineStr">
        <is>
          <t>TX</t>
        </is>
      </c>
      <c r="E495" s="14" t="n">
        <v>425000</v>
      </c>
      <c r="F495" s="14" t="n">
        <v>5856.01</v>
      </c>
      <c r="G495" s="14" t="n">
        <v>732</v>
      </c>
      <c r="H495" s="14" t="n">
        <v>732</v>
      </c>
      <c r="I495" s="14">
        <f>SUM(K495:T495)</f>
        <v/>
      </c>
      <c r="J495" s="14">
        <f>F495-(G495+H495+I495)</f>
        <v/>
      </c>
      <c r="K495" s="14" t="n">
        <v>439.2</v>
      </c>
      <c r="L495" s="14" t="n">
        <v>439.2</v>
      </c>
      <c r="M495" s="14" t="n">
        <v>439.2</v>
      </c>
      <c r="N495" s="14" t="n">
        <v>439.2</v>
      </c>
      <c r="O495" s="14" t="n">
        <v>439.2</v>
      </c>
      <c r="P495" s="14" t="n">
        <v>439.2</v>
      </c>
      <c r="Q495" s="14" t="n">
        <v>439.2</v>
      </c>
      <c r="R495" s="14" t="n">
        <v>439.2</v>
      </c>
      <c r="S495" s="14" t="n">
        <v>439.2</v>
      </c>
      <c r="T495" s="14" t="n">
        <v>439.2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CANON-202603-005129</t>
        </is>
      </c>
      <c r="B496" s="15" t="inlineStr">
        <is>
          <t>2026-03-30</t>
        </is>
      </c>
      <c r="C496" s="15" t="inlineStr">
        <is>
          <t>Leopold Bellandi</t>
        </is>
      </c>
      <c r="D496" s="15" t="inlineStr">
        <is>
          <t>MT</t>
        </is>
      </c>
      <c r="E496" s="16" t="n">
        <v>335000</v>
      </c>
      <c r="F496" s="16" t="n">
        <v>3732.87</v>
      </c>
      <c r="G496" s="16" t="n">
        <v>466.61</v>
      </c>
      <c r="H496" s="16" t="n">
        <v>466.61</v>
      </c>
      <c r="I496" s="16">
        <f>SUM(K496:T496)</f>
        <v/>
      </c>
      <c r="J496" s="16">
        <f>F496-(G496+H496+I496)</f>
        <v/>
      </c>
      <c r="K496" s="16" t="n">
        <v>279.97</v>
      </c>
      <c r="L496" s="16" t="n">
        <v>279.97</v>
      </c>
      <c r="M496" s="16" t="n">
        <v>279.97</v>
      </c>
      <c r="N496" s="16" t="n">
        <v>279.97</v>
      </c>
      <c r="O496" s="16" t="n">
        <v>279.97</v>
      </c>
      <c r="P496" s="16" t="n">
        <v>279.97</v>
      </c>
      <c r="Q496" s="16" t="n">
        <v>279.97</v>
      </c>
      <c r="R496" s="16" t="n">
        <v>279.97</v>
      </c>
      <c r="S496" s="16" t="n">
        <v>279.97</v>
      </c>
      <c r="T496" s="16" t="n">
        <v>279.97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CANON-202603-005130</t>
        </is>
      </c>
      <c r="B497" s="3" t="inlineStr">
        <is>
          <t>2026-03-30</t>
        </is>
      </c>
      <c r="C497" s="3" t="inlineStr">
        <is>
          <t>Leopold Okonkwo</t>
        </is>
      </c>
      <c r="D497" s="3" t="inlineStr">
        <is>
          <t>CA</t>
        </is>
      </c>
      <c r="E497" s="14" t="n">
        <v>540000</v>
      </c>
      <c r="F497" s="14" t="n">
        <v>7569.98</v>
      </c>
      <c r="G497" s="14" t="n">
        <v>946.25</v>
      </c>
      <c r="H497" s="14" t="n">
        <v>946.25</v>
      </c>
      <c r="I497" s="14">
        <f>SUM(K497:T497)</f>
        <v/>
      </c>
      <c r="J497" s="14">
        <f>F497-(G497+H497+I497)</f>
        <v/>
      </c>
      <c r="K497" s="14" t="n">
        <v>567.75</v>
      </c>
      <c r="L497" s="14" t="n">
        <v>567.75</v>
      </c>
      <c r="M497" s="14" t="n">
        <v>567.75</v>
      </c>
      <c r="N497" s="14" t="n">
        <v>567.75</v>
      </c>
      <c r="O497" s="14" t="n">
        <v>567.75</v>
      </c>
      <c r="P497" s="14" t="n">
        <v>567.75</v>
      </c>
      <c r="Q497" s="14" t="n">
        <v>567.75</v>
      </c>
      <c r="R497" s="14" t="n">
        <v>567.75</v>
      </c>
      <c r="S497" s="14" t="n">
        <v>567.75</v>
      </c>
      <c r="T497" s="14" t="n">
        <v>567.75</v>
      </c>
      <c r="U497" s="14" t="n">
        <v>350</v>
      </c>
      <c r="V497" s="14" t="n">
        <v>0</v>
      </c>
      <c r="W497" s="14">
        <f>U497+V497</f>
        <v/>
      </c>
    </row>
    <row r="498">
      <c r="A498" s="15" t="inlineStr">
        <is>
          <t>CANON-202603-005131</t>
        </is>
      </c>
      <c r="B498" s="15" t="inlineStr">
        <is>
          <t>2026-03-26</t>
        </is>
      </c>
      <c r="C498" s="15" t="inlineStr">
        <is>
          <t>Anouk Castellanos</t>
        </is>
      </c>
      <c r="D498" s="15" t="inlineStr">
        <is>
          <t>HI</t>
        </is>
      </c>
      <c r="E498" s="16" t="n">
        <v>480000</v>
      </c>
      <c r="F498" s="16" t="n">
        <v>7476.52</v>
      </c>
      <c r="G498" s="16" t="n">
        <v>934.5700000000001</v>
      </c>
      <c r="H498" s="16" t="n">
        <v>934.5700000000001</v>
      </c>
      <c r="I498" s="16">
        <f>SUM(K498:T498)</f>
        <v/>
      </c>
      <c r="J498" s="16">
        <f>F498-(G498+H498+I498)</f>
        <v/>
      </c>
      <c r="K498" s="16" t="n">
        <v>560.74</v>
      </c>
      <c r="L498" s="16" t="n">
        <v>560.74</v>
      </c>
      <c r="M498" s="16" t="n">
        <v>560.74</v>
      </c>
      <c r="N498" s="16" t="n">
        <v>560.74</v>
      </c>
      <c r="O498" s="16" t="n">
        <v>560.74</v>
      </c>
      <c r="P498" s="16" t="n">
        <v>560.74</v>
      </c>
      <c r="Q498" s="16" t="n">
        <v>560.74</v>
      </c>
      <c r="R498" s="16" t="n">
        <v>560.74</v>
      </c>
      <c r="S498" s="16" t="n">
        <v>560.74</v>
      </c>
      <c r="T498" s="16" t="n">
        <v>560.74</v>
      </c>
      <c r="U498" s="16" t="n">
        <v>350</v>
      </c>
      <c r="V498" s="16" t="n">
        <v>0</v>
      </c>
      <c r="W498" s="16">
        <f>U498+V498</f>
        <v/>
      </c>
    </row>
    <row r="499">
      <c r="A499" s="3" t="inlineStr">
        <is>
          <t>CANON-202603-005132</t>
        </is>
      </c>
      <c r="B499" s="3" t="inlineStr">
        <is>
          <t>2026-03-15</t>
        </is>
      </c>
      <c r="C499" s="3" t="inlineStr">
        <is>
          <t>Everett Vandermeer</t>
        </is>
      </c>
      <c r="D499" s="3" t="inlineStr">
        <is>
          <t>LA</t>
        </is>
      </c>
      <c r="E499" s="14" t="n">
        <v>320000</v>
      </c>
      <c r="F499" s="14" t="n">
        <v>4639.28</v>
      </c>
      <c r="G499" s="14" t="n">
        <v>579.91</v>
      </c>
      <c r="H499" s="14" t="n">
        <v>579.91</v>
      </c>
      <c r="I499" s="14">
        <f>SUM(K499:T499)</f>
        <v/>
      </c>
      <c r="J499" s="14">
        <f>F499-(G499+H499+I499)</f>
        <v/>
      </c>
      <c r="K499" s="14" t="n">
        <v>347.95</v>
      </c>
      <c r="L499" s="14" t="n">
        <v>347.95</v>
      </c>
      <c r="M499" s="14" t="n">
        <v>347.95</v>
      </c>
      <c r="N499" s="14" t="n">
        <v>347.95</v>
      </c>
      <c r="O499" s="14" t="n">
        <v>347.95</v>
      </c>
      <c r="P499" s="14" t="n">
        <v>347.95</v>
      </c>
      <c r="Q499" s="14" t="n">
        <v>347.95</v>
      </c>
      <c r="R499" s="14" t="n">
        <v>347.95</v>
      </c>
      <c r="S499" s="14" t="n">
        <v>347.95</v>
      </c>
      <c r="T499" s="14" t="n">
        <v>347.95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CANON-202603-005133</t>
        </is>
      </c>
      <c r="B500" s="15" t="inlineStr">
        <is>
          <t>2026-03-24</t>
        </is>
      </c>
      <c r="C500" s="15" t="inlineStr">
        <is>
          <t>Wilhelmina Harrington</t>
        </is>
      </c>
      <c r="D500" s="15" t="inlineStr">
        <is>
          <t>ND</t>
        </is>
      </c>
      <c r="E500" s="16" t="n">
        <v>520000</v>
      </c>
      <c r="F500" s="16" t="n">
        <v>8049.72</v>
      </c>
      <c r="G500" s="16" t="n">
        <v>1006.22</v>
      </c>
      <c r="H500" s="16" t="n">
        <v>1006.22</v>
      </c>
      <c r="I500" s="16">
        <f>SUM(K500:T500)</f>
        <v/>
      </c>
      <c r="J500" s="16">
        <f>F500-(G500+H500+I500)</f>
        <v/>
      </c>
      <c r="K500" s="16" t="n">
        <v>603.73</v>
      </c>
      <c r="L500" s="16" t="n">
        <v>603.73</v>
      </c>
      <c r="M500" s="16" t="n">
        <v>603.73</v>
      </c>
      <c r="N500" s="16" t="n">
        <v>603.73</v>
      </c>
      <c r="O500" s="16" t="n">
        <v>603.73</v>
      </c>
      <c r="P500" s="16" t="n">
        <v>603.73</v>
      </c>
      <c r="Q500" s="16" t="n">
        <v>603.73</v>
      </c>
      <c r="R500" s="16" t="n">
        <v>603.73</v>
      </c>
      <c r="S500" s="16" t="n">
        <v>603.73</v>
      </c>
      <c r="T500" s="16" t="n">
        <v>603.73</v>
      </c>
      <c r="U500" s="16" t="n">
        <v>350</v>
      </c>
      <c r="V500" s="16" t="n">
        <v>0</v>
      </c>
      <c r="W500" s="16">
        <f>U500+V500</f>
        <v/>
      </c>
    </row>
    <row r="501">
      <c r="A501" s="3" t="inlineStr">
        <is>
          <t>CANON-202603-005136</t>
        </is>
      </c>
      <c r="B501" s="3" t="inlineStr">
        <is>
          <t>2026-03-18</t>
        </is>
      </c>
      <c r="C501" s="3" t="inlineStr">
        <is>
          <t>Cassius Thistlewood</t>
        </is>
      </c>
      <c r="D501" s="3" t="inlineStr">
        <is>
          <t>WA</t>
        </is>
      </c>
      <c r="E501" s="14" t="n">
        <v>370000</v>
      </c>
      <c r="F501" s="14" t="n">
        <v>4255.87</v>
      </c>
      <c r="G501" s="14" t="n">
        <v>531.98</v>
      </c>
      <c r="H501" s="14" t="n">
        <v>531.98</v>
      </c>
      <c r="I501" s="14">
        <f>SUM(K501:T501)</f>
        <v/>
      </c>
      <c r="J501" s="14">
        <f>F501-(G501+H501+I501)</f>
        <v/>
      </c>
      <c r="K501" s="14" t="n">
        <v>319.19</v>
      </c>
      <c r="L501" s="14" t="n">
        <v>319.19</v>
      </c>
      <c r="M501" s="14" t="n">
        <v>319.19</v>
      </c>
      <c r="N501" s="14" t="n">
        <v>319.19</v>
      </c>
      <c r="O501" s="14" t="n">
        <v>319.19</v>
      </c>
      <c r="P501" s="14" t="n">
        <v>319.19</v>
      </c>
      <c r="Q501" s="14" t="n">
        <v>319.19</v>
      </c>
      <c r="R501" s="14" t="n">
        <v>319.19</v>
      </c>
      <c r="S501" s="14" t="n">
        <v>319.19</v>
      </c>
      <c r="T501" s="14" t="n">
        <v>319.19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CANON-202603-005137</t>
        </is>
      </c>
      <c r="B502" s="15" t="inlineStr">
        <is>
          <t>2026-03-07</t>
        </is>
      </c>
      <c r="C502" s="15" t="inlineStr">
        <is>
          <t>Ramona Underwood</t>
        </is>
      </c>
      <c r="D502" s="15" t="inlineStr">
        <is>
          <t>WA</t>
        </is>
      </c>
      <c r="E502" s="16" t="n">
        <v>480000</v>
      </c>
      <c r="F502" s="16" t="n">
        <v>8465.719999999999</v>
      </c>
      <c r="G502" s="16" t="n">
        <v>1058.21</v>
      </c>
      <c r="H502" s="16" t="n">
        <v>1058.21</v>
      </c>
      <c r="I502" s="16">
        <f>SUM(K502:T502)</f>
        <v/>
      </c>
      <c r="J502" s="16">
        <f>F502-(G502+H502+I502)</f>
        <v/>
      </c>
      <c r="K502" s="16" t="n">
        <v>634.9299999999999</v>
      </c>
      <c r="L502" s="16" t="n">
        <v>634.9299999999999</v>
      </c>
      <c r="M502" s="16" t="n">
        <v>634.9299999999999</v>
      </c>
      <c r="N502" s="16" t="n">
        <v>634.9299999999999</v>
      </c>
      <c r="O502" s="16" t="n">
        <v>634.9299999999999</v>
      </c>
      <c r="P502" s="16" t="n">
        <v>634.9299999999999</v>
      </c>
      <c r="Q502" s="16" t="n">
        <v>634.9299999999999</v>
      </c>
      <c r="R502" s="16" t="n">
        <v>634.9299999999999</v>
      </c>
      <c r="S502" s="16" t="n">
        <v>634.9299999999999</v>
      </c>
      <c r="T502" s="16" t="n">
        <v>634.9299999999999</v>
      </c>
      <c r="U502" s="16" t="n">
        <v>350</v>
      </c>
      <c r="V502" s="16" t="n">
        <v>0</v>
      </c>
      <c r="W502" s="16">
        <f>U502+V502</f>
        <v/>
      </c>
    </row>
    <row r="503">
      <c r="A503" s="3" t="inlineStr">
        <is>
          <t>CANON-202603-005138</t>
        </is>
      </c>
      <c r="B503" s="3" t="inlineStr">
        <is>
          <t>2026-03-24</t>
        </is>
      </c>
      <c r="C503" s="3" t="inlineStr">
        <is>
          <t>Priya Nakashima</t>
        </is>
      </c>
      <c r="D503" s="3" t="inlineStr">
        <is>
          <t>VA</t>
        </is>
      </c>
      <c r="E503" s="14" t="n">
        <v>985000</v>
      </c>
      <c r="F503" s="14" t="n">
        <v>11148.85</v>
      </c>
      <c r="G503" s="14" t="n">
        <v>1393.61</v>
      </c>
      <c r="H503" s="14" t="n">
        <v>1393.61</v>
      </c>
      <c r="I503" s="14">
        <f>SUM(K503:T503)</f>
        <v/>
      </c>
      <c r="J503" s="14">
        <f>F503-(G503+H503+I503)</f>
        <v/>
      </c>
      <c r="K503" s="14" t="n">
        <v>836.16</v>
      </c>
      <c r="L503" s="14" t="n">
        <v>836.16</v>
      </c>
      <c r="M503" s="14" t="n">
        <v>836.16</v>
      </c>
      <c r="N503" s="14" t="n">
        <v>836.16</v>
      </c>
      <c r="O503" s="14" t="n">
        <v>836.16</v>
      </c>
      <c r="P503" s="14" t="n">
        <v>836.16</v>
      </c>
      <c r="Q503" s="14" t="n">
        <v>836.16</v>
      </c>
      <c r="R503" s="14" t="n">
        <v>836.16</v>
      </c>
      <c r="S503" s="14" t="n">
        <v>836.16</v>
      </c>
      <c r="T503" s="14" t="n">
        <v>836.16</v>
      </c>
      <c r="U503" s="14" t="n">
        <v>350</v>
      </c>
      <c r="V503" s="14" t="n">
        <v>0</v>
      </c>
      <c r="W503" s="14">
        <f>U503+V503</f>
        <v/>
      </c>
    </row>
    <row r="504">
      <c r="A504" s="15" t="inlineStr">
        <is>
          <t>CANON-202603-005139</t>
        </is>
      </c>
      <c r="B504" s="15" t="inlineStr">
        <is>
          <t>2026-03-12</t>
        </is>
      </c>
      <c r="C504" s="15" t="inlineStr">
        <is>
          <t>Thaddeus Castellanos</t>
        </is>
      </c>
      <c r="D504" s="15" t="inlineStr">
        <is>
          <t>MO</t>
        </is>
      </c>
      <c r="E504" s="16" t="n">
        <v>415000</v>
      </c>
      <c r="F504" s="16" t="n">
        <v>5270.71</v>
      </c>
      <c r="G504" s="16" t="n">
        <v>658.84</v>
      </c>
      <c r="H504" s="16" t="n">
        <v>658.84</v>
      </c>
      <c r="I504" s="16">
        <f>SUM(K504:T504)</f>
        <v/>
      </c>
      <c r="J504" s="16">
        <f>F504-(G504+H504+I504)</f>
        <v/>
      </c>
      <c r="K504" s="16" t="n">
        <v>395.3</v>
      </c>
      <c r="L504" s="16" t="n">
        <v>395.3</v>
      </c>
      <c r="M504" s="16" t="n">
        <v>395.3</v>
      </c>
      <c r="N504" s="16" t="n">
        <v>395.3</v>
      </c>
      <c r="O504" s="16" t="n">
        <v>395.3</v>
      </c>
      <c r="P504" s="16" t="n">
        <v>395.3</v>
      </c>
      <c r="Q504" s="16" t="n">
        <v>395.3</v>
      </c>
      <c r="R504" s="16" t="n">
        <v>395.3</v>
      </c>
      <c r="S504" s="16" t="n">
        <v>395.3</v>
      </c>
      <c r="T504" s="16" t="n">
        <v>395.3</v>
      </c>
      <c r="U504" s="16" t="n">
        <v>350</v>
      </c>
      <c r="V504" s="16" t="n">
        <v>0</v>
      </c>
      <c r="W504" s="16">
        <f>U504+V504</f>
        <v/>
      </c>
    </row>
    <row r="505">
      <c r="A505" s="3" t="inlineStr">
        <is>
          <t>CANON-202603-005140</t>
        </is>
      </c>
      <c r="B505" s="3" t="inlineStr">
        <is>
          <t>2026-03-25</t>
        </is>
      </c>
      <c r="C505" s="3" t="inlineStr">
        <is>
          <t>Ottilie Castellanos</t>
        </is>
      </c>
      <c r="D505" s="3" t="inlineStr">
        <is>
          <t>NC</t>
        </is>
      </c>
      <c r="E505" s="14" t="n">
        <v>1085000</v>
      </c>
      <c r="F505" s="14" t="n">
        <v>7574.69</v>
      </c>
      <c r="G505" s="14" t="n">
        <v>946.84</v>
      </c>
      <c r="H505" s="14" t="n">
        <v>946.84</v>
      </c>
      <c r="I505" s="14">
        <f>SUM(K505:T505)</f>
        <v/>
      </c>
      <c r="J505" s="14">
        <f>F505-(G505+H505+I505)</f>
        <v/>
      </c>
      <c r="K505" s="14" t="n">
        <v>568.1</v>
      </c>
      <c r="L505" s="14" t="n">
        <v>568.1</v>
      </c>
      <c r="M505" s="14" t="n">
        <v>568.1</v>
      </c>
      <c r="N505" s="14" t="n">
        <v>568.1</v>
      </c>
      <c r="O505" s="14" t="n">
        <v>568.1</v>
      </c>
      <c r="P505" s="14" t="n">
        <v>568.1</v>
      </c>
      <c r="Q505" s="14" t="n">
        <v>568.1</v>
      </c>
      <c r="R505" s="14" t="n">
        <v>568.1</v>
      </c>
      <c r="S505" s="14" t="n">
        <v>568.1</v>
      </c>
      <c r="T505" s="14" t="n">
        <v>568.1</v>
      </c>
      <c r="U505" s="14" t="n">
        <v>350</v>
      </c>
      <c r="V505" s="14" t="n">
        <v>250</v>
      </c>
      <c r="W505" s="14">
        <f>U505+V505</f>
        <v/>
      </c>
    </row>
    <row r="506">
      <c r="A506" s="15" t="inlineStr">
        <is>
          <t>CANON-202603-005141</t>
        </is>
      </c>
      <c r="B506" s="15" t="inlineStr">
        <is>
          <t>2026-03-07</t>
        </is>
      </c>
      <c r="C506" s="15" t="inlineStr">
        <is>
          <t>Horace Vandermeer</t>
        </is>
      </c>
      <c r="D506" s="15" t="inlineStr">
        <is>
          <t>AZ</t>
        </is>
      </c>
      <c r="E506" s="16" t="n">
        <v>255000</v>
      </c>
      <c r="F506" s="16" t="n">
        <v>4731.66</v>
      </c>
      <c r="G506" s="16" t="n">
        <v>591.46</v>
      </c>
      <c r="H506" s="16" t="n">
        <v>591.46</v>
      </c>
      <c r="I506" s="16">
        <f>SUM(K506:T506)</f>
        <v/>
      </c>
      <c r="J506" s="16">
        <f>F506-(G506+H506+I506)</f>
        <v/>
      </c>
      <c r="K506" s="16" t="n">
        <v>354.87</v>
      </c>
      <c r="L506" s="16" t="n">
        <v>354.87</v>
      </c>
      <c r="M506" s="16" t="n">
        <v>354.87</v>
      </c>
      <c r="N506" s="16" t="n">
        <v>354.87</v>
      </c>
      <c r="O506" s="16" t="n">
        <v>354.87</v>
      </c>
      <c r="P506" s="16" t="n">
        <v>354.87</v>
      </c>
      <c r="Q506" s="16" t="n">
        <v>354.87</v>
      </c>
      <c r="R506" s="16" t="n">
        <v>354.87</v>
      </c>
      <c r="S506" s="16" t="n">
        <v>354.87</v>
      </c>
      <c r="T506" s="16" t="n">
        <v>354.87</v>
      </c>
      <c r="U506" s="16" t="n">
        <v>350</v>
      </c>
      <c r="V506" s="16" t="n">
        <v>0</v>
      </c>
      <c r="W506" s="16">
        <f>U506+V506</f>
        <v/>
      </c>
    </row>
    <row r="507">
      <c r="A507" s="3" t="inlineStr">
        <is>
          <t>CANON-202603-005142</t>
        </is>
      </c>
      <c r="B507" s="3" t="inlineStr">
        <is>
          <t>2026-03-14</t>
        </is>
      </c>
      <c r="C507" s="3" t="inlineStr">
        <is>
          <t>Leopold Ashcombe</t>
        </is>
      </c>
      <c r="D507" s="3" t="inlineStr">
        <is>
          <t>OH</t>
        </is>
      </c>
      <c r="E507" s="14" t="n">
        <v>345000</v>
      </c>
      <c r="F507" s="14" t="n">
        <v>5745.77</v>
      </c>
      <c r="G507" s="14" t="n">
        <v>718.22</v>
      </c>
      <c r="H507" s="14" t="n">
        <v>718.22</v>
      </c>
      <c r="I507" s="14">
        <f>SUM(K507:T507)</f>
        <v/>
      </c>
      <c r="J507" s="14">
        <f>F507-(G507+H507+I507)</f>
        <v/>
      </c>
      <c r="K507" s="14" t="n">
        <v>430.93</v>
      </c>
      <c r="L507" s="14" t="n">
        <v>430.93</v>
      </c>
      <c r="M507" s="14" t="n">
        <v>430.93</v>
      </c>
      <c r="N507" s="14" t="n">
        <v>430.93</v>
      </c>
      <c r="O507" s="14" t="n">
        <v>430.93</v>
      </c>
      <c r="P507" s="14" t="n">
        <v>430.93</v>
      </c>
      <c r="Q507" s="14" t="n">
        <v>430.93</v>
      </c>
      <c r="R507" s="14" t="n">
        <v>430.93</v>
      </c>
      <c r="S507" s="14" t="n">
        <v>430.93</v>
      </c>
      <c r="T507" s="14" t="n">
        <v>430.93</v>
      </c>
      <c r="U507" s="14" t="n">
        <v>350</v>
      </c>
      <c r="V507" s="14" t="n">
        <v>0</v>
      </c>
      <c r="W507" s="14">
        <f>U507+V507</f>
        <v/>
      </c>
    </row>
    <row r="508">
      <c r="A508" s="15" t="inlineStr">
        <is>
          <t>CANON-202603-005143</t>
        </is>
      </c>
      <c r="B508" s="15" t="inlineStr">
        <is>
          <t>2026-03-29</t>
        </is>
      </c>
      <c r="C508" s="15" t="inlineStr">
        <is>
          <t>Ottilie Castellanos</t>
        </is>
      </c>
      <c r="D508" s="15" t="inlineStr">
        <is>
          <t>OK</t>
        </is>
      </c>
      <c r="E508" s="16" t="n">
        <v>1000000</v>
      </c>
      <c r="F508" s="16" t="n">
        <v>13687.79</v>
      </c>
      <c r="G508" s="16" t="n">
        <v>1710.97</v>
      </c>
      <c r="H508" s="16" t="n">
        <v>1710.97</v>
      </c>
      <c r="I508" s="16">
        <f>SUM(K508:T508)</f>
        <v/>
      </c>
      <c r="J508" s="16">
        <f>F508-(G508+H508+I508)</f>
        <v/>
      </c>
      <c r="K508" s="16" t="n">
        <v>1026.58</v>
      </c>
      <c r="L508" s="16" t="n">
        <v>1026.58</v>
      </c>
      <c r="M508" s="16" t="n">
        <v>1026.58</v>
      </c>
      <c r="N508" s="16" t="n">
        <v>1026.58</v>
      </c>
      <c r="O508" s="16" t="n">
        <v>1026.58</v>
      </c>
      <c r="P508" s="16" t="n">
        <v>1026.58</v>
      </c>
      <c r="Q508" s="16" t="n">
        <v>1026.58</v>
      </c>
      <c r="R508" s="16" t="n">
        <v>1026.58</v>
      </c>
      <c r="S508" s="16" t="n">
        <v>1026.58</v>
      </c>
      <c r="T508" s="16" t="n">
        <v>1026.58</v>
      </c>
      <c r="U508" s="16" t="n">
        <v>350</v>
      </c>
      <c r="V508" s="16" t="n">
        <v>250</v>
      </c>
      <c r="W508" s="16">
        <f>U508+V508</f>
        <v/>
      </c>
    </row>
    <row r="509">
      <c r="A509" s="3" t="inlineStr">
        <is>
          <t>CANON-202603-005145</t>
        </is>
      </c>
      <c r="B509" s="3" t="inlineStr">
        <is>
          <t>2026-03-31</t>
        </is>
      </c>
      <c r="C509" s="3" t="inlineStr">
        <is>
          <t>Mireille Fairweather</t>
        </is>
      </c>
      <c r="D509" s="3" t="inlineStr">
        <is>
          <t>OH</t>
        </is>
      </c>
      <c r="E509" s="14" t="n">
        <v>1385000</v>
      </c>
      <c r="F509" s="14" t="n">
        <v>24604.15</v>
      </c>
      <c r="G509" s="14" t="n">
        <v>3075.52</v>
      </c>
      <c r="H509" s="14" t="n">
        <v>3075.52</v>
      </c>
      <c r="I509" s="14">
        <f>SUM(K509:T509)</f>
        <v/>
      </c>
      <c r="J509" s="14">
        <f>F509-(G509+H509+I509)</f>
        <v/>
      </c>
      <c r="K509" s="14" t="n">
        <v>1845.31</v>
      </c>
      <c r="L509" s="14" t="n">
        <v>1845.31</v>
      </c>
      <c r="M509" s="14" t="n">
        <v>1845.31</v>
      </c>
      <c r="N509" s="14" t="n">
        <v>1845.31</v>
      </c>
      <c r="O509" s="14" t="n">
        <v>1845.31</v>
      </c>
      <c r="P509" s="14" t="n">
        <v>1845.31</v>
      </c>
      <c r="Q509" s="14" t="n">
        <v>1845.31</v>
      </c>
      <c r="R509" s="14" t="n">
        <v>1845.31</v>
      </c>
      <c r="S509" s="14" t="n">
        <v>1845.31</v>
      </c>
      <c r="T509" s="14" t="n">
        <v>1845.31</v>
      </c>
      <c r="U509" s="14" t="n">
        <v>350</v>
      </c>
      <c r="V509" s="14" t="n">
        <v>250</v>
      </c>
      <c r="W509" s="14">
        <f>U509+V509</f>
        <v/>
      </c>
    </row>
    <row r="510">
      <c r="A510" s="15" t="inlineStr">
        <is>
          <t>CANON-202603-005148</t>
        </is>
      </c>
      <c r="B510" s="15" t="inlineStr">
        <is>
          <t>2026-03-05</t>
        </is>
      </c>
      <c r="C510" s="15" t="inlineStr">
        <is>
          <t>Beatrix Vandermeer</t>
        </is>
      </c>
      <c r="D510" s="15" t="inlineStr">
        <is>
          <t>VA</t>
        </is>
      </c>
      <c r="E510" s="16" t="n">
        <v>390000</v>
      </c>
      <c r="F510" s="16" t="n">
        <v>5093.38</v>
      </c>
      <c r="G510" s="16" t="n">
        <v>636.67</v>
      </c>
      <c r="H510" s="16" t="n">
        <v>636.67</v>
      </c>
      <c r="I510" s="16">
        <f>SUM(K510:T510)</f>
        <v/>
      </c>
      <c r="J510" s="16">
        <f>F510-(G510+H510+I510)</f>
        <v/>
      </c>
      <c r="K510" s="16" t="n">
        <v>382</v>
      </c>
      <c r="L510" s="16" t="n">
        <v>382</v>
      </c>
      <c r="M510" s="16" t="n">
        <v>382</v>
      </c>
      <c r="N510" s="16" t="n">
        <v>382</v>
      </c>
      <c r="O510" s="16" t="n">
        <v>382</v>
      </c>
      <c r="P510" s="16" t="n">
        <v>382</v>
      </c>
      <c r="Q510" s="16" t="n">
        <v>382</v>
      </c>
      <c r="R510" s="16" t="n">
        <v>382</v>
      </c>
      <c r="S510" s="16" t="n">
        <v>382</v>
      </c>
      <c r="T510" s="16" t="n">
        <v>382</v>
      </c>
      <c r="U510" s="16" t="n">
        <v>350</v>
      </c>
      <c r="V510" s="16" t="n">
        <v>0</v>
      </c>
      <c r="W510" s="16">
        <f>U510+V510</f>
        <v/>
      </c>
    </row>
    <row r="511">
      <c r="A511" s="3" t="inlineStr">
        <is>
          <t>CANON-202603-005149</t>
        </is>
      </c>
      <c r="B511" s="3" t="inlineStr">
        <is>
          <t>2026-03-03</t>
        </is>
      </c>
      <c r="C511" s="3" t="inlineStr">
        <is>
          <t>Priya Rourke</t>
        </is>
      </c>
      <c r="D511" s="3" t="inlineStr">
        <is>
          <t>NJ</t>
        </is>
      </c>
      <c r="E511" s="14" t="n">
        <v>200000</v>
      </c>
      <c r="F511" s="14" t="n">
        <v>4128.7</v>
      </c>
      <c r="G511" s="14" t="n">
        <v>516.09</v>
      </c>
      <c r="H511" s="14" t="n">
        <v>516.09</v>
      </c>
      <c r="I511" s="14">
        <f>SUM(K511:T511)</f>
        <v/>
      </c>
      <c r="J511" s="14">
        <f>F511-(G511+H511+I511)</f>
        <v/>
      </c>
      <c r="K511" s="14" t="n">
        <v>309.65</v>
      </c>
      <c r="L511" s="14" t="n">
        <v>309.65</v>
      </c>
      <c r="M511" s="14" t="n">
        <v>309.65</v>
      </c>
      <c r="N511" s="14" t="n">
        <v>309.65</v>
      </c>
      <c r="O511" s="14" t="n">
        <v>309.65</v>
      </c>
      <c r="P511" s="14" t="n">
        <v>309.65</v>
      </c>
      <c r="Q511" s="14" t="n">
        <v>309.65</v>
      </c>
      <c r="R511" s="14" t="n">
        <v>309.65</v>
      </c>
      <c r="S511" s="14" t="n">
        <v>309.65</v>
      </c>
      <c r="T511" s="14" t="n">
        <v>309.65</v>
      </c>
      <c r="U511" s="14" t="n">
        <v>350</v>
      </c>
      <c r="V511" s="14" t="n">
        <v>0</v>
      </c>
      <c r="W511" s="14">
        <f>U511+V511</f>
        <v/>
      </c>
    </row>
    <row r="512">
      <c r="A512" s="15" t="inlineStr">
        <is>
          <t>CANON-202603-005151</t>
        </is>
      </c>
      <c r="B512" s="15" t="inlineStr">
        <is>
          <t>2026-03-05</t>
        </is>
      </c>
      <c r="C512" s="15" t="inlineStr">
        <is>
          <t>Ingrid Farkas</t>
        </is>
      </c>
      <c r="D512" s="15" t="inlineStr">
        <is>
          <t>CO</t>
        </is>
      </c>
      <c r="E512" s="16" t="n">
        <v>440000</v>
      </c>
      <c r="F512" s="16" t="n">
        <v>5799.1</v>
      </c>
      <c r="G512" s="16" t="n">
        <v>724.89</v>
      </c>
      <c r="H512" s="16" t="n">
        <v>724.89</v>
      </c>
      <c r="I512" s="16">
        <f>SUM(K512:T512)</f>
        <v/>
      </c>
      <c r="J512" s="16">
        <f>F512-(G512+H512+I512)</f>
        <v/>
      </c>
      <c r="K512" s="16" t="n">
        <v>434.93</v>
      </c>
      <c r="L512" s="16" t="n">
        <v>434.93</v>
      </c>
      <c r="M512" s="16" t="n">
        <v>434.93</v>
      </c>
      <c r="N512" s="16" t="n">
        <v>434.93</v>
      </c>
      <c r="O512" s="16" t="n">
        <v>434.93</v>
      </c>
      <c r="P512" s="16" t="n">
        <v>434.93</v>
      </c>
      <c r="Q512" s="16" t="n">
        <v>434.93</v>
      </c>
      <c r="R512" s="16" t="n">
        <v>434.93</v>
      </c>
      <c r="S512" s="16" t="n">
        <v>434.93</v>
      </c>
      <c r="T512" s="16" t="n">
        <v>434.93</v>
      </c>
      <c r="U512" s="16" t="n">
        <v>350</v>
      </c>
      <c r="V512" s="16" t="n">
        <v>0</v>
      </c>
      <c r="W512" s="16">
        <f>U512+V512</f>
        <v/>
      </c>
    </row>
    <row r="513">
      <c r="A513" s="3" t="inlineStr">
        <is>
          <t>CANON-202603-005152</t>
        </is>
      </c>
      <c r="B513" s="3" t="inlineStr">
        <is>
          <t>2026-03-16</t>
        </is>
      </c>
      <c r="C513" s="3" t="inlineStr">
        <is>
          <t>Beatrix Vasquez</t>
        </is>
      </c>
      <c r="D513" s="3" t="inlineStr">
        <is>
          <t>NY</t>
        </is>
      </c>
      <c r="E513" s="14" t="n">
        <v>425000</v>
      </c>
      <c r="F513" s="14" t="n">
        <v>6517.99</v>
      </c>
      <c r="G513" s="14" t="n">
        <v>814.75</v>
      </c>
      <c r="H513" s="14" t="n">
        <v>814.75</v>
      </c>
      <c r="I513" s="14">
        <f>SUM(K513:T513)</f>
        <v/>
      </c>
      <c r="J513" s="14">
        <f>F513-(G513+H513+I513)</f>
        <v/>
      </c>
      <c r="K513" s="14" t="n">
        <v>488.85</v>
      </c>
      <c r="L513" s="14" t="n">
        <v>488.85</v>
      </c>
      <c r="M513" s="14" t="n">
        <v>488.85</v>
      </c>
      <c r="N513" s="14" t="n">
        <v>488.85</v>
      </c>
      <c r="O513" s="14" t="n">
        <v>488.85</v>
      </c>
      <c r="P513" s="14" t="n">
        <v>488.85</v>
      </c>
      <c r="Q513" s="14" t="n">
        <v>488.85</v>
      </c>
      <c r="R513" s="14" t="n">
        <v>488.85</v>
      </c>
      <c r="S513" s="14" t="n">
        <v>488.85</v>
      </c>
      <c r="T513" s="14" t="n">
        <v>488.85</v>
      </c>
      <c r="U513" s="14" t="n">
        <v>350</v>
      </c>
      <c r="V513" s="14" t="n">
        <v>0</v>
      </c>
      <c r="W513" s="14">
        <f>U513+V513</f>
        <v/>
      </c>
    </row>
    <row r="514">
      <c r="A514" s="15" t="inlineStr">
        <is>
          <t>CANON-202603-005153</t>
        </is>
      </c>
      <c r="B514" s="15" t="inlineStr">
        <is>
          <t>2026-03-15</t>
        </is>
      </c>
      <c r="C514" s="15" t="inlineStr">
        <is>
          <t>Saoirse Delacroix</t>
        </is>
      </c>
      <c r="D514" s="15" t="inlineStr">
        <is>
          <t>TX</t>
        </is>
      </c>
      <c r="E514" s="16" t="n">
        <v>470000</v>
      </c>
      <c r="F514" s="16" t="n">
        <v>6476.05</v>
      </c>
      <c r="G514" s="16" t="n">
        <v>809.51</v>
      </c>
      <c r="H514" s="16" t="n">
        <v>809.51</v>
      </c>
      <c r="I514" s="16">
        <f>SUM(K514:T514)</f>
        <v/>
      </c>
      <c r="J514" s="16">
        <f>F514-(G514+H514+I514)</f>
        <v/>
      </c>
      <c r="K514" s="16" t="n">
        <v>485.7</v>
      </c>
      <c r="L514" s="16" t="n">
        <v>485.7</v>
      </c>
      <c r="M514" s="16" t="n">
        <v>485.7</v>
      </c>
      <c r="N514" s="16" t="n">
        <v>485.7</v>
      </c>
      <c r="O514" s="16" t="n">
        <v>485.7</v>
      </c>
      <c r="P514" s="16" t="n">
        <v>485.7</v>
      </c>
      <c r="Q514" s="16" t="n">
        <v>485.7</v>
      </c>
      <c r="R514" s="16" t="n">
        <v>485.7</v>
      </c>
      <c r="S514" s="16" t="n">
        <v>485.7</v>
      </c>
      <c r="T514" s="16" t="n">
        <v>485.7</v>
      </c>
      <c r="U514" s="16" t="n">
        <v>350</v>
      </c>
      <c r="V514" s="16" t="n">
        <v>0</v>
      </c>
      <c r="W514" s="16">
        <f>U514+V514</f>
        <v/>
      </c>
    </row>
    <row r="515">
      <c r="A515" s="3" t="inlineStr">
        <is>
          <t>CANON-202603-005154</t>
        </is>
      </c>
      <c r="B515" s="3" t="inlineStr">
        <is>
          <t>2026-03-08</t>
        </is>
      </c>
      <c r="C515" s="3" t="inlineStr">
        <is>
          <t>Everett Chattopadhyay</t>
        </is>
      </c>
      <c r="D515" s="3" t="inlineStr">
        <is>
          <t>TN</t>
        </is>
      </c>
      <c r="E515" s="14" t="n">
        <v>255000</v>
      </c>
      <c r="F515" s="14" t="n">
        <v>2994.2</v>
      </c>
      <c r="G515" s="14" t="n">
        <v>374.27</v>
      </c>
      <c r="H515" s="14" t="n">
        <v>374.27</v>
      </c>
      <c r="I515" s="14">
        <f>SUM(K515:T515)</f>
        <v/>
      </c>
      <c r="J515" s="14">
        <f>F515-(G515+H515+I515)</f>
        <v/>
      </c>
      <c r="K515" s="14" t="n">
        <v>224.56</v>
      </c>
      <c r="L515" s="14" t="n">
        <v>224.56</v>
      </c>
      <c r="M515" s="14" t="n">
        <v>224.56</v>
      </c>
      <c r="N515" s="14" t="n">
        <v>224.56</v>
      </c>
      <c r="O515" s="14" t="n">
        <v>224.56</v>
      </c>
      <c r="P515" s="14" t="n">
        <v>224.56</v>
      </c>
      <c r="Q515" s="14" t="n">
        <v>224.56</v>
      </c>
      <c r="R515" s="14" t="n">
        <v>224.56</v>
      </c>
      <c r="S515" s="14" t="n">
        <v>224.56</v>
      </c>
      <c r="T515" s="14" t="n">
        <v>224.56</v>
      </c>
      <c r="U515" s="14" t="n">
        <v>350</v>
      </c>
      <c r="V515" s="14" t="n">
        <v>0</v>
      </c>
      <c r="W515" s="14">
        <f>U515+V515</f>
        <v/>
      </c>
    </row>
    <row r="516">
      <c r="A516" s="15" t="inlineStr">
        <is>
          <t>CANON-202603-005156</t>
        </is>
      </c>
      <c r="B516" s="15" t="inlineStr">
        <is>
          <t>2026-03-21</t>
        </is>
      </c>
      <c r="C516" s="15" t="inlineStr">
        <is>
          <t>Sunniva Delacroix</t>
        </is>
      </c>
      <c r="D516" s="15" t="inlineStr">
        <is>
          <t>KS</t>
        </is>
      </c>
      <c r="E516" s="16" t="n">
        <v>590000</v>
      </c>
      <c r="F516" s="16" t="n">
        <v>5942.79</v>
      </c>
      <c r="G516" s="16" t="n">
        <v>742.85</v>
      </c>
      <c r="H516" s="16" t="n">
        <v>742.85</v>
      </c>
      <c r="I516" s="16">
        <f>SUM(K516:T516)</f>
        <v/>
      </c>
      <c r="J516" s="16">
        <f>F516-(G516+H516+I516)</f>
        <v/>
      </c>
      <c r="K516" s="16" t="n">
        <v>445.71</v>
      </c>
      <c r="L516" s="16" t="n">
        <v>445.71</v>
      </c>
      <c r="M516" s="16" t="n">
        <v>445.71</v>
      </c>
      <c r="N516" s="16" t="n">
        <v>445.71</v>
      </c>
      <c r="O516" s="16" t="n">
        <v>445.71</v>
      </c>
      <c r="P516" s="16" t="n">
        <v>445.71</v>
      </c>
      <c r="Q516" s="16" t="n">
        <v>445.71</v>
      </c>
      <c r="R516" s="16" t="n">
        <v>445.71</v>
      </c>
      <c r="S516" s="16" t="n">
        <v>445.71</v>
      </c>
      <c r="T516" s="16" t="n">
        <v>445.71</v>
      </c>
      <c r="U516" s="16" t="n">
        <v>350</v>
      </c>
      <c r="V516" s="16" t="n">
        <v>0</v>
      </c>
      <c r="W516" s="16">
        <f>U516+V516</f>
        <v/>
      </c>
    </row>
    <row r="517">
      <c r="A517" s="3" t="inlineStr">
        <is>
          <t>CANON-202603-005157</t>
        </is>
      </c>
      <c r="B517" s="3" t="inlineStr">
        <is>
          <t>2026-03-05</t>
        </is>
      </c>
      <c r="C517" s="3" t="inlineStr">
        <is>
          <t>Callum Delacroix</t>
        </is>
      </c>
      <c r="D517" s="3" t="inlineStr">
        <is>
          <t>NH</t>
        </is>
      </c>
      <c r="E517" s="14" t="n">
        <v>430000</v>
      </c>
      <c r="F517" s="14" t="n">
        <v>5358.17</v>
      </c>
      <c r="G517" s="14" t="n">
        <v>669.77</v>
      </c>
      <c r="H517" s="14" t="n">
        <v>669.77</v>
      </c>
      <c r="I517" s="14">
        <f>SUM(K517:T517)</f>
        <v/>
      </c>
      <c r="J517" s="14">
        <f>F517-(G517+H517+I517)</f>
        <v/>
      </c>
      <c r="K517" s="14" t="n">
        <v>401.86</v>
      </c>
      <c r="L517" s="14" t="n">
        <v>401.86</v>
      </c>
      <c r="M517" s="14" t="n">
        <v>401.86</v>
      </c>
      <c r="N517" s="14" t="n">
        <v>401.86</v>
      </c>
      <c r="O517" s="14" t="n">
        <v>401.86</v>
      </c>
      <c r="P517" s="14" t="n">
        <v>401.86</v>
      </c>
      <c r="Q517" s="14" t="n">
        <v>401.86</v>
      </c>
      <c r="R517" s="14" t="n">
        <v>401.86</v>
      </c>
      <c r="S517" s="14" t="n">
        <v>401.86</v>
      </c>
      <c r="T517" s="14" t="n">
        <v>401.86</v>
      </c>
      <c r="U517" s="14" t="n">
        <v>350</v>
      </c>
      <c r="V517" s="14" t="n">
        <v>0</v>
      </c>
      <c r="W517" s="14">
        <f>U517+V517</f>
        <v/>
      </c>
    </row>
    <row r="518">
      <c r="A518" s="15" t="inlineStr">
        <is>
          <t>CANON-202603-005158</t>
        </is>
      </c>
      <c r="B518" s="15" t="inlineStr">
        <is>
          <t>2026-03-17</t>
        </is>
      </c>
      <c r="C518" s="15" t="inlineStr">
        <is>
          <t>Callum Merriweather</t>
        </is>
      </c>
      <c r="D518" s="15" t="inlineStr">
        <is>
          <t>NJ</t>
        </is>
      </c>
      <c r="E518" s="16" t="n">
        <v>760000</v>
      </c>
      <c r="F518" s="16" t="n">
        <v>7181.62</v>
      </c>
      <c r="G518" s="16" t="n">
        <v>897.7</v>
      </c>
      <c r="H518" s="16" t="n">
        <v>897.7</v>
      </c>
      <c r="I518" s="16">
        <f>SUM(K518:T518)</f>
        <v/>
      </c>
      <c r="J518" s="16">
        <f>F518-(G518+H518+I518)</f>
        <v/>
      </c>
      <c r="K518" s="16" t="n">
        <v>538.62</v>
      </c>
      <c r="L518" s="16" t="n">
        <v>538.62</v>
      </c>
      <c r="M518" s="16" t="n">
        <v>538.62</v>
      </c>
      <c r="N518" s="16" t="n">
        <v>538.62</v>
      </c>
      <c r="O518" s="16" t="n">
        <v>538.62</v>
      </c>
      <c r="P518" s="16" t="n">
        <v>538.62</v>
      </c>
      <c r="Q518" s="16" t="n">
        <v>538.62</v>
      </c>
      <c r="R518" s="16" t="n">
        <v>538.62</v>
      </c>
      <c r="S518" s="16" t="n">
        <v>538.62</v>
      </c>
      <c r="T518" s="16" t="n">
        <v>538.62</v>
      </c>
      <c r="U518" s="16" t="n">
        <v>350</v>
      </c>
      <c r="V518" s="16" t="n">
        <v>0</v>
      </c>
      <c r="W518" s="16">
        <f>U518+V518</f>
        <v/>
      </c>
    </row>
    <row r="519">
      <c r="A519" s="3" t="inlineStr">
        <is>
          <t>CANON-202603-005159</t>
        </is>
      </c>
      <c r="B519" s="3" t="inlineStr">
        <is>
          <t>2026-03-15</t>
        </is>
      </c>
      <c r="C519" s="3" t="inlineStr">
        <is>
          <t>Beatrix Kingsford</t>
        </is>
      </c>
      <c r="D519" s="3" t="inlineStr">
        <is>
          <t>AZ</t>
        </is>
      </c>
      <c r="E519" s="14" t="n">
        <v>770000</v>
      </c>
      <c r="F519" s="14" t="n">
        <v>11802.92</v>
      </c>
      <c r="G519" s="14" t="n">
        <v>1475.37</v>
      </c>
      <c r="H519" s="14" t="n">
        <v>1475.37</v>
      </c>
      <c r="I519" s="14">
        <f>SUM(K519:T519)</f>
        <v/>
      </c>
      <c r="J519" s="14">
        <f>F519-(G519+H519+I519)</f>
        <v/>
      </c>
      <c r="K519" s="14" t="n">
        <v>885.22</v>
      </c>
      <c r="L519" s="14" t="n">
        <v>885.22</v>
      </c>
      <c r="M519" s="14" t="n">
        <v>885.22</v>
      </c>
      <c r="N519" s="14" t="n">
        <v>885.22</v>
      </c>
      <c r="O519" s="14" t="n">
        <v>885.22</v>
      </c>
      <c r="P519" s="14" t="n">
        <v>885.22</v>
      </c>
      <c r="Q519" s="14" t="n">
        <v>885.22</v>
      </c>
      <c r="R519" s="14" t="n">
        <v>885.22</v>
      </c>
      <c r="S519" s="14" t="n">
        <v>885.22</v>
      </c>
      <c r="T519" s="14" t="n">
        <v>885.22</v>
      </c>
      <c r="U519" s="14" t="n">
        <v>350</v>
      </c>
      <c r="V519" s="14" t="n">
        <v>0</v>
      </c>
      <c r="W519" s="14">
        <f>U519+V519</f>
        <v/>
      </c>
    </row>
    <row r="520">
      <c r="A520" s="15" t="inlineStr">
        <is>
          <t>CANON-202603-005161</t>
        </is>
      </c>
      <c r="B520" s="15" t="inlineStr">
        <is>
          <t>2026-03-16</t>
        </is>
      </c>
      <c r="C520" s="15" t="inlineStr">
        <is>
          <t>Lorenzo Farkas</t>
        </is>
      </c>
      <c r="D520" s="15" t="inlineStr">
        <is>
          <t>WV</t>
        </is>
      </c>
      <c r="E520" s="16" t="n">
        <v>800000</v>
      </c>
      <c r="F520" s="16" t="n">
        <v>11048.64</v>
      </c>
      <c r="G520" s="16" t="n">
        <v>1381.08</v>
      </c>
      <c r="H520" s="16" t="n">
        <v>1381.08</v>
      </c>
      <c r="I520" s="16">
        <f>SUM(K520:T520)</f>
        <v/>
      </c>
      <c r="J520" s="16">
        <f>F520-(G520+H520+I520)</f>
        <v/>
      </c>
      <c r="K520" s="16" t="n">
        <v>828.65</v>
      </c>
      <c r="L520" s="16" t="n">
        <v>828.65</v>
      </c>
      <c r="M520" s="16" t="n">
        <v>828.65</v>
      </c>
      <c r="N520" s="16" t="n">
        <v>828.65</v>
      </c>
      <c r="O520" s="16" t="n">
        <v>828.65</v>
      </c>
      <c r="P520" s="16" t="n">
        <v>828.65</v>
      </c>
      <c r="Q520" s="16" t="n">
        <v>828.65</v>
      </c>
      <c r="R520" s="16" t="n">
        <v>828.65</v>
      </c>
      <c r="S520" s="16" t="n">
        <v>828.65</v>
      </c>
      <c r="T520" s="16" t="n">
        <v>828.65</v>
      </c>
      <c r="U520" s="16" t="n">
        <v>350</v>
      </c>
      <c r="V520" s="16" t="n">
        <v>0</v>
      </c>
      <c r="W520" s="16">
        <f>U520+V520</f>
        <v/>
      </c>
    </row>
    <row r="521">
      <c r="A521" s="3" t="inlineStr">
        <is>
          <t>CANON-202603-005162</t>
        </is>
      </c>
      <c r="B521" s="3" t="inlineStr">
        <is>
          <t>2026-03-27</t>
        </is>
      </c>
      <c r="C521" s="3" t="inlineStr">
        <is>
          <t>Lorenzo Farkas</t>
        </is>
      </c>
      <c r="D521" s="3" t="inlineStr">
        <is>
          <t>WY</t>
        </is>
      </c>
      <c r="E521" s="14" t="n">
        <v>325000</v>
      </c>
      <c r="F521" s="14" t="n">
        <v>6388.79</v>
      </c>
      <c r="G521" s="14" t="n">
        <v>798.6</v>
      </c>
      <c r="H521" s="14" t="n">
        <v>798.6</v>
      </c>
      <c r="I521" s="14">
        <f>SUM(K521:T521)</f>
        <v/>
      </c>
      <c r="J521" s="14">
        <f>F521-(G521+H521+I521)</f>
        <v/>
      </c>
      <c r="K521" s="14" t="n">
        <v>479.16</v>
      </c>
      <c r="L521" s="14" t="n">
        <v>479.16</v>
      </c>
      <c r="M521" s="14" t="n">
        <v>479.16</v>
      </c>
      <c r="N521" s="14" t="n">
        <v>479.16</v>
      </c>
      <c r="O521" s="14" t="n">
        <v>479.16</v>
      </c>
      <c r="P521" s="14" t="n">
        <v>479.16</v>
      </c>
      <c r="Q521" s="14" t="n">
        <v>479.16</v>
      </c>
      <c r="R521" s="14" t="n">
        <v>479.16</v>
      </c>
      <c r="S521" s="14" t="n">
        <v>479.16</v>
      </c>
      <c r="T521" s="14" t="n">
        <v>479.16</v>
      </c>
      <c r="U521" s="14" t="n">
        <v>350</v>
      </c>
      <c r="V521" s="14" t="n">
        <v>0</v>
      </c>
      <c r="W521" s="14">
        <f>U521+V521</f>
        <v/>
      </c>
    </row>
    <row r="522">
      <c r="A522" s="15" t="inlineStr">
        <is>
          <t>CANON-202603-005163</t>
        </is>
      </c>
      <c r="B522" s="15" t="inlineStr">
        <is>
          <t>2026-03-01</t>
        </is>
      </c>
      <c r="C522" s="15" t="inlineStr">
        <is>
          <t>Wilhelmina Ashcombe</t>
        </is>
      </c>
      <c r="D522" s="15" t="inlineStr">
        <is>
          <t>NH</t>
        </is>
      </c>
      <c r="E522" s="16" t="n">
        <v>710000</v>
      </c>
      <c r="F522" s="16" t="n">
        <v>7667.59</v>
      </c>
      <c r="G522" s="16" t="n">
        <v>958.45</v>
      </c>
      <c r="H522" s="16" t="n">
        <v>958.45</v>
      </c>
      <c r="I522" s="16">
        <f>SUM(K522:T522)</f>
        <v/>
      </c>
      <c r="J522" s="16">
        <f>F522-(G522+H522+I522)</f>
        <v/>
      </c>
      <c r="K522" s="16" t="n">
        <v>575.0700000000001</v>
      </c>
      <c r="L522" s="16" t="n">
        <v>575.0700000000001</v>
      </c>
      <c r="M522" s="16" t="n">
        <v>575.0700000000001</v>
      </c>
      <c r="N522" s="16" t="n">
        <v>575.0700000000001</v>
      </c>
      <c r="O522" s="16" t="n">
        <v>575.0700000000001</v>
      </c>
      <c r="P522" s="16" t="n">
        <v>575.0700000000001</v>
      </c>
      <c r="Q522" s="16" t="n">
        <v>575.0700000000001</v>
      </c>
      <c r="R522" s="16" t="n">
        <v>575.0700000000001</v>
      </c>
      <c r="S522" s="16" t="n">
        <v>575.0700000000001</v>
      </c>
      <c r="T522" s="16" t="n">
        <v>575.0700000000001</v>
      </c>
      <c r="U522" s="16" t="n">
        <v>350</v>
      </c>
      <c r="V522" s="16" t="n">
        <v>0</v>
      </c>
      <c r="W522" s="16">
        <f>U522+V522</f>
        <v/>
      </c>
    </row>
    <row r="523">
      <c r="A523" s="3" t="inlineStr">
        <is>
          <t>CANON-202603-005164</t>
        </is>
      </c>
      <c r="B523" s="3" t="inlineStr">
        <is>
          <t>2026-03-25</t>
        </is>
      </c>
      <c r="C523" s="3" t="inlineStr">
        <is>
          <t>Horace Delacroix</t>
        </is>
      </c>
      <c r="D523" s="3" t="inlineStr">
        <is>
          <t>OH</t>
        </is>
      </c>
      <c r="E523" s="14" t="n">
        <v>605000</v>
      </c>
      <c r="F523" s="14" t="n">
        <v>8732.469999999999</v>
      </c>
      <c r="G523" s="14" t="n">
        <v>1091.56</v>
      </c>
      <c r="H523" s="14" t="n">
        <v>1091.56</v>
      </c>
      <c r="I523" s="14">
        <f>SUM(K523:T523)</f>
        <v/>
      </c>
      <c r="J523" s="14">
        <f>F523-(G523+H523+I523)</f>
        <v/>
      </c>
      <c r="K523" s="14" t="n">
        <v>654.9400000000001</v>
      </c>
      <c r="L523" s="14" t="n">
        <v>654.9400000000001</v>
      </c>
      <c r="M523" s="14" t="n">
        <v>654.9400000000001</v>
      </c>
      <c r="N523" s="14" t="n">
        <v>654.9400000000001</v>
      </c>
      <c r="O523" s="14" t="n">
        <v>654.9400000000001</v>
      </c>
      <c r="P523" s="14" t="n">
        <v>654.9400000000001</v>
      </c>
      <c r="Q523" s="14" t="n">
        <v>654.9400000000001</v>
      </c>
      <c r="R523" s="14" t="n">
        <v>654.9400000000001</v>
      </c>
      <c r="S523" s="14" t="n">
        <v>654.9400000000001</v>
      </c>
      <c r="T523" s="14" t="n">
        <v>654.9400000000001</v>
      </c>
      <c r="U523" s="14" t="n">
        <v>350</v>
      </c>
      <c r="V523" s="14" t="n">
        <v>0</v>
      </c>
      <c r="W523" s="14">
        <f>U523+V523</f>
        <v/>
      </c>
    </row>
    <row r="524">
      <c r="A524" s="15" t="inlineStr">
        <is>
          <t>CANON-202603-005165</t>
        </is>
      </c>
      <c r="B524" s="15" t="inlineStr">
        <is>
          <t>2026-03-19</t>
        </is>
      </c>
      <c r="C524" s="15" t="inlineStr">
        <is>
          <t>Anouk Vandermeer</t>
        </is>
      </c>
      <c r="D524" s="15" t="inlineStr">
        <is>
          <t>ID</t>
        </is>
      </c>
      <c r="E524" s="16" t="n">
        <v>255000</v>
      </c>
      <c r="F524" s="16" t="n">
        <v>1935.84</v>
      </c>
      <c r="G524" s="16" t="n">
        <v>241.98</v>
      </c>
      <c r="H524" s="16" t="n">
        <v>241.98</v>
      </c>
      <c r="I524" s="16">
        <f>SUM(K524:T524)</f>
        <v/>
      </c>
      <c r="J524" s="16">
        <f>F524-(G524+H524+I524)</f>
        <v/>
      </c>
      <c r="K524" s="16" t="n">
        <v>145.19</v>
      </c>
      <c r="L524" s="16" t="n">
        <v>145.19</v>
      </c>
      <c r="M524" s="16" t="n">
        <v>145.19</v>
      </c>
      <c r="N524" s="16" t="n">
        <v>145.19</v>
      </c>
      <c r="O524" s="16" t="n">
        <v>145.19</v>
      </c>
      <c r="P524" s="16" t="n">
        <v>145.19</v>
      </c>
      <c r="Q524" s="16" t="n">
        <v>145.19</v>
      </c>
      <c r="R524" s="16" t="n">
        <v>145.19</v>
      </c>
      <c r="S524" s="16" t="n">
        <v>145.19</v>
      </c>
      <c r="T524" s="16" t="n">
        <v>145.19</v>
      </c>
      <c r="U524" s="16" t="n">
        <v>350</v>
      </c>
      <c r="V524" s="16" t="n">
        <v>0</v>
      </c>
      <c r="W524" s="16">
        <f>U524+V524</f>
        <v/>
      </c>
    </row>
    <row r="525">
      <c r="A525" s="3" t="inlineStr">
        <is>
          <t>CANON-202603-005166</t>
        </is>
      </c>
      <c r="B525" s="3" t="inlineStr">
        <is>
          <t>2026-03-14</t>
        </is>
      </c>
      <c r="C525" s="3" t="inlineStr">
        <is>
          <t>Cassius Ashcombe</t>
        </is>
      </c>
      <c r="D525" s="3" t="inlineStr">
        <is>
          <t>TX</t>
        </is>
      </c>
      <c r="E525" s="14" t="n">
        <v>1210000</v>
      </c>
      <c r="F525" s="14" t="n">
        <v>17783.89</v>
      </c>
      <c r="G525" s="14" t="n">
        <v>2222.99</v>
      </c>
      <c r="H525" s="14" t="n">
        <v>2222.99</v>
      </c>
      <c r="I525" s="14">
        <f>SUM(K525:T525)</f>
        <v/>
      </c>
      <c r="J525" s="14">
        <f>F525-(G525+H525+I525)</f>
        <v/>
      </c>
      <c r="K525" s="14" t="n">
        <v>1333.79</v>
      </c>
      <c r="L525" s="14" t="n">
        <v>1333.79</v>
      </c>
      <c r="M525" s="14" t="n">
        <v>1333.79</v>
      </c>
      <c r="N525" s="14" t="n">
        <v>1333.79</v>
      </c>
      <c r="O525" s="14" t="n">
        <v>1333.79</v>
      </c>
      <c r="P525" s="14" t="n">
        <v>1333.79</v>
      </c>
      <c r="Q525" s="14" t="n">
        <v>1333.79</v>
      </c>
      <c r="R525" s="14" t="n">
        <v>1333.79</v>
      </c>
      <c r="S525" s="14" t="n">
        <v>1333.79</v>
      </c>
      <c r="T525" s="14" t="n">
        <v>1333.79</v>
      </c>
      <c r="U525" s="14" t="n">
        <v>350</v>
      </c>
      <c r="V525" s="14" t="n">
        <v>250</v>
      </c>
      <c r="W525" s="14">
        <f>U525+V525</f>
        <v/>
      </c>
    </row>
    <row r="526">
      <c r="A526" s="15" t="inlineStr">
        <is>
          <t>CANON-202603-005167</t>
        </is>
      </c>
      <c r="B526" s="15" t="inlineStr">
        <is>
          <t>2026-03-25</t>
        </is>
      </c>
      <c r="C526" s="15" t="inlineStr">
        <is>
          <t>Delphine Castellanos</t>
        </is>
      </c>
      <c r="D526" s="15" t="inlineStr">
        <is>
          <t>NE</t>
        </is>
      </c>
      <c r="E526" s="16" t="n">
        <v>275000</v>
      </c>
      <c r="F526" s="16" t="n">
        <v>4283.42</v>
      </c>
      <c r="G526" s="16" t="n">
        <v>535.4299999999999</v>
      </c>
      <c r="H526" s="16" t="n">
        <v>535.4299999999999</v>
      </c>
      <c r="I526" s="16">
        <f>SUM(K526:T526)</f>
        <v/>
      </c>
      <c r="J526" s="16">
        <f>F526-(G526+H526+I526)</f>
        <v/>
      </c>
      <c r="K526" s="16" t="n">
        <v>321.26</v>
      </c>
      <c r="L526" s="16" t="n">
        <v>321.26</v>
      </c>
      <c r="M526" s="16" t="n">
        <v>321.26</v>
      </c>
      <c r="N526" s="16" t="n">
        <v>321.26</v>
      </c>
      <c r="O526" s="16" t="n">
        <v>321.26</v>
      </c>
      <c r="P526" s="16" t="n">
        <v>321.26</v>
      </c>
      <c r="Q526" s="16" t="n">
        <v>321.26</v>
      </c>
      <c r="R526" s="16" t="n">
        <v>321.26</v>
      </c>
      <c r="S526" s="16" t="n">
        <v>321.26</v>
      </c>
      <c r="T526" s="16" t="n">
        <v>321.26</v>
      </c>
      <c r="U526" s="16" t="n">
        <v>350</v>
      </c>
      <c r="V526" s="16" t="n">
        <v>0</v>
      </c>
      <c r="W526" s="16">
        <f>U526+V526</f>
        <v/>
      </c>
    </row>
    <row r="527">
      <c r="A527" s="3" t="inlineStr">
        <is>
          <t>CANON-202603-005168</t>
        </is>
      </c>
      <c r="B527" s="3" t="inlineStr">
        <is>
          <t>2026-03-01</t>
        </is>
      </c>
      <c r="C527" s="3" t="inlineStr">
        <is>
          <t>Cassius Harrington</t>
        </is>
      </c>
      <c r="D527" s="3" t="inlineStr">
        <is>
          <t>MS</t>
        </is>
      </c>
      <c r="E527" s="14" t="n">
        <v>1065000</v>
      </c>
      <c r="F527" s="14" t="n">
        <v>16197.21</v>
      </c>
      <c r="G527" s="14" t="n">
        <v>2024.65</v>
      </c>
      <c r="H527" s="14" t="n">
        <v>2024.65</v>
      </c>
      <c r="I527" s="14">
        <f>SUM(K527:T527)</f>
        <v/>
      </c>
      <c r="J527" s="14">
        <f>F527-(G527+H527+I527)</f>
        <v/>
      </c>
      <c r="K527" s="14" t="n">
        <v>1214.79</v>
      </c>
      <c r="L527" s="14" t="n">
        <v>1214.79</v>
      </c>
      <c r="M527" s="14" t="n">
        <v>1214.79</v>
      </c>
      <c r="N527" s="14" t="n">
        <v>1214.79</v>
      </c>
      <c r="O527" s="14" t="n">
        <v>1214.79</v>
      </c>
      <c r="P527" s="14" t="n">
        <v>1214.79</v>
      </c>
      <c r="Q527" s="14" t="n">
        <v>1214.79</v>
      </c>
      <c r="R527" s="14" t="n">
        <v>1214.79</v>
      </c>
      <c r="S527" s="14" t="n">
        <v>1214.79</v>
      </c>
      <c r="T527" s="14" t="n">
        <v>1214.79</v>
      </c>
      <c r="U527" s="14" t="n">
        <v>350</v>
      </c>
      <c r="V527" s="14" t="n">
        <v>250</v>
      </c>
      <c r="W527" s="14">
        <f>U527+V527</f>
        <v/>
      </c>
    </row>
    <row r="528">
      <c r="A528" s="15" t="inlineStr">
        <is>
          <t>CANON-202603-005169</t>
        </is>
      </c>
      <c r="B528" s="15" t="inlineStr">
        <is>
          <t>2026-03-24</t>
        </is>
      </c>
      <c r="C528" s="15" t="inlineStr">
        <is>
          <t>Wilhelmina Pennington</t>
        </is>
      </c>
      <c r="D528" s="15" t="inlineStr">
        <is>
          <t>VT</t>
        </is>
      </c>
      <c r="E528" s="16" t="n">
        <v>700000</v>
      </c>
      <c r="F528" s="16" t="n">
        <v>10641.58</v>
      </c>
      <c r="G528" s="16" t="n">
        <v>1330.2</v>
      </c>
      <c r="H528" s="16" t="n">
        <v>1330.2</v>
      </c>
      <c r="I528" s="16">
        <f>SUM(K528:T528)</f>
        <v/>
      </c>
      <c r="J528" s="16">
        <f>F528-(G528+H528+I528)</f>
        <v/>
      </c>
      <c r="K528" s="16" t="n">
        <v>798.12</v>
      </c>
      <c r="L528" s="16" t="n">
        <v>798.12</v>
      </c>
      <c r="M528" s="16" t="n">
        <v>798.12</v>
      </c>
      <c r="N528" s="16" t="n">
        <v>798.12</v>
      </c>
      <c r="O528" s="16" t="n">
        <v>798.12</v>
      </c>
      <c r="P528" s="16" t="n">
        <v>798.12</v>
      </c>
      <c r="Q528" s="16" t="n">
        <v>798.12</v>
      </c>
      <c r="R528" s="16" t="n">
        <v>798.12</v>
      </c>
      <c r="S528" s="16" t="n">
        <v>798.12</v>
      </c>
      <c r="T528" s="16" t="n">
        <v>798.12</v>
      </c>
      <c r="U528" s="16" t="n">
        <v>350</v>
      </c>
      <c r="V528" s="16" t="n">
        <v>0</v>
      </c>
      <c r="W528" s="16">
        <f>U528+V528</f>
        <v/>
      </c>
    </row>
    <row r="529">
      <c r="A529" s="3" t="inlineStr">
        <is>
          <t>CANON-202603-005170</t>
        </is>
      </c>
      <c r="B529" s="3" t="inlineStr">
        <is>
          <t>2026-03-21</t>
        </is>
      </c>
      <c r="C529" s="3" t="inlineStr">
        <is>
          <t>Beatrix Bellandi</t>
        </is>
      </c>
      <c r="D529" s="3" t="inlineStr">
        <is>
          <t>WV</t>
        </is>
      </c>
      <c r="E529" s="14" t="n">
        <v>365000</v>
      </c>
      <c r="F529" s="14" t="n">
        <v>3257.22</v>
      </c>
      <c r="G529" s="14" t="n">
        <v>407.15</v>
      </c>
      <c r="H529" s="14" t="n">
        <v>407.15</v>
      </c>
      <c r="I529" s="14">
        <f>SUM(K529:T529)</f>
        <v/>
      </c>
      <c r="J529" s="14">
        <f>F529-(G529+H529+I529)</f>
        <v/>
      </c>
      <c r="K529" s="14" t="n">
        <v>244.29</v>
      </c>
      <c r="L529" s="14" t="n">
        <v>244.29</v>
      </c>
      <c r="M529" s="14" t="n">
        <v>244.29</v>
      </c>
      <c r="N529" s="14" t="n">
        <v>244.29</v>
      </c>
      <c r="O529" s="14" t="n">
        <v>244.29</v>
      </c>
      <c r="P529" s="14" t="n">
        <v>244.29</v>
      </c>
      <c r="Q529" s="14" t="n">
        <v>244.29</v>
      </c>
      <c r="R529" s="14" t="n">
        <v>244.29</v>
      </c>
      <c r="S529" s="14" t="n">
        <v>244.29</v>
      </c>
      <c r="T529" s="14" t="n">
        <v>244.29</v>
      </c>
      <c r="U529" s="14" t="n">
        <v>350</v>
      </c>
      <c r="V529" s="14" t="n">
        <v>0</v>
      </c>
      <c r="W529" s="14">
        <f>U529+V529</f>
        <v/>
      </c>
    </row>
    <row r="530">
      <c r="A530" s="15" t="inlineStr">
        <is>
          <t>CANON-202603-005172</t>
        </is>
      </c>
      <c r="B530" s="15" t="inlineStr">
        <is>
          <t>2026-03-01</t>
        </is>
      </c>
      <c r="C530" s="15" t="inlineStr">
        <is>
          <t>Cassius Delacroix</t>
        </is>
      </c>
      <c r="D530" s="15" t="inlineStr">
        <is>
          <t>RI</t>
        </is>
      </c>
      <c r="E530" s="16" t="n">
        <v>1180000</v>
      </c>
      <c r="F530" s="16" t="n">
        <v>9813.860000000001</v>
      </c>
      <c r="G530" s="16" t="n">
        <v>1226.73</v>
      </c>
      <c r="H530" s="16" t="n">
        <v>1226.73</v>
      </c>
      <c r="I530" s="16">
        <f>SUM(K530:T530)</f>
        <v/>
      </c>
      <c r="J530" s="16">
        <f>F530-(G530+H530+I530)</f>
        <v/>
      </c>
      <c r="K530" s="16" t="n">
        <v>736.04</v>
      </c>
      <c r="L530" s="16" t="n">
        <v>736.04</v>
      </c>
      <c r="M530" s="16" t="n">
        <v>736.04</v>
      </c>
      <c r="N530" s="16" t="n">
        <v>736.04</v>
      </c>
      <c r="O530" s="16" t="n">
        <v>736.04</v>
      </c>
      <c r="P530" s="16" t="n">
        <v>736.04</v>
      </c>
      <c r="Q530" s="16" t="n">
        <v>736.04</v>
      </c>
      <c r="R530" s="16" t="n">
        <v>736.04</v>
      </c>
      <c r="S530" s="16" t="n">
        <v>736.04</v>
      </c>
      <c r="T530" s="16" t="n">
        <v>736.04</v>
      </c>
      <c r="U530" s="16" t="n">
        <v>350</v>
      </c>
      <c r="V530" s="16" t="n">
        <v>250</v>
      </c>
      <c r="W530" s="16">
        <f>U530+V530</f>
        <v/>
      </c>
    </row>
    <row r="531">
      <c r="A531" s="3" t="inlineStr">
        <is>
          <t>CANON-202603-005173</t>
        </is>
      </c>
      <c r="B531" s="3" t="inlineStr">
        <is>
          <t>2026-03-20</t>
        </is>
      </c>
      <c r="C531" s="3" t="inlineStr">
        <is>
          <t>Fenwick Larsson</t>
        </is>
      </c>
      <c r="D531" s="3" t="inlineStr">
        <is>
          <t>NJ</t>
        </is>
      </c>
      <c r="E531" s="14" t="n">
        <v>1610000</v>
      </c>
      <c r="F531" s="14" t="n">
        <v>12873.12</v>
      </c>
      <c r="G531" s="14" t="n">
        <v>1609.14</v>
      </c>
      <c r="H531" s="14" t="n">
        <v>1609.14</v>
      </c>
      <c r="I531" s="14">
        <f>SUM(K531:T531)</f>
        <v/>
      </c>
      <c r="J531" s="14">
        <f>F531-(G531+H531+I531)</f>
        <v/>
      </c>
      <c r="K531" s="14" t="n">
        <v>965.48</v>
      </c>
      <c r="L531" s="14" t="n">
        <v>965.48</v>
      </c>
      <c r="M531" s="14" t="n">
        <v>965.48</v>
      </c>
      <c r="N531" s="14" t="n">
        <v>965.48</v>
      </c>
      <c r="O531" s="14" t="n">
        <v>965.48</v>
      </c>
      <c r="P531" s="14" t="n">
        <v>965.48</v>
      </c>
      <c r="Q531" s="14" t="n">
        <v>965.48</v>
      </c>
      <c r="R531" s="14" t="n">
        <v>965.48</v>
      </c>
      <c r="S531" s="14" t="n">
        <v>965.48</v>
      </c>
      <c r="T531" s="14" t="n">
        <v>965.48</v>
      </c>
      <c r="U531" s="14" t="n">
        <v>350</v>
      </c>
      <c r="V531" s="14" t="n">
        <v>250</v>
      </c>
      <c r="W531" s="14">
        <f>U531+V531</f>
        <v/>
      </c>
    </row>
    <row r="532">
      <c r="A532" s="15" t="inlineStr">
        <is>
          <t>CANON-202603-005174</t>
        </is>
      </c>
      <c r="B532" s="15" t="inlineStr">
        <is>
          <t>2026-03-02</t>
        </is>
      </c>
      <c r="C532" s="15" t="inlineStr">
        <is>
          <t>Ramona Delacroix</t>
        </is>
      </c>
      <c r="D532" s="15" t="inlineStr">
        <is>
          <t>NC</t>
        </is>
      </c>
      <c r="E532" s="16" t="n">
        <v>1215000</v>
      </c>
      <c r="F532" s="16" t="n">
        <v>12276.95</v>
      </c>
      <c r="G532" s="16" t="n">
        <v>1534.62</v>
      </c>
      <c r="H532" s="16" t="n">
        <v>1534.62</v>
      </c>
      <c r="I532" s="16">
        <f>SUM(K532:T532)</f>
        <v/>
      </c>
      <c r="J532" s="16">
        <f>F532-(G532+H532+I532)</f>
        <v/>
      </c>
      <c r="K532" s="16" t="n">
        <v>920.77</v>
      </c>
      <c r="L532" s="16" t="n">
        <v>920.77</v>
      </c>
      <c r="M532" s="16" t="n">
        <v>920.77</v>
      </c>
      <c r="N532" s="16" t="n">
        <v>920.77</v>
      </c>
      <c r="O532" s="16" t="n">
        <v>920.77</v>
      </c>
      <c r="P532" s="16" t="n">
        <v>920.77</v>
      </c>
      <c r="Q532" s="16" t="n">
        <v>920.77</v>
      </c>
      <c r="R532" s="16" t="n">
        <v>920.77</v>
      </c>
      <c r="S532" s="16" t="n">
        <v>920.77</v>
      </c>
      <c r="T532" s="16" t="n">
        <v>920.77</v>
      </c>
      <c r="U532" s="16" t="n">
        <v>350</v>
      </c>
      <c r="V532" s="16" t="n">
        <v>250</v>
      </c>
      <c r="W532" s="16">
        <f>U532+V532</f>
        <v/>
      </c>
    </row>
    <row r="533">
      <c r="A533" s="3" t="inlineStr">
        <is>
          <t>CANON-202603-005175</t>
        </is>
      </c>
      <c r="B533" s="3" t="inlineStr">
        <is>
          <t>2026-03-23</t>
        </is>
      </c>
      <c r="C533" s="3" t="inlineStr">
        <is>
          <t>Emiliano Montoya</t>
        </is>
      </c>
      <c r="D533" s="3" t="inlineStr">
        <is>
          <t>NC</t>
        </is>
      </c>
      <c r="E533" s="14" t="n">
        <v>450000</v>
      </c>
      <c r="F533" s="14" t="n">
        <v>6200.48</v>
      </c>
      <c r="G533" s="14" t="n">
        <v>775.0599999999999</v>
      </c>
      <c r="H533" s="14" t="n">
        <v>775.0599999999999</v>
      </c>
      <c r="I533" s="14">
        <f>SUM(K533:T533)</f>
        <v/>
      </c>
      <c r="J533" s="14">
        <f>F533-(G533+H533+I533)</f>
        <v/>
      </c>
      <c r="K533" s="14" t="n">
        <v>465.04</v>
      </c>
      <c r="L533" s="14" t="n">
        <v>465.04</v>
      </c>
      <c r="M533" s="14" t="n">
        <v>465.04</v>
      </c>
      <c r="N533" s="14" t="n">
        <v>465.04</v>
      </c>
      <c r="O533" s="14" t="n">
        <v>465.04</v>
      </c>
      <c r="P533" s="14" t="n">
        <v>465.04</v>
      </c>
      <c r="Q533" s="14" t="n">
        <v>465.04</v>
      </c>
      <c r="R533" s="14" t="n">
        <v>465.04</v>
      </c>
      <c r="S533" s="14" t="n">
        <v>465.04</v>
      </c>
      <c r="T533" s="14" t="n">
        <v>465.04</v>
      </c>
      <c r="U533" s="14" t="n">
        <v>350</v>
      </c>
      <c r="V533" s="14" t="n">
        <v>0</v>
      </c>
      <c r="W533" s="14">
        <f>U533+V533</f>
        <v/>
      </c>
    </row>
    <row r="534">
      <c r="A534" s="15" t="inlineStr">
        <is>
          <t>CANON-202603-005176</t>
        </is>
      </c>
      <c r="B534" s="15" t="inlineStr">
        <is>
          <t>2026-03-17</t>
        </is>
      </c>
      <c r="C534" s="15" t="inlineStr">
        <is>
          <t>Aurelio Vandermeer</t>
        </is>
      </c>
      <c r="D534" s="15" t="inlineStr">
        <is>
          <t>HI</t>
        </is>
      </c>
      <c r="E534" s="16" t="n">
        <v>210000</v>
      </c>
      <c r="F534" s="16" t="n">
        <v>4012.4</v>
      </c>
      <c r="G534" s="16" t="n">
        <v>501.55</v>
      </c>
      <c r="H534" s="16" t="n">
        <v>501.55</v>
      </c>
      <c r="I534" s="16">
        <f>SUM(K534:T534)</f>
        <v/>
      </c>
      <c r="J534" s="16">
        <f>F534-(G534+H534+I534)</f>
        <v/>
      </c>
      <c r="K534" s="16" t="n">
        <v>300.93</v>
      </c>
      <c r="L534" s="16" t="n">
        <v>300.93</v>
      </c>
      <c r="M534" s="16" t="n">
        <v>300.93</v>
      </c>
      <c r="N534" s="16" t="n">
        <v>300.93</v>
      </c>
      <c r="O534" s="16" t="n">
        <v>300.93</v>
      </c>
      <c r="P534" s="16" t="n">
        <v>300.93</v>
      </c>
      <c r="Q534" s="16" t="n">
        <v>300.93</v>
      </c>
      <c r="R534" s="16" t="n">
        <v>300.93</v>
      </c>
      <c r="S534" s="16" t="n">
        <v>300.93</v>
      </c>
      <c r="T534" s="16" t="n">
        <v>300.93</v>
      </c>
      <c r="U534" s="16" t="n">
        <v>350</v>
      </c>
      <c r="V534" s="16" t="n">
        <v>0</v>
      </c>
      <c r="W534" s="16">
        <f>U534+V534</f>
        <v/>
      </c>
    </row>
    <row r="535">
      <c r="A535" s="3" t="inlineStr">
        <is>
          <t>CANON-202603-005178</t>
        </is>
      </c>
      <c r="B535" s="3" t="inlineStr">
        <is>
          <t>2026-03-23</t>
        </is>
      </c>
      <c r="C535" s="3" t="inlineStr">
        <is>
          <t>Horace Chattopadhyay</t>
        </is>
      </c>
      <c r="D535" s="3" t="inlineStr">
        <is>
          <t>SD</t>
        </is>
      </c>
      <c r="E535" s="14" t="n">
        <v>635000</v>
      </c>
      <c r="F535" s="14" t="n">
        <v>4841.93</v>
      </c>
      <c r="G535" s="14" t="n">
        <v>605.24</v>
      </c>
      <c r="H535" s="14" t="n">
        <v>605.24</v>
      </c>
      <c r="I535" s="14">
        <f>SUM(K535:T535)</f>
        <v/>
      </c>
      <c r="J535" s="14">
        <f>F535-(G535+H535+I535)</f>
        <v/>
      </c>
      <c r="K535" s="14" t="n">
        <v>363.14</v>
      </c>
      <c r="L535" s="14" t="n">
        <v>363.14</v>
      </c>
      <c r="M535" s="14" t="n">
        <v>363.14</v>
      </c>
      <c r="N535" s="14" t="n">
        <v>363.14</v>
      </c>
      <c r="O535" s="14" t="n">
        <v>363.14</v>
      </c>
      <c r="P535" s="14" t="n">
        <v>363.14</v>
      </c>
      <c r="Q535" s="14" t="n">
        <v>363.14</v>
      </c>
      <c r="R535" s="14" t="n">
        <v>363.14</v>
      </c>
      <c r="S535" s="14" t="n">
        <v>363.14</v>
      </c>
      <c r="T535" s="14" t="n">
        <v>363.14</v>
      </c>
      <c r="U535" s="14" t="n">
        <v>350</v>
      </c>
      <c r="V535" s="14" t="n">
        <v>0</v>
      </c>
      <c r="W535" s="14">
        <f>U535+V535</f>
        <v/>
      </c>
    </row>
    <row r="536">
      <c r="A536" s="15" t="inlineStr">
        <is>
          <t>CANON-202603-005179</t>
        </is>
      </c>
      <c r="B536" s="15" t="inlineStr">
        <is>
          <t>2026-03-15</t>
        </is>
      </c>
      <c r="C536" s="15" t="inlineStr">
        <is>
          <t>Fitzgerald Harrington</t>
        </is>
      </c>
      <c r="D536" s="15" t="inlineStr">
        <is>
          <t>KY</t>
        </is>
      </c>
      <c r="E536" s="16" t="n">
        <v>1130000</v>
      </c>
      <c r="F536" s="16" t="n">
        <v>9192.219999999999</v>
      </c>
      <c r="G536" s="16" t="n">
        <v>1149.03</v>
      </c>
      <c r="H536" s="16" t="n">
        <v>1149.03</v>
      </c>
      <c r="I536" s="16">
        <f>SUM(K536:T536)</f>
        <v/>
      </c>
      <c r="J536" s="16">
        <f>F536-(G536+H536+I536)</f>
        <v/>
      </c>
      <c r="K536" s="16" t="n">
        <v>689.42</v>
      </c>
      <c r="L536" s="16" t="n">
        <v>689.42</v>
      </c>
      <c r="M536" s="16" t="n">
        <v>689.42</v>
      </c>
      <c r="N536" s="16" t="n">
        <v>689.42</v>
      </c>
      <c r="O536" s="16" t="n">
        <v>689.42</v>
      </c>
      <c r="P536" s="16" t="n">
        <v>689.42</v>
      </c>
      <c r="Q536" s="16" t="n">
        <v>689.42</v>
      </c>
      <c r="R536" s="16" t="n">
        <v>689.42</v>
      </c>
      <c r="S536" s="16" t="n">
        <v>689.42</v>
      </c>
      <c r="T536" s="16" t="n">
        <v>689.42</v>
      </c>
      <c r="U536" s="16" t="n">
        <v>350</v>
      </c>
      <c r="V536" s="16" t="n">
        <v>250</v>
      </c>
      <c r="W536" s="16">
        <f>U536+V536</f>
        <v/>
      </c>
    </row>
    <row r="537">
      <c r="A537" s="3" t="inlineStr">
        <is>
          <t>CANON-202603-005181</t>
        </is>
      </c>
      <c r="B537" s="3" t="inlineStr">
        <is>
          <t>2026-03-18</t>
        </is>
      </c>
      <c r="C537" s="3" t="inlineStr">
        <is>
          <t>Aurelio Whitlock</t>
        </is>
      </c>
      <c r="D537" s="3" t="inlineStr">
        <is>
          <t>IL</t>
        </is>
      </c>
      <c r="E537" s="14" t="n">
        <v>770000</v>
      </c>
      <c r="F537" s="14" t="n">
        <v>15893.04</v>
      </c>
      <c r="G537" s="14" t="n">
        <v>1986.63</v>
      </c>
      <c r="H537" s="14" t="n">
        <v>1986.63</v>
      </c>
      <c r="I537" s="14">
        <f>SUM(K537:T537)</f>
        <v/>
      </c>
      <c r="J537" s="14">
        <f>F537-(G537+H537+I537)</f>
        <v/>
      </c>
      <c r="K537" s="14" t="n">
        <v>1191.98</v>
      </c>
      <c r="L537" s="14" t="n">
        <v>1191.98</v>
      </c>
      <c r="M537" s="14" t="n">
        <v>1191.98</v>
      </c>
      <c r="N537" s="14" t="n">
        <v>1191.98</v>
      </c>
      <c r="O537" s="14" t="n">
        <v>1191.98</v>
      </c>
      <c r="P537" s="14" t="n">
        <v>1191.98</v>
      </c>
      <c r="Q537" s="14" t="n">
        <v>1191.98</v>
      </c>
      <c r="R537" s="14" t="n">
        <v>1191.98</v>
      </c>
      <c r="S537" s="14" t="n">
        <v>1191.98</v>
      </c>
      <c r="T537" s="14" t="n">
        <v>1191.98</v>
      </c>
      <c r="U537" s="14" t="n">
        <v>350</v>
      </c>
      <c r="V537" s="14" t="n">
        <v>0</v>
      </c>
      <c r="W537" s="14">
        <f>U537+V537</f>
        <v/>
      </c>
    </row>
    <row r="538">
      <c r="A538" s="15" t="inlineStr">
        <is>
          <t>CANON-202603-005182</t>
        </is>
      </c>
      <c r="B538" s="15" t="inlineStr">
        <is>
          <t>2026-03-25</t>
        </is>
      </c>
      <c r="C538" s="15" t="inlineStr">
        <is>
          <t>Ramona Bellandi</t>
        </is>
      </c>
      <c r="D538" s="15" t="inlineStr">
        <is>
          <t>CA</t>
        </is>
      </c>
      <c r="E538" s="16" t="n">
        <v>540000</v>
      </c>
      <c r="F538" s="16" t="n">
        <v>7569.98</v>
      </c>
      <c r="G538" s="16" t="n">
        <v>946.25</v>
      </c>
      <c r="H538" s="16" t="n">
        <v>946.25</v>
      </c>
      <c r="I538" s="16">
        <f>SUM(K538:T538)</f>
        <v/>
      </c>
      <c r="J538" s="16">
        <f>F538-(G538+H538+I538)</f>
        <v/>
      </c>
      <c r="K538" s="16" t="n">
        <v>567.75</v>
      </c>
      <c r="L538" s="16" t="n">
        <v>567.75</v>
      </c>
      <c r="M538" s="16" t="n">
        <v>567.75</v>
      </c>
      <c r="N538" s="16" t="n">
        <v>567.75</v>
      </c>
      <c r="O538" s="16" t="n">
        <v>567.75</v>
      </c>
      <c r="P538" s="16" t="n">
        <v>567.75</v>
      </c>
      <c r="Q538" s="16" t="n">
        <v>567.75</v>
      </c>
      <c r="R538" s="16" t="n">
        <v>567.75</v>
      </c>
      <c r="S538" s="16" t="n">
        <v>567.75</v>
      </c>
      <c r="T538" s="16" t="n">
        <v>567.75</v>
      </c>
      <c r="U538" s="16" t="n">
        <v>350</v>
      </c>
      <c r="V538" s="16" t="n">
        <v>0</v>
      </c>
      <c r="W538" s="16">
        <f>U538+V538</f>
        <v/>
      </c>
    </row>
    <row r="539">
      <c r="A539" s="3" t="inlineStr">
        <is>
          <t>CANON-202603-005183</t>
        </is>
      </c>
      <c r="B539" s="3" t="inlineStr">
        <is>
          <t>2026-03-05</t>
        </is>
      </c>
      <c r="C539" s="3" t="inlineStr">
        <is>
          <t>Ottilie Vasquez</t>
        </is>
      </c>
      <c r="D539" s="3" t="inlineStr">
        <is>
          <t>NY</t>
        </is>
      </c>
      <c r="E539" s="14" t="n">
        <v>1040000</v>
      </c>
      <c r="F539" s="14" t="n">
        <v>7230.62</v>
      </c>
      <c r="G539" s="14" t="n">
        <v>903.83</v>
      </c>
      <c r="H539" s="14" t="n">
        <v>903.83</v>
      </c>
      <c r="I539" s="14">
        <f>SUM(K539:T539)</f>
        <v/>
      </c>
      <c r="J539" s="14">
        <f>F539-(G539+H539+I539)</f>
        <v/>
      </c>
      <c r="K539" s="14" t="n">
        <v>542.3</v>
      </c>
      <c r="L539" s="14" t="n">
        <v>542.3</v>
      </c>
      <c r="M539" s="14" t="n">
        <v>542.3</v>
      </c>
      <c r="N539" s="14" t="n">
        <v>542.3</v>
      </c>
      <c r="O539" s="14" t="n">
        <v>542.3</v>
      </c>
      <c r="P539" s="14" t="n">
        <v>542.3</v>
      </c>
      <c r="Q539" s="14" t="n">
        <v>542.3</v>
      </c>
      <c r="R539" s="14" t="n">
        <v>542.3</v>
      </c>
      <c r="S539" s="14" t="n">
        <v>542.3</v>
      </c>
      <c r="T539" s="14" t="n">
        <v>542.3</v>
      </c>
      <c r="U539" s="14" t="n">
        <v>350</v>
      </c>
      <c r="V539" s="14" t="n">
        <v>250</v>
      </c>
      <c r="W539" s="14">
        <f>U539+V539</f>
        <v/>
      </c>
    </row>
    <row r="540">
      <c r="A540" s="15" t="inlineStr">
        <is>
          <t>CANON-202603-005184</t>
        </is>
      </c>
      <c r="B540" s="15" t="inlineStr">
        <is>
          <t>2026-03-07</t>
        </is>
      </c>
      <c r="C540" s="15" t="inlineStr">
        <is>
          <t>Fenwick Bellandi</t>
        </is>
      </c>
      <c r="D540" s="15" t="inlineStr">
        <is>
          <t>FL</t>
        </is>
      </c>
      <c r="E540" s="16" t="n">
        <v>765000</v>
      </c>
      <c r="F540" s="16" t="n">
        <v>11280.2</v>
      </c>
      <c r="G540" s="16" t="n">
        <v>1410.03</v>
      </c>
      <c r="H540" s="16" t="n">
        <v>1410.03</v>
      </c>
      <c r="I540" s="16">
        <f>SUM(K540:T540)</f>
        <v/>
      </c>
      <c r="J540" s="16">
        <f>F540-(G540+H540+I540)</f>
        <v/>
      </c>
      <c r="K540" s="16" t="n">
        <v>846.01</v>
      </c>
      <c r="L540" s="16" t="n">
        <v>846.01</v>
      </c>
      <c r="M540" s="16" t="n">
        <v>846.01</v>
      </c>
      <c r="N540" s="16" t="n">
        <v>846.01</v>
      </c>
      <c r="O540" s="16" t="n">
        <v>846.01</v>
      </c>
      <c r="P540" s="16" t="n">
        <v>846.01</v>
      </c>
      <c r="Q540" s="16" t="n">
        <v>846.01</v>
      </c>
      <c r="R540" s="16" t="n">
        <v>846.01</v>
      </c>
      <c r="S540" s="16" t="n">
        <v>846.01</v>
      </c>
      <c r="T540" s="16" t="n">
        <v>846.01</v>
      </c>
      <c r="U540" s="16" t="n">
        <v>350</v>
      </c>
      <c r="V540" s="16" t="n">
        <v>0</v>
      </c>
      <c r="W540" s="16">
        <f>U540+V540</f>
        <v/>
      </c>
    </row>
    <row r="541">
      <c r="A541" s="3" t="inlineStr">
        <is>
          <t>CANON-202603-005187</t>
        </is>
      </c>
      <c r="B541" s="3" t="inlineStr">
        <is>
          <t>2026-03-06</t>
        </is>
      </c>
      <c r="C541" s="3" t="inlineStr">
        <is>
          <t>Leopold Castellanos</t>
        </is>
      </c>
      <c r="D541" s="3" t="inlineStr">
        <is>
          <t>RI</t>
        </is>
      </c>
      <c r="E541" s="14" t="n">
        <v>465000</v>
      </c>
      <c r="F541" s="14" t="n">
        <v>7632.88</v>
      </c>
      <c r="G541" s="14" t="n">
        <v>954.11</v>
      </c>
      <c r="H541" s="14" t="n">
        <v>954.11</v>
      </c>
      <c r="I541" s="14">
        <f>SUM(K541:T541)</f>
        <v/>
      </c>
      <c r="J541" s="14">
        <f>F541-(G541+H541+I541)</f>
        <v/>
      </c>
      <c r="K541" s="14" t="n">
        <v>572.47</v>
      </c>
      <c r="L541" s="14" t="n">
        <v>572.47</v>
      </c>
      <c r="M541" s="14" t="n">
        <v>572.47</v>
      </c>
      <c r="N541" s="14" t="n">
        <v>572.47</v>
      </c>
      <c r="O541" s="14" t="n">
        <v>572.47</v>
      </c>
      <c r="P541" s="14" t="n">
        <v>572.47</v>
      </c>
      <c r="Q541" s="14" t="n">
        <v>572.47</v>
      </c>
      <c r="R541" s="14" t="n">
        <v>572.47</v>
      </c>
      <c r="S541" s="14" t="n">
        <v>572.47</v>
      </c>
      <c r="T541" s="14" t="n">
        <v>572.47</v>
      </c>
      <c r="U541" s="14" t="n">
        <v>350</v>
      </c>
      <c r="V541" s="14" t="n">
        <v>0</v>
      </c>
      <c r="W541" s="14">
        <f>U541+V541</f>
        <v/>
      </c>
    </row>
    <row r="542">
      <c r="A542" s="15" t="inlineStr">
        <is>
          <t>CANON-202603-005188</t>
        </is>
      </c>
      <c r="B542" s="15" t="inlineStr">
        <is>
          <t>2026-03-17</t>
        </is>
      </c>
      <c r="C542" s="15" t="inlineStr">
        <is>
          <t>Wilhelmina Whitlock</t>
        </is>
      </c>
      <c r="D542" s="15" t="inlineStr">
        <is>
          <t>ND</t>
        </is>
      </c>
      <c r="E542" s="16" t="n">
        <v>750000</v>
      </c>
      <c r="F542" s="16" t="n">
        <v>7943.81</v>
      </c>
      <c r="G542" s="16" t="n">
        <v>992.98</v>
      </c>
      <c r="H542" s="16" t="n">
        <v>992.98</v>
      </c>
      <c r="I542" s="16">
        <f>SUM(K542:T542)</f>
        <v/>
      </c>
      <c r="J542" s="16">
        <f>F542-(G542+H542+I542)</f>
        <v/>
      </c>
      <c r="K542" s="16" t="n">
        <v>595.79</v>
      </c>
      <c r="L542" s="16" t="n">
        <v>595.79</v>
      </c>
      <c r="M542" s="16" t="n">
        <v>595.79</v>
      </c>
      <c r="N542" s="16" t="n">
        <v>595.79</v>
      </c>
      <c r="O542" s="16" t="n">
        <v>595.79</v>
      </c>
      <c r="P542" s="16" t="n">
        <v>595.79</v>
      </c>
      <c r="Q542" s="16" t="n">
        <v>595.79</v>
      </c>
      <c r="R542" s="16" t="n">
        <v>595.79</v>
      </c>
      <c r="S542" s="16" t="n">
        <v>595.79</v>
      </c>
      <c r="T542" s="16" t="n">
        <v>595.79</v>
      </c>
      <c r="U542" s="16" t="n">
        <v>350</v>
      </c>
      <c r="V542" s="16" t="n">
        <v>0</v>
      </c>
      <c r="W542" s="16">
        <f>U542+V542</f>
        <v/>
      </c>
    </row>
    <row r="543">
      <c r="A543" s="3" t="inlineStr">
        <is>
          <t>CANON-202603-005189</t>
        </is>
      </c>
      <c r="B543" s="3" t="inlineStr">
        <is>
          <t>2026-03-23</t>
        </is>
      </c>
      <c r="C543" s="3" t="inlineStr">
        <is>
          <t>Anouk Montoya</t>
        </is>
      </c>
      <c r="D543" s="3" t="inlineStr">
        <is>
          <t>ID</t>
        </is>
      </c>
      <c r="E543" s="14" t="n">
        <v>370000</v>
      </c>
      <c r="F543" s="14" t="n">
        <v>4388.86</v>
      </c>
      <c r="G543" s="14" t="n">
        <v>548.61</v>
      </c>
      <c r="H543" s="14" t="n">
        <v>548.61</v>
      </c>
      <c r="I543" s="14">
        <f>SUM(K543:T543)</f>
        <v/>
      </c>
      <c r="J543" s="14">
        <f>F543-(G543+H543+I543)</f>
        <v/>
      </c>
      <c r="K543" s="14" t="n">
        <v>329.16</v>
      </c>
      <c r="L543" s="14" t="n">
        <v>329.16</v>
      </c>
      <c r="M543" s="14" t="n">
        <v>329.16</v>
      </c>
      <c r="N543" s="14" t="n">
        <v>329.16</v>
      </c>
      <c r="O543" s="14" t="n">
        <v>329.16</v>
      </c>
      <c r="P543" s="14" t="n">
        <v>329.16</v>
      </c>
      <c r="Q543" s="14" t="n">
        <v>329.16</v>
      </c>
      <c r="R543" s="14" t="n">
        <v>329.16</v>
      </c>
      <c r="S543" s="14" t="n">
        <v>329.16</v>
      </c>
      <c r="T543" s="14" t="n">
        <v>329.16</v>
      </c>
      <c r="U543" s="14" t="n">
        <v>350</v>
      </c>
      <c r="V543" s="14" t="n">
        <v>0</v>
      </c>
      <c r="W543" s="14">
        <f>U543+V543</f>
        <v/>
      </c>
    </row>
    <row r="544">
      <c r="A544" s="15" t="inlineStr">
        <is>
          <t>CANON-202603-005190</t>
        </is>
      </c>
      <c r="B544" s="15" t="inlineStr">
        <is>
          <t>2026-03-07</t>
        </is>
      </c>
      <c r="C544" s="15" t="inlineStr">
        <is>
          <t>Horace Rourke</t>
        </is>
      </c>
      <c r="D544" s="15" t="inlineStr">
        <is>
          <t>LA</t>
        </is>
      </c>
      <c r="E544" s="16" t="n">
        <v>675000</v>
      </c>
      <c r="F544" s="16" t="n">
        <v>8481.18</v>
      </c>
      <c r="G544" s="16" t="n">
        <v>1060.15</v>
      </c>
      <c r="H544" s="16" t="n">
        <v>1060.15</v>
      </c>
      <c r="I544" s="16">
        <f>SUM(K544:T544)</f>
        <v/>
      </c>
      <c r="J544" s="16">
        <f>F544-(G544+H544+I544)</f>
        <v/>
      </c>
      <c r="K544" s="16" t="n">
        <v>636.09</v>
      </c>
      <c r="L544" s="16" t="n">
        <v>636.09</v>
      </c>
      <c r="M544" s="16" t="n">
        <v>636.09</v>
      </c>
      <c r="N544" s="16" t="n">
        <v>636.09</v>
      </c>
      <c r="O544" s="16" t="n">
        <v>636.09</v>
      </c>
      <c r="P544" s="16" t="n">
        <v>636.09</v>
      </c>
      <c r="Q544" s="16" t="n">
        <v>636.09</v>
      </c>
      <c r="R544" s="16" t="n">
        <v>636.09</v>
      </c>
      <c r="S544" s="16" t="n">
        <v>636.09</v>
      </c>
      <c r="T544" s="16" t="n">
        <v>636.09</v>
      </c>
      <c r="U544" s="16" t="n">
        <v>350</v>
      </c>
      <c r="V544" s="16" t="n">
        <v>0</v>
      </c>
      <c r="W544" s="16">
        <f>U544+V544</f>
        <v/>
      </c>
    </row>
    <row r="545">
      <c r="A545" s="3" t="inlineStr">
        <is>
          <t>CANON-202603-005191</t>
        </is>
      </c>
      <c r="B545" s="3" t="inlineStr">
        <is>
          <t>2026-03-23</t>
        </is>
      </c>
      <c r="C545" s="3" t="inlineStr">
        <is>
          <t>Priya Thistlewood</t>
        </is>
      </c>
      <c r="D545" s="3" t="inlineStr">
        <is>
          <t>NY</t>
        </is>
      </c>
      <c r="E545" s="14" t="n">
        <v>495000</v>
      </c>
      <c r="F545" s="14" t="n">
        <v>7591.55</v>
      </c>
      <c r="G545" s="14" t="n">
        <v>948.9400000000001</v>
      </c>
      <c r="H545" s="14" t="n">
        <v>948.9400000000001</v>
      </c>
      <c r="I545" s="14">
        <f>SUM(K545:T545)</f>
        <v/>
      </c>
      <c r="J545" s="14">
        <f>F545-(G545+H545+I545)</f>
        <v/>
      </c>
      <c r="K545" s="14" t="n">
        <v>569.37</v>
      </c>
      <c r="L545" s="14" t="n">
        <v>569.37</v>
      </c>
      <c r="M545" s="14" t="n">
        <v>569.37</v>
      </c>
      <c r="N545" s="14" t="n">
        <v>569.37</v>
      </c>
      <c r="O545" s="14" t="n">
        <v>569.37</v>
      </c>
      <c r="P545" s="14" t="n">
        <v>569.37</v>
      </c>
      <c r="Q545" s="14" t="n">
        <v>569.37</v>
      </c>
      <c r="R545" s="14" t="n">
        <v>569.37</v>
      </c>
      <c r="S545" s="14" t="n">
        <v>569.37</v>
      </c>
      <c r="T545" s="14" t="n">
        <v>569.37</v>
      </c>
      <c r="U545" s="14" t="n">
        <v>350</v>
      </c>
      <c r="V545" s="14" t="n">
        <v>0</v>
      </c>
      <c r="W545" s="14">
        <f>U545+V545</f>
        <v/>
      </c>
    </row>
    <row r="546">
      <c r="A546" s="15" t="inlineStr">
        <is>
          <t>CANON-202603-005192</t>
        </is>
      </c>
      <c r="B546" s="15" t="inlineStr">
        <is>
          <t>2026-03-09</t>
        </is>
      </c>
      <c r="C546" s="15" t="inlineStr">
        <is>
          <t>Delphine Fairweather</t>
        </is>
      </c>
      <c r="D546" s="15" t="inlineStr">
        <is>
          <t>CA</t>
        </is>
      </c>
      <c r="E546" s="16" t="n">
        <v>460000</v>
      </c>
      <c r="F546" s="16" t="n">
        <v>7440.58</v>
      </c>
      <c r="G546" s="16" t="n">
        <v>930.0700000000001</v>
      </c>
      <c r="H546" s="16" t="n">
        <v>930.0700000000001</v>
      </c>
      <c r="I546" s="16">
        <f>SUM(K546:T546)</f>
        <v/>
      </c>
      <c r="J546" s="16">
        <f>F546-(G546+H546+I546)</f>
        <v/>
      </c>
      <c r="K546" s="16" t="n">
        <v>558.04</v>
      </c>
      <c r="L546" s="16" t="n">
        <v>558.04</v>
      </c>
      <c r="M546" s="16" t="n">
        <v>558.04</v>
      </c>
      <c r="N546" s="16" t="n">
        <v>558.04</v>
      </c>
      <c r="O546" s="16" t="n">
        <v>558.04</v>
      </c>
      <c r="P546" s="16" t="n">
        <v>558.04</v>
      </c>
      <c r="Q546" s="16" t="n">
        <v>558.04</v>
      </c>
      <c r="R546" s="16" t="n">
        <v>558.04</v>
      </c>
      <c r="S546" s="16" t="n">
        <v>558.04</v>
      </c>
      <c r="T546" s="16" t="n">
        <v>558.04</v>
      </c>
      <c r="U546" s="16" t="n">
        <v>350</v>
      </c>
      <c r="V546" s="16" t="n">
        <v>0</v>
      </c>
      <c r="W546" s="16">
        <f>U546+V546</f>
        <v/>
      </c>
    </row>
    <row r="547">
      <c r="A547" s="3" t="inlineStr">
        <is>
          <t>CANON-202603-005194</t>
        </is>
      </c>
      <c r="B547" s="3" t="inlineStr">
        <is>
          <t>2026-03-02</t>
        </is>
      </c>
      <c r="C547" s="3" t="inlineStr">
        <is>
          <t>Fenwick Rourke</t>
        </is>
      </c>
      <c r="D547" s="3" t="inlineStr">
        <is>
          <t>GA</t>
        </is>
      </c>
      <c r="E547" s="14" t="n">
        <v>820000</v>
      </c>
      <c r="F547" s="14" t="n">
        <v>9536.719999999999</v>
      </c>
      <c r="G547" s="14" t="n">
        <v>1192.09</v>
      </c>
      <c r="H547" s="14" t="n">
        <v>1192.09</v>
      </c>
      <c r="I547" s="14">
        <f>SUM(K547:T547)</f>
        <v/>
      </c>
      <c r="J547" s="14">
        <f>F547-(G547+H547+I547)</f>
        <v/>
      </c>
      <c r="K547" s="14" t="n">
        <v>715.25</v>
      </c>
      <c r="L547" s="14" t="n">
        <v>715.25</v>
      </c>
      <c r="M547" s="14" t="n">
        <v>715.25</v>
      </c>
      <c r="N547" s="14" t="n">
        <v>715.25</v>
      </c>
      <c r="O547" s="14" t="n">
        <v>715.25</v>
      </c>
      <c r="P547" s="14" t="n">
        <v>715.25</v>
      </c>
      <c r="Q547" s="14" t="n">
        <v>715.25</v>
      </c>
      <c r="R547" s="14" t="n">
        <v>715.25</v>
      </c>
      <c r="S547" s="14" t="n">
        <v>715.25</v>
      </c>
      <c r="T547" s="14" t="n">
        <v>715.25</v>
      </c>
      <c r="U547" s="14" t="n">
        <v>350</v>
      </c>
      <c r="V547" s="14" t="n">
        <v>0</v>
      </c>
      <c r="W547" s="14">
        <f>U547+V547</f>
        <v/>
      </c>
    </row>
    <row r="548">
      <c r="A548" s="15" t="inlineStr">
        <is>
          <t>CANON-202603-005195</t>
        </is>
      </c>
      <c r="B548" s="15" t="inlineStr">
        <is>
          <t>2026-03-02</t>
        </is>
      </c>
      <c r="C548" s="15" t="inlineStr">
        <is>
          <t>Desmond Vasquez</t>
        </is>
      </c>
      <c r="D548" s="15" t="inlineStr">
        <is>
          <t>WA</t>
        </is>
      </c>
      <c r="E548" s="16" t="n">
        <v>905000</v>
      </c>
      <c r="F548" s="16" t="n">
        <v>13185.52</v>
      </c>
      <c r="G548" s="16" t="n">
        <v>1648.19</v>
      </c>
      <c r="H548" s="16" t="n">
        <v>1648.19</v>
      </c>
      <c r="I548" s="16">
        <f>SUM(K548:T548)</f>
        <v/>
      </c>
      <c r="J548" s="16">
        <f>F548-(G548+H548+I548)</f>
        <v/>
      </c>
      <c r="K548" s="16" t="n">
        <v>988.91</v>
      </c>
      <c r="L548" s="16" t="n">
        <v>988.91</v>
      </c>
      <c r="M548" s="16" t="n">
        <v>988.91</v>
      </c>
      <c r="N548" s="16" t="n">
        <v>988.91</v>
      </c>
      <c r="O548" s="16" t="n">
        <v>988.91</v>
      </c>
      <c r="P548" s="16" t="n">
        <v>988.91</v>
      </c>
      <c r="Q548" s="16" t="n">
        <v>988.91</v>
      </c>
      <c r="R548" s="16" t="n">
        <v>988.91</v>
      </c>
      <c r="S548" s="16" t="n">
        <v>988.91</v>
      </c>
      <c r="T548" s="16" t="n">
        <v>988.91</v>
      </c>
      <c r="U548" s="16" t="n">
        <v>350</v>
      </c>
      <c r="V548" s="16" t="n">
        <v>0</v>
      </c>
      <c r="W548" s="16">
        <f>U548+V548</f>
        <v/>
      </c>
    </row>
    <row r="549">
      <c r="A549" s="3" t="inlineStr">
        <is>
          <t>CANON-202603-005197</t>
        </is>
      </c>
      <c r="B549" s="3" t="inlineStr">
        <is>
          <t>2026-03-31</t>
        </is>
      </c>
      <c r="C549" s="3" t="inlineStr">
        <is>
          <t>Wilhelmina Fairweather</t>
        </is>
      </c>
      <c r="D549" s="3" t="inlineStr">
        <is>
          <t>MN</t>
        </is>
      </c>
      <c r="E549" s="14" t="n">
        <v>165000</v>
      </c>
      <c r="F549" s="14" t="n">
        <v>3201.1</v>
      </c>
      <c r="G549" s="14" t="n">
        <v>400.14</v>
      </c>
      <c r="H549" s="14" t="n">
        <v>400.14</v>
      </c>
      <c r="I549" s="14">
        <f>SUM(K549:T549)</f>
        <v/>
      </c>
      <c r="J549" s="14">
        <f>F549-(G549+H549+I549)</f>
        <v/>
      </c>
      <c r="K549" s="14" t="n">
        <v>240.08</v>
      </c>
      <c r="L549" s="14" t="n">
        <v>240.08</v>
      </c>
      <c r="M549" s="14" t="n">
        <v>240.08</v>
      </c>
      <c r="N549" s="14" t="n">
        <v>240.08</v>
      </c>
      <c r="O549" s="14" t="n">
        <v>240.08</v>
      </c>
      <c r="P549" s="14" t="n">
        <v>240.08</v>
      </c>
      <c r="Q549" s="14" t="n">
        <v>240.08</v>
      </c>
      <c r="R549" s="14" t="n">
        <v>240.08</v>
      </c>
      <c r="S549" s="14" t="n">
        <v>240.08</v>
      </c>
      <c r="T549" s="14" t="n">
        <v>240.08</v>
      </c>
      <c r="U549" s="14" t="n">
        <v>350</v>
      </c>
      <c r="V549" s="14" t="n">
        <v>0</v>
      </c>
      <c r="W549" s="14">
        <f>U549+V549</f>
        <v/>
      </c>
    </row>
    <row r="550">
      <c r="A550" s="15" t="inlineStr">
        <is>
          <t>CANON-202603-005198</t>
        </is>
      </c>
      <c r="B550" s="15" t="inlineStr">
        <is>
          <t>2026-03-10</t>
        </is>
      </c>
      <c r="C550" s="15" t="inlineStr">
        <is>
          <t>Mireille Pennington</t>
        </is>
      </c>
      <c r="D550" s="15" t="inlineStr">
        <is>
          <t>ID</t>
        </is>
      </c>
      <c r="E550" s="16" t="n">
        <v>1170000</v>
      </c>
      <c r="F550" s="16" t="n">
        <v>10177.41</v>
      </c>
      <c r="G550" s="16" t="n">
        <v>1272.18</v>
      </c>
      <c r="H550" s="16" t="n">
        <v>1272.18</v>
      </c>
      <c r="I550" s="16">
        <f>SUM(K550:T550)</f>
        <v/>
      </c>
      <c r="J550" s="16">
        <f>F550-(G550+H550+I550)</f>
        <v/>
      </c>
      <c r="K550" s="16" t="n">
        <v>763.3099999999999</v>
      </c>
      <c r="L550" s="16" t="n">
        <v>763.3099999999999</v>
      </c>
      <c r="M550" s="16" t="n">
        <v>763.3099999999999</v>
      </c>
      <c r="N550" s="16" t="n">
        <v>763.3099999999999</v>
      </c>
      <c r="O550" s="16" t="n">
        <v>763.3099999999999</v>
      </c>
      <c r="P550" s="16" t="n">
        <v>763.3099999999999</v>
      </c>
      <c r="Q550" s="16" t="n">
        <v>763.3099999999999</v>
      </c>
      <c r="R550" s="16" t="n">
        <v>763.3099999999999</v>
      </c>
      <c r="S550" s="16" t="n">
        <v>763.3099999999999</v>
      </c>
      <c r="T550" s="16" t="n">
        <v>763.3099999999999</v>
      </c>
      <c r="U550" s="16" t="n">
        <v>350</v>
      </c>
      <c r="V550" s="16" t="n">
        <v>250</v>
      </c>
      <c r="W550" s="16">
        <f>U550+V550</f>
        <v/>
      </c>
    </row>
    <row r="551">
      <c r="A551" s="3" t="inlineStr">
        <is>
          <t>CANON-202603-005200</t>
        </is>
      </c>
      <c r="B551" s="3" t="inlineStr">
        <is>
          <t>2026-03-25</t>
        </is>
      </c>
      <c r="C551" s="3" t="inlineStr">
        <is>
          <t>Emiliano Larsson</t>
        </is>
      </c>
      <c r="D551" s="3" t="inlineStr">
        <is>
          <t>MD</t>
        </is>
      </c>
      <c r="E551" s="14" t="n">
        <v>235000</v>
      </c>
      <c r="F551" s="14" t="n">
        <v>3281.2</v>
      </c>
      <c r="G551" s="14" t="n">
        <v>410.15</v>
      </c>
      <c r="H551" s="14" t="n">
        <v>410.15</v>
      </c>
      <c r="I551" s="14">
        <f>SUM(K551:T551)</f>
        <v/>
      </c>
      <c r="J551" s="14">
        <f>F551-(G551+H551+I551)</f>
        <v/>
      </c>
      <c r="K551" s="14" t="n">
        <v>246.09</v>
      </c>
      <c r="L551" s="14" t="n">
        <v>246.09</v>
      </c>
      <c r="M551" s="14" t="n">
        <v>246.09</v>
      </c>
      <c r="N551" s="14" t="n">
        <v>246.09</v>
      </c>
      <c r="O551" s="14" t="n">
        <v>246.09</v>
      </c>
      <c r="P551" s="14" t="n">
        <v>246.09</v>
      </c>
      <c r="Q551" s="14" t="n">
        <v>246.09</v>
      </c>
      <c r="R551" s="14" t="n">
        <v>246.09</v>
      </c>
      <c r="S551" s="14" t="n">
        <v>246.09</v>
      </c>
      <c r="T551" s="14" t="n">
        <v>246.09</v>
      </c>
      <c r="U551" s="14" t="n">
        <v>350</v>
      </c>
      <c r="V551" s="14" t="n">
        <v>0</v>
      </c>
      <c r="W551" s="14">
        <f>U551+V551</f>
        <v/>
      </c>
    </row>
    <row r="552">
      <c r="A552" s="15" t="inlineStr">
        <is>
          <t>CANON-202603-005201</t>
        </is>
      </c>
      <c r="B552" s="15" t="inlineStr">
        <is>
          <t>2026-03-09</t>
        </is>
      </c>
      <c r="C552" s="15" t="inlineStr">
        <is>
          <t>Everett Ashcombe</t>
        </is>
      </c>
      <c r="D552" s="15" t="inlineStr">
        <is>
          <t>NE</t>
        </is>
      </c>
      <c r="E552" s="16" t="n">
        <v>295000</v>
      </c>
      <c r="F552" s="16" t="n">
        <v>4594.95</v>
      </c>
      <c r="G552" s="16" t="n">
        <v>574.37</v>
      </c>
      <c r="H552" s="16" t="n">
        <v>574.37</v>
      </c>
      <c r="I552" s="16">
        <f>SUM(K552:T552)</f>
        <v/>
      </c>
      <c r="J552" s="16">
        <f>F552-(G552+H552+I552)</f>
        <v/>
      </c>
      <c r="K552" s="16" t="n">
        <v>344.62</v>
      </c>
      <c r="L552" s="16" t="n">
        <v>344.62</v>
      </c>
      <c r="M552" s="16" t="n">
        <v>344.62</v>
      </c>
      <c r="N552" s="16" t="n">
        <v>344.62</v>
      </c>
      <c r="O552" s="16" t="n">
        <v>344.62</v>
      </c>
      <c r="P552" s="16" t="n">
        <v>344.62</v>
      </c>
      <c r="Q552" s="16" t="n">
        <v>344.62</v>
      </c>
      <c r="R552" s="16" t="n">
        <v>344.62</v>
      </c>
      <c r="S552" s="16" t="n">
        <v>344.62</v>
      </c>
      <c r="T552" s="16" t="n">
        <v>344.62</v>
      </c>
      <c r="U552" s="16" t="n">
        <v>350</v>
      </c>
      <c r="V552" s="16" t="n">
        <v>0</v>
      </c>
      <c r="W552" s="16">
        <f>U552+V552</f>
        <v/>
      </c>
    </row>
    <row r="553">
      <c r="A553" s="3" t="inlineStr">
        <is>
          <t>CANON-202603-005202</t>
        </is>
      </c>
      <c r="B553" s="3" t="inlineStr">
        <is>
          <t>2026-03-21</t>
        </is>
      </c>
      <c r="C553" s="3" t="inlineStr">
        <is>
          <t>Sunniva Delacroix</t>
        </is>
      </c>
      <c r="D553" s="3" t="inlineStr">
        <is>
          <t>MI</t>
        </is>
      </c>
      <c r="E553" s="14" t="n">
        <v>735000</v>
      </c>
      <c r="F553" s="14" t="n">
        <v>17290.05</v>
      </c>
      <c r="G553" s="14" t="n">
        <v>2161.26</v>
      </c>
      <c r="H553" s="14" t="n">
        <v>2161.26</v>
      </c>
      <c r="I553" s="14">
        <f>SUM(K553:T553)</f>
        <v/>
      </c>
      <c r="J553" s="14">
        <f>F553-(G553+H553+I553)</f>
        <v/>
      </c>
      <c r="K553" s="14" t="n">
        <v>1296.75</v>
      </c>
      <c r="L553" s="14" t="n">
        <v>1296.75</v>
      </c>
      <c r="M553" s="14" t="n">
        <v>1296.75</v>
      </c>
      <c r="N553" s="14" t="n">
        <v>1296.75</v>
      </c>
      <c r="O553" s="14" t="n">
        <v>1296.75</v>
      </c>
      <c r="P553" s="14" t="n">
        <v>1296.75</v>
      </c>
      <c r="Q553" s="14" t="n">
        <v>1296.75</v>
      </c>
      <c r="R553" s="14" t="n">
        <v>1296.75</v>
      </c>
      <c r="S553" s="14" t="n">
        <v>1296.75</v>
      </c>
      <c r="T553" s="14" t="n">
        <v>1296.75</v>
      </c>
      <c r="U553" s="14" t="n">
        <v>350</v>
      </c>
      <c r="V553" s="14" t="n">
        <v>0</v>
      </c>
      <c r="W553" s="14">
        <f>U553+V553</f>
        <v/>
      </c>
    </row>
    <row r="554">
      <c r="A554" s="15" t="inlineStr">
        <is>
          <t>CANON-202603-005204</t>
        </is>
      </c>
      <c r="B554" s="15" t="inlineStr">
        <is>
          <t>2026-03-19</t>
        </is>
      </c>
      <c r="C554" s="15" t="inlineStr">
        <is>
          <t>Delphine Montoya</t>
        </is>
      </c>
      <c r="D554" s="15" t="inlineStr">
        <is>
          <t>MT</t>
        </is>
      </c>
      <c r="E554" s="16" t="n">
        <v>725000</v>
      </c>
      <c r="F554" s="16" t="n">
        <v>7001.45</v>
      </c>
      <c r="G554" s="16" t="n">
        <v>875.1799999999999</v>
      </c>
      <c r="H554" s="16" t="n">
        <v>875.1799999999999</v>
      </c>
      <c r="I554" s="16">
        <f>SUM(K554:T554)</f>
        <v/>
      </c>
      <c r="J554" s="16">
        <f>F554-(G554+H554+I554)</f>
        <v/>
      </c>
      <c r="K554" s="16" t="n">
        <v>525.11</v>
      </c>
      <c r="L554" s="16" t="n">
        <v>525.11</v>
      </c>
      <c r="M554" s="16" t="n">
        <v>525.11</v>
      </c>
      <c r="N554" s="16" t="n">
        <v>525.11</v>
      </c>
      <c r="O554" s="16" t="n">
        <v>525.11</v>
      </c>
      <c r="P554" s="16" t="n">
        <v>525.11</v>
      </c>
      <c r="Q554" s="16" t="n">
        <v>525.11</v>
      </c>
      <c r="R554" s="16" t="n">
        <v>525.11</v>
      </c>
      <c r="S554" s="16" t="n">
        <v>525.11</v>
      </c>
      <c r="T554" s="16" t="n">
        <v>525.11</v>
      </c>
      <c r="U554" s="16" t="n">
        <v>350</v>
      </c>
      <c r="V554" s="16" t="n">
        <v>0</v>
      </c>
      <c r="W554" s="16">
        <f>U554+V554</f>
        <v/>
      </c>
    </row>
    <row r="555">
      <c r="A555" s="3" t="inlineStr">
        <is>
          <t>CANON-202603-005206</t>
        </is>
      </c>
      <c r="B555" s="3" t="inlineStr">
        <is>
          <t>2026-03-09</t>
        </is>
      </c>
      <c r="C555" s="3" t="inlineStr">
        <is>
          <t>Marisol Harrington</t>
        </is>
      </c>
      <c r="D555" s="3" t="inlineStr">
        <is>
          <t>FL</t>
        </is>
      </c>
      <c r="E555" s="14" t="n">
        <v>165000</v>
      </c>
      <c r="F555" s="14" t="n">
        <v>3443.61</v>
      </c>
      <c r="G555" s="14" t="n">
        <v>430.45</v>
      </c>
      <c r="H555" s="14" t="n">
        <v>430.45</v>
      </c>
      <c r="I555" s="14">
        <f>SUM(K555:T555)</f>
        <v/>
      </c>
      <c r="J555" s="14">
        <f>F555-(G555+H555+I555)</f>
        <v/>
      </c>
      <c r="K555" s="14" t="n">
        <v>258.27</v>
      </c>
      <c r="L555" s="14" t="n">
        <v>258.27</v>
      </c>
      <c r="M555" s="14" t="n">
        <v>258.27</v>
      </c>
      <c r="N555" s="14" t="n">
        <v>258.27</v>
      </c>
      <c r="O555" s="14" t="n">
        <v>258.27</v>
      </c>
      <c r="P555" s="14" t="n">
        <v>258.27</v>
      </c>
      <c r="Q555" s="14" t="n">
        <v>258.27</v>
      </c>
      <c r="R555" s="14" t="n">
        <v>258.27</v>
      </c>
      <c r="S555" s="14" t="n">
        <v>258.27</v>
      </c>
      <c r="T555" s="14" t="n">
        <v>258.27</v>
      </c>
      <c r="U555" s="14" t="n">
        <v>350</v>
      </c>
      <c r="V555" s="14" t="n">
        <v>0</v>
      </c>
      <c r="W555" s="14">
        <f>U555+V555</f>
        <v/>
      </c>
    </row>
    <row r="556">
      <c r="A556" s="15" t="inlineStr">
        <is>
          <t>CANON-202603-005207</t>
        </is>
      </c>
      <c r="B556" s="15" t="inlineStr">
        <is>
          <t>2026-03-15</t>
        </is>
      </c>
      <c r="C556" s="15" t="inlineStr">
        <is>
          <t>Beatrix Whitlock</t>
        </is>
      </c>
      <c r="D556" s="15" t="inlineStr">
        <is>
          <t>ME</t>
        </is>
      </c>
      <c r="E556" s="16" t="n">
        <v>1140000</v>
      </c>
      <c r="F556" s="16" t="n">
        <v>10817.95</v>
      </c>
      <c r="G556" s="16" t="n">
        <v>1352.24</v>
      </c>
      <c r="H556" s="16" t="n">
        <v>1352.24</v>
      </c>
      <c r="I556" s="16">
        <f>SUM(K556:T556)</f>
        <v/>
      </c>
      <c r="J556" s="16">
        <f>F556-(G556+H556+I556)</f>
        <v/>
      </c>
      <c r="K556" s="16" t="n">
        <v>811.35</v>
      </c>
      <c r="L556" s="16" t="n">
        <v>811.35</v>
      </c>
      <c r="M556" s="16" t="n">
        <v>811.35</v>
      </c>
      <c r="N556" s="16" t="n">
        <v>811.35</v>
      </c>
      <c r="O556" s="16" t="n">
        <v>811.35</v>
      </c>
      <c r="P556" s="16" t="n">
        <v>811.35</v>
      </c>
      <c r="Q556" s="16" t="n">
        <v>811.35</v>
      </c>
      <c r="R556" s="16" t="n">
        <v>811.35</v>
      </c>
      <c r="S556" s="16" t="n">
        <v>811.35</v>
      </c>
      <c r="T556" s="16" t="n">
        <v>811.35</v>
      </c>
      <c r="U556" s="16" t="n">
        <v>350</v>
      </c>
      <c r="V556" s="16" t="n">
        <v>250</v>
      </c>
      <c r="W556" s="16">
        <f>U556+V556</f>
        <v/>
      </c>
    </row>
    <row r="557">
      <c r="A557" s="3" t="inlineStr">
        <is>
          <t>CANON-202603-005209</t>
        </is>
      </c>
      <c r="B557" s="3" t="inlineStr">
        <is>
          <t>2026-03-18</t>
        </is>
      </c>
      <c r="C557" s="3" t="inlineStr">
        <is>
          <t>Fenwick Vandermeer</t>
        </is>
      </c>
      <c r="D557" s="3" t="inlineStr">
        <is>
          <t>HI</t>
        </is>
      </c>
      <c r="E557" s="14" t="n">
        <v>245000</v>
      </c>
      <c r="F557" s="14" t="n">
        <v>4681.13</v>
      </c>
      <c r="G557" s="14" t="n">
        <v>585.14</v>
      </c>
      <c r="H557" s="14" t="n">
        <v>585.14</v>
      </c>
      <c r="I557" s="14">
        <f>SUM(K557:T557)</f>
        <v/>
      </c>
      <c r="J557" s="14">
        <f>F557-(G557+H557+I557)</f>
        <v/>
      </c>
      <c r="K557" s="14" t="n">
        <v>351.08</v>
      </c>
      <c r="L557" s="14" t="n">
        <v>351.08</v>
      </c>
      <c r="M557" s="14" t="n">
        <v>351.08</v>
      </c>
      <c r="N557" s="14" t="n">
        <v>351.08</v>
      </c>
      <c r="O557" s="14" t="n">
        <v>351.08</v>
      </c>
      <c r="P557" s="14" t="n">
        <v>351.08</v>
      </c>
      <c r="Q557" s="14" t="n">
        <v>351.08</v>
      </c>
      <c r="R557" s="14" t="n">
        <v>351.08</v>
      </c>
      <c r="S557" s="14" t="n">
        <v>351.08</v>
      </c>
      <c r="T557" s="14" t="n">
        <v>351.08</v>
      </c>
      <c r="U557" s="14" t="n">
        <v>350</v>
      </c>
      <c r="V557" s="14" t="n">
        <v>0</v>
      </c>
      <c r="W557" s="14">
        <f>U557+V557</f>
        <v/>
      </c>
    </row>
    <row r="558">
      <c r="A558" s="15" t="inlineStr">
        <is>
          <t>CANON-202603-005210</t>
        </is>
      </c>
      <c r="B558" s="15" t="inlineStr">
        <is>
          <t>2026-03-13</t>
        </is>
      </c>
      <c r="C558" s="15" t="inlineStr">
        <is>
          <t>Fitzgerald Delacroix</t>
        </is>
      </c>
      <c r="D558" s="15" t="inlineStr">
        <is>
          <t>FL</t>
        </is>
      </c>
      <c r="E558" s="16" t="n">
        <v>620000</v>
      </c>
      <c r="F558" s="16" t="n">
        <v>9142.120000000001</v>
      </c>
      <c r="G558" s="16" t="n">
        <v>1142.77</v>
      </c>
      <c r="H558" s="16" t="n">
        <v>1142.77</v>
      </c>
      <c r="I558" s="16">
        <f>SUM(K558:T558)</f>
        <v/>
      </c>
      <c r="J558" s="16">
        <f>F558-(G558+H558+I558)</f>
        <v/>
      </c>
      <c r="K558" s="16" t="n">
        <v>685.66</v>
      </c>
      <c r="L558" s="16" t="n">
        <v>685.66</v>
      </c>
      <c r="M558" s="16" t="n">
        <v>685.66</v>
      </c>
      <c r="N558" s="16" t="n">
        <v>685.66</v>
      </c>
      <c r="O558" s="16" t="n">
        <v>685.66</v>
      </c>
      <c r="P558" s="16" t="n">
        <v>685.66</v>
      </c>
      <c r="Q558" s="16" t="n">
        <v>685.66</v>
      </c>
      <c r="R558" s="16" t="n">
        <v>685.66</v>
      </c>
      <c r="S558" s="16" t="n">
        <v>685.66</v>
      </c>
      <c r="T558" s="16" t="n">
        <v>685.66</v>
      </c>
      <c r="U558" s="16" t="n">
        <v>350</v>
      </c>
      <c r="V558" s="16" t="n">
        <v>0</v>
      </c>
      <c r="W558" s="16">
        <f>U558+V558</f>
        <v/>
      </c>
    </row>
    <row r="559">
      <c r="A559" s="3" t="inlineStr">
        <is>
          <t>CANON-202603-005212</t>
        </is>
      </c>
      <c r="B559" s="3" t="inlineStr">
        <is>
          <t>2026-03-22</t>
        </is>
      </c>
      <c r="C559" s="3" t="inlineStr">
        <is>
          <t>Marisol Merriweather</t>
        </is>
      </c>
      <c r="D559" s="3" t="inlineStr">
        <is>
          <t>UT</t>
        </is>
      </c>
      <c r="E559" s="14" t="n">
        <v>695000</v>
      </c>
      <c r="F559" s="14" t="n">
        <v>9742.84</v>
      </c>
      <c r="G559" s="14" t="n">
        <v>1217.86</v>
      </c>
      <c r="H559" s="14" t="n">
        <v>1217.86</v>
      </c>
      <c r="I559" s="14">
        <f>SUM(K559:T559)</f>
        <v/>
      </c>
      <c r="J559" s="14">
        <f>F559-(G559+H559+I559)</f>
        <v/>
      </c>
      <c r="K559" s="14" t="n">
        <v>730.71</v>
      </c>
      <c r="L559" s="14" t="n">
        <v>730.71</v>
      </c>
      <c r="M559" s="14" t="n">
        <v>730.71</v>
      </c>
      <c r="N559" s="14" t="n">
        <v>730.71</v>
      </c>
      <c r="O559" s="14" t="n">
        <v>730.71</v>
      </c>
      <c r="P559" s="14" t="n">
        <v>730.71</v>
      </c>
      <c r="Q559" s="14" t="n">
        <v>730.71</v>
      </c>
      <c r="R559" s="14" t="n">
        <v>730.71</v>
      </c>
      <c r="S559" s="14" t="n">
        <v>730.71</v>
      </c>
      <c r="T559" s="14" t="n">
        <v>730.71</v>
      </c>
      <c r="U559" s="14" t="n">
        <v>350</v>
      </c>
      <c r="V559" s="14" t="n">
        <v>0</v>
      </c>
      <c r="W559" s="14">
        <f>U559+V559</f>
        <v/>
      </c>
    </row>
    <row r="560">
      <c r="A560" s="15" t="inlineStr">
        <is>
          <t>CANON-202603-005213</t>
        </is>
      </c>
      <c r="B560" s="15" t="inlineStr">
        <is>
          <t>2026-03-14</t>
        </is>
      </c>
      <c r="C560" s="15" t="inlineStr">
        <is>
          <t>Wilhelmina Delacroix</t>
        </is>
      </c>
      <c r="D560" s="15" t="inlineStr">
        <is>
          <t>TN</t>
        </is>
      </c>
      <c r="E560" s="16" t="n">
        <v>165000</v>
      </c>
      <c r="F560" s="16" t="n">
        <v>2712.39</v>
      </c>
      <c r="G560" s="16" t="n">
        <v>339.05</v>
      </c>
      <c r="H560" s="16" t="n">
        <v>339.05</v>
      </c>
      <c r="I560" s="16">
        <f>SUM(K560:T560)</f>
        <v/>
      </c>
      <c r="J560" s="16">
        <f>F560-(G560+H560+I560)</f>
        <v/>
      </c>
      <c r="K560" s="16" t="n">
        <v>203.43</v>
      </c>
      <c r="L560" s="16" t="n">
        <v>203.43</v>
      </c>
      <c r="M560" s="16" t="n">
        <v>203.43</v>
      </c>
      <c r="N560" s="16" t="n">
        <v>203.43</v>
      </c>
      <c r="O560" s="16" t="n">
        <v>203.43</v>
      </c>
      <c r="P560" s="16" t="n">
        <v>203.43</v>
      </c>
      <c r="Q560" s="16" t="n">
        <v>203.43</v>
      </c>
      <c r="R560" s="16" t="n">
        <v>203.43</v>
      </c>
      <c r="S560" s="16" t="n">
        <v>203.43</v>
      </c>
      <c r="T560" s="16" t="n">
        <v>203.43</v>
      </c>
      <c r="U560" s="16" t="n">
        <v>350</v>
      </c>
      <c r="V560" s="16" t="n">
        <v>0</v>
      </c>
      <c r="W560" s="16">
        <f>U560+V560</f>
        <v/>
      </c>
    </row>
    <row r="561">
      <c r="A561" s="3" t="inlineStr">
        <is>
          <t>CANON-202603-005214</t>
        </is>
      </c>
      <c r="B561" s="3" t="inlineStr">
        <is>
          <t>2026-03-17</t>
        </is>
      </c>
      <c r="C561" s="3" t="inlineStr">
        <is>
          <t>Priya Rourke</t>
        </is>
      </c>
      <c r="D561" s="3" t="inlineStr">
        <is>
          <t>CT</t>
        </is>
      </c>
      <c r="E561" s="14" t="n">
        <v>830000</v>
      </c>
      <c r="F561" s="14" t="n">
        <v>14108.26</v>
      </c>
      <c r="G561" s="14" t="n">
        <v>1763.53</v>
      </c>
      <c r="H561" s="14" t="n">
        <v>1763.53</v>
      </c>
      <c r="I561" s="14">
        <f>SUM(K561:T561)</f>
        <v/>
      </c>
      <c r="J561" s="14">
        <f>F561-(G561+H561+I561)</f>
        <v/>
      </c>
      <c r="K561" s="14" t="n">
        <v>1058.12</v>
      </c>
      <c r="L561" s="14" t="n">
        <v>1058.12</v>
      </c>
      <c r="M561" s="14" t="n">
        <v>1058.12</v>
      </c>
      <c r="N561" s="14" t="n">
        <v>1058.12</v>
      </c>
      <c r="O561" s="14" t="n">
        <v>1058.12</v>
      </c>
      <c r="P561" s="14" t="n">
        <v>1058.12</v>
      </c>
      <c r="Q561" s="14" t="n">
        <v>1058.12</v>
      </c>
      <c r="R561" s="14" t="n">
        <v>1058.12</v>
      </c>
      <c r="S561" s="14" t="n">
        <v>1058.12</v>
      </c>
      <c r="T561" s="14" t="n">
        <v>1058.12</v>
      </c>
      <c r="U561" s="14" t="n">
        <v>350</v>
      </c>
      <c r="V561" s="14" t="n">
        <v>0</v>
      </c>
      <c r="W561" s="14">
        <f>U561+V561</f>
        <v/>
      </c>
    </row>
    <row r="562">
      <c r="A562" s="15" t="inlineStr">
        <is>
          <t>CANON-202603-005217</t>
        </is>
      </c>
      <c r="B562" s="15" t="inlineStr">
        <is>
          <t>2026-03-24</t>
        </is>
      </c>
      <c r="C562" s="15" t="inlineStr">
        <is>
          <t>Desmond Vandermeer</t>
        </is>
      </c>
      <c r="D562" s="15" t="inlineStr">
        <is>
          <t>FL</t>
        </is>
      </c>
      <c r="E562" s="16" t="n">
        <v>605000</v>
      </c>
      <c r="F562" s="16" t="n">
        <v>13038.3</v>
      </c>
      <c r="G562" s="16" t="n">
        <v>1629.79</v>
      </c>
      <c r="H562" s="16" t="n">
        <v>1629.79</v>
      </c>
      <c r="I562" s="16">
        <f>SUM(K562:T562)</f>
        <v/>
      </c>
      <c r="J562" s="16">
        <f>F562-(G562+H562+I562)</f>
        <v/>
      </c>
      <c r="K562" s="16" t="n">
        <v>977.87</v>
      </c>
      <c r="L562" s="16" t="n">
        <v>977.87</v>
      </c>
      <c r="M562" s="16" t="n">
        <v>977.87</v>
      </c>
      <c r="N562" s="16" t="n">
        <v>977.87</v>
      </c>
      <c r="O562" s="16" t="n">
        <v>977.87</v>
      </c>
      <c r="P562" s="16" t="n">
        <v>977.87</v>
      </c>
      <c r="Q562" s="16" t="n">
        <v>977.87</v>
      </c>
      <c r="R562" s="16" t="n">
        <v>977.87</v>
      </c>
      <c r="S562" s="16" t="n">
        <v>977.87</v>
      </c>
      <c r="T562" s="16" t="n">
        <v>977.87</v>
      </c>
      <c r="U562" s="16" t="n">
        <v>350</v>
      </c>
      <c r="V562" s="16" t="n">
        <v>0</v>
      </c>
      <c r="W562" s="16">
        <f>U562+V562</f>
        <v/>
      </c>
    </row>
    <row r="563">
      <c r="A563" s="3" t="inlineStr">
        <is>
          <t>CANON-202603-005218</t>
        </is>
      </c>
      <c r="B563" s="3" t="inlineStr">
        <is>
          <t>2026-03-27</t>
        </is>
      </c>
      <c r="C563" s="3" t="inlineStr">
        <is>
          <t>Fitzgerald Vasquez</t>
        </is>
      </c>
      <c r="D563" s="3" t="inlineStr">
        <is>
          <t>NY</t>
        </is>
      </c>
      <c r="E563" s="14" t="n">
        <v>380000</v>
      </c>
      <c r="F563" s="14" t="n">
        <v>5827.85</v>
      </c>
      <c r="G563" s="14" t="n">
        <v>728.48</v>
      </c>
      <c r="H563" s="14" t="n">
        <v>728.48</v>
      </c>
      <c r="I563" s="14">
        <f>SUM(K563:T563)</f>
        <v/>
      </c>
      <c r="J563" s="14">
        <f>F563-(G563+H563+I563)</f>
        <v/>
      </c>
      <c r="K563" s="14" t="n">
        <v>437.09</v>
      </c>
      <c r="L563" s="14" t="n">
        <v>437.09</v>
      </c>
      <c r="M563" s="14" t="n">
        <v>437.09</v>
      </c>
      <c r="N563" s="14" t="n">
        <v>437.09</v>
      </c>
      <c r="O563" s="14" t="n">
        <v>437.09</v>
      </c>
      <c r="P563" s="14" t="n">
        <v>437.09</v>
      </c>
      <c r="Q563" s="14" t="n">
        <v>437.09</v>
      </c>
      <c r="R563" s="14" t="n">
        <v>437.09</v>
      </c>
      <c r="S563" s="14" t="n">
        <v>437.09</v>
      </c>
      <c r="T563" s="14" t="n">
        <v>437.09</v>
      </c>
      <c r="U563" s="14" t="n">
        <v>350</v>
      </c>
      <c r="V563" s="14" t="n">
        <v>0</v>
      </c>
      <c r="W563" s="14">
        <f>U563+V563</f>
        <v/>
      </c>
    </row>
    <row r="564">
      <c r="A564" s="15" t="inlineStr">
        <is>
          <t>CANON-202603-005219</t>
        </is>
      </c>
      <c r="B564" s="15" t="inlineStr">
        <is>
          <t>2026-03-04</t>
        </is>
      </c>
      <c r="C564" s="15" t="inlineStr">
        <is>
          <t>Marisol Vandermeer</t>
        </is>
      </c>
      <c r="D564" s="15" t="inlineStr">
        <is>
          <t>AL</t>
        </is>
      </c>
      <c r="E564" s="16" t="n">
        <v>580000</v>
      </c>
      <c r="F564" s="16" t="n">
        <v>7648.89</v>
      </c>
      <c r="G564" s="16" t="n">
        <v>956.11</v>
      </c>
      <c r="H564" s="16" t="n">
        <v>956.11</v>
      </c>
      <c r="I564" s="16">
        <f>SUM(K564:T564)</f>
        <v/>
      </c>
      <c r="J564" s="16">
        <f>F564-(G564+H564+I564)</f>
        <v/>
      </c>
      <c r="K564" s="16" t="n">
        <v>573.67</v>
      </c>
      <c r="L564" s="16" t="n">
        <v>573.67</v>
      </c>
      <c r="M564" s="16" t="n">
        <v>573.67</v>
      </c>
      <c r="N564" s="16" t="n">
        <v>573.67</v>
      </c>
      <c r="O564" s="16" t="n">
        <v>573.67</v>
      </c>
      <c r="P564" s="16" t="n">
        <v>573.67</v>
      </c>
      <c r="Q564" s="16" t="n">
        <v>573.67</v>
      </c>
      <c r="R564" s="16" t="n">
        <v>573.67</v>
      </c>
      <c r="S564" s="16" t="n">
        <v>573.67</v>
      </c>
      <c r="T564" s="16" t="n">
        <v>573.67</v>
      </c>
      <c r="U564" s="16" t="n">
        <v>350</v>
      </c>
      <c r="V564" s="16" t="n">
        <v>0</v>
      </c>
      <c r="W564" s="16">
        <f>U564+V564</f>
        <v/>
      </c>
    </row>
    <row r="565">
      <c r="A565" s="3" t="inlineStr">
        <is>
          <t>CANON-202603-005220</t>
        </is>
      </c>
      <c r="B565" s="3" t="inlineStr">
        <is>
          <t>2026-03-31</t>
        </is>
      </c>
      <c r="C565" s="3" t="inlineStr">
        <is>
          <t>Beatrix Vasquez</t>
        </is>
      </c>
      <c r="D565" s="3" t="inlineStr">
        <is>
          <t>RI</t>
        </is>
      </c>
      <c r="E565" s="14" t="n">
        <v>455000</v>
      </c>
      <c r="F565" s="14" t="n">
        <v>7468.73</v>
      </c>
      <c r="G565" s="14" t="n">
        <v>933.59</v>
      </c>
      <c r="H565" s="14" t="n">
        <v>933.59</v>
      </c>
      <c r="I565" s="14">
        <f>SUM(K565:T565)</f>
        <v/>
      </c>
      <c r="J565" s="14">
        <f>F565-(G565+H565+I565)</f>
        <v/>
      </c>
      <c r="K565" s="14" t="n">
        <v>560.15</v>
      </c>
      <c r="L565" s="14" t="n">
        <v>560.15</v>
      </c>
      <c r="M565" s="14" t="n">
        <v>560.15</v>
      </c>
      <c r="N565" s="14" t="n">
        <v>560.15</v>
      </c>
      <c r="O565" s="14" t="n">
        <v>560.15</v>
      </c>
      <c r="P565" s="14" t="n">
        <v>560.15</v>
      </c>
      <c r="Q565" s="14" t="n">
        <v>560.15</v>
      </c>
      <c r="R565" s="14" t="n">
        <v>560.15</v>
      </c>
      <c r="S565" s="14" t="n">
        <v>560.15</v>
      </c>
      <c r="T565" s="14" t="n">
        <v>560.15</v>
      </c>
      <c r="U565" s="14" t="n">
        <v>350</v>
      </c>
      <c r="V565" s="14" t="n">
        <v>0</v>
      </c>
      <c r="W565" s="14">
        <f>U565+V565</f>
        <v/>
      </c>
    </row>
    <row r="566">
      <c r="A566" s="15" t="inlineStr">
        <is>
          <t>CANON-202603-005221</t>
        </is>
      </c>
      <c r="B566" s="15" t="inlineStr">
        <is>
          <t>2026-03-06</t>
        </is>
      </c>
      <c r="C566" s="15" t="inlineStr">
        <is>
          <t>Horace Whitlock</t>
        </is>
      </c>
      <c r="D566" s="15" t="inlineStr">
        <is>
          <t>ND</t>
        </is>
      </c>
      <c r="E566" s="16" t="n">
        <v>700000</v>
      </c>
      <c r="F566" s="16" t="n">
        <v>7414.21</v>
      </c>
      <c r="G566" s="16" t="n">
        <v>926.78</v>
      </c>
      <c r="H566" s="16" t="n">
        <v>926.78</v>
      </c>
      <c r="I566" s="16">
        <f>SUM(K566:T566)</f>
        <v/>
      </c>
      <c r="J566" s="16">
        <f>F566-(G566+H566+I566)</f>
        <v/>
      </c>
      <c r="K566" s="16" t="n">
        <v>556.0700000000001</v>
      </c>
      <c r="L566" s="16" t="n">
        <v>556.0700000000001</v>
      </c>
      <c r="M566" s="16" t="n">
        <v>556.0700000000001</v>
      </c>
      <c r="N566" s="16" t="n">
        <v>556.0700000000001</v>
      </c>
      <c r="O566" s="16" t="n">
        <v>556.0700000000001</v>
      </c>
      <c r="P566" s="16" t="n">
        <v>556.0700000000001</v>
      </c>
      <c r="Q566" s="16" t="n">
        <v>556.0700000000001</v>
      </c>
      <c r="R566" s="16" t="n">
        <v>556.0700000000001</v>
      </c>
      <c r="S566" s="16" t="n">
        <v>556.0700000000001</v>
      </c>
      <c r="T566" s="16" t="n">
        <v>556.0700000000001</v>
      </c>
      <c r="U566" s="16" t="n">
        <v>350</v>
      </c>
      <c r="V566" s="16" t="n">
        <v>0</v>
      </c>
      <c r="W566" s="16">
        <f>U566+V566</f>
        <v/>
      </c>
    </row>
    <row r="567">
      <c r="A567" s="3" t="inlineStr">
        <is>
          <t>CANON-202603-005222</t>
        </is>
      </c>
      <c r="B567" s="3" t="inlineStr">
        <is>
          <t>2026-03-09</t>
        </is>
      </c>
      <c r="C567" s="3" t="inlineStr">
        <is>
          <t>Wilhelmina Kingsford</t>
        </is>
      </c>
      <c r="D567" s="3" t="inlineStr">
        <is>
          <t>CO</t>
        </is>
      </c>
      <c r="E567" s="14" t="n">
        <v>205000</v>
      </c>
      <c r="F567" s="14" t="n">
        <v>3314.27</v>
      </c>
      <c r="G567" s="14" t="n">
        <v>414.28</v>
      </c>
      <c r="H567" s="14" t="n">
        <v>414.28</v>
      </c>
      <c r="I567" s="14">
        <f>SUM(K567:T567)</f>
        <v/>
      </c>
      <c r="J567" s="14">
        <f>F567-(G567+H567+I567)</f>
        <v/>
      </c>
      <c r="K567" s="14" t="n">
        <v>248.57</v>
      </c>
      <c r="L567" s="14" t="n">
        <v>248.57</v>
      </c>
      <c r="M567" s="14" t="n">
        <v>248.57</v>
      </c>
      <c r="N567" s="14" t="n">
        <v>248.57</v>
      </c>
      <c r="O567" s="14" t="n">
        <v>248.57</v>
      </c>
      <c r="P567" s="14" t="n">
        <v>248.57</v>
      </c>
      <c r="Q567" s="14" t="n">
        <v>248.57</v>
      </c>
      <c r="R567" s="14" t="n">
        <v>248.57</v>
      </c>
      <c r="S567" s="14" t="n">
        <v>248.57</v>
      </c>
      <c r="T567" s="14" t="n">
        <v>248.57</v>
      </c>
      <c r="U567" s="14" t="n">
        <v>350</v>
      </c>
      <c r="V567" s="14" t="n">
        <v>0</v>
      </c>
      <c r="W567" s="14">
        <f>U567+V567</f>
        <v/>
      </c>
    </row>
    <row r="568">
      <c r="A568" s="15" t="inlineStr">
        <is>
          <t>CANON-202603-005223</t>
        </is>
      </c>
      <c r="B568" s="15" t="inlineStr">
        <is>
          <t>2026-03-25</t>
        </is>
      </c>
      <c r="C568" s="15" t="inlineStr">
        <is>
          <t>Emiliano Vandermeer</t>
        </is>
      </c>
      <c r="D568" s="15" t="inlineStr">
        <is>
          <t>DE</t>
        </is>
      </c>
      <c r="E568" s="16" t="n">
        <v>730000</v>
      </c>
      <c r="F568" s="16" t="n">
        <v>11370.55</v>
      </c>
      <c r="G568" s="16" t="n">
        <v>1421.32</v>
      </c>
      <c r="H568" s="16" t="n">
        <v>1421.32</v>
      </c>
      <c r="I568" s="16">
        <f>SUM(K568:T568)</f>
        <v/>
      </c>
      <c r="J568" s="16">
        <f>F568-(G568+H568+I568)</f>
        <v/>
      </c>
      <c r="K568" s="16" t="n">
        <v>852.79</v>
      </c>
      <c r="L568" s="16" t="n">
        <v>852.79</v>
      </c>
      <c r="M568" s="16" t="n">
        <v>852.79</v>
      </c>
      <c r="N568" s="16" t="n">
        <v>852.79</v>
      </c>
      <c r="O568" s="16" t="n">
        <v>852.79</v>
      </c>
      <c r="P568" s="16" t="n">
        <v>852.79</v>
      </c>
      <c r="Q568" s="16" t="n">
        <v>852.79</v>
      </c>
      <c r="R568" s="16" t="n">
        <v>852.79</v>
      </c>
      <c r="S568" s="16" t="n">
        <v>852.79</v>
      </c>
      <c r="T568" s="16" t="n">
        <v>852.79</v>
      </c>
      <c r="U568" s="16" t="n">
        <v>350</v>
      </c>
      <c r="V568" s="16" t="n">
        <v>0</v>
      </c>
      <c r="W568" s="16">
        <f>U568+V568</f>
        <v/>
      </c>
    </row>
    <row r="569">
      <c r="A569" s="3" t="inlineStr">
        <is>
          <t>CANON-202603-005224</t>
        </is>
      </c>
      <c r="B569" s="3" t="inlineStr">
        <is>
          <t>2026-03-02</t>
        </is>
      </c>
      <c r="C569" s="3" t="inlineStr">
        <is>
          <t>Ramona Harrington</t>
        </is>
      </c>
      <c r="D569" s="3" t="inlineStr">
        <is>
          <t>OK</t>
        </is>
      </c>
      <c r="E569" s="14" t="n">
        <v>945000</v>
      </c>
      <c r="F569" s="14" t="n">
        <v>12364.29</v>
      </c>
      <c r="G569" s="14" t="n">
        <v>1545.54</v>
      </c>
      <c r="H569" s="14" t="n">
        <v>1545.54</v>
      </c>
      <c r="I569" s="14">
        <f>SUM(K569:T569)</f>
        <v/>
      </c>
      <c r="J569" s="14">
        <f>F569-(G569+H569+I569)</f>
        <v/>
      </c>
      <c r="K569" s="14" t="n">
        <v>927.3200000000001</v>
      </c>
      <c r="L569" s="14" t="n">
        <v>927.3200000000001</v>
      </c>
      <c r="M569" s="14" t="n">
        <v>927.3200000000001</v>
      </c>
      <c r="N569" s="14" t="n">
        <v>927.3200000000001</v>
      </c>
      <c r="O569" s="14" t="n">
        <v>927.3200000000001</v>
      </c>
      <c r="P569" s="14" t="n">
        <v>927.3200000000001</v>
      </c>
      <c r="Q569" s="14" t="n">
        <v>927.3200000000001</v>
      </c>
      <c r="R569" s="14" t="n">
        <v>927.3200000000001</v>
      </c>
      <c r="S569" s="14" t="n">
        <v>927.3200000000001</v>
      </c>
      <c r="T569" s="14" t="n">
        <v>927.3200000000001</v>
      </c>
      <c r="U569" s="14" t="n">
        <v>350</v>
      </c>
      <c r="V569" s="14" t="n">
        <v>0</v>
      </c>
      <c r="W569" s="14">
        <f>U569+V569</f>
        <v/>
      </c>
    </row>
    <row r="570">
      <c r="A570" s="15" t="inlineStr">
        <is>
          <t>CANON-202603-005226</t>
        </is>
      </c>
      <c r="B570" s="15" t="inlineStr">
        <is>
          <t>2026-03-18</t>
        </is>
      </c>
      <c r="C570" s="15" t="inlineStr">
        <is>
          <t>Anouk Merriweather</t>
        </is>
      </c>
      <c r="D570" s="15" t="inlineStr">
        <is>
          <t>TX</t>
        </is>
      </c>
      <c r="E570" s="16" t="n">
        <v>645000</v>
      </c>
      <c r="F570" s="16" t="n">
        <v>7702.37</v>
      </c>
      <c r="G570" s="16" t="n">
        <v>962.8</v>
      </c>
      <c r="H570" s="16" t="n">
        <v>962.8</v>
      </c>
      <c r="I570" s="16">
        <f>SUM(K570:T570)</f>
        <v/>
      </c>
      <c r="J570" s="16">
        <f>F570-(G570+H570+I570)</f>
        <v/>
      </c>
      <c r="K570" s="16" t="n">
        <v>577.6799999999999</v>
      </c>
      <c r="L570" s="16" t="n">
        <v>577.6799999999999</v>
      </c>
      <c r="M570" s="16" t="n">
        <v>577.6799999999999</v>
      </c>
      <c r="N570" s="16" t="n">
        <v>577.6799999999999</v>
      </c>
      <c r="O570" s="16" t="n">
        <v>577.6799999999999</v>
      </c>
      <c r="P570" s="16" t="n">
        <v>577.6799999999999</v>
      </c>
      <c r="Q570" s="16" t="n">
        <v>577.6799999999999</v>
      </c>
      <c r="R570" s="16" t="n">
        <v>577.6799999999999</v>
      </c>
      <c r="S570" s="16" t="n">
        <v>577.6799999999999</v>
      </c>
      <c r="T570" s="16" t="n">
        <v>577.6799999999999</v>
      </c>
      <c r="U570" s="16" t="n">
        <v>350</v>
      </c>
      <c r="V570" s="16" t="n">
        <v>0</v>
      </c>
      <c r="W570" s="16">
        <f>U570+V570</f>
        <v/>
      </c>
    </row>
    <row r="571">
      <c r="A571" s="3" t="inlineStr">
        <is>
          <t>CANON-202603-005227</t>
        </is>
      </c>
      <c r="B571" s="3" t="inlineStr">
        <is>
          <t>2026-03-17</t>
        </is>
      </c>
      <c r="C571" s="3" t="inlineStr">
        <is>
          <t>Delphine Nakashima</t>
        </is>
      </c>
      <c r="D571" s="3" t="inlineStr">
        <is>
          <t>TX</t>
        </is>
      </c>
      <c r="E571" s="14" t="n">
        <v>305000</v>
      </c>
      <c r="F571" s="14" t="n">
        <v>4202.54</v>
      </c>
      <c r="G571" s="14" t="n">
        <v>525.3200000000001</v>
      </c>
      <c r="H571" s="14" t="n">
        <v>525.3200000000001</v>
      </c>
      <c r="I571" s="14">
        <f>SUM(K571:T571)</f>
        <v/>
      </c>
      <c r="J571" s="14">
        <f>F571-(G571+H571+I571)</f>
        <v/>
      </c>
      <c r="K571" s="14" t="n">
        <v>315.19</v>
      </c>
      <c r="L571" s="14" t="n">
        <v>315.19</v>
      </c>
      <c r="M571" s="14" t="n">
        <v>315.19</v>
      </c>
      <c r="N571" s="14" t="n">
        <v>315.19</v>
      </c>
      <c r="O571" s="14" t="n">
        <v>315.19</v>
      </c>
      <c r="P571" s="14" t="n">
        <v>315.19</v>
      </c>
      <c r="Q571" s="14" t="n">
        <v>315.19</v>
      </c>
      <c r="R571" s="14" t="n">
        <v>315.19</v>
      </c>
      <c r="S571" s="14" t="n">
        <v>315.19</v>
      </c>
      <c r="T571" s="14" t="n">
        <v>315.19</v>
      </c>
      <c r="U571" s="14" t="n">
        <v>350</v>
      </c>
      <c r="V571" s="14" t="n">
        <v>0</v>
      </c>
      <c r="W571" s="14">
        <f>U571+V571</f>
        <v/>
      </c>
    </row>
    <row r="572">
      <c r="A572" s="15" t="inlineStr">
        <is>
          <t>CANON-202603-005228</t>
        </is>
      </c>
      <c r="B572" s="15" t="inlineStr">
        <is>
          <t>2026-03-28</t>
        </is>
      </c>
      <c r="C572" s="15" t="inlineStr">
        <is>
          <t>Desmond Montoya</t>
        </is>
      </c>
      <c r="D572" s="15" t="inlineStr">
        <is>
          <t>ME</t>
        </is>
      </c>
      <c r="E572" s="16" t="n">
        <v>1180000</v>
      </c>
      <c r="F572" s="16" t="n">
        <v>11197.53</v>
      </c>
      <c r="G572" s="16" t="n">
        <v>1399.69</v>
      </c>
      <c r="H572" s="16" t="n">
        <v>1399.69</v>
      </c>
      <c r="I572" s="16">
        <f>SUM(K572:T572)</f>
        <v/>
      </c>
      <c r="J572" s="16">
        <f>F572-(G572+H572+I572)</f>
        <v/>
      </c>
      <c r="K572" s="16" t="n">
        <v>839.8099999999999</v>
      </c>
      <c r="L572" s="16" t="n">
        <v>839.8099999999999</v>
      </c>
      <c r="M572" s="16" t="n">
        <v>839.8099999999999</v>
      </c>
      <c r="N572" s="16" t="n">
        <v>839.8099999999999</v>
      </c>
      <c r="O572" s="16" t="n">
        <v>839.8099999999999</v>
      </c>
      <c r="P572" s="16" t="n">
        <v>839.8099999999999</v>
      </c>
      <c r="Q572" s="16" t="n">
        <v>839.8099999999999</v>
      </c>
      <c r="R572" s="16" t="n">
        <v>839.8099999999999</v>
      </c>
      <c r="S572" s="16" t="n">
        <v>839.8099999999999</v>
      </c>
      <c r="T572" s="16" t="n">
        <v>839.8099999999999</v>
      </c>
      <c r="U572" s="16" t="n">
        <v>350</v>
      </c>
      <c r="V572" s="16" t="n">
        <v>250</v>
      </c>
      <c r="W572" s="16">
        <f>U572+V572</f>
        <v/>
      </c>
    </row>
    <row r="573">
      <c r="A573" s="3" t="inlineStr">
        <is>
          <t>CANON-202603-005229</t>
        </is>
      </c>
      <c r="B573" s="3" t="inlineStr">
        <is>
          <t>2026-03-11</t>
        </is>
      </c>
      <c r="C573" s="3" t="inlineStr">
        <is>
          <t>Thaddeus Kingsford</t>
        </is>
      </c>
      <c r="D573" s="3" t="inlineStr">
        <is>
          <t>CT</t>
        </is>
      </c>
      <c r="E573" s="14" t="n">
        <v>540000</v>
      </c>
      <c r="F573" s="14" t="n">
        <v>9178.860000000001</v>
      </c>
      <c r="G573" s="14" t="n">
        <v>1147.36</v>
      </c>
      <c r="H573" s="14" t="n">
        <v>1147.36</v>
      </c>
      <c r="I573" s="14">
        <f>SUM(K573:T573)</f>
        <v/>
      </c>
      <c r="J573" s="14">
        <f>F573-(G573+H573+I573)</f>
        <v/>
      </c>
      <c r="K573" s="14" t="n">
        <v>688.41</v>
      </c>
      <c r="L573" s="14" t="n">
        <v>688.41</v>
      </c>
      <c r="M573" s="14" t="n">
        <v>688.41</v>
      </c>
      <c r="N573" s="14" t="n">
        <v>688.41</v>
      </c>
      <c r="O573" s="14" t="n">
        <v>688.41</v>
      </c>
      <c r="P573" s="14" t="n">
        <v>688.41</v>
      </c>
      <c r="Q573" s="14" t="n">
        <v>688.41</v>
      </c>
      <c r="R573" s="14" t="n">
        <v>688.41</v>
      </c>
      <c r="S573" s="14" t="n">
        <v>688.41</v>
      </c>
      <c r="T573" s="14" t="n">
        <v>688.41</v>
      </c>
      <c r="U573" s="14" t="n">
        <v>350</v>
      </c>
      <c r="V573" s="14" t="n">
        <v>0</v>
      </c>
      <c r="W573" s="14">
        <f>U573+V573</f>
        <v/>
      </c>
    </row>
    <row r="574">
      <c r="A574" s="15" t="inlineStr">
        <is>
          <t>CANON-202603-005230</t>
        </is>
      </c>
      <c r="B574" s="15" t="inlineStr">
        <is>
          <t>2026-03-31</t>
        </is>
      </c>
      <c r="C574" s="15" t="inlineStr">
        <is>
          <t>Marisol Blackwood</t>
        </is>
      </c>
      <c r="D574" s="15" t="inlineStr">
        <is>
          <t>PA</t>
        </is>
      </c>
      <c r="E574" s="16" t="n">
        <v>690000</v>
      </c>
      <c r="F574" s="16" t="n">
        <v>7165</v>
      </c>
      <c r="G574" s="16" t="n">
        <v>895.62</v>
      </c>
      <c r="H574" s="16" t="n">
        <v>895.62</v>
      </c>
      <c r="I574" s="16">
        <f>SUM(K574:T574)</f>
        <v/>
      </c>
      <c r="J574" s="16">
        <f>F574-(G574+H574+I574)</f>
        <v/>
      </c>
      <c r="K574" s="16" t="n">
        <v>537.38</v>
      </c>
      <c r="L574" s="16" t="n">
        <v>537.38</v>
      </c>
      <c r="M574" s="16" t="n">
        <v>537.38</v>
      </c>
      <c r="N574" s="16" t="n">
        <v>537.38</v>
      </c>
      <c r="O574" s="16" t="n">
        <v>537.38</v>
      </c>
      <c r="P574" s="16" t="n">
        <v>537.38</v>
      </c>
      <c r="Q574" s="16" t="n">
        <v>537.38</v>
      </c>
      <c r="R574" s="16" t="n">
        <v>537.38</v>
      </c>
      <c r="S574" s="16" t="n">
        <v>537.38</v>
      </c>
      <c r="T574" s="16" t="n">
        <v>537.38</v>
      </c>
      <c r="U574" s="16" t="n">
        <v>350</v>
      </c>
      <c r="V574" s="16" t="n">
        <v>0</v>
      </c>
      <c r="W574" s="16">
        <f>U574+V574</f>
        <v/>
      </c>
    </row>
    <row r="575">
      <c r="A575" s="3" t="inlineStr">
        <is>
          <t>CANON-202603-005232</t>
        </is>
      </c>
      <c r="B575" s="3" t="inlineStr">
        <is>
          <t>2026-03-23</t>
        </is>
      </c>
      <c r="C575" s="3" t="inlineStr">
        <is>
          <t>Ottilie Blackwood</t>
        </is>
      </c>
      <c r="D575" s="3" t="inlineStr">
        <is>
          <t>PA</t>
        </is>
      </c>
      <c r="E575" s="14" t="n">
        <v>760000</v>
      </c>
      <c r="F575" s="14" t="n">
        <v>7891.88</v>
      </c>
      <c r="G575" s="14" t="n">
        <v>986.49</v>
      </c>
      <c r="H575" s="14" t="n">
        <v>986.49</v>
      </c>
      <c r="I575" s="14">
        <f>SUM(K575:T575)</f>
        <v/>
      </c>
      <c r="J575" s="14">
        <f>F575-(G575+H575+I575)</f>
        <v/>
      </c>
      <c r="K575" s="14" t="n">
        <v>591.89</v>
      </c>
      <c r="L575" s="14" t="n">
        <v>591.89</v>
      </c>
      <c r="M575" s="14" t="n">
        <v>591.89</v>
      </c>
      <c r="N575" s="14" t="n">
        <v>591.89</v>
      </c>
      <c r="O575" s="14" t="n">
        <v>591.89</v>
      </c>
      <c r="P575" s="14" t="n">
        <v>591.89</v>
      </c>
      <c r="Q575" s="14" t="n">
        <v>591.89</v>
      </c>
      <c r="R575" s="14" t="n">
        <v>591.89</v>
      </c>
      <c r="S575" s="14" t="n">
        <v>591.89</v>
      </c>
      <c r="T575" s="14" t="n">
        <v>591.89</v>
      </c>
      <c r="U575" s="14" t="n">
        <v>350</v>
      </c>
      <c r="V575" s="14" t="n">
        <v>0</v>
      </c>
      <c r="W575" s="14">
        <f>U575+V575</f>
        <v/>
      </c>
    </row>
    <row r="576">
      <c r="A576" s="15" t="inlineStr">
        <is>
          <t>CANON-202603-005233</t>
        </is>
      </c>
      <c r="B576" s="15" t="inlineStr">
        <is>
          <t>2026-03-04</t>
        </is>
      </c>
      <c r="C576" s="15" t="inlineStr">
        <is>
          <t>Beatrix Merriweather</t>
        </is>
      </c>
      <c r="D576" s="15" t="inlineStr">
        <is>
          <t>MI</t>
        </is>
      </c>
      <c r="E576" s="16" t="n">
        <v>1950000</v>
      </c>
      <c r="F576" s="16" t="n">
        <v>18348.62</v>
      </c>
      <c r="G576" s="16" t="n">
        <v>2293.58</v>
      </c>
      <c r="H576" s="16" t="n">
        <v>2293.58</v>
      </c>
      <c r="I576" s="16">
        <f>SUM(K576:T576)</f>
        <v/>
      </c>
      <c r="J576" s="16">
        <f>F576-(G576+H576+I576)</f>
        <v/>
      </c>
      <c r="K576" s="16" t="n">
        <v>1376.15</v>
      </c>
      <c r="L576" s="16" t="n">
        <v>1376.15</v>
      </c>
      <c r="M576" s="16" t="n">
        <v>1376.15</v>
      </c>
      <c r="N576" s="16" t="n">
        <v>1376.15</v>
      </c>
      <c r="O576" s="16" t="n">
        <v>1376.15</v>
      </c>
      <c r="P576" s="16" t="n">
        <v>1376.15</v>
      </c>
      <c r="Q576" s="16" t="n">
        <v>1376.15</v>
      </c>
      <c r="R576" s="16" t="n">
        <v>1376.15</v>
      </c>
      <c r="S576" s="16" t="n">
        <v>1376.15</v>
      </c>
      <c r="T576" s="16" t="n">
        <v>1376.15</v>
      </c>
      <c r="U576" s="16" t="n">
        <v>350</v>
      </c>
      <c r="V576" s="16" t="n">
        <v>250</v>
      </c>
      <c r="W576" s="16">
        <f>U576+V576</f>
        <v/>
      </c>
    </row>
    <row r="577">
      <c r="A577" s="3" t="inlineStr">
        <is>
          <t>CANON-202603-005236</t>
        </is>
      </c>
      <c r="B577" s="3" t="inlineStr">
        <is>
          <t>2026-03-19</t>
        </is>
      </c>
      <c r="C577" s="3" t="inlineStr">
        <is>
          <t>Emiliano Rourke</t>
        </is>
      </c>
      <c r="D577" s="3" t="inlineStr">
        <is>
          <t>ND</t>
        </is>
      </c>
      <c r="E577" s="14" t="n">
        <v>1115000</v>
      </c>
      <c r="F577" s="14" t="n">
        <v>9992.9</v>
      </c>
      <c r="G577" s="14" t="n">
        <v>1249.11</v>
      </c>
      <c r="H577" s="14" t="n">
        <v>1249.11</v>
      </c>
      <c r="I577" s="14">
        <f>SUM(K577:T577)</f>
        <v/>
      </c>
      <c r="J577" s="14">
        <f>F577-(G577+H577+I577)</f>
        <v/>
      </c>
      <c r="K577" s="14" t="n">
        <v>749.47</v>
      </c>
      <c r="L577" s="14" t="n">
        <v>749.47</v>
      </c>
      <c r="M577" s="14" t="n">
        <v>749.47</v>
      </c>
      <c r="N577" s="14" t="n">
        <v>749.47</v>
      </c>
      <c r="O577" s="14" t="n">
        <v>749.47</v>
      </c>
      <c r="P577" s="14" t="n">
        <v>749.47</v>
      </c>
      <c r="Q577" s="14" t="n">
        <v>749.47</v>
      </c>
      <c r="R577" s="14" t="n">
        <v>749.47</v>
      </c>
      <c r="S577" s="14" t="n">
        <v>749.47</v>
      </c>
      <c r="T577" s="14" t="n">
        <v>749.47</v>
      </c>
      <c r="U577" s="14" t="n">
        <v>350</v>
      </c>
      <c r="V577" s="14" t="n">
        <v>250</v>
      </c>
      <c r="W577" s="14">
        <f>U577+V577</f>
        <v/>
      </c>
    </row>
    <row r="578">
      <c r="A578" s="15" t="inlineStr">
        <is>
          <t>CANON-202603-005240</t>
        </is>
      </c>
      <c r="B578" s="15" t="inlineStr">
        <is>
          <t>2026-03-13</t>
        </is>
      </c>
      <c r="C578" s="15" t="inlineStr">
        <is>
          <t>Beatrix Castellanos</t>
        </is>
      </c>
      <c r="D578" s="15" t="inlineStr">
        <is>
          <t>GA</t>
        </is>
      </c>
      <c r="E578" s="16" t="n">
        <v>305000</v>
      </c>
      <c r="F578" s="16" t="n">
        <v>6275.81</v>
      </c>
      <c r="G578" s="16" t="n">
        <v>784.48</v>
      </c>
      <c r="H578" s="16" t="n">
        <v>784.48</v>
      </c>
      <c r="I578" s="16">
        <f>SUM(K578:T578)</f>
        <v/>
      </c>
      <c r="J578" s="16">
        <f>F578-(G578+H578+I578)</f>
        <v/>
      </c>
      <c r="K578" s="16" t="n">
        <v>470.69</v>
      </c>
      <c r="L578" s="16" t="n">
        <v>470.69</v>
      </c>
      <c r="M578" s="16" t="n">
        <v>470.69</v>
      </c>
      <c r="N578" s="16" t="n">
        <v>470.69</v>
      </c>
      <c r="O578" s="16" t="n">
        <v>470.69</v>
      </c>
      <c r="P578" s="16" t="n">
        <v>470.69</v>
      </c>
      <c r="Q578" s="16" t="n">
        <v>470.69</v>
      </c>
      <c r="R578" s="16" t="n">
        <v>470.69</v>
      </c>
      <c r="S578" s="16" t="n">
        <v>470.69</v>
      </c>
      <c r="T578" s="16" t="n">
        <v>470.69</v>
      </c>
      <c r="U578" s="16" t="n">
        <v>350</v>
      </c>
      <c r="V578" s="16" t="n">
        <v>0</v>
      </c>
      <c r="W578" s="16">
        <f>U578+V578</f>
        <v/>
      </c>
    </row>
    <row r="579">
      <c r="A579" s="3" t="inlineStr">
        <is>
          <t>CANON-202603-005241</t>
        </is>
      </c>
      <c r="B579" s="3" t="inlineStr">
        <is>
          <t>2026-03-18</t>
        </is>
      </c>
      <c r="C579" s="3" t="inlineStr">
        <is>
          <t>Delphine Castellanos</t>
        </is>
      </c>
      <c r="D579" s="3" t="inlineStr">
        <is>
          <t>TX</t>
        </is>
      </c>
      <c r="E579" s="14" t="n">
        <v>615000</v>
      </c>
      <c r="F579" s="14" t="n">
        <v>10733.72</v>
      </c>
      <c r="G579" s="14" t="n">
        <v>1341.71</v>
      </c>
      <c r="H579" s="14" t="n">
        <v>1341.71</v>
      </c>
      <c r="I579" s="14">
        <f>SUM(K579:T579)</f>
        <v/>
      </c>
      <c r="J579" s="14">
        <f>F579-(G579+H579+I579)</f>
        <v/>
      </c>
      <c r="K579" s="14" t="n">
        <v>805.03</v>
      </c>
      <c r="L579" s="14" t="n">
        <v>805.03</v>
      </c>
      <c r="M579" s="14" t="n">
        <v>805.03</v>
      </c>
      <c r="N579" s="14" t="n">
        <v>805.03</v>
      </c>
      <c r="O579" s="14" t="n">
        <v>805.03</v>
      </c>
      <c r="P579" s="14" t="n">
        <v>805.03</v>
      </c>
      <c r="Q579" s="14" t="n">
        <v>805.03</v>
      </c>
      <c r="R579" s="14" t="n">
        <v>805.03</v>
      </c>
      <c r="S579" s="14" t="n">
        <v>805.03</v>
      </c>
      <c r="T579" s="14" t="n">
        <v>805.03</v>
      </c>
      <c r="U579" s="14" t="n">
        <v>350</v>
      </c>
      <c r="V579" s="14" t="n">
        <v>0</v>
      </c>
      <c r="W579" s="14">
        <f>U579+V579</f>
        <v/>
      </c>
    </row>
    <row r="580">
      <c r="A580" s="15" t="inlineStr">
        <is>
          <t>CANON-202603-005243</t>
        </is>
      </c>
      <c r="B580" s="15" t="inlineStr">
        <is>
          <t>2026-03-17</t>
        </is>
      </c>
      <c r="C580" s="15" t="inlineStr">
        <is>
          <t>Fenwick Ashcombe</t>
        </is>
      </c>
      <c r="D580" s="15" t="inlineStr">
        <is>
          <t>DE</t>
        </is>
      </c>
      <c r="E580" s="16" t="n">
        <v>575000</v>
      </c>
      <c r="F580" s="16" t="n">
        <v>7463.54</v>
      </c>
      <c r="G580" s="16" t="n">
        <v>932.9400000000001</v>
      </c>
      <c r="H580" s="16" t="n">
        <v>932.9400000000001</v>
      </c>
      <c r="I580" s="16">
        <f>SUM(K580:T580)</f>
        <v/>
      </c>
      <c r="J580" s="16">
        <f>F580-(G580+H580+I580)</f>
        <v/>
      </c>
      <c r="K580" s="16" t="n">
        <v>559.77</v>
      </c>
      <c r="L580" s="16" t="n">
        <v>559.77</v>
      </c>
      <c r="M580" s="16" t="n">
        <v>559.77</v>
      </c>
      <c r="N580" s="16" t="n">
        <v>559.77</v>
      </c>
      <c r="O580" s="16" t="n">
        <v>559.77</v>
      </c>
      <c r="P580" s="16" t="n">
        <v>559.77</v>
      </c>
      <c r="Q580" s="16" t="n">
        <v>559.77</v>
      </c>
      <c r="R580" s="16" t="n">
        <v>559.77</v>
      </c>
      <c r="S580" s="16" t="n">
        <v>559.77</v>
      </c>
      <c r="T580" s="16" t="n">
        <v>559.77</v>
      </c>
      <c r="U580" s="16" t="n">
        <v>350</v>
      </c>
      <c r="V580" s="16" t="n">
        <v>0</v>
      </c>
      <c r="W580" s="16">
        <f>U580+V580</f>
        <v/>
      </c>
    </row>
    <row r="581">
      <c r="A581" s="3" t="inlineStr">
        <is>
          <t>CANON-202603-005246</t>
        </is>
      </c>
      <c r="B581" s="3" t="inlineStr">
        <is>
          <t>2026-03-28</t>
        </is>
      </c>
      <c r="C581" s="3" t="inlineStr">
        <is>
          <t>Leopold Nakashima</t>
        </is>
      </c>
      <c r="D581" s="3" t="inlineStr">
        <is>
          <t>KS</t>
        </is>
      </c>
      <c r="E581" s="14" t="n">
        <v>540000</v>
      </c>
      <c r="F581" s="14" t="n">
        <v>5439.17</v>
      </c>
      <c r="G581" s="14" t="n">
        <v>679.9</v>
      </c>
      <c r="H581" s="14" t="n">
        <v>679.9</v>
      </c>
      <c r="I581" s="14">
        <f>SUM(K581:T581)</f>
        <v/>
      </c>
      <c r="J581" s="14">
        <f>F581-(G581+H581+I581)</f>
        <v/>
      </c>
      <c r="K581" s="14" t="n">
        <v>407.94</v>
      </c>
      <c r="L581" s="14" t="n">
        <v>407.94</v>
      </c>
      <c r="M581" s="14" t="n">
        <v>407.94</v>
      </c>
      <c r="N581" s="14" t="n">
        <v>407.94</v>
      </c>
      <c r="O581" s="14" t="n">
        <v>407.94</v>
      </c>
      <c r="P581" s="14" t="n">
        <v>407.94</v>
      </c>
      <c r="Q581" s="14" t="n">
        <v>407.94</v>
      </c>
      <c r="R581" s="14" t="n">
        <v>407.94</v>
      </c>
      <c r="S581" s="14" t="n">
        <v>407.94</v>
      </c>
      <c r="T581" s="14" t="n">
        <v>407.94</v>
      </c>
      <c r="U581" s="14" t="n">
        <v>350</v>
      </c>
      <c r="V581" s="14" t="n">
        <v>0</v>
      </c>
      <c r="W581" s="14">
        <f>U581+V581</f>
        <v/>
      </c>
    </row>
    <row r="582">
      <c r="A582" s="15" t="inlineStr">
        <is>
          <t>CANON-202603-005247</t>
        </is>
      </c>
      <c r="B582" s="15" t="inlineStr">
        <is>
          <t>2026-03-03</t>
        </is>
      </c>
      <c r="C582" s="15" t="inlineStr">
        <is>
          <t>Cassius Bellandi</t>
        </is>
      </c>
      <c r="D582" s="15" t="inlineStr">
        <is>
          <t>PA</t>
        </is>
      </c>
      <c r="E582" s="16" t="n">
        <v>695000</v>
      </c>
      <c r="F582" s="16" t="n">
        <v>7216.92</v>
      </c>
      <c r="G582" s="16" t="n">
        <v>902.12</v>
      </c>
      <c r="H582" s="16" t="n">
        <v>902.12</v>
      </c>
      <c r="I582" s="16">
        <f>SUM(K582:T582)</f>
        <v/>
      </c>
      <c r="J582" s="16">
        <f>F582-(G582+H582+I582)</f>
        <v/>
      </c>
      <c r="K582" s="16" t="n">
        <v>541.27</v>
      </c>
      <c r="L582" s="16" t="n">
        <v>541.27</v>
      </c>
      <c r="M582" s="16" t="n">
        <v>541.27</v>
      </c>
      <c r="N582" s="16" t="n">
        <v>541.27</v>
      </c>
      <c r="O582" s="16" t="n">
        <v>541.27</v>
      </c>
      <c r="P582" s="16" t="n">
        <v>541.27</v>
      </c>
      <c r="Q582" s="16" t="n">
        <v>541.27</v>
      </c>
      <c r="R582" s="16" t="n">
        <v>541.27</v>
      </c>
      <c r="S582" s="16" t="n">
        <v>541.27</v>
      </c>
      <c r="T582" s="16" t="n">
        <v>541.27</v>
      </c>
      <c r="U582" s="16" t="n">
        <v>350</v>
      </c>
      <c r="V582" s="16" t="n">
        <v>0</v>
      </c>
      <c r="W582" s="16">
        <f>U582+V582</f>
        <v/>
      </c>
    </row>
    <row r="583">
      <c r="A583" s="3" t="inlineStr">
        <is>
          <t>CANON-202603-005248</t>
        </is>
      </c>
      <c r="B583" s="3" t="inlineStr">
        <is>
          <t>2026-03-25</t>
        </is>
      </c>
      <c r="C583" s="3" t="inlineStr">
        <is>
          <t>Marisol Pennington</t>
        </is>
      </c>
      <c r="D583" s="3" t="inlineStr">
        <is>
          <t>VT</t>
        </is>
      </c>
      <c r="E583" s="14" t="n">
        <v>640000</v>
      </c>
      <c r="F583" s="14" t="n">
        <v>8107.87</v>
      </c>
      <c r="G583" s="14" t="n">
        <v>1013.48</v>
      </c>
      <c r="H583" s="14" t="n">
        <v>1013.48</v>
      </c>
      <c r="I583" s="14">
        <f>SUM(K583:T583)</f>
        <v/>
      </c>
      <c r="J583" s="14">
        <f>F583-(G583+H583+I583)</f>
        <v/>
      </c>
      <c r="K583" s="14" t="n">
        <v>608.09</v>
      </c>
      <c r="L583" s="14" t="n">
        <v>608.09</v>
      </c>
      <c r="M583" s="14" t="n">
        <v>608.09</v>
      </c>
      <c r="N583" s="14" t="n">
        <v>608.09</v>
      </c>
      <c r="O583" s="14" t="n">
        <v>608.09</v>
      </c>
      <c r="P583" s="14" t="n">
        <v>608.09</v>
      </c>
      <c r="Q583" s="14" t="n">
        <v>608.09</v>
      </c>
      <c r="R583" s="14" t="n">
        <v>608.09</v>
      </c>
      <c r="S583" s="14" t="n">
        <v>608.09</v>
      </c>
      <c r="T583" s="14" t="n">
        <v>608.09</v>
      </c>
      <c r="U583" s="14" t="n">
        <v>350</v>
      </c>
      <c r="V583" s="14" t="n">
        <v>0</v>
      </c>
      <c r="W583" s="14">
        <f>U583+V583</f>
        <v/>
      </c>
    </row>
    <row r="584">
      <c r="A584" s="15" t="inlineStr">
        <is>
          <t>CANON-202603-005249</t>
        </is>
      </c>
      <c r="B584" s="15" t="inlineStr">
        <is>
          <t>2026-03-02</t>
        </is>
      </c>
      <c r="C584" s="15" t="inlineStr">
        <is>
          <t>Delphine Merriweather</t>
        </is>
      </c>
      <c r="D584" s="15" t="inlineStr">
        <is>
          <t>PA</t>
        </is>
      </c>
      <c r="E584" s="16" t="n">
        <v>365000</v>
      </c>
      <c r="F584" s="16" t="n">
        <v>4373.28</v>
      </c>
      <c r="G584" s="16" t="n">
        <v>546.66</v>
      </c>
      <c r="H584" s="16" t="n">
        <v>546.66</v>
      </c>
      <c r="I584" s="16">
        <f>SUM(K584:T584)</f>
        <v/>
      </c>
      <c r="J584" s="16">
        <f>F584-(G584+H584+I584)</f>
        <v/>
      </c>
      <c r="K584" s="16" t="n">
        <v>328</v>
      </c>
      <c r="L584" s="16" t="n">
        <v>328</v>
      </c>
      <c r="M584" s="16" t="n">
        <v>328</v>
      </c>
      <c r="N584" s="16" t="n">
        <v>328</v>
      </c>
      <c r="O584" s="16" t="n">
        <v>328</v>
      </c>
      <c r="P584" s="16" t="n">
        <v>328</v>
      </c>
      <c r="Q584" s="16" t="n">
        <v>328</v>
      </c>
      <c r="R584" s="16" t="n">
        <v>328</v>
      </c>
      <c r="S584" s="16" t="n">
        <v>328</v>
      </c>
      <c r="T584" s="16" t="n">
        <v>328</v>
      </c>
      <c r="U584" s="16" t="n">
        <v>350</v>
      </c>
      <c r="V584" s="16" t="n">
        <v>0</v>
      </c>
      <c r="W584" s="16">
        <f>U584+V584</f>
        <v/>
      </c>
    </row>
    <row r="585">
      <c r="A585" s="3" t="inlineStr">
        <is>
          <t>CANON-202603-005250</t>
        </is>
      </c>
      <c r="B585" s="3" t="inlineStr">
        <is>
          <t>2026-03-28</t>
        </is>
      </c>
      <c r="C585" s="3" t="inlineStr">
        <is>
          <t>Emiliano Chattopadhyay</t>
        </is>
      </c>
      <c r="D585" s="3" t="inlineStr">
        <is>
          <t>MI</t>
        </is>
      </c>
      <c r="E585" s="14" t="n">
        <v>365000</v>
      </c>
      <c r="F585" s="14" t="n">
        <v>6778.6</v>
      </c>
      <c r="G585" s="14" t="n">
        <v>847.33</v>
      </c>
      <c r="H585" s="14" t="n">
        <v>847.33</v>
      </c>
      <c r="I585" s="14">
        <f>SUM(K585:T585)</f>
        <v/>
      </c>
      <c r="J585" s="14">
        <f>F585-(G585+H585+I585)</f>
        <v/>
      </c>
      <c r="K585" s="14" t="n">
        <v>508.39</v>
      </c>
      <c r="L585" s="14" t="n">
        <v>508.39</v>
      </c>
      <c r="M585" s="14" t="n">
        <v>508.39</v>
      </c>
      <c r="N585" s="14" t="n">
        <v>508.39</v>
      </c>
      <c r="O585" s="14" t="n">
        <v>508.39</v>
      </c>
      <c r="P585" s="14" t="n">
        <v>508.39</v>
      </c>
      <c r="Q585" s="14" t="n">
        <v>508.39</v>
      </c>
      <c r="R585" s="14" t="n">
        <v>508.39</v>
      </c>
      <c r="S585" s="14" t="n">
        <v>508.39</v>
      </c>
      <c r="T585" s="14" t="n">
        <v>508.39</v>
      </c>
      <c r="U585" s="14" t="n">
        <v>350</v>
      </c>
      <c r="V585" s="14" t="n">
        <v>0</v>
      </c>
      <c r="W585" s="14">
        <f>U585+V585</f>
        <v/>
      </c>
    </row>
    <row r="586">
      <c r="A586" s="15" t="inlineStr">
        <is>
          <t>CANON-202603-005251</t>
        </is>
      </c>
      <c r="B586" s="15" t="inlineStr">
        <is>
          <t>2026-03-20</t>
        </is>
      </c>
      <c r="C586" s="15" t="inlineStr">
        <is>
          <t>Lorenzo Blackwood</t>
        </is>
      </c>
      <c r="D586" s="15" t="inlineStr">
        <is>
          <t>CA</t>
        </is>
      </c>
      <c r="E586" s="16" t="n">
        <v>430000</v>
      </c>
      <c r="F586" s="16" t="n">
        <v>6955.32</v>
      </c>
      <c r="G586" s="16" t="n">
        <v>869.41</v>
      </c>
      <c r="H586" s="16" t="n">
        <v>869.41</v>
      </c>
      <c r="I586" s="16">
        <f>SUM(K586:T586)</f>
        <v/>
      </c>
      <c r="J586" s="16">
        <f>F586-(G586+H586+I586)</f>
        <v/>
      </c>
      <c r="K586" s="16" t="n">
        <v>521.65</v>
      </c>
      <c r="L586" s="16" t="n">
        <v>521.65</v>
      </c>
      <c r="M586" s="16" t="n">
        <v>521.65</v>
      </c>
      <c r="N586" s="16" t="n">
        <v>521.65</v>
      </c>
      <c r="O586" s="16" t="n">
        <v>521.65</v>
      </c>
      <c r="P586" s="16" t="n">
        <v>521.65</v>
      </c>
      <c r="Q586" s="16" t="n">
        <v>521.65</v>
      </c>
      <c r="R586" s="16" t="n">
        <v>521.65</v>
      </c>
      <c r="S586" s="16" t="n">
        <v>521.65</v>
      </c>
      <c r="T586" s="16" t="n">
        <v>521.65</v>
      </c>
      <c r="U586" s="16" t="n">
        <v>350</v>
      </c>
      <c r="V586" s="16" t="n">
        <v>0</v>
      </c>
      <c r="W586" s="16">
        <f>U586+V586</f>
        <v/>
      </c>
    </row>
    <row r="587">
      <c r="A587" s="3" t="inlineStr">
        <is>
          <t>CANON-202603-005253</t>
        </is>
      </c>
      <c r="B587" s="3" t="inlineStr">
        <is>
          <t>2026-03-12</t>
        </is>
      </c>
      <c r="C587" s="3" t="inlineStr">
        <is>
          <t>Horace Farkas</t>
        </is>
      </c>
      <c r="D587" s="3" t="inlineStr">
        <is>
          <t>PA</t>
        </is>
      </c>
      <c r="E587" s="14" t="n">
        <v>355000</v>
      </c>
      <c r="F587" s="14" t="n">
        <v>4253.47</v>
      </c>
      <c r="G587" s="14" t="n">
        <v>531.6799999999999</v>
      </c>
      <c r="H587" s="14" t="n">
        <v>531.6799999999999</v>
      </c>
      <c r="I587" s="14">
        <f>SUM(K587:T587)</f>
        <v/>
      </c>
      <c r="J587" s="14">
        <f>F587-(G587+H587+I587)</f>
        <v/>
      </c>
      <c r="K587" s="14" t="n">
        <v>319.01</v>
      </c>
      <c r="L587" s="14" t="n">
        <v>319.01</v>
      </c>
      <c r="M587" s="14" t="n">
        <v>319.01</v>
      </c>
      <c r="N587" s="14" t="n">
        <v>319.01</v>
      </c>
      <c r="O587" s="14" t="n">
        <v>319.01</v>
      </c>
      <c r="P587" s="14" t="n">
        <v>319.01</v>
      </c>
      <c r="Q587" s="14" t="n">
        <v>319.01</v>
      </c>
      <c r="R587" s="14" t="n">
        <v>319.01</v>
      </c>
      <c r="S587" s="14" t="n">
        <v>319.01</v>
      </c>
      <c r="T587" s="14" t="n">
        <v>319.01</v>
      </c>
      <c r="U587" s="14" t="n">
        <v>350</v>
      </c>
      <c r="V587" s="14" t="n">
        <v>0</v>
      </c>
      <c r="W587" s="14">
        <f>U587+V587</f>
        <v/>
      </c>
    </row>
    <row r="588">
      <c r="A588" s="15" t="inlineStr">
        <is>
          <t>CANON-202603-005255</t>
        </is>
      </c>
      <c r="B588" s="15" t="inlineStr">
        <is>
          <t>2026-03-05</t>
        </is>
      </c>
      <c r="C588" s="15" t="inlineStr">
        <is>
          <t>Horace Rourke</t>
        </is>
      </c>
      <c r="D588" s="15" t="inlineStr">
        <is>
          <t>CO</t>
        </is>
      </c>
      <c r="E588" s="16" t="n">
        <v>650000</v>
      </c>
      <c r="F588" s="16" t="n">
        <v>4911.66</v>
      </c>
      <c r="G588" s="16" t="n">
        <v>613.96</v>
      </c>
      <c r="H588" s="16" t="n">
        <v>613.96</v>
      </c>
      <c r="I588" s="16">
        <f>SUM(K588:T588)</f>
        <v/>
      </c>
      <c r="J588" s="16">
        <f>F588-(G588+H588+I588)</f>
        <v/>
      </c>
      <c r="K588" s="16" t="n">
        <v>368.37</v>
      </c>
      <c r="L588" s="16" t="n">
        <v>368.37</v>
      </c>
      <c r="M588" s="16" t="n">
        <v>368.37</v>
      </c>
      <c r="N588" s="16" t="n">
        <v>368.37</v>
      </c>
      <c r="O588" s="16" t="n">
        <v>368.37</v>
      </c>
      <c r="P588" s="16" t="n">
        <v>368.37</v>
      </c>
      <c r="Q588" s="16" t="n">
        <v>368.37</v>
      </c>
      <c r="R588" s="16" t="n">
        <v>368.37</v>
      </c>
      <c r="S588" s="16" t="n">
        <v>368.37</v>
      </c>
      <c r="T588" s="16" t="n">
        <v>368.37</v>
      </c>
      <c r="U588" s="16" t="n">
        <v>350</v>
      </c>
      <c r="V588" s="16" t="n">
        <v>0</v>
      </c>
      <c r="W588" s="16">
        <f>U588+V588</f>
        <v/>
      </c>
    </row>
    <row r="589">
      <c r="A589" s="9" t="inlineStr">
        <is>
          <t>TOTAL</t>
        </is>
      </c>
      <c r="E589" s="10">
        <f>SUM(E5:E588)</f>
        <v/>
      </c>
      <c r="F589" s="10">
        <f>SUM(F5:F588)</f>
        <v/>
      </c>
      <c r="G589" s="10">
        <f>SUM(G5:G588)</f>
        <v/>
      </c>
      <c r="H589" s="10">
        <f>SUM(H5:H588)</f>
        <v/>
      </c>
      <c r="I589" s="10">
        <f>SUM(I5:I588)</f>
        <v/>
      </c>
      <c r="J589" s="10">
        <f>SUM(J5:J588)</f>
        <v/>
      </c>
      <c r="K589" s="10">
        <f>SUM(K5:K588)</f>
        <v/>
      </c>
      <c r="L589" s="10">
        <f>SUM(L5:L588)</f>
        <v/>
      </c>
      <c r="M589" s="10">
        <f>SUM(M5:M588)</f>
        <v/>
      </c>
      <c r="N589" s="10">
        <f>SUM(N5:N588)</f>
        <v/>
      </c>
      <c r="O589" s="10">
        <f>SUM(O5:O588)</f>
        <v/>
      </c>
      <c r="P589" s="10">
        <f>SUM(P5:P588)</f>
        <v/>
      </c>
      <c r="Q589" s="10">
        <f>SUM(Q5:Q588)</f>
        <v/>
      </c>
      <c r="R589" s="10">
        <f>SUM(R5:R588)</f>
        <v/>
      </c>
      <c r="S589" s="10">
        <f>SUM(S5:S588)</f>
        <v/>
      </c>
      <c r="T589" s="10">
        <f>SUM(T5:T588)</f>
        <v/>
      </c>
      <c r="U589" s="10">
        <f>SUM(U5:U588)</f>
        <v/>
      </c>
      <c r="V589" s="10">
        <f>SUM(V5:V588)</f>
        <v/>
      </c>
      <c r="W589" s="10">
        <f>SUM(W5:W588)</f>
        <v/>
      </c>
    </row>
    <row r="590">
      <c r="A590" s="5" t="inlineStr">
        <is>
          <t>Foot check: Premium − (B+T+M+Resid)</t>
        </is>
      </c>
      <c r="F590" s="17">
        <f>F589-(G589+H589+I589+J589)</f>
        <v/>
      </c>
    </row>
    <row r="591">
      <c r="A591" s="5" t="inlineStr">
        <is>
          <t>Foot check: Markets − Σ(10 syndicates)</t>
        </is>
      </c>
      <c r="I591" s="17">
        <f>I589-SUM(K589:T589)</f>
        <v/>
      </c>
    </row>
  </sheetData>
  <autoFilter ref="A4:W588"/>
  <mergeCells count="2">
    <mergeCell ref="A2:W2"/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W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2026-04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CANON-202604-005256</t>
        </is>
      </c>
      <c r="B5" s="3" t="inlineStr">
        <is>
          <t>2026-04-22</t>
        </is>
      </c>
      <c r="C5" s="3" t="inlineStr">
        <is>
          <t>Everett Fairweather</t>
        </is>
      </c>
      <c r="D5" s="3" t="inlineStr">
        <is>
          <t>NE</t>
        </is>
      </c>
      <c r="E5" s="14" t="n">
        <v>1485000</v>
      </c>
      <c r="F5" s="14" t="n">
        <v>11495.22</v>
      </c>
      <c r="G5" s="14" t="n">
        <v>1436.9</v>
      </c>
      <c r="H5" s="14" t="n">
        <v>1436.9</v>
      </c>
      <c r="I5" s="14">
        <f>SUM(K5:T5)</f>
        <v/>
      </c>
      <c r="J5" s="14">
        <f>F5-(G5+H5+I5)</f>
        <v/>
      </c>
      <c r="K5" s="14" t="n">
        <v>862.14</v>
      </c>
      <c r="L5" s="14" t="n">
        <v>862.14</v>
      </c>
      <c r="M5" s="14" t="n">
        <v>862.14</v>
      </c>
      <c r="N5" s="14" t="n">
        <v>862.14</v>
      </c>
      <c r="O5" s="14" t="n">
        <v>862.14</v>
      </c>
      <c r="P5" s="14" t="n">
        <v>862.14</v>
      </c>
      <c r="Q5" s="14" t="n">
        <v>862.14</v>
      </c>
      <c r="R5" s="14" t="n">
        <v>862.14</v>
      </c>
      <c r="S5" s="14" t="n">
        <v>862.14</v>
      </c>
      <c r="T5" s="14" t="n">
        <v>862.14</v>
      </c>
      <c r="U5" s="14" t="n">
        <v>350</v>
      </c>
      <c r="V5" s="14" t="n">
        <v>250</v>
      </c>
      <c r="W5" s="14">
        <f>U5+V5</f>
        <v/>
      </c>
    </row>
    <row r="6">
      <c r="A6" s="15" t="inlineStr">
        <is>
          <t>CANON-202604-005257</t>
        </is>
      </c>
      <c r="B6" s="15" t="inlineStr">
        <is>
          <t>2026-04-28</t>
        </is>
      </c>
      <c r="C6" s="15" t="inlineStr">
        <is>
          <t>Fitzgerald Montoya</t>
        </is>
      </c>
      <c r="D6" s="15" t="inlineStr">
        <is>
          <t>CA</t>
        </is>
      </c>
      <c r="E6" s="16" t="n">
        <v>545000</v>
      </c>
      <c r="F6" s="16" t="n">
        <v>4381.05</v>
      </c>
      <c r="G6" s="16" t="n">
        <v>547.63</v>
      </c>
      <c r="H6" s="16" t="n">
        <v>547.63</v>
      </c>
      <c r="I6" s="16">
        <f>SUM(K6:T6)</f>
        <v/>
      </c>
      <c r="J6" s="16">
        <f>F6-(G6+H6+I6)</f>
        <v/>
      </c>
      <c r="K6" s="16" t="n">
        <v>328.58</v>
      </c>
      <c r="L6" s="16" t="n">
        <v>328.58</v>
      </c>
      <c r="M6" s="16" t="n">
        <v>328.58</v>
      </c>
      <c r="N6" s="16" t="n">
        <v>328.58</v>
      </c>
      <c r="O6" s="16" t="n">
        <v>328.58</v>
      </c>
      <c r="P6" s="16" t="n">
        <v>328.58</v>
      </c>
      <c r="Q6" s="16" t="n">
        <v>328.58</v>
      </c>
      <c r="R6" s="16" t="n">
        <v>328.58</v>
      </c>
      <c r="S6" s="16" t="n">
        <v>328.58</v>
      </c>
      <c r="T6" s="16" t="n">
        <v>328.58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CANON-202604-005260</t>
        </is>
      </c>
      <c r="B7" s="3" t="inlineStr">
        <is>
          <t>2026-04-01</t>
        </is>
      </c>
      <c r="C7" s="3" t="inlineStr">
        <is>
          <t>Mireille Montoya</t>
        </is>
      </c>
      <c r="D7" s="3" t="inlineStr">
        <is>
          <t>AR</t>
        </is>
      </c>
      <c r="E7" s="14" t="n">
        <v>865000</v>
      </c>
      <c r="F7" s="14" t="n">
        <v>12158.29</v>
      </c>
      <c r="G7" s="14" t="n">
        <v>1519.79</v>
      </c>
      <c r="H7" s="14" t="n">
        <v>1519.79</v>
      </c>
      <c r="I7" s="14">
        <f>SUM(K7:T7)</f>
        <v/>
      </c>
      <c r="J7" s="14">
        <f>F7-(G7+H7+I7)</f>
        <v/>
      </c>
      <c r="K7" s="14" t="n">
        <v>911.87</v>
      </c>
      <c r="L7" s="14" t="n">
        <v>911.87</v>
      </c>
      <c r="M7" s="14" t="n">
        <v>911.87</v>
      </c>
      <c r="N7" s="14" t="n">
        <v>911.87</v>
      </c>
      <c r="O7" s="14" t="n">
        <v>911.87</v>
      </c>
      <c r="P7" s="14" t="n">
        <v>911.87</v>
      </c>
      <c r="Q7" s="14" t="n">
        <v>911.87</v>
      </c>
      <c r="R7" s="14" t="n">
        <v>911.87</v>
      </c>
      <c r="S7" s="14" t="n">
        <v>911.87</v>
      </c>
      <c r="T7" s="14" t="n">
        <v>911.87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CANON-202604-005261</t>
        </is>
      </c>
      <c r="B8" s="15" t="inlineStr">
        <is>
          <t>2026-04-14</t>
        </is>
      </c>
      <c r="C8" s="15" t="inlineStr">
        <is>
          <t>Noor Chattopadhyay</t>
        </is>
      </c>
      <c r="D8" s="15" t="inlineStr">
        <is>
          <t>RI</t>
        </is>
      </c>
      <c r="E8" s="16" t="n">
        <v>470000</v>
      </c>
      <c r="F8" s="16" t="n">
        <v>7567.34</v>
      </c>
      <c r="G8" s="16" t="n">
        <v>945.92</v>
      </c>
      <c r="H8" s="16" t="n">
        <v>945.92</v>
      </c>
      <c r="I8" s="16">
        <f>SUM(K8:T8)</f>
        <v/>
      </c>
      <c r="J8" s="16">
        <f>F8-(G8+H8+I8)</f>
        <v/>
      </c>
      <c r="K8" s="16" t="n">
        <v>567.55</v>
      </c>
      <c r="L8" s="16" t="n">
        <v>567.55</v>
      </c>
      <c r="M8" s="16" t="n">
        <v>567.55</v>
      </c>
      <c r="N8" s="16" t="n">
        <v>567.55</v>
      </c>
      <c r="O8" s="16" t="n">
        <v>567.55</v>
      </c>
      <c r="P8" s="16" t="n">
        <v>567.55</v>
      </c>
      <c r="Q8" s="16" t="n">
        <v>567.55</v>
      </c>
      <c r="R8" s="16" t="n">
        <v>567.55</v>
      </c>
      <c r="S8" s="16" t="n">
        <v>567.55</v>
      </c>
      <c r="T8" s="16" t="n">
        <v>567.55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CANON-202604-005262</t>
        </is>
      </c>
      <c r="B9" s="3" t="inlineStr">
        <is>
          <t>2026-04-04</t>
        </is>
      </c>
      <c r="C9" s="3" t="inlineStr">
        <is>
          <t>Saoirse Underwood</t>
        </is>
      </c>
      <c r="D9" s="3" t="inlineStr">
        <is>
          <t>IL</t>
        </is>
      </c>
      <c r="E9" s="14" t="n">
        <v>275000</v>
      </c>
      <c r="F9" s="14" t="n">
        <v>4395.38</v>
      </c>
      <c r="G9" s="14" t="n">
        <v>549.42</v>
      </c>
      <c r="H9" s="14" t="n">
        <v>549.42</v>
      </c>
      <c r="I9" s="14">
        <f>SUM(K9:T9)</f>
        <v/>
      </c>
      <c r="J9" s="14">
        <f>F9-(G9+H9+I9)</f>
        <v/>
      </c>
      <c r="K9" s="14" t="n">
        <v>329.65</v>
      </c>
      <c r="L9" s="14" t="n">
        <v>329.65</v>
      </c>
      <c r="M9" s="14" t="n">
        <v>329.65</v>
      </c>
      <c r="N9" s="14" t="n">
        <v>329.65</v>
      </c>
      <c r="O9" s="14" t="n">
        <v>329.65</v>
      </c>
      <c r="P9" s="14" t="n">
        <v>329.65</v>
      </c>
      <c r="Q9" s="14" t="n">
        <v>329.65</v>
      </c>
      <c r="R9" s="14" t="n">
        <v>329.65</v>
      </c>
      <c r="S9" s="14" t="n">
        <v>329.65</v>
      </c>
      <c r="T9" s="14" t="n">
        <v>329.65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CANON-202604-005263</t>
        </is>
      </c>
      <c r="B10" s="15" t="inlineStr">
        <is>
          <t>2026-04-10</t>
        </is>
      </c>
      <c r="C10" s="15" t="inlineStr">
        <is>
          <t>Saoirse Castellanos</t>
        </is>
      </c>
      <c r="D10" s="15" t="inlineStr">
        <is>
          <t>OK</t>
        </is>
      </c>
      <c r="E10" s="16" t="n">
        <v>1325000</v>
      </c>
      <c r="F10" s="16" t="n">
        <v>9941.09</v>
      </c>
      <c r="G10" s="16" t="n">
        <v>1242.64</v>
      </c>
      <c r="H10" s="16" t="n">
        <v>1242.64</v>
      </c>
      <c r="I10" s="16">
        <f>SUM(K10:T10)</f>
        <v/>
      </c>
      <c r="J10" s="16">
        <f>F10-(G10+H10+I10)</f>
        <v/>
      </c>
      <c r="K10" s="16" t="n">
        <v>745.58</v>
      </c>
      <c r="L10" s="16" t="n">
        <v>745.58</v>
      </c>
      <c r="M10" s="16" t="n">
        <v>745.58</v>
      </c>
      <c r="N10" s="16" t="n">
        <v>745.58</v>
      </c>
      <c r="O10" s="16" t="n">
        <v>745.58</v>
      </c>
      <c r="P10" s="16" t="n">
        <v>745.58</v>
      </c>
      <c r="Q10" s="16" t="n">
        <v>745.58</v>
      </c>
      <c r="R10" s="16" t="n">
        <v>745.58</v>
      </c>
      <c r="S10" s="16" t="n">
        <v>745.58</v>
      </c>
      <c r="T10" s="16" t="n">
        <v>745.58</v>
      </c>
      <c r="U10" s="16" t="n">
        <v>350</v>
      </c>
      <c r="V10" s="16" t="n">
        <v>250</v>
      </c>
      <c r="W10" s="16">
        <f>U10+V10</f>
        <v/>
      </c>
    </row>
    <row r="11">
      <c r="A11" s="3" t="inlineStr">
        <is>
          <t>CANON-202604-005264</t>
        </is>
      </c>
      <c r="B11" s="3" t="inlineStr">
        <is>
          <t>2026-04-27</t>
        </is>
      </c>
      <c r="C11" s="3" t="inlineStr">
        <is>
          <t>Cassius Underwood</t>
        </is>
      </c>
      <c r="D11" s="3" t="inlineStr">
        <is>
          <t>MI</t>
        </is>
      </c>
      <c r="E11" s="14" t="n">
        <v>285000</v>
      </c>
      <c r="F11" s="14" t="n">
        <v>5191.6</v>
      </c>
      <c r="G11" s="14" t="n">
        <v>648.95</v>
      </c>
      <c r="H11" s="14" t="n">
        <v>648.95</v>
      </c>
      <c r="I11" s="14">
        <f>SUM(K11:T11)</f>
        <v/>
      </c>
      <c r="J11" s="14">
        <f>F11-(G11+H11+I11)</f>
        <v/>
      </c>
      <c r="K11" s="14" t="n">
        <v>389.37</v>
      </c>
      <c r="L11" s="14" t="n">
        <v>389.37</v>
      </c>
      <c r="M11" s="14" t="n">
        <v>389.37</v>
      </c>
      <c r="N11" s="14" t="n">
        <v>389.37</v>
      </c>
      <c r="O11" s="14" t="n">
        <v>389.37</v>
      </c>
      <c r="P11" s="14" t="n">
        <v>389.37</v>
      </c>
      <c r="Q11" s="14" t="n">
        <v>389.37</v>
      </c>
      <c r="R11" s="14" t="n">
        <v>389.37</v>
      </c>
      <c r="S11" s="14" t="n">
        <v>389.37</v>
      </c>
      <c r="T11" s="14" t="n">
        <v>389.37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CANON-202604-005265</t>
        </is>
      </c>
      <c r="B12" s="15" t="inlineStr">
        <is>
          <t>2026-04-04</t>
        </is>
      </c>
      <c r="C12" s="15" t="inlineStr">
        <is>
          <t>Horace Delacroix</t>
        </is>
      </c>
      <c r="D12" s="15" t="inlineStr">
        <is>
          <t>SC</t>
        </is>
      </c>
      <c r="E12" s="16" t="n">
        <v>1855000</v>
      </c>
      <c r="F12" s="16" t="n">
        <v>13696.61</v>
      </c>
      <c r="G12" s="16" t="n">
        <v>1712.08</v>
      </c>
      <c r="H12" s="16" t="n">
        <v>1712.08</v>
      </c>
      <c r="I12" s="16">
        <f>SUM(K12:T12)</f>
        <v/>
      </c>
      <c r="J12" s="16">
        <f>F12-(G12+H12+I12)</f>
        <v/>
      </c>
      <c r="K12" s="16" t="n">
        <v>1027.25</v>
      </c>
      <c r="L12" s="16" t="n">
        <v>1027.25</v>
      </c>
      <c r="M12" s="16" t="n">
        <v>1027.25</v>
      </c>
      <c r="N12" s="16" t="n">
        <v>1027.25</v>
      </c>
      <c r="O12" s="16" t="n">
        <v>1027.25</v>
      </c>
      <c r="P12" s="16" t="n">
        <v>1027.25</v>
      </c>
      <c r="Q12" s="16" t="n">
        <v>1027.25</v>
      </c>
      <c r="R12" s="16" t="n">
        <v>1027.25</v>
      </c>
      <c r="S12" s="16" t="n">
        <v>1027.25</v>
      </c>
      <c r="T12" s="16" t="n">
        <v>1027.25</v>
      </c>
      <c r="U12" s="16" t="n">
        <v>350</v>
      </c>
      <c r="V12" s="16" t="n">
        <v>250</v>
      </c>
      <c r="W12" s="16">
        <f>U12+V12</f>
        <v/>
      </c>
    </row>
    <row r="13">
      <c r="A13" s="3" t="inlineStr">
        <is>
          <t>CANON-202604-005267</t>
        </is>
      </c>
      <c r="B13" s="3" t="inlineStr">
        <is>
          <t>2026-04-07</t>
        </is>
      </c>
      <c r="C13" s="3" t="inlineStr">
        <is>
          <t>Wilhelmina Castellanos</t>
        </is>
      </c>
      <c r="D13" s="3" t="inlineStr">
        <is>
          <t>MA</t>
        </is>
      </c>
      <c r="E13" s="14" t="n">
        <v>690000</v>
      </c>
      <c r="F13" s="14" t="n">
        <v>8784.889999999999</v>
      </c>
      <c r="G13" s="14" t="n">
        <v>1098.11</v>
      </c>
      <c r="H13" s="14" t="n">
        <v>1098.11</v>
      </c>
      <c r="I13" s="14">
        <f>SUM(K13:T13)</f>
        <v/>
      </c>
      <c r="J13" s="14">
        <f>F13-(G13+H13+I13)</f>
        <v/>
      </c>
      <c r="K13" s="14" t="n">
        <v>658.87</v>
      </c>
      <c r="L13" s="14" t="n">
        <v>658.87</v>
      </c>
      <c r="M13" s="14" t="n">
        <v>658.87</v>
      </c>
      <c r="N13" s="14" t="n">
        <v>658.87</v>
      </c>
      <c r="O13" s="14" t="n">
        <v>658.87</v>
      </c>
      <c r="P13" s="14" t="n">
        <v>658.87</v>
      </c>
      <c r="Q13" s="14" t="n">
        <v>658.87</v>
      </c>
      <c r="R13" s="14" t="n">
        <v>658.87</v>
      </c>
      <c r="S13" s="14" t="n">
        <v>658.87</v>
      </c>
      <c r="T13" s="14" t="n">
        <v>658.87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CANON-202604-005268</t>
        </is>
      </c>
      <c r="B14" s="15" t="inlineStr">
        <is>
          <t>2026-04-10</t>
        </is>
      </c>
      <c r="C14" s="15" t="inlineStr">
        <is>
          <t>Marisol Farkas</t>
        </is>
      </c>
      <c r="D14" s="15" t="inlineStr">
        <is>
          <t>OH</t>
        </is>
      </c>
      <c r="E14" s="16" t="n">
        <v>490000</v>
      </c>
      <c r="F14" s="16" t="n">
        <v>8004.53</v>
      </c>
      <c r="G14" s="16" t="n">
        <v>1000.57</v>
      </c>
      <c r="H14" s="16" t="n">
        <v>1000.57</v>
      </c>
      <c r="I14" s="16">
        <f>SUM(K14:T14)</f>
        <v/>
      </c>
      <c r="J14" s="16">
        <f>F14-(G14+H14+I14)</f>
        <v/>
      </c>
      <c r="K14" s="16" t="n">
        <v>600.34</v>
      </c>
      <c r="L14" s="16" t="n">
        <v>600.34</v>
      </c>
      <c r="M14" s="16" t="n">
        <v>600.34</v>
      </c>
      <c r="N14" s="16" t="n">
        <v>600.34</v>
      </c>
      <c r="O14" s="16" t="n">
        <v>600.34</v>
      </c>
      <c r="P14" s="16" t="n">
        <v>600.34</v>
      </c>
      <c r="Q14" s="16" t="n">
        <v>600.34</v>
      </c>
      <c r="R14" s="16" t="n">
        <v>600.34</v>
      </c>
      <c r="S14" s="16" t="n">
        <v>600.34</v>
      </c>
      <c r="T14" s="16" t="n">
        <v>600.34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CANON-202604-005269</t>
        </is>
      </c>
      <c r="B15" s="3" t="inlineStr">
        <is>
          <t>2026-04-05</t>
        </is>
      </c>
      <c r="C15" s="3" t="inlineStr">
        <is>
          <t>Thaddeus Castellanos</t>
        </is>
      </c>
      <c r="D15" s="3" t="inlineStr">
        <is>
          <t>VT</t>
        </is>
      </c>
      <c r="E15" s="14" t="n">
        <v>825000</v>
      </c>
      <c r="F15" s="14" t="n">
        <v>6781.81</v>
      </c>
      <c r="G15" s="14" t="n">
        <v>847.73</v>
      </c>
      <c r="H15" s="14" t="n">
        <v>847.73</v>
      </c>
      <c r="I15" s="14">
        <f>SUM(K15:T15)</f>
        <v/>
      </c>
      <c r="J15" s="14">
        <f>F15-(G15+H15+I15)</f>
        <v/>
      </c>
      <c r="K15" s="14" t="n">
        <v>508.64</v>
      </c>
      <c r="L15" s="14" t="n">
        <v>508.64</v>
      </c>
      <c r="M15" s="14" t="n">
        <v>508.64</v>
      </c>
      <c r="N15" s="14" t="n">
        <v>508.64</v>
      </c>
      <c r="O15" s="14" t="n">
        <v>508.64</v>
      </c>
      <c r="P15" s="14" t="n">
        <v>508.64</v>
      </c>
      <c r="Q15" s="14" t="n">
        <v>508.64</v>
      </c>
      <c r="R15" s="14" t="n">
        <v>508.64</v>
      </c>
      <c r="S15" s="14" t="n">
        <v>508.64</v>
      </c>
      <c r="T15" s="14" t="n">
        <v>508.64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CANON-202604-005270</t>
        </is>
      </c>
      <c r="B16" s="15" t="inlineStr">
        <is>
          <t>2026-04-17</t>
        </is>
      </c>
      <c r="C16" s="15" t="inlineStr">
        <is>
          <t>Priya Castellanos</t>
        </is>
      </c>
      <c r="D16" s="15" t="inlineStr">
        <is>
          <t>IA</t>
        </is>
      </c>
      <c r="E16" s="16" t="n">
        <v>415000</v>
      </c>
      <c r="F16" s="16" t="n">
        <v>5364.96</v>
      </c>
      <c r="G16" s="16" t="n">
        <v>670.62</v>
      </c>
      <c r="H16" s="16" t="n">
        <v>670.62</v>
      </c>
      <c r="I16" s="16">
        <f>SUM(K16:T16)</f>
        <v/>
      </c>
      <c r="J16" s="16">
        <f>F16-(G16+H16+I16)</f>
        <v/>
      </c>
      <c r="K16" s="16" t="n">
        <v>402.37</v>
      </c>
      <c r="L16" s="16" t="n">
        <v>402.37</v>
      </c>
      <c r="M16" s="16" t="n">
        <v>402.37</v>
      </c>
      <c r="N16" s="16" t="n">
        <v>402.37</v>
      </c>
      <c r="O16" s="16" t="n">
        <v>402.37</v>
      </c>
      <c r="P16" s="16" t="n">
        <v>402.37</v>
      </c>
      <c r="Q16" s="16" t="n">
        <v>402.37</v>
      </c>
      <c r="R16" s="16" t="n">
        <v>402.37</v>
      </c>
      <c r="S16" s="16" t="n">
        <v>402.37</v>
      </c>
      <c r="T16" s="16" t="n">
        <v>402.37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CANON-202604-005275</t>
        </is>
      </c>
      <c r="B17" s="3" t="inlineStr">
        <is>
          <t>2026-04-13</t>
        </is>
      </c>
      <c r="C17" s="3" t="inlineStr">
        <is>
          <t>Emiliano Vandermeer</t>
        </is>
      </c>
      <c r="D17" s="3" t="inlineStr">
        <is>
          <t>TX</t>
        </is>
      </c>
      <c r="E17" s="14" t="n">
        <v>400000</v>
      </c>
      <c r="F17" s="14" t="n">
        <v>5406.08</v>
      </c>
      <c r="G17" s="14" t="n">
        <v>675.76</v>
      </c>
      <c r="H17" s="14" t="n">
        <v>675.76</v>
      </c>
      <c r="I17" s="14">
        <f>SUM(K17:T17)</f>
        <v/>
      </c>
      <c r="J17" s="14">
        <f>F17-(G17+H17+I17)</f>
        <v/>
      </c>
      <c r="K17" s="14" t="n">
        <v>405.46</v>
      </c>
      <c r="L17" s="14" t="n">
        <v>405.46</v>
      </c>
      <c r="M17" s="14" t="n">
        <v>405.46</v>
      </c>
      <c r="N17" s="14" t="n">
        <v>405.46</v>
      </c>
      <c r="O17" s="14" t="n">
        <v>405.46</v>
      </c>
      <c r="P17" s="14" t="n">
        <v>405.46</v>
      </c>
      <c r="Q17" s="14" t="n">
        <v>405.46</v>
      </c>
      <c r="R17" s="14" t="n">
        <v>405.46</v>
      </c>
      <c r="S17" s="14" t="n">
        <v>405.46</v>
      </c>
      <c r="T17" s="14" t="n">
        <v>405.46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CANON-202604-005276</t>
        </is>
      </c>
      <c r="B18" s="15" t="inlineStr">
        <is>
          <t>2026-04-24</t>
        </is>
      </c>
      <c r="C18" s="15" t="inlineStr">
        <is>
          <t>Marisol Delacroix</t>
        </is>
      </c>
      <c r="D18" s="15" t="inlineStr">
        <is>
          <t>CA</t>
        </is>
      </c>
      <c r="E18" s="16" t="n">
        <v>1190000</v>
      </c>
      <c r="F18" s="16" t="n">
        <v>9565.950000000001</v>
      </c>
      <c r="G18" s="16" t="n">
        <v>1195.74</v>
      </c>
      <c r="H18" s="16" t="n">
        <v>1195.74</v>
      </c>
      <c r="I18" s="16">
        <f>SUM(K18:T18)</f>
        <v/>
      </c>
      <c r="J18" s="16">
        <f>F18-(G18+H18+I18)</f>
        <v/>
      </c>
      <c r="K18" s="16" t="n">
        <v>717.45</v>
      </c>
      <c r="L18" s="16" t="n">
        <v>717.45</v>
      </c>
      <c r="M18" s="16" t="n">
        <v>717.45</v>
      </c>
      <c r="N18" s="16" t="n">
        <v>717.45</v>
      </c>
      <c r="O18" s="16" t="n">
        <v>717.45</v>
      </c>
      <c r="P18" s="16" t="n">
        <v>717.45</v>
      </c>
      <c r="Q18" s="16" t="n">
        <v>717.45</v>
      </c>
      <c r="R18" s="16" t="n">
        <v>717.45</v>
      </c>
      <c r="S18" s="16" t="n">
        <v>717.45</v>
      </c>
      <c r="T18" s="16" t="n">
        <v>717.45</v>
      </c>
      <c r="U18" s="16" t="n">
        <v>350</v>
      </c>
      <c r="V18" s="16" t="n">
        <v>250</v>
      </c>
      <c r="W18" s="16">
        <f>U18+V18</f>
        <v/>
      </c>
    </row>
    <row r="19">
      <c r="A19" s="3" t="inlineStr">
        <is>
          <t>CANON-202604-005277</t>
        </is>
      </c>
      <c r="B19" s="3" t="inlineStr">
        <is>
          <t>2026-04-02</t>
        </is>
      </c>
      <c r="C19" s="3" t="inlineStr">
        <is>
          <t>Wilhelmina Thistlewood</t>
        </is>
      </c>
      <c r="D19" s="3" t="inlineStr">
        <is>
          <t>TX</t>
        </is>
      </c>
      <c r="E19" s="14" t="n">
        <v>695000</v>
      </c>
      <c r="F19" s="14" t="n">
        <v>4759.16</v>
      </c>
      <c r="G19" s="14" t="n">
        <v>594.89</v>
      </c>
      <c r="H19" s="14" t="n">
        <v>594.89</v>
      </c>
      <c r="I19" s="14">
        <f>SUM(K19:T19)</f>
        <v/>
      </c>
      <c r="J19" s="14">
        <f>F19-(G19+H19+I19)</f>
        <v/>
      </c>
      <c r="K19" s="14" t="n">
        <v>356.94</v>
      </c>
      <c r="L19" s="14" t="n">
        <v>356.94</v>
      </c>
      <c r="M19" s="14" t="n">
        <v>356.94</v>
      </c>
      <c r="N19" s="14" t="n">
        <v>356.94</v>
      </c>
      <c r="O19" s="14" t="n">
        <v>356.94</v>
      </c>
      <c r="P19" s="14" t="n">
        <v>356.94</v>
      </c>
      <c r="Q19" s="14" t="n">
        <v>356.94</v>
      </c>
      <c r="R19" s="14" t="n">
        <v>356.94</v>
      </c>
      <c r="S19" s="14" t="n">
        <v>356.94</v>
      </c>
      <c r="T19" s="14" t="n">
        <v>356.94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CANON-202604-005278</t>
        </is>
      </c>
      <c r="B20" s="15" t="inlineStr">
        <is>
          <t>2026-04-06</t>
        </is>
      </c>
      <c r="C20" s="15" t="inlineStr">
        <is>
          <t>Fitzgerald Vasquez</t>
        </is>
      </c>
      <c r="D20" s="15" t="inlineStr">
        <is>
          <t>ND</t>
        </is>
      </c>
      <c r="E20" s="16" t="n">
        <v>1870000</v>
      </c>
      <c r="F20" s="16" t="n">
        <v>16438.73</v>
      </c>
      <c r="G20" s="16" t="n">
        <v>2054.84</v>
      </c>
      <c r="H20" s="16" t="n">
        <v>2054.84</v>
      </c>
      <c r="I20" s="16">
        <f>SUM(K20:T20)</f>
        <v/>
      </c>
      <c r="J20" s="16">
        <f>F20-(G20+H20+I20)</f>
        <v/>
      </c>
      <c r="K20" s="16" t="n">
        <v>1232.9</v>
      </c>
      <c r="L20" s="16" t="n">
        <v>1232.9</v>
      </c>
      <c r="M20" s="16" t="n">
        <v>1232.9</v>
      </c>
      <c r="N20" s="16" t="n">
        <v>1232.9</v>
      </c>
      <c r="O20" s="16" t="n">
        <v>1232.9</v>
      </c>
      <c r="P20" s="16" t="n">
        <v>1232.9</v>
      </c>
      <c r="Q20" s="16" t="n">
        <v>1232.9</v>
      </c>
      <c r="R20" s="16" t="n">
        <v>1232.9</v>
      </c>
      <c r="S20" s="16" t="n">
        <v>1232.9</v>
      </c>
      <c r="T20" s="16" t="n">
        <v>1232.9</v>
      </c>
      <c r="U20" s="16" t="n">
        <v>350</v>
      </c>
      <c r="V20" s="16" t="n">
        <v>250</v>
      </c>
      <c r="W20" s="16">
        <f>U20+V20</f>
        <v/>
      </c>
    </row>
    <row r="21">
      <c r="A21" s="3" t="inlineStr">
        <is>
          <t>CANON-202604-005279</t>
        </is>
      </c>
      <c r="B21" s="3" t="inlineStr">
        <is>
          <t>2026-04-16</t>
        </is>
      </c>
      <c r="C21" s="3" t="inlineStr">
        <is>
          <t>Callum Nakashima</t>
        </is>
      </c>
      <c r="D21" s="3" t="inlineStr">
        <is>
          <t>SD</t>
        </is>
      </c>
      <c r="E21" s="14" t="n">
        <v>285000</v>
      </c>
      <c r="F21" s="14" t="n">
        <v>2379.43</v>
      </c>
      <c r="G21" s="14" t="n">
        <v>297.43</v>
      </c>
      <c r="H21" s="14" t="n">
        <v>297.43</v>
      </c>
      <c r="I21" s="14">
        <f>SUM(K21:T21)</f>
        <v/>
      </c>
      <c r="J21" s="14">
        <f>F21-(G21+H21+I21)</f>
        <v/>
      </c>
      <c r="K21" s="14" t="n">
        <v>178.46</v>
      </c>
      <c r="L21" s="14" t="n">
        <v>178.46</v>
      </c>
      <c r="M21" s="14" t="n">
        <v>178.46</v>
      </c>
      <c r="N21" s="14" t="n">
        <v>178.46</v>
      </c>
      <c r="O21" s="14" t="n">
        <v>178.46</v>
      </c>
      <c r="P21" s="14" t="n">
        <v>178.46</v>
      </c>
      <c r="Q21" s="14" t="n">
        <v>178.46</v>
      </c>
      <c r="R21" s="14" t="n">
        <v>178.46</v>
      </c>
      <c r="S21" s="14" t="n">
        <v>178.46</v>
      </c>
      <c r="T21" s="14" t="n">
        <v>178.46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CANON-202604-005280</t>
        </is>
      </c>
      <c r="B22" s="15" t="inlineStr">
        <is>
          <t>2026-04-22</t>
        </is>
      </c>
      <c r="C22" s="15" t="inlineStr">
        <is>
          <t>Anouk Castellanos</t>
        </is>
      </c>
      <c r="D22" s="15" t="inlineStr">
        <is>
          <t>FL</t>
        </is>
      </c>
      <c r="E22" s="16" t="n">
        <v>200000</v>
      </c>
      <c r="F22" s="16" t="n">
        <v>4672.74</v>
      </c>
      <c r="G22" s="16" t="n">
        <v>584.09</v>
      </c>
      <c r="H22" s="16" t="n">
        <v>584.09</v>
      </c>
      <c r="I22" s="16">
        <f>SUM(K22:T22)</f>
        <v/>
      </c>
      <c r="J22" s="16">
        <f>F22-(G22+H22+I22)</f>
        <v/>
      </c>
      <c r="K22" s="16" t="n">
        <v>350.46</v>
      </c>
      <c r="L22" s="16" t="n">
        <v>350.46</v>
      </c>
      <c r="M22" s="16" t="n">
        <v>350.46</v>
      </c>
      <c r="N22" s="16" t="n">
        <v>350.46</v>
      </c>
      <c r="O22" s="16" t="n">
        <v>350.46</v>
      </c>
      <c r="P22" s="16" t="n">
        <v>350.46</v>
      </c>
      <c r="Q22" s="16" t="n">
        <v>350.46</v>
      </c>
      <c r="R22" s="16" t="n">
        <v>350.46</v>
      </c>
      <c r="S22" s="16" t="n">
        <v>350.46</v>
      </c>
      <c r="T22" s="16" t="n">
        <v>350.46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CANON-202604-005281</t>
        </is>
      </c>
      <c r="B23" s="3" t="inlineStr">
        <is>
          <t>2026-04-28</t>
        </is>
      </c>
      <c r="C23" s="3" t="inlineStr">
        <is>
          <t>Sunniva Okonkwo</t>
        </is>
      </c>
      <c r="D23" s="3" t="inlineStr">
        <is>
          <t>HI</t>
        </is>
      </c>
      <c r="E23" s="14" t="n">
        <v>340000</v>
      </c>
      <c r="F23" s="14" t="n">
        <v>3324.51</v>
      </c>
      <c r="G23" s="14" t="n">
        <v>415.56</v>
      </c>
      <c r="H23" s="14" t="n">
        <v>415.56</v>
      </c>
      <c r="I23" s="14">
        <f>SUM(K23:T23)</f>
        <v/>
      </c>
      <c r="J23" s="14">
        <f>F23-(G23+H23+I23)</f>
        <v/>
      </c>
      <c r="K23" s="14" t="n">
        <v>249.34</v>
      </c>
      <c r="L23" s="14" t="n">
        <v>249.34</v>
      </c>
      <c r="M23" s="14" t="n">
        <v>249.34</v>
      </c>
      <c r="N23" s="14" t="n">
        <v>249.34</v>
      </c>
      <c r="O23" s="14" t="n">
        <v>249.34</v>
      </c>
      <c r="P23" s="14" t="n">
        <v>249.34</v>
      </c>
      <c r="Q23" s="14" t="n">
        <v>249.34</v>
      </c>
      <c r="R23" s="14" t="n">
        <v>249.34</v>
      </c>
      <c r="S23" s="14" t="n">
        <v>249.34</v>
      </c>
      <c r="T23" s="14" t="n">
        <v>249.34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CANON-202604-005282</t>
        </is>
      </c>
      <c r="B24" s="15" t="inlineStr">
        <is>
          <t>2026-04-13</t>
        </is>
      </c>
      <c r="C24" s="15" t="inlineStr">
        <is>
          <t>Ingrid Castellanos</t>
        </is>
      </c>
      <c r="D24" s="15" t="inlineStr">
        <is>
          <t>MD</t>
        </is>
      </c>
      <c r="E24" s="16" t="n">
        <v>475000</v>
      </c>
      <c r="F24" s="16" t="n">
        <v>8131.65</v>
      </c>
      <c r="G24" s="16" t="n">
        <v>1016.46</v>
      </c>
      <c r="H24" s="16" t="n">
        <v>1016.46</v>
      </c>
      <c r="I24" s="16">
        <f>SUM(K24:T24)</f>
        <v/>
      </c>
      <c r="J24" s="16">
        <f>F24-(G24+H24+I24)</f>
        <v/>
      </c>
      <c r="K24" s="16" t="n">
        <v>609.87</v>
      </c>
      <c r="L24" s="16" t="n">
        <v>609.87</v>
      </c>
      <c r="M24" s="16" t="n">
        <v>609.87</v>
      </c>
      <c r="N24" s="16" t="n">
        <v>609.87</v>
      </c>
      <c r="O24" s="16" t="n">
        <v>609.87</v>
      </c>
      <c r="P24" s="16" t="n">
        <v>609.87</v>
      </c>
      <c r="Q24" s="16" t="n">
        <v>609.87</v>
      </c>
      <c r="R24" s="16" t="n">
        <v>609.87</v>
      </c>
      <c r="S24" s="16" t="n">
        <v>609.87</v>
      </c>
      <c r="T24" s="16" t="n">
        <v>609.87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CANON-202604-005283</t>
        </is>
      </c>
      <c r="B25" s="3" t="inlineStr">
        <is>
          <t>2026-04-20</t>
        </is>
      </c>
      <c r="C25" s="3" t="inlineStr">
        <is>
          <t>Fitzgerald Pennington</t>
        </is>
      </c>
      <c r="D25" s="3" t="inlineStr">
        <is>
          <t>OK</t>
        </is>
      </c>
      <c r="E25" s="14" t="n">
        <v>435000</v>
      </c>
      <c r="F25" s="14" t="n">
        <v>6441.47</v>
      </c>
      <c r="G25" s="14" t="n">
        <v>805.1799999999999</v>
      </c>
      <c r="H25" s="14" t="n">
        <v>805.1799999999999</v>
      </c>
      <c r="I25" s="14">
        <f>SUM(K25:T25)</f>
        <v/>
      </c>
      <c r="J25" s="14">
        <f>F25-(G25+H25+I25)</f>
        <v/>
      </c>
      <c r="K25" s="14" t="n">
        <v>483.11</v>
      </c>
      <c r="L25" s="14" t="n">
        <v>483.11</v>
      </c>
      <c r="M25" s="14" t="n">
        <v>483.11</v>
      </c>
      <c r="N25" s="14" t="n">
        <v>483.11</v>
      </c>
      <c r="O25" s="14" t="n">
        <v>483.11</v>
      </c>
      <c r="P25" s="14" t="n">
        <v>483.11</v>
      </c>
      <c r="Q25" s="14" t="n">
        <v>483.11</v>
      </c>
      <c r="R25" s="14" t="n">
        <v>483.11</v>
      </c>
      <c r="S25" s="14" t="n">
        <v>483.11</v>
      </c>
      <c r="T25" s="14" t="n">
        <v>483.11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CANON-202604-005284</t>
        </is>
      </c>
      <c r="B26" s="15" t="inlineStr">
        <is>
          <t>2026-04-08</t>
        </is>
      </c>
      <c r="C26" s="15" t="inlineStr">
        <is>
          <t>Lorenzo Kingsford</t>
        </is>
      </c>
      <c r="D26" s="15" t="inlineStr">
        <is>
          <t>TN</t>
        </is>
      </c>
      <c r="E26" s="16" t="n">
        <v>455000</v>
      </c>
      <c r="F26" s="16" t="n">
        <v>5240.38</v>
      </c>
      <c r="G26" s="16" t="n">
        <v>655.05</v>
      </c>
      <c r="H26" s="16" t="n">
        <v>655.05</v>
      </c>
      <c r="I26" s="16">
        <f>SUM(K26:T26)</f>
        <v/>
      </c>
      <c r="J26" s="16">
        <f>F26-(G26+H26+I26)</f>
        <v/>
      </c>
      <c r="K26" s="16" t="n">
        <v>393.03</v>
      </c>
      <c r="L26" s="16" t="n">
        <v>393.03</v>
      </c>
      <c r="M26" s="16" t="n">
        <v>393.03</v>
      </c>
      <c r="N26" s="16" t="n">
        <v>393.03</v>
      </c>
      <c r="O26" s="16" t="n">
        <v>393.03</v>
      </c>
      <c r="P26" s="16" t="n">
        <v>393.03</v>
      </c>
      <c r="Q26" s="16" t="n">
        <v>393.03</v>
      </c>
      <c r="R26" s="16" t="n">
        <v>393.03</v>
      </c>
      <c r="S26" s="16" t="n">
        <v>393.03</v>
      </c>
      <c r="T26" s="16" t="n">
        <v>393.03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CANON-202604-005285</t>
        </is>
      </c>
      <c r="B27" s="3" t="inlineStr">
        <is>
          <t>2026-04-20</t>
        </is>
      </c>
      <c r="C27" s="3" t="inlineStr">
        <is>
          <t>Aurelio Underwood</t>
        </is>
      </c>
      <c r="D27" s="3" t="inlineStr">
        <is>
          <t>TX</t>
        </is>
      </c>
      <c r="E27" s="14" t="n">
        <v>1470000</v>
      </c>
      <c r="F27" s="14" t="n">
        <v>14569.4</v>
      </c>
      <c r="G27" s="14" t="n">
        <v>1821.17</v>
      </c>
      <c r="H27" s="14" t="n">
        <v>1821.17</v>
      </c>
      <c r="I27" s="14">
        <f>SUM(K27:T27)</f>
        <v/>
      </c>
      <c r="J27" s="14">
        <f>F27-(G27+H27+I27)</f>
        <v/>
      </c>
      <c r="K27" s="14" t="n">
        <v>1092.7</v>
      </c>
      <c r="L27" s="14" t="n">
        <v>1092.7</v>
      </c>
      <c r="M27" s="14" t="n">
        <v>1092.7</v>
      </c>
      <c r="N27" s="14" t="n">
        <v>1092.7</v>
      </c>
      <c r="O27" s="14" t="n">
        <v>1092.7</v>
      </c>
      <c r="P27" s="14" t="n">
        <v>1092.7</v>
      </c>
      <c r="Q27" s="14" t="n">
        <v>1092.7</v>
      </c>
      <c r="R27" s="14" t="n">
        <v>1092.7</v>
      </c>
      <c r="S27" s="14" t="n">
        <v>1092.7</v>
      </c>
      <c r="T27" s="14" t="n">
        <v>1092.7</v>
      </c>
      <c r="U27" s="14" t="n">
        <v>350</v>
      </c>
      <c r="V27" s="14" t="n">
        <v>250</v>
      </c>
      <c r="W27" s="14">
        <f>U27+V27</f>
        <v/>
      </c>
    </row>
    <row r="28">
      <c r="A28" s="15" t="inlineStr">
        <is>
          <t>CANON-202604-005286</t>
        </is>
      </c>
      <c r="B28" s="15" t="inlineStr">
        <is>
          <t>2026-04-14</t>
        </is>
      </c>
      <c r="C28" s="15" t="inlineStr">
        <is>
          <t>Priya Farkas</t>
        </is>
      </c>
      <c r="D28" s="15" t="inlineStr">
        <is>
          <t>CO</t>
        </is>
      </c>
      <c r="E28" s="16" t="n">
        <v>700000</v>
      </c>
      <c r="F28" s="16" t="n">
        <v>7842.74</v>
      </c>
      <c r="G28" s="16" t="n">
        <v>980.34</v>
      </c>
      <c r="H28" s="16" t="n">
        <v>980.34</v>
      </c>
      <c r="I28" s="16">
        <f>SUM(K28:T28)</f>
        <v/>
      </c>
      <c r="J28" s="16">
        <f>F28-(G28+H28+I28)</f>
        <v/>
      </c>
      <c r="K28" s="16" t="n">
        <v>588.21</v>
      </c>
      <c r="L28" s="16" t="n">
        <v>588.21</v>
      </c>
      <c r="M28" s="16" t="n">
        <v>588.21</v>
      </c>
      <c r="N28" s="16" t="n">
        <v>588.21</v>
      </c>
      <c r="O28" s="16" t="n">
        <v>588.21</v>
      </c>
      <c r="P28" s="16" t="n">
        <v>588.21</v>
      </c>
      <c r="Q28" s="16" t="n">
        <v>588.21</v>
      </c>
      <c r="R28" s="16" t="n">
        <v>588.21</v>
      </c>
      <c r="S28" s="16" t="n">
        <v>588.21</v>
      </c>
      <c r="T28" s="16" t="n">
        <v>588.21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CANON-202604-005287</t>
        </is>
      </c>
      <c r="B29" s="3" t="inlineStr">
        <is>
          <t>2026-04-08</t>
        </is>
      </c>
      <c r="C29" s="3" t="inlineStr">
        <is>
          <t>Marisol Montoya</t>
        </is>
      </c>
      <c r="D29" s="3" t="inlineStr">
        <is>
          <t>FL</t>
        </is>
      </c>
      <c r="E29" s="14" t="n">
        <v>365000</v>
      </c>
      <c r="F29" s="14" t="n">
        <v>9339.91</v>
      </c>
      <c r="G29" s="14" t="n">
        <v>1167.49</v>
      </c>
      <c r="H29" s="14" t="n">
        <v>1167.49</v>
      </c>
      <c r="I29" s="14">
        <f>SUM(K29:T29)</f>
        <v/>
      </c>
      <c r="J29" s="14">
        <f>F29-(G29+H29+I29)</f>
        <v/>
      </c>
      <c r="K29" s="14" t="n">
        <v>700.49</v>
      </c>
      <c r="L29" s="14" t="n">
        <v>700.49</v>
      </c>
      <c r="M29" s="14" t="n">
        <v>700.49</v>
      </c>
      <c r="N29" s="14" t="n">
        <v>700.49</v>
      </c>
      <c r="O29" s="14" t="n">
        <v>700.49</v>
      </c>
      <c r="P29" s="14" t="n">
        <v>700.49</v>
      </c>
      <c r="Q29" s="14" t="n">
        <v>700.49</v>
      </c>
      <c r="R29" s="14" t="n">
        <v>700.49</v>
      </c>
      <c r="S29" s="14" t="n">
        <v>700.49</v>
      </c>
      <c r="T29" s="14" t="n">
        <v>700.49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CANON-202604-005289</t>
        </is>
      </c>
      <c r="B30" s="15" t="inlineStr">
        <is>
          <t>2026-04-27</t>
        </is>
      </c>
      <c r="C30" s="15" t="inlineStr">
        <is>
          <t>Thaddeus Kingsford</t>
        </is>
      </c>
      <c r="D30" s="15" t="inlineStr">
        <is>
          <t>WI</t>
        </is>
      </c>
      <c r="E30" s="16" t="n">
        <v>1875000</v>
      </c>
      <c r="F30" s="16" t="n">
        <v>13397.69</v>
      </c>
      <c r="G30" s="16" t="n">
        <v>1674.71</v>
      </c>
      <c r="H30" s="16" t="n">
        <v>1674.71</v>
      </c>
      <c r="I30" s="16">
        <f>SUM(K30:T30)</f>
        <v/>
      </c>
      <c r="J30" s="16">
        <f>F30-(G30+H30+I30)</f>
        <v/>
      </c>
      <c r="K30" s="16" t="n">
        <v>1004.83</v>
      </c>
      <c r="L30" s="16" t="n">
        <v>1004.83</v>
      </c>
      <c r="M30" s="16" t="n">
        <v>1004.83</v>
      </c>
      <c r="N30" s="16" t="n">
        <v>1004.83</v>
      </c>
      <c r="O30" s="16" t="n">
        <v>1004.83</v>
      </c>
      <c r="P30" s="16" t="n">
        <v>1004.83</v>
      </c>
      <c r="Q30" s="16" t="n">
        <v>1004.83</v>
      </c>
      <c r="R30" s="16" t="n">
        <v>1004.83</v>
      </c>
      <c r="S30" s="16" t="n">
        <v>1004.83</v>
      </c>
      <c r="T30" s="16" t="n">
        <v>1004.83</v>
      </c>
      <c r="U30" s="16" t="n">
        <v>350</v>
      </c>
      <c r="V30" s="16" t="n">
        <v>250</v>
      </c>
      <c r="W30" s="16">
        <f>U30+V30</f>
        <v/>
      </c>
    </row>
    <row r="31">
      <c r="A31" s="3" t="inlineStr">
        <is>
          <t>CANON-202604-005290</t>
        </is>
      </c>
      <c r="B31" s="3" t="inlineStr">
        <is>
          <t>2026-04-07</t>
        </is>
      </c>
      <c r="C31" s="3" t="inlineStr">
        <is>
          <t>Delphine Castellanos</t>
        </is>
      </c>
      <c r="D31" s="3" t="inlineStr">
        <is>
          <t>ND</t>
        </is>
      </c>
      <c r="E31" s="14" t="n">
        <v>780000</v>
      </c>
      <c r="F31" s="14" t="n">
        <v>11843.55</v>
      </c>
      <c r="G31" s="14" t="n">
        <v>1480.44</v>
      </c>
      <c r="H31" s="14" t="n">
        <v>1480.44</v>
      </c>
      <c r="I31" s="14">
        <f>SUM(K31:T31)</f>
        <v/>
      </c>
      <c r="J31" s="14">
        <f>F31-(G31+H31+I31)</f>
        <v/>
      </c>
      <c r="K31" s="14" t="n">
        <v>888.27</v>
      </c>
      <c r="L31" s="14" t="n">
        <v>888.27</v>
      </c>
      <c r="M31" s="14" t="n">
        <v>888.27</v>
      </c>
      <c r="N31" s="14" t="n">
        <v>888.27</v>
      </c>
      <c r="O31" s="14" t="n">
        <v>888.27</v>
      </c>
      <c r="P31" s="14" t="n">
        <v>888.27</v>
      </c>
      <c r="Q31" s="14" t="n">
        <v>888.27</v>
      </c>
      <c r="R31" s="14" t="n">
        <v>888.27</v>
      </c>
      <c r="S31" s="14" t="n">
        <v>888.27</v>
      </c>
      <c r="T31" s="14" t="n">
        <v>888.27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CANON-202604-005293</t>
        </is>
      </c>
      <c r="B32" s="15" t="inlineStr">
        <is>
          <t>2026-04-13</t>
        </is>
      </c>
      <c r="C32" s="15" t="inlineStr">
        <is>
          <t>Delphine Ashcombe</t>
        </is>
      </c>
      <c r="D32" s="15" t="inlineStr">
        <is>
          <t>CA</t>
        </is>
      </c>
      <c r="E32" s="16" t="n">
        <v>570000</v>
      </c>
      <c r="F32" s="16" t="n">
        <v>7837.64</v>
      </c>
      <c r="G32" s="16" t="n">
        <v>979.71</v>
      </c>
      <c r="H32" s="16" t="n">
        <v>979.71</v>
      </c>
      <c r="I32" s="16">
        <f>SUM(K32:T32)</f>
        <v/>
      </c>
      <c r="J32" s="16">
        <f>F32-(G32+H32+I32)</f>
        <v/>
      </c>
      <c r="K32" s="16" t="n">
        <v>587.8200000000001</v>
      </c>
      <c r="L32" s="16" t="n">
        <v>587.8200000000001</v>
      </c>
      <c r="M32" s="16" t="n">
        <v>587.8200000000001</v>
      </c>
      <c r="N32" s="16" t="n">
        <v>587.8200000000001</v>
      </c>
      <c r="O32" s="16" t="n">
        <v>587.8200000000001</v>
      </c>
      <c r="P32" s="16" t="n">
        <v>587.8200000000001</v>
      </c>
      <c r="Q32" s="16" t="n">
        <v>587.8200000000001</v>
      </c>
      <c r="R32" s="16" t="n">
        <v>587.8200000000001</v>
      </c>
      <c r="S32" s="16" t="n">
        <v>587.8200000000001</v>
      </c>
      <c r="T32" s="16" t="n">
        <v>587.8200000000001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CANON-202604-005294</t>
        </is>
      </c>
      <c r="B33" s="3" t="inlineStr">
        <is>
          <t>2026-04-19</t>
        </is>
      </c>
      <c r="C33" s="3" t="inlineStr">
        <is>
          <t>Wilhelmina Castellanos</t>
        </is>
      </c>
      <c r="D33" s="3" t="inlineStr">
        <is>
          <t>CO</t>
        </is>
      </c>
      <c r="E33" s="14" t="n">
        <v>1060000</v>
      </c>
      <c r="F33" s="14" t="n">
        <v>10049.05</v>
      </c>
      <c r="G33" s="14" t="n">
        <v>1256.13</v>
      </c>
      <c r="H33" s="14" t="n">
        <v>1256.13</v>
      </c>
      <c r="I33" s="14">
        <f>SUM(K33:T33)</f>
        <v/>
      </c>
      <c r="J33" s="14">
        <f>F33-(G33+H33+I33)</f>
        <v/>
      </c>
      <c r="K33" s="14" t="n">
        <v>753.6799999999999</v>
      </c>
      <c r="L33" s="14" t="n">
        <v>753.6799999999999</v>
      </c>
      <c r="M33" s="14" t="n">
        <v>753.6799999999999</v>
      </c>
      <c r="N33" s="14" t="n">
        <v>753.6799999999999</v>
      </c>
      <c r="O33" s="14" t="n">
        <v>753.6799999999999</v>
      </c>
      <c r="P33" s="14" t="n">
        <v>753.6799999999999</v>
      </c>
      <c r="Q33" s="14" t="n">
        <v>753.6799999999999</v>
      </c>
      <c r="R33" s="14" t="n">
        <v>753.6799999999999</v>
      </c>
      <c r="S33" s="14" t="n">
        <v>753.6799999999999</v>
      </c>
      <c r="T33" s="14" t="n">
        <v>753.6799999999999</v>
      </c>
      <c r="U33" s="14" t="n">
        <v>350</v>
      </c>
      <c r="V33" s="14" t="n">
        <v>250</v>
      </c>
      <c r="W33" s="14">
        <f>U33+V33</f>
        <v/>
      </c>
    </row>
    <row r="34">
      <c r="A34" s="15" t="inlineStr">
        <is>
          <t>CANON-202604-005295</t>
        </is>
      </c>
      <c r="B34" s="15" t="inlineStr">
        <is>
          <t>2026-04-15</t>
        </is>
      </c>
      <c r="C34" s="15" t="inlineStr">
        <is>
          <t>Aurelio Castellanos</t>
        </is>
      </c>
      <c r="D34" s="15" t="inlineStr">
        <is>
          <t>VA</t>
        </is>
      </c>
      <c r="E34" s="16" t="n">
        <v>370000</v>
      </c>
      <c r="F34" s="16" t="n">
        <v>4739.73</v>
      </c>
      <c r="G34" s="16" t="n">
        <v>592.47</v>
      </c>
      <c r="H34" s="16" t="n">
        <v>592.47</v>
      </c>
      <c r="I34" s="16">
        <f>SUM(K34:T34)</f>
        <v/>
      </c>
      <c r="J34" s="16">
        <f>F34-(G34+H34+I34)</f>
        <v/>
      </c>
      <c r="K34" s="16" t="n">
        <v>355.48</v>
      </c>
      <c r="L34" s="16" t="n">
        <v>355.48</v>
      </c>
      <c r="M34" s="16" t="n">
        <v>355.48</v>
      </c>
      <c r="N34" s="16" t="n">
        <v>355.48</v>
      </c>
      <c r="O34" s="16" t="n">
        <v>355.48</v>
      </c>
      <c r="P34" s="16" t="n">
        <v>355.48</v>
      </c>
      <c r="Q34" s="16" t="n">
        <v>355.48</v>
      </c>
      <c r="R34" s="16" t="n">
        <v>355.48</v>
      </c>
      <c r="S34" s="16" t="n">
        <v>355.48</v>
      </c>
      <c r="T34" s="16" t="n">
        <v>355.48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CANON-202604-005296</t>
        </is>
      </c>
      <c r="B35" s="3" t="inlineStr">
        <is>
          <t>2026-04-11</t>
        </is>
      </c>
      <c r="C35" s="3" t="inlineStr">
        <is>
          <t>Ingrid Fairweather</t>
        </is>
      </c>
      <c r="D35" s="3" t="inlineStr">
        <is>
          <t>WA</t>
        </is>
      </c>
      <c r="E35" s="14" t="n">
        <v>520000</v>
      </c>
      <c r="F35" s="14" t="n">
        <v>5084.54</v>
      </c>
      <c r="G35" s="14" t="n">
        <v>635.5700000000001</v>
      </c>
      <c r="H35" s="14" t="n">
        <v>635.5700000000001</v>
      </c>
      <c r="I35" s="14">
        <f>SUM(K35:T35)</f>
        <v/>
      </c>
      <c r="J35" s="14">
        <f>F35-(G35+H35+I35)</f>
        <v/>
      </c>
      <c r="K35" s="14" t="n">
        <v>381.34</v>
      </c>
      <c r="L35" s="14" t="n">
        <v>381.34</v>
      </c>
      <c r="M35" s="14" t="n">
        <v>381.34</v>
      </c>
      <c r="N35" s="14" t="n">
        <v>381.34</v>
      </c>
      <c r="O35" s="14" t="n">
        <v>381.34</v>
      </c>
      <c r="P35" s="14" t="n">
        <v>381.34</v>
      </c>
      <c r="Q35" s="14" t="n">
        <v>381.34</v>
      </c>
      <c r="R35" s="14" t="n">
        <v>381.34</v>
      </c>
      <c r="S35" s="14" t="n">
        <v>381.34</v>
      </c>
      <c r="T35" s="14" t="n">
        <v>381.34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CANON-202604-005297</t>
        </is>
      </c>
      <c r="B36" s="15" t="inlineStr">
        <is>
          <t>2026-04-15</t>
        </is>
      </c>
      <c r="C36" s="15" t="inlineStr">
        <is>
          <t>Desmond Kingsford</t>
        </is>
      </c>
      <c r="D36" s="15" t="inlineStr">
        <is>
          <t>CA</t>
        </is>
      </c>
      <c r="E36" s="16" t="n">
        <v>840000</v>
      </c>
      <c r="F36" s="16" t="n">
        <v>11550.22</v>
      </c>
      <c r="G36" s="16" t="n">
        <v>1443.78</v>
      </c>
      <c r="H36" s="16" t="n">
        <v>1443.78</v>
      </c>
      <c r="I36" s="16">
        <f>SUM(K36:T36)</f>
        <v/>
      </c>
      <c r="J36" s="16">
        <f>F36-(G36+H36+I36)</f>
        <v/>
      </c>
      <c r="K36" s="16" t="n">
        <v>866.27</v>
      </c>
      <c r="L36" s="16" t="n">
        <v>866.27</v>
      </c>
      <c r="M36" s="16" t="n">
        <v>866.27</v>
      </c>
      <c r="N36" s="16" t="n">
        <v>866.27</v>
      </c>
      <c r="O36" s="16" t="n">
        <v>866.27</v>
      </c>
      <c r="P36" s="16" t="n">
        <v>866.27</v>
      </c>
      <c r="Q36" s="16" t="n">
        <v>866.27</v>
      </c>
      <c r="R36" s="16" t="n">
        <v>866.27</v>
      </c>
      <c r="S36" s="16" t="n">
        <v>866.27</v>
      </c>
      <c r="T36" s="16" t="n">
        <v>866.27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CANON-202604-005298</t>
        </is>
      </c>
      <c r="B37" s="3" t="inlineStr">
        <is>
          <t>2026-04-05</t>
        </is>
      </c>
      <c r="C37" s="3" t="inlineStr">
        <is>
          <t>Saoirse Blackwood</t>
        </is>
      </c>
      <c r="D37" s="3" t="inlineStr">
        <is>
          <t>FL</t>
        </is>
      </c>
      <c r="E37" s="14" t="n">
        <v>555000</v>
      </c>
      <c r="F37" s="14" t="n">
        <v>8027.1</v>
      </c>
      <c r="G37" s="14" t="n">
        <v>1003.39</v>
      </c>
      <c r="H37" s="14" t="n">
        <v>1003.39</v>
      </c>
      <c r="I37" s="14">
        <f>SUM(K37:T37)</f>
        <v/>
      </c>
      <c r="J37" s="14">
        <f>F37-(G37+H37+I37)</f>
        <v/>
      </c>
      <c r="K37" s="14" t="n">
        <v>602.03</v>
      </c>
      <c r="L37" s="14" t="n">
        <v>602.03</v>
      </c>
      <c r="M37" s="14" t="n">
        <v>602.03</v>
      </c>
      <c r="N37" s="14" t="n">
        <v>602.03</v>
      </c>
      <c r="O37" s="14" t="n">
        <v>602.03</v>
      </c>
      <c r="P37" s="14" t="n">
        <v>602.03</v>
      </c>
      <c r="Q37" s="14" t="n">
        <v>602.03</v>
      </c>
      <c r="R37" s="14" t="n">
        <v>602.03</v>
      </c>
      <c r="S37" s="14" t="n">
        <v>602.03</v>
      </c>
      <c r="T37" s="14" t="n">
        <v>602.03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CANON-202604-005299</t>
        </is>
      </c>
      <c r="B38" s="15" t="inlineStr">
        <is>
          <t>2026-04-18</t>
        </is>
      </c>
      <c r="C38" s="15" t="inlineStr">
        <is>
          <t>Beatrix Okonkwo</t>
        </is>
      </c>
      <c r="D38" s="15" t="inlineStr">
        <is>
          <t>VA</t>
        </is>
      </c>
      <c r="E38" s="16" t="n">
        <v>445000</v>
      </c>
      <c r="F38" s="16" t="n">
        <v>5700.49</v>
      </c>
      <c r="G38" s="16" t="n">
        <v>712.5599999999999</v>
      </c>
      <c r="H38" s="16" t="n">
        <v>712.5599999999999</v>
      </c>
      <c r="I38" s="16">
        <f>SUM(K38:T38)</f>
        <v/>
      </c>
      <c r="J38" s="16">
        <f>F38-(G38+H38+I38)</f>
        <v/>
      </c>
      <c r="K38" s="16" t="n">
        <v>427.54</v>
      </c>
      <c r="L38" s="16" t="n">
        <v>427.54</v>
      </c>
      <c r="M38" s="16" t="n">
        <v>427.54</v>
      </c>
      <c r="N38" s="16" t="n">
        <v>427.54</v>
      </c>
      <c r="O38" s="16" t="n">
        <v>427.54</v>
      </c>
      <c r="P38" s="16" t="n">
        <v>427.54</v>
      </c>
      <c r="Q38" s="16" t="n">
        <v>427.54</v>
      </c>
      <c r="R38" s="16" t="n">
        <v>427.54</v>
      </c>
      <c r="S38" s="16" t="n">
        <v>427.54</v>
      </c>
      <c r="T38" s="16" t="n">
        <v>427.54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CANON-202604-005300</t>
        </is>
      </c>
      <c r="B39" s="3" t="inlineStr">
        <is>
          <t>2026-04-28</t>
        </is>
      </c>
      <c r="C39" s="3" t="inlineStr">
        <is>
          <t>Thaddeus Farkas</t>
        </is>
      </c>
      <c r="D39" s="3" t="inlineStr">
        <is>
          <t>OH</t>
        </is>
      </c>
      <c r="E39" s="14" t="n">
        <v>625000</v>
      </c>
      <c r="F39" s="14" t="n">
        <v>8848.549999999999</v>
      </c>
      <c r="G39" s="14" t="n">
        <v>1106.07</v>
      </c>
      <c r="H39" s="14" t="n">
        <v>1106.07</v>
      </c>
      <c r="I39" s="14">
        <f>SUM(K39:T39)</f>
        <v/>
      </c>
      <c r="J39" s="14">
        <f>F39-(G39+H39+I39)</f>
        <v/>
      </c>
      <c r="K39" s="14" t="n">
        <v>663.64</v>
      </c>
      <c r="L39" s="14" t="n">
        <v>663.64</v>
      </c>
      <c r="M39" s="14" t="n">
        <v>663.64</v>
      </c>
      <c r="N39" s="14" t="n">
        <v>663.64</v>
      </c>
      <c r="O39" s="14" t="n">
        <v>663.64</v>
      </c>
      <c r="P39" s="14" t="n">
        <v>663.64</v>
      </c>
      <c r="Q39" s="14" t="n">
        <v>663.64</v>
      </c>
      <c r="R39" s="14" t="n">
        <v>663.64</v>
      </c>
      <c r="S39" s="14" t="n">
        <v>663.64</v>
      </c>
      <c r="T39" s="14" t="n">
        <v>663.64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CANON-202604-005301</t>
        </is>
      </c>
      <c r="B40" s="15" t="inlineStr">
        <is>
          <t>2026-04-03</t>
        </is>
      </c>
      <c r="C40" s="15" t="inlineStr">
        <is>
          <t>Fenwick Bellandi</t>
        </is>
      </c>
      <c r="D40" s="15" t="inlineStr">
        <is>
          <t>AR</t>
        </is>
      </c>
      <c r="E40" s="16" t="n">
        <v>805000</v>
      </c>
      <c r="F40" s="16" t="n">
        <v>16537.21</v>
      </c>
      <c r="G40" s="16" t="n">
        <v>2067.15</v>
      </c>
      <c r="H40" s="16" t="n">
        <v>2067.15</v>
      </c>
      <c r="I40" s="16">
        <f>SUM(K40:T40)</f>
        <v/>
      </c>
      <c r="J40" s="16">
        <f>F40-(G40+H40+I40)</f>
        <v/>
      </c>
      <c r="K40" s="16" t="n">
        <v>1240.29</v>
      </c>
      <c r="L40" s="16" t="n">
        <v>1240.29</v>
      </c>
      <c r="M40" s="16" t="n">
        <v>1240.29</v>
      </c>
      <c r="N40" s="16" t="n">
        <v>1240.29</v>
      </c>
      <c r="O40" s="16" t="n">
        <v>1240.29</v>
      </c>
      <c r="P40" s="16" t="n">
        <v>1240.29</v>
      </c>
      <c r="Q40" s="16" t="n">
        <v>1240.29</v>
      </c>
      <c r="R40" s="16" t="n">
        <v>1240.29</v>
      </c>
      <c r="S40" s="16" t="n">
        <v>1240.29</v>
      </c>
      <c r="T40" s="16" t="n">
        <v>1240.29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CANON-202604-005302</t>
        </is>
      </c>
      <c r="B41" s="3" t="inlineStr">
        <is>
          <t>2026-04-27</t>
        </is>
      </c>
      <c r="C41" s="3" t="inlineStr">
        <is>
          <t>Cassius Blackwood</t>
        </is>
      </c>
      <c r="D41" s="3" t="inlineStr">
        <is>
          <t>PA</t>
        </is>
      </c>
      <c r="E41" s="14" t="n">
        <v>760000</v>
      </c>
      <c r="F41" s="14" t="n">
        <v>5120.9</v>
      </c>
      <c r="G41" s="14" t="n">
        <v>640.11</v>
      </c>
      <c r="H41" s="14" t="n">
        <v>640.11</v>
      </c>
      <c r="I41" s="14">
        <f>SUM(K41:T41)</f>
        <v/>
      </c>
      <c r="J41" s="14">
        <f>F41-(G41+H41+I41)</f>
        <v/>
      </c>
      <c r="K41" s="14" t="n">
        <v>384.07</v>
      </c>
      <c r="L41" s="14" t="n">
        <v>384.07</v>
      </c>
      <c r="M41" s="14" t="n">
        <v>384.07</v>
      </c>
      <c r="N41" s="14" t="n">
        <v>384.07</v>
      </c>
      <c r="O41" s="14" t="n">
        <v>384.07</v>
      </c>
      <c r="P41" s="14" t="n">
        <v>384.07</v>
      </c>
      <c r="Q41" s="14" t="n">
        <v>384.07</v>
      </c>
      <c r="R41" s="14" t="n">
        <v>384.07</v>
      </c>
      <c r="S41" s="14" t="n">
        <v>384.07</v>
      </c>
      <c r="T41" s="14" t="n">
        <v>384.07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CANON-202604-005303</t>
        </is>
      </c>
      <c r="B42" s="15" t="inlineStr">
        <is>
          <t>2026-04-11</t>
        </is>
      </c>
      <c r="C42" s="15" t="inlineStr">
        <is>
          <t>Beatrix Vandermeer</t>
        </is>
      </c>
      <c r="D42" s="15" t="inlineStr">
        <is>
          <t>ND</t>
        </is>
      </c>
      <c r="E42" s="16" t="n">
        <v>1210000</v>
      </c>
      <c r="F42" s="16" t="n">
        <v>15471.74</v>
      </c>
      <c r="G42" s="16" t="n">
        <v>1933.97</v>
      </c>
      <c r="H42" s="16" t="n">
        <v>1933.97</v>
      </c>
      <c r="I42" s="16">
        <f>SUM(K42:T42)</f>
        <v/>
      </c>
      <c r="J42" s="16">
        <f>F42-(G42+H42+I42)</f>
        <v/>
      </c>
      <c r="K42" s="16" t="n">
        <v>1160.38</v>
      </c>
      <c r="L42" s="16" t="n">
        <v>1160.38</v>
      </c>
      <c r="M42" s="16" t="n">
        <v>1160.38</v>
      </c>
      <c r="N42" s="16" t="n">
        <v>1160.38</v>
      </c>
      <c r="O42" s="16" t="n">
        <v>1160.38</v>
      </c>
      <c r="P42" s="16" t="n">
        <v>1160.38</v>
      </c>
      <c r="Q42" s="16" t="n">
        <v>1160.38</v>
      </c>
      <c r="R42" s="16" t="n">
        <v>1160.38</v>
      </c>
      <c r="S42" s="16" t="n">
        <v>1160.38</v>
      </c>
      <c r="T42" s="16" t="n">
        <v>1160.38</v>
      </c>
      <c r="U42" s="16" t="n">
        <v>350</v>
      </c>
      <c r="V42" s="16" t="n">
        <v>250</v>
      </c>
      <c r="W42" s="16">
        <f>U42+V42</f>
        <v/>
      </c>
    </row>
    <row r="43">
      <c r="A43" s="3" t="inlineStr">
        <is>
          <t>CANON-202604-005305</t>
        </is>
      </c>
      <c r="B43" s="3" t="inlineStr">
        <is>
          <t>2026-04-17</t>
        </is>
      </c>
      <c r="C43" s="3" t="inlineStr">
        <is>
          <t>Ramona Fairweather</t>
        </is>
      </c>
      <c r="D43" s="3" t="inlineStr">
        <is>
          <t>NJ</t>
        </is>
      </c>
      <c r="E43" s="14" t="n">
        <v>605000</v>
      </c>
      <c r="F43" s="14" t="n">
        <v>5607.56</v>
      </c>
      <c r="G43" s="14" t="n">
        <v>700.95</v>
      </c>
      <c r="H43" s="14" t="n">
        <v>700.95</v>
      </c>
      <c r="I43" s="14">
        <f>SUM(K43:T43)</f>
        <v/>
      </c>
      <c r="J43" s="14">
        <f>F43-(G43+H43+I43)</f>
        <v/>
      </c>
      <c r="K43" s="14" t="n">
        <v>420.57</v>
      </c>
      <c r="L43" s="14" t="n">
        <v>420.57</v>
      </c>
      <c r="M43" s="14" t="n">
        <v>420.57</v>
      </c>
      <c r="N43" s="14" t="n">
        <v>420.57</v>
      </c>
      <c r="O43" s="14" t="n">
        <v>420.57</v>
      </c>
      <c r="P43" s="14" t="n">
        <v>420.57</v>
      </c>
      <c r="Q43" s="14" t="n">
        <v>420.57</v>
      </c>
      <c r="R43" s="14" t="n">
        <v>420.57</v>
      </c>
      <c r="S43" s="14" t="n">
        <v>420.57</v>
      </c>
      <c r="T43" s="14" t="n">
        <v>420.57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CANON-202604-005306</t>
        </is>
      </c>
      <c r="B44" s="15" t="inlineStr">
        <is>
          <t>2026-04-04</t>
        </is>
      </c>
      <c r="C44" s="15" t="inlineStr">
        <is>
          <t>Cassius Merriweather</t>
        </is>
      </c>
      <c r="D44" s="15" t="inlineStr">
        <is>
          <t>NY</t>
        </is>
      </c>
      <c r="E44" s="16" t="n">
        <v>665000</v>
      </c>
      <c r="F44" s="16" t="n">
        <v>5735.4</v>
      </c>
      <c r="G44" s="16" t="n">
        <v>716.92</v>
      </c>
      <c r="H44" s="16" t="n">
        <v>716.92</v>
      </c>
      <c r="I44" s="16">
        <f>SUM(K44:T44)</f>
        <v/>
      </c>
      <c r="J44" s="16">
        <f>F44-(G44+H44+I44)</f>
        <v/>
      </c>
      <c r="K44" s="16" t="n">
        <v>430.15</v>
      </c>
      <c r="L44" s="16" t="n">
        <v>430.15</v>
      </c>
      <c r="M44" s="16" t="n">
        <v>430.15</v>
      </c>
      <c r="N44" s="16" t="n">
        <v>430.15</v>
      </c>
      <c r="O44" s="16" t="n">
        <v>430.15</v>
      </c>
      <c r="P44" s="16" t="n">
        <v>430.15</v>
      </c>
      <c r="Q44" s="16" t="n">
        <v>430.15</v>
      </c>
      <c r="R44" s="16" t="n">
        <v>430.15</v>
      </c>
      <c r="S44" s="16" t="n">
        <v>430.15</v>
      </c>
      <c r="T44" s="16" t="n">
        <v>430.15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CANON-202604-005307</t>
        </is>
      </c>
      <c r="B45" s="3" t="inlineStr">
        <is>
          <t>2026-04-21</t>
        </is>
      </c>
      <c r="C45" s="3" t="inlineStr">
        <is>
          <t>Mireille Rourke</t>
        </is>
      </c>
      <c r="D45" s="3" t="inlineStr">
        <is>
          <t>IA</t>
        </is>
      </c>
      <c r="E45" s="14" t="n">
        <v>360000</v>
      </c>
      <c r="F45" s="14" t="n">
        <v>4653.93</v>
      </c>
      <c r="G45" s="14" t="n">
        <v>581.74</v>
      </c>
      <c r="H45" s="14" t="n">
        <v>581.74</v>
      </c>
      <c r="I45" s="14">
        <f>SUM(K45:T45)</f>
        <v/>
      </c>
      <c r="J45" s="14">
        <f>F45-(G45+H45+I45)</f>
        <v/>
      </c>
      <c r="K45" s="14" t="n">
        <v>349.04</v>
      </c>
      <c r="L45" s="14" t="n">
        <v>349.04</v>
      </c>
      <c r="M45" s="14" t="n">
        <v>349.04</v>
      </c>
      <c r="N45" s="14" t="n">
        <v>349.04</v>
      </c>
      <c r="O45" s="14" t="n">
        <v>349.04</v>
      </c>
      <c r="P45" s="14" t="n">
        <v>349.04</v>
      </c>
      <c r="Q45" s="14" t="n">
        <v>349.04</v>
      </c>
      <c r="R45" s="14" t="n">
        <v>349.04</v>
      </c>
      <c r="S45" s="14" t="n">
        <v>349.04</v>
      </c>
      <c r="T45" s="14" t="n">
        <v>349.04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CANON-202604-005308</t>
        </is>
      </c>
      <c r="B46" s="15" t="inlineStr">
        <is>
          <t>2026-04-09</t>
        </is>
      </c>
      <c r="C46" s="15" t="inlineStr">
        <is>
          <t>Fitzgerald Whitlock</t>
        </is>
      </c>
      <c r="D46" s="15" t="inlineStr">
        <is>
          <t>IA</t>
        </is>
      </c>
      <c r="E46" s="16" t="n">
        <v>460000</v>
      </c>
      <c r="F46" s="16" t="n">
        <v>5946.7</v>
      </c>
      <c r="G46" s="16" t="n">
        <v>743.34</v>
      </c>
      <c r="H46" s="16" t="n">
        <v>743.34</v>
      </c>
      <c r="I46" s="16">
        <f>SUM(K46:T46)</f>
        <v/>
      </c>
      <c r="J46" s="16">
        <f>F46-(G46+H46+I46)</f>
        <v/>
      </c>
      <c r="K46" s="16" t="n">
        <v>446</v>
      </c>
      <c r="L46" s="16" t="n">
        <v>446</v>
      </c>
      <c r="M46" s="16" t="n">
        <v>446</v>
      </c>
      <c r="N46" s="16" t="n">
        <v>446</v>
      </c>
      <c r="O46" s="16" t="n">
        <v>446</v>
      </c>
      <c r="P46" s="16" t="n">
        <v>446</v>
      </c>
      <c r="Q46" s="16" t="n">
        <v>446</v>
      </c>
      <c r="R46" s="16" t="n">
        <v>446</v>
      </c>
      <c r="S46" s="16" t="n">
        <v>446</v>
      </c>
      <c r="T46" s="16" t="n">
        <v>446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CANON-202604-005310</t>
        </is>
      </c>
      <c r="B47" s="3" t="inlineStr">
        <is>
          <t>2026-04-12</t>
        </is>
      </c>
      <c r="C47" s="3" t="inlineStr">
        <is>
          <t>Delphine Farkas</t>
        </is>
      </c>
      <c r="D47" s="3" t="inlineStr">
        <is>
          <t>ID</t>
        </is>
      </c>
      <c r="E47" s="14" t="n">
        <v>790000</v>
      </c>
      <c r="F47" s="14" t="n">
        <v>7965.98</v>
      </c>
      <c r="G47" s="14" t="n">
        <v>995.75</v>
      </c>
      <c r="H47" s="14" t="n">
        <v>995.75</v>
      </c>
      <c r="I47" s="14">
        <f>SUM(K47:T47)</f>
        <v/>
      </c>
      <c r="J47" s="14">
        <f>F47-(G47+H47+I47)</f>
        <v/>
      </c>
      <c r="K47" s="14" t="n">
        <v>597.45</v>
      </c>
      <c r="L47" s="14" t="n">
        <v>597.45</v>
      </c>
      <c r="M47" s="14" t="n">
        <v>597.45</v>
      </c>
      <c r="N47" s="14" t="n">
        <v>597.45</v>
      </c>
      <c r="O47" s="14" t="n">
        <v>597.45</v>
      </c>
      <c r="P47" s="14" t="n">
        <v>597.45</v>
      </c>
      <c r="Q47" s="14" t="n">
        <v>597.45</v>
      </c>
      <c r="R47" s="14" t="n">
        <v>597.45</v>
      </c>
      <c r="S47" s="14" t="n">
        <v>597.45</v>
      </c>
      <c r="T47" s="14" t="n">
        <v>597.45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CANON-202604-005312</t>
        </is>
      </c>
      <c r="B48" s="15" t="inlineStr">
        <is>
          <t>2026-04-28</t>
        </is>
      </c>
      <c r="C48" s="15" t="inlineStr">
        <is>
          <t>Thaddeus Whitlock</t>
        </is>
      </c>
      <c r="D48" s="15" t="inlineStr">
        <is>
          <t>KY</t>
        </is>
      </c>
      <c r="E48" s="16" t="n">
        <v>1300000</v>
      </c>
      <c r="F48" s="16" t="n">
        <v>21837.45</v>
      </c>
      <c r="G48" s="16" t="n">
        <v>2729.68</v>
      </c>
      <c r="H48" s="16" t="n">
        <v>2729.68</v>
      </c>
      <c r="I48" s="16">
        <f>SUM(K48:T48)</f>
        <v/>
      </c>
      <c r="J48" s="16">
        <f>F48-(G48+H48+I48)</f>
        <v/>
      </c>
      <c r="K48" s="16" t="n">
        <v>1637.81</v>
      </c>
      <c r="L48" s="16" t="n">
        <v>1637.81</v>
      </c>
      <c r="M48" s="16" t="n">
        <v>1637.81</v>
      </c>
      <c r="N48" s="16" t="n">
        <v>1637.81</v>
      </c>
      <c r="O48" s="16" t="n">
        <v>1637.81</v>
      </c>
      <c r="P48" s="16" t="n">
        <v>1637.81</v>
      </c>
      <c r="Q48" s="16" t="n">
        <v>1637.81</v>
      </c>
      <c r="R48" s="16" t="n">
        <v>1637.81</v>
      </c>
      <c r="S48" s="16" t="n">
        <v>1637.81</v>
      </c>
      <c r="T48" s="16" t="n">
        <v>1637.81</v>
      </c>
      <c r="U48" s="16" t="n">
        <v>350</v>
      </c>
      <c r="V48" s="16" t="n">
        <v>250</v>
      </c>
      <c r="W48" s="16">
        <f>U48+V48</f>
        <v/>
      </c>
    </row>
    <row r="49">
      <c r="A49" s="3" t="inlineStr">
        <is>
          <t>CANON-202604-005314</t>
        </is>
      </c>
      <c r="B49" s="3" t="inlineStr">
        <is>
          <t>2026-04-20</t>
        </is>
      </c>
      <c r="C49" s="3" t="inlineStr">
        <is>
          <t>Callum Vasquez</t>
        </is>
      </c>
      <c r="D49" s="3" t="inlineStr">
        <is>
          <t>NH</t>
        </is>
      </c>
      <c r="E49" s="14" t="n">
        <v>615000</v>
      </c>
      <c r="F49" s="14" t="n">
        <v>9521.290000000001</v>
      </c>
      <c r="G49" s="14" t="n">
        <v>1190.16</v>
      </c>
      <c r="H49" s="14" t="n">
        <v>1190.16</v>
      </c>
      <c r="I49" s="14">
        <f>SUM(K49:T49)</f>
        <v/>
      </c>
      <c r="J49" s="14">
        <f>F49-(G49+H49+I49)</f>
        <v/>
      </c>
      <c r="K49" s="14" t="n">
        <v>714.1</v>
      </c>
      <c r="L49" s="14" t="n">
        <v>714.1</v>
      </c>
      <c r="M49" s="14" t="n">
        <v>714.1</v>
      </c>
      <c r="N49" s="14" t="n">
        <v>714.1</v>
      </c>
      <c r="O49" s="14" t="n">
        <v>714.1</v>
      </c>
      <c r="P49" s="14" t="n">
        <v>714.1</v>
      </c>
      <c r="Q49" s="14" t="n">
        <v>714.1</v>
      </c>
      <c r="R49" s="14" t="n">
        <v>714.1</v>
      </c>
      <c r="S49" s="14" t="n">
        <v>714.1</v>
      </c>
      <c r="T49" s="14" t="n">
        <v>714.1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CANON-202604-005315</t>
        </is>
      </c>
      <c r="B50" s="15" t="inlineStr">
        <is>
          <t>2026-04-11</t>
        </is>
      </c>
      <c r="C50" s="15" t="inlineStr">
        <is>
          <t>Anouk Whitlock</t>
        </is>
      </c>
      <c r="D50" s="15" t="inlineStr">
        <is>
          <t>IA</t>
        </is>
      </c>
      <c r="E50" s="16" t="n">
        <v>155000</v>
      </c>
      <c r="F50" s="16" t="n">
        <v>2457.96</v>
      </c>
      <c r="G50" s="16" t="n">
        <v>307.25</v>
      </c>
      <c r="H50" s="16" t="n">
        <v>307.25</v>
      </c>
      <c r="I50" s="16">
        <f>SUM(K50:T50)</f>
        <v/>
      </c>
      <c r="J50" s="16">
        <f>F50-(G50+H50+I50)</f>
        <v/>
      </c>
      <c r="K50" s="16" t="n">
        <v>184.35</v>
      </c>
      <c r="L50" s="16" t="n">
        <v>184.35</v>
      </c>
      <c r="M50" s="16" t="n">
        <v>184.35</v>
      </c>
      <c r="N50" s="16" t="n">
        <v>184.35</v>
      </c>
      <c r="O50" s="16" t="n">
        <v>184.35</v>
      </c>
      <c r="P50" s="16" t="n">
        <v>184.35</v>
      </c>
      <c r="Q50" s="16" t="n">
        <v>184.35</v>
      </c>
      <c r="R50" s="16" t="n">
        <v>184.35</v>
      </c>
      <c r="S50" s="16" t="n">
        <v>184.35</v>
      </c>
      <c r="T50" s="16" t="n">
        <v>184.35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CANON-202604-005316</t>
        </is>
      </c>
      <c r="B51" s="3" t="inlineStr">
        <is>
          <t>2026-04-07</t>
        </is>
      </c>
      <c r="C51" s="3" t="inlineStr">
        <is>
          <t>Ottilie Bellandi</t>
        </is>
      </c>
      <c r="D51" s="3" t="inlineStr">
        <is>
          <t>NV</t>
        </is>
      </c>
      <c r="E51" s="14" t="n">
        <v>335000</v>
      </c>
      <c r="F51" s="14" t="n">
        <v>5404.77</v>
      </c>
      <c r="G51" s="14" t="n">
        <v>675.6</v>
      </c>
      <c r="H51" s="14" t="n">
        <v>675.6</v>
      </c>
      <c r="I51" s="14">
        <f>SUM(K51:T51)</f>
        <v/>
      </c>
      <c r="J51" s="14">
        <f>F51-(G51+H51+I51)</f>
        <v/>
      </c>
      <c r="K51" s="14" t="n">
        <v>405.36</v>
      </c>
      <c r="L51" s="14" t="n">
        <v>405.36</v>
      </c>
      <c r="M51" s="14" t="n">
        <v>405.36</v>
      </c>
      <c r="N51" s="14" t="n">
        <v>405.36</v>
      </c>
      <c r="O51" s="14" t="n">
        <v>405.36</v>
      </c>
      <c r="P51" s="14" t="n">
        <v>405.36</v>
      </c>
      <c r="Q51" s="14" t="n">
        <v>405.36</v>
      </c>
      <c r="R51" s="14" t="n">
        <v>405.36</v>
      </c>
      <c r="S51" s="14" t="n">
        <v>405.36</v>
      </c>
      <c r="T51" s="14" t="n">
        <v>405.36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CANON-202604-005317</t>
        </is>
      </c>
      <c r="B52" s="15" t="inlineStr">
        <is>
          <t>2026-04-27</t>
        </is>
      </c>
      <c r="C52" s="15" t="inlineStr">
        <is>
          <t>Ramona Larsson</t>
        </is>
      </c>
      <c r="D52" s="15" t="inlineStr">
        <is>
          <t>NJ</t>
        </is>
      </c>
      <c r="E52" s="16" t="n">
        <v>700000</v>
      </c>
      <c r="F52" s="16" t="n">
        <v>6488.08</v>
      </c>
      <c r="G52" s="16" t="n">
        <v>811.01</v>
      </c>
      <c r="H52" s="16" t="n">
        <v>811.01</v>
      </c>
      <c r="I52" s="16">
        <f>SUM(K52:T52)</f>
        <v/>
      </c>
      <c r="J52" s="16">
        <f>F52-(G52+H52+I52)</f>
        <v/>
      </c>
      <c r="K52" s="16" t="n">
        <v>486.61</v>
      </c>
      <c r="L52" s="16" t="n">
        <v>486.61</v>
      </c>
      <c r="M52" s="16" t="n">
        <v>486.61</v>
      </c>
      <c r="N52" s="16" t="n">
        <v>486.61</v>
      </c>
      <c r="O52" s="16" t="n">
        <v>486.61</v>
      </c>
      <c r="P52" s="16" t="n">
        <v>486.61</v>
      </c>
      <c r="Q52" s="16" t="n">
        <v>486.61</v>
      </c>
      <c r="R52" s="16" t="n">
        <v>486.61</v>
      </c>
      <c r="S52" s="16" t="n">
        <v>486.61</v>
      </c>
      <c r="T52" s="16" t="n">
        <v>486.61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CANON-202604-005318</t>
        </is>
      </c>
      <c r="B53" s="3" t="inlineStr">
        <is>
          <t>2026-04-20</t>
        </is>
      </c>
      <c r="C53" s="3" t="inlineStr">
        <is>
          <t>Thaddeus Larsson</t>
        </is>
      </c>
      <c r="D53" s="3" t="inlineStr">
        <is>
          <t>TX</t>
        </is>
      </c>
      <c r="E53" s="14" t="n">
        <v>370000</v>
      </c>
      <c r="F53" s="14" t="n">
        <v>5000.63</v>
      </c>
      <c r="G53" s="14" t="n">
        <v>625.08</v>
      </c>
      <c r="H53" s="14" t="n">
        <v>625.08</v>
      </c>
      <c r="I53" s="14">
        <f>SUM(K53:T53)</f>
        <v/>
      </c>
      <c r="J53" s="14">
        <f>F53-(G53+H53+I53)</f>
        <v/>
      </c>
      <c r="K53" s="14" t="n">
        <v>375.05</v>
      </c>
      <c r="L53" s="14" t="n">
        <v>375.05</v>
      </c>
      <c r="M53" s="14" t="n">
        <v>375.05</v>
      </c>
      <c r="N53" s="14" t="n">
        <v>375.05</v>
      </c>
      <c r="O53" s="14" t="n">
        <v>375.05</v>
      </c>
      <c r="P53" s="14" t="n">
        <v>375.05</v>
      </c>
      <c r="Q53" s="14" t="n">
        <v>375.05</v>
      </c>
      <c r="R53" s="14" t="n">
        <v>375.05</v>
      </c>
      <c r="S53" s="14" t="n">
        <v>375.05</v>
      </c>
      <c r="T53" s="14" t="n">
        <v>375.05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CANON-202604-005319</t>
        </is>
      </c>
      <c r="B54" s="15" t="inlineStr">
        <is>
          <t>2026-04-12</t>
        </is>
      </c>
      <c r="C54" s="15" t="inlineStr">
        <is>
          <t>Ingrid Castellanos</t>
        </is>
      </c>
      <c r="D54" s="15" t="inlineStr">
        <is>
          <t>DE</t>
        </is>
      </c>
      <c r="E54" s="16" t="n">
        <v>1475000</v>
      </c>
      <c r="F54" s="16" t="n">
        <v>15890.16</v>
      </c>
      <c r="G54" s="16" t="n">
        <v>1986.27</v>
      </c>
      <c r="H54" s="16" t="n">
        <v>1986.27</v>
      </c>
      <c r="I54" s="16">
        <f>SUM(K54:T54)</f>
        <v/>
      </c>
      <c r="J54" s="16">
        <f>F54-(G54+H54+I54)</f>
        <v/>
      </c>
      <c r="K54" s="16" t="n">
        <v>1191.76</v>
      </c>
      <c r="L54" s="16" t="n">
        <v>1191.76</v>
      </c>
      <c r="M54" s="16" t="n">
        <v>1191.76</v>
      </c>
      <c r="N54" s="16" t="n">
        <v>1191.76</v>
      </c>
      <c r="O54" s="16" t="n">
        <v>1191.76</v>
      </c>
      <c r="P54" s="16" t="n">
        <v>1191.76</v>
      </c>
      <c r="Q54" s="16" t="n">
        <v>1191.76</v>
      </c>
      <c r="R54" s="16" t="n">
        <v>1191.76</v>
      </c>
      <c r="S54" s="16" t="n">
        <v>1191.76</v>
      </c>
      <c r="T54" s="16" t="n">
        <v>1191.76</v>
      </c>
      <c r="U54" s="16" t="n">
        <v>350</v>
      </c>
      <c r="V54" s="16" t="n">
        <v>250</v>
      </c>
      <c r="W54" s="16">
        <f>U54+V54</f>
        <v/>
      </c>
    </row>
    <row r="55">
      <c r="A55" s="3" t="inlineStr">
        <is>
          <t>CANON-202604-005320</t>
        </is>
      </c>
      <c r="B55" s="3" t="inlineStr">
        <is>
          <t>2026-04-01</t>
        </is>
      </c>
      <c r="C55" s="3" t="inlineStr">
        <is>
          <t>Fenwick Kingsford</t>
        </is>
      </c>
      <c r="D55" s="3" t="inlineStr">
        <is>
          <t>OH</t>
        </is>
      </c>
      <c r="E55" s="14" t="n">
        <v>590000</v>
      </c>
      <c r="F55" s="14" t="n">
        <v>5525.85</v>
      </c>
      <c r="G55" s="14" t="n">
        <v>690.73</v>
      </c>
      <c r="H55" s="14" t="n">
        <v>690.73</v>
      </c>
      <c r="I55" s="14">
        <f>SUM(K55:T55)</f>
        <v/>
      </c>
      <c r="J55" s="14">
        <f>F55-(G55+H55+I55)</f>
        <v/>
      </c>
      <c r="K55" s="14" t="n">
        <v>414.44</v>
      </c>
      <c r="L55" s="14" t="n">
        <v>414.44</v>
      </c>
      <c r="M55" s="14" t="n">
        <v>414.44</v>
      </c>
      <c r="N55" s="14" t="n">
        <v>414.44</v>
      </c>
      <c r="O55" s="14" t="n">
        <v>414.44</v>
      </c>
      <c r="P55" s="14" t="n">
        <v>414.44</v>
      </c>
      <c r="Q55" s="14" t="n">
        <v>414.44</v>
      </c>
      <c r="R55" s="14" t="n">
        <v>414.44</v>
      </c>
      <c r="S55" s="14" t="n">
        <v>414.44</v>
      </c>
      <c r="T55" s="14" t="n">
        <v>414.44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CANON-202604-005322</t>
        </is>
      </c>
      <c r="B56" s="15" t="inlineStr">
        <is>
          <t>2026-04-07</t>
        </is>
      </c>
      <c r="C56" s="15" t="inlineStr">
        <is>
          <t>Emiliano Kingsford</t>
        </is>
      </c>
      <c r="D56" s="15" t="inlineStr">
        <is>
          <t>MI</t>
        </is>
      </c>
      <c r="E56" s="16" t="n">
        <v>770000</v>
      </c>
      <c r="F56" s="16" t="n">
        <v>8041.82</v>
      </c>
      <c r="G56" s="16" t="n">
        <v>1005.23</v>
      </c>
      <c r="H56" s="16" t="n">
        <v>1005.23</v>
      </c>
      <c r="I56" s="16">
        <f>SUM(K56:T56)</f>
        <v/>
      </c>
      <c r="J56" s="16">
        <f>F56-(G56+H56+I56)</f>
        <v/>
      </c>
      <c r="K56" s="16" t="n">
        <v>603.14</v>
      </c>
      <c r="L56" s="16" t="n">
        <v>603.14</v>
      </c>
      <c r="M56" s="16" t="n">
        <v>603.14</v>
      </c>
      <c r="N56" s="16" t="n">
        <v>603.14</v>
      </c>
      <c r="O56" s="16" t="n">
        <v>603.14</v>
      </c>
      <c r="P56" s="16" t="n">
        <v>603.14</v>
      </c>
      <c r="Q56" s="16" t="n">
        <v>603.14</v>
      </c>
      <c r="R56" s="16" t="n">
        <v>603.14</v>
      </c>
      <c r="S56" s="16" t="n">
        <v>603.14</v>
      </c>
      <c r="T56" s="16" t="n">
        <v>603.14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CANON-202604-005325</t>
        </is>
      </c>
      <c r="B57" s="3" t="inlineStr">
        <is>
          <t>2026-04-13</t>
        </is>
      </c>
      <c r="C57" s="3" t="inlineStr">
        <is>
          <t>Everett Vasquez</t>
        </is>
      </c>
      <c r="D57" s="3" t="inlineStr">
        <is>
          <t>NE</t>
        </is>
      </c>
      <c r="E57" s="14" t="n">
        <v>710000</v>
      </c>
      <c r="F57" s="14" t="n">
        <v>13740.07</v>
      </c>
      <c r="G57" s="14" t="n">
        <v>1717.51</v>
      </c>
      <c r="H57" s="14" t="n">
        <v>1717.51</v>
      </c>
      <c r="I57" s="14">
        <f>SUM(K57:T57)</f>
        <v/>
      </c>
      <c r="J57" s="14">
        <f>F57-(G57+H57+I57)</f>
        <v/>
      </c>
      <c r="K57" s="14" t="n">
        <v>1030.51</v>
      </c>
      <c r="L57" s="14" t="n">
        <v>1030.51</v>
      </c>
      <c r="M57" s="14" t="n">
        <v>1030.51</v>
      </c>
      <c r="N57" s="14" t="n">
        <v>1030.51</v>
      </c>
      <c r="O57" s="14" t="n">
        <v>1030.51</v>
      </c>
      <c r="P57" s="14" t="n">
        <v>1030.51</v>
      </c>
      <c r="Q57" s="14" t="n">
        <v>1030.51</v>
      </c>
      <c r="R57" s="14" t="n">
        <v>1030.51</v>
      </c>
      <c r="S57" s="14" t="n">
        <v>1030.51</v>
      </c>
      <c r="T57" s="14" t="n">
        <v>1030.51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CANON-202604-005327</t>
        </is>
      </c>
      <c r="B58" s="15" t="inlineStr">
        <is>
          <t>2026-04-01</t>
        </is>
      </c>
      <c r="C58" s="15" t="inlineStr">
        <is>
          <t>Anouk Thistlewood</t>
        </is>
      </c>
      <c r="D58" s="15" t="inlineStr">
        <is>
          <t>NV</t>
        </is>
      </c>
      <c r="E58" s="16" t="n">
        <v>435000</v>
      </c>
      <c r="F58" s="16" t="n">
        <v>5981.36</v>
      </c>
      <c r="G58" s="16" t="n">
        <v>747.67</v>
      </c>
      <c r="H58" s="16" t="n">
        <v>747.67</v>
      </c>
      <c r="I58" s="16">
        <f>SUM(K58:T58)</f>
        <v/>
      </c>
      <c r="J58" s="16">
        <f>F58-(G58+H58+I58)</f>
        <v/>
      </c>
      <c r="K58" s="16" t="n">
        <v>448.6</v>
      </c>
      <c r="L58" s="16" t="n">
        <v>448.6</v>
      </c>
      <c r="M58" s="16" t="n">
        <v>448.6</v>
      </c>
      <c r="N58" s="16" t="n">
        <v>448.6</v>
      </c>
      <c r="O58" s="16" t="n">
        <v>448.6</v>
      </c>
      <c r="P58" s="16" t="n">
        <v>448.6</v>
      </c>
      <c r="Q58" s="16" t="n">
        <v>448.6</v>
      </c>
      <c r="R58" s="16" t="n">
        <v>448.6</v>
      </c>
      <c r="S58" s="16" t="n">
        <v>448.6</v>
      </c>
      <c r="T58" s="16" t="n">
        <v>448.6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CANON-202604-005328</t>
        </is>
      </c>
      <c r="B59" s="3" t="inlineStr">
        <is>
          <t>2026-04-02</t>
        </is>
      </c>
      <c r="C59" s="3" t="inlineStr">
        <is>
          <t>Thaddeus Nakashima</t>
        </is>
      </c>
      <c r="D59" s="3" t="inlineStr">
        <is>
          <t>NE</t>
        </is>
      </c>
      <c r="E59" s="14" t="n">
        <v>440000</v>
      </c>
      <c r="F59" s="14" t="n">
        <v>6722.35</v>
      </c>
      <c r="G59" s="14" t="n">
        <v>840.29</v>
      </c>
      <c r="H59" s="14" t="n">
        <v>840.29</v>
      </c>
      <c r="I59" s="14">
        <f>SUM(K59:T59)</f>
        <v/>
      </c>
      <c r="J59" s="14">
        <f>F59-(G59+H59+I59)</f>
        <v/>
      </c>
      <c r="K59" s="14" t="n">
        <v>504.18</v>
      </c>
      <c r="L59" s="14" t="n">
        <v>504.18</v>
      </c>
      <c r="M59" s="14" t="n">
        <v>504.18</v>
      </c>
      <c r="N59" s="14" t="n">
        <v>504.18</v>
      </c>
      <c r="O59" s="14" t="n">
        <v>504.18</v>
      </c>
      <c r="P59" s="14" t="n">
        <v>504.18</v>
      </c>
      <c r="Q59" s="14" t="n">
        <v>504.18</v>
      </c>
      <c r="R59" s="14" t="n">
        <v>504.18</v>
      </c>
      <c r="S59" s="14" t="n">
        <v>504.18</v>
      </c>
      <c r="T59" s="14" t="n">
        <v>504.18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CANON-202604-005330</t>
        </is>
      </c>
      <c r="B60" s="15" t="inlineStr">
        <is>
          <t>2026-04-27</t>
        </is>
      </c>
      <c r="C60" s="15" t="inlineStr">
        <is>
          <t>Wilhelmina Montoya</t>
        </is>
      </c>
      <c r="D60" s="15" t="inlineStr">
        <is>
          <t>IN</t>
        </is>
      </c>
      <c r="E60" s="16" t="n">
        <v>1950000</v>
      </c>
      <c r="F60" s="16" t="n">
        <v>12778.57</v>
      </c>
      <c r="G60" s="16" t="n">
        <v>1597.32</v>
      </c>
      <c r="H60" s="16" t="n">
        <v>1597.32</v>
      </c>
      <c r="I60" s="16">
        <f>SUM(K60:T60)</f>
        <v/>
      </c>
      <c r="J60" s="16">
        <f>F60-(G60+H60+I60)</f>
        <v/>
      </c>
      <c r="K60" s="16" t="n">
        <v>958.39</v>
      </c>
      <c r="L60" s="16" t="n">
        <v>958.39</v>
      </c>
      <c r="M60" s="16" t="n">
        <v>958.39</v>
      </c>
      <c r="N60" s="16" t="n">
        <v>958.39</v>
      </c>
      <c r="O60" s="16" t="n">
        <v>958.39</v>
      </c>
      <c r="P60" s="16" t="n">
        <v>958.39</v>
      </c>
      <c r="Q60" s="16" t="n">
        <v>958.39</v>
      </c>
      <c r="R60" s="16" t="n">
        <v>958.39</v>
      </c>
      <c r="S60" s="16" t="n">
        <v>958.39</v>
      </c>
      <c r="T60" s="16" t="n">
        <v>958.39</v>
      </c>
      <c r="U60" s="16" t="n">
        <v>350</v>
      </c>
      <c r="V60" s="16" t="n">
        <v>250</v>
      </c>
      <c r="W60" s="16">
        <f>U60+V60</f>
        <v/>
      </c>
    </row>
    <row r="61">
      <c r="A61" s="3" t="inlineStr">
        <is>
          <t>CANON-202604-005331</t>
        </is>
      </c>
      <c r="B61" s="3" t="inlineStr">
        <is>
          <t>2026-04-15</t>
        </is>
      </c>
      <c r="C61" s="3" t="inlineStr">
        <is>
          <t>Mireille Thistlewood</t>
        </is>
      </c>
      <c r="D61" s="3" t="inlineStr">
        <is>
          <t>VA</t>
        </is>
      </c>
      <c r="E61" s="14" t="n">
        <v>920000</v>
      </c>
      <c r="F61" s="14" t="n">
        <v>10213.9</v>
      </c>
      <c r="G61" s="14" t="n">
        <v>1276.74</v>
      </c>
      <c r="H61" s="14" t="n">
        <v>1276.74</v>
      </c>
      <c r="I61" s="14">
        <f>SUM(K61:T61)</f>
        <v/>
      </c>
      <c r="J61" s="14">
        <f>F61-(G61+H61+I61)</f>
        <v/>
      </c>
      <c r="K61" s="14" t="n">
        <v>766.04</v>
      </c>
      <c r="L61" s="14" t="n">
        <v>766.04</v>
      </c>
      <c r="M61" s="14" t="n">
        <v>766.04</v>
      </c>
      <c r="N61" s="14" t="n">
        <v>766.04</v>
      </c>
      <c r="O61" s="14" t="n">
        <v>766.04</v>
      </c>
      <c r="P61" s="14" t="n">
        <v>766.04</v>
      </c>
      <c r="Q61" s="14" t="n">
        <v>766.04</v>
      </c>
      <c r="R61" s="14" t="n">
        <v>766.04</v>
      </c>
      <c r="S61" s="14" t="n">
        <v>766.04</v>
      </c>
      <c r="T61" s="14" t="n">
        <v>766.04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CANON-202604-005332</t>
        </is>
      </c>
      <c r="B62" s="15" t="inlineStr">
        <is>
          <t>2026-04-26</t>
        </is>
      </c>
      <c r="C62" s="15" t="inlineStr">
        <is>
          <t>Thaddeus Ashcombe</t>
        </is>
      </c>
      <c r="D62" s="15" t="inlineStr">
        <is>
          <t>WI</t>
        </is>
      </c>
      <c r="E62" s="16" t="n">
        <v>400000</v>
      </c>
      <c r="F62" s="16" t="n">
        <v>6618.93</v>
      </c>
      <c r="G62" s="16" t="n">
        <v>827.37</v>
      </c>
      <c r="H62" s="16" t="n">
        <v>827.37</v>
      </c>
      <c r="I62" s="16">
        <f>SUM(K62:T62)</f>
        <v/>
      </c>
      <c r="J62" s="16">
        <f>F62-(G62+H62+I62)</f>
        <v/>
      </c>
      <c r="K62" s="16" t="n">
        <v>496.42</v>
      </c>
      <c r="L62" s="16" t="n">
        <v>496.42</v>
      </c>
      <c r="M62" s="16" t="n">
        <v>496.42</v>
      </c>
      <c r="N62" s="16" t="n">
        <v>496.42</v>
      </c>
      <c r="O62" s="16" t="n">
        <v>496.42</v>
      </c>
      <c r="P62" s="16" t="n">
        <v>496.42</v>
      </c>
      <c r="Q62" s="16" t="n">
        <v>496.42</v>
      </c>
      <c r="R62" s="16" t="n">
        <v>496.42</v>
      </c>
      <c r="S62" s="16" t="n">
        <v>496.42</v>
      </c>
      <c r="T62" s="16" t="n">
        <v>496.42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CANON-202604-005333</t>
        </is>
      </c>
      <c r="B63" s="3" t="inlineStr">
        <is>
          <t>2026-04-16</t>
        </is>
      </c>
      <c r="C63" s="3" t="inlineStr">
        <is>
          <t>Ramona Larsson</t>
        </is>
      </c>
      <c r="D63" s="3" t="inlineStr">
        <is>
          <t>KY</t>
        </is>
      </c>
      <c r="E63" s="14" t="n">
        <v>1950000</v>
      </c>
      <c r="F63" s="14" t="n">
        <v>32756.17</v>
      </c>
      <c r="G63" s="14" t="n">
        <v>4094.52</v>
      </c>
      <c r="H63" s="14" t="n">
        <v>4094.52</v>
      </c>
      <c r="I63" s="14">
        <f>SUM(K63:T63)</f>
        <v/>
      </c>
      <c r="J63" s="14">
        <f>F63-(G63+H63+I63)</f>
        <v/>
      </c>
      <c r="K63" s="14" t="n">
        <v>2456.71</v>
      </c>
      <c r="L63" s="14" t="n">
        <v>2456.71</v>
      </c>
      <c r="M63" s="14" t="n">
        <v>2456.71</v>
      </c>
      <c r="N63" s="14" t="n">
        <v>2456.71</v>
      </c>
      <c r="O63" s="14" t="n">
        <v>2456.71</v>
      </c>
      <c r="P63" s="14" t="n">
        <v>2456.71</v>
      </c>
      <c r="Q63" s="14" t="n">
        <v>2456.71</v>
      </c>
      <c r="R63" s="14" t="n">
        <v>2456.71</v>
      </c>
      <c r="S63" s="14" t="n">
        <v>2456.71</v>
      </c>
      <c r="T63" s="14" t="n">
        <v>2456.71</v>
      </c>
      <c r="U63" s="14" t="n">
        <v>350</v>
      </c>
      <c r="V63" s="14" t="n">
        <v>250</v>
      </c>
      <c r="W63" s="14">
        <f>U63+V63</f>
        <v/>
      </c>
    </row>
    <row r="64">
      <c r="A64" s="15" t="inlineStr">
        <is>
          <t>CANON-202604-005334</t>
        </is>
      </c>
      <c r="B64" s="15" t="inlineStr">
        <is>
          <t>2026-04-17</t>
        </is>
      </c>
      <c r="C64" s="15" t="inlineStr">
        <is>
          <t>Aurelio Thistlewood</t>
        </is>
      </c>
      <c r="D64" s="15" t="inlineStr">
        <is>
          <t>NY</t>
        </is>
      </c>
      <c r="E64" s="16" t="n">
        <v>1375000</v>
      </c>
      <c r="F64" s="16" t="n">
        <v>22063.1</v>
      </c>
      <c r="G64" s="16" t="n">
        <v>2757.89</v>
      </c>
      <c r="H64" s="16" t="n">
        <v>2757.89</v>
      </c>
      <c r="I64" s="16">
        <f>SUM(K64:T64)</f>
        <v/>
      </c>
      <c r="J64" s="16">
        <f>F64-(G64+H64+I64)</f>
        <v/>
      </c>
      <c r="K64" s="16" t="n">
        <v>1654.73</v>
      </c>
      <c r="L64" s="16" t="n">
        <v>1654.73</v>
      </c>
      <c r="M64" s="16" t="n">
        <v>1654.73</v>
      </c>
      <c r="N64" s="16" t="n">
        <v>1654.73</v>
      </c>
      <c r="O64" s="16" t="n">
        <v>1654.73</v>
      </c>
      <c r="P64" s="16" t="n">
        <v>1654.73</v>
      </c>
      <c r="Q64" s="16" t="n">
        <v>1654.73</v>
      </c>
      <c r="R64" s="16" t="n">
        <v>1654.73</v>
      </c>
      <c r="S64" s="16" t="n">
        <v>1654.73</v>
      </c>
      <c r="T64" s="16" t="n">
        <v>1654.73</v>
      </c>
      <c r="U64" s="16" t="n">
        <v>350</v>
      </c>
      <c r="V64" s="16" t="n">
        <v>250</v>
      </c>
      <c r="W64" s="16">
        <f>U64+V64</f>
        <v/>
      </c>
    </row>
    <row r="65">
      <c r="A65" s="3" t="inlineStr">
        <is>
          <t>CANON-202604-005335</t>
        </is>
      </c>
      <c r="B65" s="3" t="inlineStr">
        <is>
          <t>2026-04-22</t>
        </is>
      </c>
      <c r="C65" s="3" t="inlineStr">
        <is>
          <t>Beatrix Vandermeer</t>
        </is>
      </c>
      <c r="D65" s="3" t="inlineStr">
        <is>
          <t>TX</t>
        </is>
      </c>
      <c r="E65" s="14" t="n">
        <v>425000</v>
      </c>
      <c r="F65" s="14" t="n">
        <v>5743.96</v>
      </c>
      <c r="G65" s="14" t="n">
        <v>718</v>
      </c>
      <c r="H65" s="14" t="n">
        <v>718</v>
      </c>
      <c r="I65" s="14">
        <f>SUM(K65:T65)</f>
        <v/>
      </c>
      <c r="J65" s="14">
        <f>F65-(G65+H65+I65)</f>
        <v/>
      </c>
      <c r="K65" s="14" t="n">
        <v>430.8</v>
      </c>
      <c r="L65" s="14" t="n">
        <v>430.8</v>
      </c>
      <c r="M65" s="14" t="n">
        <v>430.8</v>
      </c>
      <c r="N65" s="14" t="n">
        <v>430.8</v>
      </c>
      <c r="O65" s="14" t="n">
        <v>430.8</v>
      </c>
      <c r="P65" s="14" t="n">
        <v>430.8</v>
      </c>
      <c r="Q65" s="14" t="n">
        <v>430.8</v>
      </c>
      <c r="R65" s="14" t="n">
        <v>430.8</v>
      </c>
      <c r="S65" s="14" t="n">
        <v>430.8</v>
      </c>
      <c r="T65" s="14" t="n">
        <v>430.8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CANON-202604-005336</t>
        </is>
      </c>
      <c r="B66" s="15" t="inlineStr">
        <is>
          <t>2026-04-11</t>
        </is>
      </c>
      <c r="C66" s="15" t="inlineStr">
        <is>
          <t>Fenwick Blackwood</t>
        </is>
      </c>
      <c r="D66" s="15" t="inlineStr">
        <is>
          <t>CA</t>
        </is>
      </c>
      <c r="E66" s="16" t="n">
        <v>965000</v>
      </c>
      <c r="F66" s="16" t="n">
        <v>19393.15</v>
      </c>
      <c r="G66" s="16" t="n">
        <v>2424.14</v>
      </c>
      <c r="H66" s="16" t="n">
        <v>2424.14</v>
      </c>
      <c r="I66" s="16">
        <f>SUM(K66:T66)</f>
        <v/>
      </c>
      <c r="J66" s="16">
        <f>F66-(G66+H66+I66)</f>
        <v/>
      </c>
      <c r="K66" s="16" t="n">
        <v>1454.49</v>
      </c>
      <c r="L66" s="16" t="n">
        <v>1454.49</v>
      </c>
      <c r="M66" s="16" t="n">
        <v>1454.49</v>
      </c>
      <c r="N66" s="16" t="n">
        <v>1454.49</v>
      </c>
      <c r="O66" s="16" t="n">
        <v>1454.49</v>
      </c>
      <c r="P66" s="16" t="n">
        <v>1454.49</v>
      </c>
      <c r="Q66" s="16" t="n">
        <v>1454.49</v>
      </c>
      <c r="R66" s="16" t="n">
        <v>1454.49</v>
      </c>
      <c r="S66" s="16" t="n">
        <v>1454.49</v>
      </c>
      <c r="T66" s="16" t="n">
        <v>1454.49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CANON-202604-005338</t>
        </is>
      </c>
      <c r="B67" s="3" t="inlineStr">
        <is>
          <t>2026-04-12</t>
        </is>
      </c>
      <c r="C67" s="3" t="inlineStr">
        <is>
          <t>Priya Montoya</t>
        </is>
      </c>
      <c r="D67" s="3" t="inlineStr">
        <is>
          <t>NY</t>
        </is>
      </c>
      <c r="E67" s="14" t="n">
        <v>1100000</v>
      </c>
      <c r="F67" s="14" t="n">
        <v>12134.7</v>
      </c>
      <c r="G67" s="14" t="n">
        <v>1516.84</v>
      </c>
      <c r="H67" s="14" t="n">
        <v>1516.84</v>
      </c>
      <c r="I67" s="14">
        <f>SUM(K67:T67)</f>
        <v/>
      </c>
      <c r="J67" s="14">
        <f>F67-(G67+H67+I67)</f>
        <v/>
      </c>
      <c r="K67" s="14" t="n">
        <v>910.1</v>
      </c>
      <c r="L67" s="14" t="n">
        <v>910.1</v>
      </c>
      <c r="M67" s="14" t="n">
        <v>910.1</v>
      </c>
      <c r="N67" s="14" t="n">
        <v>910.1</v>
      </c>
      <c r="O67" s="14" t="n">
        <v>910.1</v>
      </c>
      <c r="P67" s="14" t="n">
        <v>910.1</v>
      </c>
      <c r="Q67" s="14" t="n">
        <v>910.1</v>
      </c>
      <c r="R67" s="14" t="n">
        <v>910.1</v>
      </c>
      <c r="S67" s="14" t="n">
        <v>910.1</v>
      </c>
      <c r="T67" s="14" t="n">
        <v>910.1</v>
      </c>
      <c r="U67" s="14" t="n">
        <v>350</v>
      </c>
      <c r="V67" s="14" t="n">
        <v>250</v>
      </c>
      <c r="W67" s="14">
        <f>U67+V67</f>
        <v/>
      </c>
    </row>
    <row r="68">
      <c r="A68" s="15" t="inlineStr">
        <is>
          <t>CANON-202604-005339</t>
        </is>
      </c>
      <c r="B68" s="15" t="inlineStr">
        <is>
          <t>2026-04-24</t>
        </is>
      </c>
      <c r="C68" s="15" t="inlineStr">
        <is>
          <t>Cassius Vandermeer</t>
        </is>
      </c>
      <c r="D68" s="15" t="inlineStr">
        <is>
          <t>FL</t>
        </is>
      </c>
      <c r="E68" s="16" t="n">
        <v>700000</v>
      </c>
      <c r="F68" s="16" t="n">
        <v>10124.27</v>
      </c>
      <c r="G68" s="16" t="n">
        <v>1265.53</v>
      </c>
      <c r="H68" s="16" t="n">
        <v>1265.53</v>
      </c>
      <c r="I68" s="16">
        <f>SUM(K68:T68)</f>
        <v/>
      </c>
      <c r="J68" s="16">
        <f>F68-(G68+H68+I68)</f>
        <v/>
      </c>
      <c r="K68" s="16" t="n">
        <v>759.3200000000001</v>
      </c>
      <c r="L68" s="16" t="n">
        <v>759.3200000000001</v>
      </c>
      <c r="M68" s="16" t="n">
        <v>759.3200000000001</v>
      </c>
      <c r="N68" s="16" t="n">
        <v>759.3200000000001</v>
      </c>
      <c r="O68" s="16" t="n">
        <v>759.3200000000001</v>
      </c>
      <c r="P68" s="16" t="n">
        <v>759.3200000000001</v>
      </c>
      <c r="Q68" s="16" t="n">
        <v>759.3200000000001</v>
      </c>
      <c r="R68" s="16" t="n">
        <v>759.3200000000001</v>
      </c>
      <c r="S68" s="16" t="n">
        <v>759.3200000000001</v>
      </c>
      <c r="T68" s="16" t="n">
        <v>759.3200000000001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CANON-202604-005341</t>
        </is>
      </c>
      <c r="B69" s="3" t="inlineStr">
        <is>
          <t>2026-04-25</t>
        </is>
      </c>
      <c r="C69" s="3" t="inlineStr">
        <is>
          <t>Callum Pennington</t>
        </is>
      </c>
      <c r="D69" s="3" t="inlineStr">
        <is>
          <t>CO</t>
        </is>
      </c>
      <c r="E69" s="14" t="n">
        <v>300000</v>
      </c>
      <c r="F69" s="14" t="n">
        <v>3878.28</v>
      </c>
      <c r="G69" s="14" t="n">
        <v>484.79</v>
      </c>
      <c r="H69" s="14" t="n">
        <v>484.79</v>
      </c>
      <c r="I69" s="14">
        <f>SUM(K69:T69)</f>
        <v/>
      </c>
      <c r="J69" s="14">
        <f>F69-(G69+H69+I69)</f>
        <v/>
      </c>
      <c r="K69" s="14" t="n">
        <v>290.87</v>
      </c>
      <c r="L69" s="14" t="n">
        <v>290.87</v>
      </c>
      <c r="M69" s="14" t="n">
        <v>290.87</v>
      </c>
      <c r="N69" s="14" t="n">
        <v>290.87</v>
      </c>
      <c r="O69" s="14" t="n">
        <v>290.87</v>
      </c>
      <c r="P69" s="14" t="n">
        <v>290.87</v>
      </c>
      <c r="Q69" s="14" t="n">
        <v>290.87</v>
      </c>
      <c r="R69" s="14" t="n">
        <v>290.87</v>
      </c>
      <c r="S69" s="14" t="n">
        <v>290.87</v>
      </c>
      <c r="T69" s="14" t="n">
        <v>290.87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CANON-202604-005342</t>
        </is>
      </c>
      <c r="B70" s="15" t="inlineStr">
        <is>
          <t>2026-04-12</t>
        </is>
      </c>
      <c r="C70" s="15" t="inlineStr">
        <is>
          <t>Ramona Vandermeer</t>
        </is>
      </c>
      <c r="D70" s="15" t="inlineStr">
        <is>
          <t>FL</t>
        </is>
      </c>
      <c r="E70" s="16" t="n">
        <v>925000</v>
      </c>
      <c r="F70" s="16" t="n">
        <v>13378.49</v>
      </c>
      <c r="G70" s="16" t="n">
        <v>1672.31</v>
      </c>
      <c r="H70" s="16" t="n">
        <v>1672.31</v>
      </c>
      <c r="I70" s="16">
        <f>SUM(K70:T70)</f>
        <v/>
      </c>
      <c r="J70" s="16">
        <f>F70-(G70+H70+I70)</f>
        <v/>
      </c>
      <c r="K70" s="16" t="n">
        <v>1003.39</v>
      </c>
      <c r="L70" s="16" t="n">
        <v>1003.39</v>
      </c>
      <c r="M70" s="16" t="n">
        <v>1003.39</v>
      </c>
      <c r="N70" s="16" t="n">
        <v>1003.39</v>
      </c>
      <c r="O70" s="16" t="n">
        <v>1003.39</v>
      </c>
      <c r="P70" s="16" t="n">
        <v>1003.39</v>
      </c>
      <c r="Q70" s="16" t="n">
        <v>1003.39</v>
      </c>
      <c r="R70" s="16" t="n">
        <v>1003.39</v>
      </c>
      <c r="S70" s="16" t="n">
        <v>1003.39</v>
      </c>
      <c r="T70" s="16" t="n">
        <v>1003.39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CANON-202604-005343</t>
        </is>
      </c>
      <c r="B71" s="3" t="inlineStr">
        <is>
          <t>2026-04-10</t>
        </is>
      </c>
      <c r="C71" s="3" t="inlineStr">
        <is>
          <t>Aurelio Blackwood</t>
        </is>
      </c>
      <c r="D71" s="3" t="inlineStr">
        <is>
          <t>FL</t>
        </is>
      </c>
      <c r="E71" s="14" t="n">
        <v>1035000</v>
      </c>
      <c r="F71" s="14" t="n">
        <v>12666.45</v>
      </c>
      <c r="G71" s="14" t="n">
        <v>1583.31</v>
      </c>
      <c r="H71" s="14" t="n">
        <v>1583.31</v>
      </c>
      <c r="I71" s="14">
        <f>SUM(K71:T71)</f>
        <v/>
      </c>
      <c r="J71" s="14">
        <f>F71-(G71+H71+I71)</f>
        <v/>
      </c>
      <c r="K71" s="14" t="n">
        <v>949.98</v>
      </c>
      <c r="L71" s="14" t="n">
        <v>949.98</v>
      </c>
      <c r="M71" s="14" t="n">
        <v>949.98</v>
      </c>
      <c r="N71" s="14" t="n">
        <v>949.98</v>
      </c>
      <c r="O71" s="14" t="n">
        <v>949.98</v>
      </c>
      <c r="P71" s="14" t="n">
        <v>949.98</v>
      </c>
      <c r="Q71" s="14" t="n">
        <v>949.98</v>
      </c>
      <c r="R71" s="14" t="n">
        <v>949.98</v>
      </c>
      <c r="S71" s="14" t="n">
        <v>949.98</v>
      </c>
      <c r="T71" s="14" t="n">
        <v>949.98</v>
      </c>
      <c r="U71" s="14" t="n">
        <v>350</v>
      </c>
      <c r="V71" s="14" t="n">
        <v>250</v>
      </c>
      <c r="W71" s="14">
        <f>U71+V71</f>
        <v/>
      </c>
    </row>
    <row r="72">
      <c r="A72" s="15" t="inlineStr">
        <is>
          <t>CANON-202604-005344</t>
        </is>
      </c>
      <c r="B72" s="15" t="inlineStr">
        <is>
          <t>2026-04-27</t>
        </is>
      </c>
      <c r="C72" s="15" t="inlineStr">
        <is>
          <t>Aurelio Merriweather</t>
        </is>
      </c>
      <c r="D72" s="15" t="inlineStr">
        <is>
          <t>MI</t>
        </is>
      </c>
      <c r="E72" s="16" t="n">
        <v>440000</v>
      </c>
      <c r="F72" s="16" t="n">
        <v>8015.11</v>
      </c>
      <c r="G72" s="16" t="n">
        <v>1001.89</v>
      </c>
      <c r="H72" s="16" t="n">
        <v>1001.89</v>
      </c>
      <c r="I72" s="16">
        <f>SUM(K72:T72)</f>
        <v/>
      </c>
      <c r="J72" s="16">
        <f>F72-(G72+H72+I72)</f>
        <v/>
      </c>
      <c r="K72" s="16" t="n">
        <v>601.13</v>
      </c>
      <c r="L72" s="16" t="n">
        <v>601.13</v>
      </c>
      <c r="M72" s="16" t="n">
        <v>601.13</v>
      </c>
      <c r="N72" s="16" t="n">
        <v>601.13</v>
      </c>
      <c r="O72" s="16" t="n">
        <v>601.13</v>
      </c>
      <c r="P72" s="16" t="n">
        <v>601.13</v>
      </c>
      <c r="Q72" s="16" t="n">
        <v>601.13</v>
      </c>
      <c r="R72" s="16" t="n">
        <v>601.13</v>
      </c>
      <c r="S72" s="16" t="n">
        <v>601.13</v>
      </c>
      <c r="T72" s="16" t="n">
        <v>601.13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CANON-202604-005345</t>
        </is>
      </c>
      <c r="B73" s="3" t="inlineStr">
        <is>
          <t>2026-04-10</t>
        </is>
      </c>
      <c r="C73" s="3" t="inlineStr">
        <is>
          <t>Delphine Vasquez</t>
        </is>
      </c>
      <c r="D73" s="3" t="inlineStr">
        <is>
          <t>IA</t>
        </is>
      </c>
      <c r="E73" s="14" t="n">
        <v>845000</v>
      </c>
      <c r="F73" s="14" t="n">
        <v>9467.309999999999</v>
      </c>
      <c r="G73" s="14" t="n">
        <v>1183.41</v>
      </c>
      <c r="H73" s="14" t="n">
        <v>1183.41</v>
      </c>
      <c r="I73" s="14">
        <f>SUM(K73:T73)</f>
        <v/>
      </c>
      <c r="J73" s="14">
        <f>F73-(G73+H73+I73)</f>
        <v/>
      </c>
      <c r="K73" s="14" t="n">
        <v>710.05</v>
      </c>
      <c r="L73" s="14" t="n">
        <v>710.05</v>
      </c>
      <c r="M73" s="14" t="n">
        <v>710.05</v>
      </c>
      <c r="N73" s="14" t="n">
        <v>710.05</v>
      </c>
      <c r="O73" s="14" t="n">
        <v>710.05</v>
      </c>
      <c r="P73" s="14" t="n">
        <v>710.05</v>
      </c>
      <c r="Q73" s="14" t="n">
        <v>710.05</v>
      </c>
      <c r="R73" s="14" t="n">
        <v>710.05</v>
      </c>
      <c r="S73" s="14" t="n">
        <v>710.05</v>
      </c>
      <c r="T73" s="14" t="n">
        <v>710.05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CANON-202604-005347</t>
        </is>
      </c>
      <c r="B74" s="15" t="inlineStr">
        <is>
          <t>2026-04-29</t>
        </is>
      </c>
      <c r="C74" s="15" t="inlineStr">
        <is>
          <t>Emiliano Blackwood</t>
        </is>
      </c>
      <c r="D74" s="15" t="inlineStr">
        <is>
          <t>PA</t>
        </is>
      </c>
      <c r="E74" s="16" t="n">
        <v>1035000</v>
      </c>
      <c r="F74" s="16" t="n">
        <v>8920.040000000001</v>
      </c>
      <c r="G74" s="16" t="n">
        <v>1115.01</v>
      </c>
      <c r="H74" s="16" t="n">
        <v>1115.01</v>
      </c>
      <c r="I74" s="16">
        <f>SUM(K74:T74)</f>
        <v/>
      </c>
      <c r="J74" s="16">
        <f>F74-(G74+H74+I74)</f>
        <v/>
      </c>
      <c r="K74" s="16" t="n">
        <v>669</v>
      </c>
      <c r="L74" s="16" t="n">
        <v>669</v>
      </c>
      <c r="M74" s="16" t="n">
        <v>669</v>
      </c>
      <c r="N74" s="16" t="n">
        <v>669</v>
      </c>
      <c r="O74" s="16" t="n">
        <v>669</v>
      </c>
      <c r="P74" s="16" t="n">
        <v>669</v>
      </c>
      <c r="Q74" s="16" t="n">
        <v>669</v>
      </c>
      <c r="R74" s="16" t="n">
        <v>669</v>
      </c>
      <c r="S74" s="16" t="n">
        <v>669</v>
      </c>
      <c r="T74" s="16" t="n">
        <v>669</v>
      </c>
      <c r="U74" s="16" t="n">
        <v>350</v>
      </c>
      <c r="V74" s="16" t="n">
        <v>250</v>
      </c>
      <c r="W74" s="16">
        <f>U74+V74</f>
        <v/>
      </c>
    </row>
    <row r="75">
      <c r="A75" s="3" t="inlineStr">
        <is>
          <t>CANON-202604-005348</t>
        </is>
      </c>
      <c r="B75" s="3" t="inlineStr">
        <is>
          <t>2026-04-11</t>
        </is>
      </c>
      <c r="C75" s="3" t="inlineStr">
        <is>
          <t>Horace Underwood</t>
        </is>
      </c>
      <c r="D75" s="3" t="inlineStr">
        <is>
          <t>MA</t>
        </is>
      </c>
      <c r="E75" s="14" t="n">
        <v>1390000</v>
      </c>
      <c r="F75" s="14" t="n">
        <v>14974.46</v>
      </c>
      <c r="G75" s="14" t="n">
        <v>1871.81</v>
      </c>
      <c r="H75" s="14" t="n">
        <v>1871.81</v>
      </c>
      <c r="I75" s="14">
        <f>SUM(K75:T75)</f>
        <v/>
      </c>
      <c r="J75" s="14">
        <f>F75-(G75+H75+I75)</f>
        <v/>
      </c>
      <c r="K75" s="14" t="n">
        <v>1123.08</v>
      </c>
      <c r="L75" s="14" t="n">
        <v>1123.08</v>
      </c>
      <c r="M75" s="14" t="n">
        <v>1123.08</v>
      </c>
      <c r="N75" s="14" t="n">
        <v>1123.08</v>
      </c>
      <c r="O75" s="14" t="n">
        <v>1123.08</v>
      </c>
      <c r="P75" s="14" t="n">
        <v>1123.08</v>
      </c>
      <c r="Q75" s="14" t="n">
        <v>1123.08</v>
      </c>
      <c r="R75" s="14" t="n">
        <v>1123.08</v>
      </c>
      <c r="S75" s="14" t="n">
        <v>1123.08</v>
      </c>
      <c r="T75" s="14" t="n">
        <v>1123.08</v>
      </c>
      <c r="U75" s="14" t="n">
        <v>350</v>
      </c>
      <c r="V75" s="14" t="n">
        <v>250</v>
      </c>
      <c r="W75" s="14">
        <f>U75+V75</f>
        <v/>
      </c>
    </row>
    <row r="76">
      <c r="A76" s="15" t="inlineStr">
        <is>
          <t>CANON-202604-005349</t>
        </is>
      </c>
      <c r="B76" s="15" t="inlineStr">
        <is>
          <t>2026-04-19</t>
        </is>
      </c>
      <c r="C76" s="15" t="inlineStr">
        <is>
          <t>Lorenzo Pennington</t>
        </is>
      </c>
      <c r="D76" s="15" t="inlineStr">
        <is>
          <t>MD</t>
        </is>
      </c>
      <c r="E76" s="16" t="n">
        <v>530000</v>
      </c>
      <c r="F76" s="16" t="n">
        <v>5128.34</v>
      </c>
      <c r="G76" s="16" t="n">
        <v>641.04</v>
      </c>
      <c r="H76" s="16" t="n">
        <v>641.04</v>
      </c>
      <c r="I76" s="16">
        <f>SUM(K76:T76)</f>
        <v/>
      </c>
      <c r="J76" s="16">
        <f>F76-(G76+H76+I76)</f>
        <v/>
      </c>
      <c r="K76" s="16" t="n">
        <v>384.63</v>
      </c>
      <c r="L76" s="16" t="n">
        <v>384.63</v>
      </c>
      <c r="M76" s="16" t="n">
        <v>384.63</v>
      </c>
      <c r="N76" s="16" t="n">
        <v>384.63</v>
      </c>
      <c r="O76" s="16" t="n">
        <v>384.63</v>
      </c>
      <c r="P76" s="16" t="n">
        <v>384.63</v>
      </c>
      <c r="Q76" s="16" t="n">
        <v>384.63</v>
      </c>
      <c r="R76" s="16" t="n">
        <v>384.63</v>
      </c>
      <c r="S76" s="16" t="n">
        <v>384.63</v>
      </c>
      <c r="T76" s="16" t="n">
        <v>384.63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CANON-202604-005350</t>
        </is>
      </c>
      <c r="B77" s="3" t="inlineStr">
        <is>
          <t>2026-04-16</t>
        </is>
      </c>
      <c r="C77" s="3" t="inlineStr">
        <is>
          <t>Thaddeus Pennington</t>
        </is>
      </c>
      <c r="D77" s="3" t="inlineStr">
        <is>
          <t>WV</t>
        </is>
      </c>
      <c r="E77" s="14" t="n">
        <v>395000</v>
      </c>
      <c r="F77" s="14" t="n">
        <v>3951.43</v>
      </c>
      <c r="G77" s="14" t="n">
        <v>493.93</v>
      </c>
      <c r="H77" s="14" t="n">
        <v>493.93</v>
      </c>
      <c r="I77" s="14">
        <f>SUM(K77:T77)</f>
        <v/>
      </c>
      <c r="J77" s="14">
        <f>F77-(G77+H77+I77)</f>
        <v/>
      </c>
      <c r="K77" s="14" t="n">
        <v>296.36</v>
      </c>
      <c r="L77" s="14" t="n">
        <v>296.36</v>
      </c>
      <c r="M77" s="14" t="n">
        <v>296.36</v>
      </c>
      <c r="N77" s="14" t="n">
        <v>296.36</v>
      </c>
      <c r="O77" s="14" t="n">
        <v>296.36</v>
      </c>
      <c r="P77" s="14" t="n">
        <v>296.36</v>
      </c>
      <c r="Q77" s="14" t="n">
        <v>296.36</v>
      </c>
      <c r="R77" s="14" t="n">
        <v>296.36</v>
      </c>
      <c r="S77" s="14" t="n">
        <v>296.36</v>
      </c>
      <c r="T77" s="14" t="n">
        <v>296.36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CANON-202604-005351</t>
        </is>
      </c>
      <c r="B78" s="15" t="inlineStr">
        <is>
          <t>2026-04-26</t>
        </is>
      </c>
      <c r="C78" s="15" t="inlineStr">
        <is>
          <t>Ingrid Merriweather</t>
        </is>
      </c>
      <c r="D78" s="15" t="inlineStr">
        <is>
          <t>CA</t>
        </is>
      </c>
      <c r="E78" s="16" t="n">
        <v>540000</v>
      </c>
      <c r="F78" s="16" t="n">
        <v>7425.14</v>
      </c>
      <c r="G78" s="16" t="n">
        <v>928.14</v>
      </c>
      <c r="H78" s="16" t="n">
        <v>928.14</v>
      </c>
      <c r="I78" s="16">
        <f>SUM(K78:T78)</f>
        <v/>
      </c>
      <c r="J78" s="16">
        <f>F78-(G78+H78+I78)</f>
        <v/>
      </c>
      <c r="K78" s="16" t="n">
        <v>556.89</v>
      </c>
      <c r="L78" s="16" t="n">
        <v>556.89</v>
      </c>
      <c r="M78" s="16" t="n">
        <v>556.89</v>
      </c>
      <c r="N78" s="16" t="n">
        <v>556.89</v>
      </c>
      <c r="O78" s="16" t="n">
        <v>556.89</v>
      </c>
      <c r="P78" s="16" t="n">
        <v>556.89</v>
      </c>
      <c r="Q78" s="16" t="n">
        <v>556.89</v>
      </c>
      <c r="R78" s="16" t="n">
        <v>556.89</v>
      </c>
      <c r="S78" s="16" t="n">
        <v>556.89</v>
      </c>
      <c r="T78" s="16" t="n">
        <v>556.89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CANON-202604-005352</t>
        </is>
      </c>
      <c r="B79" s="3" t="inlineStr">
        <is>
          <t>2026-04-20</t>
        </is>
      </c>
      <c r="C79" s="3" t="inlineStr">
        <is>
          <t>Desmond Fairweather</t>
        </is>
      </c>
      <c r="D79" s="3" t="inlineStr">
        <is>
          <t>WY</t>
        </is>
      </c>
      <c r="E79" s="14" t="n">
        <v>380000</v>
      </c>
      <c r="F79" s="14" t="n">
        <v>3058.25</v>
      </c>
      <c r="G79" s="14" t="n">
        <v>382.28</v>
      </c>
      <c r="H79" s="14" t="n">
        <v>382.28</v>
      </c>
      <c r="I79" s="14">
        <f>SUM(K79:T79)</f>
        <v/>
      </c>
      <c r="J79" s="14">
        <f>F79-(G79+H79+I79)</f>
        <v/>
      </c>
      <c r="K79" s="14" t="n">
        <v>229.37</v>
      </c>
      <c r="L79" s="14" t="n">
        <v>229.37</v>
      </c>
      <c r="M79" s="14" t="n">
        <v>229.37</v>
      </c>
      <c r="N79" s="14" t="n">
        <v>229.37</v>
      </c>
      <c r="O79" s="14" t="n">
        <v>229.37</v>
      </c>
      <c r="P79" s="14" t="n">
        <v>229.37</v>
      </c>
      <c r="Q79" s="14" t="n">
        <v>229.37</v>
      </c>
      <c r="R79" s="14" t="n">
        <v>229.37</v>
      </c>
      <c r="S79" s="14" t="n">
        <v>229.37</v>
      </c>
      <c r="T79" s="14" t="n">
        <v>229.37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CANON-202604-005353</t>
        </is>
      </c>
      <c r="B80" s="15" t="inlineStr">
        <is>
          <t>2026-04-08</t>
        </is>
      </c>
      <c r="C80" s="15" t="inlineStr">
        <is>
          <t>Delphine Rourke</t>
        </is>
      </c>
      <c r="D80" s="15" t="inlineStr">
        <is>
          <t>OR</t>
        </is>
      </c>
      <c r="E80" s="16" t="n">
        <v>440000</v>
      </c>
      <c r="F80" s="16" t="n">
        <v>5843.27</v>
      </c>
      <c r="G80" s="16" t="n">
        <v>730.41</v>
      </c>
      <c r="H80" s="16" t="n">
        <v>730.41</v>
      </c>
      <c r="I80" s="16">
        <f>SUM(K80:T80)</f>
        <v/>
      </c>
      <c r="J80" s="16">
        <f>F80-(G80+H80+I80)</f>
        <v/>
      </c>
      <c r="K80" s="16" t="n">
        <v>438.25</v>
      </c>
      <c r="L80" s="16" t="n">
        <v>438.25</v>
      </c>
      <c r="M80" s="16" t="n">
        <v>438.25</v>
      </c>
      <c r="N80" s="16" t="n">
        <v>438.25</v>
      </c>
      <c r="O80" s="16" t="n">
        <v>438.25</v>
      </c>
      <c r="P80" s="16" t="n">
        <v>438.25</v>
      </c>
      <c r="Q80" s="16" t="n">
        <v>438.25</v>
      </c>
      <c r="R80" s="16" t="n">
        <v>438.25</v>
      </c>
      <c r="S80" s="16" t="n">
        <v>438.25</v>
      </c>
      <c r="T80" s="16" t="n">
        <v>438.25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CANON-202604-005354</t>
        </is>
      </c>
      <c r="B81" s="3" t="inlineStr">
        <is>
          <t>2026-04-13</t>
        </is>
      </c>
      <c r="C81" s="3" t="inlineStr">
        <is>
          <t>Priya Larsson</t>
        </is>
      </c>
      <c r="D81" s="3" t="inlineStr">
        <is>
          <t>MD</t>
        </is>
      </c>
      <c r="E81" s="14" t="n">
        <v>1865000</v>
      </c>
      <c r="F81" s="14" t="n">
        <v>9439.41</v>
      </c>
      <c r="G81" s="14" t="n">
        <v>1179.93</v>
      </c>
      <c r="H81" s="14" t="n">
        <v>1179.93</v>
      </c>
      <c r="I81" s="14">
        <f>SUM(K81:T81)</f>
        <v/>
      </c>
      <c r="J81" s="14">
        <f>F81-(G81+H81+I81)</f>
        <v/>
      </c>
      <c r="K81" s="14" t="n">
        <v>707.96</v>
      </c>
      <c r="L81" s="14" t="n">
        <v>707.96</v>
      </c>
      <c r="M81" s="14" t="n">
        <v>707.96</v>
      </c>
      <c r="N81" s="14" t="n">
        <v>707.96</v>
      </c>
      <c r="O81" s="14" t="n">
        <v>707.96</v>
      </c>
      <c r="P81" s="14" t="n">
        <v>707.96</v>
      </c>
      <c r="Q81" s="14" t="n">
        <v>707.96</v>
      </c>
      <c r="R81" s="14" t="n">
        <v>707.96</v>
      </c>
      <c r="S81" s="14" t="n">
        <v>707.96</v>
      </c>
      <c r="T81" s="14" t="n">
        <v>707.96</v>
      </c>
      <c r="U81" s="14" t="n">
        <v>350</v>
      </c>
      <c r="V81" s="14" t="n">
        <v>250</v>
      </c>
      <c r="W81" s="14">
        <f>U81+V81</f>
        <v/>
      </c>
    </row>
    <row r="82">
      <c r="A82" s="15" t="inlineStr">
        <is>
          <t>CANON-202604-005355</t>
        </is>
      </c>
      <c r="B82" s="15" t="inlineStr">
        <is>
          <t>2026-04-10</t>
        </is>
      </c>
      <c r="C82" s="15" t="inlineStr">
        <is>
          <t>Ottilie Blackwood</t>
        </is>
      </c>
      <c r="D82" s="15" t="inlineStr">
        <is>
          <t>GA</t>
        </is>
      </c>
      <c r="E82" s="16" t="n">
        <v>175000</v>
      </c>
      <c r="F82" s="16" t="n">
        <v>2825.58</v>
      </c>
      <c r="G82" s="16" t="n">
        <v>353.2</v>
      </c>
      <c r="H82" s="16" t="n">
        <v>353.2</v>
      </c>
      <c r="I82" s="16">
        <f>SUM(K82:T82)</f>
        <v/>
      </c>
      <c r="J82" s="16">
        <f>F82-(G82+H82+I82)</f>
        <v/>
      </c>
      <c r="K82" s="16" t="n">
        <v>211.92</v>
      </c>
      <c r="L82" s="16" t="n">
        <v>211.92</v>
      </c>
      <c r="M82" s="16" t="n">
        <v>211.92</v>
      </c>
      <c r="N82" s="16" t="n">
        <v>211.92</v>
      </c>
      <c r="O82" s="16" t="n">
        <v>211.92</v>
      </c>
      <c r="P82" s="16" t="n">
        <v>211.92</v>
      </c>
      <c r="Q82" s="16" t="n">
        <v>211.92</v>
      </c>
      <c r="R82" s="16" t="n">
        <v>211.92</v>
      </c>
      <c r="S82" s="16" t="n">
        <v>211.92</v>
      </c>
      <c r="T82" s="16" t="n">
        <v>211.92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CANON-202604-005356</t>
        </is>
      </c>
      <c r="B83" s="3" t="inlineStr">
        <is>
          <t>2026-04-07</t>
        </is>
      </c>
      <c r="C83" s="3" t="inlineStr">
        <is>
          <t>Thaddeus Underwood</t>
        </is>
      </c>
      <c r="D83" s="3" t="inlineStr">
        <is>
          <t>PA</t>
        </is>
      </c>
      <c r="E83" s="14" t="n">
        <v>745000</v>
      </c>
      <c r="F83" s="14" t="n">
        <v>7588.1</v>
      </c>
      <c r="G83" s="14" t="n">
        <v>948.51</v>
      </c>
      <c r="H83" s="14" t="n">
        <v>948.51</v>
      </c>
      <c r="I83" s="14">
        <f>SUM(K83:T83)</f>
        <v/>
      </c>
      <c r="J83" s="14">
        <f>F83-(G83+H83+I83)</f>
        <v/>
      </c>
      <c r="K83" s="14" t="n">
        <v>569.11</v>
      </c>
      <c r="L83" s="14" t="n">
        <v>569.11</v>
      </c>
      <c r="M83" s="14" t="n">
        <v>569.11</v>
      </c>
      <c r="N83" s="14" t="n">
        <v>569.11</v>
      </c>
      <c r="O83" s="14" t="n">
        <v>569.11</v>
      </c>
      <c r="P83" s="14" t="n">
        <v>569.11</v>
      </c>
      <c r="Q83" s="14" t="n">
        <v>569.11</v>
      </c>
      <c r="R83" s="14" t="n">
        <v>569.11</v>
      </c>
      <c r="S83" s="14" t="n">
        <v>569.11</v>
      </c>
      <c r="T83" s="14" t="n">
        <v>569.11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CANON-202604-005357</t>
        </is>
      </c>
      <c r="B84" s="15" t="inlineStr">
        <is>
          <t>2026-04-30</t>
        </is>
      </c>
      <c r="C84" s="15" t="inlineStr">
        <is>
          <t>Leopold Nakashima</t>
        </is>
      </c>
      <c r="D84" s="15" t="inlineStr">
        <is>
          <t>HI</t>
        </is>
      </c>
      <c r="E84" s="16" t="n">
        <v>385000</v>
      </c>
      <c r="F84" s="16" t="n">
        <v>5882.06</v>
      </c>
      <c r="G84" s="16" t="n">
        <v>735.26</v>
      </c>
      <c r="H84" s="16" t="n">
        <v>735.26</v>
      </c>
      <c r="I84" s="16">
        <f>SUM(K84:T84)</f>
        <v/>
      </c>
      <c r="J84" s="16">
        <f>F84-(G84+H84+I84)</f>
        <v/>
      </c>
      <c r="K84" s="16" t="n">
        <v>441.15</v>
      </c>
      <c r="L84" s="16" t="n">
        <v>441.15</v>
      </c>
      <c r="M84" s="16" t="n">
        <v>441.15</v>
      </c>
      <c r="N84" s="16" t="n">
        <v>441.15</v>
      </c>
      <c r="O84" s="16" t="n">
        <v>441.15</v>
      </c>
      <c r="P84" s="16" t="n">
        <v>441.15</v>
      </c>
      <c r="Q84" s="16" t="n">
        <v>441.15</v>
      </c>
      <c r="R84" s="16" t="n">
        <v>441.15</v>
      </c>
      <c r="S84" s="16" t="n">
        <v>441.15</v>
      </c>
      <c r="T84" s="16" t="n">
        <v>441.15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CANON-202604-005360</t>
        </is>
      </c>
      <c r="B85" s="3" t="inlineStr">
        <is>
          <t>2026-04-12</t>
        </is>
      </c>
      <c r="C85" s="3" t="inlineStr">
        <is>
          <t>Fitzgerald Kingsford</t>
        </is>
      </c>
      <c r="D85" s="3" t="inlineStr">
        <is>
          <t>TX</t>
        </is>
      </c>
      <c r="E85" s="14" t="n">
        <v>545000</v>
      </c>
      <c r="F85" s="14" t="n">
        <v>6383.69</v>
      </c>
      <c r="G85" s="14" t="n">
        <v>797.96</v>
      </c>
      <c r="H85" s="14" t="n">
        <v>797.96</v>
      </c>
      <c r="I85" s="14">
        <f>SUM(K85:T85)</f>
        <v/>
      </c>
      <c r="J85" s="14">
        <f>F85-(G85+H85+I85)</f>
        <v/>
      </c>
      <c r="K85" s="14" t="n">
        <v>478.78</v>
      </c>
      <c r="L85" s="14" t="n">
        <v>478.78</v>
      </c>
      <c r="M85" s="14" t="n">
        <v>478.78</v>
      </c>
      <c r="N85" s="14" t="n">
        <v>478.78</v>
      </c>
      <c r="O85" s="14" t="n">
        <v>478.78</v>
      </c>
      <c r="P85" s="14" t="n">
        <v>478.78</v>
      </c>
      <c r="Q85" s="14" t="n">
        <v>478.78</v>
      </c>
      <c r="R85" s="14" t="n">
        <v>478.78</v>
      </c>
      <c r="S85" s="14" t="n">
        <v>478.78</v>
      </c>
      <c r="T85" s="14" t="n">
        <v>478.78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CANON-202604-005361</t>
        </is>
      </c>
      <c r="B86" s="15" t="inlineStr">
        <is>
          <t>2026-04-03</t>
        </is>
      </c>
      <c r="C86" s="15" t="inlineStr">
        <is>
          <t>Thaddeus Fairweather</t>
        </is>
      </c>
      <c r="D86" s="15" t="inlineStr">
        <is>
          <t>MI</t>
        </is>
      </c>
      <c r="E86" s="16" t="n">
        <v>460000</v>
      </c>
      <c r="F86" s="16" t="n">
        <v>8379.43</v>
      </c>
      <c r="G86" s="16" t="n">
        <v>1047.43</v>
      </c>
      <c r="H86" s="16" t="n">
        <v>1047.43</v>
      </c>
      <c r="I86" s="16">
        <f>SUM(K86:T86)</f>
        <v/>
      </c>
      <c r="J86" s="16">
        <f>F86-(G86+H86+I86)</f>
        <v/>
      </c>
      <c r="K86" s="16" t="n">
        <v>628.46</v>
      </c>
      <c r="L86" s="16" t="n">
        <v>628.46</v>
      </c>
      <c r="M86" s="16" t="n">
        <v>628.46</v>
      </c>
      <c r="N86" s="16" t="n">
        <v>628.46</v>
      </c>
      <c r="O86" s="16" t="n">
        <v>628.46</v>
      </c>
      <c r="P86" s="16" t="n">
        <v>628.46</v>
      </c>
      <c r="Q86" s="16" t="n">
        <v>628.46</v>
      </c>
      <c r="R86" s="16" t="n">
        <v>628.46</v>
      </c>
      <c r="S86" s="16" t="n">
        <v>628.46</v>
      </c>
      <c r="T86" s="16" t="n">
        <v>628.46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CANON-202604-005362</t>
        </is>
      </c>
      <c r="B87" s="3" t="inlineStr">
        <is>
          <t>2026-04-04</t>
        </is>
      </c>
      <c r="C87" s="3" t="inlineStr">
        <is>
          <t>Leopold Larsson</t>
        </is>
      </c>
      <c r="D87" s="3" t="inlineStr">
        <is>
          <t>VT</t>
        </is>
      </c>
      <c r="E87" s="14" t="n">
        <v>280000</v>
      </c>
      <c r="F87" s="14" t="n">
        <v>2569.35</v>
      </c>
      <c r="G87" s="14" t="n">
        <v>321.17</v>
      </c>
      <c r="H87" s="14" t="n">
        <v>321.17</v>
      </c>
      <c r="I87" s="14">
        <f>SUM(K87:T87)</f>
        <v/>
      </c>
      <c r="J87" s="14">
        <f>F87-(G87+H87+I87)</f>
        <v/>
      </c>
      <c r="K87" s="14" t="n">
        <v>192.7</v>
      </c>
      <c r="L87" s="14" t="n">
        <v>192.7</v>
      </c>
      <c r="M87" s="14" t="n">
        <v>192.7</v>
      </c>
      <c r="N87" s="14" t="n">
        <v>192.7</v>
      </c>
      <c r="O87" s="14" t="n">
        <v>192.7</v>
      </c>
      <c r="P87" s="14" t="n">
        <v>192.7</v>
      </c>
      <c r="Q87" s="14" t="n">
        <v>192.7</v>
      </c>
      <c r="R87" s="14" t="n">
        <v>192.7</v>
      </c>
      <c r="S87" s="14" t="n">
        <v>192.7</v>
      </c>
      <c r="T87" s="14" t="n">
        <v>192.7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CANON-202604-005364</t>
        </is>
      </c>
      <c r="B88" s="15" t="inlineStr">
        <is>
          <t>2026-04-26</t>
        </is>
      </c>
      <c r="C88" s="15" t="inlineStr">
        <is>
          <t>Saoirse Castellanos</t>
        </is>
      </c>
      <c r="D88" s="15" t="inlineStr">
        <is>
          <t>CA</t>
        </is>
      </c>
      <c r="E88" s="16" t="n">
        <v>370000</v>
      </c>
      <c r="F88" s="16" t="n">
        <v>9001.129999999999</v>
      </c>
      <c r="G88" s="16" t="n">
        <v>1125.14</v>
      </c>
      <c r="H88" s="16" t="n">
        <v>1125.14</v>
      </c>
      <c r="I88" s="16">
        <f>SUM(K88:T88)</f>
        <v/>
      </c>
      <c r="J88" s="16">
        <f>F88-(G88+H88+I88)</f>
        <v/>
      </c>
      <c r="K88" s="16" t="n">
        <v>675.08</v>
      </c>
      <c r="L88" s="16" t="n">
        <v>675.08</v>
      </c>
      <c r="M88" s="16" t="n">
        <v>675.08</v>
      </c>
      <c r="N88" s="16" t="n">
        <v>675.08</v>
      </c>
      <c r="O88" s="16" t="n">
        <v>675.08</v>
      </c>
      <c r="P88" s="16" t="n">
        <v>675.08</v>
      </c>
      <c r="Q88" s="16" t="n">
        <v>675.08</v>
      </c>
      <c r="R88" s="16" t="n">
        <v>675.08</v>
      </c>
      <c r="S88" s="16" t="n">
        <v>675.08</v>
      </c>
      <c r="T88" s="16" t="n">
        <v>675.08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CANON-202604-005365</t>
        </is>
      </c>
      <c r="B89" s="3" t="inlineStr">
        <is>
          <t>2026-04-25</t>
        </is>
      </c>
      <c r="C89" s="3" t="inlineStr">
        <is>
          <t>Priya Harrington</t>
        </is>
      </c>
      <c r="D89" s="3" t="inlineStr">
        <is>
          <t>NY</t>
        </is>
      </c>
      <c r="E89" s="14" t="n">
        <v>895000</v>
      </c>
      <c r="F89" s="14" t="n">
        <v>11668.37</v>
      </c>
      <c r="G89" s="14" t="n">
        <v>1458.55</v>
      </c>
      <c r="H89" s="14" t="n">
        <v>1458.55</v>
      </c>
      <c r="I89" s="14">
        <f>SUM(K89:T89)</f>
        <v/>
      </c>
      <c r="J89" s="14">
        <f>F89-(G89+H89+I89)</f>
        <v/>
      </c>
      <c r="K89" s="14" t="n">
        <v>875.13</v>
      </c>
      <c r="L89" s="14" t="n">
        <v>875.13</v>
      </c>
      <c r="M89" s="14" t="n">
        <v>875.13</v>
      </c>
      <c r="N89" s="14" t="n">
        <v>875.13</v>
      </c>
      <c r="O89" s="14" t="n">
        <v>875.13</v>
      </c>
      <c r="P89" s="14" t="n">
        <v>875.13</v>
      </c>
      <c r="Q89" s="14" t="n">
        <v>875.13</v>
      </c>
      <c r="R89" s="14" t="n">
        <v>875.13</v>
      </c>
      <c r="S89" s="14" t="n">
        <v>875.13</v>
      </c>
      <c r="T89" s="14" t="n">
        <v>875.13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CANON-202604-005366</t>
        </is>
      </c>
      <c r="B90" s="15" t="inlineStr">
        <is>
          <t>2026-04-22</t>
        </is>
      </c>
      <c r="C90" s="15" t="inlineStr">
        <is>
          <t>Ingrid Rourke</t>
        </is>
      </c>
      <c r="D90" s="15" t="inlineStr">
        <is>
          <t>NY</t>
        </is>
      </c>
      <c r="E90" s="16" t="n">
        <v>480000</v>
      </c>
      <c r="F90" s="16" t="n">
        <v>7220.65</v>
      </c>
      <c r="G90" s="16" t="n">
        <v>902.58</v>
      </c>
      <c r="H90" s="16" t="n">
        <v>902.58</v>
      </c>
      <c r="I90" s="16">
        <f>SUM(K90:T90)</f>
        <v/>
      </c>
      <c r="J90" s="16">
        <f>F90-(G90+H90+I90)</f>
        <v/>
      </c>
      <c r="K90" s="16" t="n">
        <v>541.55</v>
      </c>
      <c r="L90" s="16" t="n">
        <v>541.55</v>
      </c>
      <c r="M90" s="16" t="n">
        <v>541.55</v>
      </c>
      <c r="N90" s="16" t="n">
        <v>541.55</v>
      </c>
      <c r="O90" s="16" t="n">
        <v>541.55</v>
      </c>
      <c r="P90" s="16" t="n">
        <v>541.55</v>
      </c>
      <c r="Q90" s="16" t="n">
        <v>541.55</v>
      </c>
      <c r="R90" s="16" t="n">
        <v>541.55</v>
      </c>
      <c r="S90" s="16" t="n">
        <v>541.55</v>
      </c>
      <c r="T90" s="16" t="n">
        <v>541.55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CANON-202604-005367</t>
        </is>
      </c>
      <c r="B91" s="3" t="inlineStr">
        <is>
          <t>2026-04-12</t>
        </is>
      </c>
      <c r="C91" s="3" t="inlineStr">
        <is>
          <t>Saoirse Blackwood</t>
        </is>
      </c>
      <c r="D91" s="3" t="inlineStr">
        <is>
          <t>RI</t>
        </is>
      </c>
      <c r="E91" s="14" t="n">
        <v>575000</v>
      </c>
      <c r="F91" s="14" t="n">
        <v>8023.53</v>
      </c>
      <c r="G91" s="14" t="n">
        <v>1002.94</v>
      </c>
      <c r="H91" s="14" t="n">
        <v>1002.94</v>
      </c>
      <c r="I91" s="14">
        <f>SUM(K91:T91)</f>
        <v/>
      </c>
      <c r="J91" s="14">
        <f>F91-(G91+H91+I91)</f>
        <v/>
      </c>
      <c r="K91" s="14" t="n">
        <v>601.76</v>
      </c>
      <c r="L91" s="14" t="n">
        <v>601.76</v>
      </c>
      <c r="M91" s="14" t="n">
        <v>601.76</v>
      </c>
      <c r="N91" s="14" t="n">
        <v>601.76</v>
      </c>
      <c r="O91" s="14" t="n">
        <v>601.76</v>
      </c>
      <c r="P91" s="14" t="n">
        <v>601.76</v>
      </c>
      <c r="Q91" s="14" t="n">
        <v>601.76</v>
      </c>
      <c r="R91" s="14" t="n">
        <v>601.76</v>
      </c>
      <c r="S91" s="14" t="n">
        <v>601.76</v>
      </c>
      <c r="T91" s="14" t="n">
        <v>601.76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CANON-202604-005368</t>
        </is>
      </c>
      <c r="B92" s="15" t="inlineStr">
        <is>
          <t>2026-04-04</t>
        </is>
      </c>
      <c r="C92" s="15" t="inlineStr">
        <is>
          <t>Ramona Castellanos</t>
        </is>
      </c>
      <c r="D92" s="15" t="inlineStr">
        <is>
          <t>FL</t>
        </is>
      </c>
      <c r="E92" s="16" t="n">
        <v>1445000</v>
      </c>
      <c r="F92" s="16" t="n">
        <v>25722.31</v>
      </c>
      <c r="G92" s="16" t="n">
        <v>3215.29</v>
      </c>
      <c r="H92" s="16" t="n">
        <v>3215.29</v>
      </c>
      <c r="I92" s="16">
        <f>SUM(K92:T92)</f>
        <v/>
      </c>
      <c r="J92" s="16">
        <f>F92-(G92+H92+I92)</f>
        <v/>
      </c>
      <c r="K92" s="16" t="n">
        <v>1929.17</v>
      </c>
      <c r="L92" s="16" t="n">
        <v>1929.17</v>
      </c>
      <c r="M92" s="16" t="n">
        <v>1929.17</v>
      </c>
      <c r="N92" s="16" t="n">
        <v>1929.17</v>
      </c>
      <c r="O92" s="16" t="n">
        <v>1929.17</v>
      </c>
      <c r="P92" s="16" t="n">
        <v>1929.17</v>
      </c>
      <c r="Q92" s="16" t="n">
        <v>1929.17</v>
      </c>
      <c r="R92" s="16" t="n">
        <v>1929.17</v>
      </c>
      <c r="S92" s="16" t="n">
        <v>1929.17</v>
      </c>
      <c r="T92" s="16" t="n">
        <v>1929.17</v>
      </c>
      <c r="U92" s="16" t="n">
        <v>350</v>
      </c>
      <c r="V92" s="16" t="n">
        <v>250</v>
      </c>
      <c r="W92" s="16">
        <f>U92+V92</f>
        <v/>
      </c>
    </row>
    <row r="93">
      <c r="A93" s="3" t="inlineStr">
        <is>
          <t>CANON-202604-005369</t>
        </is>
      </c>
      <c r="B93" s="3" t="inlineStr">
        <is>
          <t>2026-04-29</t>
        </is>
      </c>
      <c r="C93" s="3" t="inlineStr">
        <is>
          <t>Ingrid Underwood</t>
        </is>
      </c>
      <c r="D93" s="3" t="inlineStr">
        <is>
          <t>CA</t>
        </is>
      </c>
      <c r="E93" s="14" t="n">
        <v>1200000</v>
      </c>
      <c r="F93" s="14" t="n">
        <v>13961.8</v>
      </c>
      <c r="G93" s="14" t="n">
        <v>1745.22</v>
      </c>
      <c r="H93" s="14" t="n">
        <v>1745.22</v>
      </c>
      <c r="I93" s="14">
        <f>SUM(K93:T93)</f>
        <v/>
      </c>
      <c r="J93" s="14">
        <f>F93-(G93+H93+I93)</f>
        <v/>
      </c>
      <c r="K93" s="14" t="n">
        <v>1047.13</v>
      </c>
      <c r="L93" s="14" t="n">
        <v>1047.13</v>
      </c>
      <c r="M93" s="14" t="n">
        <v>1047.13</v>
      </c>
      <c r="N93" s="14" t="n">
        <v>1047.13</v>
      </c>
      <c r="O93" s="14" t="n">
        <v>1047.13</v>
      </c>
      <c r="P93" s="14" t="n">
        <v>1047.13</v>
      </c>
      <c r="Q93" s="14" t="n">
        <v>1047.13</v>
      </c>
      <c r="R93" s="14" t="n">
        <v>1047.13</v>
      </c>
      <c r="S93" s="14" t="n">
        <v>1047.13</v>
      </c>
      <c r="T93" s="14" t="n">
        <v>1047.13</v>
      </c>
      <c r="U93" s="14" t="n">
        <v>350</v>
      </c>
      <c r="V93" s="14" t="n">
        <v>250</v>
      </c>
      <c r="W93" s="14">
        <f>U93+V93</f>
        <v/>
      </c>
    </row>
    <row r="94">
      <c r="A94" s="15" t="inlineStr">
        <is>
          <t>CANON-202604-005370</t>
        </is>
      </c>
      <c r="B94" s="15" t="inlineStr">
        <is>
          <t>2026-04-17</t>
        </is>
      </c>
      <c r="C94" s="15" t="inlineStr">
        <is>
          <t>Aurelio Merriweather</t>
        </is>
      </c>
      <c r="D94" s="15" t="inlineStr">
        <is>
          <t>PA</t>
        </is>
      </c>
      <c r="E94" s="16" t="n">
        <v>760000</v>
      </c>
      <c r="F94" s="16" t="n">
        <v>7740.88</v>
      </c>
      <c r="G94" s="16" t="n">
        <v>967.61</v>
      </c>
      <c r="H94" s="16" t="n">
        <v>967.61</v>
      </c>
      <c r="I94" s="16">
        <f>SUM(K94:T94)</f>
        <v/>
      </c>
      <c r="J94" s="16">
        <f>F94-(G94+H94+I94)</f>
        <v/>
      </c>
      <c r="K94" s="16" t="n">
        <v>580.5700000000001</v>
      </c>
      <c r="L94" s="16" t="n">
        <v>580.5700000000001</v>
      </c>
      <c r="M94" s="16" t="n">
        <v>580.5700000000001</v>
      </c>
      <c r="N94" s="16" t="n">
        <v>580.5700000000001</v>
      </c>
      <c r="O94" s="16" t="n">
        <v>580.5700000000001</v>
      </c>
      <c r="P94" s="16" t="n">
        <v>580.5700000000001</v>
      </c>
      <c r="Q94" s="16" t="n">
        <v>580.5700000000001</v>
      </c>
      <c r="R94" s="16" t="n">
        <v>580.5700000000001</v>
      </c>
      <c r="S94" s="16" t="n">
        <v>580.5700000000001</v>
      </c>
      <c r="T94" s="16" t="n">
        <v>580.5700000000001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CANON-202604-005371</t>
        </is>
      </c>
      <c r="B95" s="3" t="inlineStr">
        <is>
          <t>2026-04-27</t>
        </is>
      </c>
      <c r="C95" s="3" t="inlineStr">
        <is>
          <t>Beatrix Ashcombe</t>
        </is>
      </c>
      <c r="D95" s="3" t="inlineStr">
        <is>
          <t>SC</t>
        </is>
      </c>
      <c r="E95" s="14" t="n">
        <v>470000</v>
      </c>
      <c r="F95" s="14" t="n">
        <v>10502.22</v>
      </c>
      <c r="G95" s="14" t="n">
        <v>1312.78</v>
      </c>
      <c r="H95" s="14" t="n">
        <v>1312.78</v>
      </c>
      <c r="I95" s="14">
        <f>SUM(K95:T95)</f>
        <v/>
      </c>
      <c r="J95" s="14">
        <f>F95-(G95+H95+I95)</f>
        <v/>
      </c>
      <c r="K95" s="14" t="n">
        <v>787.67</v>
      </c>
      <c r="L95" s="14" t="n">
        <v>787.67</v>
      </c>
      <c r="M95" s="14" t="n">
        <v>787.67</v>
      </c>
      <c r="N95" s="14" t="n">
        <v>787.67</v>
      </c>
      <c r="O95" s="14" t="n">
        <v>787.67</v>
      </c>
      <c r="P95" s="14" t="n">
        <v>787.67</v>
      </c>
      <c r="Q95" s="14" t="n">
        <v>787.67</v>
      </c>
      <c r="R95" s="14" t="n">
        <v>787.67</v>
      </c>
      <c r="S95" s="14" t="n">
        <v>787.67</v>
      </c>
      <c r="T95" s="14" t="n">
        <v>787.67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CANON-202604-005372</t>
        </is>
      </c>
      <c r="B96" s="15" t="inlineStr">
        <is>
          <t>2026-04-27</t>
        </is>
      </c>
      <c r="C96" s="15" t="inlineStr">
        <is>
          <t>Fitzgerald Kingsford</t>
        </is>
      </c>
      <c r="D96" s="15" t="inlineStr">
        <is>
          <t>ND</t>
        </is>
      </c>
      <c r="E96" s="16" t="n">
        <v>345000</v>
      </c>
      <c r="F96" s="16" t="n">
        <v>4135.66</v>
      </c>
      <c r="G96" s="16" t="n">
        <v>516.96</v>
      </c>
      <c r="H96" s="16" t="n">
        <v>516.96</v>
      </c>
      <c r="I96" s="16">
        <f>SUM(K96:T96)</f>
        <v/>
      </c>
      <c r="J96" s="16">
        <f>F96-(G96+H96+I96)</f>
        <v/>
      </c>
      <c r="K96" s="16" t="n">
        <v>310.17</v>
      </c>
      <c r="L96" s="16" t="n">
        <v>310.17</v>
      </c>
      <c r="M96" s="16" t="n">
        <v>310.17</v>
      </c>
      <c r="N96" s="16" t="n">
        <v>310.17</v>
      </c>
      <c r="O96" s="16" t="n">
        <v>310.17</v>
      </c>
      <c r="P96" s="16" t="n">
        <v>310.17</v>
      </c>
      <c r="Q96" s="16" t="n">
        <v>310.17</v>
      </c>
      <c r="R96" s="16" t="n">
        <v>310.17</v>
      </c>
      <c r="S96" s="16" t="n">
        <v>310.17</v>
      </c>
      <c r="T96" s="16" t="n">
        <v>310.17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CANON-202604-005374</t>
        </is>
      </c>
      <c r="B97" s="3" t="inlineStr">
        <is>
          <t>2026-04-05</t>
        </is>
      </c>
      <c r="C97" s="3" t="inlineStr">
        <is>
          <t>Anouk Ashcombe</t>
        </is>
      </c>
      <c r="D97" s="3" t="inlineStr">
        <is>
          <t>TX</t>
        </is>
      </c>
      <c r="E97" s="14" t="n">
        <v>725000</v>
      </c>
      <c r="F97" s="14" t="n">
        <v>8492.059999999999</v>
      </c>
      <c r="G97" s="14" t="n">
        <v>1061.51</v>
      </c>
      <c r="H97" s="14" t="n">
        <v>1061.51</v>
      </c>
      <c r="I97" s="14">
        <f>SUM(K97:T97)</f>
        <v/>
      </c>
      <c r="J97" s="14">
        <f>F97-(G97+H97+I97)</f>
        <v/>
      </c>
      <c r="K97" s="14" t="n">
        <v>636.9</v>
      </c>
      <c r="L97" s="14" t="n">
        <v>636.9</v>
      </c>
      <c r="M97" s="14" t="n">
        <v>636.9</v>
      </c>
      <c r="N97" s="14" t="n">
        <v>636.9</v>
      </c>
      <c r="O97" s="14" t="n">
        <v>636.9</v>
      </c>
      <c r="P97" s="14" t="n">
        <v>636.9</v>
      </c>
      <c r="Q97" s="14" t="n">
        <v>636.9</v>
      </c>
      <c r="R97" s="14" t="n">
        <v>636.9</v>
      </c>
      <c r="S97" s="14" t="n">
        <v>636.9</v>
      </c>
      <c r="T97" s="14" t="n">
        <v>636.9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CANON-202604-005375</t>
        </is>
      </c>
      <c r="B98" s="15" t="inlineStr">
        <is>
          <t>2026-04-28</t>
        </is>
      </c>
      <c r="C98" s="15" t="inlineStr">
        <is>
          <t>Lorenzo Delacroix</t>
        </is>
      </c>
      <c r="D98" s="15" t="inlineStr">
        <is>
          <t>CT</t>
        </is>
      </c>
      <c r="E98" s="16" t="n">
        <v>410000</v>
      </c>
      <c r="F98" s="16" t="n">
        <v>5396.68</v>
      </c>
      <c r="G98" s="16" t="n">
        <v>674.59</v>
      </c>
      <c r="H98" s="16" t="n">
        <v>674.59</v>
      </c>
      <c r="I98" s="16">
        <f>SUM(K98:T98)</f>
        <v/>
      </c>
      <c r="J98" s="16">
        <f>F98-(G98+H98+I98)</f>
        <v/>
      </c>
      <c r="K98" s="16" t="n">
        <v>404.75</v>
      </c>
      <c r="L98" s="16" t="n">
        <v>404.75</v>
      </c>
      <c r="M98" s="16" t="n">
        <v>404.75</v>
      </c>
      <c r="N98" s="16" t="n">
        <v>404.75</v>
      </c>
      <c r="O98" s="16" t="n">
        <v>404.75</v>
      </c>
      <c r="P98" s="16" t="n">
        <v>404.75</v>
      </c>
      <c r="Q98" s="16" t="n">
        <v>404.75</v>
      </c>
      <c r="R98" s="16" t="n">
        <v>404.75</v>
      </c>
      <c r="S98" s="16" t="n">
        <v>404.75</v>
      </c>
      <c r="T98" s="16" t="n">
        <v>404.75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CANON-202604-005376</t>
        </is>
      </c>
      <c r="B99" s="3" t="inlineStr">
        <is>
          <t>2026-04-19</t>
        </is>
      </c>
      <c r="C99" s="3" t="inlineStr">
        <is>
          <t>Callum Ashcombe</t>
        </is>
      </c>
      <c r="D99" s="3" t="inlineStr">
        <is>
          <t>NY</t>
        </is>
      </c>
      <c r="E99" s="14" t="n">
        <v>365000</v>
      </c>
      <c r="F99" s="14" t="n">
        <v>3514.05</v>
      </c>
      <c r="G99" s="14" t="n">
        <v>439.26</v>
      </c>
      <c r="H99" s="14" t="n">
        <v>439.26</v>
      </c>
      <c r="I99" s="14">
        <f>SUM(K99:T99)</f>
        <v/>
      </c>
      <c r="J99" s="14">
        <f>F99-(G99+H99+I99)</f>
        <v/>
      </c>
      <c r="K99" s="14" t="n">
        <v>263.55</v>
      </c>
      <c r="L99" s="14" t="n">
        <v>263.55</v>
      </c>
      <c r="M99" s="14" t="n">
        <v>263.55</v>
      </c>
      <c r="N99" s="14" t="n">
        <v>263.55</v>
      </c>
      <c r="O99" s="14" t="n">
        <v>263.55</v>
      </c>
      <c r="P99" s="14" t="n">
        <v>263.55</v>
      </c>
      <c r="Q99" s="14" t="n">
        <v>263.55</v>
      </c>
      <c r="R99" s="14" t="n">
        <v>263.55</v>
      </c>
      <c r="S99" s="14" t="n">
        <v>263.55</v>
      </c>
      <c r="T99" s="14" t="n">
        <v>263.55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CANON-202604-005378</t>
        </is>
      </c>
      <c r="B100" s="15" t="inlineStr">
        <is>
          <t>2026-04-29</t>
        </is>
      </c>
      <c r="C100" s="15" t="inlineStr">
        <is>
          <t>Ingrid Delacroix</t>
        </is>
      </c>
      <c r="D100" s="15" t="inlineStr">
        <is>
          <t>KS</t>
        </is>
      </c>
      <c r="E100" s="16" t="n">
        <v>805000</v>
      </c>
      <c r="F100" s="16" t="n">
        <v>7953.25</v>
      </c>
      <c r="G100" s="16" t="n">
        <v>994.16</v>
      </c>
      <c r="H100" s="16" t="n">
        <v>994.16</v>
      </c>
      <c r="I100" s="16">
        <f>SUM(K100:T100)</f>
        <v/>
      </c>
      <c r="J100" s="16">
        <f>F100-(G100+H100+I100)</f>
        <v/>
      </c>
      <c r="K100" s="16" t="n">
        <v>596.49</v>
      </c>
      <c r="L100" s="16" t="n">
        <v>596.49</v>
      </c>
      <c r="M100" s="16" t="n">
        <v>596.49</v>
      </c>
      <c r="N100" s="16" t="n">
        <v>596.49</v>
      </c>
      <c r="O100" s="16" t="n">
        <v>596.49</v>
      </c>
      <c r="P100" s="16" t="n">
        <v>596.49</v>
      </c>
      <c r="Q100" s="16" t="n">
        <v>596.49</v>
      </c>
      <c r="R100" s="16" t="n">
        <v>596.49</v>
      </c>
      <c r="S100" s="16" t="n">
        <v>596.49</v>
      </c>
      <c r="T100" s="16" t="n">
        <v>596.49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CANON-202604-005380</t>
        </is>
      </c>
      <c r="B101" s="3" t="inlineStr">
        <is>
          <t>2026-04-16</t>
        </is>
      </c>
      <c r="C101" s="3" t="inlineStr">
        <is>
          <t>Sunniva Kingsford</t>
        </is>
      </c>
      <c r="D101" s="3" t="inlineStr">
        <is>
          <t>NM</t>
        </is>
      </c>
      <c r="E101" s="14" t="n">
        <v>270000</v>
      </c>
      <c r="F101" s="14" t="n">
        <v>4061.62</v>
      </c>
      <c r="G101" s="14" t="n">
        <v>507.7</v>
      </c>
      <c r="H101" s="14" t="n">
        <v>507.7</v>
      </c>
      <c r="I101" s="14">
        <f>SUM(K101:T101)</f>
        <v/>
      </c>
      <c r="J101" s="14">
        <f>F101-(G101+H101+I101)</f>
        <v/>
      </c>
      <c r="K101" s="14" t="n">
        <v>304.62</v>
      </c>
      <c r="L101" s="14" t="n">
        <v>304.62</v>
      </c>
      <c r="M101" s="14" t="n">
        <v>304.62</v>
      </c>
      <c r="N101" s="14" t="n">
        <v>304.62</v>
      </c>
      <c r="O101" s="14" t="n">
        <v>304.62</v>
      </c>
      <c r="P101" s="14" t="n">
        <v>304.62</v>
      </c>
      <c r="Q101" s="14" t="n">
        <v>304.62</v>
      </c>
      <c r="R101" s="14" t="n">
        <v>304.62</v>
      </c>
      <c r="S101" s="14" t="n">
        <v>304.62</v>
      </c>
      <c r="T101" s="14" t="n">
        <v>304.62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CANON-202604-005381</t>
        </is>
      </c>
      <c r="B102" s="15" t="inlineStr">
        <is>
          <t>2026-04-10</t>
        </is>
      </c>
      <c r="C102" s="15" t="inlineStr">
        <is>
          <t>Fitzgerald Okonkwo</t>
        </is>
      </c>
      <c r="D102" s="15" t="inlineStr">
        <is>
          <t>OH</t>
        </is>
      </c>
      <c r="E102" s="16" t="n">
        <v>1950000</v>
      </c>
      <c r="F102" s="16" t="n">
        <v>14440.83</v>
      </c>
      <c r="G102" s="16" t="n">
        <v>1805.1</v>
      </c>
      <c r="H102" s="16" t="n">
        <v>1805.1</v>
      </c>
      <c r="I102" s="16">
        <f>SUM(K102:T102)</f>
        <v/>
      </c>
      <c r="J102" s="16">
        <f>F102-(G102+H102+I102)</f>
        <v/>
      </c>
      <c r="K102" s="16" t="n">
        <v>1083.06</v>
      </c>
      <c r="L102" s="16" t="n">
        <v>1083.06</v>
      </c>
      <c r="M102" s="16" t="n">
        <v>1083.06</v>
      </c>
      <c r="N102" s="16" t="n">
        <v>1083.06</v>
      </c>
      <c r="O102" s="16" t="n">
        <v>1083.06</v>
      </c>
      <c r="P102" s="16" t="n">
        <v>1083.06</v>
      </c>
      <c r="Q102" s="16" t="n">
        <v>1083.06</v>
      </c>
      <c r="R102" s="16" t="n">
        <v>1083.06</v>
      </c>
      <c r="S102" s="16" t="n">
        <v>1083.06</v>
      </c>
      <c r="T102" s="16" t="n">
        <v>1083.06</v>
      </c>
      <c r="U102" s="16" t="n">
        <v>350</v>
      </c>
      <c r="V102" s="16" t="n">
        <v>250</v>
      </c>
      <c r="W102" s="16">
        <f>U102+V102</f>
        <v/>
      </c>
    </row>
    <row r="103">
      <c r="A103" s="3" t="inlineStr">
        <is>
          <t>CANON-202604-005382</t>
        </is>
      </c>
      <c r="B103" s="3" t="inlineStr">
        <is>
          <t>2026-04-07</t>
        </is>
      </c>
      <c r="C103" s="3" t="inlineStr">
        <is>
          <t>Wilhelmina Kingsford</t>
        </is>
      </c>
      <c r="D103" s="3" t="inlineStr">
        <is>
          <t>WY</t>
        </is>
      </c>
      <c r="E103" s="14" t="n">
        <v>600000</v>
      </c>
      <c r="F103" s="14" t="n">
        <v>6539.01</v>
      </c>
      <c r="G103" s="14" t="n">
        <v>817.38</v>
      </c>
      <c r="H103" s="14" t="n">
        <v>817.38</v>
      </c>
      <c r="I103" s="14">
        <f>SUM(K103:T103)</f>
        <v/>
      </c>
      <c r="J103" s="14">
        <f>F103-(G103+H103+I103)</f>
        <v/>
      </c>
      <c r="K103" s="14" t="n">
        <v>490.43</v>
      </c>
      <c r="L103" s="14" t="n">
        <v>490.43</v>
      </c>
      <c r="M103" s="14" t="n">
        <v>490.43</v>
      </c>
      <c r="N103" s="14" t="n">
        <v>490.43</v>
      </c>
      <c r="O103" s="14" t="n">
        <v>490.43</v>
      </c>
      <c r="P103" s="14" t="n">
        <v>490.43</v>
      </c>
      <c r="Q103" s="14" t="n">
        <v>490.43</v>
      </c>
      <c r="R103" s="14" t="n">
        <v>490.43</v>
      </c>
      <c r="S103" s="14" t="n">
        <v>490.43</v>
      </c>
      <c r="T103" s="14" t="n">
        <v>490.43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CANON-202604-005383</t>
        </is>
      </c>
      <c r="B104" s="15" t="inlineStr">
        <is>
          <t>2026-04-10</t>
        </is>
      </c>
      <c r="C104" s="15" t="inlineStr">
        <is>
          <t>Ramona Delacroix</t>
        </is>
      </c>
      <c r="D104" s="15" t="inlineStr">
        <is>
          <t>NY</t>
        </is>
      </c>
      <c r="E104" s="16" t="n">
        <v>710000</v>
      </c>
      <c r="F104" s="16" t="n">
        <v>13528.69</v>
      </c>
      <c r="G104" s="16" t="n">
        <v>1691.09</v>
      </c>
      <c r="H104" s="16" t="n">
        <v>1691.09</v>
      </c>
      <c r="I104" s="16">
        <f>SUM(K104:T104)</f>
        <v/>
      </c>
      <c r="J104" s="16">
        <f>F104-(G104+H104+I104)</f>
        <v/>
      </c>
      <c r="K104" s="16" t="n">
        <v>1014.65</v>
      </c>
      <c r="L104" s="16" t="n">
        <v>1014.65</v>
      </c>
      <c r="M104" s="16" t="n">
        <v>1014.65</v>
      </c>
      <c r="N104" s="16" t="n">
        <v>1014.65</v>
      </c>
      <c r="O104" s="16" t="n">
        <v>1014.65</v>
      </c>
      <c r="P104" s="16" t="n">
        <v>1014.65</v>
      </c>
      <c r="Q104" s="16" t="n">
        <v>1014.65</v>
      </c>
      <c r="R104" s="16" t="n">
        <v>1014.65</v>
      </c>
      <c r="S104" s="16" t="n">
        <v>1014.65</v>
      </c>
      <c r="T104" s="16" t="n">
        <v>1014.65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CANON-202604-005384</t>
        </is>
      </c>
      <c r="B105" s="3" t="inlineStr">
        <is>
          <t>2026-04-05</t>
        </is>
      </c>
      <c r="C105" s="3" t="inlineStr">
        <is>
          <t>Priya Larsson</t>
        </is>
      </c>
      <c r="D105" s="3" t="inlineStr">
        <is>
          <t>MO</t>
        </is>
      </c>
      <c r="E105" s="14" t="n">
        <v>895000</v>
      </c>
      <c r="F105" s="14" t="n">
        <v>9662.870000000001</v>
      </c>
      <c r="G105" s="14" t="n">
        <v>1207.86</v>
      </c>
      <c r="H105" s="14" t="n">
        <v>1207.86</v>
      </c>
      <c r="I105" s="14">
        <f>SUM(K105:T105)</f>
        <v/>
      </c>
      <c r="J105" s="14">
        <f>F105-(G105+H105+I105)</f>
        <v/>
      </c>
      <c r="K105" s="14" t="n">
        <v>724.72</v>
      </c>
      <c r="L105" s="14" t="n">
        <v>724.72</v>
      </c>
      <c r="M105" s="14" t="n">
        <v>724.72</v>
      </c>
      <c r="N105" s="14" t="n">
        <v>724.72</v>
      </c>
      <c r="O105" s="14" t="n">
        <v>724.72</v>
      </c>
      <c r="P105" s="14" t="n">
        <v>724.72</v>
      </c>
      <c r="Q105" s="14" t="n">
        <v>724.72</v>
      </c>
      <c r="R105" s="14" t="n">
        <v>724.72</v>
      </c>
      <c r="S105" s="14" t="n">
        <v>724.72</v>
      </c>
      <c r="T105" s="14" t="n">
        <v>724.72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CANON-202604-005385</t>
        </is>
      </c>
      <c r="B106" s="15" t="inlineStr">
        <is>
          <t>2026-04-06</t>
        </is>
      </c>
      <c r="C106" s="15" t="inlineStr">
        <is>
          <t>Sunniva Larsson</t>
        </is>
      </c>
      <c r="D106" s="15" t="inlineStr">
        <is>
          <t>VA</t>
        </is>
      </c>
      <c r="E106" s="16" t="n">
        <v>940000</v>
      </c>
      <c r="F106" s="16" t="n">
        <v>15252.52</v>
      </c>
      <c r="G106" s="16" t="n">
        <v>1906.57</v>
      </c>
      <c r="H106" s="16" t="n">
        <v>1906.57</v>
      </c>
      <c r="I106" s="16">
        <f>SUM(K106:T106)</f>
        <v/>
      </c>
      <c r="J106" s="16">
        <f>F106-(G106+H106+I106)</f>
        <v/>
      </c>
      <c r="K106" s="16" t="n">
        <v>1143.94</v>
      </c>
      <c r="L106" s="16" t="n">
        <v>1143.94</v>
      </c>
      <c r="M106" s="16" t="n">
        <v>1143.94</v>
      </c>
      <c r="N106" s="16" t="n">
        <v>1143.94</v>
      </c>
      <c r="O106" s="16" t="n">
        <v>1143.94</v>
      </c>
      <c r="P106" s="16" t="n">
        <v>1143.94</v>
      </c>
      <c r="Q106" s="16" t="n">
        <v>1143.94</v>
      </c>
      <c r="R106" s="16" t="n">
        <v>1143.94</v>
      </c>
      <c r="S106" s="16" t="n">
        <v>1143.94</v>
      </c>
      <c r="T106" s="16" t="n">
        <v>1143.94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CANON-202604-005386</t>
        </is>
      </c>
      <c r="B107" s="3" t="inlineStr">
        <is>
          <t>2026-04-18</t>
        </is>
      </c>
      <c r="C107" s="3" t="inlineStr">
        <is>
          <t>Saoirse Blackwood</t>
        </is>
      </c>
      <c r="D107" s="3" t="inlineStr">
        <is>
          <t>NY</t>
        </is>
      </c>
      <c r="E107" s="14" t="n">
        <v>230000</v>
      </c>
      <c r="F107" s="14" t="n">
        <v>4244.14</v>
      </c>
      <c r="G107" s="14" t="n">
        <v>530.52</v>
      </c>
      <c r="H107" s="14" t="n">
        <v>530.52</v>
      </c>
      <c r="I107" s="14">
        <f>SUM(K107:T107)</f>
        <v/>
      </c>
      <c r="J107" s="14">
        <f>F107-(G107+H107+I107)</f>
        <v/>
      </c>
      <c r="K107" s="14" t="n">
        <v>318.31</v>
      </c>
      <c r="L107" s="14" t="n">
        <v>318.31</v>
      </c>
      <c r="M107" s="14" t="n">
        <v>318.31</v>
      </c>
      <c r="N107" s="14" t="n">
        <v>318.31</v>
      </c>
      <c r="O107" s="14" t="n">
        <v>318.31</v>
      </c>
      <c r="P107" s="14" t="n">
        <v>318.31</v>
      </c>
      <c r="Q107" s="14" t="n">
        <v>318.31</v>
      </c>
      <c r="R107" s="14" t="n">
        <v>318.31</v>
      </c>
      <c r="S107" s="14" t="n">
        <v>318.31</v>
      </c>
      <c r="T107" s="14" t="n">
        <v>318.31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CANON-202604-005387</t>
        </is>
      </c>
      <c r="B108" s="15" t="inlineStr">
        <is>
          <t>2026-04-28</t>
        </is>
      </c>
      <c r="C108" s="15" t="inlineStr">
        <is>
          <t>Marisol Nakashima</t>
        </is>
      </c>
      <c r="D108" s="15" t="inlineStr">
        <is>
          <t>CT</t>
        </is>
      </c>
      <c r="E108" s="16" t="n">
        <v>655000</v>
      </c>
      <c r="F108" s="16" t="n">
        <v>7471.99</v>
      </c>
      <c r="G108" s="16" t="n">
        <v>934</v>
      </c>
      <c r="H108" s="16" t="n">
        <v>934</v>
      </c>
      <c r="I108" s="16">
        <f>SUM(K108:T108)</f>
        <v/>
      </c>
      <c r="J108" s="16">
        <f>F108-(G108+H108+I108)</f>
        <v/>
      </c>
      <c r="K108" s="16" t="n">
        <v>560.4</v>
      </c>
      <c r="L108" s="16" t="n">
        <v>560.4</v>
      </c>
      <c r="M108" s="16" t="n">
        <v>560.4</v>
      </c>
      <c r="N108" s="16" t="n">
        <v>560.4</v>
      </c>
      <c r="O108" s="16" t="n">
        <v>560.4</v>
      </c>
      <c r="P108" s="16" t="n">
        <v>560.4</v>
      </c>
      <c r="Q108" s="16" t="n">
        <v>560.4</v>
      </c>
      <c r="R108" s="16" t="n">
        <v>560.4</v>
      </c>
      <c r="S108" s="16" t="n">
        <v>560.4</v>
      </c>
      <c r="T108" s="16" t="n">
        <v>560.4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CANON-202604-005388</t>
        </is>
      </c>
      <c r="B109" s="3" t="inlineStr">
        <is>
          <t>2026-04-11</t>
        </is>
      </c>
      <c r="C109" s="3" t="inlineStr">
        <is>
          <t>Cassius Merriweather</t>
        </is>
      </c>
      <c r="D109" s="3" t="inlineStr">
        <is>
          <t>ND</t>
        </is>
      </c>
      <c r="E109" s="14" t="n">
        <v>685000</v>
      </c>
      <c r="F109" s="14" t="n">
        <v>10401.07</v>
      </c>
      <c r="G109" s="14" t="n">
        <v>1300.13</v>
      </c>
      <c r="H109" s="14" t="n">
        <v>1300.13</v>
      </c>
      <c r="I109" s="14">
        <f>SUM(K109:T109)</f>
        <v/>
      </c>
      <c r="J109" s="14">
        <f>F109-(G109+H109+I109)</f>
        <v/>
      </c>
      <c r="K109" s="14" t="n">
        <v>780.08</v>
      </c>
      <c r="L109" s="14" t="n">
        <v>780.08</v>
      </c>
      <c r="M109" s="14" t="n">
        <v>780.08</v>
      </c>
      <c r="N109" s="14" t="n">
        <v>780.08</v>
      </c>
      <c r="O109" s="14" t="n">
        <v>780.08</v>
      </c>
      <c r="P109" s="14" t="n">
        <v>780.08</v>
      </c>
      <c r="Q109" s="14" t="n">
        <v>780.08</v>
      </c>
      <c r="R109" s="14" t="n">
        <v>780.08</v>
      </c>
      <c r="S109" s="14" t="n">
        <v>780.08</v>
      </c>
      <c r="T109" s="14" t="n">
        <v>780.08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CANON-202604-005391</t>
        </is>
      </c>
      <c r="B110" s="15" t="inlineStr">
        <is>
          <t>2026-04-02</t>
        </is>
      </c>
      <c r="C110" s="15" t="inlineStr">
        <is>
          <t>Desmond Kingsford</t>
        </is>
      </c>
      <c r="D110" s="15" t="inlineStr">
        <is>
          <t>TX</t>
        </is>
      </c>
      <c r="E110" s="16" t="n">
        <v>505000</v>
      </c>
      <c r="F110" s="16" t="n">
        <v>5915.16</v>
      </c>
      <c r="G110" s="16" t="n">
        <v>739.39</v>
      </c>
      <c r="H110" s="16" t="n">
        <v>739.39</v>
      </c>
      <c r="I110" s="16">
        <f>SUM(K110:T110)</f>
        <v/>
      </c>
      <c r="J110" s="16">
        <f>F110-(G110+H110+I110)</f>
        <v/>
      </c>
      <c r="K110" s="16" t="n">
        <v>443.64</v>
      </c>
      <c r="L110" s="16" t="n">
        <v>443.64</v>
      </c>
      <c r="M110" s="16" t="n">
        <v>443.64</v>
      </c>
      <c r="N110" s="16" t="n">
        <v>443.64</v>
      </c>
      <c r="O110" s="16" t="n">
        <v>443.64</v>
      </c>
      <c r="P110" s="16" t="n">
        <v>443.64</v>
      </c>
      <c r="Q110" s="16" t="n">
        <v>443.64</v>
      </c>
      <c r="R110" s="16" t="n">
        <v>443.64</v>
      </c>
      <c r="S110" s="16" t="n">
        <v>443.64</v>
      </c>
      <c r="T110" s="16" t="n">
        <v>443.64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CANON-202604-005392</t>
        </is>
      </c>
      <c r="B111" s="3" t="inlineStr">
        <is>
          <t>2026-04-30</t>
        </is>
      </c>
      <c r="C111" s="3" t="inlineStr">
        <is>
          <t>Callum Blackwood</t>
        </is>
      </c>
      <c r="D111" s="3" t="inlineStr">
        <is>
          <t>CA</t>
        </is>
      </c>
      <c r="E111" s="14" t="n">
        <v>435000</v>
      </c>
      <c r="F111" s="14" t="n">
        <v>6901.57</v>
      </c>
      <c r="G111" s="14" t="n">
        <v>862.7</v>
      </c>
      <c r="H111" s="14" t="n">
        <v>862.7</v>
      </c>
      <c r="I111" s="14">
        <f>SUM(K111:T111)</f>
        <v/>
      </c>
      <c r="J111" s="14">
        <f>F111-(G111+H111+I111)</f>
        <v/>
      </c>
      <c r="K111" s="14" t="n">
        <v>517.62</v>
      </c>
      <c r="L111" s="14" t="n">
        <v>517.62</v>
      </c>
      <c r="M111" s="14" t="n">
        <v>517.62</v>
      </c>
      <c r="N111" s="14" t="n">
        <v>517.62</v>
      </c>
      <c r="O111" s="14" t="n">
        <v>517.62</v>
      </c>
      <c r="P111" s="14" t="n">
        <v>517.62</v>
      </c>
      <c r="Q111" s="14" t="n">
        <v>517.62</v>
      </c>
      <c r="R111" s="14" t="n">
        <v>517.62</v>
      </c>
      <c r="S111" s="14" t="n">
        <v>517.62</v>
      </c>
      <c r="T111" s="14" t="n">
        <v>517.62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CANON-202604-005394</t>
        </is>
      </c>
      <c r="B112" s="15" t="inlineStr">
        <is>
          <t>2026-04-28</t>
        </is>
      </c>
      <c r="C112" s="15" t="inlineStr">
        <is>
          <t>Sunniva Okonkwo</t>
        </is>
      </c>
      <c r="D112" s="15" t="inlineStr">
        <is>
          <t>MT</t>
        </is>
      </c>
      <c r="E112" s="16" t="n">
        <v>980000</v>
      </c>
      <c r="F112" s="16" t="n">
        <v>9282.959999999999</v>
      </c>
      <c r="G112" s="16" t="n">
        <v>1160.37</v>
      </c>
      <c r="H112" s="16" t="n">
        <v>1160.37</v>
      </c>
      <c r="I112" s="16">
        <f>SUM(K112:T112)</f>
        <v/>
      </c>
      <c r="J112" s="16">
        <f>F112-(G112+H112+I112)</f>
        <v/>
      </c>
      <c r="K112" s="16" t="n">
        <v>696.22</v>
      </c>
      <c r="L112" s="16" t="n">
        <v>696.22</v>
      </c>
      <c r="M112" s="16" t="n">
        <v>696.22</v>
      </c>
      <c r="N112" s="16" t="n">
        <v>696.22</v>
      </c>
      <c r="O112" s="16" t="n">
        <v>696.22</v>
      </c>
      <c r="P112" s="16" t="n">
        <v>696.22</v>
      </c>
      <c r="Q112" s="16" t="n">
        <v>696.22</v>
      </c>
      <c r="R112" s="16" t="n">
        <v>696.22</v>
      </c>
      <c r="S112" s="16" t="n">
        <v>696.22</v>
      </c>
      <c r="T112" s="16" t="n">
        <v>696.22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CANON-202604-005396</t>
        </is>
      </c>
      <c r="B113" s="3" t="inlineStr">
        <is>
          <t>2026-04-05</t>
        </is>
      </c>
      <c r="C113" s="3" t="inlineStr">
        <is>
          <t>Wilhelmina Vandermeer</t>
        </is>
      </c>
      <c r="D113" s="3" t="inlineStr">
        <is>
          <t>IL</t>
        </is>
      </c>
      <c r="E113" s="14" t="n">
        <v>150000</v>
      </c>
      <c r="F113" s="14" t="n">
        <v>2940.91</v>
      </c>
      <c r="G113" s="14" t="n">
        <v>367.61</v>
      </c>
      <c r="H113" s="14" t="n">
        <v>367.61</v>
      </c>
      <c r="I113" s="14">
        <f>SUM(K113:T113)</f>
        <v/>
      </c>
      <c r="J113" s="14">
        <f>F113-(G113+H113+I113)</f>
        <v/>
      </c>
      <c r="K113" s="14" t="n">
        <v>220.57</v>
      </c>
      <c r="L113" s="14" t="n">
        <v>220.57</v>
      </c>
      <c r="M113" s="14" t="n">
        <v>220.57</v>
      </c>
      <c r="N113" s="14" t="n">
        <v>220.57</v>
      </c>
      <c r="O113" s="14" t="n">
        <v>220.57</v>
      </c>
      <c r="P113" s="14" t="n">
        <v>220.57</v>
      </c>
      <c r="Q113" s="14" t="n">
        <v>220.57</v>
      </c>
      <c r="R113" s="14" t="n">
        <v>220.57</v>
      </c>
      <c r="S113" s="14" t="n">
        <v>220.57</v>
      </c>
      <c r="T113" s="14" t="n">
        <v>220.57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CANON-202604-005398</t>
        </is>
      </c>
      <c r="B114" s="15" t="inlineStr">
        <is>
          <t>2026-04-22</t>
        </is>
      </c>
      <c r="C114" s="15" t="inlineStr">
        <is>
          <t>Ingrid Fairweather</t>
        </is>
      </c>
      <c r="D114" s="15" t="inlineStr">
        <is>
          <t>MI</t>
        </is>
      </c>
      <c r="E114" s="16" t="n">
        <v>1170000</v>
      </c>
      <c r="F114" s="16" t="n">
        <v>15629.46</v>
      </c>
      <c r="G114" s="16" t="n">
        <v>1953.68</v>
      </c>
      <c r="H114" s="16" t="n">
        <v>1953.68</v>
      </c>
      <c r="I114" s="16">
        <f>SUM(K114:T114)</f>
        <v/>
      </c>
      <c r="J114" s="16">
        <f>F114-(G114+H114+I114)</f>
        <v/>
      </c>
      <c r="K114" s="16" t="n">
        <v>1172.21</v>
      </c>
      <c r="L114" s="16" t="n">
        <v>1172.21</v>
      </c>
      <c r="M114" s="16" t="n">
        <v>1172.21</v>
      </c>
      <c r="N114" s="16" t="n">
        <v>1172.21</v>
      </c>
      <c r="O114" s="16" t="n">
        <v>1172.21</v>
      </c>
      <c r="P114" s="16" t="n">
        <v>1172.21</v>
      </c>
      <c r="Q114" s="16" t="n">
        <v>1172.21</v>
      </c>
      <c r="R114" s="16" t="n">
        <v>1172.21</v>
      </c>
      <c r="S114" s="16" t="n">
        <v>1172.21</v>
      </c>
      <c r="T114" s="16" t="n">
        <v>1172.21</v>
      </c>
      <c r="U114" s="16" t="n">
        <v>350</v>
      </c>
      <c r="V114" s="16" t="n">
        <v>250</v>
      </c>
      <c r="W114" s="16">
        <f>U114+V114</f>
        <v/>
      </c>
    </row>
    <row r="115">
      <c r="A115" s="3" t="inlineStr">
        <is>
          <t>CANON-202604-005399</t>
        </is>
      </c>
      <c r="B115" s="3" t="inlineStr">
        <is>
          <t>2026-04-28</t>
        </is>
      </c>
      <c r="C115" s="3" t="inlineStr">
        <is>
          <t>Aurelio Rourke</t>
        </is>
      </c>
      <c r="D115" s="3" t="inlineStr">
        <is>
          <t>RI</t>
        </is>
      </c>
      <c r="E115" s="14" t="n">
        <v>405000</v>
      </c>
      <c r="F115" s="14" t="n">
        <v>6520.8</v>
      </c>
      <c r="G115" s="14" t="n">
        <v>815.1</v>
      </c>
      <c r="H115" s="14" t="n">
        <v>815.1</v>
      </c>
      <c r="I115" s="14">
        <f>SUM(K115:T115)</f>
        <v/>
      </c>
      <c r="J115" s="14">
        <f>F115-(G115+H115+I115)</f>
        <v/>
      </c>
      <c r="K115" s="14" t="n">
        <v>489.06</v>
      </c>
      <c r="L115" s="14" t="n">
        <v>489.06</v>
      </c>
      <c r="M115" s="14" t="n">
        <v>489.06</v>
      </c>
      <c r="N115" s="14" t="n">
        <v>489.06</v>
      </c>
      <c r="O115" s="14" t="n">
        <v>489.06</v>
      </c>
      <c r="P115" s="14" t="n">
        <v>489.06</v>
      </c>
      <c r="Q115" s="14" t="n">
        <v>489.06</v>
      </c>
      <c r="R115" s="14" t="n">
        <v>489.06</v>
      </c>
      <c r="S115" s="14" t="n">
        <v>489.06</v>
      </c>
      <c r="T115" s="14" t="n">
        <v>489.06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CANON-202604-005400</t>
        </is>
      </c>
      <c r="B116" s="15" t="inlineStr">
        <is>
          <t>2026-04-23</t>
        </is>
      </c>
      <c r="C116" s="15" t="inlineStr">
        <is>
          <t>Beatrix Pennington</t>
        </is>
      </c>
      <c r="D116" s="15" t="inlineStr">
        <is>
          <t>NM</t>
        </is>
      </c>
      <c r="E116" s="16" t="n">
        <v>505000</v>
      </c>
      <c r="F116" s="16" t="n">
        <v>4355.46</v>
      </c>
      <c r="G116" s="16" t="n">
        <v>544.4299999999999</v>
      </c>
      <c r="H116" s="16" t="n">
        <v>544.4299999999999</v>
      </c>
      <c r="I116" s="16">
        <f>SUM(K116:T116)</f>
        <v/>
      </c>
      <c r="J116" s="16">
        <f>F116-(G116+H116+I116)</f>
        <v/>
      </c>
      <c r="K116" s="16" t="n">
        <v>326.66</v>
      </c>
      <c r="L116" s="16" t="n">
        <v>326.66</v>
      </c>
      <c r="M116" s="16" t="n">
        <v>326.66</v>
      </c>
      <c r="N116" s="16" t="n">
        <v>326.66</v>
      </c>
      <c r="O116" s="16" t="n">
        <v>326.66</v>
      </c>
      <c r="P116" s="16" t="n">
        <v>326.66</v>
      </c>
      <c r="Q116" s="16" t="n">
        <v>326.66</v>
      </c>
      <c r="R116" s="16" t="n">
        <v>326.66</v>
      </c>
      <c r="S116" s="16" t="n">
        <v>326.66</v>
      </c>
      <c r="T116" s="16" t="n">
        <v>326.66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CANON-202604-005401</t>
        </is>
      </c>
      <c r="B117" s="3" t="inlineStr">
        <is>
          <t>2026-04-04</t>
        </is>
      </c>
      <c r="C117" s="3" t="inlineStr">
        <is>
          <t>Fenwick Castellanos</t>
        </is>
      </c>
      <c r="D117" s="3" t="inlineStr">
        <is>
          <t>CO</t>
        </is>
      </c>
      <c r="E117" s="14" t="n">
        <v>700000</v>
      </c>
      <c r="F117" s="14" t="n">
        <v>7842.74</v>
      </c>
      <c r="G117" s="14" t="n">
        <v>980.34</v>
      </c>
      <c r="H117" s="14" t="n">
        <v>980.34</v>
      </c>
      <c r="I117" s="14">
        <f>SUM(K117:T117)</f>
        <v/>
      </c>
      <c r="J117" s="14">
        <f>F117-(G117+H117+I117)</f>
        <v/>
      </c>
      <c r="K117" s="14" t="n">
        <v>588.21</v>
      </c>
      <c r="L117" s="14" t="n">
        <v>588.21</v>
      </c>
      <c r="M117" s="14" t="n">
        <v>588.21</v>
      </c>
      <c r="N117" s="14" t="n">
        <v>588.21</v>
      </c>
      <c r="O117" s="14" t="n">
        <v>588.21</v>
      </c>
      <c r="P117" s="14" t="n">
        <v>588.21</v>
      </c>
      <c r="Q117" s="14" t="n">
        <v>588.21</v>
      </c>
      <c r="R117" s="14" t="n">
        <v>588.21</v>
      </c>
      <c r="S117" s="14" t="n">
        <v>588.21</v>
      </c>
      <c r="T117" s="14" t="n">
        <v>588.21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CANON-202604-005402</t>
        </is>
      </c>
      <c r="B118" s="15" t="inlineStr">
        <is>
          <t>2026-04-12</t>
        </is>
      </c>
      <c r="C118" s="15" t="inlineStr">
        <is>
          <t>Fitzgerald Vasquez</t>
        </is>
      </c>
      <c r="D118" s="15" t="inlineStr">
        <is>
          <t>KY</t>
        </is>
      </c>
      <c r="E118" s="16" t="n">
        <v>1145000</v>
      </c>
      <c r="F118" s="16" t="n">
        <v>9136.030000000001</v>
      </c>
      <c r="G118" s="16" t="n">
        <v>1142</v>
      </c>
      <c r="H118" s="16" t="n">
        <v>1142</v>
      </c>
      <c r="I118" s="16">
        <f>SUM(K118:T118)</f>
        <v/>
      </c>
      <c r="J118" s="16">
        <f>F118-(G118+H118+I118)</f>
        <v/>
      </c>
      <c r="K118" s="16" t="n">
        <v>685.2</v>
      </c>
      <c r="L118" s="16" t="n">
        <v>685.2</v>
      </c>
      <c r="M118" s="16" t="n">
        <v>685.2</v>
      </c>
      <c r="N118" s="16" t="n">
        <v>685.2</v>
      </c>
      <c r="O118" s="16" t="n">
        <v>685.2</v>
      </c>
      <c r="P118" s="16" t="n">
        <v>685.2</v>
      </c>
      <c r="Q118" s="16" t="n">
        <v>685.2</v>
      </c>
      <c r="R118" s="16" t="n">
        <v>685.2</v>
      </c>
      <c r="S118" s="16" t="n">
        <v>685.2</v>
      </c>
      <c r="T118" s="16" t="n">
        <v>685.2</v>
      </c>
      <c r="U118" s="16" t="n">
        <v>350</v>
      </c>
      <c r="V118" s="16" t="n">
        <v>250</v>
      </c>
      <c r="W118" s="16">
        <f>U118+V118</f>
        <v/>
      </c>
    </row>
    <row r="119">
      <c r="A119" s="3" t="inlineStr">
        <is>
          <t>CANON-202604-005403</t>
        </is>
      </c>
      <c r="B119" s="3" t="inlineStr">
        <is>
          <t>2026-04-08</t>
        </is>
      </c>
      <c r="C119" s="3" t="inlineStr">
        <is>
          <t>Wilhelmina Farkas</t>
        </is>
      </c>
      <c r="D119" s="3" t="inlineStr">
        <is>
          <t>AL</t>
        </is>
      </c>
      <c r="E119" s="14" t="n">
        <v>745000</v>
      </c>
      <c r="F119" s="14" t="n">
        <v>9636.9</v>
      </c>
      <c r="G119" s="14" t="n">
        <v>1204.61</v>
      </c>
      <c r="H119" s="14" t="n">
        <v>1204.61</v>
      </c>
      <c r="I119" s="14">
        <f>SUM(K119:T119)</f>
        <v/>
      </c>
      <c r="J119" s="14">
        <f>F119-(G119+H119+I119)</f>
        <v/>
      </c>
      <c r="K119" s="14" t="n">
        <v>722.77</v>
      </c>
      <c r="L119" s="14" t="n">
        <v>722.77</v>
      </c>
      <c r="M119" s="14" t="n">
        <v>722.77</v>
      </c>
      <c r="N119" s="14" t="n">
        <v>722.77</v>
      </c>
      <c r="O119" s="14" t="n">
        <v>722.77</v>
      </c>
      <c r="P119" s="14" t="n">
        <v>722.77</v>
      </c>
      <c r="Q119" s="14" t="n">
        <v>722.77</v>
      </c>
      <c r="R119" s="14" t="n">
        <v>722.77</v>
      </c>
      <c r="S119" s="14" t="n">
        <v>722.77</v>
      </c>
      <c r="T119" s="14" t="n">
        <v>722.77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CANON-202604-005405</t>
        </is>
      </c>
      <c r="B120" s="15" t="inlineStr">
        <is>
          <t>2026-04-28</t>
        </is>
      </c>
      <c r="C120" s="15" t="inlineStr">
        <is>
          <t>Beatrix Chattopadhyay</t>
        </is>
      </c>
      <c r="D120" s="15" t="inlineStr">
        <is>
          <t>LA</t>
        </is>
      </c>
      <c r="E120" s="16" t="n">
        <v>745000</v>
      </c>
      <c r="F120" s="16" t="n">
        <v>9181.610000000001</v>
      </c>
      <c r="G120" s="16" t="n">
        <v>1147.7</v>
      </c>
      <c r="H120" s="16" t="n">
        <v>1147.7</v>
      </c>
      <c r="I120" s="16">
        <f>SUM(K120:T120)</f>
        <v/>
      </c>
      <c r="J120" s="16">
        <f>F120-(G120+H120+I120)</f>
        <v/>
      </c>
      <c r="K120" s="16" t="n">
        <v>688.62</v>
      </c>
      <c r="L120" s="16" t="n">
        <v>688.62</v>
      </c>
      <c r="M120" s="16" t="n">
        <v>688.62</v>
      </c>
      <c r="N120" s="16" t="n">
        <v>688.62</v>
      </c>
      <c r="O120" s="16" t="n">
        <v>688.62</v>
      </c>
      <c r="P120" s="16" t="n">
        <v>688.62</v>
      </c>
      <c r="Q120" s="16" t="n">
        <v>688.62</v>
      </c>
      <c r="R120" s="16" t="n">
        <v>688.62</v>
      </c>
      <c r="S120" s="16" t="n">
        <v>688.62</v>
      </c>
      <c r="T120" s="16" t="n">
        <v>688.62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CANON-202604-005406</t>
        </is>
      </c>
      <c r="B121" s="3" t="inlineStr">
        <is>
          <t>2026-04-21</t>
        </is>
      </c>
      <c r="C121" s="3" t="inlineStr">
        <is>
          <t>Ingrid Montoya</t>
        </is>
      </c>
      <c r="D121" s="3" t="inlineStr">
        <is>
          <t>CT</t>
        </is>
      </c>
      <c r="E121" s="14" t="n">
        <v>690000</v>
      </c>
      <c r="F121" s="14" t="n">
        <v>7871.26</v>
      </c>
      <c r="G121" s="14" t="n">
        <v>983.91</v>
      </c>
      <c r="H121" s="14" t="n">
        <v>983.91</v>
      </c>
      <c r="I121" s="14">
        <f>SUM(K121:T121)</f>
        <v/>
      </c>
      <c r="J121" s="14">
        <f>F121-(G121+H121+I121)</f>
        <v/>
      </c>
      <c r="K121" s="14" t="n">
        <v>590.34</v>
      </c>
      <c r="L121" s="14" t="n">
        <v>590.34</v>
      </c>
      <c r="M121" s="14" t="n">
        <v>590.34</v>
      </c>
      <c r="N121" s="14" t="n">
        <v>590.34</v>
      </c>
      <c r="O121" s="14" t="n">
        <v>590.34</v>
      </c>
      <c r="P121" s="14" t="n">
        <v>590.34</v>
      </c>
      <c r="Q121" s="14" t="n">
        <v>590.34</v>
      </c>
      <c r="R121" s="14" t="n">
        <v>590.34</v>
      </c>
      <c r="S121" s="14" t="n">
        <v>590.34</v>
      </c>
      <c r="T121" s="14" t="n">
        <v>590.34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CANON-202604-005408</t>
        </is>
      </c>
      <c r="B122" s="15" t="inlineStr">
        <is>
          <t>2026-04-09</t>
        </is>
      </c>
      <c r="C122" s="15" t="inlineStr">
        <is>
          <t>Horace Rourke</t>
        </is>
      </c>
      <c r="D122" s="15" t="inlineStr">
        <is>
          <t>AK</t>
        </is>
      </c>
      <c r="E122" s="16" t="n">
        <v>330000</v>
      </c>
      <c r="F122" s="16" t="n">
        <v>2829.59</v>
      </c>
      <c r="G122" s="16" t="n">
        <v>353.7</v>
      </c>
      <c r="H122" s="16" t="n">
        <v>353.7</v>
      </c>
      <c r="I122" s="16">
        <f>SUM(K122:T122)</f>
        <v/>
      </c>
      <c r="J122" s="16">
        <f>F122-(G122+H122+I122)</f>
        <v/>
      </c>
      <c r="K122" s="16" t="n">
        <v>212.22</v>
      </c>
      <c r="L122" s="16" t="n">
        <v>212.22</v>
      </c>
      <c r="M122" s="16" t="n">
        <v>212.22</v>
      </c>
      <c r="N122" s="16" t="n">
        <v>212.22</v>
      </c>
      <c r="O122" s="16" t="n">
        <v>212.22</v>
      </c>
      <c r="P122" s="16" t="n">
        <v>212.22</v>
      </c>
      <c r="Q122" s="16" t="n">
        <v>212.22</v>
      </c>
      <c r="R122" s="16" t="n">
        <v>212.22</v>
      </c>
      <c r="S122" s="16" t="n">
        <v>212.22</v>
      </c>
      <c r="T122" s="16" t="n">
        <v>212.22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CANON-202604-005409</t>
        </is>
      </c>
      <c r="B123" s="3" t="inlineStr">
        <is>
          <t>2026-04-12</t>
        </is>
      </c>
      <c r="C123" s="3" t="inlineStr">
        <is>
          <t>Emiliano Montoya</t>
        </is>
      </c>
      <c r="D123" s="3" t="inlineStr">
        <is>
          <t>FL</t>
        </is>
      </c>
      <c r="E123" s="14" t="n">
        <v>580000</v>
      </c>
      <c r="F123" s="14" t="n">
        <v>8388.67</v>
      </c>
      <c r="G123" s="14" t="n">
        <v>1048.58</v>
      </c>
      <c r="H123" s="14" t="n">
        <v>1048.58</v>
      </c>
      <c r="I123" s="14">
        <f>SUM(K123:T123)</f>
        <v/>
      </c>
      <c r="J123" s="14">
        <f>F123-(G123+H123+I123)</f>
        <v/>
      </c>
      <c r="K123" s="14" t="n">
        <v>629.15</v>
      </c>
      <c r="L123" s="14" t="n">
        <v>629.15</v>
      </c>
      <c r="M123" s="14" t="n">
        <v>629.15</v>
      </c>
      <c r="N123" s="14" t="n">
        <v>629.15</v>
      </c>
      <c r="O123" s="14" t="n">
        <v>629.15</v>
      </c>
      <c r="P123" s="14" t="n">
        <v>629.15</v>
      </c>
      <c r="Q123" s="14" t="n">
        <v>629.15</v>
      </c>
      <c r="R123" s="14" t="n">
        <v>629.15</v>
      </c>
      <c r="S123" s="14" t="n">
        <v>629.15</v>
      </c>
      <c r="T123" s="14" t="n">
        <v>629.15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CANON-202604-005411</t>
        </is>
      </c>
      <c r="B124" s="15" t="inlineStr">
        <is>
          <t>2026-04-20</t>
        </is>
      </c>
      <c r="C124" s="15" t="inlineStr">
        <is>
          <t>Leopold Rourke</t>
        </is>
      </c>
      <c r="D124" s="15" t="inlineStr">
        <is>
          <t>TX</t>
        </is>
      </c>
      <c r="E124" s="16" t="n">
        <v>770000</v>
      </c>
      <c r="F124" s="16" t="n">
        <v>5966.52</v>
      </c>
      <c r="G124" s="16" t="n">
        <v>745.8200000000001</v>
      </c>
      <c r="H124" s="16" t="n">
        <v>745.8200000000001</v>
      </c>
      <c r="I124" s="16">
        <f>SUM(K124:T124)</f>
        <v/>
      </c>
      <c r="J124" s="16">
        <f>F124-(G124+H124+I124)</f>
        <v/>
      </c>
      <c r="K124" s="16" t="n">
        <v>447.49</v>
      </c>
      <c r="L124" s="16" t="n">
        <v>447.49</v>
      </c>
      <c r="M124" s="16" t="n">
        <v>447.49</v>
      </c>
      <c r="N124" s="16" t="n">
        <v>447.49</v>
      </c>
      <c r="O124" s="16" t="n">
        <v>447.49</v>
      </c>
      <c r="P124" s="16" t="n">
        <v>447.49</v>
      </c>
      <c r="Q124" s="16" t="n">
        <v>447.49</v>
      </c>
      <c r="R124" s="16" t="n">
        <v>447.49</v>
      </c>
      <c r="S124" s="16" t="n">
        <v>447.49</v>
      </c>
      <c r="T124" s="16" t="n">
        <v>447.49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CANON-202604-005412</t>
        </is>
      </c>
      <c r="B125" s="3" t="inlineStr">
        <is>
          <t>2026-04-06</t>
        </is>
      </c>
      <c r="C125" s="3" t="inlineStr">
        <is>
          <t>Saoirse Montoya</t>
        </is>
      </c>
      <c r="D125" s="3" t="inlineStr">
        <is>
          <t>FL</t>
        </is>
      </c>
      <c r="E125" s="14" t="n">
        <v>565000</v>
      </c>
      <c r="F125" s="14" t="n">
        <v>4777.32</v>
      </c>
      <c r="G125" s="14" t="n">
        <v>597.16</v>
      </c>
      <c r="H125" s="14" t="n">
        <v>597.16</v>
      </c>
      <c r="I125" s="14">
        <f>SUM(K125:T125)</f>
        <v/>
      </c>
      <c r="J125" s="14">
        <f>F125-(G125+H125+I125)</f>
        <v/>
      </c>
      <c r="K125" s="14" t="n">
        <v>358.3</v>
      </c>
      <c r="L125" s="14" t="n">
        <v>358.3</v>
      </c>
      <c r="M125" s="14" t="n">
        <v>358.3</v>
      </c>
      <c r="N125" s="14" t="n">
        <v>358.3</v>
      </c>
      <c r="O125" s="14" t="n">
        <v>358.3</v>
      </c>
      <c r="P125" s="14" t="n">
        <v>358.3</v>
      </c>
      <c r="Q125" s="14" t="n">
        <v>358.3</v>
      </c>
      <c r="R125" s="14" t="n">
        <v>358.3</v>
      </c>
      <c r="S125" s="14" t="n">
        <v>358.3</v>
      </c>
      <c r="T125" s="14" t="n">
        <v>358.3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CANON-202604-005413</t>
        </is>
      </c>
      <c r="B126" s="15" t="inlineStr">
        <is>
          <t>2026-04-20</t>
        </is>
      </c>
      <c r="C126" s="15" t="inlineStr">
        <is>
          <t>Anouk Montoya</t>
        </is>
      </c>
      <c r="D126" s="15" t="inlineStr">
        <is>
          <t>WV</t>
        </is>
      </c>
      <c r="E126" s="16" t="n">
        <v>1950000</v>
      </c>
      <c r="F126" s="16" t="n">
        <v>13817.49</v>
      </c>
      <c r="G126" s="16" t="n">
        <v>1727.19</v>
      </c>
      <c r="H126" s="16" t="n">
        <v>1727.19</v>
      </c>
      <c r="I126" s="16">
        <f>SUM(K126:T126)</f>
        <v/>
      </c>
      <c r="J126" s="16">
        <f>F126-(G126+H126+I126)</f>
        <v/>
      </c>
      <c r="K126" s="16" t="n">
        <v>1036.31</v>
      </c>
      <c r="L126" s="16" t="n">
        <v>1036.31</v>
      </c>
      <c r="M126" s="16" t="n">
        <v>1036.31</v>
      </c>
      <c r="N126" s="16" t="n">
        <v>1036.31</v>
      </c>
      <c r="O126" s="16" t="n">
        <v>1036.31</v>
      </c>
      <c r="P126" s="16" t="n">
        <v>1036.31</v>
      </c>
      <c r="Q126" s="16" t="n">
        <v>1036.31</v>
      </c>
      <c r="R126" s="16" t="n">
        <v>1036.31</v>
      </c>
      <c r="S126" s="16" t="n">
        <v>1036.31</v>
      </c>
      <c r="T126" s="16" t="n">
        <v>1036.31</v>
      </c>
      <c r="U126" s="16" t="n">
        <v>350</v>
      </c>
      <c r="V126" s="16" t="n">
        <v>250</v>
      </c>
      <c r="W126" s="16">
        <f>U126+V126</f>
        <v/>
      </c>
    </row>
    <row r="127">
      <c r="A127" s="3" t="inlineStr">
        <is>
          <t>CANON-202604-005414</t>
        </is>
      </c>
      <c r="B127" s="3" t="inlineStr">
        <is>
          <t>2026-04-24</t>
        </is>
      </c>
      <c r="C127" s="3" t="inlineStr">
        <is>
          <t>Ramona Vandermeer</t>
        </is>
      </c>
      <c r="D127" s="3" t="inlineStr">
        <is>
          <t>AR</t>
        </is>
      </c>
      <c r="E127" s="14" t="n">
        <v>660000</v>
      </c>
      <c r="F127" s="14" t="n">
        <v>9276.84</v>
      </c>
      <c r="G127" s="14" t="n">
        <v>1159.61</v>
      </c>
      <c r="H127" s="14" t="n">
        <v>1159.61</v>
      </c>
      <c r="I127" s="14">
        <f>SUM(K127:T127)</f>
        <v/>
      </c>
      <c r="J127" s="14">
        <f>F127-(G127+H127+I127)</f>
        <v/>
      </c>
      <c r="K127" s="14" t="n">
        <v>695.76</v>
      </c>
      <c r="L127" s="14" t="n">
        <v>695.76</v>
      </c>
      <c r="M127" s="14" t="n">
        <v>695.76</v>
      </c>
      <c r="N127" s="14" t="n">
        <v>695.76</v>
      </c>
      <c r="O127" s="14" t="n">
        <v>695.76</v>
      </c>
      <c r="P127" s="14" t="n">
        <v>695.76</v>
      </c>
      <c r="Q127" s="14" t="n">
        <v>695.76</v>
      </c>
      <c r="R127" s="14" t="n">
        <v>695.76</v>
      </c>
      <c r="S127" s="14" t="n">
        <v>695.76</v>
      </c>
      <c r="T127" s="14" t="n">
        <v>695.76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CANON-202604-005415</t>
        </is>
      </c>
      <c r="B128" s="15" t="inlineStr">
        <is>
          <t>2026-04-26</t>
        </is>
      </c>
      <c r="C128" s="15" t="inlineStr">
        <is>
          <t>Thaddeus Fairweather</t>
        </is>
      </c>
      <c r="D128" s="15" t="inlineStr">
        <is>
          <t>DE</t>
        </is>
      </c>
      <c r="E128" s="16" t="n">
        <v>750000</v>
      </c>
      <c r="F128" s="16" t="n">
        <v>9548.790000000001</v>
      </c>
      <c r="G128" s="16" t="n">
        <v>1193.6</v>
      </c>
      <c r="H128" s="16" t="n">
        <v>1193.6</v>
      </c>
      <c r="I128" s="16">
        <f>SUM(K128:T128)</f>
        <v/>
      </c>
      <c r="J128" s="16">
        <f>F128-(G128+H128+I128)</f>
        <v/>
      </c>
      <c r="K128" s="16" t="n">
        <v>716.16</v>
      </c>
      <c r="L128" s="16" t="n">
        <v>716.16</v>
      </c>
      <c r="M128" s="16" t="n">
        <v>716.16</v>
      </c>
      <c r="N128" s="16" t="n">
        <v>716.16</v>
      </c>
      <c r="O128" s="16" t="n">
        <v>716.16</v>
      </c>
      <c r="P128" s="16" t="n">
        <v>716.16</v>
      </c>
      <c r="Q128" s="16" t="n">
        <v>716.16</v>
      </c>
      <c r="R128" s="16" t="n">
        <v>716.16</v>
      </c>
      <c r="S128" s="16" t="n">
        <v>716.16</v>
      </c>
      <c r="T128" s="16" t="n">
        <v>716.16</v>
      </c>
      <c r="U128" s="16" t="n">
        <v>350</v>
      </c>
      <c r="V128" s="16" t="n">
        <v>0</v>
      </c>
      <c r="W128" s="16">
        <f>U128+V128</f>
        <v/>
      </c>
    </row>
    <row r="129">
      <c r="A129" s="3" t="inlineStr">
        <is>
          <t>CANON-202604-005417</t>
        </is>
      </c>
      <c r="B129" s="3" t="inlineStr">
        <is>
          <t>2026-04-13</t>
        </is>
      </c>
      <c r="C129" s="3" t="inlineStr">
        <is>
          <t>Saoirse Bellandi</t>
        </is>
      </c>
      <c r="D129" s="3" t="inlineStr">
        <is>
          <t>WI</t>
        </is>
      </c>
      <c r="E129" s="14" t="n">
        <v>340000</v>
      </c>
      <c r="F129" s="14" t="n">
        <v>3068.77</v>
      </c>
      <c r="G129" s="14" t="n">
        <v>383.6</v>
      </c>
      <c r="H129" s="14" t="n">
        <v>383.6</v>
      </c>
      <c r="I129" s="14">
        <f>SUM(K129:T129)</f>
        <v/>
      </c>
      <c r="J129" s="14">
        <f>F129-(G129+H129+I129)</f>
        <v/>
      </c>
      <c r="K129" s="14" t="n">
        <v>230.16</v>
      </c>
      <c r="L129" s="14" t="n">
        <v>230.16</v>
      </c>
      <c r="M129" s="14" t="n">
        <v>230.16</v>
      </c>
      <c r="N129" s="14" t="n">
        <v>230.16</v>
      </c>
      <c r="O129" s="14" t="n">
        <v>230.16</v>
      </c>
      <c r="P129" s="14" t="n">
        <v>230.16</v>
      </c>
      <c r="Q129" s="14" t="n">
        <v>230.16</v>
      </c>
      <c r="R129" s="14" t="n">
        <v>230.16</v>
      </c>
      <c r="S129" s="14" t="n">
        <v>230.16</v>
      </c>
      <c r="T129" s="14" t="n">
        <v>230.16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CANON-202604-005418</t>
        </is>
      </c>
      <c r="B130" s="15" t="inlineStr">
        <is>
          <t>2026-04-13</t>
        </is>
      </c>
      <c r="C130" s="15" t="inlineStr">
        <is>
          <t>Wilhelmina Underwood</t>
        </is>
      </c>
      <c r="D130" s="15" t="inlineStr">
        <is>
          <t>CA</t>
        </is>
      </c>
      <c r="E130" s="16" t="n">
        <v>1255000</v>
      </c>
      <c r="F130" s="16" t="n">
        <v>10088.46</v>
      </c>
      <c r="G130" s="16" t="n">
        <v>1261.06</v>
      </c>
      <c r="H130" s="16" t="n">
        <v>1261.06</v>
      </c>
      <c r="I130" s="16">
        <f>SUM(K130:T130)</f>
        <v/>
      </c>
      <c r="J130" s="16">
        <f>F130-(G130+H130+I130)</f>
        <v/>
      </c>
      <c r="K130" s="16" t="n">
        <v>756.63</v>
      </c>
      <c r="L130" s="16" t="n">
        <v>756.63</v>
      </c>
      <c r="M130" s="16" t="n">
        <v>756.63</v>
      </c>
      <c r="N130" s="16" t="n">
        <v>756.63</v>
      </c>
      <c r="O130" s="16" t="n">
        <v>756.63</v>
      </c>
      <c r="P130" s="16" t="n">
        <v>756.63</v>
      </c>
      <c r="Q130" s="16" t="n">
        <v>756.63</v>
      </c>
      <c r="R130" s="16" t="n">
        <v>756.63</v>
      </c>
      <c r="S130" s="16" t="n">
        <v>756.63</v>
      </c>
      <c r="T130" s="16" t="n">
        <v>756.63</v>
      </c>
      <c r="U130" s="16" t="n">
        <v>350</v>
      </c>
      <c r="V130" s="16" t="n">
        <v>250</v>
      </c>
      <c r="W130" s="16">
        <f>U130+V130</f>
        <v/>
      </c>
    </row>
    <row r="131">
      <c r="A131" s="3" t="inlineStr">
        <is>
          <t>CANON-202604-005423</t>
        </is>
      </c>
      <c r="B131" s="3" t="inlineStr">
        <is>
          <t>2026-04-10</t>
        </is>
      </c>
      <c r="C131" s="3" t="inlineStr">
        <is>
          <t>Sunniva Farkas</t>
        </is>
      </c>
      <c r="D131" s="3" t="inlineStr">
        <is>
          <t>ME</t>
        </is>
      </c>
      <c r="E131" s="14" t="n">
        <v>230000</v>
      </c>
      <c r="F131" s="14" t="n">
        <v>3580.99</v>
      </c>
      <c r="G131" s="14" t="n">
        <v>447.62</v>
      </c>
      <c r="H131" s="14" t="n">
        <v>447.62</v>
      </c>
      <c r="I131" s="14">
        <f>SUM(K131:T131)</f>
        <v/>
      </c>
      <c r="J131" s="14">
        <f>F131-(G131+H131+I131)</f>
        <v/>
      </c>
      <c r="K131" s="14" t="n">
        <v>268.57</v>
      </c>
      <c r="L131" s="14" t="n">
        <v>268.57</v>
      </c>
      <c r="M131" s="14" t="n">
        <v>268.57</v>
      </c>
      <c r="N131" s="14" t="n">
        <v>268.57</v>
      </c>
      <c r="O131" s="14" t="n">
        <v>268.57</v>
      </c>
      <c r="P131" s="14" t="n">
        <v>268.57</v>
      </c>
      <c r="Q131" s="14" t="n">
        <v>268.57</v>
      </c>
      <c r="R131" s="14" t="n">
        <v>268.57</v>
      </c>
      <c r="S131" s="14" t="n">
        <v>268.57</v>
      </c>
      <c r="T131" s="14" t="n">
        <v>268.57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CANON-202604-005424</t>
        </is>
      </c>
      <c r="B132" s="15" t="inlineStr">
        <is>
          <t>2026-04-27</t>
        </is>
      </c>
      <c r="C132" s="15" t="inlineStr">
        <is>
          <t>Mireille Rourke</t>
        </is>
      </c>
      <c r="D132" s="15" t="inlineStr">
        <is>
          <t>IN</t>
        </is>
      </c>
      <c r="E132" s="16" t="n">
        <v>310000</v>
      </c>
      <c r="F132" s="16" t="n">
        <v>4481.17</v>
      </c>
      <c r="G132" s="16" t="n">
        <v>560.15</v>
      </c>
      <c r="H132" s="16" t="n">
        <v>560.15</v>
      </c>
      <c r="I132" s="16">
        <f>SUM(K132:T132)</f>
        <v/>
      </c>
      <c r="J132" s="16">
        <f>F132-(G132+H132+I132)</f>
        <v/>
      </c>
      <c r="K132" s="16" t="n">
        <v>336.09</v>
      </c>
      <c r="L132" s="16" t="n">
        <v>336.09</v>
      </c>
      <c r="M132" s="16" t="n">
        <v>336.09</v>
      </c>
      <c r="N132" s="16" t="n">
        <v>336.09</v>
      </c>
      <c r="O132" s="16" t="n">
        <v>336.09</v>
      </c>
      <c r="P132" s="16" t="n">
        <v>336.09</v>
      </c>
      <c r="Q132" s="16" t="n">
        <v>336.09</v>
      </c>
      <c r="R132" s="16" t="n">
        <v>336.09</v>
      </c>
      <c r="S132" s="16" t="n">
        <v>336.09</v>
      </c>
      <c r="T132" s="16" t="n">
        <v>336.09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CANON-202604-005425</t>
        </is>
      </c>
      <c r="B133" s="3" t="inlineStr">
        <is>
          <t>2026-04-02</t>
        </is>
      </c>
      <c r="C133" s="3" t="inlineStr">
        <is>
          <t>Leopold Okonkwo</t>
        </is>
      </c>
      <c r="D133" s="3" t="inlineStr">
        <is>
          <t>FL</t>
        </is>
      </c>
      <c r="E133" s="14" t="n">
        <v>500000</v>
      </c>
      <c r="F133" s="14" t="n">
        <v>4227.72</v>
      </c>
      <c r="G133" s="14" t="n">
        <v>528.47</v>
      </c>
      <c r="H133" s="14" t="n">
        <v>528.47</v>
      </c>
      <c r="I133" s="14">
        <f>SUM(K133:T133)</f>
        <v/>
      </c>
      <c r="J133" s="14">
        <f>F133-(G133+H133+I133)</f>
        <v/>
      </c>
      <c r="K133" s="14" t="n">
        <v>317.08</v>
      </c>
      <c r="L133" s="14" t="n">
        <v>317.08</v>
      </c>
      <c r="M133" s="14" t="n">
        <v>317.08</v>
      </c>
      <c r="N133" s="14" t="n">
        <v>317.08</v>
      </c>
      <c r="O133" s="14" t="n">
        <v>317.08</v>
      </c>
      <c r="P133" s="14" t="n">
        <v>317.08</v>
      </c>
      <c r="Q133" s="14" t="n">
        <v>317.08</v>
      </c>
      <c r="R133" s="14" t="n">
        <v>317.08</v>
      </c>
      <c r="S133" s="14" t="n">
        <v>317.08</v>
      </c>
      <c r="T133" s="14" t="n">
        <v>317.08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CANON-202604-005428</t>
        </is>
      </c>
      <c r="B134" s="15" t="inlineStr">
        <is>
          <t>2026-04-24</t>
        </is>
      </c>
      <c r="C134" s="15" t="inlineStr">
        <is>
          <t>Wilhelmina Okonkwo</t>
        </is>
      </c>
      <c r="D134" s="15" t="inlineStr">
        <is>
          <t>NH</t>
        </is>
      </c>
      <c r="E134" s="16" t="n">
        <v>670000</v>
      </c>
      <c r="F134" s="16" t="n">
        <v>7097.17</v>
      </c>
      <c r="G134" s="16" t="n">
        <v>887.15</v>
      </c>
      <c r="H134" s="16" t="n">
        <v>887.15</v>
      </c>
      <c r="I134" s="16">
        <f>SUM(K134:T134)</f>
        <v/>
      </c>
      <c r="J134" s="16">
        <f>F134-(G134+H134+I134)</f>
        <v/>
      </c>
      <c r="K134" s="16" t="n">
        <v>532.29</v>
      </c>
      <c r="L134" s="16" t="n">
        <v>532.29</v>
      </c>
      <c r="M134" s="16" t="n">
        <v>532.29</v>
      </c>
      <c r="N134" s="16" t="n">
        <v>532.29</v>
      </c>
      <c r="O134" s="16" t="n">
        <v>532.29</v>
      </c>
      <c r="P134" s="16" t="n">
        <v>532.29</v>
      </c>
      <c r="Q134" s="16" t="n">
        <v>532.29</v>
      </c>
      <c r="R134" s="16" t="n">
        <v>532.29</v>
      </c>
      <c r="S134" s="16" t="n">
        <v>532.29</v>
      </c>
      <c r="T134" s="16" t="n">
        <v>532.29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CANON-202604-005429</t>
        </is>
      </c>
      <c r="B135" s="3" t="inlineStr">
        <is>
          <t>2026-04-09</t>
        </is>
      </c>
      <c r="C135" s="3" t="inlineStr">
        <is>
          <t>Beatrix Fairweather</t>
        </is>
      </c>
      <c r="D135" s="3" t="inlineStr">
        <is>
          <t>RI</t>
        </is>
      </c>
      <c r="E135" s="14" t="n">
        <v>330000</v>
      </c>
      <c r="F135" s="14" t="n">
        <v>5313.24</v>
      </c>
      <c r="G135" s="14" t="n">
        <v>664.15</v>
      </c>
      <c r="H135" s="14" t="n">
        <v>664.15</v>
      </c>
      <c r="I135" s="14">
        <f>SUM(K135:T135)</f>
        <v/>
      </c>
      <c r="J135" s="14">
        <f>F135-(G135+H135+I135)</f>
        <v/>
      </c>
      <c r="K135" s="14" t="n">
        <v>398.49</v>
      </c>
      <c r="L135" s="14" t="n">
        <v>398.49</v>
      </c>
      <c r="M135" s="14" t="n">
        <v>398.49</v>
      </c>
      <c r="N135" s="14" t="n">
        <v>398.49</v>
      </c>
      <c r="O135" s="14" t="n">
        <v>398.49</v>
      </c>
      <c r="P135" s="14" t="n">
        <v>398.49</v>
      </c>
      <c r="Q135" s="14" t="n">
        <v>398.49</v>
      </c>
      <c r="R135" s="14" t="n">
        <v>398.49</v>
      </c>
      <c r="S135" s="14" t="n">
        <v>398.49</v>
      </c>
      <c r="T135" s="14" t="n">
        <v>398.49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CANON-202604-005431</t>
        </is>
      </c>
      <c r="B136" s="15" t="inlineStr">
        <is>
          <t>2026-04-21</t>
        </is>
      </c>
      <c r="C136" s="15" t="inlineStr">
        <is>
          <t>Leopold Bellandi</t>
        </is>
      </c>
      <c r="D136" s="15" t="inlineStr">
        <is>
          <t>CT</t>
        </is>
      </c>
      <c r="E136" s="16" t="n">
        <v>465000</v>
      </c>
      <c r="F136" s="16" t="n">
        <v>6120.63</v>
      </c>
      <c r="G136" s="16" t="n">
        <v>765.08</v>
      </c>
      <c r="H136" s="16" t="n">
        <v>765.08</v>
      </c>
      <c r="I136" s="16">
        <f>SUM(K136:T136)</f>
        <v/>
      </c>
      <c r="J136" s="16">
        <f>F136-(G136+H136+I136)</f>
        <v/>
      </c>
      <c r="K136" s="16" t="n">
        <v>459.05</v>
      </c>
      <c r="L136" s="16" t="n">
        <v>459.05</v>
      </c>
      <c r="M136" s="16" t="n">
        <v>459.05</v>
      </c>
      <c r="N136" s="16" t="n">
        <v>459.05</v>
      </c>
      <c r="O136" s="16" t="n">
        <v>459.05</v>
      </c>
      <c r="P136" s="16" t="n">
        <v>459.05</v>
      </c>
      <c r="Q136" s="16" t="n">
        <v>459.05</v>
      </c>
      <c r="R136" s="16" t="n">
        <v>459.05</v>
      </c>
      <c r="S136" s="16" t="n">
        <v>459.05</v>
      </c>
      <c r="T136" s="16" t="n">
        <v>459.05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CANON-202604-005432</t>
        </is>
      </c>
      <c r="B137" s="3" t="inlineStr">
        <is>
          <t>2026-04-16</t>
        </is>
      </c>
      <c r="C137" s="3" t="inlineStr">
        <is>
          <t>Aurelio Pennington</t>
        </is>
      </c>
      <c r="D137" s="3" t="inlineStr">
        <is>
          <t>TX</t>
        </is>
      </c>
      <c r="E137" s="14" t="n">
        <v>1070000</v>
      </c>
      <c r="F137" s="14" t="n">
        <v>7327.04</v>
      </c>
      <c r="G137" s="14" t="n">
        <v>915.88</v>
      </c>
      <c r="H137" s="14" t="n">
        <v>915.88</v>
      </c>
      <c r="I137" s="14">
        <f>SUM(K137:T137)</f>
        <v/>
      </c>
      <c r="J137" s="14">
        <f>F137-(G137+H137+I137)</f>
        <v/>
      </c>
      <c r="K137" s="14" t="n">
        <v>549.53</v>
      </c>
      <c r="L137" s="14" t="n">
        <v>549.53</v>
      </c>
      <c r="M137" s="14" t="n">
        <v>549.53</v>
      </c>
      <c r="N137" s="14" t="n">
        <v>549.53</v>
      </c>
      <c r="O137" s="14" t="n">
        <v>549.53</v>
      </c>
      <c r="P137" s="14" t="n">
        <v>549.53</v>
      </c>
      <c r="Q137" s="14" t="n">
        <v>549.53</v>
      </c>
      <c r="R137" s="14" t="n">
        <v>549.53</v>
      </c>
      <c r="S137" s="14" t="n">
        <v>549.53</v>
      </c>
      <c r="T137" s="14" t="n">
        <v>549.53</v>
      </c>
      <c r="U137" s="14" t="n">
        <v>350</v>
      </c>
      <c r="V137" s="14" t="n">
        <v>250</v>
      </c>
      <c r="W137" s="14">
        <f>U137+V137</f>
        <v/>
      </c>
    </row>
    <row r="138">
      <c r="A138" s="15" t="inlineStr">
        <is>
          <t>CANON-202604-005433</t>
        </is>
      </c>
      <c r="B138" s="15" t="inlineStr">
        <is>
          <t>2026-04-01</t>
        </is>
      </c>
      <c r="C138" s="15" t="inlineStr">
        <is>
          <t>Noor Farkas</t>
        </is>
      </c>
      <c r="D138" s="15" t="inlineStr">
        <is>
          <t>OK</t>
        </is>
      </c>
      <c r="E138" s="16" t="n">
        <v>235000</v>
      </c>
      <c r="F138" s="16" t="n">
        <v>6588.56</v>
      </c>
      <c r="G138" s="16" t="n">
        <v>823.5700000000001</v>
      </c>
      <c r="H138" s="16" t="n">
        <v>823.5700000000001</v>
      </c>
      <c r="I138" s="16">
        <f>SUM(K138:T138)</f>
        <v/>
      </c>
      <c r="J138" s="16">
        <f>F138-(G138+H138+I138)</f>
        <v/>
      </c>
      <c r="K138" s="16" t="n">
        <v>494.14</v>
      </c>
      <c r="L138" s="16" t="n">
        <v>494.14</v>
      </c>
      <c r="M138" s="16" t="n">
        <v>494.14</v>
      </c>
      <c r="N138" s="16" t="n">
        <v>494.14</v>
      </c>
      <c r="O138" s="16" t="n">
        <v>494.14</v>
      </c>
      <c r="P138" s="16" t="n">
        <v>494.14</v>
      </c>
      <c r="Q138" s="16" t="n">
        <v>494.14</v>
      </c>
      <c r="R138" s="16" t="n">
        <v>494.14</v>
      </c>
      <c r="S138" s="16" t="n">
        <v>494.14</v>
      </c>
      <c r="T138" s="16" t="n">
        <v>494.14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CANON-202604-005434</t>
        </is>
      </c>
      <c r="B139" s="3" t="inlineStr">
        <is>
          <t>2026-04-26</t>
        </is>
      </c>
      <c r="C139" s="3" t="inlineStr">
        <is>
          <t>Ingrid Ashcombe</t>
        </is>
      </c>
      <c r="D139" s="3" t="inlineStr">
        <is>
          <t>MI</t>
        </is>
      </c>
      <c r="E139" s="14" t="n">
        <v>235000</v>
      </c>
      <c r="F139" s="14" t="n">
        <v>5251.11</v>
      </c>
      <c r="G139" s="14" t="n">
        <v>656.39</v>
      </c>
      <c r="H139" s="14" t="n">
        <v>656.39</v>
      </c>
      <c r="I139" s="14">
        <f>SUM(K139:T139)</f>
        <v/>
      </c>
      <c r="J139" s="14">
        <f>F139-(G139+H139+I139)</f>
        <v/>
      </c>
      <c r="K139" s="14" t="n">
        <v>393.83</v>
      </c>
      <c r="L139" s="14" t="n">
        <v>393.83</v>
      </c>
      <c r="M139" s="14" t="n">
        <v>393.83</v>
      </c>
      <c r="N139" s="14" t="n">
        <v>393.83</v>
      </c>
      <c r="O139" s="14" t="n">
        <v>393.83</v>
      </c>
      <c r="P139" s="14" t="n">
        <v>393.83</v>
      </c>
      <c r="Q139" s="14" t="n">
        <v>393.83</v>
      </c>
      <c r="R139" s="14" t="n">
        <v>393.83</v>
      </c>
      <c r="S139" s="14" t="n">
        <v>393.83</v>
      </c>
      <c r="T139" s="14" t="n">
        <v>393.83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CANON-202604-005435</t>
        </is>
      </c>
      <c r="B140" s="15" t="inlineStr">
        <is>
          <t>2026-04-23</t>
        </is>
      </c>
      <c r="C140" s="15" t="inlineStr">
        <is>
          <t>Mireille Chattopadhyay</t>
        </is>
      </c>
      <c r="D140" s="15" t="inlineStr">
        <is>
          <t>MI</t>
        </is>
      </c>
      <c r="E140" s="16" t="n">
        <v>1255000</v>
      </c>
      <c r="F140" s="16" t="n">
        <v>24385.36</v>
      </c>
      <c r="G140" s="16" t="n">
        <v>3048.17</v>
      </c>
      <c r="H140" s="16" t="n">
        <v>3048.17</v>
      </c>
      <c r="I140" s="16">
        <f>SUM(K140:T140)</f>
        <v/>
      </c>
      <c r="J140" s="16">
        <f>F140-(G140+H140+I140)</f>
        <v/>
      </c>
      <c r="K140" s="16" t="n">
        <v>1828.9</v>
      </c>
      <c r="L140" s="16" t="n">
        <v>1828.9</v>
      </c>
      <c r="M140" s="16" t="n">
        <v>1828.9</v>
      </c>
      <c r="N140" s="16" t="n">
        <v>1828.9</v>
      </c>
      <c r="O140" s="16" t="n">
        <v>1828.9</v>
      </c>
      <c r="P140" s="16" t="n">
        <v>1828.9</v>
      </c>
      <c r="Q140" s="16" t="n">
        <v>1828.9</v>
      </c>
      <c r="R140" s="16" t="n">
        <v>1828.9</v>
      </c>
      <c r="S140" s="16" t="n">
        <v>1828.9</v>
      </c>
      <c r="T140" s="16" t="n">
        <v>1828.9</v>
      </c>
      <c r="U140" s="16" t="n">
        <v>350</v>
      </c>
      <c r="V140" s="16" t="n">
        <v>250</v>
      </c>
      <c r="W140" s="16">
        <f>U140+V140</f>
        <v/>
      </c>
    </row>
    <row r="141">
      <c r="A141" s="3" t="inlineStr">
        <is>
          <t>CANON-202604-005436</t>
        </is>
      </c>
      <c r="B141" s="3" t="inlineStr">
        <is>
          <t>2026-04-22</t>
        </is>
      </c>
      <c r="C141" s="3" t="inlineStr">
        <is>
          <t>Horace Blackwood</t>
        </is>
      </c>
      <c r="D141" s="3" t="inlineStr">
        <is>
          <t>KY</t>
        </is>
      </c>
      <c r="E141" s="14" t="n">
        <v>265000</v>
      </c>
      <c r="F141" s="14" t="n">
        <v>4173.26</v>
      </c>
      <c r="G141" s="14" t="n">
        <v>521.66</v>
      </c>
      <c r="H141" s="14" t="n">
        <v>521.66</v>
      </c>
      <c r="I141" s="14">
        <f>SUM(K141:T141)</f>
        <v/>
      </c>
      <c r="J141" s="14">
        <f>F141-(G141+H141+I141)</f>
        <v/>
      </c>
      <c r="K141" s="14" t="n">
        <v>312.99</v>
      </c>
      <c r="L141" s="14" t="n">
        <v>312.99</v>
      </c>
      <c r="M141" s="14" t="n">
        <v>312.99</v>
      </c>
      <c r="N141" s="14" t="n">
        <v>312.99</v>
      </c>
      <c r="O141" s="14" t="n">
        <v>312.99</v>
      </c>
      <c r="P141" s="14" t="n">
        <v>312.99</v>
      </c>
      <c r="Q141" s="14" t="n">
        <v>312.99</v>
      </c>
      <c r="R141" s="14" t="n">
        <v>312.99</v>
      </c>
      <c r="S141" s="14" t="n">
        <v>312.99</v>
      </c>
      <c r="T141" s="14" t="n">
        <v>312.99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CANON-202604-005438</t>
        </is>
      </c>
      <c r="B142" s="15" t="inlineStr">
        <is>
          <t>2026-04-01</t>
        </is>
      </c>
      <c r="C142" s="15" t="inlineStr">
        <is>
          <t>Ottilie Ashcombe</t>
        </is>
      </c>
      <c r="D142" s="15" t="inlineStr">
        <is>
          <t>ME</t>
        </is>
      </c>
      <c r="E142" s="16" t="n">
        <v>480000</v>
      </c>
      <c r="F142" s="16" t="n">
        <v>6092.42</v>
      </c>
      <c r="G142" s="16" t="n">
        <v>761.55</v>
      </c>
      <c r="H142" s="16" t="n">
        <v>761.55</v>
      </c>
      <c r="I142" s="16">
        <f>SUM(K142:T142)</f>
        <v/>
      </c>
      <c r="J142" s="16">
        <f>F142-(G142+H142+I142)</f>
        <v/>
      </c>
      <c r="K142" s="16" t="n">
        <v>456.93</v>
      </c>
      <c r="L142" s="16" t="n">
        <v>456.93</v>
      </c>
      <c r="M142" s="16" t="n">
        <v>456.93</v>
      </c>
      <c r="N142" s="16" t="n">
        <v>456.93</v>
      </c>
      <c r="O142" s="16" t="n">
        <v>456.93</v>
      </c>
      <c r="P142" s="16" t="n">
        <v>456.93</v>
      </c>
      <c r="Q142" s="16" t="n">
        <v>456.93</v>
      </c>
      <c r="R142" s="16" t="n">
        <v>456.93</v>
      </c>
      <c r="S142" s="16" t="n">
        <v>456.93</v>
      </c>
      <c r="T142" s="16" t="n">
        <v>456.93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CANON-202604-005439</t>
        </is>
      </c>
      <c r="B143" s="3" t="inlineStr">
        <is>
          <t>2026-04-02</t>
        </is>
      </c>
      <c r="C143" s="3" t="inlineStr">
        <is>
          <t>Aurelio Fairweather</t>
        </is>
      </c>
      <c r="D143" s="3" t="inlineStr">
        <is>
          <t>NY</t>
        </is>
      </c>
      <c r="E143" s="14" t="n">
        <v>1380000</v>
      </c>
      <c r="F143" s="14" t="n">
        <v>15223.54</v>
      </c>
      <c r="G143" s="14" t="n">
        <v>1902.94</v>
      </c>
      <c r="H143" s="14" t="n">
        <v>1902.94</v>
      </c>
      <c r="I143" s="14">
        <f>SUM(K143:T143)</f>
        <v/>
      </c>
      <c r="J143" s="14">
        <f>F143-(G143+H143+I143)</f>
        <v/>
      </c>
      <c r="K143" s="14" t="n">
        <v>1141.77</v>
      </c>
      <c r="L143" s="14" t="n">
        <v>1141.77</v>
      </c>
      <c r="M143" s="14" t="n">
        <v>1141.77</v>
      </c>
      <c r="N143" s="14" t="n">
        <v>1141.77</v>
      </c>
      <c r="O143" s="14" t="n">
        <v>1141.77</v>
      </c>
      <c r="P143" s="14" t="n">
        <v>1141.77</v>
      </c>
      <c r="Q143" s="14" t="n">
        <v>1141.77</v>
      </c>
      <c r="R143" s="14" t="n">
        <v>1141.77</v>
      </c>
      <c r="S143" s="14" t="n">
        <v>1141.77</v>
      </c>
      <c r="T143" s="14" t="n">
        <v>1141.77</v>
      </c>
      <c r="U143" s="14" t="n">
        <v>350</v>
      </c>
      <c r="V143" s="14" t="n">
        <v>250</v>
      </c>
      <c r="W143" s="14">
        <f>U143+V143</f>
        <v/>
      </c>
    </row>
    <row r="144">
      <c r="A144" s="15" t="inlineStr">
        <is>
          <t>CANON-202604-005440</t>
        </is>
      </c>
      <c r="B144" s="15" t="inlineStr">
        <is>
          <t>2026-04-19</t>
        </is>
      </c>
      <c r="C144" s="15" t="inlineStr">
        <is>
          <t>Emiliano Ashcombe</t>
        </is>
      </c>
      <c r="D144" s="15" t="inlineStr">
        <is>
          <t>MA</t>
        </is>
      </c>
      <c r="E144" s="16" t="n">
        <v>1040000</v>
      </c>
      <c r="F144" s="16" t="n">
        <v>11203.92</v>
      </c>
      <c r="G144" s="16" t="n">
        <v>1400.49</v>
      </c>
      <c r="H144" s="16" t="n">
        <v>1400.49</v>
      </c>
      <c r="I144" s="16">
        <f>SUM(K144:T144)</f>
        <v/>
      </c>
      <c r="J144" s="16">
        <f>F144-(G144+H144+I144)</f>
        <v/>
      </c>
      <c r="K144" s="16" t="n">
        <v>840.29</v>
      </c>
      <c r="L144" s="16" t="n">
        <v>840.29</v>
      </c>
      <c r="M144" s="16" t="n">
        <v>840.29</v>
      </c>
      <c r="N144" s="16" t="n">
        <v>840.29</v>
      </c>
      <c r="O144" s="16" t="n">
        <v>840.29</v>
      </c>
      <c r="P144" s="16" t="n">
        <v>840.29</v>
      </c>
      <c r="Q144" s="16" t="n">
        <v>840.29</v>
      </c>
      <c r="R144" s="16" t="n">
        <v>840.29</v>
      </c>
      <c r="S144" s="16" t="n">
        <v>840.29</v>
      </c>
      <c r="T144" s="16" t="n">
        <v>840.29</v>
      </c>
      <c r="U144" s="16" t="n">
        <v>350</v>
      </c>
      <c r="V144" s="16" t="n">
        <v>250</v>
      </c>
      <c r="W144" s="16">
        <f>U144+V144</f>
        <v/>
      </c>
    </row>
    <row r="145">
      <c r="A145" s="3" t="inlineStr">
        <is>
          <t>CANON-202604-005441</t>
        </is>
      </c>
      <c r="B145" s="3" t="inlineStr">
        <is>
          <t>2026-04-05</t>
        </is>
      </c>
      <c r="C145" s="3" t="inlineStr">
        <is>
          <t>Fenwick Fairweather</t>
        </is>
      </c>
      <c r="D145" s="3" t="inlineStr">
        <is>
          <t>HI</t>
        </is>
      </c>
      <c r="E145" s="14" t="n">
        <v>1115000</v>
      </c>
      <c r="F145" s="14" t="n">
        <v>12492.36</v>
      </c>
      <c r="G145" s="14" t="n">
        <v>1561.55</v>
      </c>
      <c r="H145" s="14" t="n">
        <v>1561.55</v>
      </c>
      <c r="I145" s="14">
        <f>SUM(K145:T145)</f>
        <v/>
      </c>
      <c r="J145" s="14">
        <f>F145-(G145+H145+I145)</f>
        <v/>
      </c>
      <c r="K145" s="14" t="n">
        <v>936.9299999999999</v>
      </c>
      <c r="L145" s="14" t="n">
        <v>936.9299999999999</v>
      </c>
      <c r="M145" s="14" t="n">
        <v>936.9299999999999</v>
      </c>
      <c r="N145" s="14" t="n">
        <v>936.9299999999999</v>
      </c>
      <c r="O145" s="14" t="n">
        <v>936.9299999999999</v>
      </c>
      <c r="P145" s="14" t="n">
        <v>936.9299999999999</v>
      </c>
      <c r="Q145" s="14" t="n">
        <v>936.9299999999999</v>
      </c>
      <c r="R145" s="14" t="n">
        <v>936.9299999999999</v>
      </c>
      <c r="S145" s="14" t="n">
        <v>936.9299999999999</v>
      </c>
      <c r="T145" s="14" t="n">
        <v>936.9299999999999</v>
      </c>
      <c r="U145" s="14" t="n">
        <v>350</v>
      </c>
      <c r="V145" s="14" t="n">
        <v>250</v>
      </c>
      <c r="W145" s="14">
        <f>U145+V145</f>
        <v/>
      </c>
    </row>
    <row r="146">
      <c r="A146" s="15" t="inlineStr">
        <is>
          <t>CANON-202604-005442</t>
        </is>
      </c>
      <c r="B146" s="15" t="inlineStr">
        <is>
          <t>2026-04-30</t>
        </is>
      </c>
      <c r="C146" s="15" t="inlineStr">
        <is>
          <t>Sunniva Okonkwo</t>
        </is>
      </c>
      <c r="D146" s="15" t="inlineStr">
        <is>
          <t>MD</t>
        </is>
      </c>
      <c r="E146" s="16" t="n">
        <v>550000</v>
      </c>
      <c r="F146" s="16" t="n">
        <v>5321.86</v>
      </c>
      <c r="G146" s="16" t="n">
        <v>665.23</v>
      </c>
      <c r="H146" s="16" t="n">
        <v>665.23</v>
      </c>
      <c r="I146" s="16">
        <f>SUM(K146:T146)</f>
        <v/>
      </c>
      <c r="J146" s="16">
        <f>F146-(G146+H146+I146)</f>
        <v/>
      </c>
      <c r="K146" s="16" t="n">
        <v>399.14</v>
      </c>
      <c r="L146" s="16" t="n">
        <v>399.14</v>
      </c>
      <c r="M146" s="16" t="n">
        <v>399.14</v>
      </c>
      <c r="N146" s="16" t="n">
        <v>399.14</v>
      </c>
      <c r="O146" s="16" t="n">
        <v>399.14</v>
      </c>
      <c r="P146" s="16" t="n">
        <v>399.14</v>
      </c>
      <c r="Q146" s="16" t="n">
        <v>399.14</v>
      </c>
      <c r="R146" s="16" t="n">
        <v>399.14</v>
      </c>
      <c r="S146" s="16" t="n">
        <v>399.14</v>
      </c>
      <c r="T146" s="16" t="n">
        <v>399.14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CANON-202604-005444</t>
        </is>
      </c>
      <c r="B147" s="3" t="inlineStr">
        <is>
          <t>2026-04-21</t>
        </is>
      </c>
      <c r="C147" s="3" t="inlineStr">
        <is>
          <t>Horace Harrington</t>
        </is>
      </c>
      <c r="D147" s="3" t="inlineStr">
        <is>
          <t>IL</t>
        </is>
      </c>
      <c r="E147" s="14" t="n">
        <v>530000</v>
      </c>
      <c r="F147" s="14" t="n">
        <v>10730.06</v>
      </c>
      <c r="G147" s="14" t="n">
        <v>1341.26</v>
      </c>
      <c r="H147" s="14" t="n">
        <v>1341.26</v>
      </c>
      <c r="I147" s="14">
        <f>SUM(K147:T147)</f>
        <v/>
      </c>
      <c r="J147" s="14">
        <f>F147-(G147+H147+I147)</f>
        <v/>
      </c>
      <c r="K147" s="14" t="n">
        <v>804.75</v>
      </c>
      <c r="L147" s="14" t="n">
        <v>804.75</v>
      </c>
      <c r="M147" s="14" t="n">
        <v>804.75</v>
      </c>
      <c r="N147" s="14" t="n">
        <v>804.75</v>
      </c>
      <c r="O147" s="14" t="n">
        <v>804.75</v>
      </c>
      <c r="P147" s="14" t="n">
        <v>804.75</v>
      </c>
      <c r="Q147" s="14" t="n">
        <v>804.75</v>
      </c>
      <c r="R147" s="14" t="n">
        <v>804.75</v>
      </c>
      <c r="S147" s="14" t="n">
        <v>804.75</v>
      </c>
      <c r="T147" s="14" t="n">
        <v>804.75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CANON-202604-005445</t>
        </is>
      </c>
      <c r="B148" s="15" t="inlineStr">
        <is>
          <t>2026-04-30</t>
        </is>
      </c>
      <c r="C148" s="15" t="inlineStr">
        <is>
          <t>Wilhelmina Montoya</t>
        </is>
      </c>
      <c r="D148" s="15" t="inlineStr">
        <is>
          <t>SC</t>
        </is>
      </c>
      <c r="E148" s="16" t="n">
        <v>940000</v>
      </c>
      <c r="F148" s="16" t="n">
        <v>11872.07</v>
      </c>
      <c r="G148" s="16" t="n">
        <v>1484.01</v>
      </c>
      <c r="H148" s="16" t="n">
        <v>1484.01</v>
      </c>
      <c r="I148" s="16">
        <f>SUM(K148:T148)</f>
        <v/>
      </c>
      <c r="J148" s="16">
        <f>F148-(G148+H148+I148)</f>
        <v/>
      </c>
      <c r="K148" s="16" t="n">
        <v>890.41</v>
      </c>
      <c r="L148" s="16" t="n">
        <v>890.41</v>
      </c>
      <c r="M148" s="16" t="n">
        <v>890.41</v>
      </c>
      <c r="N148" s="16" t="n">
        <v>890.41</v>
      </c>
      <c r="O148" s="16" t="n">
        <v>890.41</v>
      </c>
      <c r="P148" s="16" t="n">
        <v>890.41</v>
      </c>
      <c r="Q148" s="16" t="n">
        <v>890.41</v>
      </c>
      <c r="R148" s="16" t="n">
        <v>890.41</v>
      </c>
      <c r="S148" s="16" t="n">
        <v>890.41</v>
      </c>
      <c r="T148" s="16" t="n">
        <v>890.41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CANON-202604-005446</t>
        </is>
      </c>
      <c r="B149" s="3" t="inlineStr">
        <is>
          <t>2026-04-13</t>
        </is>
      </c>
      <c r="C149" s="3" t="inlineStr">
        <is>
          <t>Priya Delacroix</t>
        </is>
      </c>
      <c r="D149" s="3" t="inlineStr">
        <is>
          <t>GA</t>
        </is>
      </c>
      <c r="E149" s="14" t="n">
        <v>1070000</v>
      </c>
      <c r="F149" s="14" t="n">
        <v>10328.29</v>
      </c>
      <c r="G149" s="14" t="n">
        <v>1291.04</v>
      </c>
      <c r="H149" s="14" t="n">
        <v>1291.04</v>
      </c>
      <c r="I149" s="14">
        <f>SUM(K149:T149)</f>
        <v/>
      </c>
      <c r="J149" s="14">
        <f>F149-(G149+H149+I149)</f>
        <v/>
      </c>
      <c r="K149" s="14" t="n">
        <v>774.62</v>
      </c>
      <c r="L149" s="14" t="n">
        <v>774.62</v>
      </c>
      <c r="M149" s="14" t="n">
        <v>774.62</v>
      </c>
      <c r="N149" s="14" t="n">
        <v>774.62</v>
      </c>
      <c r="O149" s="14" t="n">
        <v>774.62</v>
      </c>
      <c r="P149" s="14" t="n">
        <v>774.62</v>
      </c>
      <c r="Q149" s="14" t="n">
        <v>774.62</v>
      </c>
      <c r="R149" s="14" t="n">
        <v>774.62</v>
      </c>
      <c r="S149" s="14" t="n">
        <v>774.62</v>
      </c>
      <c r="T149" s="14" t="n">
        <v>774.62</v>
      </c>
      <c r="U149" s="14" t="n">
        <v>350</v>
      </c>
      <c r="V149" s="14" t="n">
        <v>250</v>
      </c>
      <c r="W149" s="14">
        <f>U149+V149</f>
        <v/>
      </c>
    </row>
    <row r="150">
      <c r="A150" s="15" t="inlineStr">
        <is>
          <t>CANON-202604-005447</t>
        </is>
      </c>
      <c r="B150" s="15" t="inlineStr">
        <is>
          <t>2026-04-10</t>
        </is>
      </c>
      <c r="C150" s="15" t="inlineStr">
        <is>
          <t>Cassius Underwood</t>
        </is>
      </c>
      <c r="D150" s="15" t="inlineStr">
        <is>
          <t>OR</t>
        </is>
      </c>
      <c r="E150" s="16" t="n">
        <v>735000</v>
      </c>
      <c r="F150" s="16" t="n">
        <v>8459.459999999999</v>
      </c>
      <c r="G150" s="16" t="n">
        <v>1057.43</v>
      </c>
      <c r="H150" s="16" t="n">
        <v>1057.43</v>
      </c>
      <c r="I150" s="16">
        <f>SUM(K150:T150)</f>
        <v/>
      </c>
      <c r="J150" s="16">
        <f>F150-(G150+H150+I150)</f>
        <v/>
      </c>
      <c r="K150" s="16" t="n">
        <v>634.46</v>
      </c>
      <c r="L150" s="16" t="n">
        <v>634.46</v>
      </c>
      <c r="M150" s="16" t="n">
        <v>634.46</v>
      </c>
      <c r="N150" s="16" t="n">
        <v>634.46</v>
      </c>
      <c r="O150" s="16" t="n">
        <v>634.46</v>
      </c>
      <c r="P150" s="16" t="n">
        <v>634.46</v>
      </c>
      <c r="Q150" s="16" t="n">
        <v>634.46</v>
      </c>
      <c r="R150" s="16" t="n">
        <v>634.46</v>
      </c>
      <c r="S150" s="16" t="n">
        <v>634.46</v>
      </c>
      <c r="T150" s="16" t="n">
        <v>634.46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CANON-202604-005448</t>
        </is>
      </c>
      <c r="B151" s="3" t="inlineStr">
        <is>
          <t>2026-04-17</t>
        </is>
      </c>
      <c r="C151" s="3" t="inlineStr">
        <is>
          <t>Noor Underwood</t>
        </is>
      </c>
      <c r="D151" s="3" t="inlineStr">
        <is>
          <t>WY</t>
        </is>
      </c>
      <c r="E151" s="14" t="n">
        <v>390000</v>
      </c>
      <c r="F151" s="14" t="n">
        <v>4904.26</v>
      </c>
      <c r="G151" s="14" t="n">
        <v>613.03</v>
      </c>
      <c r="H151" s="14" t="n">
        <v>613.03</v>
      </c>
      <c r="I151" s="14">
        <f>SUM(K151:T151)</f>
        <v/>
      </c>
      <c r="J151" s="14">
        <f>F151-(G151+H151+I151)</f>
        <v/>
      </c>
      <c r="K151" s="14" t="n">
        <v>367.82</v>
      </c>
      <c r="L151" s="14" t="n">
        <v>367.82</v>
      </c>
      <c r="M151" s="14" t="n">
        <v>367.82</v>
      </c>
      <c r="N151" s="14" t="n">
        <v>367.82</v>
      </c>
      <c r="O151" s="14" t="n">
        <v>367.82</v>
      </c>
      <c r="P151" s="14" t="n">
        <v>367.82</v>
      </c>
      <c r="Q151" s="14" t="n">
        <v>367.82</v>
      </c>
      <c r="R151" s="14" t="n">
        <v>367.82</v>
      </c>
      <c r="S151" s="14" t="n">
        <v>367.82</v>
      </c>
      <c r="T151" s="14" t="n">
        <v>367.82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CANON-202604-005449</t>
        </is>
      </c>
      <c r="B152" s="15" t="inlineStr">
        <is>
          <t>2026-04-29</t>
        </is>
      </c>
      <c r="C152" s="15" t="inlineStr">
        <is>
          <t>Desmond Farkas</t>
        </is>
      </c>
      <c r="D152" s="15" t="inlineStr">
        <is>
          <t>PA</t>
        </is>
      </c>
      <c r="E152" s="16" t="n">
        <v>420000</v>
      </c>
      <c r="F152" s="16" t="n">
        <v>4935.99</v>
      </c>
      <c r="G152" s="16" t="n">
        <v>617</v>
      </c>
      <c r="H152" s="16" t="n">
        <v>617</v>
      </c>
      <c r="I152" s="16">
        <f>SUM(K152:T152)</f>
        <v/>
      </c>
      <c r="J152" s="16">
        <f>F152-(G152+H152+I152)</f>
        <v/>
      </c>
      <c r="K152" s="16" t="n">
        <v>370.2</v>
      </c>
      <c r="L152" s="16" t="n">
        <v>370.2</v>
      </c>
      <c r="M152" s="16" t="n">
        <v>370.2</v>
      </c>
      <c r="N152" s="16" t="n">
        <v>370.2</v>
      </c>
      <c r="O152" s="16" t="n">
        <v>370.2</v>
      </c>
      <c r="P152" s="16" t="n">
        <v>370.2</v>
      </c>
      <c r="Q152" s="16" t="n">
        <v>370.2</v>
      </c>
      <c r="R152" s="16" t="n">
        <v>370.2</v>
      </c>
      <c r="S152" s="16" t="n">
        <v>370.2</v>
      </c>
      <c r="T152" s="16" t="n">
        <v>370.2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CANON-202604-005450</t>
        </is>
      </c>
      <c r="B153" s="3" t="inlineStr">
        <is>
          <t>2026-04-09</t>
        </is>
      </c>
      <c r="C153" s="3" t="inlineStr">
        <is>
          <t>Emiliano Delacroix</t>
        </is>
      </c>
      <c r="D153" s="3" t="inlineStr">
        <is>
          <t>NY</t>
        </is>
      </c>
      <c r="E153" s="14" t="n">
        <v>605000</v>
      </c>
      <c r="F153" s="14" t="n">
        <v>7887.56</v>
      </c>
      <c r="G153" s="14" t="n">
        <v>985.95</v>
      </c>
      <c r="H153" s="14" t="n">
        <v>985.95</v>
      </c>
      <c r="I153" s="14">
        <f>SUM(K153:T153)</f>
        <v/>
      </c>
      <c r="J153" s="14">
        <f>F153-(G153+H153+I153)</f>
        <v/>
      </c>
      <c r="K153" s="14" t="n">
        <v>591.5700000000001</v>
      </c>
      <c r="L153" s="14" t="n">
        <v>591.5700000000001</v>
      </c>
      <c r="M153" s="14" t="n">
        <v>591.5700000000001</v>
      </c>
      <c r="N153" s="14" t="n">
        <v>591.5700000000001</v>
      </c>
      <c r="O153" s="14" t="n">
        <v>591.5700000000001</v>
      </c>
      <c r="P153" s="14" t="n">
        <v>591.5700000000001</v>
      </c>
      <c r="Q153" s="14" t="n">
        <v>591.5700000000001</v>
      </c>
      <c r="R153" s="14" t="n">
        <v>591.5700000000001</v>
      </c>
      <c r="S153" s="14" t="n">
        <v>591.5700000000001</v>
      </c>
      <c r="T153" s="14" t="n">
        <v>591.5700000000001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CANON-202604-005451</t>
        </is>
      </c>
      <c r="B154" s="15" t="inlineStr">
        <is>
          <t>2026-04-04</t>
        </is>
      </c>
      <c r="C154" s="15" t="inlineStr">
        <is>
          <t>Lorenzo Delacroix</t>
        </is>
      </c>
      <c r="D154" s="15" t="inlineStr">
        <is>
          <t>KS</t>
        </is>
      </c>
      <c r="E154" s="16" t="n">
        <v>255000</v>
      </c>
      <c r="F154" s="16" t="n">
        <v>2906.95</v>
      </c>
      <c r="G154" s="16" t="n">
        <v>363.37</v>
      </c>
      <c r="H154" s="16" t="n">
        <v>363.37</v>
      </c>
      <c r="I154" s="16">
        <f>SUM(K154:T154)</f>
        <v/>
      </c>
      <c r="J154" s="16">
        <f>F154-(G154+H154+I154)</f>
        <v/>
      </c>
      <c r="K154" s="16" t="n">
        <v>218.02</v>
      </c>
      <c r="L154" s="16" t="n">
        <v>218.02</v>
      </c>
      <c r="M154" s="16" t="n">
        <v>218.02</v>
      </c>
      <c r="N154" s="16" t="n">
        <v>218.02</v>
      </c>
      <c r="O154" s="16" t="n">
        <v>218.02</v>
      </c>
      <c r="P154" s="16" t="n">
        <v>218.02</v>
      </c>
      <c r="Q154" s="16" t="n">
        <v>218.02</v>
      </c>
      <c r="R154" s="16" t="n">
        <v>218.02</v>
      </c>
      <c r="S154" s="16" t="n">
        <v>218.02</v>
      </c>
      <c r="T154" s="16" t="n">
        <v>218.02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CANON-202604-005452</t>
        </is>
      </c>
      <c r="B155" s="3" t="inlineStr">
        <is>
          <t>2026-04-08</t>
        </is>
      </c>
      <c r="C155" s="3" t="inlineStr">
        <is>
          <t>Thaddeus Harrington</t>
        </is>
      </c>
      <c r="D155" s="3" t="inlineStr">
        <is>
          <t>TX</t>
        </is>
      </c>
      <c r="E155" s="14" t="n">
        <v>330000</v>
      </c>
      <c r="F155" s="14" t="n">
        <v>4460.02</v>
      </c>
      <c r="G155" s="14" t="n">
        <v>557.5</v>
      </c>
      <c r="H155" s="14" t="n">
        <v>557.5</v>
      </c>
      <c r="I155" s="14">
        <f>SUM(K155:T155)</f>
        <v/>
      </c>
      <c r="J155" s="14">
        <f>F155-(G155+H155+I155)</f>
        <v/>
      </c>
      <c r="K155" s="14" t="n">
        <v>334.5</v>
      </c>
      <c r="L155" s="14" t="n">
        <v>334.5</v>
      </c>
      <c r="M155" s="14" t="n">
        <v>334.5</v>
      </c>
      <c r="N155" s="14" t="n">
        <v>334.5</v>
      </c>
      <c r="O155" s="14" t="n">
        <v>334.5</v>
      </c>
      <c r="P155" s="14" t="n">
        <v>334.5</v>
      </c>
      <c r="Q155" s="14" t="n">
        <v>334.5</v>
      </c>
      <c r="R155" s="14" t="n">
        <v>334.5</v>
      </c>
      <c r="S155" s="14" t="n">
        <v>334.5</v>
      </c>
      <c r="T155" s="14" t="n">
        <v>334.5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CANON-202604-005453</t>
        </is>
      </c>
      <c r="B156" s="15" t="inlineStr">
        <is>
          <t>2026-04-15</t>
        </is>
      </c>
      <c r="C156" s="15" t="inlineStr">
        <is>
          <t>Anouk Okonkwo</t>
        </is>
      </c>
      <c r="D156" s="15" t="inlineStr">
        <is>
          <t>MS</t>
        </is>
      </c>
      <c r="E156" s="16" t="n">
        <v>445000</v>
      </c>
      <c r="F156" s="16" t="n">
        <v>9542.639999999999</v>
      </c>
      <c r="G156" s="16" t="n">
        <v>1192.83</v>
      </c>
      <c r="H156" s="16" t="n">
        <v>1192.83</v>
      </c>
      <c r="I156" s="16">
        <f>SUM(K156:T156)</f>
        <v/>
      </c>
      <c r="J156" s="16">
        <f>F156-(G156+H156+I156)</f>
        <v/>
      </c>
      <c r="K156" s="16" t="n">
        <v>715.7</v>
      </c>
      <c r="L156" s="16" t="n">
        <v>715.7</v>
      </c>
      <c r="M156" s="16" t="n">
        <v>715.7</v>
      </c>
      <c r="N156" s="16" t="n">
        <v>715.7</v>
      </c>
      <c r="O156" s="16" t="n">
        <v>715.7</v>
      </c>
      <c r="P156" s="16" t="n">
        <v>715.7</v>
      </c>
      <c r="Q156" s="16" t="n">
        <v>715.7</v>
      </c>
      <c r="R156" s="16" t="n">
        <v>715.7</v>
      </c>
      <c r="S156" s="16" t="n">
        <v>715.7</v>
      </c>
      <c r="T156" s="16" t="n">
        <v>715.7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CANON-202604-005454</t>
        </is>
      </c>
      <c r="B157" s="3" t="inlineStr">
        <is>
          <t>2026-04-08</t>
        </is>
      </c>
      <c r="C157" s="3" t="inlineStr">
        <is>
          <t>Anouk Fairweather</t>
        </is>
      </c>
      <c r="D157" s="3" t="inlineStr">
        <is>
          <t>TX</t>
        </is>
      </c>
      <c r="E157" s="14" t="n">
        <v>655000</v>
      </c>
      <c r="F157" s="14" t="n">
        <v>7672.13</v>
      </c>
      <c r="G157" s="14" t="n">
        <v>959.02</v>
      </c>
      <c r="H157" s="14" t="n">
        <v>959.02</v>
      </c>
      <c r="I157" s="14">
        <f>SUM(K157:T157)</f>
        <v/>
      </c>
      <c r="J157" s="14">
        <f>F157-(G157+H157+I157)</f>
        <v/>
      </c>
      <c r="K157" s="14" t="n">
        <v>575.41</v>
      </c>
      <c r="L157" s="14" t="n">
        <v>575.41</v>
      </c>
      <c r="M157" s="14" t="n">
        <v>575.41</v>
      </c>
      <c r="N157" s="14" t="n">
        <v>575.41</v>
      </c>
      <c r="O157" s="14" t="n">
        <v>575.41</v>
      </c>
      <c r="P157" s="14" t="n">
        <v>575.41</v>
      </c>
      <c r="Q157" s="14" t="n">
        <v>575.41</v>
      </c>
      <c r="R157" s="14" t="n">
        <v>575.41</v>
      </c>
      <c r="S157" s="14" t="n">
        <v>575.41</v>
      </c>
      <c r="T157" s="14" t="n">
        <v>575.41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CANON-202604-005455</t>
        </is>
      </c>
      <c r="B158" s="15" t="inlineStr">
        <is>
          <t>2026-04-17</t>
        </is>
      </c>
      <c r="C158" s="15" t="inlineStr">
        <is>
          <t>Fitzgerald Montoya</t>
        </is>
      </c>
      <c r="D158" s="15" t="inlineStr">
        <is>
          <t>IL</t>
        </is>
      </c>
      <c r="E158" s="16" t="n">
        <v>1335000</v>
      </c>
      <c r="F158" s="16" t="n">
        <v>15647.56</v>
      </c>
      <c r="G158" s="16" t="n">
        <v>1955.94</v>
      </c>
      <c r="H158" s="16" t="n">
        <v>1955.94</v>
      </c>
      <c r="I158" s="16">
        <f>SUM(K158:T158)</f>
        <v/>
      </c>
      <c r="J158" s="16">
        <f>F158-(G158+H158+I158)</f>
        <v/>
      </c>
      <c r="K158" s="16" t="n">
        <v>1173.57</v>
      </c>
      <c r="L158" s="16" t="n">
        <v>1173.57</v>
      </c>
      <c r="M158" s="16" t="n">
        <v>1173.57</v>
      </c>
      <c r="N158" s="16" t="n">
        <v>1173.57</v>
      </c>
      <c r="O158" s="16" t="n">
        <v>1173.57</v>
      </c>
      <c r="P158" s="16" t="n">
        <v>1173.57</v>
      </c>
      <c r="Q158" s="16" t="n">
        <v>1173.57</v>
      </c>
      <c r="R158" s="16" t="n">
        <v>1173.57</v>
      </c>
      <c r="S158" s="16" t="n">
        <v>1173.57</v>
      </c>
      <c r="T158" s="16" t="n">
        <v>1173.57</v>
      </c>
      <c r="U158" s="16" t="n">
        <v>350</v>
      </c>
      <c r="V158" s="16" t="n">
        <v>250</v>
      </c>
      <c r="W158" s="16">
        <f>U158+V158</f>
        <v/>
      </c>
    </row>
    <row r="159">
      <c r="A159" s="3" t="inlineStr">
        <is>
          <t>CANON-202604-005456</t>
        </is>
      </c>
      <c r="B159" s="3" t="inlineStr">
        <is>
          <t>2026-04-03</t>
        </is>
      </c>
      <c r="C159" s="3" t="inlineStr">
        <is>
          <t>Anouk Underwood</t>
        </is>
      </c>
      <c r="D159" s="3" t="inlineStr">
        <is>
          <t>TX</t>
        </is>
      </c>
      <c r="E159" s="14" t="n">
        <v>270000</v>
      </c>
      <c r="F159" s="14" t="n">
        <v>3649.11</v>
      </c>
      <c r="G159" s="14" t="n">
        <v>456.14</v>
      </c>
      <c r="H159" s="14" t="n">
        <v>456.14</v>
      </c>
      <c r="I159" s="14">
        <f>SUM(K159:T159)</f>
        <v/>
      </c>
      <c r="J159" s="14">
        <f>F159-(G159+H159+I159)</f>
        <v/>
      </c>
      <c r="K159" s="14" t="n">
        <v>273.68</v>
      </c>
      <c r="L159" s="14" t="n">
        <v>273.68</v>
      </c>
      <c r="M159" s="14" t="n">
        <v>273.68</v>
      </c>
      <c r="N159" s="14" t="n">
        <v>273.68</v>
      </c>
      <c r="O159" s="14" t="n">
        <v>273.68</v>
      </c>
      <c r="P159" s="14" t="n">
        <v>273.68</v>
      </c>
      <c r="Q159" s="14" t="n">
        <v>273.68</v>
      </c>
      <c r="R159" s="14" t="n">
        <v>273.68</v>
      </c>
      <c r="S159" s="14" t="n">
        <v>273.68</v>
      </c>
      <c r="T159" s="14" t="n">
        <v>273.68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CANON-202604-005457</t>
        </is>
      </c>
      <c r="B160" s="15" t="inlineStr">
        <is>
          <t>2026-04-26</t>
        </is>
      </c>
      <c r="C160" s="15" t="inlineStr">
        <is>
          <t>Callum Vandermeer</t>
        </is>
      </c>
      <c r="D160" s="15" t="inlineStr">
        <is>
          <t>MS</t>
        </is>
      </c>
      <c r="E160" s="16" t="n">
        <v>1000000</v>
      </c>
      <c r="F160" s="16" t="n">
        <v>10255.89</v>
      </c>
      <c r="G160" s="16" t="n">
        <v>1281.99</v>
      </c>
      <c r="H160" s="16" t="n">
        <v>1281.99</v>
      </c>
      <c r="I160" s="16">
        <f>SUM(K160:T160)</f>
        <v/>
      </c>
      <c r="J160" s="16">
        <f>F160-(G160+H160+I160)</f>
        <v/>
      </c>
      <c r="K160" s="16" t="n">
        <v>769.1900000000001</v>
      </c>
      <c r="L160" s="16" t="n">
        <v>769.1900000000001</v>
      </c>
      <c r="M160" s="16" t="n">
        <v>769.1900000000001</v>
      </c>
      <c r="N160" s="16" t="n">
        <v>769.1900000000001</v>
      </c>
      <c r="O160" s="16" t="n">
        <v>769.1900000000001</v>
      </c>
      <c r="P160" s="16" t="n">
        <v>769.1900000000001</v>
      </c>
      <c r="Q160" s="16" t="n">
        <v>769.1900000000001</v>
      </c>
      <c r="R160" s="16" t="n">
        <v>769.1900000000001</v>
      </c>
      <c r="S160" s="16" t="n">
        <v>769.1900000000001</v>
      </c>
      <c r="T160" s="16" t="n">
        <v>769.1900000000001</v>
      </c>
      <c r="U160" s="16" t="n">
        <v>350</v>
      </c>
      <c r="V160" s="16" t="n">
        <v>250</v>
      </c>
      <c r="W160" s="16">
        <f>U160+V160</f>
        <v/>
      </c>
    </row>
    <row r="161">
      <c r="A161" s="3" t="inlineStr">
        <is>
          <t>CANON-202604-005458</t>
        </is>
      </c>
      <c r="B161" s="3" t="inlineStr">
        <is>
          <t>2026-04-21</t>
        </is>
      </c>
      <c r="C161" s="3" t="inlineStr">
        <is>
          <t>Emiliano Montoya</t>
        </is>
      </c>
      <c r="D161" s="3" t="inlineStr">
        <is>
          <t>SD</t>
        </is>
      </c>
      <c r="E161" s="14" t="n">
        <v>655000</v>
      </c>
      <c r="F161" s="14" t="n">
        <v>7405.28</v>
      </c>
      <c r="G161" s="14" t="n">
        <v>925.66</v>
      </c>
      <c r="H161" s="14" t="n">
        <v>925.66</v>
      </c>
      <c r="I161" s="14">
        <f>SUM(K161:T161)</f>
        <v/>
      </c>
      <c r="J161" s="14">
        <f>F161-(G161+H161+I161)</f>
        <v/>
      </c>
      <c r="K161" s="14" t="n">
        <v>555.4</v>
      </c>
      <c r="L161" s="14" t="n">
        <v>555.4</v>
      </c>
      <c r="M161" s="14" t="n">
        <v>555.4</v>
      </c>
      <c r="N161" s="14" t="n">
        <v>555.4</v>
      </c>
      <c r="O161" s="14" t="n">
        <v>555.4</v>
      </c>
      <c r="P161" s="14" t="n">
        <v>555.4</v>
      </c>
      <c r="Q161" s="14" t="n">
        <v>555.4</v>
      </c>
      <c r="R161" s="14" t="n">
        <v>555.4</v>
      </c>
      <c r="S161" s="14" t="n">
        <v>555.4</v>
      </c>
      <c r="T161" s="14" t="n">
        <v>555.4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CANON-202604-005459</t>
        </is>
      </c>
      <c r="B162" s="15" t="inlineStr">
        <is>
          <t>2026-04-28</t>
        </is>
      </c>
      <c r="C162" s="15" t="inlineStr">
        <is>
          <t>Cassius Delacroix</t>
        </is>
      </c>
      <c r="D162" s="15" t="inlineStr">
        <is>
          <t>NJ</t>
        </is>
      </c>
      <c r="E162" s="16" t="n">
        <v>705000</v>
      </c>
      <c r="F162" s="16" t="n">
        <v>9550.32</v>
      </c>
      <c r="G162" s="16" t="n">
        <v>1193.79</v>
      </c>
      <c r="H162" s="16" t="n">
        <v>1193.79</v>
      </c>
      <c r="I162" s="16">
        <f>SUM(K162:T162)</f>
        <v/>
      </c>
      <c r="J162" s="16">
        <f>F162-(G162+H162+I162)</f>
        <v/>
      </c>
      <c r="K162" s="16" t="n">
        <v>716.27</v>
      </c>
      <c r="L162" s="16" t="n">
        <v>716.27</v>
      </c>
      <c r="M162" s="16" t="n">
        <v>716.27</v>
      </c>
      <c r="N162" s="16" t="n">
        <v>716.27</v>
      </c>
      <c r="O162" s="16" t="n">
        <v>716.27</v>
      </c>
      <c r="P162" s="16" t="n">
        <v>716.27</v>
      </c>
      <c r="Q162" s="16" t="n">
        <v>716.27</v>
      </c>
      <c r="R162" s="16" t="n">
        <v>716.27</v>
      </c>
      <c r="S162" s="16" t="n">
        <v>716.27</v>
      </c>
      <c r="T162" s="16" t="n">
        <v>716.27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CANON-202604-005460</t>
        </is>
      </c>
      <c r="B163" s="3" t="inlineStr">
        <is>
          <t>2026-04-23</t>
        </is>
      </c>
      <c r="C163" s="3" t="inlineStr">
        <is>
          <t>Delphine Whitlock</t>
        </is>
      </c>
      <c r="D163" s="3" t="inlineStr">
        <is>
          <t>NV</t>
        </is>
      </c>
      <c r="E163" s="14" t="n">
        <v>430000</v>
      </c>
      <c r="F163" s="14" t="n">
        <v>5912.61</v>
      </c>
      <c r="G163" s="14" t="n">
        <v>739.08</v>
      </c>
      <c r="H163" s="14" t="n">
        <v>739.08</v>
      </c>
      <c r="I163" s="14">
        <f>SUM(K163:T163)</f>
        <v/>
      </c>
      <c r="J163" s="14">
        <f>F163-(G163+H163+I163)</f>
        <v/>
      </c>
      <c r="K163" s="14" t="n">
        <v>443.45</v>
      </c>
      <c r="L163" s="14" t="n">
        <v>443.45</v>
      </c>
      <c r="M163" s="14" t="n">
        <v>443.45</v>
      </c>
      <c r="N163" s="14" t="n">
        <v>443.45</v>
      </c>
      <c r="O163" s="14" t="n">
        <v>443.45</v>
      </c>
      <c r="P163" s="14" t="n">
        <v>443.45</v>
      </c>
      <c r="Q163" s="14" t="n">
        <v>443.45</v>
      </c>
      <c r="R163" s="14" t="n">
        <v>443.45</v>
      </c>
      <c r="S163" s="14" t="n">
        <v>443.45</v>
      </c>
      <c r="T163" s="14" t="n">
        <v>443.45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CANON-202604-005461</t>
        </is>
      </c>
      <c r="B164" s="15" t="inlineStr">
        <is>
          <t>2026-04-07</t>
        </is>
      </c>
      <c r="C164" s="15" t="inlineStr">
        <is>
          <t>Horace Merriweather</t>
        </is>
      </c>
      <c r="D164" s="15" t="inlineStr">
        <is>
          <t>NE</t>
        </is>
      </c>
      <c r="E164" s="16" t="n">
        <v>690000</v>
      </c>
      <c r="F164" s="16" t="n">
        <v>13353.03</v>
      </c>
      <c r="G164" s="16" t="n">
        <v>1669.13</v>
      </c>
      <c r="H164" s="16" t="n">
        <v>1669.13</v>
      </c>
      <c r="I164" s="16">
        <f>SUM(K164:T164)</f>
        <v/>
      </c>
      <c r="J164" s="16">
        <f>F164-(G164+H164+I164)</f>
        <v/>
      </c>
      <c r="K164" s="16" t="n">
        <v>1001.48</v>
      </c>
      <c r="L164" s="16" t="n">
        <v>1001.48</v>
      </c>
      <c r="M164" s="16" t="n">
        <v>1001.48</v>
      </c>
      <c r="N164" s="16" t="n">
        <v>1001.48</v>
      </c>
      <c r="O164" s="16" t="n">
        <v>1001.48</v>
      </c>
      <c r="P164" s="16" t="n">
        <v>1001.48</v>
      </c>
      <c r="Q164" s="16" t="n">
        <v>1001.48</v>
      </c>
      <c r="R164" s="16" t="n">
        <v>1001.48</v>
      </c>
      <c r="S164" s="16" t="n">
        <v>1001.48</v>
      </c>
      <c r="T164" s="16" t="n">
        <v>1001.48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CANON-202604-005462</t>
        </is>
      </c>
      <c r="B165" s="3" t="inlineStr">
        <is>
          <t>2026-04-28</t>
        </is>
      </c>
      <c r="C165" s="3" t="inlineStr">
        <is>
          <t>Ingrid Vasquez</t>
        </is>
      </c>
      <c r="D165" s="3" t="inlineStr">
        <is>
          <t>NY</t>
        </is>
      </c>
      <c r="E165" s="14" t="n">
        <v>1220000</v>
      </c>
      <c r="F165" s="14" t="n">
        <v>19575.98</v>
      </c>
      <c r="G165" s="14" t="n">
        <v>2447</v>
      </c>
      <c r="H165" s="14" t="n">
        <v>2447</v>
      </c>
      <c r="I165" s="14">
        <f>SUM(K165:T165)</f>
        <v/>
      </c>
      <c r="J165" s="14">
        <f>F165-(G165+H165+I165)</f>
        <v/>
      </c>
      <c r="K165" s="14" t="n">
        <v>1468.2</v>
      </c>
      <c r="L165" s="14" t="n">
        <v>1468.2</v>
      </c>
      <c r="M165" s="14" t="n">
        <v>1468.2</v>
      </c>
      <c r="N165" s="14" t="n">
        <v>1468.2</v>
      </c>
      <c r="O165" s="14" t="n">
        <v>1468.2</v>
      </c>
      <c r="P165" s="14" t="n">
        <v>1468.2</v>
      </c>
      <c r="Q165" s="14" t="n">
        <v>1468.2</v>
      </c>
      <c r="R165" s="14" t="n">
        <v>1468.2</v>
      </c>
      <c r="S165" s="14" t="n">
        <v>1468.2</v>
      </c>
      <c r="T165" s="14" t="n">
        <v>1468.2</v>
      </c>
      <c r="U165" s="14" t="n">
        <v>350</v>
      </c>
      <c r="V165" s="14" t="n">
        <v>250</v>
      </c>
      <c r="W165" s="14">
        <f>U165+V165</f>
        <v/>
      </c>
    </row>
    <row r="166">
      <c r="A166" s="15" t="inlineStr">
        <is>
          <t>CANON-202604-005464</t>
        </is>
      </c>
      <c r="B166" s="15" t="inlineStr">
        <is>
          <t>2026-04-28</t>
        </is>
      </c>
      <c r="C166" s="15" t="inlineStr">
        <is>
          <t>Desmond Underwood</t>
        </is>
      </c>
      <c r="D166" s="15" t="inlineStr">
        <is>
          <t>MA</t>
        </is>
      </c>
      <c r="E166" s="16" t="n">
        <v>555000</v>
      </c>
      <c r="F166" s="16" t="n">
        <v>7066.1</v>
      </c>
      <c r="G166" s="16" t="n">
        <v>883.26</v>
      </c>
      <c r="H166" s="16" t="n">
        <v>883.26</v>
      </c>
      <c r="I166" s="16">
        <f>SUM(K166:T166)</f>
        <v/>
      </c>
      <c r="J166" s="16">
        <f>F166-(G166+H166+I166)</f>
        <v/>
      </c>
      <c r="K166" s="16" t="n">
        <v>529.96</v>
      </c>
      <c r="L166" s="16" t="n">
        <v>529.96</v>
      </c>
      <c r="M166" s="16" t="n">
        <v>529.96</v>
      </c>
      <c r="N166" s="16" t="n">
        <v>529.96</v>
      </c>
      <c r="O166" s="16" t="n">
        <v>529.96</v>
      </c>
      <c r="P166" s="16" t="n">
        <v>529.96</v>
      </c>
      <c r="Q166" s="16" t="n">
        <v>529.96</v>
      </c>
      <c r="R166" s="16" t="n">
        <v>529.96</v>
      </c>
      <c r="S166" s="16" t="n">
        <v>529.96</v>
      </c>
      <c r="T166" s="16" t="n">
        <v>529.96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CANON-202604-005466</t>
        </is>
      </c>
      <c r="B167" s="3" t="inlineStr">
        <is>
          <t>2026-04-04</t>
        </is>
      </c>
      <c r="C167" s="3" t="inlineStr">
        <is>
          <t>Beatrix Pennington</t>
        </is>
      </c>
      <c r="D167" s="3" t="inlineStr">
        <is>
          <t>HI</t>
        </is>
      </c>
      <c r="E167" s="14" t="n">
        <v>515000</v>
      </c>
      <c r="F167" s="14" t="n">
        <v>4511.1</v>
      </c>
      <c r="G167" s="14" t="n">
        <v>563.89</v>
      </c>
      <c r="H167" s="14" t="n">
        <v>563.89</v>
      </c>
      <c r="I167" s="14">
        <f>SUM(K167:T167)</f>
        <v/>
      </c>
      <c r="J167" s="14">
        <f>F167-(G167+H167+I167)</f>
        <v/>
      </c>
      <c r="K167" s="14" t="n">
        <v>338.33</v>
      </c>
      <c r="L167" s="14" t="n">
        <v>338.33</v>
      </c>
      <c r="M167" s="14" t="n">
        <v>338.33</v>
      </c>
      <c r="N167" s="14" t="n">
        <v>338.33</v>
      </c>
      <c r="O167" s="14" t="n">
        <v>338.33</v>
      </c>
      <c r="P167" s="14" t="n">
        <v>338.33</v>
      </c>
      <c r="Q167" s="14" t="n">
        <v>338.33</v>
      </c>
      <c r="R167" s="14" t="n">
        <v>338.33</v>
      </c>
      <c r="S167" s="14" t="n">
        <v>338.33</v>
      </c>
      <c r="T167" s="14" t="n">
        <v>338.33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CANON-202604-005467</t>
        </is>
      </c>
      <c r="B168" s="15" t="inlineStr">
        <is>
          <t>2026-04-06</t>
        </is>
      </c>
      <c r="C168" s="15" t="inlineStr">
        <is>
          <t>Fitzgerald Vandermeer</t>
        </is>
      </c>
      <c r="D168" s="15" t="inlineStr">
        <is>
          <t>WY</t>
        </is>
      </c>
      <c r="E168" s="16" t="n">
        <v>345000</v>
      </c>
      <c r="F168" s="16" t="n">
        <v>4338.38</v>
      </c>
      <c r="G168" s="16" t="n">
        <v>542.3</v>
      </c>
      <c r="H168" s="16" t="n">
        <v>542.3</v>
      </c>
      <c r="I168" s="16">
        <f>SUM(K168:T168)</f>
        <v/>
      </c>
      <c r="J168" s="16">
        <f>F168-(G168+H168+I168)</f>
        <v/>
      </c>
      <c r="K168" s="16" t="n">
        <v>325.38</v>
      </c>
      <c r="L168" s="16" t="n">
        <v>325.38</v>
      </c>
      <c r="M168" s="16" t="n">
        <v>325.38</v>
      </c>
      <c r="N168" s="16" t="n">
        <v>325.38</v>
      </c>
      <c r="O168" s="16" t="n">
        <v>325.38</v>
      </c>
      <c r="P168" s="16" t="n">
        <v>325.38</v>
      </c>
      <c r="Q168" s="16" t="n">
        <v>325.38</v>
      </c>
      <c r="R168" s="16" t="n">
        <v>325.38</v>
      </c>
      <c r="S168" s="16" t="n">
        <v>325.38</v>
      </c>
      <c r="T168" s="16" t="n">
        <v>325.38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CANON-202604-005468</t>
        </is>
      </c>
      <c r="B169" s="3" t="inlineStr">
        <is>
          <t>2026-04-06</t>
        </is>
      </c>
      <c r="C169" s="3" t="inlineStr">
        <is>
          <t>Fenwick Chattopadhyay</t>
        </is>
      </c>
      <c r="D169" s="3" t="inlineStr">
        <is>
          <t>AL</t>
        </is>
      </c>
      <c r="E169" s="14" t="n">
        <v>790000</v>
      </c>
      <c r="F169" s="14" t="n">
        <v>14935.45</v>
      </c>
      <c r="G169" s="14" t="n">
        <v>1866.93</v>
      </c>
      <c r="H169" s="14" t="n">
        <v>1866.93</v>
      </c>
      <c r="I169" s="14">
        <f>SUM(K169:T169)</f>
        <v/>
      </c>
      <c r="J169" s="14">
        <f>F169-(G169+H169+I169)</f>
        <v/>
      </c>
      <c r="K169" s="14" t="n">
        <v>1120.16</v>
      </c>
      <c r="L169" s="14" t="n">
        <v>1120.16</v>
      </c>
      <c r="M169" s="14" t="n">
        <v>1120.16</v>
      </c>
      <c r="N169" s="14" t="n">
        <v>1120.16</v>
      </c>
      <c r="O169" s="14" t="n">
        <v>1120.16</v>
      </c>
      <c r="P169" s="14" t="n">
        <v>1120.16</v>
      </c>
      <c r="Q169" s="14" t="n">
        <v>1120.16</v>
      </c>
      <c r="R169" s="14" t="n">
        <v>1120.16</v>
      </c>
      <c r="S169" s="14" t="n">
        <v>1120.16</v>
      </c>
      <c r="T169" s="14" t="n">
        <v>1120.16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CANON-202604-005470</t>
        </is>
      </c>
      <c r="B170" s="15" t="inlineStr">
        <is>
          <t>2026-04-14</t>
        </is>
      </c>
      <c r="C170" s="15" t="inlineStr">
        <is>
          <t>Beatrix Kingsford</t>
        </is>
      </c>
      <c r="D170" s="15" t="inlineStr">
        <is>
          <t>VT</t>
        </is>
      </c>
      <c r="E170" s="16" t="n">
        <v>635000</v>
      </c>
      <c r="F170" s="16" t="n">
        <v>7890.61</v>
      </c>
      <c r="G170" s="16" t="n">
        <v>986.33</v>
      </c>
      <c r="H170" s="16" t="n">
        <v>986.33</v>
      </c>
      <c r="I170" s="16">
        <f>SUM(K170:T170)</f>
        <v/>
      </c>
      <c r="J170" s="16">
        <f>F170-(G170+H170+I170)</f>
        <v/>
      </c>
      <c r="K170" s="16" t="n">
        <v>591.8</v>
      </c>
      <c r="L170" s="16" t="n">
        <v>591.8</v>
      </c>
      <c r="M170" s="16" t="n">
        <v>591.8</v>
      </c>
      <c r="N170" s="16" t="n">
        <v>591.8</v>
      </c>
      <c r="O170" s="16" t="n">
        <v>591.8</v>
      </c>
      <c r="P170" s="16" t="n">
        <v>591.8</v>
      </c>
      <c r="Q170" s="16" t="n">
        <v>591.8</v>
      </c>
      <c r="R170" s="16" t="n">
        <v>591.8</v>
      </c>
      <c r="S170" s="16" t="n">
        <v>591.8</v>
      </c>
      <c r="T170" s="16" t="n">
        <v>591.8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CANON-202604-005471</t>
        </is>
      </c>
      <c r="B171" s="3" t="inlineStr">
        <is>
          <t>2026-04-20</t>
        </is>
      </c>
      <c r="C171" s="3" t="inlineStr">
        <is>
          <t>Fenwick Whitlock</t>
        </is>
      </c>
      <c r="D171" s="3" t="inlineStr">
        <is>
          <t>NY</t>
        </is>
      </c>
      <c r="E171" s="14" t="n">
        <v>685000</v>
      </c>
      <c r="F171" s="14" t="n">
        <v>8930.540000000001</v>
      </c>
      <c r="G171" s="14" t="n">
        <v>1116.32</v>
      </c>
      <c r="H171" s="14" t="n">
        <v>1116.32</v>
      </c>
      <c r="I171" s="14">
        <f>SUM(K171:T171)</f>
        <v/>
      </c>
      <c r="J171" s="14">
        <f>F171-(G171+H171+I171)</f>
        <v/>
      </c>
      <c r="K171" s="14" t="n">
        <v>669.79</v>
      </c>
      <c r="L171" s="14" t="n">
        <v>669.79</v>
      </c>
      <c r="M171" s="14" t="n">
        <v>669.79</v>
      </c>
      <c r="N171" s="14" t="n">
        <v>669.79</v>
      </c>
      <c r="O171" s="14" t="n">
        <v>669.79</v>
      </c>
      <c r="P171" s="14" t="n">
        <v>669.79</v>
      </c>
      <c r="Q171" s="14" t="n">
        <v>669.79</v>
      </c>
      <c r="R171" s="14" t="n">
        <v>669.79</v>
      </c>
      <c r="S171" s="14" t="n">
        <v>669.79</v>
      </c>
      <c r="T171" s="14" t="n">
        <v>669.79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CANON-202604-005472</t>
        </is>
      </c>
      <c r="B172" s="15" t="inlineStr">
        <is>
          <t>2026-04-08</t>
        </is>
      </c>
      <c r="C172" s="15" t="inlineStr">
        <is>
          <t>Callum Vandermeer</t>
        </is>
      </c>
      <c r="D172" s="15" t="inlineStr">
        <is>
          <t>MI</t>
        </is>
      </c>
      <c r="E172" s="16" t="n">
        <v>525000</v>
      </c>
      <c r="F172" s="16" t="n">
        <v>8288.35</v>
      </c>
      <c r="G172" s="16" t="n">
        <v>1036.04</v>
      </c>
      <c r="H172" s="16" t="n">
        <v>1036.04</v>
      </c>
      <c r="I172" s="16">
        <f>SUM(K172:T172)</f>
        <v/>
      </c>
      <c r="J172" s="16">
        <f>F172-(G172+H172+I172)</f>
        <v/>
      </c>
      <c r="K172" s="16" t="n">
        <v>621.63</v>
      </c>
      <c r="L172" s="16" t="n">
        <v>621.63</v>
      </c>
      <c r="M172" s="16" t="n">
        <v>621.63</v>
      </c>
      <c r="N172" s="16" t="n">
        <v>621.63</v>
      </c>
      <c r="O172" s="16" t="n">
        <v>621.63</v>
      </c>
      <c r="P172" s="16" t="n">
        <v>621.63</v>
      </c>
      <c r="Q172" s="16" t="n">
        <v>621.63</v>
      </c>
      <c r="R172" s="16" t="n">
        <v>621.63</v>
      </c>
      <c r="S172" s="16" t="n">
        <v>621.63</v>
      </c>
      <c r="T172" s="16" t="n">
        <v>621.63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CANON-202604-005473</t>
        </is>
      </c>
      <c r="B173" s="3" t="inlineStr">
        <is>
          <t>2026-04-30</t>
        </is>
      </c>
      <c r="C173" s="3" t="inlineStr">
        <is>
          <t>Leopold Blackwood</t>
        </is>
      </c>
      <c r="D173" s="3" t="inlineStr">
        <is>
          <t>MI</t>
        </is>
      </c>
      <c r="E173" s="14" t="n">
        <v>930000</v>
      </c>
      <c r="F173" s="14" t="n">
        <v>9712.860000000001</v>
      </c>
      <c r="G173" s="14" t="n">
        <v>1214.11</v>
      </c>
      <c r="H173" s="14" t="n">
        <v>1214.11</v>
      </c>
      <c r="I173" s="14">
        <f>SUM(K173:T173)</f>
        <v/>
      </c>
      <c r="J173" s="14">
        <f>F173-(G173+H173+I173)</f>
        <v/>
      </c>
      <c r="K173" s="14" t="n">
        <v>728.46</v>
      </c>
      <c r="L173" s="14" t="n">
        <v>728.46</v>
      </c>
      <c r="M173" s="14" t="n">
        <v>728.46</v>
      </c>
      <c r="N173" s="14" t="n">
        <v>728.46</v>
      </c>
      <c r="O173" s="14" t="n">
        <v>728.46</v>
      </c>
      <c r="P173" s="14" t="n">
        <v>728.46</v>
      </c>
      <c r="Q173" s="14" t="n">
        <v>728.46</v>
      </c>
      <c r="R173" s="14" t="n">
        <v>728.46</v>
      </c>
      <c r="S173" s="14" t="n">
        <v>728.46</v>
      </c>
      <c r="T173" s="14" t="n">
        <v>728.46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CANON-202604-005475</t>
        </is>
      </c>
      <c r="B174" s="15" t="inlineStr">
        <is>
          <t>2026-04-27</t>
        </is>
      </c>
      <c r="C174" s="15" t="inlineStr">
        <is>
          <t>Emiliano Chattopadhyay</t>
        </is>
      </c>
      <c r="D174" s="15" t="inlineStr">
        <is>
          <t>DE</t>
        </is>
      </c>
      <c r="E174" s="16" t="n">
        <v>375000</v>
      </c>
      <c r="F174" s="16" t="n">
        <v>8447.01</v>
      </c>
      <c r="G174" s="16" t="n">
        <v>1055.88</v>
      </c>
      <c r="H174" s="16" t="n">
        <v>1055.88</v>
      </c>
      <c r="I174" s="16">
        <f>SUM(K174:T174)</f>
        <v/>
      </c>
      <c r="J174" s="16">
        <f>F174-(G174+H174+I174)</f>
        <v/>
      </c>
      <c r="K174" s="16" t="n">
        <v>633.53</v>
      </c>
      <c r="L174" s="16" t="n">
        <v>633.53</v>
      </c>
      <c r="M174" s="16" t="n">
        <v>633.53</v>
      </c>
      <c r="N174" s="16" t="n">
        <v>633.53</v>
      </c>
      <c r="O174" s="16" t="n">
        <v>633.53</v>
      </c>
      <c r="P174" s="16" t="n">
        <v>633.53</v>
      </c>
      <c r="Q174" s="16" t="n">
        <v>633.53</v>
      </c>
      <c r="R174" s="16" t="n">
        <v>633.53</v>
      </c>
      <c r="S174" s="16" t="n">
        <v>633.53</v>
      </c>
      <c r="T174" s="16" t="n">
        <v>633.53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CANON-202604-005476</t>
        </is>
      </c>
      <c r="B175" s="3" t="inlineStr">
        <is>
          <t>2026-04-15</t>
        </is>
      </c>
      <c r="C175" s="3" t="inlineStr">
        <is>
          <t>Lorenzo Delacroix</t>
        </is>
      </c>
      <c r="D175" s="3" t="inlineStr">
        <is>
          <t>NJ</t>
        </is>
      </c>
      <c r="E175" s="14" t="n">
        <v>1015000</v>
      </c>
      <c r="F175" s="14" t="n">
        <v>7960.38</v>
      </c>
      <c r="G175" s="14" t="n">
        <v>995.05</v>
      </c>
      <c r="H175" s="14" t="n">
        <v>995.05</v>
      </c>
      <c r="I175" s="14">
        <f>SUM(K175:T175)</f>
        <v/>
      </c>
      <c r="J175" s="14">
        <f>F175-(G175+H175+I175)</f>
        <v/>
      </c>
      <c r="K175" s="14" t="n">
        <v>597.03</v>
      </c>
      <c r="L175" s="14" t="n">
        <v>597.03</v>
      </c>
      <c r="M175" s="14" t="n">
        <v>597.03</v>
      </c>
      <c r="N175" s="14" t="n">
        <v>597.03</v>
      </c>
      <c r="O175" s="14" t="n">
        <v>597.03</v>
      </c>
      <c r="P175" s="14" t="n">
        <v>597.03</v>
      </c>
      <c r="Q175" s="14" t="n">
        <v>597.03</v>
      </c>
      <c r="R175" s="14" t="n">
        <v>597.03</v>
      </c>
      <c r="S175" s="14" t="n">
        <v>597.03</v>
      </c>
      <c r="T175" s="14" t="n">
        <v>597.03</v>
      </c>
      <c r="U175" s="14" t="n">
        <v>350</v>
      </c>
      <c r="V175" s="14" t="n">
        <v>250</v>
      </c>
      <c r="W175" s="14">
        <f>U175+V175</f>
        <v/>
      </c>
    </row>
    <row r="176">
      <c r="A176" s="15" t="inlineStr">
        <is>
          <t>CANON-202604-005478</t>
        </is>
      </c>
      <c r="B176" s="15" t="inlineStr">
        <is>
          <t>2026-04-20</t>
        </is>
      </c>
      <c r="C176" s="15" t="inlineStr">
        <is>
          <t>Aurelio Thistlewood</t>
        </is>
      </c>
      <c r="D176" s="15" t="inlineStr">
        <is>
          <t>OR</t>
        </is>
      </c>
      <c r="E176" s="16" t="n">
        <v>310000</v>
      </c>
      <c r="F176" s="16" t="n">
        <v>4116.85</v>
      </c>
      <c r="G176" s="16" t="n">
        <v>514.61</v>
      </c>
      <c r="H176" s="16" t="n">
        <v>514.61</v>
      </c>
      <c r="I176" s="16">
        <f>SUM(K176:T176)</f>
        <v/>
      </c>
      <c r="J176" s="16">
        <f>F176-(G176+H176+I176)</f>
        <v/>
      </c>
      <c r="K176" s="16" t="n">
        <v>308.76</v>
      </c>
      <c r="L176" s="16" t="n">
        <v>308.76</v>
      </c>
      <c r="M176" s="16" t="n">
        <v>308.76</v>
      </c>
      <c r="N176" s="16" t="n">
        <v>308.76</v>
      </c>
      <c r="O176" s="16" t="n">
        <v>308.76</v>
      </c>
      <c r="P176" s="16" t="n">
        <v>308.76</v>
      </c>
      <c r="Q176" s="16" t="n">
        <v>308.76</v>
      </c>
      <c r="R176" s="16" t="n">
        <v>308.76</v>
      </c>
      <c r="S176" s="16" t="n">
        <v>308.76</v>
      </c>
      <c r="T176" s="16" t="n">
        <v>308.76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CANON-202604-005481</t>
        </is>
      </c>
      <c r="B177" s="3" t="inlineStr">
        <is>
          <t>2026-04-06</t>
        </is>
      </c>
      <c r="C177" s="3" t="inlineStr">
        <is>
          <t>Saoirse Delacroix</t>
        </is>
      </c>
      <c r="D177" s="3" t="inlineStr">
        <is>
          <t>AR</t>
        </is>
      </c>
      <c r="E177" s="14" t="n">
        <v>655000</v>
      </c>
      <c r="F177" s="14" t="n">
        <v>9206.57</v>
      </c>
      <c r="G177" s="14" t="n">
        <v>1150.82</v>
      </c>
      <c r="H177" s="14" t="n">
        <v>1150.82</v>
      </c>
      <c r="I177" s="14">
        <f>SUM(K177:T177)</f>
        <v/>
      </c>
      <c r="J177" s="14">
        <f>F177-(G177+H177+I177)</f>
        <v/>
      </c>
      <c r="K177" s="14" t="n">
        <v>690.49</v>
      </c>
      <c r="L177" s="14" t="n">
        <v>690.49</v>
      </c>
      <c r="M177" s="14" t="n">
        <v>690.49</v>
      </c>
      <c r="N177" s="14" t="n">
        <v>690.49</v>
      </c>
      <c r="O177" s="14" t="n">
        <v>690.49</v>
      </c>
      <c r="P177" s="14" t="n">
        <v>690.49</v>
      </c>
      <c r="Q177" s="14" t="n">
        <v>690.49</v>
      </c>
      <c r="R177" s="14" t="n">
        <v>690.49</v>
      </c>
      <c r="S177" s="14" t="n">
        <v>690.49</v>
      </c>
      <c r="T177" s="14" t="n">
        <v>690.49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CANON-202604-005482</t>
        </is>
      </c>
      <c r="B178" s="15" t="inlineStr">
        <is>
          <t>2026-04-10</t>
        </is>
      </c>
      <c r="C178" s="15" t="inlineStr">
        <is>
          <t>Fitzgerald Montoya</t>
        </is>
      </c>
      <c r="D178" s="15" t="inlineStr">
        <is>
          <t>OH</t>
        </is>
      </c>
      <c r="E178" s="16" t="n">
        <v>325000</v>
      </c>
      <c r="F178" s="16" t="n">
        <v>5309.13</v>
      </c>
      <c r="G178" s="16" t="n">
        <v>663.64</v>
      </c>
      <c r="H178" s="16" t="n">
        <v>663.64</v>
      </c>
      <c r="I178" s="16">
        <f>SUM(K178:T178)</f>
        <v/>
      </c>
      <c r="J178" s="16">
        <f>F178-(G178+H178+I178)</f>
        <v/>
      </c>
      <c r="K178" s="16" t="n">
        <v>398.18</v>
      </c>
      <c r="L178" s="16" t="n">
        <v>398.18</v>
      </c>
      <c r="M178" s="16" t="n">
        <v>398.18</v>
      </c>
      <c r="N178" s="16" t="n">
        <v>398.18</v>
      </c>
      <c r="O178" s="16" t="n">
        <v>398.18</v>
      </c>
      <c r="P178" s="16" t="n">
        <v>398.18</v>
      </c>
      <c r="Q178" s="16" t="n">
        <v>398.18</v>
      </c>
      <c r="R178" s="16" t="n">
        <v>398.18</v>
      </c>
      <c r="S178" s="16" t="n">
        <v>398.18</v>
      </c>
      <c r="T178" s="16" t="n">
        <v>398.18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CANON-202604-005483</t>
        </is>
      </c>
      <c r="B179" s="3" t="inlineStr">
        <is>
          <t>2026-04-27</t>
        </is>
      </c>
      <c r="C179" s="3" t="inlineStr">
        <is>
          <t>Aurelio Bellandi</t>
        </is>
      </c>
      <c r="D179" s="3" t="inlineStr">
        <is>
          <t>AL</t>
        </is>
      </c>
      <c r="E179" s="14" t="n">
        <v>260000</v>
      </c>
      <c r="F179" s="14" t="n">
        <v>3880.63</v>
      </c>
      <c r="G179" s="14" t="n">
        <v>485.08</v>
      </c>
      <c r="H179" s="14" t="n">
        <v>485.08</v>
      </c>
      <c r="I179" s="14">
        <f>SUM(K179:T179)</f>
        <v/>
      </c>
      <c r="J179" s="14">
        <f>F179-(G179+H179+I179)</f>
        <v/>
      </c>
      <c r="K179" s="14" t="n">
        <v>291.05</v>
      </c>
      <c r="L179" s="14" t="n">
        <v>291.05</v>
      </c>
      <c r="M179" s="14" t="n">
        <v>291.05</v>
      </c>
      <c r="N179" s="14" t="n">
        <v>291.05</v>
      </c>
      <c r="O179" s="14" t="n">
        <v>291.05</v>
      </c>
      <c r="P179" s="14" t="n">
        <v>291.05</v>
      </c>
      <c r="Q179" s="14" t="n">
        <v>291.05</v>
      </c>
      <c r="R179" s="14" t="n">
        <v>291.05</v>
      </c>
      <c r="S179" s="14" t="n">
        <v>291.05</v>
      </c>
      <c r="T179" s="14" t="n">
        <v>291.05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CANON-202604-005486</t>
        </is>
      </c>
      <c r="B180" s="15" t="inlineStr">
        <is>
          <t>2026-04-29</t>
        </is>
      </c>
      <c r="C180" s="15" t="inlineStr">
        <is>
          <t>Emiliano Underwood</t>
        </is>
      </c>
      <c r="D180" s="15" t="inlineStr">
        <is>
          <t>HI</t>
        </is>
      </c>
      <c r="E180" s="16" t="n">
        <v>575000</v>
      </c>
      <c r="F180" s="16" t="n">
        <v>7613.57</v>
      </c>
      <c r="G180" s="16" t="n">
        <v>951.7</v>
      </c>
      <c r="H180" s="16" t="n">
        <v>951.7</v>
      </c>
      <c r="I180" s="16">
        <f>SUM(K180:T180)</f>
        <v/>
      </c>
      <c r="J180" s="16">
        <f>F180-(G180+H180+I180)</f>
        <v/>
      </c>
      <c r="K180" s="16" t="n">
        <v>571.02</v>
      </c>
      <c r="L180" s="16" t="n">
        <v>571.02</v>
      </c>
      <c r="M180" s="16" t="n">
        <v>571.02</v>
      </c>
      <c r="N180" s="16" t="n">
        <v>571.02</v>
      </c>
      <c r="O180" s="16" t="n">
        <v>571.02</v>
      </c>
      <c r="P180" s="16" t="n">
        <v>571.02</v>
      </c>
      <c r="Q180" s="16" t="n">
        <v>571.02</v>
      </c>
      <c r="R180" s="16" t="n">
        <v>571.02</v>
      </c>
      <c r="S180" s="16" t="n">
        <v>571.02</v>
      </c>
      <c r="T180" s="16" t="n">
        <v>571.02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CANON-202604-005487</t>
        </is>
      </c>
      <c r="B181" s="3" t="inlineStr">
        <is>
          <t>2026-04-27</t>
        </is>
      </c>
      <c r="C181" s="3" t="inlineStr">
        <is>
          <t>Wilhelmina Fairweather</t>
        </is>
      </c>
      <c r="D181" s="3" t="inlineStr">
        <is>
          <t>CA</t>
        </is>
      </c>
      <c r="E181" s="14" t="n">
        <v>270000</v>
      </c>
      <c r="F181" s="14" t="n">
        <v>4283.74</v>
      </c>
      <c r="G181" s="14" t="n">
        <v>535.47</v>
      </c>
      <c r="H181" s="14" t="n">
        <v>535.47</v>
      </c>
      <c r="I181" s="14">
        <f>SUM(K181:T181)</f>
        <v/>
      </c>
      <c r="J181" s="14">
        <f>F181-(G181+H181+I181)</f>
        <v/>
      </c>
      <c r="K181" s="14" t="n">
        <v>321.28</v>
      </c>
      <c r="L181" s="14" t="n">
        <v>321.28</v>
      </c>
      <c r="M181" s="14" t="n">
        <v>321.28</v>
      </c>
      <c r="N181" s="14" t="n">
        <v>321.28</v>
      </c>
      <c r="O181" s="14" t="n">
        <v>321.28</v>
      </c>
      <c r="P181" s="14" t="n">
        <v>321.28</v>
      </c>
      <c r="Q181" s="14" t="n">
        <v>321.28</v>
      </c>
      <c r="R181" s="14" t="n">
        <v>321.28</v>
      </c>
      <c r="S181" s="14" t="n">
        <v>321.28</v>
      </c>
      <c r="T181" s="14" t="n">
        <v>321.28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CANON-202604-005488</t>
        </is>
      </c>
      <c r="B182" s="15" t="inlineStr">
        <is>
          <t>2026-04-27</t>
        </is>
      </c>
      <c r="C182" s="15" t="inlineStr">
        <is>
          <t>Thaddeus Ashcombe</t>
        </is>
      </c>
      <c r="D182" s="15" t="inlineStr">
        <is>
          <t>MD</t>
        </is>
      </c>
      <c r="E182" s="16" t="n">
        <v>425000</v>
      </c>
      <c r="F182" s="16" t="n">
        <v>4745.01</v>
      </c>
      <c r="G182" s="16" t="n">
        <v>593.13</v>
      </c>
      <c r="H182" s="16" t="n">
        <v>593.13</v>
      </c>
      <c r="I182" s="16">
        <f>SUM(K182:T182)</f>
        <v/>
      </c>
      <c r="J182" s="16">
        <f>F182-(G182+H182+I182)</f>
        <v/>
      </c>
      <c r="K182" s="16" t="n">
        <v>355.88</v>
      </c>
      <c r="L182" s="16" t="n">
        <v>355.88</v>
      </c>
      <c r="M182" s="16" t="n">
        <v>355.88</v>
      </c>
      <c r="N182" s="16" t="n">
        <v>355.88</v>
      </c>
      <c r="O182" s="16" t="n">
        <v>355.88</v>
      </c>
      <c r="P182" s="16" t="n">
        <v>355.88</v>
      </c>
      <c r="Q182" s="16" t="n">
        <v>355.88</v>
      </c>
      <c r="R182" s="16" t="n">
        <v>355.88</v>
      </c>
      <c r="S182" s="16" t="n">
        <v>355.88</v>
      </c>
      <c r="T182" s="16" t="n">
        <v>355.88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CANON-202604-005489</t>
        </is>
      </c>
      <c r="B183" s="3" t="inlineStr">
        <is>
          <t>2026-04-17</t>
        </is>
      </c>
      <c r="C183" s="3" t="inlineStr">
        <is>
          <t>Emiliano Fairweather</t>
        </is>
      </c>
      <c r="D183" s="3" t="inlineStr">
        <is>
          <t>CO</t>
        </is>
      </c>
      <c r="E183" s="14" t="n">
        <v>725000</v>
      </c>
      <c r="F183" s="14" t="n">
        <v>8122.84</v>
      </c>
      <c r="G183" s="14" t="n">
        <v>1015.36</v>
      </c>
      <c r="H183" s="14" t="n">
        <v>1015.36</v>
      </c>
      <c r="I183" s="14">
        <f>SUM(K183:T183)</f>
        <v/>
      </c>
      <c r="J183" s="14">
        <f>F183-(G183+H183+I183)</f>
        <v/>
      </c>
      <c r="K183" s="14" t="n">
        <v>609.21</v>
      </c>
      <c r="L183" s="14" t="n">
        <v>609.21</v>
      </c>
      <c r="M183" s="14" t="n">
        <v>609.21</v>
      </c>
      <c r="N183" s="14" t="n">
        <v>609.21</v>
      </c>
      <c r="O183" s="14" t="n">
        <v>609.21</v>
      </c>
      <c r="P183" s="14" t="n">
        <v>609.21</v>
      </c>
      <c r="Q183" s="14" t="n">
        <v>609.21</v>
      </c>
      <c r="R183" s="14" t="n">
        <v>609.21</v>
      </c>
      <c r="S183" s="14" t="n">
        <v>609.21</v>
      </c>
      <c r="T183" s="14" t="n">
        <v>609.21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CANON-202604-005490</t>
        </is>
      </c>
      <c r="B184" s="15" t="inlineStr">
        <is>
          <t>2026-04-24</t>
        </is>
      </c>
      <c r="C184" s="15" t="inlineStr">
        <is>
          <t>Everett Bellandi</t>
        </is>
      </c>
      <c r="D184" s="15" t="inlineStr">
        <is>
          <t>IA</t>
        </is>
      </c>
      <c r="E184" s="16" t="n">
        <v>475000</v>
      </c>
      <c r="F184" s="16" t="n">
        <v>3929.99</v>
      </c>
      <c r="G184" s="16" t="n">
        <v>491.25</v>
      </c>
      <c r="H184" s="16" t="n">
        <v>491.25</v>
      </c>
      <c r="I184" s="16">
        <f>SUM(K184:T184)</f>
        <v/>
      </c>
      <c r="J184" s="16">
        <f>F184-(G184+H184+I184)</f>
        <v/>
      </c>
      <c r="K184" s="16" t="n">
        <v>294.75</v>
      </c>
      <c r="L184" s="16" t="n">
        <v>294.75</v>
      </c>
      <c r="M184" s="16" t="n">
        <v>294.75</v>
      </c>
      <c r="N184" s="16" t="n">
        <v>294.75</v>
      </c>
      <c r="O184" s="16" t="n">
        <v>294.75</v>
      </c>
      <c r="P184" s="16" t="n">
        <v>294.75</v>
      </c>
      <c r="Q184" s="16" t="n">
        <v>294.75</v>
      </c>
      <c r="R184" s="16" t="n">
        <v>294.75</v>
      </c>
      <c r="S184" s="16" t="n">
        <v>294.75</v>
      </c>
      <c r="T184" s="16" t="n">
        <v>294.75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CANON-202604-005492</t>
        </is>
      </c>
      <c r="B185" s="3" t="inlineStr">
        <is>
          <t>2026-04-17</t>
        </is>
      </c>
      <c r="C185" s="3" t="inlineStr">
        <is>
          <t>Thaddeus Blackwood</t>
        </is>
      </c>
      <c r="D185" s="3" t="inlineStr">
        <is>
          <t>NV</t>
        </is>
      </c>
      <c r="E185" s="14" t="n">
        <v>455000</v>
      </c>
      <c r="F185" s="14" t="n">
        <v>6256.36</v>
      </c>
      <c r="G185" s="14" t="n">
        <v>782.04</v>
      </c>
      <c r="H185" s="14" t="n">
        <v>782.04</v>
      </c>
      <c r="I185" s="14">
        <f>SUM(K185:T185)</f>
        <v/>
      </c>
      <c r="J185" s="14">
        <f>F185-(G185+H185+I185)</f>
        <v/>
      </c>
      <c r="K185" s="14" t="n">
        <v>469.23</v>
      </c>
      <c r="L185" s="14" t="n">
        <v>469.23</v>
      </c>
      <c r="M185" s="14" t="n">
        <v>469.23</v>
      </c>
      <c r="N185" s="14" t="n">
        <v>469.23</v>
      </c>
      <c r="O185" s="14" t="n">
        <v>469.23</v>
      </c>
      <c r="P185" s="14" t="n">
        <v>469.23</v>
      </c>
      <c r="Q185" s="14" t="n">
        <v>469.23</v>
      </c>
      <c r="R185" s="14" t="n">
        <v>469.23</v>
      </c>
      <c r="S185" s="14" t="n">
        <v>469.23</v>
      </c>
      <c r="T185" s="14" t="n">
        <v>469.23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CANON-202604-005495</t>
        </is>
      </c>
      <c r="B186" s="15" t="inlineStr">
        <is>
          <t>2026-04-10</t>
        </is>
      </c>
      <c r="C186" s="15" t="inlineStr">
        <is>
          <t>Callum Okonkwo</t>
        </is>
      </c>
      <c r="D186" s="15" t="inlineStr">
        <is>
          <t>OK</t>
        </is>
      </c>
      <c r="E186" s="16" t="n">
        <v>735000</v>
      </c>
      <c r="F186" s="16" t="n">
        <v>9432.68</v>
      </c>
      <c r="G186" s="16" t="n">
        <v>1179.09</v>
      </c>
      <c r="H186" s="16" t="n">
        <v>1179.09</v>
      </c>
      <c r="I186" s="16">
        <f>SUM(K186:T186)</f>
        <v/>
      </c>
      <c r="J186" s="16">
        <f>F186-(G186+H186+I186)</f>
        <v/>
      </c>
      <c r="K186" s="16" t="n">
        <v>707.45</v>
      </c>
      <c r="L186" s="16" t="n">
        <v>707.45</v>
      </c>
      <c r="M186" s="16" t="n">
        <v>707.45</v>
      </c>
      <c r="N186" s="16" t="n">
        <v>707.45</v>
      </c>
      <c r="O186" s="16" t="n">
        <v>707.45</v>
      </c>
      <c r="P186" s="16" t="n">
        <v>707.45</v>
      </c>
      <c r="Q186" s="16" t="n">
        <v>707.45</v>
      </c>
      <c r="R186" s="16" t="n">
        <v>707.45</v>
      </c>
      <c r="S186" s="16" t="n">
        <v>707.45</v>
      </c>
      <c r="T186" s="16" t="n">
        <v>707.45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CANON-202604-005496</t>
        </is>
      </c>
      <c r="B187" s="3" t="inlineStr">
        <is>
          <t>2026-04-27</t>
        </is>
      </c>
      <c r="C187" s="3" t="inlineStr">
        <is>
          <t>Ingrid Bellandi</t>
        </is>
      </c>
      <c r="D187" s="3" t="inlineStr">
        <is>
          <t>NM</t>
        </is>
      </c>
      <c r="E187" s="14" t="n">
        <v>745000</v>
      </c>
      <c r="F187" s="14" t="n">
        <v>11655.33</v>
      </c>
      <c r="G187" s="14" t="n">
        <v>1456.92</v>
      </c>
      <c r="H187" s="14" t="n">
        <v>1456.92</v>
      </c>
      <c r="I187" s="14">
        <f>SUM(K187:T187)</f>
        <v/>
      </c>
      <c r="J187" s="14">
        <f>F187-(G187+H187+I187)</f>
        <v/>
      </c>
      <c r="K187" s="14" t="n">
        <v>874.15</v>
      </c>
      <c r="L187" s="14" t="n">
        <v>874.15</v>
      </c>
      <c r="M187" s="14" t="n">
        <v>874.15</v>
      </c>
      <c r="N187" s="14" t="n">
        <v>874.15</v>
      </c>
      <c r="O187" s="14" t="n">
        <v>874.15</v>
      </c>
      <c r="P187" s="14" t="n">
        <v>874.15</v>
      </c>
      <c r="Q187" s="14" t="n">
        <v>874.15</v>
      </c>
      <c r="R187" s="14" t="n">
        <v>874.15</v>
      </c>
      <c r="S187" s="14" t="n">
        <v>874.15</v>
      </c>
      <c r="T187" s="14" t="n">
        <v>874.15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CANON-202604-005497</t>
        </is>
      </c>
      <c r="B188" s="15" t="inlineStr">
        <is>
          <t>2026-04-07</t>
        </is>
      </c>
      <c r="C188" s="15" t="inlineStr">
        <is>
          <t>Fenwick Blackwood</t>
        </is>
      </c>
      <c r="D188" s="15" t="inlineStr">
        <is>
          <t>SC</t>
        </is>
      </c>
      <c r="E188" s="16" t="n">
        <v>770000</v>
      </c>
      <c r="F188" s="16" t="n">
        <v>9725</v>
      </c>
      <c r="G188" s="16" t="n">
        <v>1215.62</v>
      </c>
      <c r="H188" s="16" t="n">
        <v>1215.62</v>
      </c>
      <c r="I188" s="16">
        <f>SUM(K188:T188)</f>
        <v/>
      </c>
      <c r="J188" s="16">
        <f>F188-(G188+H188+I188)</f>
        <v/>
      </c>
      <c r="K188" s="16" t="n">
        <v>729.38</v>
      </c>
      <c r="L188" s="16" t="n">
        <v>729.38</v>
      </c>
      <c r="M188" s="16" t="n">
        <v>729.38</v>
      </c>
      <c r="N188" s="16" t="n">
        <v>729.38</v>
      </c>
      <c r="O188" s="16" t="n">
        <v>729.38</v>
      </c>
      <c r="P188" s="16" t="n">
        <v>729.38</v>
      </c>
      <c r="Q188" s="16" t="n">
        <v>729.38</v>
      </c>
      <c r="R188" s="16" t="n">
        <v>729.38</v>
      </c>
      <c r="S188" s="16" t="n">
        <v>729.38</v>
      </c>
      <c r="T188" s="16" t="n">
        <v>729.38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CANON-202604-005500</t>
        </is>
      </c>
      <c r="B189" s="3" t="inlineStr">
        <is>
          <t>2026-04-29</t>
        </is>
      </c>
      <c r="C189" s="3" t="inlineStr">
        <is>
          <t>Fenwick Delacroix</t>
        </is>
      </c>
      <c r="D189" s="3" t="inlineStr">
        <is>
          <t>DE</t>
        </is>
      </c>
      <c r="E189" s="14" t="n">
        <v>1595000</v>
      </c>
      <c r="F189" s="14" t="n">
        <v>24993.35</v>
      </c>
      <c r="G189" s="14" t="n">
        <v>3124.17</v>
      </c>
      <c r="H189" s="14" t="n">
        <v>3124.17</v>
      </c>
      <c r="I189" s="14">
        <f>SUM(K189:T189)</f>
        <v/>
      </c>
      <c r="J189" s="14">
        <f>F189-(G189+H189+I189)</f>
        <v/>
      </c>
      <c r="K189" s="14" t="n">
        <v>1874.5</v>
      </c>
      <c r="L189" s="14" t="n">
        <v>1874.5</v>
      </c>
      <c r="M189" s="14" t="n">
        <v>1874.5</v>
      </c>
      <c r="N189" s="14" t="n">
        <v>1874.5</v>
      </c>
      <c r="O189" s="14" t="n">
        <v>1874.5</v>
      </c>
      <c r="P189" s="14" t="n">
        <v>1874.5</v>
      </c>
      <c r="Q189" s="14" t="n">
        <v>1874.5</v>
      </c>
      <c r="R189" s="14" t="n">
        <v>1874.5</v>
      </c>
      <c r="S189" s="14" t="n">
        <v>1874.5</v>
      </c>
      <c r="T189" s="14" t="n">
        <v>1874.5</v>
      </c>
      <c r="U189" s="14" t="n">
        <v>350</v>
      </c>
      <c r="V189" s="14" t="n">
        <v>250</v>
      </c>
      <c r="W189" s="14">
        <f>U189+V189</f>
        <v/>
      </c>
    </row>
    <row r="190">
      <c r="A190" s="15" t="inlineStr">
        <is>
          <t>CANON-202604-005502</t>
        </is>
      </c>
      <c r="B190" s="15" t="inlineStr">
        <is>
          <t>2026-04-29</t>
        </is>
      </c>
      <c r="C190" s="15" t="inlineStr">
        <is>
          <t>Ingrid Kingsford</t>
        </is>
      </c>
      <c r="D190" s="15" t="inlineStr">
        <is>
          <t>SC</t>
        </is>
      </c>
      <c r="E190" s="16" t="n">
        <v>1230000</v>
      </c>
      <c r="F190" s="16" t="n">
        <v>19119.68</v>
      </c>
      <c r="G190" s="16" t="n">
        <v>2389.96</v>
      </c>
      <c r="H190" s="16" t="n">
        <v>2389.96</v>
      </c>
      <c r="I190" s="16">
        <f>SUM(K190:T190)</f>
        <v/>
      </c>
      <c r="J190" s="16">
        <f>F190-(G190+H190+I190)</f>
        <v/>
      </c>
      <c r="K190" s="16" t="n">
        <v>1433.98</v>
      </c>
      <c r="L190" s="16" t="n">
        <v>1433.98</v>
      </c>
      <c r="M190" s="16" t="n">
        <v>1433.98</v>
      </c>
      <c r="N190" s="16" t="n">
        <v>1433.98</v>
      </c>
      <c r="O190" s="16" t="n">
        <v>1433.98</v>
      </c>
      <c r="P190" s="16" t="n">
        <v>1433.98</v>
      </c>
      <c r="Q190" s="16" t="n">
        <v>1433.98</v>
      </c>
      <c r="R190" s="16" t="n">
        <v>1433.98</v>
      </c>
      <c r="S190" s="16" t="n">
        <v>1433.98</v>
      </c>
      <c r="T190" s="16" t="n">
        <v>1433.98</v>
      </c>
      <c r="U190" s="16" t="n">
        <v>350</v>
      </c>
      <c r="V190" s="16" t="n">
        <v>250</v>
      </c>
      <c r="W190" s="16">
        <f>U190+V190</f>
        <v/>
      </c>
    </row>
    <row r="191">
      <c r="A191" s="3" t="inlineStr">
        <is>
          <t>CANON-202604-005505</t>
        </is>
      </c>
      <c r="B191" s="3" t="inlineStr">
        <is>
          <t>2026-04-18</t>
        </is>
      </c>
      <c r="C191" s="3" t="inlineStr">
        <is>
          <t>Fitzgerald Larsson</t>
        </is>
      </c>
      <c r="D191" s="3" t="inlineStr">
        <is>
          <t>ME</t>
        </is>
      </c>
      <c r="E191" s="14" t="n">
        <v>615000</v>
      </c>
      <c r="F191" s="14" t="n">
        <v>6765.13</v>
      </c>
      <c r="G191" s="14" t="n">
        <v>845.64</v>
      </c>
      <c r="H191" s="14" t="n">
        <v>845.64</v>
      </c>
      <c r="I191" s="14">
        <f>SUM(K191:T191)</f>
        <v/>
      </c>
      <c r="J191" s="14">
        <f>F191-(G191+H191+I191)</f>
        <v/>
      </c>
      <c r="K191" s="14" t="n">
        <v>507.38</v>
      </c>
      <c r="L191" s="14" t="n">
        <v>507.38</v>
      </c>
      <c r="M191" s="14" t="n">
        <v>507.38</v>
      </c>
      <c r="N191" s="14" t="n">
        <v>507.38</v>
      </c>
      <c r="O191" s="14" t="n">
        <v>507.38</v>
      </c>
      <c r="P191" s="14" t="n">
        <v>507.38</v>
      </c>
      <c r="Q191" s="14" t="n">
        <v>507.38</v>
      </c>
      <c r="R191" s="14" t="n">
        <v>507.38</v>
      </c>
      <c r="S191" s="14" t="n">
        <v>507.38</v>
      </c>
      <c r="T191" s="14" t="n">
        <v>507.38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CANON-202604-005506</t>
        </is>
      </c>
      <c r="B192" s="15" t="inlineStr">
        <is>
          <t>2026-04-16</t>
        </is>
      </c>
      <c r="C192" s="15" t="inlineStr">
        <is>
          <t>Beatrix Vasquez</t>
        </is>
      </c>
      <c r="D192" s="15" t="inlineStr">
        <is>
          <t>FL</t>
        </is>
      </c>
      <c r="E192" s="16" t="n">
        <v>720000</v>
      </c>
      <c r="F192" s="16" t="n">
        <v>6888.95</v>
      </c>
      <c r="G192" s="16" t="n">
        <v>861.12</v>
      </c>
      <c r="H192" s="16" t="n">
        <v>861.12</v>
      </c>
      <c r="I192" s="16">
        <f>SUM(K192:T192)</f>
        <v/>
      </c>
      <c r="J192" s="16">
        <f>F192-(G192+H192+I192)</f>
        <v/>
      </c>
      <c r="K192" s="16" t="n">
        <v>516.67</v>
      </c>
      <c r="L192" s="16" t="n">
        <v>516.67</v>
      </c>
      <c r="M192" s="16" t="n">
        <v>516.67</v>
      </c>
      <c r="N192" s="16" t="n">
        <v>516.67</v>
      </c>
      <c r="O192" s="16" t="n">
        <v>516.67</v>
      </c>
      <c r="P192" s="16" t="n">
        <v>516.67</v>
      </c>
      <c r="Q192" s="16" t="n">
        <v>516.67</v>
      </c>
      <c r="R192" s="16" t="n">
        <v>516.67</v>
      </c>
      <c r="S192" s="16" t="n">
        <v>516.67</v>
      </c>
      <c r="T192" s="16" t="n">
        <v>516.67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CANON-202604-005507</t>
        </is>
      </c>
      <c r="B193" s="3" t="inlineStr">
        <is>
          <t>2026-04-13</t>
        </is>
      </c>
      <c r="C193" s="3" t="inlineStr">
        <is>
          <t>Desmond Larsson</t>
        </is>
      </c>
      <c r="D193" s="3" t="inlineStr">
        <is>
          <t>NE</t>
        </is>
      </c>
      <c r="E193" s="14" t="n">
        <v>715000</v>
      </c>
      <c r="F193" s="14" t="n">
        <v>9467.309999999999</v>
      </c>
      <c r="G193" s="14" t="n">
        <v>1183.41</v>
      </c>
      <c r="H193" s="14" t="n">
        <v>1183.41</v>
      </c>
      <c r="I193" s="14">
        <f>SUM(K193:T193)</f>
        <v/>
      </c>
      <c r="J193" s="14">
        <f>F193-(G193+H193+I193)</f>
        <v/>
      </c>
      <c r="K193" s="14" t="n">
        <v>710.05</v>
      </c>
      <c r="L193" s="14" t="n">
        <v>710.05</v>
      </c>
      <c r="M193" s="14" t="n">
        <v>710.05</v>
      </c>
      <c r="N193" s="14" t="n">
        <v>710.05</v>
      </c>
      <c r="O193" s="14" t="n">
        <v>710.05</v>
      </c>
      <c r="P193" s="14" t="n">
        <v>710.05</v>
      </c>
      <c r="Q193" s="14" t="n">
        <v>710.05</v>
      </c>
      <c r="R193" s="14" t="n">
        <v>710.05</v>
      </c>
      <c r="S193" s="14" t="n">
        <v>710.05</v>
      </c>
      <c r="T193" s="14" t="n">
        <v>710.05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CANON-202604-005508</t>
        </is>
      </c>
      <c r="B194" s="15" t="inlineStr">
        <is>
          <t>2026-04-12</t>
        </is>
      </c>
      <c r="C194" s="15" t="inlineStr">
        <is>
          <t>Ingrid Vandermeer</t>
        </is>
      </c>
      <c r="D194" s="15" t="inlineStr">
        <is>
          <t>VT</t>
        </is>
      </c>
      <c r="E194" s="16" t="n">
        <v>335000</v>
      </c>
      <c r="F194" s="16" t="n">
        <v>3074.04</v>
      </c>
      <c r="G194" s="16" t="n">
        <v>384.25</v>
      </c>
      <c r="H194" s="16" t="n">
        <v>384.25</v>
      </c>
      <c r="I194" s="16">
        <f>SUM(K194:T194)</f>
        <v/>
      </c>
      <c r="J194" s="16">
        <f>F194-(G194+H194+I194)</f>
        <v/>
      </c>
      <c r="K194" s="16" t="n">
        <v>230.55</v>
      </c>
      <c r="L194" s="16" t="n">
        <v>230.55</v>
      </c>
      <c r="M194" s="16" t="n">
        <v>230.55</v>
      </c>
      <c r="N194" s="16" t="n">
        <v>230.55</v>
      </c>
      <c r="O194" s="16" t="n">
        <v>230.55</v>
      </c>
      <c r="P194" s="16" t="n">
        <v>230.55</v>
      </c>
      <c r="Q194" s="16" t="n">
        <v>230.55</v>
      </c>
      <c r="R194" s="16" t="n">
        <v>230.55</v>
      </c>
      <c r="S194" s="16" t="n">
        <v>230.55</v>
      </c>
      <c r="T194" s="16" t="n">
        <v>230.55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CANON-202604-005510</t>
        </is>
      </c>
      <c r="B195" s="3" t="inlineStr">
        <is>
          <t>2026-04-27</t>
        </is>
      </c>
      <c r="C195" s="3" t="inlineStr">
        <is>
          <t>Beatrix Bellandi</t>
        </is>
      </c>
      <c r="D195" s="3" t="inlineStr">
        <is>
          <t>IA</t>
        </is>
      </c>
      <c r="E195" s="14" t="n">
        <v>450000</v>
      </c>
      <c r="F195" s="14" t="n">
        <v>8920.040000000001</v>
      </c>
      <c r="G195" s="14" t="n">
        <v>1115.01</v>
      </c>
      <c r="H195" s="14" t="n">
        <v>1115.01</v>
      </c>
      <c r="I195" s="14">
        <f>SUM(K195:T195)</f>
        <v/>
      </c>
      <c r="J195" s="14">
        <f>F195-(G195+H195+I195)</f>
        <v/>
      </c>
      <c r="K195" s="14" t="n">
        <v>669</v>
      </c>
      <c r="L195" s="14" t="n">
        <v>669</v>
      </c>
      <c r="M195" s="14" t="n">
        <v>669</v>
      </c>
      <c r="N195" s="14" t="n">
        <v>669</v>
      </c>
      <c r="O195" s="14" t="n">
        <v>669</v>
      </c>
      <c r="P195" s="14" t="n">
        <v>669</v>
      </c>
      <c r="Q195" s="14" t="n">
        <v>669</v>
      </c>
      <c r="R195" s="14" t="n">
        <v>669</v>
      </c>
      <c r="S195" s="14" t="n">
        <v>669</v>
      </c>
      <c r="T195" s="14" t="n">
        <v>669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CANON-202604-005511</t>
        </is>
      </c>
      <c r="B196" s="15" t="inlineStr">
        <is>
          <t>2026-04-19</t>
        </is>
      </c>
      <c r="C196" s="15" t="inlineStr">
        <is>
          <t>Sunniva Larsson</t>
        </is>
      </c>
      <c r="D196" s="15" t="inlineStr">
        <is>
          <t>ME</t>
        </is>
      </c>
      <c r="E196" s="16" t="n">
        <v>1490000</v>
      </c>
      <c r="F196" s="16" t="n">
        <v>20172.69</v>
      </c>
      <c r="G196" s="16" t="n">
        <v>2521.59</v>
      </c>
      <c r="H196" s="16" t="n">
        <v>2521.59</v>
      </c>
      <c r="I196" s="16">
        <f>SUM(K196:T196)</f>
        <v/>
      </c>
      <c r="J196" s="16">
        <f>F196-(G196+H196+I196)</f>
        <v/>
      </c>
      <c r="K196" s="16" t="n">
        <v>1512.95</v>
      </c>
      <c r="L196" s="16" t="n">
        <v>1512.95</v>
      </c>
      <c r="M196" s="16" t="n">
        <v>1512.95</v>
      </c>
      <c r="N196" s="16" t="n">
        <v>1512.95</v>
      </c>
      <c r="O196" s="16" t="n">
        <v>1512.95</v>
      </c>
      <c r="P196" s="16" t="n">
        <v>1512.95</v>
      </c>
      <c r="Q196" s="16" t="n">
        <v>1512.95</v>
      </c>
      <c r="R196" s="16" t="n">
        <v>1512.95</v>
      </c>
      <c r="S196" s="16" t="n">
        <v>1512.95</v>
      </c>
      <c r="T196" s="16" t="n">
        <v>1512.95</v>
      </c>
      <c r="U196" s="16" t="n">
        <v>350</v>
      </c>
      <c r="V196" s="16" t="n">
        <v>250</v>
      </c>
      <c r="W196" s="16">
        <f>U196+V196</f>
        <v/>
      </c>
    </row>
    <row r="197">
      <c r="A197" s="3" t="inlineStr">
        <is>
          <t>CANON-202604-005513</t>
        </is>
      </c>
      <c r="B197" s="3" t="inlineStr">
        <is>
          <t>2026-04-30</t>
        </is>
      </c>
      <c r="C197" s="3" t="inlineStr">
        <is>
          <t>Thaddeus Thistlewood</t>
        </is>
      </c>
      <c r="D197" s="3" t="inlineStr">
        <is>
          <t>VA</t>
        </is>
      </c>
      <c r="E197" s="14" t="n">
        <v>450000</v>
      </c>
      <c r="F197" s="14" t="n">
        <v>3689.3</v>
      </c>
      <c r="G197" s="14" t="n">
        <v>461.16</v>
      </c>
      <c r="H197" s="14" t="n">
        <v>461.16</v>
      </c>
      <c r="I197" s="14">
        <f>SUM(K197:T197)</f>
        <v/>
      </c>
      <c r="J197" s="14">
        <f>F197-(G197+H197+I197)</f>
        <v/>
      </c>
      <c r="K197" s="14" t="n">
        <v>276.7</v>
      </c>
      <c r="L197" s="14" t="n">
        <v>276.7</v>
      </c>
      <c r="M197" s="14" t="n">
        <v>276.7</v>
      </c>
      <c r="N197" s="14" t="n">
        <v>276.7</v>
      </c>
      <c r="O197" s="14" t="n">
        <v>276.7</v>
      </c>
      <c r="P197" s="14" t="n">
        <v>276.7</v>
      </c>
      <c r="Q197" s="14" t="n">
        <v>276.7</v>
      </c>
      <c r="R197" s="14" t="n">
        <v>276.7</v>
      </c>
      <c r="S197" s="14" t="n">
        <v>276.7</v>
      </c>
      <c r="T197" s="14" t="n">
        <v>276.7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CANON-202604-005514</t>
        </is>
      </c>
      <c r="B198" s="15" t="inlineStr">
        <is>
          <t>2026-04-25</t>
        </is>
      </c>
      <c r="C198" s="15" t="inlineStr">
        <is>
          <t>Noor Blackwood</t>
        </is>
      </c>
      <c r="D198" s="15" t="inlineStr">
        <is>
          <t>WV</t>
        </is>
      </c>
      <c r="E198" s="16" t="n">
        <v>415000</v>
      </c>
      <c r="F198" s="16" t="n">
        <v>6486.71</v>
      </c>
      <c r="G198" s="16" t="n">
        <v>810.84</v>
      </c>
      <c r="H198" s="16" t="n">
        <v>810.84</v>
      </c>
      <c r="I198" s="16">
        <f>SUM(K198:T198)</f>
        <v/>
      </c>
      <c r="J198" s="16">
        <f>F198-(G198+H198+I198)</f>
        <v/>
      </c>
      <c r="K198" s="16" t="n">
        <v>486.5</v>
      </c>
      <c r="L198" s="16" t="n">
        <v>486.5</v>
      </c>
      <c r="M198" s="16" t="n">
        <v>486.5</v>
      </c>
      <c r="N198" s="16" t="n">
        <v>486.5</v>
      </c>
      <c r="O198" s="16" t="n">
        <v>486.5</v>
      </c>
      <c r="P198" s="16" t="n">
        <v>486.5</v>
      </c>
      <c r="Q198" s="16" t="n">
        <v>486.5</v>
      </c>
      <c r="R198" s="16" t="n">
        <v>486.5</v>
      </c>
      <c r="S198" s="16" t="n">
        <v>486.5</v>
      </c>
      <c r="T198" s="16" t="n">
        <v>486.5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CANON-202604-005515</t>
        </is>
      </c>
      <c r="B199" s="3" t="inlineStr">
        <is>
          <t>2026-04-24</t>
        </is>
      </c>
      <c r="C199" s="3" t="inlineStr">
        <is>
          <t>Thaddeus Underwood</t>
        </is>
      </c>
      <c r="D199" s="3" t="inlineStr">
        <is>
          <t>NY</t>
        </is>
      </c>
      <c r="E199" s="14" t="n">
        <v>365000</v>
      </c>
      <c r="F199" s="14" t="n">
        <v>3514.05</v>
      </c>
      <c r="G199" s="14" t="n">
        <v>439.26</v>
      </c>
      <c r="H199" s="14" t="n">
        <v>439.26</v>
      </c>
      <c r="I199" s="14">
        <f>SUM(K199:T199)</f>
        <v/>
      </c>
      <c r="J199" s="14">
        <f>F199-(G199+H199+I199)</f>
        <v/>
      </c>
      <c r="K199" s="14" t="n">
        <v>263.55</v>
      </c>
      <c r="L199" s="14" t="n">
        <v>263.55</v>
      </c>
      <c r="M199" s="14" t="n">
        <v>263.55</v>
      </c>
      <c r="N199" s="14" t="n">
        <v>263.55</v>
      </c>
      <c r="O199" s="14" t="n">
        <v>263.55</v>
      </c>
      <c r="P199" s="14" t="n">
        <v>263.55</v>
      </c>
      <c r="Q199" s="14" t="n">
        <v>263.55</v>
      </c>
      <c r="R199" s="14" t="n">
        <v>263.55</v>
      </c>
      <c r="S199" s="14" t="n">
        <v>263.55</v>
      </c>
      <c r="T199" s="14" t="n">
        <v>263.55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CANON-202604-005516</t>
        </is>
      </c>
      <c r="B200" s="15" t="inlineStr">
        <is>
          <t>2026-04-10</t>
        </is>
      </c>
      <c r="C200" s="15" t="inlineStr">
        <is>
          <t>Callum Rourke</t>
        </is>
      </c>
      <c r="D200" s="15" t="inlineStr">
        <is>
          <t>VT</t>
        </is>
      </c>
      <c r="E200" s="16" t="n">
        <v>1870000</v>
      </c>
      <c r="F200" s="16" t="n">
        <v>12154.7</v>
      </c>
      <c r="G200" s="16" t="n">
        <v>1519.34</v>
      </c>
      <c r="H200" s="16" t="n">
        <v>1519.34</v>
      </c>
      <c r="I200" s="16">
        <f>SUM(K200:T200)</f>
        <v/>
      </c>
      <c r="J200" s="16">
        <f>F200-(G200+H200+I200)</f>
        <v/>
      </c>
      <c r="K200" s="16" t="n">
        <v>911.6</v>
      </c>
      <c r="L200" s="16" t="n">
        <v>911.6</v>
      </c>
      <c r="M200" s="16" t="n">
        <v>911.6</v>
      </c>
      <c r="N200" s="16" t="n">
        <v>911.6</v>
      </c>
      <c r="O200" s="16" t="n">
        <v>911.6</v>
      </c>
      <c r="P200" s="16" t="n">
        <v>911.6</v>
      </c>
      <c r="Q200" s="16" t="n">
        <v>911.6</v>
      </c>
      <c r="R200" s="16" t="n">
        <v>911.6</v>
      </c>
      <c r="S200" s="16" t="n">
        <v>911.6</v>
      </c>
      <c r="T200" s="16" t="n">
        <v>911.6</v>
      </c>
      <c r="U200" s="16" t="n">
        <v>350</v>
      </c>
      <c r="V200" s="16" t="n">
        <v>250</v>
      </c>
      <c r="W200" s="16">
        <f>U200+V200</f>
        <v/>
      </c>
    </row>
    <row r="201">
      <c r="A201" s="3" t="inlineStr">
        <is>
          <t>CANON-202604-005522</t>
        </is>
      </c>
      <c r="B201" s="3" t="inlineStr">
        <is>
          <t>2026-04-26</t>
        </is>
      </c>
      <c r="C201" s="3" t="inlineStr">
        <is>
          <t>Priya Farkas</t>
        </is>
      </c>
      <c r="D201" s="3" t="inlineStr">
        <is>
          <t>VA</t>
        </is>
      </c>
      <c r="E201" s="14" t="n">
        <v>280000</v>
      </c>
      <c r="F201" s="14" t="n">
        <v>3586.82</v>
      </c>
      <c r="G201" s="14" t="n">
        <v>448.35</v>
      </c>
      <c r="H201" s="14" t="n">
        <v>448.35</v>
      </c>
      <c r="I201" s="14">
        <f>SUM(K201:T201)</f>
        <v/>
      </c>
      <c r="J201" s="14">
        <f>F201-(G201+H201+I201)</f>
        <v/>
      </c>
      <c r="K201" s="14" t="n">
        <v>269.01</v>
      </c>
      <c r="L201" s="14" t="n">
        <v>269.01</v>
      </c>
      <c r="M201" s="14" t="n">
        <v>269.01</v>
      </c>
      <c r="N201" s="14" t="n">
        <v>269.01</v>
      </c>
      <c r="O201" s="14" t="n">
        <v>269.01</v>
      </c>
      <c r="P201" s="14" t="n">
        <v>269.01</v>
      </c>
      <c r="Q201" s="14" t="n">
        <v>269.01</v>
      </c>
      <c r="R201" s="14" t="n">
        <v>269.01</v>
      </c>
      <c r="S201" s="14" t="n">
        <v>269.01</v>
      </c>
      <c r="T201" s="14" t="n">
        <v>269.01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CANON-202604-005524</t>
        </is>
      </c>
      <c r="B202" s="15" t="inlineStr">
        <is>
          <t>2026-04-22</t>
        </is>
      </c>
      <c r="C202" s="15" t="inlineStr">
        <is>
          <t>Horace Larsson</t>
        </is>
      </c>
      <c r="D202" s="15" t="inlineStr">
        <is>
          <t>AK</t>
        </is>
      </c>
      <c r="E202" s="16" t="n">
        <v>1015000</v>
      </c>
      <c r="F202" s="16" t="n">
        <v>14505.23</v>
      </c>
      <c r="G202" s="16" t="n">
        <v>1813.15</v>
      </c>
      <c r="H202" s="16" t="n">
        <v>1813.15</v>
      </c>
      <c r="I202" s="16">
        <f>SUM(K202:T202)</f>
        <v/>
      </c>
      <c r="J202" s="16">
        <f>F202-(G202+H202+I202)</f>
        <v/>
      </c>
      <c r="K202" s="16" t="n">
        <v>1087.89</v>
      </c>
      <c r="L202" s="16" t="n">
        <v>1087.89</v>
      </c>
      <c r="M202" s="16" t="n">
        <v>1087.89</v>
      </c>
      <c r="N202" s="16" t="n">
        <v>1087.89</v>
      </c>
      <c r="O202" s="16" t="n">
        <v>1087.89</v>
      </c>
      <c r="P202" s="16" t="n">
        <v>1087.89</v>
      </c>
      <c r="Q202" s="16" t="n">
        <v>1087.89</v>
      </c>
      <c r="R202" s="16" t="n">
        <v>1087.89</v>
      </c>
      <c r="S202" s="16" t="n">
        <v>1087.89</v>
      </c>
      <c r="T202" s="16" t="n">
        <v>1087.89</v>
      </c>
      <c r="U202" s="16" t="n">
        <v>350</v>
      </c>
      <c r="V202" s="16" t="n">
        <v>250</v>
      </c>
      <c r="W202" s="16">
        <f>U202+V202</f>
        <v/>
      </c>
    </row>
    <row r="203">
      <c r="A203" s="3" t="inlineStr">
        <is>
          <t>CANON-202604-005526</t>
        </is>
      </c>
      <c r="B203" s="3" t="inlineStr">
        <is>
          <t>2026-04-25</t>
        </is>
      </c>
      <c r="C203" s="3" t="inlineStr">
        <is>
          <t>Fenwick Rourke</t>
        </is>
      </c>
      <c r="D203" s="3" t="inlineStr">
        <is>
          <t>KS</t>
        </is>
      </c>
      <c r="E203" s="14" t="n">
        <v>435000</v>
      </c>
      <c r="F203" s="14" t="n">
        <v>4958.91</v>
      </c>
      <c r="G203" s="14" t="n">
        <v>619.86</v>
      </c>
      <c r="H203" s="14" t="n">
        <v>619.86</v>
      </c>
      <c r="I203" s="14">
        <f>SUM(K203:T203)</f>
        <v/>
      </c>
      <c r="J203" s="14">
        <f>F203-(G203+H203+I203)</f>
        <v/>
      </c>
      <c r="K203" s="14" t="n">
        <v>371.92</v>
      </c>
      <c r="L203" s="14" t="n">
        <v>371.92</v>
      </c>
      <c r="M203" s="14" t="n">
        <v>371.92</v>
      </c>
      <c r="N203" s="14" t="n">
        <v>371.92</v>
      </c>
      <c r="O203" s="14" t="n">
        <v>371.92</v>
      </c>
      <c r="P203" s="14" t="n">
        <v>371.92</v>
      </c>
      <c r="Q203" s="14" t="n">
        <v>371.92</v>
      </c>
      <c r="R203" s="14" t="n">
        <v>371.92</v>
      </c>
      <c r="S203" s="14" t="n">
        <v>371.92</v>
      </c>
      <c r="T203" s="14" t="n">
        <v>371.92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CANON-202604-005528</t>
        </is>
      </c>
      <c r="B204" s="15" t="inlineStr">
        <is>
          <t>2026-04-25</t>
        </is>
      </c>
      <c r="C204" s="15" t="inlineStr">
        <is>
          <t>Sunniva Kingsford</t>
        </is>
      </c>
      <c r="D204" s="15" t="inlineStr">
        <is>
          <t>NH</t>
        </is>
      </c>
      <c r="E204" s="16" t="n">
        <v>1555000</v>
      </c>
      <c r="F204" s="16" t="n">
        <v>9629.66</v>
      </c>
      <c r="G204" s="16" t="n">
        <v>1203.71</v>
      </c>
      <c r="H204" s="16" t="n">
        <v>1203.71</v>
      </c>
      <c r="I204" s="16">
        <f>SUM(K204:T204)</f>
        <v/>
      </c>
      <c r="J204" s="16">
        <f>F204-(G204+H204+I204)</f>
        <v/>
      </c>
      <c r="K204" s="16" t="n">
        <v>722.22</v>
      </c>
      <c r="L204" s="16" t="n">
        <v>722.22</v>
      </c>
      <c r="M204" s="16" t="n">
        <v>722.22</v>
      </c>
      <c r="N204" s="16" t="n">
        <v>722.22</v>
      </c>
      <c r="O204" s="16" t="n">
        <v>722.22</v>
      </c>
      <c r="P204" s="16" t="n">
        <v>722.22</v>
      </c>
      <c r="Q204" s="16" t="n">
        <v>722.22</v>
      </c>
      <c r="R204" s="16" t="n">
        <v>722.22</v>
      </c>
      <c r="S204" s="16" t="n">
        <v>722.22</v>
      </c>
      <c r="T204" s="16" t="n">
        <v>722.22</v>
      </c>
      <c r="U204" s="16" t="n">
        <v>350</v>
      </c>
      <c r="V204" s="16" t="n">
        <v>250</v>
      </c>
      <c r="W204" s="16">
        <f>U204+V204</f>
        <v/>
      </c>
    </row>
    <row r="205">
      <c r="A205" s="3" t="inlineStr">
        <is>
          <t>CANON-202604-005529</t>
        </is>
      </c>
      <c r="B205" s="3" t="inlineStr">
        <is>
          <t>2026-04-04</t>
        </is>
      </c>
      <c r="C205" s="3" t="inlineStr">
        <is>
          <t>Fitzgerald Larsson</t>
        </is>
      </c>
      <c r="D205" s="3" t="inlineStr">
        <is>
          <t>MT</t>
        </is>
      </c>
      <c r="E205" s="14" t="n">
        <v>995000</v>
      </c>
      <c r="F205" s="14" t="n">
        <v>13775.06</v>
      </c>
      <c r="G205" s="14" t="n">
        <v>1721.88</v>
      </c>
      <c r="H205" s="14" t="n">
        <v>1721.88</v>
      </c>
      <c r="I205" s="14">
        <f>SUM(K205:T205)</f>
        <v/>
      </c>
      <c r="J205" s="14">
        <f>F205-(G205+H205+I205)</f>
        <v/>
      </c>
      <c r="K205" s="14" t="n">
        <v>1033.13</v>
      </c>
      <c r="L205" s="14" t="n">
        <v>1033.13</v>
      </c>
      <c r="M205" s="14" t="n">
        <v>1033.13</v>
      </c>
      <c r="N205" s="14" t="n">
        <v>1033.13</v>
      </c>
      <c r="O205" s="14" t="n">
        <v>1033.13</v>
      </c>
      <c r="P205" s="14" t="n">
        <v>1033.13</v>
      </c>
      <c r="Q205" s="14" t="n">
        <v>1033.13</v>
      </c>
      <c r="R205" s="14" t="n">
        <v>1033.13</v>
      </c>
      <c r="S205" s="14" t="n">
        <v>1033.13</v>
      </c>
      <c r="T205" s="14" t="n">
        <v>1033.13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CANON-202604-005530</t>
        </is>
      </c>
      <c r="B206" s="15" t="inlineStr">
        <is>
          <t>2026-04-22</t>
        </is>
      </c>
      <c r="C206" s="15" t="inlineStr">
        <is>
          <t>Sunniva Delacroix</t>
        </is>
      </c>
      <c r="D206" s="15" t="inlineStr">
        <is>
          <t>AK</t>
        </is>
      </c>
      <c r="E206" s="16" t="n">
        <v>525000</v>
      </c>
      <c r="F206" s="16" t="n">
        <v>6095.94</v>
      </c>
      <c r="G206" s="16" t="n">
        <v>761.99</v>
      </c>
      <c r="H206" s="16" t="n">
        <v>761.99</v>
      </c>
      <c r="I206" s="16">
        <f>SUM(K206:T206)</f>
        <v/>
      </c>
      <c r="J206" s="16">
        <f>F206-(G206+H206+I206)</f>
        <v/>
      </c>
      <c r="K206" s="16" t="n">
        <v>457.2</v>
      </c>
      <c r="L206" s="16" t="n">
        <v>457.2</v>
      </c>
      <c r="M206" s="16" t="n">
        <v>457.2</v>
      </c>
      <c r="N206" s="16" t="n">
        <v>457.2</v>
      </c>
      <c r="O206" s="16" t="n">
        <v>457.2</v>
      </c>
      <c r="P206" s="16" t="n">
        <v>457.2</v>
      </c>
      <c r="Q206" s="16" t="n">
        <v>457.2</v>
      </c>
      <c r="R206" s="16" t="n">
        <v>457.2</v>
      </c>
      <c r="S206" s="16" t="n">
        <v>457.2</v>
      </c>
      <c r="T206" s="16" t="n">
        <v>457.2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CANON-202604-005531</t>
        </is>
      </c>
      <c r="B207" s="3" t="inlineStr">
        <is>
          <t>2026-04-24</t>
        </is>
      </c>
      <c r="C207" s="3" t="inlineStr">
        <is>
          <t>Priya Okonkwo</t>
        </is>
      </c>
      <c r="D207" s="3" t="inlineStr">
        <is>
          <t>NY</t>
        </is>
      </c>
      <c r="E207" s="14" t="n">
        <v>535000</v>
      </c>
      <c r="F207" s="14" t="n">
        <v>6974.95</v>
      </c>
      <c r="G207" s="14" t="n">
        <v>871.87</v>
      </c>
      <c r="H207" s="14" t="n">
        <v>871.87</v>
      </c>
      <c r="I207" s="14">
        <f>SUM(K207:T207)</f>
        <v/>
      </c>
      <c r="J207" s="14">
        <f>F207-(G207+H207+I207)</f>
        <v/>
      </c>
      <c r="K207" s="14" t="n">
        <v>523.12</v>
      </c>
      <c r="L207" s="14" t="n">
        <v>523.12</v>
      </c>
      <c r="M207" s="14" t="n">
        <v>523.12</v>
      </c>
      <c r="N207" s="14" t="n">
        <v>523.12</v>
      </c>
      <c r="O207" s="14" t="n">
        <v>523.12</v>
      </c>
      <c r="P207" s="14" t="n">
        <v>523.12</v>
      </c>
      <c r="Q207" s="14" t="n">
        <v>523.12</v>
      </c>
      <c r="R207" s="14" t="n">
        <v>523.12</v>
      </c>
      <c r="S207" s="14" t="n">
        <v>523.12</v>
      </c>
      <c r="T207" s="14" t="n">
        <v>523.12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CANON-202604-005532</t>
        </is>
      </c>
      <c r="B208" s="15" t="inlineStr">
        <is>
          <t>2026-04-23</t>
        </is>
      </c>
      <c r="C208" s="15" t="inlineStr">
        <is>
          <t>Desmond Farkas</t>
        </is>
      </c>
      <c r="D208" s="15" t="inlineStr">
        <is>
          <t>WI</t>
        </is>
      </c>
      <c r="E208" s="16" t="n">
        <v>415000</v>
      </c>
      <c r="F208" s="16" t="n">
        <v>8974.1</v>
      </c>
      <c r="G208" s="16" t="n">
        <v>1121.76</v>
      </c>
      <c r="H208" s="16" t="n">
        <v>1121.76</v>
      </c>
      <c r="I208" s="16">
        <f>SUM(K208:T208)</f>
        <v/>
      </c>
      <c r="J208" s="16">
        <f>F208-(G208+H208+I208)</f>
        <v/>
      </c>
      <c r="K208" s="16" t="n">
        <v>673.0599999999999</v>
      </c>
      <c r="L208" s="16" t="n">
        <v>673.0599999999999</v>
      </c>
      <c r="M208" s="16" t="n">
        <v>673.0599999999999</v>
      </c>
      <c r="N208" s="16" t="n">
        <v>673.0599999999999</v>
      </c>
      <c r="O208" s="16" t="n">
        <v>673.0599999999999</v>
      </c>
      <c r="P208" s="16" t="n">
        <v>673.0599999999999</v>
      </c>
      <c r="Q208" s="16" t="n">
        <v>673.0599999999999</v>
      </c>
      <c r="R208" s="16" t="n">
        <v>673.0599999999999</v>
      </c>
      <c r="S208" s="16" t="n">
        <v>673.0599999999999</v>
      </c>
      <c r="T208" s="16" t="n">
        <v>673.0599999999999</v>
      </c>
      <c r="U208" s="16" t="n">
        <v>350</v>
      </c>
      <c r="V208" s="16" t="n">
        <v>0</v>
      </c>
      <c r="W208" s="16">
        <f>U208+V208</f>
        <v/>
      </c>
    </row>
    <row r="209">
      <c r="A209" s="3" t="inlineStr">
        <is>
          <t>CANON-202604-005533</t>
        </is>
      </c>
      <c r="B209" s="3" t="inlineStr">
        <is>
          <t>2026-04-12</t>
        </is>
      </c>
      <c r="C209" s="3" t="inlineStr">
        <is>
          <t>Ramona Larsson</t>
        </is>
      </c>
      <c r="D209" s="3" t="inlineStr">
        <is>
          <t>OH</t>
        </is>
      </c>
      <c r="E209" s="14" t="n">
        <v>570000</v>
      </c>
      <c r="F209" s="14" t="n">
        <v>11794.43</v>
      </c>
      <c r="G209" s="14" t="n">
        <v>1474.3</v>
      </c>
      <c r="H209" s="14" t="n">
        <v>1474.3</v>
      </c>
      <c r="I209" s="14">
        <f>SUM(K209:T209)</f>
        <v/>
      </c>
      <c r="J209" s="14">
        <f>F209-(G209+H209+I209)</f>
        <v/>
      </c>
      <c r="K209" s="14" t="n">
        <v>884.58</v>
      </c>
      <c r="L209" s="14" t="n">
        <v>884.58</v>
      </c>
      <c r="M209" s="14" t="n">
        <v>884.58</v>
      </c>
      <c r="N209" s="14" t="n">
        <v>884.58</v>
      </c>
      <c r="O209" s="14" t="n">
        <v>884.58</v>
      </c>
      <c r="P209" s="14" t="n">
        <v>884.58</v>
      </c>
      <c r="Q209" s="14" t="n">
        <v>884.58</v>
      </c>
      <c r="R209" s="14" t="n">
        <v>884.58</v>
      </c>
      <c r="S209" s="14" t="n">
        <v>884.58</v>
      </c>
      <c r="T209" s="14" t="n">
        <v>884.58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CANON-202604-005535</t>
        </is>
      </c>
      <c r="B210" s="15" t="inlineStr">
        <is>
          <t>2026-04-19</t>
        </is>
      </c>
      <c r="C210" s="15" t="inlineStr">
        <is>
          <t>Thaddeus Vasquez</t>
        </is>
      </c>
      <c r="D210" s="15" t="inlineStr">
        <is>
          <t>WA</t>
        </is>
      </c>
      <c r="E210" s="16" t="n">
        <v>1750000</v>
      </c>
      <c r="F210" s="16" t="n">
        <v>21060.23</v>
      </c>
      <c r="G210" s="16" t="n">
        <v>2632.53</v>
      </c>
      <c r="H210" s="16" t="n">
        <v>2632.53</v>
      </c>
      <c r="I210" s="16">
        <f>SUM(K210:T210)</f>
        <v/>
      </c>
      <c r="J210" s="16">
        <f>F210-(G210+H210+I210)</f>
        <v/>
      </c>
      <c r="K210" s="16" t="n">
        <v>1579.52</v>
      </c>
      <c r="L210" s="16" t="n">
        <v>1579.52</v>
      </c>
      <c r="M210" s="16" t="n">
        <v>1579.52</v>
      </c>
      <c r="N210" s="16" t="n">
        <v>1579.52</v>
      </c>
      <c r="O210" s="16" t="n">
        <v>1579.52</v>
      </c>
      <c r="P210" s="16" t="n">
        <v>1579.52</v>
      </c>
      <c r="Q210" s="16" t="n">
        <v>1579.52</v>
      </c>
      <c r="R210" s="16" t="n">
        <v>1579.52</v>
      </c>
      <c r="S210" s="16" t="n">
        <v>1579.52</v>
      </c>
      <c r="T210" s="16" t="n">
        <v>1579.52</v>
      </c>
      <c r="U210" s="16" t="n">
        <v>350</v>
      </c>
      <c r="V210" s="16" t="n">
        <v>250</v>
      </c>
      <c r="W210" s="16">
        <f>U210+V210</f>
        <v/>
      </c>
    </row>
    <row r="211">
      <c r="A211" s="3" t="inlineStr">
        <is>
          <t>CANON-202604-005536</t>
        </is>
      </c>
      <c r="B211" s="3" t="inlineStr">
        <is>
          <t>2026-04-03</t>
        </is>
      </c>
      <c r="C211" s="3" t="inlineStr">
        <is>
          <t>Cassius Bellandi</t>
        </is>
      </c>
      <c r="D211" s="3" t="inlineStr">
        <is>
          <t>AL</t>
        </is>
      </c>
      <c r="E211" s="14" t="n">
        <v>510000</v>
      </c>
      <c r="F211" s="14" t="n">
        <v>6597.07</v>
      </c>
      <c r="G211" s="14" t="n">
        <v>824.63</v>
      </c>
      <c r="H211" s="14" t="n">
        <v>824.63</v>
      </c>
      <c r="I211" s="14">
        <f>SUM(K211:T211)</f>
        <v/>
      </c>
      <c r="J211" s="14">
        <f>F211-(G211+H211+I211)</f>
        <v/>
      </c>
      <c r="K211" s="14" t="n">
        <v>494.78</v>
      </c>
      <c r="L211" s="14" t="n">
        <v>494.78</v>
      </c>
      <c r="M211" s="14" t="n">
        <v>494.78</v>
      </c>
      <c r="N211" s="14" t="n">
        <v>494.78</v>
      </c>
      <c r="O211" s="14" t="n">
        <v>494.78</v>
      </c>
      <c r="P211" s="14" t="n">
        <v>494.78</v>
      </c>
      <c r="Q211" s="14" t="n">
        <v>494.78</v>
      </c>
      <c r="R211" s="14" t="n">
        <v>494.78</v>
      </c>
      <c r="S211" s="14" t="n">
        <v>494.78</v>
      </c>
      <c r="T211" s="14" t="n">
        <v>494.78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CANON-202604-005538</t>
        </is>
      </c>
      <c r="B212" s="15" t="inlineStr">
        <is>
          <t>2026-04-17</t>
        </is>
      </c>
      <c r="C212" s="15" t="inlineStr">
        <is>
          <t>Emiliano Fairweather</t>
        </is>
      </c>
      <c r="D212" s="15" t="inlineStr">
        <is>
          <t>TX</t>
        </is>
      </c>
      <c r="E212" s="16" t="n">
        <v>415000</v>
      </c>
      <c r="F212" s="16" t="n">
        <v>3589.64</v>
      </c>
      <c r="G212" s="16" t="n">
        <v>448.7</v>
      </c>
      <c r="H212" s="16" t="n">
        <v>448.7</v>
      </c>
      <c r="I212" s="16">
        <f>SUM(K212:T212)</f>
        <v/>
      </c>
      <c r="J212" s="16">
        <f>F212-(G212+H212+I212)</f>
        <v/>
      </c>
      <c r="K212" s="16" t="n">
        <v>269.22</v>
      </c>
      <c r="L212" s="16" t="n">
        <v>269.22</v>
      </c>
      <c r="M212" s="16" t="n">
        <v>269.22</v>
      </c>
      <c r="N212" s="16" t="n">
        <v>269.22</v>
      </c>
      <c r="O212" s="16" t="n">
        <v>269.22</v>
      </c>
      <c r="P212" s="16" t="n">
        <v>269.22</v>
      </c>
      <c r="Q212" s="16" t="n">
        <v>269.22</v>
      </c>
      <c r="R212" s="16" t="n">
        <v>269.22</v>
      </c>
      <c r="S212" s="16" t="n">
        <v>269.22</v>
      </c>
      <c r="T212" s="16" t="n">
        <v>269.22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CANON-202604-005540</t>
        </is>
      </c>
      <c r="B213" s="3" t="inlineStr">
        <is>
          <t>2026-04-04</t>
        </is>
      </c>
      <c r="C213" s="3" t="inlineStr">
        <is>
          <t>Mireille Montoya</t>
        </is>
      </c>
      <c r="D213" s="3" t="inlineStr">
        <is>
          <t>FL</t>
        </is>
      </c>
      <c r="E213" s="14" t="n">
        <v>1000000</v>
      </c>
      <c r="F213" s="14" t="n">
        <v>8455.43</v>
      </c>
      <c r="G213" s="14" t="n">
        <v>1056.93</v>
      </c>
      <c r="H213" s="14" t="n">
        <v>1056.93</v>
      </c>
      <c r="I213" s="14">
        <f>SUM(K213:T213)</f>
        <v/>
      </c>
      <c r="J213" s="14">
        <f>F213-(G213+H213+I213)</f>
        <v/>
      </c>
      <c r="K213" s="14" t="n">
        <v>634.16</v>
      </c>
      <c r="L213" s="14" t="n">
        <v>634.16</v>
      </c>
      <c r="M213" s="14" t="n">
        <v>634.16</v>
      </c>
      <c r="N213" s="14" t="n">
        <v>634.16</v>
      </c>
      <c r="O213" s="14" t="n">
        <v>634.16</v>
      </c>
      <c r="P213" s="14" t="n">
        <v>634.16</v>
      </c>
      <c r="Q213" s="14" t="n">
        <v>634.16</v>
      </c>
      <c r="R213" s="14" t="n">
        <v>634.16</v>
      </c>
      <c r="S213" s="14" t="n">
        <v>634.16</v>
      </c>
      <c r="T213" s="14" t="n">
        <v>634.16</v>
      </c>
      <c r="U213" s="14" t="n">
        <v>350</v>
      </c>
      <c r="V213" s="14" t="n">
        <v>250</v>
      </c>
      <c r="W213" s="14">
        <f>U213+V213</f>
        <v/>
      </c>
    </row>
    <row r="214">
      <c r="A214" s="15" t="inlineStr">
        <is>
          <t>CANON-202604-005542</t>
        </is>
      </c>
      <c r="B214" s="15" t="inlineStr">
        <is>
          <t>2026-04-07</t>
        </is>
      </c>
      <c r="C214" s="15" t="inlineStr">
        <is>
          <t>Ingrid Farkas</t>
        </is>
      </c>
      <c r="D214" s="15" t="inlineStr">
        <is>
          <t>UT</t>
        </is>
      </c>
      <c r="E214" s="16" t="n">
        <v>550000</v>
      </c>
      <c r="F214" s="16" t="n">
        <v>5002.98</v>
      </c>
      <c r="G214" s="16" t="n">
        <v>625.37</v>
      </c>
      <c r="H214" s="16" t="n">
        <v>625.37</v>
      </c>
      <c r="I214" s="16">
        <f>SUM(K214:T214)</f>
        <v/>
      </c>
      <c r="J214" s="16">
        <f>F214-(G214+H214+I214)</f>
        <v/>
      </c>
      <c r="K214" s="16" t="n">
        <v>375.22</v>
      </c>
      <c r="L214" s="16" t="n">
        <v>375.22</v>
      </c>
      <c r="M214" s="16" t="n">
        <v>375.22</v>
      </c>
      <c r="N214" s="16" t="n">
        <v>375.22</v>
      </c>
      <c r="O214" s="16" t="n">
        <v>375.22</v>
      </c>
      <c r="P214" s="16" t="n">
        <v>375.22</v>
      </c>
      <c r="Q214" s="16" t="n">
        <v>375.22</v>
      </c>
      <c r="R214" s="16" t="n">
        <v>375.22</v>
      </c>
      <c r="S214" s="16" t="n">
        <v>375.22</v>
      </c>
      <c r="T214" s="16" t="n">
        <v>375.22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CANON-202604-005546</t>
        </is>
      </c>
      <c r="B215" s="3" t="inlineStr">
        <is>
          <t>2026-04-16</t>
        </is>
      </c>
      <c r="C215" s="3" t="inlineStr">
        <is>
          <t>Thaddeus Harrington</t>
        </is>
      </c>
      <c r="D215" s="3" t="inlineStr">
        <is>
          <t>GA</t>
        </is>
      </c>
      <c r="E215" s="14" t="n">
        <v>1540000</v>
      </c>
      <c r="F215" s="14" t="n">
        <v>14865.01</v>
      </c>
      <c r="G215" s="14" t="n">
        <v>1858.13</v>
      </c>
      <c r="H215" s="14" t="n">
        <v>1858.13</v>
      </c>
      <c r="I215" s="14">
        <f>SUM(K215:T215)</f>
        <v/>
      </c>
      <c r="J215" s="14">
        <f>F215-(G215+H215+I215)</f>
        <v/>
      </c>
      <c r="K215" s="14" t="n">
        <v>1114.88</v>
      </c>
      <c r="L215" s="14" t="n">
        <v>1114.88</v>
      </c>
      <c r="M215" s="14" t="n">
        <v>1114.88</v>
      </c>
      <c r="N215" s="14" t="n">
        <v>1114.88</v>
      </c>
      <c r="O215" s="14" t="n">
        <v>1114.88</v>
      </c>
      <c r="P215" s="14" t="n">
        <v>1114.88</v>
      </c>
      <c r="Q215" s="14" t="n">
        <v>1114.88</v>
      </c>
      <c r="R215" s="14" t="n">
        <v>1114.88</v>
      </c>
      <c r="S215" s="14" t="n">
        <v>1114.88</v>
      </c>
      <c r="T215" s="14" t="n">
        <v>1114.88</v>
      </c>
      <c r="U215" s="14" t="n">
        <v>350</v>
      </c>
      <c r="V215" s="14" t="n">
        <v>250</v>
      </c>
      <c r="W215" s="14">
        <f>U215+V215</f>
        <v/>
      </c>
    </row>
    <row r="216">
      <c r="A216" s="15" t="inlineStr">
        <is>
          <t>CANON-202604-005547</t>
        </is>
      </c>
      <c r="B216" s="15" t="inlineStr">
        <is>
          <t>2026-04-15</t>
        </is>
      </c>
      <c r="C216" s="15" t="inlineStr">
        <is>
          <t>Saoirse Ashcombe</t>
        </is>
      </c>
      <c r="D216" s="15" t="inlineStr">
        <is>
          <t>CO</t>
        </is>
      </c>
      <c r="E216" s="16" t="n">
        <v>570000</v>
      </c>
      <c r="F216" s="16" t="n">
        <v>6386.23</v>
      </c>
      <c r="G216" s="16" t="n">
        <v>798.28</v>
      </c>
      <c r="H216" s="16" t="n">
        <v>798.28</v>
      </c>
      <c r="I216" s="16">
        <f>SUM(K216:T216)</f>
        <v/>
      </c>
      <c r="J216" s="16">
        <f>F216-(G216+H216+I216)</f>
        <v/>
      </c>
      <c r="K216" s="16" t="n">
        <v>478.97</v>
      </c>
      <c r="L216" s="16" t="n">
        <v>478.97</v>
      </c>
      <c r="M216" s="16" t="n">
        <v>478.97</v>
      </c>
      <c r="N216" s="16" t="n">
        <v>478.97</v>
      </c>
      <c r="O216" s="16" t="n">
        <v>478.97</v>
      </c>
      <c r="P216" s="16" t="n">
        <v>478.97</v>
      </c>
      <c r="Q216" s="16" t="n">
        <v>478.97</v>
      </c>
      <c r="R216" s="16" t="n">
        <v>478.97</v>
      </c>
      <c r="S216" s="16" t="n">
        <v>478.97</v>
      </c>
      <c r="T216" s="16" t="n">
        <v>478.97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CANON-202604-005548</t>
        </is>
      </c>
      <c r="B217" s="3" t="inlineStr">
        <is>
          <t>2026-04-14</t>
        </is>
      </c>
      <c r="C217" s="3" t="inlineStr">
        <is>
          <t>Marisol Blackwood</t>
        </is>
      </c>
      <c r="D217" s="3" t="inlineStr">
        <is>
          <t>ID</t>
        </is>
      </c>
      <c r="E217" s="14" t="n">
        <v>570000</v>
      </c>
      <c r="F217" s="14" t="n">
        <v>5747.61</v>
      </c>
      <c r="G217" s="14" t="n">
        <v>718.45</v>
      </c>
      <c r="H217" s="14" t="n">
        <v>718.45</v>
      </c>
      <c r="I217" s="14">
        <f>SUM(K217:T217)</f>
        <v/>
      </c>
      <c r="J217" s="14">
        <f>F217-(G217+H217+I217)</f>
        <v/>
      </c>
      <c r="K217" s="14" t="n">
        <v>431.07</v>
      </c>
      <c r="L217" s="14" t="n">
        <v>431.07</v>
      </c>
      <c r="M217" s="14" t="n">
        <v>431.07</v>
      </c>
      <c r="N217" s="14" t="n">
        <v>431.07</v>
      </c>
      <c r="O217" s="14" t="n">
        <v>431.07</v>
      </c>
      <c r="P217" s="14" t="n">
        <v>431.07</v>
      </c>
      <c r="Q217" s="14" t="n">
        <v>431.07</v>
      </c>
      <c r="R217" s="14" t="n">
        <v>431.07</v>
      </c>
      <c r="S217" s="14" t="n">
        <v>431.07</v>
      </c>
      <c r="T217" s="14" t="n">
        <v>431.07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CANON-202604-005549</t>
        </is>
      </c>
      <c r="B218" s="15" t="inlineStr">
        <is>
          <t>2026-04-05</t>
        </is>
      </c>
      <c r="C218" s="15" t="inlineStr">
        <is>
          <t>Horace Kingsford</t>
        </is>
      </c>
      <c r="D218" s="15" t="inlineStr">
        <is>
          <t>VT</t>
        </is>
      </c>
      <c r="E218" s="16" t="n">
        <v>350000</v>
      </c>
      <c r="F218" s="16" t="n">
        <v>7694.66</v>
      </c>
      <c r="G218" s="16" t="n">
        <v>961.83</v>
      </c>
      <c r="H218" s="16" t="n">
        <v>961.83</v>
      </c>
      <c r="I218" s="16">
        <f>SUM(K218:T218)</f>
        <v/>
      </c>
      <c r="J218" s="16">
        <f>F218-(G218+H218+I218)</f>
        <v/>
      </c>
      <c r="K218" s="16" t="n">
        <v>577.1</v>
      </c>
      <c r="L218" s="16" t="n">
        <v>577.1</v>
      </c>
      <c r="M218" s="16" t="n">
        <v>577.1</v>
      </c>
      <c r="N218" s="16" t="n">
        <v>577.1</v>
      </c>
      <c r="O218" s="16" t="n">
        <v>577.1</v>
      </c>
      <c r="P218" s="16" t="n">
        <v>577.1</v>
      </c>
      <c r="Q218" s="16" t="n">
        <v>577.1</v>
      </c>
      <c r="R218" s="16" t="n">
        <v>577.1</v>
      </c>
      <c r="S218" s="16" t="n">
        <v>577.1</v>
      </c>
      <c r="T218" s="16" t="n">
        <v>577.1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CANON-202604-005550</t>
        </is>
      </c>
      <c r="B219" s="3" t="inlineStr">
        <is>
          <t>2026-04-05</t>
        </is>
      </c>
      <c r="C219" s="3" t="inlineStr">
        <is>
          <t>Sunniva Kingsford</t>
        </is>
      </c>
      <c r="D219" s="3" t="inlineStr">
        <is>
          <t>MA</t>
        </is>
      </c>
      <c r="E219" s="14" t="n">
        <v>1440000</v>
      </c>
      <c r="F219" s="14" t="n">
        <v>22564.53</v>
      </c>
      <c r="G219" s="14" t="n">
        <v>2820.57</v>
      </c>
      <c r="H219" s="14" t="n">
        <v>2820.57</v>
      </c>
      <c r="I219" s="14">
        <f>SUM(K219:T219)</f>
        <v/>
      </c>
      <c r="J219" s="14">
        <f>F219-(G219+H219+I219)</f>
        <v/>
      </c>
      <c r="K219" s="14" t="n">
        <v>1692.34</v>
      </c>
      <c r="L219" s="14" t="n">
        <v>1692.34</v>
      </c>
      <c r="M219" s="14" t="n">
        <v>1692.34</v>
      </c>
      <c r="N219" s="14" t="n">
        <v>1692.34</v>
      </c>
      <c r="O219" s="14" t="n">
        <v>1692.34</v>
      </c>
      <c r="P219" s="14" t="n">
        <v>1692.34</v>
      </c>
      <c r="Q219" s="14" t="n">
        <v>1692.34</v>
      </c>
      <c r="R219" s="14" t="n">
        <v>1692.34</v>
      </c>
      <c r="S219" s="14" t="n">
        <v>1692.34</v>
      </c>
      <c r="T219" s="14" t="n">
        <v>1692.34</v>
      </c>
      <c r="U219" s="14" t="n">
        <v>350</v>
      </c>
      <c r="V219" s="14" t="n">
        <v>250</v>
      </c>
      <c r="W219" s="14">
        <f>U219+V219</f>
        <v/>
      </c>
    </row>
    <row r="220">
      <c r="A220" s="15" t="inlineStr">
        <is>
          <t>CANON-202604-005551</t>
        </is>
      </c>
      <c r="B220" s="15" t="inlineStr">
        <is>
          <t>2026-04-23</t>
        </is>
      </c>
      <c r="C220" s="15" t="inlineStr">
        <is>
          <t>Ramona Montoya</t>
        </is>
      </c>
      <c r="D220" s="15" t="inlineStr">
        <is>
          <t>SD</t>
        </is>
      </c>
      <c r="E220" s="16" t="n">
        <v>1265000</v>
      </c>
      <c r="F220" s="16" t="n">
        <v>12101.52</v>
      </c>
      <c r="G220" s="16" t="n">
        <v>1512.69</v>
      </c>
      <c r="H220" s="16" t="n">
        <v>1512.69</v>
      </c>
      <c r="I220" s="16">
        <f>SUM(K220:T220)</f>
        <v/>
      </c>
      <c r="J220" s="16">
        <f>F220-(G220+H220+I220)</f>
        <v/>
      </c>
      <c r="K220" s="16" t="n">
        <v>907.61</v>
      </c>
      <c r="L220" s="16" t="n">
        <v>907.61</v>
      </c>
      <c r="M220" s="16" t="n">
        <v>907.61</v>
      </c>
      <c r="N220" s="16" t="n">
        <v>907.61</v>
      </c>
      <c r="O220" s="16" t="n">
        <v>907.61</v>
      </c>
      <c r="P220" s="16" t="n">
        <v>907.61</v>
      </c>
      <c r="Q220" s="16" t="n">
        <v>907.61</v>
      </c>
      <c r="R220" s="16" t="n">
        <v>907.61</v>
      </c>
      <c r="S220" s="16" t="n">
        <v>907.61</v>
      </c>
      <c r="T220" s="16" t="n">
        <v>907.61</v>
      </c>
      <c r="U220" s="16" t="n">
        <v>350</v>
      </c>
      <c r="V220" s="16" t="n">
        <v>250</v>
      </c>
      <c r="W220" s="16">
        <f>U220+V220</f>
        <v/>
      </c>
    </row>
    <row r="221">
      <c r="A221" s="3" t="inlineStr">
        <is>
          <t>CANON-202604-005552</t>
        </is>
      </c>
      <c r="B221" s="3" t="inlineStr">
        <is>
          <t>2026-04-20</t>
        </is>
      </c>
      <c r="C221" s="3" t="inlineStr">
        <is>
          <t>Marisol Bellandi</t>
        </is>
      </c>
      <c r="D221" s="3" t="inlineStr">
        <is>
          <t>SC</t>
        </is>
      </c>
      <c r="E221" s="14" t="n">
        <v>415000</v>
      </c>
      <c r="F221" s="14" t="n">
        <v>6047.77</v>
      </c>
      <c r="G221" s="14" t="n">
        <v>755.97</v>
      </c>
      <c r="H221" s="14" t="n">
        <v>755.97</v>
      </c>
      <c r="I221" s="14">
        <f>SUM(K221:T221)</f>
        <v/>
      </c>
      <c r="J221" s="14">
        <f>F221-(G221+H221+I221)</f>
        <v/>
      </c>
      <c r="K221" s="14" t="n">
        <v>453.58</v>
      </c>
      <c r="L221" s="14" t="n">
        <v>453.58</v>
      </c>
      <c r="M221" s="14" t="n">
        <v>453.58</v>
      </c>
      <c r="N221" s="14" t="n">
        <v>453.58</v>
      </c>
      <c r="O221" s="14" t="n">
        <v>453.58</v>
      </c>
      <c r="P221" s="14" t="n">
        <v>453.58</v>
      </c>
      <c r="Q221" s="14" t="n">
        <v>453.58</v>
      </c>
      <c r="R221" s="14" t="n">
        <v>453.58</v>
      </c>
      <c r="S221" s="14" t="n">
        <v>453.58</v>
      </c>
      <c r="T221" s="14" t="n">
        <v>453.58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CANON-202604-005554</t>
        </is>
      </c>
      <c r="B222" s="15" t="inlineStr">
        <is>
          <t>2026-04-25</t>
        </is>
      </c>
      <c r="C222" s="15" t="inlineStr">
        <is>
          <t>Fenwick Whitlock</t>
        </is>
      </c>
      <c r="D222" s="15" t="inlineStr">
        <is>
          <t>NC</t>
        </is>
      </c>
      <c r="E222" s="16" t="n">
        <v>1375000</v>
      </c>
      <c r="F222" s="16" t="n">
        <v>13627.84</v>
      </c>
      <c r="G222" s="16" t="n">
        <v>1703.48</v>
      </c>
      <c r="H222" s="16" t="n">
        <v>1703.48</v>
      </c>
      <c r="I222" s="16">
        <f>SUM(K222:T222)</f>
        <v/>
      </c>
      <c r="J222" s="16">
        <f>F222-(G222+H222+I222)</f>
        <v/>
      </c>
      <c r="K222" s="16" t="n">
        <v>1022.09</v>
      </c>
      <c r="L222" s="16" t="n">
        <v>1022.09</v>
      </c>
      <c r="M222" s="16" t="n">
        <v>1022.09</v>
      </c>
      <c r="N222" s="16" t="n">
        <v>1022.09</v>
      </c>
      <c r="O222" s="16" t="n">
        <v>1022.09</v>
      </c>
      <c r="P222" s="16" t="n">
        <v>1022.09</v>
      </c>
      <c r="Q222" s="16" t="n">
        <v>1022.09</v>
      </c>
      <c r="R222" s="16" t="n">
        <v>1022.09</v>
      </c>
      <c r="S222" s="16" t="n">
        <v>1022.09</v>
      </c>
      <c r="T222" s="16" t="n">
        <v>1022.09</v>
      </c>
      <c r="U222" s="16" t="n">
        <v>350</v>
      </c>
      <c r="V222" s="16" t="n">
        <v>250</v>
      </c>
      <c r="W222" s="16">
        <f>U222+V222</f>
        <v/>
      </c>
    </row>
    <row r="223">
      <c r="A223" s="3" t="inlineStr">
        <is>
          <t>CANON-202604-005555</t>
        </is>
      </c>
      <c r="B223" s="3" t="inlineStr">
        <is>
          <t>2026-04-08</t>
        </is>
      </c>
      <c r="C223" s="3" t="inlineStr">
        <is>
          <t>Saoirse Larsson</t>
        </is>
      </c>
      <c r="D223" s="3" t="inlineStr">
        <is>
          <t>VA</t>
        </is>
      </c>
      <c r="E223" s="14" t="n">
        <v>250000</v>
      </c>
      <c r="F223" s="14" t="n">
        <v>3202.52</v>
      </c>
      <c r="G223" s="14" t="n">
        <v>400.31</v>
      </c>
      <c r="H223" s="14" t="n">
        <v>400.31</v>
      </c>
      <c r="I223" s="14">
        <f>SUM(K223:T223)</f>
        <v/>
      </c>
      <c r="J223" s="14">
        <f>F223-(G223+H223+I223)</f>
        <v/>
      </c>
      <c r="K223" s="14" t="n">
        <v>240.19</v>
      </c>
      <c r="L223" s="14" t="n">
        <v>240.19</v>
      </c>
      <c r="M223" s="14" t="n">
        <v>240.19</v>
      </c>
      <c r="N223" s="14" t="n">
        <v>240.19</v>
      </c>
      <c r="O223" s="14" t="n">
        <v>240.19</v>
      </c>
      <c r="P223" s="14" t="n">
        <v>240.19</v>
      </c>
      <c r="Q223" s="14" t="n">
        <v>240.19</v>
      </c>
      <c r="R223" s="14" t="n">
        <v>240.19</v>
      </c>
      <c r="S223" s="14" t="n">
        <v>240.19</v>
      </c>
      <c r="T223" s="14" t="n">
        <v>240.19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CANON-202604-005556</t>
        </is>
      </c>
      <c r="B224" s="15" t="inlineStr">
        <is>
          <t>2026-04-22</t>
        </is>
      </c>
      <c r="C224" s="15" t="inlineStr">
        <is>
          <t>Beatrix Vandermeer</t>
        </is>
      </c>
      <c r="D224" s="15" t="inlineStr">
        <is>
          <t>MI</t>
        </is>
      </c>
      <c r="E224" s="16" t="n">
        <v>680000</v>
      </c>
      <c r="F224" s="16" t="n">
        <v>10735.39</v>
      </c>
      <c r="G224" s="16" t="n">
        <v>1341.92</v>
      </c>
      <c r="H224" s="16" t="n">
        <v>1341.92</v>
      </c>
      <c r="I224" s="16">
        <f>SUM(K224:T224)</f>
        <v/>
      </c>
      <c r="J224" s="16">
        <f>F224-(G224+H224+I224)</f>
        <v/>
      </c>
      <c r="K224" s="16" t="n">
        <v>805.15</v>
      </c>
      <c r="L224" s="16" t="n">
        <v>805.15</v>
      </c>
      <c r="M224" s="16" t="n">
        <v>805.15</v>
      </c>
      <c r="N224" s="16" t="n">
        <v>805.15</v>
      </c>
      <c r="O224" s="16" t="n">
        <v>805.15</v>
      </c>
      <c r="P224" s="16" t="n">
        <v>805.15</v>
      </c>
      <c r="Q224" s="16" t="n">
        <v>805.15</v>
      </c>
      <c r="R224" s="16" t="n">
        <v>805.15</v>
      </c>
      <c r="S224" s="16" t="n">
        <v>805.15</v>
      </c>
      <c r="T224" s="16" t="n">
        <v>805.15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CANON-202604-005557</t>
        </is>
      </c>
      <c r="B225" s="3" t="inlineStr">
        <is>
          <t>2026-04-20</t>
        </is>
      </c>
      <c r="C225" s="3" t="inlineStr">
        <is>
          <t>Fenwick Harrington</t>
        </is>
      </c>
      <c r="D225" s="3" t="inlineStr">
        <is>
          <t>MI</t>
        </is>
      </c>
      <c r="E225" s="14" t="n">
        <v>485000</v>
      </c>
      <c r="F225" s="14" t="n">
        <v>8834.83</v>
      </c>
      <c r="G225" s="14" t="n">
        <v>1104.35</v>
      </c>
      <c r="H225" s="14" t="n">
        <v>1104.35</v>
      </c>
      <c r="I225" s="14">
        <f>SUM(K225:T225)</f>
        <v/>
      </c>
      <c r="J225" s="14">
        <f>F225-(G225+H225+I225)</f>
        <v/>
      </c>
      <c r="K225" s="14" t="n">
        <v>662.61</v>
      </c>
      <c r="L225" s="14" t="n">
        <v>662.61</v>
      </c>
      <c r="M225" s="14" t="n">
        <v>662.61</v>
      </c>
      <c r="N225" s="14" t="n">
        <v>662.61</v>
      </c>
      <c r="O225" s="14" t="n">
        <v>662.61</v>
      </c>
      <c r="P225" s="14" t="n">
        <v>662.61</v>
      </c>
      <c r="Q225" s="14" t="n">
        <v>662.61</v>
      </c>
      <c r="R225" s="14" t="n">
        <v>662.61</v>
      </c>
      <c r="S225" s="14" t="n">
        <v>662.61</v>
      </c>
      <c r="T225" s="14" t="n">
        <v>662.61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CANON-202604-005560</t>
        </is>
      </c>
      <c r="B226" s="15" t="inlineStr">
        <is>
          <t>2026-04-14</t>
        </is>
      </c>
      <c r="C226" s="15" t="inlineStr">
        <is>
          <t>Thaddeus Larsson</t>
        </is>
      </c>
      <c r="D226" s="15" t="inlineStr">
        <is>
          <t>NJ</t>
        </is>
      </c>
      <c r="E226" s="16" t="n">
        <v>1950000</v>
      </c>
      <c r="F226" s="16" t="n">
        <v>22244.87</v>
      </c>
      <c r="G226" s="16" t="n">
        <v>2780.61</v>
      </c>
      <c r="H226" s="16" t="n">
        <v>2780.61</v>
      </c>
      <c r="I226" s="16">
        <f>SUM(K226:T226)</f>
        <v/>
      </c>
      <c r="J226" s="16">
        <f>F226-(G226+H226+I226)</f>
        <v/>
      </c>
      <c r="K226" s="16" t="n">
        <v>1668.37</v>
      </c>
      <c r="L226" s="16" t="n">
        <v>1668.37</v>
      </c>
      <c r="M226" s="16" t="n">
        <v>1668.37</v>
      </c>
      <c r="N226" s="16" t="n">
        <v>1668.37</v>
      </c>
      <c r="O226" s="16" t="n">
        <v>1668.37</v>
      </c>
      <c r="P226" s="16" t="n">
        <v>1668.37</v>
      </c>
      <c r="Q226" s="16" t="n">
        <v>1668.37</v>
      </c>
      <c r="R226" s="16" t="n">
        <v>1668.37</v>
      </c>
      <c r="S226" s="16" t="n">
        <v>1668.37</v>
      </c>
      <c r="T226" s="16" t="n">
        <v>1668.37</v>
      </c>
      <c r="U226" s="16" t="n">
        <v>350</v>
      </c>
      <c r="V226" s="16" t="n">
        <v>250</v>
      </c>
      <c r="W226" s="16">
        <f>U226+V226</f>
        <v/>
      </c>
    </row>
    <row r="227">
      <c r="A227" s="3" t="inlineStr">
        <is>
          <t>CANON-202604-005561</t>
        </is>
      </c>
      <c r="B227" s="3" t="inlineStr">
        <is>
          <t>2026-04-23</t>
        </is>
      </c>
      <c r="C227" s="3" t="inlineStr">
        <is>
          <t>Noor Okonkwo</t>
        </is>
      </c>
      <c r="D227" s="3" t="inlineStr">
        <is>
          <t>NJ</t>
        </is>
      </c>
      <c r="E227" s="14" t="n">
        <v>185000</v>
      </c>
      <c r="F227" s="14" t="n">
        <v>3745.98</v>
      </c>
      <c r="G227" s="14" t="n">
        <v>468.25</v>
      </c>
      <c r="H227" s="14" t="n">
        <v>468.25</v>
      </c>
      <c r="I227" s="14">
        <f>SUM(K227:T227)</f>
        <v/>
      </c>
      <c r="J227" s="14">
        <f>F227-(G227+H227+I227)</f>
        <v/>
      </c>
      <c r="K227" s="14" t="n">
        <v>280.95</v>
      </c>
      <c r="L227" s="14" t="n">
        <v>280.95</v>
      </c>
      <c r="M227" s="14" t="n">
        <v>280.95</v>
      </c>
      <c r="N227" s="14" t="n">
        <v>280.95</v>
      </c>
      <c r="O227" s="14" t="n">
        <v>280.95</v>
      </c>
      <c r="P227" s="14" t="n">
        <v>280.95</v>
      </c>
      <c r="Q227" s="14" t="n">
        <v>280.95</v>
      </c>
      <c r="R227" s="14" t="n">
        <v>280.95</v>
      </c>
      <c r="S227" s="14" t="n">
        <v>280.95</v>
      </c>
      <c r="T227" s="14" t="n">
        <v>280.95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CANON-202604-005563</t>
        </is>
      </c>
      <c r="B228" s="15" t="inlineStr">
        <is>
          <t>2026-04-21</t>
        </is>
      </c>
      <c r="C228" s="15" t="inlineStr">
        <is>
          <t>Priya Delacroix</t>
        </is>
      </c>
      <c r="D228" s="15" t="inlineStr">
        <is>
          <t>OR</t>
        </is>
      </c>
      <c r="E228" s="16" t="n">
        <v>230000</v>
      </c>
      <c r="F228" s="16" t="n">
        <v>3746.78</v>
      </c>
      <c r="G228" s="16" t="n">
        <v>468.35</v>
      </c>
      <c r="H228" s="16" t="n">
        <v>468.35</v>
      </c>
      <c r="I228" s="16">
        <f>SUM(K228:T228)</f>
        <v/>
      </c>
      <c r="J228" s="16">
        <f>F228-(G228+H228+I228)</f>
        <v/>
      </c>
      <c r="K228" s="16" t="n">
        <v>281.01</v>
      </c>
      <c r="L228" s="16" t="n">
        <v>281.01</v>
      </c>
      <c r="M228" s="16" t="n">
        <v>281.01</v>
      </c>
      <c r="N228" s="16" t="n">
        <v>281.01</v>
      </c>
      <c r="O228" s="16" t="n">
        <v>281.01</v>
      </c>
      <c r="P228" s="16" t="n">
        <v>281.01</v>
      </c>
      <c r="Q228" s="16" t="n">
        <v>281.01</v>
      </c>
      <c r="R228" s="16" t="n">
        <v>281.01</v>
      </c>
      <c r="S228" s="16" t="n">
        <v>281.01</v>
      </c>
      <c r="T228" s="16" t="n">
        <v>281.01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CANON-202604-005564</t>
        </is>
      </c>
      <c r="B229" s="3" t="inlineStr">
        <is>
          <t>2026-04-30</t>
        </is>
      </c>
      <c r="C229" s="3" t="inlineStr">
        <is>
          <t>Thaddeus Okonkwo</t>
        </is>
      </c>
      <c r="D229" s="3" t="inlineStr">
        <is>
          <t>MN</t>
        </is>
      </c>
      <c r="E229" s="14" t="n">
        <v>575000</v>
      </c>
      <c r="F229" s="14" t="n">
        <v>7730.7</v>
      </c>
      <c r="G229" s="14" t="n">
        <v>966.34</v>
      </c>
      <c r="H229" s="14" t="n">
        <v>966.34</v>
      </c>
      <c r="I229" s="14">
        <f>SUM(K229:T229)</f>
        <v/>
      </c>
      <c r="J229" s="14">
        <f>F229-(G229+H229+I229)</f>
        <v/>
      </c>
      <c r="K229" s="14" t="n">
        <v>579.8</v>
      </c>
      <c r="L229" s="14" t="n">
        <v>579.8</v>
      </c>
      <c r="M229" s="14" t="n">
        <v>579.8</v>
      </c>
      <c r="N229" s="14" t="n">
        <v>579.8</v>
      </c>
      <c r="O229" s="14" t="n">
        <v>579.8</v>
      </c>
      <c r="P229" s="14" t="n">
        <v>579.8</v>
      </c>
      <c r="Q229" s="14" t="n">
        <v>579.8</v>
      </c>
      <c r="R229" s="14" t="n">
        <v>579.8</v>
      </c>
      <c r="S229" s="14" t="n">
        <v>579.8</v>
      </c>
      <c r="T229" s="14" t="n">
        <v>579.8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CANON-202604-005565</t>
        </is>
      </c>
      <c r="B230" s="15" t="inlineStr">
        <is>
          <t>2026-04-16</t>
        </is>
      </c>
      <c r="C230" s="15" t="inlineStr">
        <is>
          <t>Sunniva Rourke</t>
        </is>
      </c>
      <c r="D230" s="15" t="inlineStr">
        <is>
          <t>WV</t>
        </is>
      </c>
      <c r="E230" s="16" t="n">
        <v>220000</v>
      </c>
      <c r="F230" s="16" t="n">
        <v>4218.18</v>
      </c>
      <c r="G230" s="16" t="n">
        <v>527.27</v>
      </c>
      <c r="H230" s="16" t="n">
        <v>527.27</v>
      </c>
      <c r="I230" s="16">
        <f>SUM(K230:T230)</f>
        <v/>
      </c>
      <c r="J230" s="16">
        <f>F230-(G230+H230+I230)</f>
        <v/>
      </c>
      <c r="K230" s="16" t="n">
        <v>316.36</v>
      </c>
      <c r="L230" s="16" t="n">
        <v>316.36</v>
      </c>
      <c r="M230" s="16" t="n">
        <v>316.36</v>
      </c>
      <c r="N230" s="16" t="n">
        <v>316.36</v>
      </c>
      <c r="O230" s="16" t="n">
        <v>316.36</v>
      </c>
      <c r="P230" s="16" t="n">
        <v>316.36</v>
      </c>
      <c r="Q230" s="16" t="n">
        <v>316.36</v>
      </c>
      <c r="R230" s="16" t="n">
        <v>316.36</v>
      </c>
      <c r="S230" s="16" t="n">
        <v>316.36</v>
      </c>
      <c r="T230" s="16" t="n">
        <v>316.36</v>
      </c>
      <c r="U230" s="16" t="n">
        <v>350</v>
      </c>
      <c r="V230" s="16" t="n">
        <v>0</v>
      </c>
      <c r="W230" s="16">
        <f>U230+V230</f>
        <v/>
      </c>
    </row>
    <row r="231">
      <c r="A231" s="3" t="inlineStr">
        <is>
          <t>CANON-202604-005566</t>
        </is>
      </c>
      <c r="B231" s="3" t="inlineStr">
        <is>
          <t>2026-04-13</t>
        </is>
      </c>
      <c r="C231" s="3" t="inlineStr">
        <is>
          <t>Ingrid Farkas</t>
        </is>
      </c>
      <c r="D231" s="3" t="inlineStr">
        <is>
          <t>UT</t>
        </is>
      </c>
      <c r="E231" s="14" t="n">
        <v>495000</v>
      </c>
      <c r="F231" s="14" t="n">
        <v>7853.52</v>
      </c>
      <c r="G231" s="14" t="n">
        <v>981.6900000000001</v>
      </c>
      <c r="H231" s="14" t="n">
        <v>981.6900000000001</v>
      </c>
      <c r="I231" s="14">
        <f>SUM(K231:T231)</f>
        <v/>
      </c>
      <c r="J231" s="14">
        <f>F231-(G231+H231+I231)</f>
        <v/>
      </c>
      <c r="K231" s="14" t="n">
        <v>589.01</v>
      </c>
      <c r="L231" s="14" t="n">
        <v>589.01</v>
      </c>
      <c r="M231" s="14" t="n">
        <v>589.01</v>
      </c>
      <c r="N231" s="14" t="n">
        <v>589.01</v>
      </c>
      <c r="O231" s="14" t="n">
        <v>589.01</v>
      </c>
      <c r="P231" s="14" t="n">
        <v>589.01</v>
      </c>
      <c r="Q231" s="14" t="n">
        <v>589.01</v>
      </c>
      <c r="R231" s="14" t="n">
        <v>589.01</v>
      </c>
      <c r="S231" s="14" t="n">
        <v>589.01</v>
      </c>
      <c r="T231" s="14" t="n">
        <v>589.01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CANON-202604-005567</t>
        </is>
      </c>
      <c r="B232" s="15" t="inlineStr">
        <is>
          <t>2026-04-16</t>
        </is>
      </c>
      <c r="C232" s="15" t="inlineStr">
        <is>
          <t>Cassius Whitlock</t>
        </is>
      </c>
      <c r="D232" s="15" t="inlineStr">
        <is>
          <t>PA</t>
        </is>
      </c>
      <c r="E232" s="16" t="n">
        <v>1895000</v>
      </c>
      <c r="F232" s="16" t="n">
        <v>23755.43</v>
      </c>
      <c r="G232" s="16" t="n">
        <v>2969.43</v>
      </c>
      <c r="H232" s="16" t="n">
        <v>2969.43</v>
      </c>
      <c r="I232" s="16">
        <f>SUM(K232:T232)</f>
        <v/>
      </c>
      <c r="J232" s="16">
        <f>F232-(G232+H232+I232)</f>
        <v/>
      </c>
      <c r="K232" s="16" t="n">
        <v>1781.66</v>
      </c>
      <c r="L232" s="16" t="n">
        <v>1781.66</v>
      </c>
      <c r="M232" s="16" t="n">
        <v>1781.66</v>
      </c>
      <c r="N232" s="16" t="n">
        <v>1781.66</v>
      </c>
      <c r="O232" s="16" t="n">
        <v>1781.66</v>
      </c>
      <c r="P232" s="16" t="n">
        <v>1781.66</v>
      </c>
      <c r="Q232" s="16" t="n">
        <v>1781.66</v>
      </c>
      <c r="R232" s="16" t="n">
        <v>1781.66</v>
      </c>
      <c r="S232" s="16" t="n">
        <v>1781.66</v>
      </c>
      <c r="T232" s="16" t="n">
        <v>1781.66</v>
      </c>
      <c r="U232" s="16" t="n">
        <v>350</v>
      </c>
      <c r="V232" s="16" t="n">
        <v>250</v>
      </c>
      <c r="W232" s="16">
        <f>U232+V232</f>
        <v/>
      </c>
    </row>
    <row r="233">
      <c r="A233" s="3" t="inlineStr">
        <is>
          <t>CANON-202604-005568</t>
        </is>
      </c>
      <c r="B233" s="3" t="inlineStr">
        <is>
          <t>2026-04-17</t>
        </is>
      </c>
      <c r="C233" s="3" t="inlineStr">
        <is>
          <t>Ingrid Fairweather</t>
        </is>
      </c>
      <c r="D233" s="3" t="inlineStr">
        <is>
          <t>VA</t>
        </is>
      </c>
      <c r="E233" s="14" t="n">
        <v>755000</v>
      </c>
      <c r="F233" s="14" t="n">
        <v>8382.049999999999</v>
      </c>
      <c r="G233" s="14" t="n">
        <v>1047.76</v>
      </c>
      <c r="H233" s="14" t="n">
        <v>1047.76</v>
      </c>
      <c r="I233" s="14">
        <f>SUM(K233:T233)</f>
        <v/>
      </c>
      <c r="J233" s="14">
        <f>F233-(G233+H233+I233)</f>
        <v/>
      </c>
      <c r="K233" s="14" t="n">
        <v>628.65</v>
      </c>
      <c r="L233" s="14" t="n">
        <v>628.65</v>
      </c>
      <c r="M233" s="14" t="n">
        <v>628.65</v>
      </c>
      <c r="N233" s="14" t="n">
        <v>628.65</v>
      </c>
      <c r="O233" s="14" t="n">
        <v>628.65</v>
      </c>
      <c r="P233" s="14" t="n">
        <v>628.65</v>
      </c>
      <c r="Q233" s="14" t="n">
        <v>628.65</v>
      </c>
      <c r="R233" s="14" t="n">
        <v>628.65</v>
      </c>
      <c r="S233" s="14" t="n">
        <v>628.65</v>
      </c>
      <c r="T233" s="14" t="n">
        <v>628.65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CANON-202604-005569</t>
        </is>
      </c>
      <c r="B234" s="15" t="inlineStr">
        <is>
          <t>2026-04-04</t>
        </is>
      </c>
      <c r="C234" s="15" t="inlineStr">
        <is>
          <t>Sunniva Kingsford</t>
        </is>
      </c>
      <c r="D234" s="15" t="inlineStr">
        <is>
          <t>TN</t>
        </is>
      </c>
      <c r="E234" s="16" t="n">
        <v>935000</v>
      </c>
      <c r="F234" s="16" t="n">
        <v>6174.04</v>
      </c>
      <c r="G234" s="16" t="n">
        <v>771.75</v>
      </c>
      <c r="H234" s="16" t="n">
        <v>771.75</v>
      </c>
      <c r="I234" s="16">
        <f>SUM(K234:T234)</f>
        <v/>
      </c>
      <c r="J234" s="16">
        <f>F234-(G234+H234+I234)</f>
        <v/>
      </c>
      <c r="K234" s="16" t="n">
        <v>463.05</v>
      </c>
      <c r="L234" s="16" t="n">
        <v>463.05</v>
      </c>
      <c r="M234" s="16" t="n">
        <v>463.05</v>
      </c>
      <c r="N234" s="16" t="n">
        <v>463.05</v>
      </c>
      <c r="O234" s="16" t="n">
        <v>463.05</v>
      </c>
      <c r="P234" s="16" t="n">
        <v>463.05</v>
      </c>
      <c r="Q234" s="16" t="n">
        <v>463.05</v>
      </c>
      <c r="R234" s="16" t="n">
        <v>463.05</v>
      </c>
      <c r="S234" s="16" t="n">
        <v>463.05</v>
      </c>
      <c r="T234" s="16" t="n">
        <v>463.05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CANON-202604-005570</t>
        </is>
      </c>
      <c r="B235" s="3" t="inlineStr">
        <is>
          <t>2026-04-07</t>
        </is>
      </c>
      <c r="C235" s="3" t="inlineStr">
        <is>
          <t>Leopold Montoya</t>
        </is>
      </c>
      <c r="D235" s="3" t="inlineStr">
        <is>
          <t>NH</t>
        </is>
      </c>
      <c r="E235" s="14" t="n">
        <v>350000</v>
      </c>
      <c r="F235" s="14" t="n">
        <v>4277.86</v>
      </c>
      <c r="G235" s="14" t="n">
        <v>534.73</v>
      </c>
      <c r="H235" s="14" t="n">
        <v>534.73</v>
      </c>
      <c r="I235" s="14">
        <f>SUM(K235:T235)</f>
        <v/>
      </c>
      <c r="J235" s="14">
        <f>F235-(G235+H235+I235)</f>
        <v/>
      </c>
      <c r="K235" s="14" t="n">
        <v>320.84</v>
      </c>
      <c r="L235" s="14" t="n">
        <v>320.84</v>
      </c>
      <c r="M235" s="14" t="n">
        <v>320.84</v>
      </c>
      <c r="N235" s="14" t="n">
        <v>320.84</v>
      </c>
      <c r="O235" s="14" t="n">
        <v>320.84</v>
      </c>
      <c r="P235" s="14" t="n">
        <v>320.84</v>
      </c>
      <c r="Q235" s="14" t="n">
        <v>320.84</v>
      </c>
      <c r="R235" s="14" t="n">
        <v>320.84</v>
      </c>
      <c r="S235" s="14" t="n">
        <v>320.84</v>
      </c>
      <c r="T235" s="14" t="n">
        <v>320.84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CANON-202604-005571</t>
        </is>
      </c>
      <c r="B236" s="15" t="inlineStr">
        <is>
          <t>2026-04-19</t>
        </is>
      </c>
      <c r="C236" s="15" t="inlineStr">
        <is>
          <t>Leopold Ashcombe</t>
        </is>
      </c>
      <c r="D236" s="15" t="inlineStr">
        <is>
          <t>MO</t>
        </is>
      </c>
      <c r="E236" s="16" t="n">
        <v>1020000</v>
      </c>
      <c r="F236" s="16" t="n">
        <v>5760.35</v>
      </c>
      <c r="G236" s="16" t="n">
        <v>720.04</v>
      </c>
      <c r="H236" s="16" t="n">
        <v>720.04</v>
      </c>
      <c r="I236" s="16">
        <f>SUM(K236:T236)</f>
        <v/>
      </c>
      <c r="J236" s="16">
        <f>F236-(G236+H236+I236)</f>
        <v/>
      </c>
      <c r="K236" s="16" t="n">
        <v>432.03</v>
      </c>
      <c r="L236" s="16" t="n">
        <v>432.03</v>
      </c>
      <c r="M236" s="16" t="n">
        <v>432.03</v>
      </c>
      <c r="N236" s="16" t="n">
        <v>432.03</v>
      </c>
      <c r="O236" s="16" t="n">
        <v>432.03</v>
      </c>
      <c r="P236" s="16" t="n">
        <v>432.03</v>
      </c>
      <c r="Q236" s="16" t="n">
        <v>432.03</v>
      </c>
      <c r="R236" s="16" t="n">
        <v>432.03</v>
      </c>
      <c r="S236" s="16" t="n">
        <v>432.03</v>
      </c>
      <c r="T236" s="16" t="n">
        <v>432.03</v>
      </c>
      <c r="U236" s="16" t="n">
        <v>350</v>
      </c>
      <c r="V236" s="16" t="n">
        <v>250</v>
      </c>
      <c r="W236" s="16">
        <f>U236+V236</f>
        <v/>
      </c>
    </row>
    <row r="237">
      <c r="A237" s="3" t="inlineStr">
        <is>
          <t>CANON-202604-005572</t>
        </is>
      </c>
      <c r="B237" s="3" t="inlineStr">
        <is>
          <t>2026-04-04</t>
        </is>
      </c>
      <c r="C237" s="3" t="inlineStr">
        <is>
          <t>Ramona Farkas</t>
        </is>
      </c>
      <c r="D237" s="3" t="inlineStr">
        <is>
          <t>FL</t>
        </is>
      </c>
      <c r="E237" s="14" t="n">
        <v>615000</v>
      </c>
      <c r="F237" s="14" t="n">
        <v>8894.889999999999</v>
      </c>
      <c r="G237" s="14" t="n">
        <v>1111.86</v>
      </c>
      <c r="H237" s="14" t="n">
        <v>1111.86</v>
      </c>
      <c r="I237" s="14">
        <f>SUM(K237:T237)</f>
        <v/>
      </c>
      <c r="J237" s="14">
        <f>F237-(G237+H237+I237)</f>
        <v/>
      </c>
      <c r="K237" s="14" t="n">
        <v>667.12</v>
      </c>
      <c r="L237" s="14" t="n">
        <v>667.12</v>
      </c>
      <c r="M237" s="14" t="n">
        <v>667.12</v>
      </c>
      <c r="N237" s="14" t="n">
        <v>667.12</v>
      </c>
      <c r="O237" s="14" t="n">
        <v>667.12</v>
      </c>
      <c r="P237" s="14" t="n">
        <v>667.12</v>
      </c>
      <c r="Q237" s="14" t="n">
        <v>667.12</v>
      </c>
      <c r="R237" s="14" t="n">
        <v>667.12</v>
      </c>
      <c r="S237" s="14" t="n">
        <v>667.12</v>
      </c>
      <c r="T237" s="14" t="n">
        <v>667.12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CANON-202604-005575</t>
        </is>
      </c>
      <c r="B238" s="15" t="inlineStr">
        <is>
          <t>2026-04-09</t>
        </is>
      </c>
      <c r="C238" s="15" t="inlineStr">
        <is>
          <t>Cassius Delacroix</t>
        </is>
      </c>
      <c r="D238" s="15" t="inlineStr">
        <is>
          <t>OR</t>
        </is>
      </c>
      <c r="E238" s="16" t="n">
        <v>755000</v>
      </c>
      <c r="F238" s="16" t="n">
        <v>8689.65</v>
      </c>
      <c r="G238" s="16" t="n">
        <v>1086.21</v>
      </c>
      <c r="H238" s="16" t="n">
        <v>1086.21</v>
      </c>
      <c r="I238" s="16">
        <f>SUM(K238:T238)</f>
        <v/>
      </c>
      <c r="J238" s="16">
        <f>F238-(G238+H238+I238)</f>
        <v/>
      </c>
      <c r="K238" s="16" t="n">
        <v>651.72</v>
      </c>
      <c r="L238" s="16" t="n">
        <v>651.72</v>
      </c>
      <c r="M238" s="16" t="n">
        <v>651.72</v>
      </c>
      <c r="N238" s="16" t="n">
        <v>651.72</v>
      </c>
      <c r="O238" s="16" t="n">
        <v>651.72</v>
      </c>
      <c r="P238" s="16" t="n">
        <v>651.72</v>
      </c>
      <c r="Q238" s="16" t="n">
        <v>651.72</v>
      </c>
      <c r="R238" s="16" t="n">
        <v>651.72</v>
      </c>
      <c r="S238" s="16" t="n">
        <v>651.72</v>
      </c>
      <c r="T238" s="16" t="n">
        <v>651.72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CANON-202604-005577</t>
        </is>
      </c>
      <c r="B239" s="3" t="inlineStr">
        <is>
          <t>2026-04-12</t>
        </is>
      </c>
      <c r="C239" s="3" t="inlineStr">
        <is>
          <t>Beatrix Okonkwo</t>
        </is>
      </c>
      <c r="D239" s="3" t="inlineStr">
        <is>
          <t>TX</t>
        </is>
      </c>
      <c r="E239" s="14" t="n">
        <v>480000</v>
      </c>
      <c r="F239" s="14" t="n">
        <v>6487.3</v>
      </c>
      <c r="G239" s="14" t="n">
        <v>810.91</v>
      </c>
      <c r="H239" s="14" t="n">
        <v>810.91</v>
      </c>
      <c r="I239" s="14">
        <f>SUM(K239:T239)</f>
        <v/>
      </c>
      <c r="J239" s="14">
        <f>F239-(G239+H239+I239)</f>
        <v/>
      </c>
      <c r="K239" s="14" t="n">
        <v>486.55</v>
      </c>
      <c r="L239" s="14" t="n">
        <v>486.55</v>
      </c>
      <c r="M239" s="14" t="n">
        <v>486.55</v>
      </c>
      <c r="N239" s="14" t="n">
        <v>486.55</v>
      </c>
      <c r="O239" s="14" t="n">
        <v>486.55</v>
      </c>
      <c r="P239" s="14" t="n">
        <v>486.55</v>
      </c>
      <c r="Q239" s="14" t="n">
        <v>486.55</v>
      </c>
      <c r="R239" s="14" t="n">
        <v>486.55</v>
      </c>
      <c r="S239" s="14" t="n">
        <v>486.55</v>
      </c>
      <c r="T239" s="14" t="n">
        <v>486.55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CANON-202604-005578</t>
        </is>
      </c>
      <c r="B240" s="15" t="inlineStr">
        <is>
          <t>2026-04-18</t>
        </is>
      </c>
      <c r="C240" s="15" t="inlineStr">
        <is>
          <t>Aurelio Bellandi</t>
        </is>
      </c>
      <c r="D240" s="15" t="inlineStr">
        <is>
          <t>KS</t>
        </is>
      </c>
      <c r="E240" s="16" t="n">
        <v>410000</v>
      </c>
      <c r="F240" s="16" t="n">
        <v>2991.3</v>
      </c>
      <c r="G240" s="16" t="n">
        <v>373.91</v>
      </c>
      <c r="H240" s="16" t="n">
        <v>373.91</v>
      </c>
      <c r="I240" s="16">
        <f>SUM(K240:T240)</f>
        <v/>
      </c>
      <c r="J240" s="16">
        <f>F240-(G240+H240+I240)</f>
        <v/>
      </c>
      <c r="K240" s="16" t="n">
        <v>224.35</v>
      </c>
      <c r="L240" s="16" t="n">
        <v>224.35</v>
      </c>
      <c r="M240" s="16" t="n">
        <v>224.35</v>
      </c>
      <c r="N240" s="16" t="n">
        <v>224.35</v>
      </c>
      <c r="O240" s="16" t="n">
        <v>224.35</v>
      </c>
      <c r="P240" s="16" t="n">
        <v>224.35</v>
      </c>
      <c r="Q240" s="16" t="n">
        <v>224.35</v>
      </c>
      <c r="R240" s="16" t="n">
        <v>224.35</v>
      </c>
      <c r="S240" s="16" t="n">
        <v>224.35</v>
      </c>
      <c r="T240" s="16" t="n">
        <v>224.35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CANON-202604-005579</t>
        </is>
      </c>
      <c r="B241" s="3" t="inlineStr">
        <is>
          <t>2026-04-07</t>
        </is>
      </c>
      <c r="C241" s="3" t="inlineStr">
        <is>
          <t>Ingrid Larsson</t>
        </is>
      </c>
      <c r="D241" s="3" t="inlineStr">
        <is>
          <t>IL</t>
        </is>
      </c>
      <c r="E241" s="14" t="n">
        <v>545000</v>
      </c>
      <c r="F241" s="14" t="n">
        <v>7549.4</v>
      </c>
      <c r="G241" s="14" t="n">
        <v>943.67</v>
      </c>
      <c r="H241" s="14" t="n">
        <v>943.67</v>
      </c>
      <c r="I241" s="14">
        <f>SUM(K241:T241)</f>
        <v/>
      </c>
      <c r="J241" s="14">
        <f>F241-(G241+H241+I241)</f>
        <v/>
      </c>
      <c r="K241" s="14" t="n">
        <v>566.2</v>
      </c>
      <c r="L241" s="14" t="n">
        <v>566.2</v>
      </c>
      <c r="M241" s="14" t="n">
        <v>566.2</v>
      </c>
      <c r="N241" s="14" t="n">
        <v>566.2</v>
      </c>
      <c r="O241" s="14" t="n">
        <v>566.2</v>
      </c>
      <c r="P241" s="14" t="n">
        <v>566.2</v>
      </c>
      <c r="Q241" s="14" t="n">
        <v>566.2</v>
      </c>
      <c r="R241" s="14" t="n">
        <v>566.2</v>
      </c>
      <c r="S241" s="14" t="n">
        <v>566.2</v>
      </c>
      <c r="T241" s="14" t="n">
        <v>566.2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CANON-202604-005580</t>
        </is>
      </c>
      <c r="B242" s="15" t="inlineStr">
        <is>
          <t>2026-04-29</t>
        </is>
      </c>
      <c r="C242" s="15" t="inlineStr">
        <is>
          <t>Desmond Vasquez</t>
        </is>
      </c>
      <c r="D242" s="15" t="inlineStr">
        <is>
          <t>ME</t>
        </is>
      </c>
      <c r="E242" s="16" t="n">
        <v>450000</v>
      </c>
      <c r="F242" s="16" t="n">
        <v>6701.66</v>
      </c>
      <c r="G242" s="16" t="n">
        <v>837.71</v>
      </c>
      <c r="H242" s="16" t="n">
        <v>837.71</v>
      </c>
      <c r="I242" s="16">
        <f>SUM(K242:T242)</f>
        <v/>
      </c>
      <c r="J242" s="16">
        <f>F242-(G242+H242+I242)</f>
        <v/>
      </c>
      <c r="K242" s="16" t="n">
        <v>502.62</v>
      </c>
      <c r="L242" s="16" t="n">
        <v>502.62</v>
      </c>
      <c r="M242" s="16" t="n">
        <v>502.62</v>
      </c>
      <c r="N242" s="16" t="n">
        <v>502.62</v>
      </c>
      <c r="O242" s="16" t="n">
        <v>502.62</v>
      </c>
      <c r="P242" s="16" t="n">
        <v>502.62</v>
      </c>
      <c r="Q242" s="16" t="n">
        <v>502.62</v>
      </c>
      <c r="R242" s="16" t="n">
        <v>502.62</v>
      </c>
      <c r="S242" s="16" t="n">
        <v>502.62</v>
      </c>
      <c r="T242" s="16" t="n">
        <v>502.62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CANON-202604-005581</t>
        </is>
      </c>
      <c r="B243" s="3" t="inlineStr">
        <is>
          <t>2026-04-07</t>
        </is>
      </c>
      <c r="C243" s="3" t="inlineStr">
        <is>
          <t>Lorenzo Whitlock</t>
        </is>
      </c>
      <c r="D243" s="3" t="inlineStr">
        <is>
          <t>MA</t>
        </is>
      </c>
      <c r="E243" s="14" t="n">
        <v>1150000</v>
      </c>
      <c r="F243" s="14" t="n">
        <v>18020.28</v>
      </c>
      <c r="G243" s="14" t="n">
        <v>2252.53</v>
      </c>
      <c r="H243" s="14" t="n">
        <v>2252.53</v>
      </c>
      <c r="I243" s="14">
        <f>SUM(K243:T243)</f>
        <v/>
      </c>
      <c r="J243" s="14">
        <f>F243-(G243+H243+I243)</f>
        <v/>
      </c>
      <c r="K243" s="14" t="n">
        <v>1351.52</v>
      </c>
      <c r="L243" s="14" t="n">
        <v>1351.52</v>
      </c>
      <c r="M243" s="14" t="n">
        <v>1351.52</v>
      </c>
      <c r="N243" s="14" t="n">
        <v>1351.52</v>
      </c>
      <c r="O243" s="14" t="n">
        <v>1351.52</v>
      </c>
      <c r="P243" s="14" t="n">
        <v>1351.52</v>
      </c>
      <c r="Q243" s="14" t="n">
        <v>1351.52</v>
      </c>
      <c r="R243" s="14" t="n">
        <v>1351.52</v>
      </c>
      <c r="S243" s="14" t="n">
        <v>1351.52</v>
      </c>
      <c r="T243" s="14" t="n">
        <v>1351.52</v>
      </c>
      <c r="U243" s="14" t="n">
        <v>350</v>
      </c>
      <c r="V243" s="14" t="n">
        <v>250</v>
      </c>
      <c r="W243" s="14">
        <f>U243+V243</f>
        <v/>
      </c>
    </row>
    <row r="244">
      <c r="A244" s="15" t="inlineStr">
        <is>
          <t>CANON-202604-005583</t>
        </is>
      </c>
      <c r="B244" s="15" t="inlineStr">
        <is>
          <t>2026-04-21</t>
        </is>
      </c>
      <c r="C244" s="15" t="inlineStr">
        <is>
          <t>Beatrix Underwood</t>
        </is>
      </c>
      <c r="D244" s="15" t="inlineStr">
        <is>
          <t>NH</t>
        </is>
      </c>
      <c r="E244" s="16" t="n">
        <v>500000</v>
      </c>
      <c r="F244" s="16" t="n">
        <v>5296.4</v>
      </c>
      <c r="G244" s="16" t="n">
        <v>662.05</v>
      </c>
      <c r="H244" s="16" t="n">
        <v>662.05</v>
      </c>
      <c r="I244" s="16">
        <f>SUM(K244:T244)</f>
        <v/>
      </c>
      <c r="J244" s="16">
        <f>F244-(G244+H244+I244)</f>
        <v/>
      </c>
      <c r="K244" s="16" t="n">
        <v>397.23</v>
      </c>
      <c r="L244" s="16" t="n">
        <v>397.23</v>
      </c>
      <c r="M244" s="16" t="n">
        <v>397.23</v>
      </c>
      <c r="N244" s="16" t="n">
        <v>397.23</v>
      </c>
      <c r="O244" s="16" t="n">
        <v>397.23</v>
      </c>
      <c r="P244" s="16" t="n">
        <v>397.23</v>
      </c>
      <c r="Q244" s="16" t="n">
        <v>397.23</v>
      </c>
      <c r="R244" s="16" t="n">
        <v>397.23</v>
      </c>
      <c r="S244" s="16" t="n">
        <v>397.23</v>
      </c>
      <c r="T244" s="16" t="n">
        <v>397.23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CANON-202604-005584</t>
        </is>
      </c>
      <c r="B245" s="3" t="inlineStr">
        <is>
          <t>2026-04-14</t>
        </is>
      </c>
      <c r="C245" s="3" t="inlineStr">
        <is>
          <t>Marisol Okonkwo</t>
        </is>
      </c>
      <c r="D245" s="3" t="inlineStr">
        <is>
          <t>WA</t>
        </is>
      </c>
      <c r="E245" s="14" t="n">
        <v>565000</v>
      </c>
      <c r="F245" s="14" t="n">
        <v>5524.55</v>
      </c>
      <c r="G245" s="14" t="n">
        <v>690.5700000000001</v>
      </c>
      <c r="H245" s="14" t="n">
        <v>690.5700000000001</v>
      </c>
      <c r="I245" s="14">
        <f>SUM(K245:T245)</f>
        <v/>
      </c>
      <c r="J245" s="14">
        <f>F245-(G245+H245+I245)</f>
        <v/>
      </c>
      <c r="K245" s="14" t="n">
        <v>414.34</v>
      </c>
      <c r="L245" s="14" t="n">
        <v>414.34</v>
      </c>
      <c r="M245" s="14" t="n">
        <v>414.34</v>
      </c>
      <c r="N245" s="14" t="n">
        <v>414.34</v>
      </c>
      <c r="O245" s="14" t="n">
        <v>414.34</v>
      </c>
      <c r="P245" s="14" t="n">
        <v>414.34</v>
      </c>
      <c r="Q245" s="14" t="n">
        <v>414.34</v>
      </c>
      <c r="R245" s="14" t="n">
        <v>414.34</v>
      </c>
      <c r="S245" s="14" t="n">
        <v>414.34</v>
      </c>
      <c r="T245" s="14" t="n">
        <v>414.34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CANON-202604-005586</t>
        </is>
      </c>
      <c r="B246" s="15" t="inlineStr">
        <is>
          <t>2026-04-26</t>
        </is>
      </c>
      <c r="C246" s="15" t="inlineStr">
        <is>
          <t>Cassius Rourke</t>
        </is>
      </c>
      <c r="D246" s="15" t="inlineStr">
        <is>
          <t>OK</t>
        </is>
      </c>
      <c r="E246" s="16" t="n">
        <v>835000</v>
      </c>
      <c r="F246" s="16" t="n">
        <v>6264.76</v>
      </c>
      <c r="G246" s="16" t="n">
        <v>783.1</v>
      </c>
      <c r="H246" s="16" t="n">
        <v>783.1</v>
      </c>
      <c r="I246" s="16">
        <f>SUM(K246:T246)</f>
        <v/>
      </c>
      <c r="J246" s="16">
        <f>F246-(G246+H246+I246)</f>
        <v/>
      </c>
      <c r="K246" s="16" t="n">
        <v>469.86</v>
      </c>
      <c r="L246" s="16" t="n">
        <v>469.86</v>
      </c>
      <c r="M246" s="16" t="n">
        <v>469.86</v>
      </c>
      <c r="N246" s="16" t="n">
        <v>469.86</v>
      </c>
      <c r="O246" s="16" t="n">
        <v>469.86</v>
      </c>
      <c r="P246" s="16" t="n">
        <v>469.86</v>
      </c>
      <c r="Q246" s="16" t="n">
        <v>469.86</v>
      </c>
      <c r="R246" s="16" t="n">
        <v>469.86</v>
      </c>
      <c r="S246" s="16" t="n">
        <v>469.86</v>
      </c>
      <c r="T246" s="16" t="n">
        <v>469.86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CANON-202604-005587</t>
        </is>
      </c>
      <c r="B247" s="3" t="inlineStr">
        <is>
          <t>2026-04-23</t>
        </is>
      </c>
      <c r="C247" s="3" t="inlineStr">
        <is>
          <t>Leopold Nakashima</t>
        </is>
      </c>
      <c r="D247" s="3" t="inlineStr">
        <is>
          <t>MI</t>
        </is>
      </c>
      <c r="E247" s="14" t="n">
        <v>765000</v>
      </c>
      <c r="F247" s="14" t="n">
        <v>17651.46</v>
      </c>
      <c r="G247" s="14" t="n">
        <v>2206.43</v>
      </c>
      <c r="H247" s="14" t="n">
        <v>2206.43</v>
      </c>
      <c r="I247" s="14">
        <f>SUM(K247:T247)</f>
        <v/>
      </c>
      <c r="J247" s="14">
        <f>F247-(G247+H247+I247)</f>
        <v/>
      </c>
      <c r="K247" s="14" t="n">
        <v>1323.86</v>
      </c>
      <c r="L247" s="14" t="n">
        <v>1323.86</v>
      </c>
      <c r="M247" s="14" t="n">
        <v>1323.86</v>
      </c>
      <c r="N247" s="14" t="n">
        <v>1323.86</v>
      </c>
      <c r="O247" s="14" t="n">
        <v>1323.86</v>
      </c>
      <c r="P247" s="14" t="n">
        <v>1323.86</v>
      </c>
      <c r="Q247" s="14" t="n">
        <v>1323.86</v>
      </c>
      <c r="R247" s="14" t="n">
        <v>1323.86</v>
      </c>
      <c r="S247" s="14" t="n">
        <v>1323.86</v>
      </c>
      <c r="T247" s="14" t="n">
        <v>1323.86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CANON-202604-005588</t>
        </is>
      </c>
      <c r="B248" s="15" t="inlineStr">
        <is>
          <t>2026-04-02</t>
        </is>
      </c>
      <c r="C248" s="15" t="inlineStr">
        <is>
          <t>Delphine Whitlock</t>
        </is>
      </c>
      <c r="D248" s="15" t="inlineStr">
        <is>
          <t>AR</t>
        </is>
      </c>
      <c r="E248" s="16" t="n">
        <v>465000</v>
      </c>
      <c r="F248" s="16" t="n">
        <v>11563.62</v>
      </c>
      <c r="G248" s="16" t="n">
        <v>1445.45</v>
      </c>
      <c r="H248" s="16" t="n">
        <v>1445.45</v>
      </c>
      <c r="I248" s="16">
        <f>SUM(K248:T248)</f>
        <v/>
      </c>
      <c r="J248" s="16">
        <f>F248-(G248+H248+I248)</f>
        <v/>
      </c>
      <c r="K248" s="16" t="n">
        <v>867.27</v>
      </c>
      <c r="L248" s="16" t="n">
        <v>867.27</v>
      </c>
      <c r="M248" s="16" t="n">
        <v>867.27</v>
      </c>
      <c r="N248" s="16" t="n">
        <v>867.27</v>
      </c>
      <c r="O248" s="16" t="n">
        <v>867.27</v>
      </c>
      <c r="P248" s="16" t="n">
        <v>867.27</v>
      </c>
      <c r="Q248" s="16" t="n">
        <v>867.27</v>
      </c>
      <c r="R248" s="16" t="n">
        <v>867.27</v>
      </c>
      <c r="S248" s="16" t="n">
        <v>867.27</v>
      </c>
      <c r="T248" s="16" t="n">
        <v>867.27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CANON-202604-005589</t>
        </is>
      </c>
      <c r="B249" s="3" t="inlineStr">
        <is>
          <t>2026-04-28</t>
        </is>
      </c>
      <c r="C249" s="3" t="inlineStr">
        <is>
          <t>Wilhelmina Chattopadhyay</t>
        </is>
      </c>
      <c r="D249" s="3" t="inlineStr">
        <is>
          <t>ID</t>
        </is>
      </c>
      <c r="E249" s="14" t="n">
        <v>980000</v>
      </c>
      <c r="F249" s="14" t="n">
        <v>9881.85</v>
      </c>
      <c r="G249" s="14" t="n">
        <v>1235.23</v>
      </c>
      <c r="H249" s="14" t="n">
        <v>1235.23</v>
      </c>
      <c r="I249" s="14">
        <f>SUM(K249:T249)</f>
        <v/>
      </c>
      <c r="J249" s="14">
        <f>F249-(G249+H249+I249)</f>
        <v/>
      </c>
      <c r="K249" s="14" t="n">
        <v>741.14</v>
      </c>
      <c r="L249" s="14" t="n">
        <v>741.14</v>
      </c>
      <c r="M249" s="14" t="n">
        <v>741.14</v>
      </c>
      <c r="N249" s="14" t="n">
        <v>741.14</v>
      </c>
      <c r="O249" s="14" t="n">
        <v>741.14</v>
      </c>
      <c r="P249" s="14" t="n">
        <v>741.14</v>
      </c>
      <c r="Q249" s="14" t="n">
        <v>741.14</v>
      </c>
      <c r="R249" s="14" t="n">
        <v>741.14</v>
      </c>
      <c r="S249" s="14" t="n">
        <v>741.14</v>
      </c>
      <c r="T249" s="14" t="n">
        <v>741.14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CANON-202604-005591</t>
        </is>
      </c>
      <c r="B250" s="15" t="inlineStr">
        <is>
          <t>2026-04-20</t>
        </is>
      </c>
      <c r="C250" s="15" t="inlineStr">
        <is>
          <t>Ottilie Merriweather</t>
        </is>
      </c>
      <c r="D250" s="15" t="inlineStr">
        <is>
          <t>MI</t>
        </is>
      </c>
      <c r="E250" s="16" t="n">
        <v>625000</v>
      </c>
      <c r="F250" s="16" t="n">
        <v>9867.09</v>
      </c>
      <c r="G250" s="16" t="n">
        <v>1233.39</v>
      </c>
      <c r="H250" s="16" t="n">
        <v>1233.39</v>
      </c>
      <c r="I250" s="16">
        <f>SUM(K250:T250)</f>
        <v/>
      </c>
      <c r="J250" s="16">
        <f>F250-(G250+H250+I250)</f>
        <v/>
      </c>
      <c r="K250" s="16" t="n">
        <v>740.03</v>
      </c>
      <c r="L250" s="16" t="n">
        <v>740.03</v>
      </c>
      <c r="M250" s="16" t="n">
        <v>740.03</v>
      </c>
      <c r="N250" s="16" t="n">
        <v>740.03</v>
      </c>
      <c r="O250" s="16" t="n">
        <v>740.03</v>
      </c>
      <c r="P250" s="16" t="n">
        <v>740.03</v>
      </c>
      <c r="Q250" s="16" t="n">
        <v>740.03</v>
      </c>
      <c r="R250" s="16" t="n">
        <v>740.03</v>
      </c>
      <c r="S250" s="16" t="n">
        <v>740.03</v>
      </c>
      <c r="T250" s="16" t="n">
        <v>740.03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CANON-202604-005593</t>
        </is>
      </c>
      <c r="B251" s="3" t="inlineStr">
        <is>
          <t>2026-04-06</t>
        </is>
      </c>
      <c r="C251" s="3" t="inlineStr">
        <is>
          <t>Sunniva Nakashima</t>
        </is>
      </c>
      <c r="D251" s="3" t="inlineStr">
        <is>
          <t>TN</t>
        </is>
      </c>
      <c r="E251" s="14" t="n">
        <v>515000</v>
      </c>
      <c r="F251" s="14" t="n">
        <v>5140.56</v>
      </c>
      <c r="G251" s="14" t="n">
        <v>642.5700000000001</v>
      </c>
      <c r="H251" s="14" t="n">
        <v>642.5700000000001</v>
      </c>
      <c r="I251" s="14">
        <f>SUM(K251:T251)</f>
        <v/>
      </c>
      <c r="J251" s="14">
        <f>F251-(G251+H251+I251)</f>
        <v/>
      </c>
      <c r="K251" s="14" t="n">
        <v>385.54</v>
      </c>
      <c r="L251" s="14" t="n">
        <v>385.54</v>
      </c>
      <c r="M251" s="14" t="n">
        <v>385.54</v>
      </c>
      <c r="N251" s="14" t="n">
        <v>385.54</v>
      </c>
      <c r="O251" s="14" t="n">
        <v>385.54</v>
      </c>
      <c r="P251" s="14" t="n">
        <v>385.54</v>
      </c>
      <c r="Q251" s="14" t="n">
        <v>385.54</v>
      </c>
      <c r="R251" s="14" t="n">
        <v>385.54</v>
      </c>
      <c r="S251" s="14" t="n">
        <v>385.54</v>
      </c>
      <c r="T251" s="14" t="n">
        <v>385.54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CANON-202604-005594</t>
        </is>
      </c>
      <c r="B252" s="15" t="inlineStr">
        <is>
          <t>2026-04-04</t>
        </is>
      </c>
      <c r="C252" s="15" t="inlineStr">
        <is>
          <t>Beatrix Castellanos</t>
        </is>
      </c>
      <c r="D252" s="15" t="inlineStr">
        <is>
          <t>SD</t>
        </is>
      </c>
      <c r="E252" s="16" t="n">
        <v>265000</v>
      </c>
      <c r="F252" s="16" t="n">
        <v>5300.67</v>
      </c>
      <c r="G252" s="16" t="n">
        <v>662.58</v>
      </c>
      <c r="H252" s="16" t="n">
        <v>662.58</v>
      </c>
      <c r="I252" s="16">
        <f>SUM(K252:T252)</f>
        <v/>
      </c>
      <c r="J252" s="16">
        <f>F252-(G252+H252+I252)</f>
        <v/>
      </c>
      <c r="K252" s="16" t="n">
        <v>397.55</v>
      </c>
      <c r="L252" s="16" t="n">
        <v>397.55</v>
      </c>
      <c r="M252" s="16" t="n">
        <v>397.55</v>
      </c>
      <c r="N252" s="16" t="n">
        <v>397.55</v>
      </c>
      <c r="O252" s="16" t="n">
        <v>397.55</v>
      </c>
      <c r="P252" s="16" t="n">
        <v>397.55</v>
      </c>
      <c r="Q252" s="16" t="n">
        <v>397.55</v>
      </c>
      <c r="R252" s="16" t="n">
        <v>397.55</v>
      </c>
      <c r="S252" s="16" t="n">
        <v>397.55</v>
      </c>
      <c r="T252" s="16" t="n">
        <v>397.55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CANON-202604-005595</t>
        </is>
      </c>
      <c r="B253" s="3" t="inlineStr">
        <is>
          <t>2026-04-27</t>
        </is>
      </c>
      <c r="C253" s="3" t="inlineStr">
        <is>
          <t>Saoirse Bellandi</t>
        </is>
      </c>
      <c r="D253" s="3" t="inlineStr">
        <is>
          <t>OH</t>
        </is>
      </c>
      <c r="E253" s="14" t="n">
        <v>390000</v>
      </c>
      <c r="F253" s="14" t="n">
        <v>7475.26</v>
      </c>
      <c r="G253" s="14" t="n">
        <v>934.41</v>
      </c>
      <c r="H253" s="14" t="n">
        <v>934.41</v>
      </c>
      <c r="I253" s="14">
        <f>SUM(K253:T253)</f>
        <v/>
      </c>
      <c r="J253" s="14">
        <f>F253-(G253+H253+I253)</f>
        <v/>
      </c>
      <c r="K253" s="14" t="n">
        <v>560.64</v>
      </c>
      <c r="L253" s="14" t="n">
        <v>560.64</v>
      </c>
      <c r="M253" s="14" t="n">
        <v>560.64</v>
      </c>
      <c r="N253" s="14" t="n">
        <v>560.64</v>
      </c>
      <c r="O253" s="14" t="n">
        <v>560.64</v>
      </c>
      <c r="P253" s="14" t="n">
        <v>560.64</v>
      </c>
      <c r="Q253" s="14" t="n">
        <v>560.64</v>
      </c>
      <c r="R253" s="14" t="n">
        <v>560.64</v>
      </c>
      <c r="S253" s="14" t="n">
        <v>560.64</v>
      </c>
      <c r="T253" s="14" t="n">
        <v>560.64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CANON-202604-005596</t>
        </is>
      </c>
      <c r="B254" s="15" t="inlineStr">
        <is>
          <t>2026-04-05</t>
        </is>
      </c>
      <c r="C254" s="15" t="inlineStr">
        <is>
          <t>Ramona Pennington</t>
        </is>
      </c>
      <c r="D254" s="15" t="inlineStr">
        <is>
          <t>CA</t>
        </is>
      </c>
      <c r="E254" s="16" t="n">
        <v>655000</v>
      </c>
      <c r="F254" s="16" t="n">
        <v>9006.42</v>
      </c>
      <c r="G254" s="16" t="n">
        <v>1125.8</v>
      </c>
      <c r="H254" s="16" t="n">
        <v>1125.8</v>
      </c>
      <c r="I254" s="16">
        <f>SUM(K254:T254)</f>
        <v/>
      </c>
      <c r="J254" s="16">
        <f>F254-(G254+H254+I254)</f>
        <v/>
      </c>
      <c r="K254" s="16" t="n">
        <v>675.48</v>
      </c>
      <c r="L254" s="16" t="n">
        <v>675.48</v>
      </c>
      <c r="M254" s="16" t="n">
        <v>675.48</v>
      </c>
      <c r="N254" s="16" t="n">
        <v>675.48</v>
      </c>
      <c r="O254" s="16" t="n">
        <v>675.48</v>
      </c>
      <c r="P254" s="16" t="n">
        <v>675.48</v>
      </c>
      <c r="Q254" s="16" t="n">
        <v>675.48</v>
      </c>
      <c r="R254" s="16" t="n">
        <v>675.48</v>
      </c>
      <c r="S254" s="16" t="n">
        <v>675.48</v>
      </c>
      <c r="T254" s="16" t="n">
        <v>675.48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CANON-202604-005597</t>
        </is>
      </c>
      <c r="B255" s="3" t="inlineStr">
        <is>
          <t>2026-04-20</t>
        </is>
      </c>
      <c r="C255" s="3" t="inlineStr">
        <is>
          <t>Beatrix Thistlewood</t>
        </is>
      </c>
      <c r="D255" s="3" t="inlineStr">
        <is>
          <t>TX</t>
        </is>
      </c>
      <c r="E255" s="14" t="n">
        <v>395000</v>
      </c>
      <c r="F255" s="14" t="n">
        <v>5338.51</v>
      </c>
      <c r="G255" s="14" t="n">
        <v>667.3099999999999</v>
      </c>
      <c r="H255" s="14" t="n">
        <v>667.3099999999999</v>
      </c>
      <c r="I255" s="14">
        <f>SUM(K255:T255)</f>
        <v/>
      </c>
      <c r="J255" s="14">
        <f>F255-(G255+H255+I255)</f>
        <v/>
      </c>
      <c r="K255" s="14" t="n">
        <v>400.39</v>
      </c>
      <c r="L255" s="14" t="n">
        <v>400.39</v>
      </c>
      <c r="M255" s="14" t="n">
        <v>400.39</v>
      </c>
      <c r="N255" s="14" t="n">
        <v>400.39</v>
      </c>
      <c r="O255" s="14" t="n">
        <v>400.39</v>
      </c>
      <c r="P255" s="14" t="n">
        <v>400.39</v>
      </c>
      <c r="Q255" s="14" t="n">
        <v>400.39</v>
      </c>
      <c r="R255" s="14" t="n">
        <v>400.39</v>
      </c>
      <c r="S255" s="14" t="n">
        <v>400.39</v>
      </c>
      <c r="T255" s="14" t="n">
        <v>400.39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CANON-202604-005599</t>
        </is>
      </c>
      <c r="B256" s="15" t="inlineStr">
        <is>
          <t>2026-04-27</t>
        </is>
      </c>
      <c r="C256" s="15" t="inlineStr">
        <is>
          <t>Leopold Farkas</t>
        </is>
      </c>
      <c r="D256" s="15" t="inlineStr">
        <is>
          <t>SC</t>
        </is>
      </c>
      <c r="E256" s="16" t="n">
        <v>475000</v>
      </c>
      <c r="F256" s="16" t="n">
        <v>6922.14</v>
      </c>
      <c r="G256" s="16" t="n">
        <v>865.27</v>
      </c>
      <c r="H256" s="16" t="n">
        <v>865.27</v>
      </c>
      <c r="I256" s="16">
        <f>SUM(K256:T256)</f>
        <v/>
      </c>
      <c r="J256" s="16">
        <f>F256-(G256+H256+I256)</f>
        <v/>
      </c>
      <c r="K256" s="16" t="n">
        <v>519.16</v>
      </c>
      <c r="L256" s="16" t="n">
        <v>519.16</v>
      </c>
      <c r="M256" s="16" t="n">
        <v>519.16</v>
      </c>
      <c r="N256" s="16" t="n">
        <v>519.16</v>
      </c>
      <c r="O256" s="16" t="n">
        <v>519.16</v>
      </c>
      <c r="P256" s="16" t="n">
        <v>519.16</v>
      </c>
      <c r="Q256" s="16" t="n">
        <v>519.16</v>
      </c>
      <c r="R256" s="16" t="n">
        <v>519.16</v>
      </c>
      <c r="S256" s="16" t="n">
        <v>519.16</v>
      </c>
      <c r="T256" s="16" t="n">
        <v>519.16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CANON-202604-005600</t>
        </is>
      </c>
      <c r="B257" s="3" t="inlineStr">
        <is>
          <t>2026-04-03</t>
        </is>
      </c>
      <c r="C257" s="3" t="inlineStr">
        <is>
          <t>Horace Thistlewood</t>
        </is>
      </c>
      <c r="D257" s="3" t="inlineStr">
        <is>
          <t>OK</t>
        </is>
      </c>
      <c r="E257" s="14" t="n">
        <v>1215000</v>
      </c>
      <c r="F257" s="14" t="n">
        <v>9115.780000000001</v>
      </c>
      <c r="G257" s="14" t="n">
        <v>1139.47</v>
      </c>
      <c r="H257" s="14" t="n">
        <v>1139.47</v>
      </c>
      <c r="I257" s="14">
        <f>SUM(K257:T257)</f>
        <v/>
      </c>
      <c r="J257" s="14">
        <f>F257-(G257+H257+I257)</f>
        <v/>
      </c>
      <c r="K257" s="14" t="n">
        <v>683.6799999999999</v>
      </c>
      <c r="L257" s="14" t="n">
        <v>683.6799999999999</v>
      </c>
      <c r="M257" s="14" t="n">
        <v>683.6799999999999</v>
      </c>
      <c r="N257" s="14" t="n">
        <v>683.6799999999999</v>
      </c>
      <c r="O257" s="14" t="n">
        <v>683.6799999999999</v>
      </c>
      <c r="P257" s="14" t="n">
        <v>683.6799999999999</v>
      </c>
      <c r="Q257" s="14" t="n">
        <v>683.6799999999999</v>
      </c>
      <c r="R257" s="14" t="n">
        <v>683.6799999999999</v>
      </c>
      <c r="S257" s="14" t="n">
        <v>683.6799999999999</v>
      </c>
      <c r="T257" s="14" t="n">
        <v>683.6799999999999</v>
      </c>
      <c r="U257" s="14" t="n">
        <v>350</v>
      </c>
      <c r="V257" s="14" t="n">
        <v>250</v>
      </c>
      <c r="W257" s="14">
        <f>U257+V257</f>
        <v/>
      </c>
    </row>
    <row r="258">
      <c r="A258" s="15" t="inlineStr">
        <is>
          <t>CANON-202604-005601</t>
        </is>
      </c>
      <c r="B258" s="15" t="inlineStr">
        <is>
          <t>2026-04-30</t>
        </is>
      </c>
      <c r="C258" s="15" t="inlineStr">
        <is>
          <t>Horace Vandermeer</t>
        </is>
      </c>
      <c r="D258" s="15" t="inlineStr">
        <is>
          <t>CT</t>
        </is>
      </c>
      <c r="E258" s="16" t="n">
        <v>830000</v>
      </c>
      <c r="F258" s="16" t="n">
        <v>13838.32</v>
      </c>
      <c r="G258" s="16" t="n">
        <v>1729.79</v>
      </c>
      <c r="H258" s="16" t="n">
        <v>1729.79</v>
      </c>
      <c r="I258" s="16">
        <f>SUM(K258:T258)</f>
        <v/>
      </c>
      <c r="J258" s="16">
        <f>F258-(G258+H258+I258)</f>
        <v/>
      </c>
      <c r="K258" s="16" t="n">
        <v>1037.87</v>
      </c>
      <c r="L258" s="16" t="n">
        <v>1037.87</v>
      </c>
      <c r="M258" s="16" t="n">
        <v>1037.87</v>
      </c>
      <c r="N258" s="16" t="n">
        <v>1037.87</v>
      </c>
      <c r="O258" s="16" t="n">
        <v>1037.87</v>
      </c>
      <c r="P258" s="16" t="n">
        <v>1037.87</v>
      </c>
      <c r="Q258" s="16" t="n">
        <v>1037.87</v>
      </c>
      <c r="R258" s="16" t="n">
        <v>1037.87</v>
      </c>
      <c r="S258" s="16" t="n">
        <v>1037.87</v>
      </c>
      <c r="T258" s="16" t="n">
        <v>1037.87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CANON-202604-005602</t>
        </is>
      </c>
      <c r="B259" s="3" t="inlineStr">
        <is>
          <t>2026-04-11</t>
        </is>
      </c>
      <c r="C259" s="3" t="inlineStr">
        <is>
          <t>Cassius Whitlock</t>
        </is>
      </c>
      <c r="D259" s="3" t="inlineStr">
        <is>
          <t>IL</t>
        </is>
      </c>
      <c r="E259" s="14" t="n">
        <v>785000</v>
      </c>
      <c r="F259" s="14" t="n">
        <v>10873.91</v>
      </c>
      <c r="G259" s="14" t="n">
        <v>1359.24</v>
      </c>
      <c r="H259" s="14" t="n">
        <v>1359.24</v>
      </c>
      <c r="I259" s="14">
        <f>SUM(K259:T259)</f>
        <v/>
      </c>
      <c r="J259" s="14">
        <f>F259-(G259+H259+I259)</f>
        <v/>
      </c>
      <c r="K259" s="14" t="n">
        <v>815.54</v>
      </c>
      <c r="L259" s="14" t="n">
        <v>815.54</v>
      </c>
      <c r="M259" s="14" t="n">
        <v>815.54</v>
      </c>
      <c r="N259" s="14" t="n">
        <v>815.54</v>
      </c>
      <c r="O259" s="14" t="n">
        <v>815.54</v>
      </c>
      <c r="P259" s="14" t="n">
        <v>815.54</v>
      </c>
      <c r="Q259" s="14" t="n">
        <v>815.54</v>
      </c>
      <c r="R259" s="14" t="n">
        <v>815.54</v>
      </c>
      <c r="S259" s="14" t="n">
        <v>815.54</v>
      </c>
      <c r="T259" s="14" t="n">
        <v>815.54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CANON-202604-005603</t>
        </is>
      </c>
      <c r="B260" s="15" t="inlineStr">
        <is>
          <t>2026-04-18</t>
        </is>
      </c>
      <c r="C260" s="15" t="inlineStr">
        <is>
          <t>Saoirse Larsson</t>
        </is>
      </c>
      <c r="D260" s="15" t="inlineStr">
        <is>
          <t>NY</t>
        </is>
      </c>
      <c r="E260" s="16" t="n">
        <v>325000</v>
      </c>
      <c r="F260" s="16" t="n">
        <v>4888.98</v>
      </c>
      <c r="G260" s="16" t="n">
        <v>611.12</v>
      </c>
      <c r="H260" s="16" t="n">
        <v>611.12</v>
      </c>
      <c r="I260" s="16">
        <f>SUM(K260:T260)</f>
        <v/>
      </c>
      <c r="J260" s="16">
        <f>F260-(G260+H260+I260)</f>
        <v/>
      </c>
      <c r="K260" s="16" t="n">
        <v>366.67</v>
      </c>
      <c r="L260" s="16" t="n">
        <v>366.67</v>
      </c>
      <c r="M260" s="16" t="n">
        <v>366.67</v>
      </c>
      <c r="N260" s="16" t="n">
        <v>366.67</v>
      </c>
      <c r="O260" s="16" t="n">
        <v>366.67</v>
      </c>
      <c r="P260" s="16" t="n">
        <v>366.67</v>
      </c>
      <c r="Q260" s="16" t="n">
        <v>366.67</v>
      </c>
      <c r="R260" s="16" t="n">
        <v>366.67</v>
      </c>
      <c r="S260" s="16" t="n">
        <v>366.67</v>
      </c>
      <c r="T260" s="16" t="n">
        <v>366.67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CANON-202604-005604</t>
        </is>
      </c>
      <c r="B261" s="3" t="inlineStr">
        <is>
          <t>2026-04-22</t>
        </is>
      </c>
      <c r="C261" s="3" t="inlineStr">
        <is>
          <t>Fenwick Farkas</t>
        </is>
      </c>
      <c r="D261" s="3" t="inlineStr">
        <is>
          <t>TN</t>
        </is>
      </c>
      <c r="E261" s="14" t="n">
        <v>630000</v>
      </c>
      <c r="F261" s="14" t="n">
        <v>6288.45</v>
      </c>
      <c r="G261" s="14" t="n">
        <v>786.0599999999999</v>
      </c>
      <c r="H261" s="14" t="n">
        <v>786.0599999999999</v>
      </c>
      <c r="I261" s="14">
        <f>SUM(K261:T261)</f>
        <v/>
      </c>
      <c r="J261" s="14">
        <f>F261-(G261+H261+I261)</f>
        <v/>
      </c>
      <c r="K261" s="14" t="n">
        <v>471.63</v>
      </c>
      <c r="L261" s="14" t="n">
        <v>471.63</v>
      </c>
      <c r="M261" s="14" t="n">
        <v>471.63</v>
      </c>
      <c r="N261" s="14" t="n">
        <v>471.63</v>
      </c>
      <c r="O261" s="14" t="n">
        <v>471.63</v>
      </c>
      <c r="P261" s="14" t="n">
        <v>471.63</v>
      </c>
      <c r="Q261" s="14" t="n">
        <v>471.63</v>
      </c>
      <c r="R261" s="14" t="n">
        <v>471.63</v>
      </c>
      <c r="S261" s="14" t="n">
        <v>471.63</v>
      </c>
      <c r="T261" s="14" t="n">
        <v>471.63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CANON-202604-005608</t>
        </is>
      </c>
      <c r="B262" s="15" t="inlineStr">
        <is>
          <t>2026-04-16</t>
        </is>
      </c>
      <c r="C262" s="15" t="inlineStr">
        <is>
          <t>Aurelio Larsson</t>
        </is>
      </c>
      <c r="D262" s="15" t="inlineStr">
        <is>
          <t>NM</t>
        </is>
      </c>
      <c r="E262" s="16" t="n">
        <v>405000</v>
      </c>
      <c r="F262" s="16" t="n">
        <v>6092.42</v>
      </c>
      <c r="G262" s="16" t="n">
        <v>761.55</v>
      </c>
      <c r="H262" s="16" t="n">
        <v>761.55</v>
      </c>
      <c r="I262" s="16">
        <f>SUM(K262:T262)</f>
        <v/>
      </c>
      <c r="J262" s="16">
        <f>F262-(G262+H262+I262)</f>
        <v/>
      </c>
      <c r="K262" s="16" t="n">
        <v>456.93</v>
      </c>
      <c r="L262" s="16" t="n">
        <v>456.93</v>
      </c>
      <c r="M262" s="16" t="n">
        <v>456.93</v>
      </c>
      <c r="N262" s="16" t="n">
        <v>456.93</v>
      </c>
      <c r="O262" s="16" t="n">
        <v>456.93</v>
      </c>
      <c r="P262" s="16" t="n">
        <v>456.93</v>
      </c>
      <c r="Q262" s="16" t="n">
        <v>456.93</v>
      </c>
      <c r="R262" s="16" t="n">
        <v>456.93</v>
      </c>
      <c r="S262" s="16" t="n">
        <v>456.93</v>
      </c>
      <c r="T262" s="16" t="n">
        <v>456.93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CANON-202604-005609</t>
        </is>
      </c>
      <c r="B263" s="3" t="inlineStr">
        <is>
          <t>2026-04-04</t>
        </is>
      </c>
      <c r="C263" s="3" t="inlineStr">
        <is>
          <t>Thaddeus Vandermeer</t>
        </is>
      </c>
      <c r="D263" s="3" t="inlineStr">
        <is>
          <t>MD</t>
        </is>
      </c>
      <c r="E263" s="14" t="n">
        <v>170000</v>
      </c>
      <c r="F263" s="14" t="n">
        <v>2328.22</v>
      </c>
      <c r="G263" s="14" t="n">
        <v>291.03</v>
      </c>
      <c r="H263" s="14" t="n">
        <v>291.03</v>
      </c>
      <c r="I263" s="14">
        <f>SUM(K263:T263)</f>
        <v/>
      </c>
      <c r="J263" s="14">
        <f>F263-(G263+H263+I263)</f>
        <v/>
      </c>
      <c r="K263" s="14" t="n">
        <v>174.62</v>
      </c>
      <c r="L263" s="14" t="n">
        <v>174.62</v>
      </c>
      <c r="M263" s="14" t="n">
        <v>174.62</v>
      </c>
      <c r="N263" s="14" t="n">
        <v>174.62</v>
      </c>
      <c r="O263" s="14" t="n">
        <v>174.62</v>
      </c>
      <c r="P263" s="14" t="n">
        <v>174.62</v>
      </c>
      <c r="Q263" s="14" t="n">
        <v>174.62</v>
      </c>
      <c r="R263" s="14" t="n">
        <v>174.62</v>
      </c>
      <c r="S263" s="14" t="n">
        <v>174.62</v>
      </c>
      <c r="T263" s="14" t="n">
        <v>174.62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CANON-202604-005610</t>
        </is>
      </c>
      <c r="B264" s="15" t="inlineStr">
        <is>
          <t>2026-04-17</t>
        </is>
      </c>
      <c r="C264" s="15" t="inlineStr">
        <is>
          <t>Priya Montoya</t>
        </is>
      </c>
      <c r="D264" s="15" t="inlineStr">
        <is>
          <t>OK</t>
        </is>
      </c>
      <c r="E264" s="16" t="n">
        <v>415000</v>
      </c>
      <c r="F264" s="16" t="n">
        <v>6145.31</v>
      </c>
      <c r="G264" s="16" t="n">
        <v>768.16</v>
      </c>
      <c r="H264" s="16" t="n">
        <v>768.16</v>
      </c>
      <c r="I264" s="16">
        <f>SUM(K264:T264)</f>
        <v/>
      </c>
      <c r="J264" s="16">
        <f>F264-(G264+H264+I264)</f>
        <v/>
      </c>
      <c r="K264" s="16" t="n">
        <v>460.9</v>
      </c>
      <c r="L264" s="16" t="n">
        <v>460.9</v>
      </c>
      <c r="M264" s="16" t="n">
        <v>460.9</v>
      </c>
      <c r="N264" s="16" t="n">
        <v>460.9</v>
      </c>
      <c r="O264" s="16" t="n">
        <v>460.9</v>
      </c>
      <c r="P264" s="16" t="n">
        <v>460.9</v>
      </c>
      <c r="Q264" s="16" t="n">
        <v>460.9</v>
      </c>
      <c r="R264" s="16" t="n">
        <v>460.9</v>
      </c>
      <c r="S264" s="16" t="n">
        <v>460.9</v>
      </c>
      <c r="T264" s="16" t="n">
        <v>460.9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CANON-202604-005611</t>
        </is>
      </c>
      <c r="B265" s="3" t="inlineStr">
        <is>
          <t>2026-04-06</t>
        </is>
      </c>
      <c r="C265" s="3" t="inlineStr">
        <is>
          <t>Fitzgerald Thistlewood</t>
        </is>
      </c>
      <c r="D265" s="3" t="inlineStr">
        <is>
          <t>IL</t>
        </is>
      </c>
      <c r="E265" s="14" t="n">
        <v>1100000</v>
      </c>
      <c r="F265" s="14" t="n">
        <v>8907.98</v>
      </c>
      <c r="G265" s="14" t="n">
        <v>1113.5</v>
      </c>
      <c r="H265" s="14" t="n">
        <v>1113.5</v>
      </c>
      <c r="I265" s="14">
        <f>SUM(K265:T265)</f>
        <v/>
      </c>
      <c r="J265" s="14">
        <f>F265-(G265+H265+I265)</f>
        <v/>
      </c>
      <c r="K265" s="14" t="n">
        <v>668.1</v>
      </c>
      <c r="L265" s="14" t="n">
        <v>668.1</v>
      </c>
      <c r="M265" s="14" t="n">
        <v>668.1</v>
      </c>
      <c r="N265" s="14" t="n">
        <v>668.1</v>
      </c>
      <c r="O265" s="14" t="n">
        <v>668.1</v>
      </c>
      <c r="P265" s="14" t="n">
        <v>668.1</v>
      </c>
      <c r="Q265" s="14" t="n">
        <v>668.1</v>
      </c>
      <c r="R265" s="14" t="n">
        <v>668.1</v>
      </c>
      <c r="S265" s="14" t="n">
        <v>668.1</v>
      </c>
      <c r="T265" s="14" t="n">
        <v>668.1</v>
      </c>
      <c r="U265" s="14" t="n">
        <v>350</v>
      </c>
      <c r="V265" s="14" t="n">
        <v>250</v>
      </c>
      <c r="W265" s="14">
        <f>U265+V265</f>
        <v/>
      </c>
    </row>
    <row r="266">
      <c r="A266" s="15" t="inlineStr">
        <is>
          <t>CANON-202604-005614</t>
        </is>
      </c>
      <c r="B266" s="15" t="inlineStr">
        <is>
          <t>2026-04-09</t>
        </is>
      </c>
      <c r="C266" s="15" t="inlineStr">
        <is>
          <t>Ottilie Farkas</t>
        </is>
      </c>
      <c r="D266" s="15" t="inlineStr">
        <is>
          <t>MO</t>
        </is>
      </c>
      <c r="E266" s="16" t="n">
        <v>905000</v>
      </c>
      <c r="F266" s="16" t="n">
        <v>9770.83</v>
      </c>
      <c r="G266" s="16" t="n">
        <v>1221.35</v>
      </c>
      <c r="H266" s="16" t="n">
        <v>1221.35</v>
      </c>
      <c r="I266" s="16">
        <f>SUM(K266:T266)</f>
        <v/>
      </c>
      <c r="J266" s="16">
        <f>F266-(G266+H266+I266)</f>
        <v/>
      </c>
      <c r="K266" s="16" t="n">
        <v>732.8099999999999</v>
      </c>
      <c r="L266" s="16" t="n">
        <v>732.8099999999999</v>
      </c>
      <c r="M266" s="16" t="n">
        <v>732.8099999999999</v>
      </c>
      <c r="N266" s="16" t="n">
        <v>732.8099999999999</v>
      </c>
      <c r="O266" s="16" t="n">
        <v>732.8099999999999</v>
      </c>
      <c r="P266" s="16" t="n">
        <v>732.8099999999999</v>
      </c>
      <c r="Q266" s="16" t="n">
        <v>732.8099999999999</v>
      </c>
      <c r="R266" s="16" t="n">
        <v>732.8099999999999</v>
      </c>
      <c r="S266" s="16" t="n">
        <v>732.8099999999999</v>
      </c>
      <c r="T266" s="16" t="n">
        <v>732.8099999999999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CANON-202604-005616</t>
        </is>
      </c>
      <c r="B267" s="3" t="inlineStr">
        <is>
          <t>2026-04-20</t>
        </is>
      </c>
      <c r="C267" s="3" t="inlineStr">
        <is>
          <t>Aurelio Okonkwo</t>
        </is>
      </c>
      <c r="D267" s="3" t="inlineStr">
        <is>
          <t>HI</t>
        </is>
      </c>
      <c r="E267" s="14" t="n">
        <v>1025000</v>
      </c>
      <c r="F267" s="14" t="n">
        <v>11484.01</v>
      </c>
      <c r="G267" s="14" t="n">
        <v>1435.5</v>
      </c>
      <c r="H267" s="14" t="n">
        <v>1435.5</v>
      </c>
      <c r="I267" s="14">
        <f>SUM(K267:T267)</f>
        <v/>
      </c>
      <c r="J267" s="14">
        <f>F267-(G267+H267+I267)</f>
        <v/>
      </c>
      <c r="K267" s="14" t="n">
        <v>861.3</v>
      </c>
      <c r="L267" s="14" t="n">
        <v>861.3</v>
      </c>
      <c r="M267" s="14" t="n">
        <v>861.3</v>
      </c>
      <c r="N267" s="14" t="n">
        <v>861.3</v>
      </c>
      <c r="O267" s="14" t="n">
        <v>861.3</v>
      </c>
      <c r="P267" s="14" t="n">
        <v>861.3</v>
      </c>
      <c r="Q267" s="14" t="n">
        <v>861.3</v>
      </c>
      <c r="R267" s="14" t="n">
        <v>861.3</v>
      </c>
      <c r="S267" s="14" t="n">
        <v>861.3</v>
      </c>
      <c r="T267" s="14" t="n">
        <v>861.3</v>
      </c>
      <c r="U267" s="14" t="n">
        <v>350</v>
      </c>
      <c r="V267" s="14" t="n">
        <v>250</v>
      </c>
      <c r="W267" s="14">
        <f>U267+V267</f>
        <v/>
      </c>
    </row>
    <row r="268">
      <c r="A268" s="15" t="inlineStr">
        <is>
          <t>CANON-202604-005618</t>
        </is>
      </c>
      <c r="B268" s="15" t="inlineStr">
        <is>
          <t>2026-04-16</t>
        </is>
      </c>
      <c r="C268" s="15" t="inlineStr">
        <is>
          <t>Ingrid Farkas</t>
        </is>
      </c>
      <c r="D268" s="15" t="inlineStr">
        <is>
          <t>TX</t>
        </is>
      </c>
      <c r="E268" s="16" t="n">
        <v>705000</v>
      </c>
      <c r="F268" s="16" t="n">
        <v>5462.85</v>
      </c>
      <c r="G268" s="16" t="n">
        <v>682.86</v>
      </c>
      <c r="H268" s="16" t="n">
        <v>682.86</v>
      </c>
      <c r="I268" s="16">
        <f>SUM(K268:T268)</f>
        <v/>
      </c>
      <c r="J268" s="16">
        <f>F268-(G268+H268+I268)</f>
        <v/>
      </c>
      <c r="K268" s="16" t="n">
        <v>409.71</v>
      </c>
      <c r="L268" s="16" t="n">
        <v>409.71</v>
      </c>
      <c r="M268" s="16" t="n">
        <v>409.71</v>
      </c>
      <c r="N268" s="16" t="n">
        <v>409.71</v>
      </c>
      <c r="O268" s="16" t="n">
        <v>409.71</v>
      </c>
      <c r="P268" s="16" t="n">
        <v>409.71</v>
      </c>
      <c r="Q268" s="16" t="n">
        <v>409.71</v>
      </c>
      <c r="R268" s="16" t="n">
        <v>409.71</v>
      </c>
      <c r="S268" s="16" t="n">
        <v>409.71</v>
      </c>
      <c r="T268" s="16" t="n">
        <v>409.71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CANON-202604-005619</t>
        </is>
      </c>
      <c r="B269" s="3" t="inlineStr">
        <is>
          <t>2026-04-21</t>
        </is>
      </c>
      <c r="C269" s="3" t="inlineStr">
        <is>
          <t>Aurelio Ashcombe</t>
        </is>
      </c>
      <c r="D269" s="3" t="inlineStr">
        <is>
          <t>MT</t>
        </is>
      </c>
      <c r="E269" s="14" t="n">
        <v>435000</v>
      </c>
      <c r="F269" s="14" t="n">
        <v>4754.41</v>
      </c>
      <c r="G269" s="14" t="n">
        <v>594.3</v>
      </c>
      <c r="H269" s="14" t="n">
        <v>594.3</v>
      </c>
      <c r="I269" s="14">
        <f>SUM(K269:T269)</f>
        <v/>
      </c>
      <c r="J269" s="14">
        <f>F269-(G269+H269+I269)</f>
        <v/>
      </c>
      <c r="K269" s="14" t="n">
        <v>356.58</v>
      </c>
      <c r="L269" s="14" t="n">
        <v>356.58</v>
      </c>
      <c r="M269" s="14" t="n">
        <v>356.58</v>
      </c>
      <c r="N269" s="14" t="n">
        <v>356.58</v>
      </c>
      <c r="O269" s="14" t="n">
        <v>356.58</v>
      </c>
      <c r="P269" s="14" t="n">
        <v>356.58</v>
      </c>
      <c r="Q269" s="14" t="n">
        <v>356.58</v>
      </c>
      <c r="R269" s="14" t="n">
        <v>356.58</v>
      </c>
      <c r="S269" s="14" t="n">
        <v>356.58</v>
      </c>
      <c r="T269" s="14" t="n">
        <v>356.58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CANON-202604-005620</t>
        </is>
      </c>
      <c r="B270" s="15" t="inlineStr">
        <is>
          <t>2026-04-23</t>
        </is>
      </c>
      <c r="C270" s="15" t="inlineStr">
        <is>
          <t>Desmond Fairweather</t>
        </is>
      </c>
      <c r="D270" s="15" t="inlineStr">
        <is>
          <t>NJ</t>
        </is>
      </c>
      <c r="E270" s="16" t="n">
        <v>410000</v>
      </c>
      <c r="F270" s="16" t="n">
        <v>4384.81</v>
      </c>
      <c r="G270" s="16" t="n">
        <v>548.1</v>
      </c>
      <c r="H270" s="16" t="n">
        <v>548.1</v>
      </c>
      <c r="I270" s="16">
        <f>SUM(K270:T270)</f>
        <v/>
      </c>
      <c r="J270" s="16">
        <f>F270-(G270+H270+I270)</f>
        <v/>
      </c>
      <c r="K270" s="16" t="n">
        <v>328.86</v>
      </c>
      <c r="L270" s="16" t="n">
        <v>328.86</v>
      </c>
      <c r="M270" s="16" t="n">
        <v>328.86</v>
      </c>
      <c r="N270" s="16" t="n">
        <v>328.86</v>
      </c>
      <c r="O270" s="16" t="n">
        <v>328.86</v>
      </c>
      <c r="P270" s="16" t="n">
        <v>328.86</v>
      </c>
      <c r="Q270" s="16" t="n">
        <v>328.86</v>
      </c>
      <c r="R270" s="16" t="n">
        <v>328.86</v>
      </c>
      <c r="S270" s="16" t="n">
        <v>328.86</v>
      </c>
      <c r="T270" s="16" t="n">
        <v>328.86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CANON-202604-005621</t>
        </is>
      </c>
      <c r="B271" s="3" t="inlineStr">
        <is>
          <t>2026-04-24</t>
        </is>
      </c>
      <c r="C271" s="3" t="inlineStr">
        <is>
          <t>Everett Okonkwo</t>
        </is>
      </c>
      <c r="D271" s="3" t="inlineStr">
        <is>
          <t>CA</t>
        </is>
      </c>
      <c r="E271" s="14" t="n">
        <v>460000</v>
      </c>
      <c r="F271" s="14" t="n">
        <v>7298.22</v>
      </c>
      <c r="G271" s="14" t="n">
        <v>912.28</v>
      </c>
      <c r="H271" s="14" t="n">
        <v>912.28</v>
      </c>
      <c r="I271" s="14">
        <f>SUM(K271:T271)</f>
        <v/>
      </c>
      <c r="J271" s="14">
        <f>F271-(G271+H271+I271)</f>
        <v/>
      </c>
      <c r="K271" s="14" t="n">
        <v>547.37</v>
      </c>
      <c r="L271" s="14" t="n">
        <v>547.37</v>
      </c>
      <c r="M271" s="14" t="n">
        <v>547.37</v>
      </c>
      <c r="N271" s="14" t="n">
        <v>547.37</v>
      </c>
      <c r="O271" s="14" t="n">
        <v>547.37</v>
      </c>
      <c r="P271" s="14" t="n">
        <v>547.37</v>
      </c>
      <c r="Q271" s="14" t="n">
        <v>547.37</v>
      </c>
      <c r="R271" s="14" t="n">
        <v>547.37</v>
      </c>
      <c r="S271" s="14" t="n">
        <v>547.37</v>
      </c>
      <c r="T271" s="14" t="n">
        <v>547.37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CANON-202604-005622</t>
        </is>
      </c>
      <c r="B272" s="15" t="inlineStr">
        <is>
          <t>2026-04-22</t>
        </is>
      </c>
      <c r="C272" s="15" t="inlineStr">
        <is>
          <t>Mireille Vandermeer</t>
        </is>
      </c>
      <c r="D272" s="15" t="inlineStr">
        <is>
          <t>OH</t>
        </is>
      </c>
      <c r="E272" s="16" t="n">
        <v>1950000</v>
      </c>
      <c r="F272" s="16" t="n">
        <v>33978.42</v>
      </c>
      <c r="G272" s="16" t="n">
        <v>4247.3</v>
      </c>
      <c r="H272" s="16" t="n">
        <v>4247.3</v>
      </c>
      <c r="I272" s="16">
        <f>SUM(K272:T272)</f>
        <v/>
      </c>
      <c r="J272" s="16">
        <f>F272-(G272+H272+I272)</f>
        <v/>
      </c>
      <c r="K272" s="16" t="n">
        <v>2548.38</v>
      </c>
      <c r="L272" s="16" t="n">
        <v>2548.38</v>
      </c>
      <c r="M272" s="16" t="n">
        <v>2548.38</v>
      </c>
      <c r="N272" s="16" t="n">
        <v>2548.38</v>
      </c>
      <c r="O272" s="16" t="n">
        <v>2548.38</v>
      </c>
      <c r="P272" s="16" t="n">
        <v>2548.38</v>
      </c>
      <c r="Q272" s="16" t="n">
        <v>2548.38</v>
      </c>
      <c r="R272" s="16" t="n">
        <v>2548.38</v>
      </c>
      <c r="S272" s="16" t="n">
        <v>2548.38</v>
      </c>
      <c r="T272" s="16" t="n">
        <v>2548.38</v>
      </c>
      <c r="U272" s="16" t="n">
        <v>350</v>
      </c>
      <c r="V272" s="16" t="n">
        <v>250</v>
      </c>
      <c r="W272" s="16">
        <f>U272+V272</f>
        <v/>
      </c>
    </row>
    <row r="273">
      <c r="A273" s="3" t="inlineStr">
        <is>
          <t>CANON-202604-005623</t>
        </is>
      </c>
      <c r="B273" s="3" t="inlineStr">
        <is>
          <t>2026-04-08</t>
        </is>
      </c>
      <c r="C273" s="3" t="inlineStr">
        <is>
          <t>Thaddeus Blackwood</t>
        </is>
      </c>
      <c r="D273" s="3" t="inlineStr">
        <is>
          <t>CO</t>
        </is>
      </c>
      <c r="E273" s="14" t="n">
        <v>1810000</v>
      </c>
      <c r="F273" s="14" t="n">
        <v>24958.88</v>
      </c>
      <c r="G273" s="14" t="n">
        <v>3119.86</v>
      </c>
      <c r="H273" s="14" t="n">
        <v>3119.86</v>
      </c>
      <c r="I273" s="14">
        <f>SUM(K273:T273)</f>
        <v/>
      </c>
      <c r="J273" s="14">
        <f>F273-(G273+H273+I273)</f>
        <v/>
      </c>
      <c r="K273" s="14" t="n">
        <v>1871.92</v>
      </c>
      <c r="L273" s="14" t="n">
        <v>1871.92</v>
      </c>
      <c r="M273" s="14" t="n">
        <v>1871.92</v>
      </c>
      <c r="N273" s="14" t="n">
        <v>1871.92</v>
      </c>
      <c r="O273" s="14" t="n">
        <v>1871.92</v>
      </c>
      <c r="P273" s="14" t="n">
        <v>1871.92</v>
      </c>
      <c r="Q273" s="14" t="n">
        <v>1871.92</v>
      </c>
      <c r="R273" s="14" t="n">
        <v>1871.92</v>
      </c>
      <c r="S273" s="14" t="n">
        <v>1871.92</v>
      </c>
      <c r="T273" s="14" t="n">
        <v>1871.92</v>
      </c>
      <c r="U273" s="14" t="n">
        <v>350</v>
      </c>
      <c r="V273" s="14" t="n">
        <v>250</v>
      </c>
      <c r="W273" s="14">
        <f>U273+V273</f>
        <v/>
      </c>
    </row>
    <row r="274">
      <c r="A274" s="15" t="inlineStr">
        <is>
          <t>CANON-202604-005624</t>
        </is>
      </c>
      <c r="B274" s="15" t="inlineStr">
        <is>
          <t>2026-04-24</t>
        </is>
      </c>
      <c r="C274" s="15" t="inlineStr">
        <is>
          <t>Mireille Kingsford</t>
        </is>
      </c>
      <c r="D274" s="15" t="inlineStr">
        <is>
          <t>WV</t>
        </is>
      </c>
      <c r="E274" s="16" t="n">
        <v>315000</v>
      </c>
      <c r="F274" s="16" t="n">
        <v>4923.65</v>
      </c>
      <c r="G274" s="16" t="n">
        <v>615.46</v>
      </c>
      <c r="H274" s="16" t="n">
        <v>615.46</v>
      </c>
      <c r="I274" s="16">
        <f>SUM(K274:T274)</f>
        <v/>
      </c>
      <c r="J274" s="16">
        <f>F274-(G274+H274+I274)</f>
        <v/>
      </c>
      <c r="K274" s="16" t="n">
        <v>369.27</v>
      </c>
      <c r="L274" s="16" t="n">
        <v>369.27</v>
      </c>
      <c r="M274" s="16" t="n">
        <v>369.27</v>
      </c>
      <c r="N274" s="16" t="n">
        <v>369.27</v>
      </c>
      <c r="O274" s="16" t="n">
        <v>369.27</v>
      </c>
      <c r="P274" s="16" t="n">
        <v>369.27</v>
      </c>
      <c r="Q274" s="16" t="n">
        <v>369.27</v>
      </c>
      <c r="R274" s="16" t="n">
        <v>369.27</v>
      </c>
      <c r="S274" s="16" t="n">
        <v>369.27</v>
      </c>
      <c r="T274" s="16" t="n">
        <v>369.27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CANON-202604-005625</t>
        </is>
      </c>
      <c r="B275" s="3" t="inlineStr">
        <is>
          <t>2026-04-10</t>
        </is>
      </c>
      <c r="C275" s="3" t="inlineStr">
        <is>
          <t>Thaddeus Chattopadhyay</t>
        </is>
      </c>
      <c r="D275" s="3" t="inlineStr">
        <is>
          <t>NY</t>
        </is>
      </c>
      <c r="E275" s="14" t="n">
        <v>685000</v>
      </c>
      <c r="F275" s="14" t="n">
        <v>5907.89</v>
      </c>
      <c r="G275" s="14" t="n">
        <v>738.49</v>
      </c>
      <c r="H275" s="14" t="n">
        <v>738.49</v>
      </c>
      <c r="I275" s="14">
        <f>SUM(K275:T275)</f>
        <v/>
      </c>
      <c r="J275" s="14">
        <f>F275-(G275+H275+I275)</f>
        <v/>
      </c>
      <c r="K275" s="14" t="n">
        <v>443.09</v>
      </c>
      <c r="L275" s="14" t="n">
        <v>443.09</v>
      </c>
      <c r="M275" s="14" t="n">
        <v>443.09</v>
      </c>
      <c r="N275" s="14" t="n">
        <v>443.09</v>
      </c>
      <c r="O275" s="14" t="n">
        <v>443.09</v>
      </c>
      <c r="P275" s="14" t="n">
        <v>443.09</v>
      </c>
      <c r="Q275" s="14" t="n">
        <v>443.09</v>
      </c>
      <c r="R275" s="14" t="n">
        <v>443.09</v>
      </c>
      <c r="S275" s="14" t="n">
        <v>443.09</v>
      </c>
      <c r="T275" s="14" t="n">
        <v>443.09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CANON-202604-005626</t>
        </is>
      </c>
      <c r="B276" s="15" t="inlineStr">
        <is>
          <t>2026-04-28</t>
        </is>
      </c>
      <c r="C276" s="15" t="inlineStr">
        <is>
          <t>Callum Delacroix</t>
        </is>
      </c>
      <c r="D276" s="15" t="inlineStr">
        <is>
          <t>FL</t>
        </is>
      </c>
      <c r="E276" s="16" t="n">
        <v>595000</v>
      </c>
      <c r="F276" s="16" t="n">
        <v>5692.95</v>
      </c>
      <c r="G276" s="16" t="n">
        <v>711.62</v>
      </c>
      <c r="H276" s="16" t="n">
        <v>711.62</v>
      </c>
      <c r="I276" s="16">
        <f>SUM(K276:T276)</f>
        <v/>
      </c>
      <c r="J276" s="16">
        <f>F276-(G276+H276+I276)</f>
        <v/>
      </c>
      <c r="K276" s="16" t="n">
        <v>426.97</v>
      </c>
      <c r="L276" s="16" t="n">
        <v>426.97</v>
      </c>
      <c r="M276" s="16" t="n">
        <v>426.97</v>
      </c>
      <c r="N276" s="16" t="n">
        <v>426.97</v>
      </c>
      <c r="O276" s="16" t="n">
        <v>426.97</v>
      </c>
      <c r="P276" s="16" t="n">
        <v>426.97</v>
      </c>
      <c r="Q276" s="16" t="n">
        <v>426.97</v>
      </c>
      <c r="R276" s="16" t="n">
        <v>426.97</v>
      </c>
      <c r="S276" s="16" t="n">
        <v>426.97</v>
      </c>
      <c r="T276" s="16" t="n">
        <v>426.97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CANON-202604-005628</t>
        </is>
      </c>
      <c r="B277" s="3" t="inlineStr">
        <is>
          <t>2026-04-08</t>
        </is>
      </c>
      <c r="C277" s="3" t="inlineStr">
        <is>
          <t>Fitzgerald Rourke</t>
        </is>
      </c>
      <c r="D277" s="3" t="inlineStr">
        <is>
          <t>AZ</t>
        </is>
      </c>
      <c r="E277" s="14" t="n">
        <v>400000</v>
      </c>
      <c r="F277" s="14" t="n">
        <v>3038.69</v>
      </c>
      <c r="G277" s="14" t="n">
        <v>379.84</v>
      </c>
      <c r="H277" s="14" t="n">
        <v>379.84</v>
      </c>
      <c r="I277" s="14">
        <f>SUM(K277:T277)</f>
        <v/>
      </c>
      <c r="J277" s="14">
        <f>F277-(G277+H277+I277)</f>
        <v/>
      </c>
      <c r="K277" s="14" t="n">
        <v>227.9</v>
      </c>
      <c r="L277" s="14" t="n">
        <v>227.9</v>
      </c>
      <c r="M277" s="14" t="n">
        <v>227.9</v>
      </c>
      <c r="N277" s="14" t="n">
        <v>227.9</v>
      </c>
      <c r="O277" s="14" t="n">
        <v>227.9</v>
      </c>
      <c r="P277" s="14" t="n">
        <v>227.9</v>
      </c>
      <c r="Q277" s="14" t="n">
        <v>227.9</v>
      </c>
      <c r="R277" s="14" t="n">
        <v>227.9</v>
      </c>
      <c r="S277" s="14" t="n">
        <v>227.9</v>
      </c>
      <c r="T277" s="14" t="n">
        <v>227.9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CANON-202604-005629</t>
        </is>
      </c>
      <c r="B278" s="15" t="inlineStr">
        <is>
          <t>2026-04-28</t>
        </is>
      </c>
      <c r="C278" s="15" t="inlineStr">
        <is>
          <t>Desmond Fairweather</t>
        </is>
      </c>
      <c r="D278" s="15" t="inlineStr">
        <is>
          <t>FL</t>
        </is>
      </c>
      <c r="E278" s="16" t="n">
        <v>1575000</v>
      </c>
      <c r="F278" s="16" t="n">
        <v>28036.43</v>
      </c>
      <c r="G278" s="16" t="n">
        <v>3504.55</v>
      </c>
      <c r="H278" s="16" t="n">
        <v>3504.55</v>
      </c>
      <c r="I278" s="16">
        <f>SUM(K278:T278)</f>
        <v/>
      </c>
      <c r="J278" s="16">
        <f>F278-(G278+H278+I278)</f>
        <v/>
      </c>
      <c r="K278" s="16" t="n">
        <v>2102.73</v>
      </c>
      <c r="L278" s="16" t="n">
        <v>2102.73</v>
      </c>
      <c r="M278" s="16" t="n">
        <v>2102.73</v>
      </c>
      <c r="N278" s="16" t="n">
        <v>2102.73</v>
      </c>
      <c r="O278" s="16" t="n">
        <v>2102.73</v>
      </c>
      <c r="P278" s="16" t="n">
        <v>2102.73</v>
      </c>
      <c r="Q278" s="16" t="n">
        <v>2102.73</v>
      </c>
      <c r="R278" s="16" t="n">
        <v>2102.73</v>
      </c>
      <c r="S278" s="16" t="n">
        <v>2102.73</v>
      </c>
      <c r="T278" s="16" t="n">
        <v>2102.73</v>
      </c>
      <c r="U278" s="16" t="n">
        <v>350</v>
      </c>
      <c r="V278" s="16" t="n">
        <v>250</v>
      </c>
      <c r="W278" s="16">
        <f>U278+V278</f>
        <v/>
      </c>
    </row>
    <row r="279">
      <c r="A279" s="3" t="inlineStr">
        <is>
          <t>CANON-202604-005630</t>
        </is>
      </c>
      <c r="B279" s="3" t="inlineStr">
        <is>
          <t>2026-04-29</t>
        </is>
      </c>
      <c r="C279" s="3" t="inlineStr">
        <is>
          <t>Delphine Ashcombe</t>
        </is>
      </c>
      <c r="D279" s="3" t="inlineStr">
        <is>
          <t>SD</t>
        </is>
      </c>
      <c r="E279" s="14" t="n">
        <v>675000</v>
      </c>
      <c r="F279" s="14" t="n">
        <v>7631.4</v>
      </c>
      <c r="G279" s="14" t="n">
        <v>953.92</v>
      </c>
      <c r="H279" s="14" t="n">
        <v>953.92</v>
      </c>
      <c r="I279" s="14">
        <f>SUM(K279:T279)</f>
        <v/>
      </c>
      <c r="J279" s="14">
        <f>F279-(G279+H279+I279)</f>
        <v/>
      </c>
      <c r="K279" s="14" t="n">
        <v>572.35</v>
      </c>
      <c r="L279" s="14" t="n">
        <v>572.35</v>
      </c>
      <c r="M279" s="14" t="n">
        <v>572.35</v>
      </c>
      <c r="N279" s="14" t="n">
        <v>572.35</v>
      </c>
      <c r="O279" s="14" t="n">
        <v>572.35</v>
      </c>
      <c r="P279" s="14" t="n">
        <v>572.35</v>
      </c>
      <c r="Q279" s="14" t="n">
        <v>572.35</v>
      </c>
      <c r="R279" s="14" t="n">
        <v>572.35</v>
      </c>
      <c r="S279" s="14" t="n">
        <v>572.35</v>
      </c>
      <c r="T279" s="14" t="n">
        <v>572.35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CANON-202604-005631</t>
        </is>
      </c>
      <c r="B280" s="15" t="inlineStr">
        <is>
          <t>2026-04-24</t>
        </is>
      </c>
      <c r="C280" s="15" t="inlineStr">
        <is>
          <t>Callum Vandermeer</t>
        </is>
      </c>
      <c r="D280" s="15" t="inlineStr">
        <is>
          <t>PA</t>
        </is>
      </c>
      <c r="E280" s="16" t="n">
        <v>350000</v>
      </c>
      <c r="F280" s="16" t="n">
        <v>4113.33</v>
      </c>
      <c r="G280" s="16" t="n">
        <v>514.17</v>
      </c>
      <c r="H280" s="16" t="n">
        <v>514.17</v>
      </c>
      <c r="I280" s="16">
        <f>SUM(K280:T280)</f>
        <v/>
      </c>
      <c r="J280" s="16">
        <f>F280-(G280+H280+I280)</f>
        <v/>
      </c>
      <c r="K280" s="16" t="n">
        <v>308.5</v>
      </c>
      <c r="L280" s="16" t="n">
        <v>308.5</v>
      </c>
      <c r="M280" s="16" t="n">
        <v>308.5</v>
      </c>
      <c r="N280" s="16" t="n">
        <v>308.5</v>
      </c>
      <c r="O280" s="16" t="n">
        <v>308.5</v>
      </c>
      <c r="P280" s="16" t="n">
        <v>308.5</v>
      </c>
      <c r="Q280" s="16" t="n">
        <v>308.5</v>
      </c>
      <c r="R280" s="16" t="n">
        <v>308.5</v>
      </c>
      <c r="S280" s="16" t="n">
        <v>308.5</v>
      </c>
      <c r="T280" s="16" t="n">
        <v>308.5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CANON-202604-005632</t>
        </is>
      </c>
      <c r="B281" s="3" t="inlineStr">
        <is>
          <t>2026-04-30</t>
        </is>
      </c>
      <c r="C281" s="3" t="inlineStr">
        <is>
          <t>Beatrix Bellandi</t>
        </is>
      </c>
      <c r="D281" s="3" t="inlineStr">
        <is>
          <t>CA</t>
        </is>
      </c>
      <c r="E281" s="14" t="n">
        <v>480000</v>
      </c>
      <c r="F281" s="14" t="n">
        <v>7615.53</v>
      </c>
      <c r="G281" s="14" t="n">
        <v>951.9400000000001</v>
      </c>
      <c r="H281" s="14" t="n">
        <v>951.9400000000001</v>
      </c>
      <c r="I281" s="14">
        <f>SUM(K281:T281)</f>
        <v/>
      </c>
      <c r="J281" s="14">
        <f>F281-(G281+H281+I281)</f>
        <v/>
      </c>
      <c r="K281" s="14" t="n">
        <v>571.16</v>
      </c>
      <c r="L281" s="14" t="n">
        <v>571.16</v>
      </c>
      <c r="M281" s="14" t="n">
        <v>571.16</v>
      </c>
      <c r="N281" s="14" t="n">
        <v>571.16</v>
      </c>
      <c r="O281" s="14" t="n">
        <v>571.16</v>
      </c>
      <c r="P281" s="14" t="n">
        <v>571.16</v>
      </c>
      <c r="Q281" s="14" t="n">
        <v>571.16</v>
      </c>
      <c r="R281" s="14" t="n">
        <v>571.16</v>
      </c>
      <c r="S281" s="14" t="n">
        <v>571.16</v>
      </c>
      <c r="T281" s="14" t="n">
        <v>571.16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CANON-202604-005633</t>
        </is>
      </c>
      <c r="B282" s="15" t="inlineStr">
        <is>
          <t>2026-04-11</t>
        </is>
      </c>
      <c r="C282" s="15" t="inlineStr">
        <is>
          <t>Cassius Pennington</t>
        </is>
      </c>
      <c r="D282" s="15" t="inlineStr">
        <is>
          <t>SC</t>
        </is>
      </c>
      <c r="E282" s="16" t="n">
        <v>1780000</v>
      </c>
      <c r="F282" s="16" t="n">
        <v>27669.13</v>
      </c>
      <c r="G282" s="16" t="n">
        <v>3458.64</v>
      </c>
      <c r="H282" s="16" t="n">
        <v>3458.64</v>
      </c>
      <c r="I282" s="16">
        <f>SUM(K282:T282)</f>
        <v/>
      </c>
      <c r="J282" s="16">
        <f>F282-(G282+H282+I282)</f>
        <v/>
      </c>
      <c r="K282" s="16" t="n">
        <v>2075.18</v>
      </c>
      <c r="L282" s="16" t="n">
        <v>2075.18</v>
      </c>
      <c r="M282" s="16" t="n">
        <v>2075.18</v>
      </c>
      <c r="N282" s="16" t="n">
        <v>2075.18</v>
      </c>
      <c r="O282" s="16" t="n">
        <v>2075.18</v>
      </c>
      <c r="P282" s="16" t="n">
        <v>2075.18</v>
      </c>
      <c r="Q282" s="16" t="n">
        <v>2075.18</v>
      </c>
      <c r="R282" s="16" t="n">
        <v>2075.18</v>
      </c>
      <c r="S282" s="16" t="n">
        <v>2075.18</v>
      </c>
      <c r="T282" s="16" t="n">
        <v>2075.18</v>
      </c>
      <c r="U282" s="16" t="n">
        <v>350</v>
      </c>
      <c r="V282" s="16" t="n">
        <v>250</v>
      </c>
      <c r="W282" s="16">
        <f>U282+V282</f>
        <v/>
      </c>
    </row>
    <row r="283">
      <c r="A283" s="3" t="inlineStr">
        <is>
          <t>CANON-202604-005634</t>
        </is>
      </c>
      <c r="B283" s="3" t="inlineStr">
        <is>
          <t>2026-04-19</t>
        </is>
      </c>
      <c r="C283" s="3" t="inlineStr">
        <is>
          <t>Marisol Nakashima</t>
        </is>
      </c>
      <c r="D283" s="3" t="inlineStr">
        <is>
          <t>SD</t>
        </is>
      </c>
      <c r="E283" s="14" t="n">
        <v>285000</v>
      </c>
      <c r="F283" s="14" t="n">
        <v>5700.72</v>
      </c>
      <c r="G283" s="14" t="n">
        <v>712.59</v>
      </c>
      <c r="H283" s="14" t="n">
        <v>712.59</v>
      </c>
      <c r="I283" s="14">
        <f>SUM(K283:T283)</f>
        <v/>
      </c>
      <c r="J283" s="14">
        <f>F283-(G283+H283+I283)</f>
        <v/>
      </c>
      <c r="K283" s="14" t="n">
        <v>427.55</v>
      </c>
      <c r="L283" s="14" t="n">
        <v>427.55</v>
      </c>
      <c r="M283" s="14" t="n">
        <v>427.55</v>
      </c>
      <c r="N283" s="14" t="n">
        <v>427.55</v>
      </c>
      <c r="O283" s="14" t="n">
        <v>427.55</v>
      </c>
      <c r="P283" s="14" t="n">
        <v>427.55</v>
      </c>
      <c r="Q283" s="14" t="n">
        <v>427.55</v>
      </c>
      <c r="R283" s="14" t="n">
        <v>427.55</v>
      </c>
      <c r="S283" s="14" t="n">
        <v>427.55</v>
      </c>
      <c r="T283" s="14" t="n">
        <v>427.55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CANON-202604-005637</t>
        </is>
      </c>
      <c r="B284" s="15" t="inlineStr">
        <is>
          <t>2026-04-14</t>
        </is>
      </c>
      <c r="C284" s="15" t="inlineStr">
        <is>
          <t>Desmond Pennington</t>
        </is>
      </c>
      <c r="D284" s="15" t="inlineStr">
        <is>
          <t>WI</t>
        </is>
      </c>
      <c r="E284" s="16" t="n">
        <v>475000</v>
      </c>
      <c r="F284" s="16" t="n">
        <v>6698.85</v>
      </c>
      <c r="G284" s="16" t="n">
        <v>837.36</v>
      </c>
      <c r="H284" s="16" t="n">
        <v>837.36</v>
      </c>
      <c r="I284" s="16">
        <f>SUM(K284:T284)</f>
        <v/>
      </c>
      <c r="J284" s="16">
        <f>F284-(G284+H284+I284)</f>
        <v/>
      </c>
      <c r="K284" s="16" t="n">
        <v>502.41</v>
      </c>
      <c r="L284" s="16" t="n">
        <v>502.41</v>
      </c>
      <c r="M284" s="16" t="n">
        <v>502.41</v>
      </c>
      <c r="N284" s="16" t="n">
        <v>502.41</v>
      </c>
      <c r="O284" s="16" t="n">
        <v>502.41</v>
      </c>
      <c r="P284" s="16" t="n">
        <v>502.41</v>
      </c>
      <c r="Q284" s="16" t="n">
        <v>502.41</v>
      </c>
      <c r="R284" s="16" t="n">
        <v>502.41</v>
      </c>
      <c r="S284" s="16" t="n">
        <v>502.41</v>
      </c>
      <c r="T284" s="16" t="n">
        <v>502.41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CANON-202604-005638</t>
        </is>
      </c>
      <c r="B285" s="3" t="inlineStr">
        <is>
          <t>2026-04-12</t>
        </is>
      </c>
      <c r="C285" s="3" t="inlineStr">
        <is>
          <t>Marisol Larsson</t>
        </is>
      </c>
      <c r="D285" s="3" t="inlineStr">
        <is>
          <t>OH</t>
        </is>
      </c>
      <c r="E285" s="14" t="n">
        <v>1060000</v>
      </c>
      <c r="F285" s="14" t="n">
        <v>18470.32</v>
      </c>
      <c r="G285" s="14" t="n">
        <v>2308.79</v>
      </c>
      <c r="H285" s="14" t="n">
        <v>2308.79</v>
      </c>
      <c r="I285" s="14">
        <f>SUM(K285:T285)</f>
        <v/>
      </c>
      <c r="J285" s="14">
        <f>F285-(G285+H285+I285)</f>
        <v/>
      </c>
      <c r="K285" s="14" t="n">
        <v>1385.27</v>
      </c>
      <c r="L285" s="14" t="n">
        <v>1385.27</v>
      </c>
      <c r="M285" s="14" t="n">
        <v>1385.27</v>
      </c>
      <c r="N285" s="14" t="n">
        <v>1385.27</v>
      </c>
      <c r="O285" s="14" t="n">
        <v>1385.27</v>
      </c>
      <c r="P285" s="14" t="n">
        <v>1385.27</v>
      </c>
      <c r="Q285" s="14" t="n">
        <v>1385.27</v>
      </c>
      <c r="R285" s="14" t="n">
        <v>1385.27</v>
      </c>
      <c r="S285" s="14" t="n">
        <v>1385.27</v>
      </c>
      <c r="T285" s="14" t="n">
        <v>1385.27</v>
      </c>
      <c r="U285" s="14" t="n">
        <v>350</v>
      </c>
      <c r="V285" s="14" t="n">
        <v>250</v>
      </c>
      <c r="W285" s="14">
        <f>U285+V285</f>
        <v/>
      </c>
    </row>
    <row r="286">
      <c r="A286" s="15" t="inlineStr">
        <is>
          <t>CANON-202604-005640</t>
        </is>
      </c>
      <c r="B286" s="15" t="inlineStr">
        <is>
          <t>2026-04-14</t>
        </is>
      </c>
      <c r="C286" s="15" t="inlineStr">
        <is>
          <t>Horace Vasquez</t>
        </is>
      </c>
      <c r="D286" s="15" t="inlineStr">
        <is>
          <t>OH</t>
        </is>
      </c>
      <c r="E286" s="16" t="n">
        <v>850000</v>
      </c>
      <c r="F286" s="16" t="n">
        <v>17588.19</v>
      </c>
      <c r="G286" s="16" t="n">
        <v>2198.52</v>
      </c>
      <c r="H286" s="16" t="n">
        <v>2198.52</v>
      </c>
      <c r="I286" s="16">
        <f>SUM(K286:T286)</f>
        <v/>
      </c>
      <c r="J286" s="16">
        <f>F286-(G286+H286+I286)</f>
        <v/>
      </c>
      <c r="K286" s="16" t="n">
        <v>1319.11</v>
      </c>
      <c r="L286" s="16" t="n">
        <v>1319.11</v>
      </c>
      <c r="M286" s="16" t="n">
        <v>1319.11</v>
      </c>
      <c r="N286" s="16" t="n">
        <v>1319.11</v>
      </c>
      <c r="O286" s="16" t="n">
        <v>1319.11</v>
      </c>
      <c r="P286" s="16" t="n">
        <v>1319.11</v>
      </c>
      <c r="Q286" s="16" t="n">
        <v>1319.11</v>
      </c>
      <c r="R286" s="16" t="n">
        <v>1319.11</v>
      </c>
      <c r="S286" s="16" t="n">
        <v>1319.11</v>
      </c>
      <c r="T286" s="16" t="n">
        <v>1319.11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CANON-202604-005641</t>
        </is>
      </c>
      <c r="B287" s="3" t="inlineStr">
        <is>
          <t>2026-04-24</t>
        </is>
      </c>
      <c r="C287" s="3" t="inlineStr">
        <is>
          <t>Beatrix Farkas</t>
        </is>
      </c>
      <c r="D287" s="3" t="inlineStr">
        <is>
          <t>RI</t>
        </is>
      </c>
      <c r="E287" s="14" t="n">
        <v>1435000</v>
      </c>
      <c r="F287" s="14" t="n">
        <v>10474.06</v>
      </c>
      <c r="G287" s="14" t="n">
        <v>1309.26</v>
      </c>
      <c r="H287" s="14" t="n">
        <v>1309.26</v>
      </c>
      <c r="I287" s="14">
        <f>SUM(K287:T287)</f>
        <v/>
      </c>
      <c r="J287" s="14">
        <f>F287-(G287+H287+I287)</f>
        <v/>
      </c>
      <c r="K287" s="14" t="n">
        <v>785.55</v>
      </c>
      <c r="L287" s="14" t="n">
        <v>785.55</v>
      </c>
      <c r="M287" s="14" t="n">
        <v>785.55</v>
      </c>
      <c r="N287" s="14" t="n">
        <v>785.55</v>
      </c>
      <c r="O287" s="14" t="n">
        <v>785.55</v>
      </c>
      <c r="P287" s="14" t="n">
        <v>785.55</v>
      </c>
      <c r="Q287" s="14" t="n">
        <v>785.55</v>
      </c>
      <c r="R287" s="14" t="n">
        <v>785.55</v>
      </c>
      <c r="S287" s="14" t="n">
        <v>785.55</v>
      </c>
      <c r="T287" s="14" t="n">
        <v>785.55</v>
      </c>
      <c r="U287" s="14" t="n">
        <v>350</v>
      </c>
      <c r="V287" s="14" t="n">
        <v>250</v>
      </c>
      <c r="W287" s="14">
        <f>U287+V287</f>
        <v/>
      </c>
    </row>
    <row r="288">
      <c r="A288" s="15" t="inlineStr">
        <is>
          <t>CANON-202604-005643</t>
        </is>
      </c>
      <c r="B288" s="15" t="inlineStr">
        <is>
          <t>2026-04-23</t>
        </is>
      </c>
      <c r="C288" s="15" t="inlineStr">
        <is>
          <t>Noor Blackwood</t>
        </is>
      </c>
      <c r="D288" s="15" t="inlineStr">
        <is>
          <t>AR</t>
        </is>
      </c>
      <c r="E288" s="16" t="n">
        <v>815000</v>
      </c>
      <c r="F288" s="16" t="n">
        <v>11455.49</v>
      </c>
      <c r="G288" s="16" t="n">
        <v>1431.94</v>
      </c>
      <c r="H288" s="16" t="n">
        <v>1431.94</v>
      </c>
      <c r="I288" s="16">
        <f>SUM(K288:T288)</f>
        <v/>
      </c>
      <c r="J288" s="16">
        <f>F288-(G288+H288+I288)</f>
        <v/>
      </c>
      <c r="K288" s="16" t="n">
        <v>859.16</v>
      </c>
      <c r="L288" s="16" t="n">
        <v>859.16</v>
      </c>
      <c r="M288" s="16" t="n">
        <v>859.16</v>
      </c>
      <c r="N288" s="16" t="n">
        <v>859.16</v>
      </c>
      <c r="O288" s="16" t="n">
        <v>859.16</v>
      </c>
      <c r="P288" s="16" t="n">
        <v>859.16</v>
      </c>
      <c r="Q288" s="16" t="n">
        <v>859.16</v>
      </c>
      <c r="R288" s="16" t="n">
        <v>859.16</v>
      </c>
      <c r="S288" s="16" t="n">
        <v>859.16</v>
      </c>
      <c r="T288" s="16" t="n">
        <v>859.16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CANON-202604-005644</t>
        </is>
      </c>
      <c r="B289" s="3" t="inlineStr">
        <is>
          <t>2026-04-21</t>
        </is>
      </c>
      <c r="C289" s="3" t="inlineStr">
        <is>
          <t>Emiliano Rourke</t>
        </is>
      </c>
      <c r="D289" s="3" t="inlineStr">
        <is>
          <t>AL</t>
        </is>
      </c>
      <c r="E289" s="14" t="n">
        <v>1100000</v>
      </c>
      <c r="F289" s="14" t="n">
        <v>7442.85</v>
      </c>
      <c r="G289" s="14" t="n">
        <v>930.36</v>
      </c>
      <c r="H289" s="14" t="n">
        <v>930.36</v>
      </c>
      <c r="I289" s="14">
        <f>SUM(K289:T289)</f>
        <v/>
      </c>
      <c r="J289" s="14">
        <f>F289-(G289+H289+I289)</f>
        <v/>
      </c>
      <c r="K289" s="14" t="n">
        <v>558.21</v>
      </c>
      <c r="L289" s="14" t="n">
        <v>558.21</v>
      </c>
      <c r="M289" s="14" t="n">
        <v>558.21</v>
      </c>
      <c r="N289" s="14" t="n">
        <v>558.21</v>
      </c>
      <c r="O289" s="14" t="n">
        <v>558.21</v>
      </c>
      <c r="P289" s="14" t="n">
        <v>558.21</v>
      </c>
      <c r="Q289" s="14" t="n">
        <v>558.21</v>
      </c>
      <c r="R289" s="14" t="n">
        <v>558.21</v>
      </c>
      <c r="S289" s="14" t="n">
        <v>558.21</v>
      </c>
      <c r="T289" s="14" t="n">
        <v>558.21</v>
      </c>
      <c r="U289" s="14" t="n">
        <v>350</v>
      </c>
      <c r="V289" s="14" t="n">
        <v>250</v>
      </c>
      <c r="W289" s="14">
        <f>U289+V289</f>
        <v/>
      </c>
    </row>
    <row r="290">
      <c r="A290" s="15" t="inlineStr">
        <is>
          <t>CANON-202604-005645</t>
        </is>
      </c>
      <c r="B290" s="15" t="inlineStr">
        <is>
          <t>2026-04-06</t>
        </is>
      </c>
      <c r="C290" s="15" t="inlineStr">
        <is>
          <t>Aurelio Rourke</t>
        </is>
      </c>
      <c r="D290" s="15" t="inlineStr">
        <is>
          <t>CT</t>
        </is>
      </c>
      <c r="E290" s="16" t="n">
        <v>1525000</v>
      </c>
      <c r="F290" s="16" t="n">
        <v>14720.22</v>
      </c>
      <c r="G290" s="16" t="n">
        <v>1840.03</v>
      </c>
      <c r="H290" s="16" t="n">
        <v>1840.03</v>
      </c>
      <c r="I290" s="16">
        <f>SUM(K290:T290)</f>
        <v/>
      </c>
      <c r="J290" s="16">
        <f>F290-(G290+H290+I290)</f>
        <v/>
      </c>
      <c r="K290" s="16" t="n">
        <v>1104.02</v>
      </c>
      <c r="L290" s="16" t="n">
        <v>1104.02</v>
      </c>
      <c r="M290" s="16" t="n">
        <v>1104.02</v>
      </c>
      <c r="N290" s="16" t="n">
        <v>1104.02</v>
      </c>
      <c r="O290" s="16" t="n">
        <v>1104.02</v>
      </c>
      <c r="P290" s="16" t="n">
        <v>1104.02</v>
      </c>
      <c r="Q290" s="16" t="n">
        <v>1104.02</v>
      </c>
      <c r="R290" s="16" t="n">
        <v>1104.02</v>
      </c>
      <c r="S290" s="16" t="n">
        <v>1104.02</v>
      </c>
      <c r="T290" s="16" t="n">
        <v>1104.02</v>
      </c>
      <c r="U290" s="16" t="n">
        <v>350</v>
      </c>
      <c r="V290" s="16" t="n">
        <v>250</v>
      </c>
      <c r="W290" s="16">
        <f>U290+V290</f>
        <v/>
      </c>
    </row>
    <row r="291">
      <c r="A291" s="3" t="inlineStr">
        <is>
          <t>CANON-202604-005646</t>
        </is>
      </c>
      <c r="B291" s="3" t="inlineStr">
        <is>
          <t>2026-04-09</t>
        </is>
      </c>
      <c r="C291" s="3" t="inlineStr">
        <is>
          <t>Cassius Thistlewood</t>
        </is>
      </c>
      <c r="D291" s="3" t="inlineStr">
        <is>
          <t>MA</t>
        </is>
      </c>
      <c r="E291" s="14" t="n">
        <v>805000</v>
      </c>
      <c r="F291" s="14" t="n">
        <v>10249.03</v>
      </c>
      <c r="G291" s="14" t="n">
        <v>1281.13</v>
      </c>
      <c r="H291" s="14" t="n">
        <v>1281.13</v>
      </c>
      <c r="I291" s="14">
        <f>SUM(K291:T291)</f>
        <v/>
      </c>
      <c r="J291" s="14">
        <f>F291-(G291+H291+I291)</f>
        <v/>
      </c>
      <c r="K291" s="14" t="n">
        <v>768.6799999999999</v>
      </c>
      <c r="L291" s="14" t="n">
        <v>768.6799999999999</v>
      </c>
      <c r="M291" s="14" t="n">
        <v>768.6799999999999</v>
      </c>
      <c r="N291" s="14" t="n">
        <v>768.6799999999999</v>
      </c>
      <c r="O291" s="14" t="n">
        <v>768.6799999999999</v>
      </c>
      <c r="P291" s="14" t="n">
        <v>768.6799999999999</v>
      </c>
      <c r="Q291" s="14" t="n">
        <v>768.6799999999999</v>
      </c>
      <c r="R291" s="14" t="n">
        <v>768.6799999999999</v>
      </c>
      <c r="S291" s="14" t="n">
        <v>768.6799999999999</v>
      </c>
      <c r="T291" s="14" t="n">
        <v>768.6799999999999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CANON-202604-005647</t>
        </is>
      </c>
      <c r="B292" s="15" t="inlineStr">
        <is>
          <t>2026-04-26</t>
        </is>
      </c>
      <c r="C292" s="15" t="inlineStr">
        <is>
          <t>Desmond Whitlock</t>
        </is>
      </c>
      <c r="D292" s="15" t="inlineStr">
        <is>
          <t>WY</t>
        </is>
      </c>
      <c r="E292" s="16" t="n">
        <v>720000</v>
      </c>
      <c r="F292" s="16" t="n">
        <v>7846.81</v>
      </c>
      <c r="G292" s="16" t="n">
        <v>980.85</v>
      </c>
      <c r="H292" s="16" t="n">
        <v>980.85</v>
      </c>
      <c r="I292" s="16">
        <f>SUM(K292:T292)</f>
        <v/>
      </c>
      <c r="J292" s="16">
        <f>F292-(G292+H292+I292)</f>
        <v/>
      </c>
      <c r="K292" s="16" t="n">
        <v>588.51</v>
      </c>
      <c r="L292" s="16" t="n">
        <v>588.51</v>
      </c>
      <c r="M292" s="16" t="n">
        <v>588.51</v>
      </c>
      <c r="N292" s="16" t="n">
        <v>588.51</v>
      </c>
      <c r="O292" s="16" t="n">
        <v>588.51</v>
      </c>
      <c r="P292" s="16" t="n">
        <v>588.51</v>
      </c>
      <c r="Q292" s="16" t="n">
        <v>588.51</v>
      </c>
      <c r="R292" s="16" t="n">
        <v>588.51</v>
      </c>
      <c r="S292" s="16" t="n">
        <v>588.51</v>
      </c>
      <c r="T292" s="16" t="n">
        <v>588.51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CANON-202604-005648</t>
        </is>
      </c>
      <c r="B293" s="3" t="inlineStr">
        <is>
          <t>2026-04-21</t>
        </is>
      </c>
      <c r="C293" s="3" t="inlineStr">
        <is>
          <t>Ingrid Delacroix</t>
        </is>
      </c>
      <c r="D293" s="3" t="inlineStr">
        <is>
          <t>GA</t>
        </is>
      </c>
      <c r="E293" s="14" t="n">
        <v>980000</v>
      </c>
      <c r="F293" s="14" t="n">
        <v>7395.65</v>
      </c>
      <c r="G293" s="14" t="n">
        <v>924.46</v>
      </c>
      <c r="H293" s="14" t="n">
        <v>924.46</v>
      </c>
      <c r="I293" s="14">
        <f>SUM(K293:T293)</f>
        <v/>
      </c>
      <c r="J293" s="14">
        <f>F293-(G293+H293+I293)</f>
        <v/>
      </c>
      <c r="K293" s="14" t="n">
        <v>554.67</v>
      </c>
      <c r="L293" s="14" t="n">
        <v>554.67</v>
      </c>
      <c r="M293" s="14" t="n">
        <v>554.67</v>
      </c>
      <c r="N293" s="14" t="n">
        <v>554.67</v>
      </c>
      <c r="O293" s="14" t="n">
        <v>554.67</v>
      </c>
      <c r="P293" s="14" t="n">
        <v>554.67</v>
      </c>
      <c r="Q293" s="14" t="n">
        <v>554.67</v>
      </c>
      <c r="R293" s="14" t="n">
        <v>554.67</v>
      </c>
      <c r="S293" s="14" t="n">
        <v>554.67</v>
      </c>
      <c r="T293" s="14" t="n">
        <v>554.67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CANON-202604-005649</t>
        </is>
      </c>
      <c r="B294" s="15" t="inlineStr">
        <is>
          <t>2026-04-21</t>
        </is>
      </c>
      <c r="C294" s="15" t="inlineStr">
        <is>
          <t>Noor Farkas</t>
        </is>
      </c>
      <c r="D294" s="15" t="inlineStr">
        <is>
          <t>OK</t>
        </is>
      </c>
      <c r="E294" s="16" t="n">
        <v>935000</v>
      </c>
      <c r="F294" s="16" t="n">
        <v>17537.58</v>
      </c>
      <c r="G294" s="16" t="n">
        <v>2192.2</v>
      </c>
      <c r="H294" s="16" t="n">
        <v>2192.2</v>
      </c>
      <c r="I294" s="16">
        <f>SUM(K294:T294)</f>
        <v/>
      </c>
      <c r="J294" s="16">
        <f>F294-(G294+H294+I294)</f>
        <v/>
      </c>
      <c r="K294" s="16" t="n">
        <v>1315.32</v>
      </c>
      <c r="L294" s="16" t="n">
        <v>1315.32</v>
      </c>
      <c r="M294" s="16" t="n">
        <v>1315.32</v>
      </c>
      <c r="N294" s="16" t="n">
        <v>1315.32</v>
      </c>
      <c r="O294" s="16" t="n">
        <v>1315.32</v>
      </c>
      <c r="P294" s="16" t="n">
        <v>1315.32</v>
      </c>
      <c r="Q294" s="16" t="n">
        <v>1315.32</v>
      </c>
      <c r="R294" s="16" t="n">
        <v>1315.32</v>
      </c>
      <c r="S294" s="16" t="n">
        <v>1315.32</v>
      </c>
      <c r="T294" s="16" t="n">
        <v>1315.32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CANON-202604-005650</t>
        </is>
      </c>
      <c r="B295" s="3" t="inlineStr">
        <is>
          <t>2026-04-16</t>
        </is>
      </c>
      <c r="C295" s="3" t="inlineStr">
        <is>
          <t>Noor Castellanos</t>
        </is>
      </c>
      <c r="D295" s="3" t="inlineStr">
        <is>
          <t>MT</t>
        </is>
      </c>
      <c r="E295" s="14" t="n">
        <v>530000</v>
      </c>
      <c r="F295" s="14" t="n">
        <v>5020.37</v>
      </c>
      <c r="G295" s="14" t="n">
        <v>627.55</v>
      </c>
      <c r="H295" s="14" t="n">
        <v>627.55</v>
      </c>
      <c r="I295" s="14">
        <f>SUM(K295:T295)</f>
        <v/>
      </c>
      <c r="J295" s="14">
        <f>F295-(G295+H295+I295)</f>
        <v/>
      </c>
      <c r="K295" s="14" t="n">
        <v>376.53</v>
      </c>
      <c r="L295" s="14" t="n">
        <v>376.53</v>
      </c>
      <c r="M295" s="14" t="n">
        <v>376.53</v>
      </c>
      <c r="N295" s="14" t="n">
        <v>376.53</v>
      </c>
      <c r="O295" s="14" t="n">
        <v>376.53</v>
      </c>
      <c r="P295" s="14" t="n">
        <v>376.53</v>
      </c>
      <c r="Q295" s="14" t="n">
        <v>376.53</v>
      </c>
      <c r="R295" s="14" t="n">
        <v>376.53</v>
      </c>
      <c r="S295" s="14" t="n">
        <v>376.53</v>
      </c>
      <c r="T295" s="14" t="n">
        <v>376.53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CANON-202604-005651</t>
        </is>
      </c>
      <c r="B296" s="15" t="inlineStr">
        <is>
          <t>2026-04-03</t>
        </is>
      </c>
      <c r="C296" s="15" t="inlineStr">
        <is>
          <t>Ottilie Larsson</t>
        </is>
      </c>
      <c r="D296" s="15" t="inlineStr">
        <is>
          <t>HI</t>
        </is>
      </c>
      <c r="E296" s="16" t="n">
        <v>620000</v>
      </c>
      <c r="F296" s="16" t="n">
        <v>8209.42</v>
      </c>
      <c r="G296" s="16" t="n">
        <v>1026.18</v>
      </c>
      <c r="H296" s="16" t="n">
        <v>1026.18</v>
      </c>
      <c r="I296" s="16">
        <f>SUM(K296:T296)</f>
        <v/>
      </c>
      <c r="J296" s="16">
        <f>F296-(G296+H296+I296)</f>
        <v/>
      </c>
      <c r="K296" s="16" t="n">
        <v>615.71</v>
      </c>
      <c r="L296" s="16" t="n">
        <v>615.71</v>
      </c>
      <c r="M296" s="16" t="n">
        <v>615.71</v>
      </c>
      <c r="N296" s="16" t="n">
        <v>615.71</v>
      </c>
      <c r="O296" s="16" t="n">
        <v>615.71</v>
      </c>
      <c r="P296" s="16" t="n">
        <v>615.71</v>
      </c>
      <c r="Q296" s="16" t="n">
        <v>615.71</v>
      </c>
      <c r="R296" s="16" t="n">
        <v>615.71</v>
      </c>
      <c r="S296" s="16" t="n">
        <v>615.71</v>
      </c>
      <c r="T296" s="16" t="n">
        <v>615.71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CANON-202604-005653</t>
        </is>
      </c>
      <c r="B297" s="3" t="inlineStr">
        <is>
          <t>2026-04-15</t>
        </is>
      </c>
      <c r="C297" s="3" t="inlineStr">
        <is>
          <t>Leopold Nakashima</t>
        </is>
      </c>
      <c r="D297" s="3" t="inlineStr">
        <is>
          <t>NJ</t>
        </is>
      </c>
      <c r="E297" s="14" t="n">
        <v>1040000</v>
      </c>
      <c r="F297" s="14" t="n">
        <v>10084.34</v>
      </c>
      <c r="G297" s="14" t="n">
        <v>1260.54</v>
      </c>
      <c r="H297" s="14" t="n">
        <v>1260.54</v>
      </c>
      <c r="I297" s="14">
        <f>SUM(K297:T297)</f>
        <v/>
      </c>
      <c r="J297" s="14">
        <f>F297-(G297+H297+I297)</f>
        <v/>
      </c>
      <c r="K297" s="14" t="n">
        <v>756.33</v>
      </c>
      <c r="L297" s="14" t="n">
        <v>756.33</v>
      </c>
      <c r="M297" s="14" t="n">
        <v>756.33</v>
      </c>
      <c r="N297" s="14" t="n">
        <v>756.33</v>
      </c>
      <c r="O297" s="14" t="n">
        <v>756.33</v>
      </c>
      <c r="P297" s="14" t="n">
        <v>756.33</v>
      </c>
      <c r="Q297" s="14" t="n">
        <v>756.33</v>
      </c>
      <c r="R297" s="14" t="n">
        <v>756.33</v>
      </c>
      <c r="S297" s="14" t="n">
        <v>756.33</v>
      </c>
      <c r="T297" s="14" t="n">
        <v>756.33</v>
      </c>
      <c r="U297" s="14" t="n">
        <v>350</v>
      </c>
      <c r="V297" s="14" t="n">
        <v>250</v>
      </c>
      <c r="W297" s="14">
        <f>U297+V297</f>
        <v/>
      </c>
    </row>
    <row r="298">
      <c r="A298" s="15" t="inlineStr">
        <is>
          <t>CANON-202604-005654</t>
        </is>
      </c>
      <c r="B298" s="15" t="inlineStr">
        <is>
          <t>2026-04-08</t>
        </is>
      </c>
      <c r="C298" s="15" t="inlineStr">
        <is>
          <t>Aurelio Ashcombe</t>
        </is>
      </c>
      <c r="D298" s="15" t="inlineStr">
        <is>
          <t>WA</t>
        </is>
      </c>
      <c r="E298" s="16" t="n">
        <v>475000</v>
      </c>
      <c r="F298" s="16" t="n">
        <v>8217.25</v>
      </c>
      <c r="G298" s="16" t="n">
        <v>1027.16</v>
      </c>
      <c r="H298" s="16" t="n">
        <v>1027.16</v>
      </c>
      <c r="I298" s="16">
        <f>SUM(K298:T298)</f>
        <v/>
      </c>
      <c r="J298" s="16">
        <f>F298-(G298+H298+I298)</f>
        <v/>
      </c>
      <c r="K298" s="16" t="n">
        <v>616.29</v>
      </c>
      <c r="L298" s="16" t="n">
        <v>616.29</v>
      </c>
      <c r="M298" s="16" t="n">
        <v>616.29</v>
      </c>
      <c r="N298" s="16" t="n">
        <v>616.29</v>
      </c>
      <c r="O298" s="16" t="n">
        <v>616.29</v>
      </c>
      <c r="P298" s="16" t="n">
        <v>616.29</v>
      </c>
      <c r="Q298" s="16" t="n">
        <v>616.29</v>
      </c>
      <c r="R298" s="16" t="n">
        <v>616.29</v>
      </c>
      <c r="S298" s="16" t="n">
        <v>616.29</v>
      </c>
      <c r="T298" s="16" t="n">
        <v>616.29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CANON-202604-005655</t>
        </is>
      </c>
      <c r="B299" s="3" t="inlineStr">
        <is>
          <t>2026-04-17</t>
        </is>
      </c>
      <c r="C299" s="3" t="inlineStr">
        <is>
          <t>Ramona Pennington</t>
        </is>
      </c>
      <c r="D299" s="3" t="inlineStr">
        <is>
          <t>IL</t>
        </is>
      </c>
      <c r="E299" s="14" t="n">
        <v>605000</v>
      </c>
      <c r="F299" s="14" t="n">
        <v>12248.46</v>
      </c>
      <c r="G299" s="14" t="n">
        <v>1531.06</v>
      </c>
      <c r="H299" s="14" t="n">
        <v>1531.06</v>
      </c>
      <c r="I299" s="14">
        <f>SUM(K299:T299)</f>
        <v/>
      </c>
      <c r="J299" s="14">
        <f>F299-(G299+H299+I299)</f>
        <v/>
      </c>
      <c r="K299" s="14" t="n">
        <v>918.63</v>
      </c>
      <c r="L299" s="14" t="n">
        <v>918.63</v>
      </c>
      <c r="M299" s="14" t="n">
        <v>918.63</v>
      </c>
      <c r="N299" s="14" t="n">
        <v>918.63</v>
      </c>
      <c r="O299" s="14" t="n">
        <v>918.63</v>
      </c>
      <c r="P299" s="14" t="n">
        <v>918.63</v>
      </c>
      <c r="Q299" s="14" t="n">
        <v>918.63</v>
      </c>
      <c r="R299" s="14" t="n">
        <v>918.63</v>
      </c>
      <c r="S299" s="14" t="n">
        <v>918.63</v>
      </c>
      <c r="T299" s="14" t="n">
        <v>918.63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CANON-202604-005656</t>
        </is>
      </c>
      <c r="B300" s="15" t="inlineStr">
        <is>
          <t>2026-04-20</t>
        </is>
      </c>
      <c r="C300" s="15" t="inlineStr">
        <is>
          <t>Ramona Farkas</t>
        </is>
      </c>
      <c r="D300" s="15" t="inlineStr">
        <is>
          <t>NJ</t>
        </is>
      </c>
      <c r="E300" s="16" t="n">
        <v>605000</v>
      </c>
      <c r="F300" s="16" t="n">
        <v>5607.56</v>
      </c>
      <c r="G300" s="16" t="n">
        <v>700.95</v>
      </c>
      <c r="H300" s="16" t="n">
        <v>700.95</v>
      </c>
      <c r="I300" s="16">
        <f>SUM(K300:T300)</f>
        <v/>
      </c>
      <c r="J300" s="16">
        <f>F300-(G300+H300+I300)</f>
        <v/>
      </c>
      <c r="K300" s="16" t="n">
        <v>420.57</v>
      </c>
      <c r="L300" s="16" t="n">
        <v>420.57</v>
      </c>
      <c r="M300" s="16" t="n">
        <v>420.57</v>
      </c>
      <c r="N300" s="16" t="n">
        <v>420.57</v>
      </c>
      <c r="O300" s="16" t="n">
        <v>420.57</v>
      </c>
      <c r="P300" s="16" t="n">
        <v>420.57</v>
      </c>
      <c r="Q300" s="16" t="n">
        <v>420.57</v>
      </c>
      <c r="R300" s="16" t="n">
        <v>420.57</v>
      </c>
      <c r="S300" s="16" t="n">
        <v>420.57</v>
      </c>
      <c r="T300" s="16" t="n">
        <v>420.57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CANON-202604-005657</t>
        </is>
      </c>
      <c r="B301" s="3" t="inlineStr">
        <is>
          <t>2026-04-05</t>
        </is>
      </c>
      <c r="C301" s="3" t="inlineStr">
        <is>
          <t>Priya Castellanos</t>
        </is>
      </c>
      <c r="D301" s="3" t="inlineStr">
        <is>
          <t>AK</t>
        </is>
      </c>
      <c r="E301" s="14" t="n">
        <v>640000</v>
      </c>
      <c r="F301" s="14" t="n">
        <v>7431.25</v>
      </c>
      <c r="G301" s="14" t="n">
        <v>928.91</v>
      </c>
      <c r="H301" s="14" t="n">
        <v>928.91</v>
      </c>
      <c r="I301" s="14">
        <f>SUM(K301:T301)</f>
        <v/>
      </c>
      <c r="J301" s="14">
        <f>F301-(G301+H301+I301)</f>
        <v/>
      </c>
      <c r="K301" s="14" t="n">
        <v>557.34</v>
      </c>
      <c r="L301" s="14" t="n">
        <v>557.34</v>
      </c>
      <c r="M301" s="14" t="n">
        <v>557.34</v>
      </c>
      <c r="N301" s="14" t="n">
        <v>557.34</v>
      </c>
      <c r="O301" s="14" t="n">
        <v>557.34</v>
      </c>
      <c r="P301" s="14" t="n">
        <v>557.34</v>
      </c>
      <c r="Q301" s="14" t="n">
        <v>557.34</v>
      </c>
      <c r="R301" s="14" t="n">
        <v>557.34</v>
      </c>
      <c r="S301" s="14" t="n">
        <v>557.34</v>
      </c>
      <c r="T301" s="14" t="n">
        <v>557.34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CANON-202604-005658</t>
        </is>
      </c>
      <c r="B302" s="15" t="inlineStr">
        <is>
          <t>2026-04-19</t>
        </is>
      </c>
      <c r="C302" s="15" t="inlineStr">
        <is>
          <t>Ottilie Bellandi</t>
        </is>
      </c>
      <c r="D302" s="15" t="inlineStr">
        <is>
          <t>WA</t>
        </is>
      </c>
      <c r="E302" s="16" t="n">
        <v>820000</v>
      </c>
      <c r="F302" s="16" t="n">
        <v>5304.17</v>
      </c>
      <c r="G302" s="16" t="n">
        <v>663.02</v>
      </c>
      <c r="H302" s="16" t="n">
        <v>663.02</v>
      </c>
      <c r="I302" s="16">
        <f>SUM(K302:T302)</f>
        <v/>
      </c>
      <c r="J302" s="16">
        <f>F302-(G302+H302+I302)</f>
        <v/>
      </c>
      <c r="K302" s="16" t="n">
        <v>397.81</v>
      </c>
      <c r="L302" s="16" t="n">
        <v>397.81</v>
      </c>
      <c r="M302" s="16" t="n">
        <v>397.81</v>
      </c>
      <c r="N302" s="16" t="n">
        <v>397.81</v>
      </c>
      <c r="O302" s="16" t="n">
        <v>397.81</v>
      </c>
      <c r="P302" s="16" t="n">
        <v>397.81</v>
      </c>
      <c r="Q302" s="16" t="n">
        <v>397.81</v>
      </c>
      <c r="R302" s="16" t="n">
        <v>397.81</v>
      </c>
      <c r="S302" s="16" t="n">
        <v>397.81</v>
      </c>
      <c r="T302" s="16" t="n">
        <v>397.81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CANON-202604-005659</t>
        </is>
      </c>
      <c r="B303" s="3" t="inlineStr">
        <is>
          <t>2026-04-19</t>
        </is>
      </c>
      <c r="C303" s="3" t="inlineStr">
        <is>
          <t>Everett Thistlewood</t>
        </is>
      </c>
      <c r="D303" s="3" t="inlineStr">
        <is>
          <t>AK</t>
        </is>
      </c>
      <c r="E303" s="14" t="n">
        <v>555000</v>
      </c>
      <c r="F303" s="14" t="n">
        <v>9418.58</v>
      </c>
      <c r="G303" s="14" t="n">
        <v>1177.32</v>
      </c>
      <c r="H303" s="14" t="n">
        <v>1177.32</v>
      </c>
      <c r="I303" s="14">
        <f>SUM(K303:T303)</f>
        <v/>
      </c>
      <c r="J303" s="14">
        <f>F303-(G303+H303+I303)</f>
        <v/>
      </c>
      <c r="K303" s="14" t="n">
        <v>706.39</v>
      </c>
      <c r="L303" s="14" t="n">
        <v>706.39</v>
      </c>
      <c r="M303" s="14" t="n">
        <v>706.39</v>
      </c>
      <c r="N303" s="14" t="n">
        <v>706.39</v>
      </c>
      <c r="O303" s="14" t="n">
        <v>706.39</v>
      </c>
      <c r="P303" s="14" t="n">
        <v>706.39</v>
      </c>
      <c r="Q303" s="14" t="n">
        <v>706.39</v>
      </c>
      <c r="R303" s="14" t="n">
        <v>706.39</v>
      </c>
      <c r="S303" s="14" t="n">
        <v>706.39</v>
      </c>
      <c r="T303" s="14" t="n">
        <v>706.39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CANON-202604-005660</t>
        </is>
      </c>
      <c r="B304" s="15" t="inlineStr">
        <is>
          <t>2026-04-13</t>
        </is>
      </c>
      <c r="C304" s="15" t="inlineStr">
        <is>
          <t>Priya Ashcombe</t>
        </is>
      </c>
      <c r="D304" s="15" t="inlineStr">
        <is>
          <t>CA</t>
        </is>
      </c>
      <c r="E304" s="16" t="n">
        <v>550000</v>
      </c>
      <c r="F304" s="16" t="n">
        <v>7562.64</v>
      </c>
      <c r="G304" s="16" t="n">
        <v>945.33</v>
      </c>
      <c r="H304" s="16" t="n">
        <v>945.33</v>
      </c>
      <c r="I304" s="16">
        <f>SUM(K304:T304)</f>
        <v/>
      </c>
      <c r="J304" s="16">
        <f>F304-(G304+H304+I304)</f>
        <v/>
      </c>
      <c r="K304" s="16" t="n">
        <v>567.2</v>
      </c>
      <c r="L304" s="16" t="n">
        <v>567.2</v>
      </c>
      <c r="M304" s="16" t="n">
        <v>567.2</v>
      </c>
      <c r="N304" s="16" t="n">
        <v>567.2</v>
      </c>
      <c r="O304" s="16" t="n">
        <v>567.2</v>
      </c>
      <c r="P304" s="16" t="n">
        <v>567.2</v>
      </c>
      <c r="Q304" s="16" t="n">
        <v>567.2</v>
      </c>
      <c r="R304" s="16" t="n">
        <v>567.2</v>
      </c>
      <c r="S304" s="16" t="n">
        <v>567.2</v>
      </c>
      <c r="T304" s="16" t="n">
        <v>567.2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CANON-202604-005661</t>
        </is>
      </c>
      <c r="B305" s="3" t="inlineStr">
        <is>
          <t>2026-04-11</t>
        </is>
      </c>
      <c r="C305" s="3" t="inlineStr">
        <is>
          <t>Noor Thistlewood</t>
        </is>
      </c>
      <c r="D305" s="3" t="inlineStr">
        <is>
          <t>WA</t>
        </is>
      </c>
      <c r="E305" s="14" t="n">
        <v>370000</v>
      </c>
      <c r="F305" s="14" t="n">
        <v>4174.44</v>
      </c>
      <c r="G305" s="14" t="n">
        <v>521.8</v>
      </c>
      <c r="H305" s="14" t="n">
        <v>521.8</v>
      </c>
      <c r="I305" s="14">
        <f>SUM(K305:T305)</f>
        <v/>
      </c>
      <c r="J305" s="14">
        <f>F305-(G305+H305+I305)</f>
        <v/>
      </c>
      <c r="K305" s="14" t="n">
        <v>313.08</v>
      </c>
      <c r="L305" s="14" t="n">
        <v>313.08</v>
      </c>
      <c r="M305" s="14" t="n">
        <v>313.08</v>
      </c>
      <c r="N305" s="14" t="n">
        <v>313.08</v>
      </c>
      <c r="O305" s="14" t="n">
        <v>313.08</v>
      </c>
      <c r="P305" s="14" t="n">
        <v>313.08</v>
      </c>
      <c r="Q305" s="14" t="n">
        <v>313.08</v>
      </c>
      <c r="R305" s="14" t="n">
        <v>313.08</v>
      </c>
      <c r="S305" s="14" t="n">
        <v>313.08</v>
      </c>
      <c r="T305" s="14" t="n">
        <v>313.08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CANON-202604-005662</t>
        </is>
      </c>
      <c r="B306" s="15" t="inlineStr">
        <is>
          <t>2026-04-15</t>
        </is>
      </c>
      <c r="C306" s="15" t="inlineStr">
        <is>
          <t>Desmond Ashcombe</t>
        </is>
      </c>
      <c r="D306" s="15" t="inlineStr">
        <is>
          <t>CT</t>
        </is>
      </c>
      <c r="E306" s="16" t="n">
        <v>480000</v>
      </c>
      <c r="F306" s="16" t="n">
        <v>6318.07</v>
      </c>
      <c r="G306" s="16" t="n">
        <v>789.76</v>
      </c>
      <c r="H306" s="16" t="n">
        <v>789.76</v>
      </c>
      <c r="I306" s="16">
        <f>SUM(K306:T306)</f>
        <v/>
      </c>
      <c r="J306" s="16">
        <f>F306-(G306+H306+I306)</f>
        <v/>
      </c>
      <c r="K306" s="16" t="n">
        <v>473.86</v>
      </c>
      <c r="L306" s="16" t="n">
        <v>473.86</v>
      </c>
      <c r="M306" s="16" t="n">
        <v>473.86</v>
      </c>
      <c r="N306" s="16" t="n">
        <v>473.86</v>
      </c>
      <c r="O306" s="16" t="n">
        <v>473.86</v>
      </c>
      <c r="P306" s="16" t="n">
        <v>473.86</v>
      </c>
      <c r="Q306" s="16" t="n">
        <v>473.86</v>
      </c>
      <c r="R306" s="16" t="n">
        <v>473.86</v>
      </c>
      <c r="S306" s="16" t="n">
        <v>473.86</v>
      </c>
      <c r="T306" s="16" t="n">
        <v>473.86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CANON-202604-005663</t>
        </is>
      </c>
      <c r="B307" s="3" t="inlineStr">
        <is>
          <t>2026-04-28</t>
        </is>
      </c>
      <c r="C307" s="3" t="inlineStr">
        <is>
          <t>Ramona Chattopadhyay</t>
        </is>
      </c>
      <c r="D307" s="3" t="inlineStr">
        <is>
          <t>NJ</t>
        </is>
      </c>
      <c r="E307" s="14" t="n">
        <v>545000</v>
      </c>
      <c r="F307" s="14" t="n">
        <v>7382.87</v>
      </c>
      <c r="G307" s="14" t="n">
        <v>922.86</v>
      </c>
      <c r="H307" s="14" t="n">
        <v>922.86</v>
      </c>
      <c r="I307" s="14">
        <f>SUM(K307:T307)</f>
        <v/>
      </c>
      <c r="J307" s="14">
        <f>F307-(G307+H307+I307)</f>
        <v/>
      </c>
      <c r="K307" s="14" t="n">
        <v>553.72</v>
      </c>
      <c r="L307" s="14" t="n">
        <v>553.72</v>
      </c>
      <c r="M307" s="14" t="n">
        <v>553.72</v>
      </c>
      <c r="N307" s="14" t="n">
        <v>553.72</v>
      </c>
      <c r="O307" s="14" t="n">
        <v>553.72</v>
      </c>
      <c r="P307" s="14" t="n">
        <v>553.72</v>
      </c>
      <c r="Q307" s="14" t="n">
        <v>553.72</v>
      </c>
      <c r="R307" s="14" t="n">
        <v>553.72</v>
      </c>
      <c r="S307" s="14" t="n">
        <v>553.72</v>
      </c>
      <c r="T307" s="14" t="n">
        <v>553.72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CANON-202604-005664</t>
        </is>
      </c>
      <c r="B308" s="15" t="inlineStr">
        <is>
          <t>2026-04-10</t>
        </is>
      </c>
      <c r="C308" s="15" t="inlineStr">
        <is>
          <t>Fitzgerald Whitlock</t>
        </is>
      </c>
      <c r="D308" s="15" t="inlineStr">
        <is>
          <t>NY</t>
        </is>
      </c>
      <c r="E308" s="16" t="n">
        <v>1550000</v>
      </c>
      <c r="F308" s="16" t="n">
        <v>24871.12</v>
      </c>
      <c r="G308" s="16" t="n">
        <v>3108.89</v>
      </c>
      <c r="H308" s="16" t="n">
        <v>3108.89</v>
      </c>
      <c r="I308" s="16">
        <f>SUM(K308:T308)</f>
        <v/>
      </c>
      <c r="J308" s="16">
        <f>F308-(G308+H308+I308)</f>
        <v/>
      </c>
      <c r="K308" s="16" t="n">
        <v>1865.33</v>
      </c>
      <c r="L308" s="16" t="n">
        <v>1865.33</v>
      </c>
      <c r="M308" s="16" t="n">
        <v>1865.33</v>
      </c>
      <c r="N308" s="16" t="n">
        <v>1865.33</v>
      </c>
      <c r="O308" s="16" t="n">
        <v>1865.33</v>
      </c>
      <c r="P308" s="16" t="n">
        <v>1865.33</v>
      </c>
      <c r="Q308" s="16" t="n">
        <v>1865.33</v>
      </c>
      <c r="R308" s="16" t="n">
        <v>1865.33</v>
      </c>
      <c r="S308" s="16" t="n">
        <v>1865.33</v>
      </c>
      <c r="T308" s="16" t="n">
        <v>1865.33</v>
      </c>
      <c r="U308" s="16" t="n">
        <v>350</v>
      </c>
      <c r="V308" s="16" t="n">
        <v>250</v>
      </c>
      <c r="W308" s="16">
        <f>U308+V308</f>
        <v/>
      </c>
    </row>
    <row r="309">
      <c r="A309" s="3" t="inlineStr">
        <is>
          <t>CANON-202604-005665</t>
        </is>
      </c>
      <c r="B309" s="3" t="inlineStr">
        <is>
          <t>2026-04-08</t>
        </is>
      </c>
      <c r="C309" s="3" t="inlineStr">
        <is>
          <t>Aurelio Farkas</t>
        </is>
      </c>
      <c r="D309" s="3" t="inlineStr">
        <is>
          <t>TN</t>
        </is>
      </c>
      <c r="E309" s="14" t="n">
        <v>435000</v>
      </c>
      <c r="F309" s="14" t="n">
        <v>5010.03</v>
      </c>
      <c r="G309" s="14" t="n">
        <v>626.25</v>
      </c>
      <c r="H309" s="14" t="n">
        <v>626.25</v>
      </c>
      <c r="I309" s="14">
        <f>SUM(K309:T309)</f>
        <v/>
      </c>
      <c r="J309" s="14">
        <f>F309-(G309+H309+I309)</f>
        <v/>
      </c>
      <c r="K309" s="14" t="n">
        <v>375.75</v>
      </c>
      <c r="L309" s="14" t="n">
        <v>375.75</v>
      </c>
      <c r="M309" s="14" t="n">
        <v>375.75</v>
      </c>
      <c r="N309" s="14" t="n">
        <v>375.75</v>
      </c>
      <c r="O309" s="14" t="n">
        <v>375.75</v>
      </c>
      <c r="P309" s="14" t="n">
        <v>375.75</v>
      </c>
      <c r="Q309" s="14" t="n">
        <v>375.75</v>
      </c>
      <c r="R309" s="14" t="n">
        <v>375.75</v>
      </c>
      <c r="S309" s="14" t="n">
        <v>375.75</v>
      </c>
      <c r="T309" s="14" t="n">
        <v>375.75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CANON-202604-005666</t>
        </is>
      </c>
      <c r="B310" s="15" t="inlineStr">
        <is>
          <t>2026-04-26</t>
        </is>
      </c>
      <c r="C310" s="15" t="inlineStr">
        <is>
          <t>Wilhelmina Delacroix</t>
        </is>
      </c>
      <c r="D310" s="15" t="inlineStr">
        <is>
          <t>OK</t>
        </is>
      </c>
      <c r="E310" s="16" t="n">
        <v>460000</v>
      </c>
      <c r="F310" s="16" t="n">
        <v>4359.47</v>
      </c>
      <c r="G310" s="16" t="n">
        <v>544.9299999999999</v>
      </c>
      <c r="H310" s="16" t="n">
        <v>544.9299999999999</v>
      </c>
      <c r="I310" s="16">
        <f>SUM(K310:T310)</f>
        <v/>
      </c>
      <c r="J310" s="16">
        <f>F310-(G310+H310+I310)</f>
        <v/>
      </c>
      <c r="K310" s="16" t="n">
        <v>326.96</v>
      </c>
      <c r="L310" s="16" t="n">
        <v>326.96</v>
      </c>
      <c r="M310" s="16" t="n">
        <v>326.96</v>
      </c>
      <c r="N310" s="16" t="n">
        <v>326.96</v>
      </c>
      <c r="O310" s="16" t="n">
        <v>326.96</v>
      </c>
      <c r="P310" s="16" t="n">
        <v>326.96</v>
      </c>
      <c r="Q310" s="16" t="n">
        <v>326.96</v>
      </c>
      <c r="R310" s="16" t="n">
        <v>326.96</v>
      </c>
      <c r="S310" s="16" t="n">
        <v>326.96</v>
      </c>
      <c r="T310" s="16" t="n">
        <v>326.96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CANON-202604-005667</t>
        </is>
      </c>
      <c r="B311" s="3" t="inlineStr">
        <is>
          <t>2026-04-29</t>
        </is>
      </c>
      <c r="C311" s="3" t="inlineStr">
        <is>
          <t>Everett Harrington</t>
        </is>
      </c>
      <c r="D311" s="3" t="inlineStr">
        <is>
          <t>TX</t>
        </is>
      </c>
      <c r="E311" s="14" t="n">
        <v>885000</v>
      </c>
      <c r="F311" s="14" t="n">
        <v>6857.62</v>
      </c>
      <c r="G311" s="14" t="n">
        <v>857.2</v>
      </c>
      <c r="H311" s="14" t="n">
        <v>857.2</v>
      </c>
      <c r="I311" s="14">
        <f>SUM(K311:T311)</f>
        <v/>
      </c>
      <c r="J311" s="14">
        <f>F311-(G311+H311+I311)</f>
        <v/>
      </c>
      <c r="K311" s="14" t="n">
        <v>514.3200000000001</v>
      </c>
      <c r="L311" s="14" t="n">
        <v>514.3200000000001</v>
      </c>
      <c r="M311" s="14" t="n">
        <v>514.3200000000001</v>
      </c>
      <c r="N311" s="14" t="n">
        <v>514.3200000000001</v>
      </c>
      <c r="O311" s="14" t="n">
        <v>514.3200000000001</v>
      </c>
      <c r="P311" s="14" t="n">
        <v>514.3200000000001</v>
      </c>
      <c r="Q311" s="14" t="n">
        <v>514.3200000000001</v>
      </c>
      <c r="R311" s="14" t="n">
        <v>514.3200000000001</v>
      </c>
      <c r="S311" s="14" t="n">
        <v>514.3200000000001</v>
      </c>
      <c r="T311" s="14" t="n">
        <v>514.3200000000001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CANON-202604-005668</t>
        </is>
      </c>
      <c r="B312" s="15" t="inlineStr">
        <is>
          <t>2026-04-24</t>
        </is>
      </c>
      <c r="C312" s="15" t="inlineStr">
        <is>
          <t>Callum Ashcombe</t>
        </is>
      </c>
      <c r="D312" s="15" t="inlineStr">
        <is>
          <t>CA</t>
        </is>
      </c>
      <c r="E312" s="16" t="n">
        <v>1185000</v>
      </c>
      <c r="F312" s="16" t="n">
        <v>9525.76</v>
      </c>
      <c r="G312" s="16" t="n">
        <v>1190.72</v>
      </c>
      <c r="H312" s="16" t="n">
        <v>1190.72</v>
      </c>
      <c r="I312" s="16">
        <f>SUM(K312:T312)</f>
        <v/>
      </c>
      <c r="J312" s="16">
        <f>F312-(G312+H312+I312)</f>
        <v/>
      </c>
      <c r="K312" s="16" t="n">
        <v>714.4299999999999</v>
      </c>
      <c r="L312" s="16" t="n">
        <v>714.4299999999999</v>
      </c>
      <c r="M312" s="16" t="n">
        <v>714.4299999999999</v>
      </c>
      <c r="N312" s="16" t="n">
        <v>714.4299999999999</v>
      </c>
      <c r="O312" s="16" t="n">
        <v>714.4299999999999</v>
      </c>
      <c r="P312" s="16" t="n">
        <v>714.4299999999999</v>
      </c>
      <c r="Q312" s="16" t="n">
        <v>714.4299999999999</v>
      </c>
      <c r="R312" s="16" t="n">
        <v>714.4299999999999</v>
      </c>
      <c r="S312" s="16" t="n">
        <v>714.4299999999999</v>
      </c>
      <c r="T312" s="16" t="n">
        <v>714.4299999999999</v>
      </c>
      <c r="U312" s="16" t="n">
        <v>350</v>
      </c>
      <c r="V312" s="16" t="n">
        <v>250</v>
      </c>
      <c r="W312" s="16">
        <f>U312+V312</f>
        <v/>
      </c>
    </row>
    <row r="313">
      <c r="A313" s="3" t="inlineStr">
        <is>
          <t>CANON-202604-005670</t>
        </is>
      </c>
      <c r="B313" s="3" t="inlineStr">
        <is>
          <t>2026-04-08</t>
        </is>
      </c>
      <c r="C313" s="3" t="inlineStr">
        <is>
          <t>Ramona Rourke</t>
        </is>
      </c>
      <c r="D313" s="3" t="inlineStr">
        <is>
          <t>LA</t>
        </is>
      </c>
      <c r="E313" s="14" t="n">
        <v>1085000</v>
      </c>
      <c r="F313" s="14" t="n">
        <v>16457.69</v>
      </c>
      <c r="G313" s="14" t="n">
        <v>2057.21</v>
      </c>
      <c r="H313" s="14" t="n">
        <v>2057.21</v>
      </c>
      <c r="I313" s="14">
        <f>SUM(K313:T313)</f>
        <v/>
      </c>
      <c r="J313" s="14">
        <f>F313-(G313+H313+I313)</f>
        <v/>
      </c>
      <c r="K313" s="14" t="n">
        <v>1234.33</v>
      </c>
      <c r="L313" s="14" t="n">
        <v>1234.33</v>
      </c>
      <c r="M313" s="14" t="n">
        <v>1234.33</v>
      </c>
      <c r="N313" s="14" t="n">
        <v>1234.33</v>
      </c>
      <c r="O313" s="14" t="n">
        <v>1234.33</v>
      </c>
      <c r="P313" s="14" t="n">
        <v>1234.33</v>
      </c>
      <c r="Q313" s="14" t="n">
        <v>1234.33</v>
      </c>
      <c r="R313" s="14" t="n">
        <v>1234.33</v>
      </c>
      <c r="S313" s="14" t="n">
        <v>1234.33</v>
      </c>
      <c r="T313" s="14" t="n">
        <v>1234.33</v>
      </c>
      <c r="U313" s="14" t="n">
        <v>350</v>
      </c>
      <c r="V313" s="14" t="n">
        <v>250</v>
      </c>
      <c r="W313" s="14">
        <f>U313+V313</f>
        <v/>
      </c>
    </row>
    <row r="314">
      <c r="A314" s="15" t="inlineStr">
        <is>
          <t>CANON-202604-005671</t>
        </is>
      </c>
      <c r="B314" s="15" t="inlineStr">
        <is>
          <t>2026-04-08</t>
        </is>
      </c>
      <c r="C314" s="15" t="inlineStr">
        <is>
          <t>Beatrix Bellandi</t>
        </is>
      </c>
      <c r="D314" s="15" t="inlineStr">
        <is>
          <t>GA</t>
        </is>
      </c>
      <c r="E314" s="16" t="n">
        <v>530000</v>
      </c>
      <c r="F314" s="16" t="n">
        <v>6046.04</v>
      </c>
      <c r="G314" s="16" t="n">
        <v>755.75</v>
      </c>
      <c r="H314" s="16" t="n">
        <v>755.75</v>
      </c>
      <c r="I314" s="16">
        <f>SUM(K314:T314)</f>
        <v/>
      </c>
      <c r="J314" s="16">
        <f>F314-(G314+H314+I314)</f>
        <v/>
      </c>
      <c r="K314" s="16" t="n">
        <v>453.45</v>
      </c>
      <c r="L314" s="16" t="n">
        <v>453.45</v>
      </c>
      <c r="M314" s="16" t="n">
        <v>453.45</v>
      </c>
      <c r="N314" s="16" t="n">
        <v>453.45</v>
      </c>
      <c r="O314" s="16" t="n">
        <v>453.45</v>
      </c>
      <c r="P314" s="16" t="n">
        <v>453.45</v>
      </c>
      <c r="Q314" s="16" t="n">
        <v>453.45</v>
      </c>
      <c r="R314" s="16" t="n">
        <v>453.45</v>
      </c>
      <c r="S314" s="16" t="n">
        <v>453.45</v>
      </c>
      <c r="T314" s="16" t="n">
        <v>453.45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CANON-202604-005672</t>
        </is>
      </c>
      <c r="B315" s="3" t="inlineStr">
        <is>
          <t>2026-04-10</t>
        </is>
      </c>
      <c r="C315" s="3" t="inlineStr">
        <is>
          <t>Ingrid Vasquez</t>
        </is>
      </c>
      <c r="D315" s="3" t="inlineStr">
        <is>
          <t>IL</t>
        </is>
      </c>
      <c r="E315" s="14" t="n">
        <v>515000</v>
      </c>
      <c r="F315" s="14" t="n">
        <v>4719.31</v>
      </c>
      <c r="G315" s="14" t="n">
        <v>589.91</v>
      </c>
      <c r="H315" s="14" t="n">
        <v>589.91</v>
      </c>
      <c r="I315" s="14">
        <f>SUM(K315:T315)</f>
        <v/>
      </c>
      <c r="J315" s="14">
        <f>F315-(G315+H315+I315)</f>
        <v/>
      </c>
      <c r="K315" s="14" t="n">
        <v>353.95</v>
      </c>
      <c r="L315" s="14" t="n">
        <v>353.95</v>
      </c>
      <c r="M315" s="14" t="n">
        <v>353.95</v>
      </c>
      <c r="N315" s="14" t="n">
        <v>353.95</v>
      </c>
      <c r="O315" s="14" t="n">
        <v>353.95</v>
      </c>
      <c r="P315" s="14" t="n">
        <v>353.95</v>
      </c>
      <c r="Q315" s="14" t="n">
        <v>353.95</v>
      </c>
      <c r="R315" s="14" t="n">
        <v>353.95</v>
      </c>
      <c r="S315" s="14" t="n">
        <v>353.95</v>
      </c>
      <c r="T315" s="14" t="n">
        <v>353.95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CANON-202604-005675</t>
        </is>
      </c>
      <c r="B316" s="15" t="inlineStr">
        <is>
          <t>2026-04-11</t>
        </is>
      </c>
      <c r="C316" s="15" t="inlineStr">
        <is>
          <t>Ottilie Delacroix</t>
        </is>
      </c>
      <c r="D316" s="15" t="inlineStr">
        <is>
          <t>GA</t>
        </is>
      </c>
      <c r="E316" s="16" t="n">
        <v>450000</v>
      </c>
      <c r="F316" s="16" t="n">
        <v>5923.19</v>
      </c>
      <c r="G316" s="16" t="n">
        <v>740.4</v>
      </c>
      <c r="H316" s="16" t="n">
        <v>740.4</v>
      </c>
      <c r="I316" s="16">
        <f>SUM(K316:T316)</f>
        <v/>
      </c>
      <c r="J316" s="16">
        <f>F316-(G316+H316+I316)</f>
        <v/>
      </c>
      <c r="K316" s="16" t="n">
        <v>444.24</v>
      </c>
      <c r="L316" s="16" t="n">
        <v>444.24</v>
      </c>
      <c r="M316" s="16" t="n">
        <v>444.24</v>
      </c>
      <c r="N316" s="16" t="n">
        <v>444.24</v>
      </c>
      <c r="O316" s="16" t="n">
        <v>444.24</v>
      </c>
      <c r="P316" s="16" t="n">
        <v>444.24</v>
      </c>
      <c r="Q316" s="16" t="n">
        <v>444.24</v>
      </c>
      <c r="R316" s="16" t="n">
        <v>444.24</v>
      </c>
      <c r="S316" s="16" t="n">
        <v>444.24</v>
      </c>
      <c r="T316" s="16" t="n">
        <v>444.24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CANON-202604-005676</t>
        </is>
      </c>
      <c r="B317" s="3" t="inlineStr">
        <is>
          <t>2026-04-12</t>
        </is>
      </c>
      <c r="C317" s="3" t="inlineStr">
        <is>
          <t>Fenwick Farkas</t>
        </is>
      </c>
      <c r="D317" s="3" t="inlineStr">
        <is>
          <t>FL</t>
        </is>
      </c>
      <c r="E317" s="14" t="n">
        <v>480000</v>
      </c>
      <c r="F317" s="14" t="n">
        <v>12282.62</v>
      </c>
      <c r="G317" s="14" t="n">
        <v>1535.33</v>
      </c>
      <c r="H317" s="14" t="n">
        <v>1535.33</v>
      </c>
      <c r="I317" s="14">
        <f>SUM(K317:T317)</f>
        <v/>
      </c>
      <c r="J317" s="14">
        <f>F317-(G317+H317+I317)</f>
        <v/>
      </c>
      <c r="K317" s="14" t="n">
        <v>921.2</v>
      </c>
      <c r="L317" s="14" t="n">
        <v>921.2</v>
      </c>
      <c r="M317" s="14" t="n">
        <v>921.2</v>
      </c>
      <c r="N317" s="14" t="n">
        <v>921.2</v>
      </c>
      <c r="O317" s="14" t="n">
        <v>921.2</v>
      </c>
      <c r="P317" s="14" t="n">
        <v>921.2</v>
      </c>
      <c r="Q317" s="14" t="n">
        <v>921.2</v>
      </c>
      <c r="R317" s="14" t="n">
        <v>921.2</v>
      </c>
      <c r="S317" s="14" t="n">
        <v>921.2</v>
      </c>
      <c r="T317" s="14" t="n">
        <v>921.2</v>
      </c>
      <c r="U317" s="14" t="n">
        <v>350</v>
      </c>
      <c r="V317" s="14" t="n">
        <v>0</v>
      </c>
      <c r="W317" s="14">
        <f>U317+V317</f>
        <v/>
      </c>
    </row>
    <row r="318">
      <c r="A318" s="15" t="inlineStr">
        <is>
          <t>CANON-202604-005677</t>
        </is>
      </c>
      <c r="B318" s="15" t="inlineStr">
        <is>
          <t>2026-04-11</t>
        </is>
      </c>
      <c r="C318" s="15" t="inlineStr">
        <is>
          <t>Lorenzo Pennington</t>
        </is>
      </c>
      <c r="D318" s="15" t="inlineStr">
        <is>
          <t>TX</t>
        </is>
      </c>
      <c r="E318" s="16" t="n">
        <v>655000</v>
      </c>
      <c r="F318" s="16" t="n">
        <v>7672.13</v>
      </c>
      <c r="G318" s="16" t="n">
        <v>959.02</v>
      </c>
      <c r="H318" s="16" t="n">
        <v>959.02</v>
      </c>
      <c r="I318" s="16">
        <f>SUM(K318:T318)</f>
        <v/>
      </c>
      <c r="J318" s="16">
        <f>F318-(G318+H318+I318)</f>
        <v/>
      </c>
      <c r="K318" s="16" t="n">
        <v>575.41</v>
      </c>
      <c r="L318" s="16" t="n">
        <v>575.41</v>
      </c>
      <c r="M318" s="16" t="n">
        <v>575.41</v>
      </c>
      <c r="N318" s="16" t="n">
        <v>575.41</v>
      </c>
      <c r="O318" s="16" t="n">
        <v>575.41</v>
      </c>
      <c r="P318" s="16" t="n">
        <v>575.41</v>
      </c>
      <c r="Q318" s="16" t="n">
        <v>575.41</v>
      </c>
      <c r="R318" s="16" t="n">
        <v>575.41</v>
      </c>
      <c r="S318" s="16" t="n">
        <v>575.41</v>
      </c>
      <c r="T318" s="16" t="n">
        <v>575.41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CANON-202604-005678</t>
        </is>
      </c>
      <c r="B319" s="3" t="inlineStr">
        <is>
          <t>2026-04-30</t>
        </is>
      </c>
      <c r="C319" s="3" t="inlineStr">
        <is>
          <t>Anouk Chattopadhyay</t>
        </is>
      </c>
      <c r="D319" s="3" t="inlineStr">
        <is>
          <t>WI</t>
        </is>
      </c>
      <c r="E319" s="14" t="n">
        <v>300000</v>
      </c>
      <c r="F319" s="14" t="n">
        <v>4230.85</v>
      </c>
      <c r="G319" s="14" t="n">
        <v>528.86</v>
      </c>
      <c r="H319" s="14" t="n">
        <v>528.86</v>
      </c>
      <c r="I319" s="14">
        <f>SUM(K319:T319)</f>
        <v/>
      </c>
      <c r="J319" s="14">
        <f>F319-(G319+H319+I319)</f>
        <v/>
      </c>
      <c r="K319" s="14" t="n">
        <v>317.31</v>
      </c>
      <c r="L319" s="14" t="n">
        <v>317.31</v>
      </c>
      <c r="M319" s="14" t="n">
        <v>317.31</v>
      </c>
      <c r="N319" s="14" t="n">
        <v>317.31</v>
      </c>
      <c r="O319" s="14" t="n">
        <v>317.31</v>
      </c>
      <c r="P319" s="14" t="n">
        <v>317.31</v>
      </c>
      <c r="Q319" s="14" t="n">
        <v>317.31</v>
      </c>
      <c r="R319" s="14" t="n">
        <v>317.31</v>
      </c>
      <c r="S319" s="14" t="n">
        <v>317.31</v>
      </c>
      <c r="T319" s="14" t="n">
        <v>317.31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CANON-202604-005679</t>
        </is>
      </c>
      <c r="B320" s="15" t="inlineStr">
        <is>
          <t>2026-04-20</t>
        </is>
      </c>
      <c r="C320" s="15" t="inlineStr">
        <is>
          <t>Callum Rourke</t>
        </is>
      </c>
      <c r="D320" s="15" t="inlineStr">
        <is>
          <t>MD</t>
        </is>
      </c>
      <c r="E320" s="16" t="n">
        <v>695000</v>
      </c>
      <c r="F320" s="16" t="n">
        <v>6724.9</v>
      </c>
      <c r="G320" s="16" t="n">
        <v>840.61</v>
      </c>
      <c r="H320" s="16" t="n">
        <v>840.61</v>
      </c>
      <c r="I320" s="16">
        <f>SUM(K320:T320)</f>
        <v/>
      </c>
      <c r="J320" s="16">
        <f>F320-(G320+H320+I320)</f>
        <v/>
      </c>
      <c r="K320" s="16" t="n">
        <v>504.37</v>
      </c>
      <c r="L320" s="16" t="n">
        <v>504.37</v>
      </c>
      <c r="M320" s="16" t="n">
        <v>504.37</v>
      </c>
      <c r="N320" s="16" t="n">
        <v>504.37</v>
      </c>
      <c r="O320" s="16" t="n">
        <v>504.37</v>
      </c>
      <c r="P320" s="16" t="n">
        <v>504.37</v>
      </c>
      <c r="Q320" s="16" t="n">
        <v>504.37</v>
      </c>
      <c r="R320" s="16" t="n">
        <v>504.37</v>
      </c>
      <c r="S320" s="16" t="n">
        <v>504.37</v>
      </c>
      <c r="T320" s="16" t="n">
        <v>504.37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CANON-202604-005682</t>
        </is>
      </c>
      <c r="B321" s="3" t="inlineStr">
        <is>
          <t>2026-04-27</t>
        </is>
      </c>
      <c r="C321" s="3" t="inlineStr">
        <is>
          <t>Horace Larsson</t>
        </is>
      </c>
      <c r="D321" s="3" t="inlineStr">
        <is>
          <t>PA</t>
        </is>
      </c>
      <c r="E321" s="14" t="n">
        <v>635000</v>
      </c>
      <c r="F321" s="14" t="n">
        <v>6467.72</v>
      </c>
      <c r="G321" s="14" t="n">
        <v>808.47</v>
      </c>
      <c r="H321" s="14" t="n">
        <v>808.47</v>
      </c>
      <c r="I321" s="14">
        <f>SUM(K321:T321)</f>
        <v/>
      </c>
      <c r="J321" s="14">
        <f>F321-(G321+H321+I321)</f>
        <v/>
      </c>
      <c r="K321" s="14" t="n">
        <v>485.08</v>
      </c>
      <c r="L321" s="14" t="n">
        <v>485.08</v>
      </c>
      <c r="M321" s="14" t="n">
        <v>485.08</v>
      </c>
      <c r="N321" s="14" t="n">
        <v>485.08</v>
      </c>
      <c r="O321" s="14" t="n">
        <v>485.08</v>
      </c>
      <c r="P321" s="14" t="n">
        <v>485.08</v>
      </c>
      <c r="Q321" s="14" t="n">
        <v>485.08</v>
      </c>
      <c r="R321" s="14" t="n">
        <v>485.08</v>
      </c>
      <c r="S321" s="14" t="n">
        <v>485.08</v>
      </c>
      <c r="T321" s="14" t="n">
        <v>485.08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CANON-202604-005683</t>
        </is>
      </c>
      <c r="B322" s="15" t="inlineStr">
        <is>
          <t>2026-04-20</t>
        </is>
      </c>
      <c r="C322" s="15" t="inlineStr">
        <is>
          <t>Saoirse Whitlock</t>
        </is>
      </c>
      <c r="D322" s="15" t="inlineStr">
        <is>
          <t>HI</t>
        </is>
      </c>
      <c r="E322" s="16" t="n">
        <v>315000</v>
      </c>
      <c r="F322" s="16" t="n">
        <v>4812.59</v>
      </c>
      <c r="G322" s="16" t="n">
        <v>601.5700000000001</v>
      </c>
      <c r="H322" s="16" t="n">
        <v>601.5700000000001</v>
      </c>
      <c r="I322" s="16">
        <f>SUM(K322:T322)</f>
        <v/>
      </c>
      <c r="J322" s="16">
        <f>F322-(G322+H322+I322)</f>
        <v/>
      </c>
      <c r="K322" s="16" t="n">
        <v>360.94</v>
      </c>
      <c r="L322" s="16" t="n">
        <v>360.94</v>
      </c>
      <c r="M322" s="16" t="n">
        <v>360.94</v>
      </c>
      <c r="N322" s="16" t="n">
        <v>360.94</v>
      </c>
      <c r="O322" s="16" t="n">
        <v>360.94</v>
      </c>
      <c r="P322" s="16" t="n">
        <v>360.94</v>
      </c>
      <c r="Q322" s="16" t="n">
        <v>360.94</v>
      </c>
      <c r="R322" s="16" t="n">
        <v>360.94</v>
      </c>
      <c r="S322" s="16" t="n">
        <v>360.94</v>
      </c>
      <c r="T322" s="16" t="n">
        <v>360.94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CANON-202604-005685</t>
        </is>
      </c>
      <c r="B323" s="3" t="inlineStr">
        <is>
          <t>2026-04-29</t>
        </is>
      </c>
      <c r="C323" s="3" t="inlineStr">
        <is>
          <t>Priya Kingsford</t>
        </is>
      </c>
      <c r="D323" s="3" t="inlineStr">
        <is>
          <t>AL</t>
        </is>
      </c>
      <c r="E323" s="14" t="n">
        <v>855000</v>
      </c>
      <c r="F323" s="14" t="n">
        <v>7316.48</v>
      </c>
      <c r="G323" s="14" t="n">
        <v>914.5599999999999</v>
      </c>
      <c r="H323" s="14" t="n">
        <v>914.5599999999999</v>
      </c>
      <c r="I323" s="14">
        <f>SUM(K323:T323)</f>
        <v/>
      </c>
      <c r="J323" s="14">
        <f>F323-(G323+H323+I323)</f>
        <v/>
      </c>
      <c r="K323" s="14" t="n">
        <v>548.74</v>
      </c>
      <c r="L323" s="14" t="n">
        <v>548.74</v>
      </c>
      <c r="M323" s="14" t="n">
        <v>548.74</v>
      </c>
      <c r="N323" s="14" t="n">
        <v>548.74</v>
      </c>
      <c r="O323" s="14" t="n">
        <v>548.74</v>
      </c>
      <c r="P323" s="14" t="n">
        <v>548.74</v>
      </c>
      <c r="Q323" s="14" t="n">
        <v>548.74</v>
      </c>
      <c r="R323" s="14" t="n">
        <v>548.74</v>
      </c>
      <c r="S323" s="14" t="n">
        <v>548.74</v>
      </c>
      <c r="T323" s="14" t="n">
        <v>548.74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CANON-202604-005686</t>
        </is>
      </c>
      <c r="B324" s="15" t="inlineStr">
        <is>
          <t>2026-04-15</t>
        </is>
      </c>
      <c r="C324" s="15" t="inlineStr">
        <is>
          <t>Aurelio Larsson</t>
        </is>
      </c>
      <c r="D324" s="15" t="inlineStr">
        <is>
          <t>AZ</t>
        </is>
      </c>
      <c r="E324" s="16" t="n">
        <v>530000</v>
      </c>
      <c r="F324" s="16" t="n">
        <v>5452.23</v>
      </c>
      <c r="G324" s="16" t="n">
        <v>681.53</v>
      </c>
      <c r="H324" s="16" t="n">
        <v>681.53</v>
      </c>
      <c r="I324" s="16">
        <f>SUM(K324:T324)</f>
        <v/>
      </c>
      <c r="J324" s="16">
        <f>F324-(G324+H324+I324)</f>
        <v/>
      </c>
      <c r="K324" s="16" t="n">
        <v>408.92</v>
      </c>
      <c r="L324" s="16" t="n">
        <v>408.92</v>
      </c>
      <c r="M324" s="16" t="n">
        <v>408.92</v>
      </c>
      <c r="N324" s="16" t="n">
        <v>408.92</v>
      </c>
      <c r="O324" s="16" t="n">
        <v>408.92</v>
      </c>
      <c r="P324" s="16" t="n">
        <v>408.92</v>
      </c>
      <c r="Q324" s="16" t="n">
        <v>408.92</v>
      </c>
      <c r="R324" s="16" t="n">
        <v>408.92</v>
      </c>
      <c r="S324" s="16" t="n">
        <v>408.92</v>
      </c>
      <c r="T324" s="16" t="n">
        <v>408.92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CANON-202604-005687</t>
        </is>
      </c>
      <c r="B325" s="3" t="inlineStr">
        <is>
          <t>2026-04-04</t>
        </is>
      </c>
      <c r="C325" s="3" t="inlineStr">
        <is>
          <t>Ramona Montoya</t>
        </is>
      </c>
      <c r="D325" s="3" t="inlineStr">
        <is>
          <t>IN</t>
        </is>
      </c>
      <c r="E325" s="14" t="n">
        <v>275000</v>
      </c>
      <c r="F325" s="14" t="n">
        <v>3975.24</v>
      </c>
      <c r="G325" s="14" t="n">
        <v>496.9</v>
      </c>
      <c r="H325" s="14" t="n">
        <v>496.9</v>
      </c>
      <c r="I325" s="14">
        <f>SUM(K325:T325)</f>
        <v/>
      </c>
      <c r="J325" s="14">
        <f>F325-(G325+H325+I325)</f>
        <v/>
      </c>
      <c r="K325" s="14" t="n">
        <v>298.14</v>
      </c>
      <c r="L325" s="14" t="n">
        <v>298.14</v>
      </c>
      <c r="M325" s="14" t="n">
        <v>298.14</v>
      </c>
      <c r="N325" s="14" t="n">
        <v>298.14</v>
      </c>
      <c r="O325" s="14" t="n">
        <v>298.14</v>
      </c>
      <c r="P325" s="14" t="n">
        <v>298.14</v>
      </c>
      <c r="Q325" s="14" t="n">
        <v>298.14</v>
      </c>
      <c r="R325" s="14" t="n">
        <v>298.14</v>
      </c>
      <c r="S325" s="14" t="n">
        <v>298.14</v>
      </c>
      <c r="T325" s="14" t="n">
        <v>298.14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CANON-202604-005688</t>
        </is>
      </c>
      <c r="B326" s="15" t="inlineStr">
        <is>
          <t>2026-04-09</t>
        </is>
      </c>
      <c r="C326" s="15" t="inlineStr">
        <is>
          <t>Emiliano Montoya</t>
        </is>
      </c>
      <c r="D326" s="15" t="inlineStr">
        <is>
          <t>MI</t>
        </is>
      </c>
      <c r="E326" s="16" t="n">
        <v>1090000</v>
      </c>
      <c r="F326" s="16" t="n">
        <v>18002.42</v>
      </c>
      <c r="G326" s="16" t="n">
        <v>2250.3</v>
      </c>
      <c r="H326" s="16" t="n">
        <v>2250.3</v>
      </c>
      <c r="I326" s="16">
        <f>SUM(K326:T326)</f>
        <v/>
      </c>
      <c r="J326" s="16">
        <f>F326-(G326+H326+I326)</f>
        <v/>
      </c>
      <c r="K326" s="16" t="n">
        <v>1350.18</v>
      </c>
      <c r="L326" s="16" t="n">
        <v>1350.18</v>
      </c>
      <c r="M326" s="16" t="n">
        <v>1350.18</v>
      </c>
      <c r="N326" s="16" t="n">
        <v>1350.18</v>
      </c>
      <c r="O326" s="16" t="n">
        <v>1350.18</v>
      </c>
      <c r="P326" s="16" t="n">
        <v>1350.18</v>
      </c>
      <c r="Q326" s="16" t="n">
        <v>1350.18</v>
      </c>
      <c r="R326" s="16" t="n">
        <v>1350.18</v>
      </c>
      <c r="S326" s="16" t="n">
        <v>1350.18</v>
      </c>
      <c r="T326" s="16" t="n">
        <v>1350.18</v>
      </c>
      <c r="U326" s="16" t="n">
        <v>350</v>
      </c>
      <c r="V326" s="16" t="n">
        <v>250</v>
      </c>
      <c r="W326" s="16">
        <f>U326+V326</f>
        <v/>
      </c>
    </row>
    <row r="327">
      <c r="A327" s="3" t="inlineStr">
        <is>
          <t>CANON-202604-005690</t>
        </is>
      </c>
      <c r="B327" s="3" t="inlineStr">
        <is>
          <t>2026-04-22</t>
        </is>
      </c>
      <c r="C327" s="3" t="inlineStr">
        <is>
          <t>Marisol Chattopadhyay</t>
        </is>
      </c>
      <c r="D327" s="3" t="inlineStr">
        <is>
          <t>AR</t>
        </is>
      </c>
      <c r="E327" s="14" t="n">
        <v>670000</v>
      </c>
      <c r="F327" s="14" t="n">
        <v>9417.4</v>
      </c>
      <c r="G327" s="14" t="n">
        <v>1177.17</v>
      </c>
      <c r="H327" s="14" t="n">
        <v>1177.17</v>
      </c>
      <c r="I327" s="14">
        <f>SUM(K327:T327)</f>
        <v/>
      </c>
      <c r="J327" s="14">
        <f>F327-(G327+H327+I327)</f>
        <v/>
      </c>
      <c r="K327" s="14" t="n">
        <v>706.3</v>
      </c>
      <c r="L327" s="14" t="n">
        <v>706.3</v>
      </c>
      <c r="M327" s="14" t="n">
        <v>706.3</v>
      </c>
      <c r="N327" s="14" t="n">
        <v>706.3</v>
      </c>
      <c r="O327" s="14" t="n">
        <v>706.3</v>
      </c>
      <c r="P327" s="14" t="n">
        <v>706.3</v>
      </c>
      <c r="Q327" s="14" t="n">
        <v>706.3</v>
      </c>
      <c r="R327" s="14" t="n">
        <v>706.3</v>
      </c>
      <c r="S327" s="14" t="n">
        <v>706.3</v>
      </c>
      <c r="T327" s="14" t="n">
        <v>706.3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CANON-202604-005691</t>
        </is>
      </c>
      <c r="B328" s="15" t="inlineStr">
        <is>
          <t>2026-04-10</t>
        </is>
      </c>
      <c r="C328" s="15" t="inlineStr">
        <is>
          <t>Mireille Montoya</t>
        </is>
      </c>
      <c r="D328" s="15" t="inlineStr">
        <is>
          <t>WY</t>
        </is>
      </c>
      <c r="E328" s="16" t="n">
        <v>1340000</v>
      </c>
      <c r="F328" s="16" t="n">
        <v>7638.91</v>
      </c>
      <c r="G328" s="16" t="n">
        <v>954.86</v>
      </c>
      <c r="H328" s="16" t="n">
        <v>954.86</v>
      </c>
      <c r="I328" s="16">
        <f>SUM(K328:T328)</f>
        <v/>
      </c>
      <c r="J328" s="16">
        <f>F328-(G328+H328+I328)</f>
        <v/>
      </c>
      <c r="K328" s="16" t="n">
        <v>572.92</v>
      </c>
      <c r="L328" s="16" t="n">
        <v>572.92</v>
      </c>
      <c r="M328" s="16" t="n">
        <v>572.92</v>
      </c>
      <c r="N328" s="16" t="n">
        <v>572.92</v>
      </c>
      <c r="O328" s="16" t="n">
        <v>572.92</v>
      </c>
      <c r="P328" s="16" t="n">
        <v>572.92</v>
      </c>
      <c r="Q328" s="16" t="n">
        <v>572.92</v>
      </c>
      <c r="R328" s="16" t="n">
        <v>572.92</v>
      </c>
      <c r="S328" s="16" t="n">
        <v>572.92</v>
      </c>
      <c r="T328" s="16" t="n">
        <v>572.92</v>
      </c>
      <c r="U328" s="16" t="n">
        <v>350</v>
      </c>
      <c r="V328" s="16" t="n">
        <v>250</v>
      </c>
      <c r="W328" s="16">
        <f>U328+V328</f>
        <v/>
      </c>
    </row>
    <row r="329">
      <c r="A329" s="3" t="inlineStr">
        <is>
          <t>CANON-202604-005692</t>
        </is>
      </c>
      <c r="B329" s="3" t="inlineStr">
        <is>
          <t>2026-04-26</t>
        </is>
      </c>
      <c r="C329" s="3" t="inlineStr">
        <is>
          <t>Callum Bellandi</t>
        </is>
      </c>
      <c r="D329" s="3" t="inlineStr">
        <is>
          <t>FL</t>
        </is>
      </c>
      <c r="E329" s="14" t="n">
        <v>905000</v>
      </c>
      <c r="F329" s="14" t="n">
        <v>8659.030000000001</v>
      </c>
      <c r="G329" s="14" t="n">
        <v>1082.38</v>
      </c>
      <c r="H329" s="14" t="n">
        <v>1082.38</v>
      </c>
      <c r="I329" s="14">
        <f>SUM(K329:T329)</f>
        <v/>
      </c>
      <c r="J329" s="14">
        <f>F329-(G329+H329+I329)</f>
        <v/>
      </c>
      <c r="K329" s="14" t="n">
        <v>649.4299999999999</v>
      </c>
      <c r="L329" s="14" t="n">
        <v>649.4299999999999</v>
      </c>
      <c r="M329" s="14" t="n">
        <v>649.4299999999999</v>
      </c>
      <c r="N329" s="14" t="n">
        <v>649.4299999999999</v>
      </c>
      <c r="O329" s="14" t="n">
        <v>649.4299999999999</v>
      </c>
      <c r="P329" s="14" t="n">
        <v>649.4299999999999</v>
      </c>
      <c r="Q329" s="14" t="n">
        <v>649.4299999999999</v>
      </c>
      <c r="R329" s="14" t="n">
        <v>649.4299999999999</v>
      </c>
      <c r="S329" s="14" t="n">
        <v>649.4299999999999</v>
      </c>
      <c r="T329" s="14" t="n">
        <v>649.4299999999999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CANON-202604-005693</t>
        </is>
      </c>
      <c r="B330" s="15" t="inlineStr">
        <is>
          <t>2026-04-14</t>
        </is>
      </c>
      <c r="C330" s="15" t="inlineStr">
        <is>
          <t>Ramona Rourke</t>
        </is>
      </c>
      <c r="D330" s="15" t="inlineStr">
        <is>
          <t>LA</t>
        </is>
      </c>
      <c r="E330" s="16" t="n">
        <v>1950000</v>
      </c>
      <c r="F330" s="16" t="n">
        <v>25141.59</v>
      </c>
      <c r="G330" s="16" t="n">
        <v>3142.7</v>
      </c>
      <c r="H330" s="16" t="n">
        <v>3142.7</v>
      </c>
      <c r="I330" s="16">
        <f>SUM(K330:T330)</f>
        <v/>
      </c>
      <c r="J330" s="16">
        <f>F330-(G330+H330+I330)</f>
        <v/>
      </c>
      <c r="K330" s="16" t="n">
        <v>1885.62</v>
      </c>
      <c r="L330" s="16" t="n">
        <v>1885.62</v>
      </c>
      <c r="M330" s="16" t="n">
        <v>1885.62</v>
      </c>
      <c r="N330" s="16" t="n">
        <v>1885.62</v>
      </c>
      <c r="O330" s="16" t="n">
        <v>1885.62</v>
      </c>
      <c r="P330" s="16" t="n">
        <v>1885.62</v>
      </c>
      <c r="Q330" s="16" t="n">
        <v>1885.62</v>
      </c>
      <c r="R330" s="16" t="n">
        <v>1885.62</v>
      </c>
      <c r="S330" s="16" t="n">
        <v>1885.62</v>
      </c>
      <c r="T330" s="16" t="n">
        <v>1885.62</v>
      </c>
      <c r="U330" s="16" t="n">
        <v>350</v>
      </c>
      <c r="V330" s="16" t="n">
        <v>250</v>
      </c>
      <c r="W330" s="16">
        <f>U330+V330</f>
        <v/>
      </c>
    </row>
    <row r="331">
      <c r="A331" s="3" t="inlineStr">
        <is>
          <t>CANON-202604-005694</t>
        </is>
      </c>
      <c r="B331" s="3" t="inlineStr">
        <is>
          <t>2026-04-07</t>
        </is>
      </c>
      <c r="C331" s="3" t="inlineStr">
        <is>
          <t>Horace Kingsford</t>
        </is>
      </c>
      <c r="D331" s="3" t="inlineStr">
        <is>
          <t>NE</t>
        </is>
      </c>
      <c r="E331" s="14" t="n">
        <v>695000</v>
      </c>
      <c r="F331" s="14" t="n">
        <v>13449.79</v>
      </c>
      <c r="G331" s="14" t="n">
        <v>1681.22</v>
      </c>
      <c r="H331" s="14" t="n">
        <v>1681.22</v>
      </c>
      <c r="I331" s="14">
        <f>SUM(K331:T331)</f>
        <v/>
      </c>
      <c r="J331" s="14">
        <f>F331-(G331+H331+I331)</f>
        <v/>
      </c>
      <c r="K331" s="14" t="n">
        <v>1008.73</v>
      </c>
      <c r="L331" s="14" t="n">
        <v>1008.73</v>
      </c>
      <c r="M331" s="14" t="n">
        <v>1008.73</v>
      </c>
      <c r="N331" s="14" t="n">
        <v>1008.73</v>
      </c>
      <c r="O331" s="14" t="n">
        <v>1008.73</v>
      </c>
      <c r="P331" s="14" t="n">
        <v>1008.73</v>
      </c>
      <c r="Q331" s="14" t="n">
        <v>1008.73</v>
      </c>
      <c r="R331" s="14" t="n">
        <v>1008.73</v>
      </c>
      <c r="S331" s="14" t="n">
        <v>1008.73</v>
      </c>
      <c r="T331" s="14" t="n">
        <v>1008.73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CANON-202604-005695</t>
        </is>
      </c>
      <c r="B332" s="15" t="inlineStr">
        <is>
          <t>2026-04-07</t>
        </is>
      </c>
      <c r="C332" s="15" t="inlineStr">
        <is>
          <t>Sunniva Ashcombe</t>
        </is>
      </c>
      <c r="D332" s="15" t="inlineStr">
        <is>
          <t>NV</t>
        </is>
      </c>
      <c r="E332" s="16" t="n">
        <v>460000</v>
      </c>
      <c r="F332" s="16" t="n">
        <v>7421.47</v>
      </c>
      <c r="G332" s="16" t="n">
        <v>927.6799999999999</v>
      </c>
      <c r="H332" s="16" t="n">
        <v>927.6799999999999</v>
      </c>
      <c r="I332" s="16">
        <f>SUM(K332:T332)</f>
        <v/>
      </c>
      <c r="J332" s="16">
        <f>F332-(G332+H332+I332)</f>
        <v/>
      </c>
      <c r="K332" s="16" t="n">
        <v>556.61</v>
      </c>
      <c r="L332" s="16" t="n">
        <v>556.61</v>
      </c>
      <c r="M332" s="16" t="n">
        <v>556.61</v>
      </c>
      <c r="N332" s="16" t="n">
        <v>556.61</v>
      </c>
      <c r="O332" s="16" t="n">
        <v>556.61</v>
      </c>
      <c r="P332" s="16" t="n">
        <v>556.61</v>
      </c>
      <c r="Q332" s="16" t="n">
        <v>556.61</v>
      </c>
      <c r="R332" s="16" t="n">
        <v>556.61</v>
      </c>
      <c r="S332" s="16" t="n">
        <v>556.61</v>
      </c>
      <c r="T332" s="16" t="n">
        <v>556.61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CANON-202604-005696</t>
        </is>
      </c>
      <c r="B333" s="3" t="inlineStr">
        <is>
          <t>2026-04-21</t>
        </is>
      </c>
      <c r="C333" s="3" t="inlineStr">
        <is>
          <t>Sunniva Delacroix</t>
        </is>
      </c>
      <c r="D333" s="3" t="inlineStr">
        <is>
          <t>DE</t>
        </is>
      </c>
      <c r="E333" s="14" t="n">
        <v>1115000</v>
      </c>
      <c r="F333" s="14" t="n">
        <v>12011.89</v>
      </c>
      <c r="G333" s="14" t="n">
        <v>1501.49</v>
      </c>
      <c r="H333" s="14" t="n">
        <v>1501.49</v>
      </c>
      <c r="I333" s="14">
        <f>SUM(K333:T333)</f>
        <v/>
      </c>
      <c r="J333" s="14">
        <f>F333-(G333+H333+I333)</f>
        <v/>
      </c>
      <c r="K333" s="14" t="n">
        <v>900.89</v>
      </c>
      <c r="L333" s="14" t="n">
        <v>900.89</v>
      </c>
      <c r="M333" s="14" t="n">
        <v>900.89</v>
      </c>
      <c r="N333" s="14" t="n">
        <v>900.89</v>
      </c>
      <c r="O333" s="14" t="n">
        <v>900.89</v>
      </c>
      <c r="P333" s="14" t="n">
        <v>900.89</v>
      </c>
      <c r="Q333" s="14" t="n">
        <v>900.89</v>
      </c>
      <c r="R333" s="14" t="n">
        <v>900.89</v>
      </c>
      <c r="S333" s="14" t="n">
        <v>900.89</v>
      </c>
      <c r="T333" s="14" t="n">
        <v>900.89</v>
      </c>
      <c r="U333" s="14" t="n">
        <v>350</v>
      </c>
      <c r="V333" s="14" t="n">
        <v>250</v>
      </c>
      <c r="W333" s="14">
        <f>U333+V333</f>
        <v/>
      </c>
    </row>
    <row r="334">
      <c r="A334" s="15" t="inlineStr">
        <is>
          <t>CANON-202604-005697</t>
        </is>
      </c>
      <c r="B334" s="15" t="inlineStr">
        <is>
          <t>2026-04-10</t>
        </is>
      </c>
      <c r="C334" s="15" t="inlineStr">
        <is>
          <t>Saoirse Kingsford</t>
        </is>
      </c>
      <c r="D334" s="15" t="inlineStr">
        <is>
          <t>OR</t>
        </is>
      </c>
      <c r="E334" s="16" t="n">
        <v>1950000</v>
      </c>
      <c r="F334" s="16" t="n">
        <v>27622.75</v>
      </c>
      <c r="G334" s="16" t="n">
        <v>3452.84</v>
      </c>
      <c r="H334" s="16" t="n">
        <v>3452.84</v>
      </c>
      <c r="I334" s="16">
        <f>SUM(K334:T334)</f>
        <v/>
      </c>
      <c r="J334" s="16">
        <f>F334-(G334+H334+I334)</f>
        <v/>
      </c>
      <c r="K334" s="16" t="n">
        <v>2071.71</v>
      </c>
      <c r="L334" s="16" t="n">
        <v>2071.71</v>
      </c>
      <c r="M334" s="16" t="n">
        <v>2071.71</v>
      </c>
      <c r="N334" s="16" t="n">
        <v>2071.71</v>
      </c>
      <c r="O334" s="16" t="n">
        <v>2071.71</v>
      </c>
      <c r="P334" s="16" t="n">
        <v>2071.71</v>
      </c>
      <c r="Q334" s="16" t="n">
        <v>2071.71</v>
      </c>
      <c r="R334" s="16" t="n">
        <v>2071.71</v>
      </c>
      <c r="S334" s="16" t="n">
        <v>2071.71</v>
      </c>
      <c r="T334" s="16" t="n">
        <v>2071.71</v>
      </c>
      <c r="U334" s="16" t="n">
        <v>350</v>
      </c>
      <c r="V334" s="16" t="n">
        <v>250</v>
      </c>
      <c r="W334" s="16">
        <f>U334+V334</f>
        <v/>
      </c>
    </row>
    <row r="335">
      <c r="A335" s="3" t="inlineStr">
        <is>
          <t>CANON-202604-005699</t>
        </is>
      </c>
      <c r="B335" s="3" t="inlineStr">
        <is>
          <t>2026-04-07</t>
        </is>
      </c>
      <c r="C335" s="3" t="inlineStr">
        <is>
          <t>Priya Larsson</t>
        </is>
      </c>
      <c r="D335" s="3" t="inlineStr">
        <is>
          <t>WV</t>
        </is>
      </c>
      <c r="E335" s="14" t="n">
        <v>1220000</v>
      </c>
      <c r="F335" s="14" t="n">
        <v>13984.21</v>
      </c>
      <c r="G335" s="14" t="n">
        <v>1748.03</v>
      </c>
      <c r="H335" s="14" t="n">
        <v>1748.03</v>
      </c>
      <c r="I335" s="14">
        <f>SUM(K335:T335)</f>
        <v/>
      </c>
      <c r="J335" s="14">
        <f>F335-(G335+H335+I335)</f>
        <v/>
      </c>
      <c r="K335" s="14" t="n">
        <v>1048.82</v>
      </c>
      <c r="L335" s="14" t="n">
        <v>1048.82</v>
      </c>
      <c r="M335" s="14" t="n">
        <v>1048.82</v>
      </c>
      <c r="N335" s="14" t="n">
        <v>1048.82</v>
      </c>
      <c r="O335" s="14" t="n">
        <v>1048.82</v>
      </c>
      <c r="P335" s="14" t="n">
        <v>1048.82</v>
      </c>
      <c r="Q335" s="14" t="n">
        <v>1048.82</v>
      </c>
      <c r="R335" s="14" t="n">
        <v>1048.82</v>
      </c>
      <c r="S335" s="14" t="n">
        <v>1048.82</v>
      </c>
      <c r="T335" s="14" t="n">
        <v>1048.82</v>
      </c>
      <c r="U335" s="14" t="n">
        <v>350</v>
      </c>
      <c r="V335" s="14" t="n">
        <v>250</v>
      </c>
      <c r="W335" s="14">
        <f>U335+V335</f>
        <v/>
      </c>
    </row>
    <row r="336">
      <c r="A336" s="15" t="inlineStr">
        <is>
          <t>CANON-202604-005701</t>
        </is>
      </c>
      <c r="B336" s="15" t="inlineStr">
        <is>
          <t>2026-04-10</t>
        </is>
      </c>
      <c r="C336" s="15" t="inlineStr">
        <is>
          <t>Emiliano Okonkwo</t>
        </is>
      </c>
      <c r="D336" s="15" t="inlineStr">
        <is>
          <t>MD</t>
        </is>
      </c>
      <c r="E336" s="16" t="n">
        <v>395000</v>
      </c>
      <c r="F336" s="16" t="n">
        <v>6762.11</v>
      </c>
      <c r="G336" s="16" t="n">
        <v>845.26</v>
      </c>
      <c r="H336" s="16" t="n">
        <v>845.26</v>
      </c>
      <c r="I336" s="16">
        <f>SUM(K336:T336)</f>
        <v/>
      </c>
      <c r="J336" s="16">
        <f>F336-(G336+H336+I336)</f>
        <v/>
      </c>
      <c r="K336" s="16" t="n">
        <v>507.16</v>
      </c>
      <c r="L336" s="16" t="n">
        <v>507.16</v>
      </c>
      <c r="M336" s="16" t="n">
        <v>507.16</v>
      </c>
      <c r="N336" s="16" t="n">
        <v>507.16</v>
      </c>
      <c r="O336" s="16" t="n">
        <v>507.16</v>
      </c>
      <c r="P336" s="16" t="n">
        <v>507.16</v>
      </c>
      <c r="Q336" s="16" t="n">
        <v>507.16</v>
      </c>
      <c r="R336" s="16" t="n">
        <v>507.16</v>
      </c>
      <c r="S336" s="16" t="n">
        <v>507.16</v>
      </c>
      <c r="T336" s="16" t="n">
        <v>507.16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CANON-202604-005702</t>
        </is>
      </c>
      <c r="B337" s="3" t="inlineStr">
        <is>
          <t>2026-04-22</t>
        </is>
      </c>
      <c r="C337" s="3" t="inlineStr">
        <is>
          <t>Callum Delacroix</t>
        </is>
      </c>
      <c r="D337" s="3" t="inlineStr">
        <is>
          <t>WA</t>
        </is>
      </c>
      <c r="E337" s="14" t="n">
        <v>275000</v>
      </c>
      <c r="F337" s="14" t="n">
        <v>3102.62</v>
      </c>
      <c r="G337" s="14" t="n">
        <v>387.83</v>
      </c>
      <c r="H337" s="14" t="n">
        <v>387.83</v>
      </c>
      <c r="I337" s="14">
        <f>SUM(K337:T337)</f>
        <v/>
      </c>
      <c r="J337" s="14">
        <f>F337-(G337+H337+I337)</f>
        <v/>
      </c>
      <c r="K337" s="14" t="n">
        <v>232.7</v>
      </c>
      <c r="L337" s="14" t="n">
        <v>232.7</v>
      </c>
      <c r="M337" s="14" t="n">
        <v>232.7</v>
      </c>
      <c r="N337" s="14" t="n">
        <v>232.7</v>
      </c>
      <c r="O337" s="14" t="n">
        <v>232.7</v>
      </c>
      <c r="P337" s="14" t="n">
        <v>232.7</v>
      </c>
      <c r="Q337" s="14" t="n">
        <v>232.7</v>
      </c>
      <c r="R337" s="14" t="n">
        <v>232.7</v>
      </c>
      <c r="S337" s="14" t="n">
        <v>232.7</v>
      </c>
      <c r="T337" s="14" t="n">
        <v>232.7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CANON-202604-005703</t>
        </is>
      </c>
      <c r="B338" s="15" t="inlineStr">
        <is>
          <t>2026-04-29</t>
        </is>
      </c>
      <c r="C338" s="15" t="inlineStr">
        <is>
          <t>Marisol Farkas</t>
        </is>
      </c>
      <c r="D338" s="15" t="inlineStr">
        <is>
          <t>AZ</t>
        </is>
      </c>
      <c r="E338" s="16" t="n">
        <v>175000</v>
      </c>
      <c r="F338" s="16" t="n">
        <v>2548.07</v>
      </c>
      <c r="G338" s="16" t="n">
        <v>318.51</v>
      </c>
      <c r="H338" s="16" t="n">
        <v>318.51</v>
      </c>
      <c r="I338" s="16">
        <f>SUM(K338:T338)</f>
        <v/>
      </c>
      <c r="J338" s="16">
        <f>F338-(G338+H338+I338)</f>
        <v/>
      </c>
      <c r="K338" s="16" t="n">
        <v>191.11</v>
      </c>
      <c r="L338" s="16" t="n">
        <v>191.11</v>
      </c>
      <c r="M338" s="16" t="n">
        <v>191.11</v>
      </c>
      <c r="N338" s="16" t="n">
        <v>191.11</v>
      </c>
      <c r="O338" s="16" t="n">
        <v>191.11</v>
      </c>
      <c r="P338" s="16" t="n">
        <v>191.11</v>
      </c>
      <c r="Q338" s="16" t="n">
        <v>191.11</v>
      </c>
      <c r="R338" s="16" t="n">
        <v>191.11</v>
      </c>
      <c r="S338" s="16" t="n">
        <v>191.11</v>
      </c>
      <c r="T338" s="16" t="n">
        <v>191.11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CANON-202604-005704</t>
        </is>
      </c>
      <c r="B339" s="3" t="inlineStr">
        <is>
          <t>2026-04-04</t>
        </is>
      </c>
      <c r="C339" s="3" t="inlineStr">
        <is>
          <t>Wilhelmina Vandermeer</t>
        </is>
      </c>
      <c r="D339" s="3" t="inlineStr">
        <is>
          <t>KY</t>
        </is>
      </c>
      <c r="E339" s="14" t="n">
        <v>625000</v>
      </c>
      <c r="F339" s="14" t="n">
        <v>8530.26</v>
      </c>
      <c r="G339" s="14" t="n">
        <v>1066.28</v>
      </c>
      <c r="H339" s="14" t="n">
        <v>1066.28</v>
      </c>
      <c r="I339" s="14">
        <f>SUM(K339:T339)</f>
        <v/>
      </c>
      <c r="J339" s="14">
        <f>F339-(G339+H339+I339)</f>
        <v/>
      </c>
      <c r="K339" s="14" t="n">
        <v>639.77</v>
      </c>
      <c r="L339" s="14" t="n">
        <v>639.77</v>
      </c>
      <c r="M339" s="14" t="n">
        <v>639.77</v>
      </c>
      <c r="N339" s="14" t="n">
        <v>639.77</v>
      </c>
      <c r="O339" s="14" t="n">
        <v>639.77</v>
      </c>
      <c r="P339" s="14" t="n">
        <v>639.77</v>
      </c>
      <c r="Q339" s="14" t="n">
        <v>639.77</v>
      </c>
      <c r="R339" s="14" t="n">
        <v>639.77</v>
      </c>
      <c r="S339" s="14" t="n">
        <v>639.77</v>
      </c>
      <c r="T339" s="14" t="n">
        <v>639.77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CANON-202604-005705</t>
        </is>
      </c>
      <c r="B340" s="15" t="inlineStr">
        <is>
          <t>2026-04-20</t>
        </is>
      </c>
      <c r="C340" s="15" t="inlineStr">
        <is>
          <t>Desmond Underwood</t>
        </is>
      </c>
      <c r="D340" s="15" t="inlineStr">
        <is>
          <t>FL</t>
        </is>
      </c>
      <c r="E340" s="16" t="n">
        <v>150000</v>
      </c>
      <c r="F340" s="16" t="n">
        <v>1902.47</v>
      </c>
      <c r="G340" s="16" t="n">
        <v>237.81</v>
      </c>
      <c r="H340" s="16" t="n">
        <v>237.81</v>
      </c>
      <c r="I340" s="16">
        <f>SUM(K340:T340)</f>
        <v/>
      </c>
      <c r="J340" s="16">
        <f>F340-(G340+H340+I340)</f>
        <v/>
      </c>
      <c r="K340" s="16" t="n">
        <v>142.69</v>
      </c>
      <c r="L340" s="16" t="n">
        <v>142.69</v>
      </c>
      <c r="M340" s="16" t="n">
        <v>142.69</v>
      </c>
      <c r="N340" s="16" t="n">
        <v>142.69</v>
      </c>
      <c r="O340" s="16" t="n">
        <v>142.69</v>
      </c>
      <c r="P340" s="16" t="n">
        <v>142.69</v>
      </c>
      <c r="Q340" s="16" t="n">
        <v>142.69</v>
      </c>
      <c r="R340" s="16" t="n">
        <v>142.69</v>
      </c>
      <c r="S340" s="16" t="n">
        <v>142.69</v>
      </c>
      <c r="T340" s="16" t="n">
        <v>142.69</v>
      </c>
      <c r="U340" s="16" t="n">
        <v>350</v>
      </c>
      <c r="V340" s="16" t="n">
        <v>0</v>
      </c>
      <c r="W340" s="16">
        <f>U340+V340</f>
        <v/>
      </c>
    </row>
    <row r="341">
      <c r="A341" s="3" t="inlineStr">
        <is>
          <t>CANON-202604-005706</t>
        </is>
      </c>
      <c r="B341" s="3" t="inlineStr">
        <is>
          <t>2026-04-03</t>
        </is>
      </c>
      <c r="C341" s="3" t="inlineStr">
        <is>
          <t>Ottilie Underwood</t>
        </is>
      </c>
      <c r="D341" s="3" t="inlineStr">
        <is>
          <t>FL</t>
        </is>
      </c>
      <c r="E341" s="14" t="n">
        <v>795000</v>
      </c>
      <c r="F341" s="14" t="n">
        <v>11498.27</v>
      </c>
      <c r="G341" s="14" t="n">
        <v>1437.28</v>
      </c>
      <c r="H341" s="14" t="n">
        <v>1437.28</v>
      </c>
      <c r="I341" s="14">
        <f>SUM(K341:T341)</f>
        <v/>
      </c>
      <c r="J341" s="14">
        <f>F341-(G341+H341+I341)</f>
        <v/>
      </c>
      <c r="K341" s="14" t="n">
        <v>862.37</v>
      </c>
      <c r="L341" s="14" t="n">
        <v>862.37</v>
      </c>
      <c r="M341" s="14" t="n">
        <v>862.37</v>
      </c>
      <c r="N341" s="14" t="n">
        <v>862.37</v>
      </c>
      <c r="O341" s="14" t="n">
        <v>862.37</v>
      </c>
      <c r="P341" s="14" t="n">
        <v>862.37</v>
      </c>
      <c r="Q341" s="14" t="n">
        <v>862.37</v>
      </c>
      <c r="R341" s="14" t="n">
        <v>862.37</v>
      </c>
      <c r="S341" s="14" t="n">
        <v>862.37</v>
      </c>
      <c r="T341" s="14" t="n">
        <v>862.37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CANON-202604-005707</t>
        </is>
      </c>
      <c r="B342" s="15" t="inlineStr">
        <is>
          <t>2026-04-12</t>
        </is>
      </c>
      <c r="C342" s="15" t="inlineStr">
        <is>
          <t>Priya Bellandi</t>
        </is>
      </c>
      <c r="D342" s="15" t="inlineStr">
        <is>
          <t>RI</t>
        </is>
      </c>
      <c r="E342" s="16" t="n">
        <v>165000</v>
      </c>
      <c r="F342" s="16" t="n">
        <v>3258.79</v>
      </c>
      <c r="G342" s="16" t="n">
        <v>407.35</v>
      </c>
      <c r="H342" s="16" t="n">
        <v>407.35</v>
      </c>
      <c r="I342" s="16">
        <f>SUM(K342:T342)</f>
        <v/>
      </c>
      <c r="J342" s="16">
        <f>F342-(G342+H342+I342)</f>
        <v/>
      </c>
      <c r="K342" s="16" t="n">
        <v>244.41</v>
      </c>
      <c r="L342" s="16" t="n">
        <v>244.41</v>
      </c>
      <c r="M342" s="16" t="n">
        <v>244.41</v>
      </c>
      <c r="N342" s="16" t="n">
        <v>244.41</v>
      </c>
      <c r="O342" s="16" t="n">
        <v>244.41</v>
      </c>
      <c r="P342" s="16" t="n">
        <v>244.41</v>
      </c>
      <c r="Q342" s="16" t="n">
        <v>244.41</v>
      </c>
      <c r="R342" s="16" t="n">
        <v>244.41</v>
      </c>
      <c r="S342" s="16" t="n">
        <v>244.41</v>
      </c>
      <c r="T342" s="16" t="n">
        <v>244.41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CANON-202604-005708</t>
        </is>
      </c>
      <c r="B343" s="3" t="inlineStr">
        <is>
          <t>2026-04-04</t>
        </is>
      </c>
      <c r="C343" s="3" t="inlineStr">
        <is>
          <t>Mireille Kingsford</t>
        </is>
      </c>
      <c r="D343" s="3" t="inlineStr">
        <is>
          <t>OR</t>
        </is>
      </c>
      <c r="E343" s="14" t="n">
        <v>990000</v>
      </c>
      <c r="F343" s="14" t="n">
        <v>11394.39</v>
      </c>
      <c r="G343" s="14" t="n">
        <v>1424.3</v>
      </c>
      <c r="H343" s="14" t="n">
        <v>1424.3</v>
      </c>
      <c r="I343" s="14">
        <f>SUM(K343:T343)</f>
        <v/>
      </c>
      <c r="J343" s="14">
        <f>F343-(G343+H343+I343)</f>
        <v/>
      </c>
      <c r="K343" s="14" t="n">
        <v>854.58</v>
      </c>
      <c r="L343" s="14" t="n">
        <v>854.58</v>
      </c>
      <c r="M343" s="14" t="n">
        <v>854.58</v>
      </c>
      <c r="N343" s="14" t="n">
        <v>854.58</v>
      </c>
      <c r="O343" s="14" t="n">
        <v>854.58</v>
      </c>
      <c r="P343" s="14" t="n">
        <v>854.58</v>
      </c>
      <c r="Q343" s="14" t="n">
        <v>854.58</v>
      </c>
      <c r="R343" s="14" t="n">
        <v>854.58</v>
      </c>
      <c r="S343" s="14" t="n">
        <v>854.58</v>
      </c>
      <c r="T343" s="14" t="n">
        <v>854.58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CANON-202604-005710</t>
        </is>
      </c>
      <c r="B344" s="15" t="inlineStr">
        <is>
          <t>2026-04-11</t>
        </is>
      </c>
      <c r="C344" s="15" t="inlineStr">
        <is>
          <t>Sunniva Underwood</t>
        </is>
      </c>
      <c r="D344" s="15" t="inlineStr">
        <is>
          <t>FL</t>
        </is>
      </c>
      <c r="E344" s="16" t="n">
        <v>585000</v>
      </c>
      <c r="F344" s="16" t="n">
        <v>8460.99</v>
      </c>
      <c r="G344" s="16" t="n">
        <v>1057.62</v>
      </c>
      <c r="H344" s="16" t="n">
        <v>1057.62</v>
      </c>
      <c r="I344" s="16">
        <f>SUM(K344:T344)</f>
        <v/>
      </c>
      <c r="J344" s="16">
        <f>F344-(G344+H344+I344)</f>
        <v/>
      </c>
      <c r="K344" s="16" t="n">
        <v>634.5700000000001</v>
      </c>
      <c r="L344" s="16" t="n">
        <v>634.5700000000001</v>
      </c>
      <c r="M344" s="16" t="n">
        <v>634.5700000000001</v>
      </c>
      <c r="N344" s="16" t="n">
        <v>634.5700000000001</v>
      </c>
      <c r="O344" s="16" t="n">
        <v>634.5700000000001</v>
      </c>
      <c r="P344" s="16" t="n">
        <v>634.5700000000001</v>
      </c>
      <c r="Q344" s="16" t="n">
        <v>634.5700000000001</v>
      </c>
      <c r="R344" s="16" t="n">
        <v>634.5700000000001</v>
      </c>
      <c r="S344" s="16" t="n">
        <v>634.5700000000001</v>
      </c>
      <c r="T344" s="16" t="n">
        <v>634.5700000000001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CANON-202604-005711</t>
        </is>
      </c>
      <c r="B345" s="3" t="inlineStr">
        <is>
          <t>2026-04-24</t>
        </is>
      </c>
      <c r="C345" s="3" t="inlineStr">
        <is>
          <t>Ottilie Vandermeer</t>
        </is>
      </c>
      <c r="D345" s="3" t="inlineStr">
        <is>
          <t>DE</t>
        </is>
      </c>
      <c r="E345" s="14" t="n">
        <v>905000</v>
      </c>
      <c r="F345" s="14" t="n">
        <v>11522.21</v>
      </c>
      <c r="G345" s="14" t="n">
        <v>1440.28</v>
      </c>
      <c r="H345" s="14" t="n">
        <v>1440.28</v>
      </c>
      <c r="I345" s="14">
        <f>SUM(K345:T345)</f>
        <v/>
      </c>
      <c r="J345" s="14">
        <f>F345-(G345+H345+I345)</f>
        <v/>
      </c>
      <c r="K345" s="14" t="n">
        <v>864.17</v>
      </c>
      <c r="L345" s="14" t="n">
        <v>864.17</v>
      </c>
      <c r="M345" s="14" t="n">
        <v>864.17</v>
      </c>
      <c r="N345" s="14" t="n">
        <v>864.17</v>
      </c>
      <c r="O345" s="14" t="n">
        <v>864.17</v>
      </c>
      <c r="P345" s="14" t="n">
        <v>864.17</v>
      </c>
      <c r="Q345" s="14" t="n">
        <v>864.17</v>
      </c>
      <c r="R345" s="14" t="n">
        <v>864.17</v>
      </c>
      <c r="S345" s="14" t="n">
        <v>864.17</v>
      </c>
      <c r="T345" s="14" t="n">
        <v>864.17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CANON-202604-005712</t>
        </is>
      </c>
      <c r="B346" s="15" t="inlineStr">
        <is>
          <t>2026-04-30</t>
        </is>
      </c>
      <c r="C346" s="15" t="inlineStr">
        <is>
          <t>Desmond Nakashima</t>
        </is>
      </c>
      <c r="D346" s="15" t="inlineStr">
        <is>
          <t>WA</t>
        </is>
      </c>
      <c r="E346" s="16" t="n">
        <v>710000</v>
      </c>
      <c r="F346" s="16" t="n">
        <v>4592.63</v>
      </c>
      <c r="G346" s="16" t="n">
        <v>574.08</v>
      </c>
      <c r="H346" s="16" t="n">
        <v>574.08</v>
      </c>
      <c r="I346" s="16">
        <f>SUM(K346:T346)</f>
        <v/>
      </c>
      <c r="J346" s="16">
        <f>F346-(G346+H346+I346)</f>
        <v/>
      </c>
      <c r="K346" s="16" t="n">
        <v>344.45</v>
      </c>
      <c r="L346" s="16" t="n">
        <v>344.45</v>
      </c>
      <c r="M346" s="16" t="n">
        <v>344.45</v>
      </c>
      <c r="N346" s="16" t="n">
        <v>344.45</v>
      </c>
      <c r="O346" s="16" t="n">
        <v>344.45</v>
      </c>
      <c r="P346" s="16" t="n">
        <v>344.45</v>
      </c>
      <c r="Q346" s="16" t="n">
        <v>344.45</v>
      </c>
      <c r="R346" s="16" t="n">
        <v>344.45</v>
      </c>
      <c r="S346" s="16" t="n">
        <v>344.45</v>
      </c>
      <c r="T346" s="16" t="n">
        <v>344.45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CANON-202604-005713</t>
        </is>
      </c>
      <c r="B347" s="3" t="inlineStr">
        <is>
          <t>2026-04-29</t>
        </is>
      </c>
      <c r="C347" s="3" t="inlineStr">
        <is>
          <t>Desmond Okonkwo</t>
        </is>
      </c>
      <c r="D347" s="3" t="inlineStr">
        <is>
          <t>NY</t>
        </is>
      </c>
      <c r="E347" s="14" t="n">
        <v>610000</v>
      </c>
      <c r="F347" s="14" t="n">
        <v>7952.74</v>
      </c>
      <c r="G347" s="14" t="n">
        <v>994.09</v>
      </c>
      <c r="H347" s="14" t="n">
        <v>994.09</v>
      </c>
      <c r="I347" s="14">
        <f>SUM(K347:T347)</f>
        <v/>
      </c>
      <c r="J347" s="14">
        <f>F347-(G347+H347+I347)</f>
        <v/>
      </c>
      <c r="K347" s="14" t="n">
        <v>596.46</v>
      </c>
      <c r="L347" s="14" t="n">
        <v>596.46</v>
      </c>
      <c r="M347" s="14" t="n">
        <v>596.46</v>
      </c>
      <c r="N347" s="14" t="n">
        <v>596.46</v>
      </c>
      <c r="O347" s="14" t="n">
        <v>596.46</v>
      </c>
      <c r="P347" s="14" t="n">
        <v>596.46</v>
      </c>
      <c r="Q347" s="14" t="n">
        <v>596.46</v>
      </c>
      <c r="R347" s="14" t="n">
        <v>596.46</v>
      </c>
      <c r="S347" s="14" t="n">
        <v>596.46</v>
      </c>
      <c r="T347" s="14" t="n">
        <v>596.46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CANON-202604-005714</t>
        </is>
      </c>
      <c r="B348" s="15" t="inlineStr">
        <is>
          <t>2026-04-08</t>
        </is>
      </c>
      <c r="C348" s="15" t="inlineStr">
        <is>
          <t>Emiliano Pennington</t>
        </is>
      </c>
      <c r="D348" s="15" t="inlineStr">
        <is>
          <t>AL</t>
        </is>
      </c>
      <c r="E348" s="16" t="n">
        <v>485000</v>
      </c>
      <c r="F348" s="16" t="n">
        <v>7238.86</v>
      </c>
      <c r="G348" s="16" t="n">
        <v>904.86</v>
      </c>
      <c r="H348" s="16" t="n">
        <v>904.86</v>
      </c>
      <c r="I348" s="16">
        <f>SUM(K348:T348)</f>
        <v/>
      </c>
      <c r="J348" s="16">
        <f>F348-(G348+H348+I348)</f>
        <v/>
      </c>
      <c r="K348" s="16" t="n">
        <v>542.91</v>
      </c>
      <c r="L348" s="16" t="n">
        <v>542.91</v>
      </c>
      <c r="M348" s="16" t="n">
        <v>542.91</v>
      </c>
      <c r="N348" s="16" t="n">
        <v>542.91</v>
      </c>
      <c r="O348" s="16" t="n">
        <v>542.91</v>
      </c>
      <c r="P348" s="16" t="n">
        <v>542.91</v>
      </c>
      <c r="Q348" s="16" t="n">
        <v>542.91</v>
      </c>
      <c r="R348" s="16" t="n">
        <v>542.91</v>
      </c>
      <c r="S348" s="16" t="n">
        <v>542.91</v>
      </c>
      <c r="T348" s="16" t="n">
        <v>542.91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CANON-202604-005715</t>
        </is>
      </c>
      <c r="B349" s="3" t="inlineStr">
        <is>
          <t>2026-04-20</t>
        </is>
      </c>
      <c r="C349" s="3" t="inlineStr">
        <is>
          <t>Priya Vasquez</t>
        </is>
      </c>
      <c r="D349" s="3" t="inlineStr">
        <is>
          <t>SC</t>
        </is>
      </c>
      <c r="E349" s="14" t="n">
        <v>575000</v>
      </c>
      <c r="F349" s="14" t="n">
        <v>7262.17</v>
      </c>
      <c r="G349" s="14" t="n">
        <v>907.77</v>
      </c>
      <c r="H349" s="14" t="n">
        <v>907.77</v>
      </c>
      <c r="I349" s="14">
        <f>SUM(K349:T349)</f>
        <v/>
      </c>
      <c r="J349" s="14">
        <f>F349-(G349+H349+I349)</f>
        <v/>
      </c>
      <c r="K349" s="14" t="n">
        <v>544.66</v>
      </c>
      <c r="L349" s="14" t="n">
        <v>544.66</v>
      </c>
      <c r="M349" s="14" t="n">
        <v>544.66</v>
      </c>
      <c r="N349" s="14" t="n">
        <v>544.66</v>
      </c>
      <c r="O349" s="14" t="n">
        <v>544.66</v>
      </c>
      <c r="P349" s="14" t="n">
        <v>544.66</v>
      </c>
      <c r="Q349" s="14" t="n">
        <v>544.66</v>
      </c>
      <c r="R349" s="14" t="n">
        <v>544.66</v>
      </c>
      <c r="S349" s="14" t="n">
        <v>544.66</v>
      </c>
      <c r="T349" s="14" t="n">
        <v>544.66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CANON-202604-005716</t>
        </is>
      </c>
      <c r="B350" s="15" t="inlineStr">
        <is>
          <t>2026-04-16</t>
        </is>
      </c>
      <c r="C350" s="15" t="inlineStr">
        <is>
          <t>Fenwick Okonkwo</t>
        </is>
      </c>
      <c r="D350" s="15" t="inlineStr">
        <is>
          <t>IA</t>
        </is>
      </c>
      <c r="E350" s="16" t="n">
        <v>1085000</v>
      </c>
      <c r="F350" s="16" t="n">
        <v>7106.73</v>
      </c>
      <c r="G350" s="16" t="n">
        <v>888.34</v>
      </c>
      <c r="H350" s="16" t="n">
        <v>888.34</v>
      </c>
      <c r="I350" s="16">
        <f>SUM(K350:T350)</f>
        <v/>
      </c>
      <c r="J350" s="16">
        <f>F350-(G350+H350+I350)</f>
        <v/>
      </c>
      <c r="K350" s="16" t="n">
        <v>533</v>
      </c>
      <c r="L350" s="16" t="n">
        <v>533</v>
      </c>
      <c r="M350" s="16" t="n">
        <v>533</v>
      </c>
      <c r="N350" s="16" t="n">
        <v>533</v>
      </c>
      <c r="O350" s="16" t="n">
        <v>533</v>
      </c>
      <c r="P350" s="16" t="n">
        <v>533</v>
      </c>
      <c r="Q350" s="16" t="n">
        <v>533</v>
      </c>
      <c r="R350" s="16" t="n">
        <v>533</v>
      </c>
      <c r="S350" s="16" t="n">
        <v>533</v>
      </c>
      <c r="T350" s="16" t="n">
        <v>533</v>
      </c>
      <c r="U350" s="16" t="n">
        <v>350</v>
      </c>
      <c r="V350" s="16" t="n">
        <v>250</v>
      </c>
      <c r="W350" s="16">
        <f>U350+V350</f>
        <v/>
      </c>
    </row>
    <row r="351">
      <c r="A351" s="3" t="inlineStr">
        <is>
          <t>CANON-202604-005717</t>
        </is>
      </c>
      <c r="B351" s="3" t="inlineStr">
        <is>
          <t>2026-04-28</t>
        </is>
      </c>
      <c r="C351" s="3" t="inlineStr">
        <is>
          <t>Sunniva Vandermeer</t>
        </is>
      </c>
      <c r="D351" s="3" t="inlineStr">
        <is>
          <t>CA</t>
        </is>
      </c>
      <c r="E351" s="14" t="n">
        <v>745000</v>
      </c>
      <c r="F351" s="14" t="n">
        <v>12292.73</v>
      </c>
      <c r="G351" s="14" t="n">
        <v>1536.59</v>
      </c>
      <c r="H351" s="14" t="n">
        <v>1536.59</v>
      </c>
      <c r="I351" s="14">
        <f>SUM(K351:T351)</f>
        <v/>
      </c>
      <c r="J351" s="14">
        <f>F351-(G351+H351+I351)</f>
        <v/>
      </c>
      <c r="K351" s="14" t="n">
        <v>921.95</v>
      </c>
      <c r="L351" s="14" t="n">
        <v>921.95</v>
      </c>
      <c r="M351" s="14" t="n">
        <v>921.95</v>
      </c>
      <c r="N351" s="14" t="n">
        <v>921.95</v>
      </c>
      <c r="O351" s="14" t="n">
        <v>921.95</v>
      </c>
      <c r="P351" s="14" t="n">
        <v>921.95</v>
      </c>
      <c r="Q351" s="14" t="n">
        <v>921.95</v>
      </c>
      <c r="R351" s="14" t="n">
        <v>921.95</v>
      </c>
      <c r="S351" s="14" t="n">
        <v>921.95</v>
      </c>
      <c r="T351" s="14" t="n">
        <v>921.95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CANON-202604-005719</t>
        </is>
      </c>
      <c r="B352" s="15" t="inlineStr">
        <is>
          <t>2026-04-01</t>
        </is>
      </c>
      <c r="C352" s="15" t="inlineStr">
        <is>
          <t>Leopold Blackwood</t>
        </is>
      </c>
      <c r="D352" s="15" t="inlineStr">
        <is>
          <t>VA</t>
        </is>
      </c>
      <c r="E352" s="16" t="n">
        <v>1155000</v>
      </c>
      <c r="F352" s="16" t="n">
        <v>10850.13</v>
      </c>
      <c r="G352" s="16" t="n">
        <v>1356.27</v>
      </c>
      <c r="H352" s="16" t="n">
        <v>1356.27</v>
      </c>
      <c r="I352" s="16">
        <f>SUM(K352:T352)</f>
        <v/>
      </c>
      <c r="J352" s="16">
        <f>F352-(G352+H352+I352)</f>
        <v/>
      </c>
      <c r="K352" s="16" t="n">
        <v>813.76</v>
      </c>
      <c r="L352" s="16" t="n">
        <v>813.76</v>
      </c>
      <c r="M352" s="16" t="n">
        <v>813.76</v>
      </c>
      <c r="N352" s="16" t="n">
        <v>813.76</v>
      </c>
      <c r="O352" s="16" t="n">
        <v>813.76</v>
      </c>
      <c r="P352" s="16" t="n">
        <v>813.76</v>
      </c>
      <c r="Q352" s="16" t="n">
        <v>813.76</v>
      </c>
      <c r="R352" s="16" t="n">
        <v>813.76</v>
      </c>
      <c r="S352" s="16" t="n">
        <v>813.76</v>
      </c>
      <c r="T352" s="16" t="n">
        <v>813.76</v>
      </c>
      <c r="U352" s="16" t="n">
        <v>350</v>
      </c>
      <c r="V352" s="16" t="n">
        <v>250</v>
      </c>
      <c r="W352" s="16">
        <f>U352+V352</f>
        <v/>
      </c>
    </row>
    <row r="353">
      <c r="A353" s="3" t="inlineStr">
        <is>
          <t>CANON-202604-005720</t>
        </is>
      </c>
      <c r="B353" s="3" t="inlineStr">
        <is>
          <t>2026-04-17</t>
        </is>
      </c>
      <c r="C353" s="3" t="inlineStr">
        <is>
          <t>Emiliano Okonkwo</t>
        </is>
      </c>
      <c r="D353" s="3" t="inlineStr">
        <is>
          <t>CA</t>
        </is>
      </c>
      <c r="E353" s="14" t="n">
        <v>570000</v>
      </c>
      <c r="F353" s="14" t="n">
        <v>7837.64</v>
      </c>
      <c r="G353" s="14" t="n">
        <v>979.71</v>
      </c>
      <c r="H353" s="14" t="n">
        <v>979.71</v>
      </c>
      <c r="I353" s="14">
        <f>SUM(K353:T353)</f>
        <v/>
      </c>
      <c r="J353" s="14">
        <f>F353-(G353+H353+I353)</f>
        <v/>
      </c>
      <c r="K353" s="14" t="n">
        <v>587.8200000000001</v>
      </c>
      <c r="L353" s="14" t="n">
        <v>587.8200000000001</v>
      </c>
      <c r="M353" s="14" t="n">
        <v>587.8200000000001</v>
      </c>
      <c r="N353" s="14" t="n">
        <v>587.8200000000001</v>
      </c>
      <c r="O353" s="14" t="n">
        <v>587.8200000000001</v>
      </c>
      <c r="P353" s="14" t="n">
        <v>587.8200000000001</v>
      </c>
      <c r="Q353" s="14" t="n">
        <v>587.8200000000001</v>
      </c>
      <c r="R353" s="14" t="n">
        <v>587.8200000000001</v>
      </c>
      <c r="S353" s="14" t="n">
        <v>587.8200000000001</v>
      </c>
      <c r="T353" s="14" t="n">
        <v>587.8200000000001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CANON-202604-005721</t>
        </is>
      </c>
      <c r="B354" s="15" t="inlineStr">
        <is>
          <t>2026-04-26</t>
        </is>
      </c>
      <c r="C354" s="15" t="inlineStr">
        <is>
          <t>Fitzgerald Blackwood</t>
        </is>
      </c>
      <c r="D354" s="15" t="inlineStr">
        <is>
          <t>NM</t>
        </is>
      </c>
      <c r="E354" s="16" t="n">
        <v>715000</v>
      </c>
      <c r="F354" s="16" t="n">
        <v>9321.66</v>
      </c>
      <c r="G354" s="16" t="n">
        <v>1165.21</v>
      </c>
      <c r="H354" s="16" t="n">
        <v>1165.21</v>
      </c>
      <c r="I354" s="16">
        <f>SUM(K354:T354)</f>
        <v/>
      </c>
      <c r="J354" s="16">
        <f>F354-(G354+H354+I354)</f>
        <v/>
      </c>
      <c r="K354" s="16" t="n">
        <v>699.12</v>
      </c>
      <c r="L354" s="16" t="n">
        <v>699.12</v>
      </c>
      <c r="M354" s="16" t="n">
        <v>699.12</v>
      </c>
      <c r="N354" s="16" t="n">
        <v>699.12</v>
      </c>
      <c r="O354" s="16" t="n">
        <v>699.12</v>
      </c>
      <c r="P354" s="16" t="n">
        <v>699.12</v>
      </c>
      <c r="Q354" s="16" t="n">
        <v>699.12</v>
      </c>
      <c r="R354" s="16" t="n">
        <v>699.12</v>
      </c>
      <c r="S354" s="16" t="n">
        <v>699.12</v>
      </c>
      <c r="T354" s="16" t="n">
        <v>699.12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CANON-202604-005722</t>
        </is>
      </c>
      <c r="B355" s="3" t="inlineStr">
        <is>
          <t>2026-04-13</t>
        </is>
      </c>
      <c r="C355" s="3" t="inlineStr">
        <is>
          <t>Delphine Vasquez</t>
        </is>
      </c>
      <c r="D355" s="3" t="inlineStr">
        <is>
          <t>TN</t>
        </is>
      </c>
      <c r="E355" s="14" t="n">
        <v>345000</v>
      </c>
      <c r="F355" s="14" t="n">
        <v>6092.66</v>
      </c>
      <c r="G355" s="14" t="n">
        <v>761.58</v>
      </c>
      <c r="H355" s="14" t="n">
        <v>761.58</v>
      </c>
      <c r="I355" s="14">
        <f>SUM(K355:T355)</f>
        <v/>
      </c>
      <c r="J355" s="14">
        <f>F355-(G355+H355+I355)</f>
        <v/>
      </c>
      <c r="K355" s="14" t="n">
        <v>456.95</v>
      </c>
      <c r="L355" s="14" t="n">
        <v>456.95</v>
      </c>
      <c r="M355" s="14" t="n">
        <v>456.95</v>
      </c>
      <c r="N355" s="14" t="n">
        <v>456.95</v>
      </c>
      <c r="O355" s="14" t="n">
        <v>456.95</v>
      </c>
      <c r="P355" s="14" t="n">
        <v>456.95</v>
      </c>
      <c r="Q355" s="14" t="n">
        <v>456.95</v>
      </c>
      <c r="R355" s="14" t="n">
        <v>456.95</v>
      </c>
      <c r="S355" s="14" t="n">
        <v>456.95</v>
      </c>
      <c r="T355" s="14" t="n">
        <v>456.95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CANON-202604-005723</t>
        </is>
      </c>
      <c r="B356" s="15" t="inlineStr">
        <is>
          <t>2026-04-06</t>
        </is>
      </c>
      <c r="C356" s="15" t="inlineStr">
        <is>
          <t>Everett Pennington</t>
        </is>
      </c>
      <c r="D356" s="15" t="inlineStr">
        <is>
          <t>VA</t>
        </is>
      </c>
      <c r="E356" s="16" t="n">
        <v>1830000</v>
      </c>
      <c r="F356" s="16" t="n">
        <v>11877.5</v>
      </c>
      <c r="G356" s="16" t="n">
        <v>1484.69</v>
      </c>
      <c r="H356" s="16" t="n">
        <v>1484.69</v>
      </c>
      <c r="I356" s="16">
        <f>SUM(K356:T356)</f>
        <v/>
      </c>
      <c r="J356" s="16">
        <f>F356-(G356+H356+I356)</f>
        <v/>
      </c>
      <c r="K356" s="16" t="n">
        <v>890.8099999999999</v>
      </c>
      <c r="L356" s="16" t="n">
        <v>890.8099999999999</v>
      </c>
      <c r="M356" s="16" t="n">
        <v>890.8099999999999</v>
      </c>
      <c r="N356" s="16" t="n">
        <v>890.8099999999999</v>
      </c>
      <c r="O356" s="16" t="n">
        <v>890.8099999999999</v>
      </c>
      <c r="P356" s="16" t="n">
        <v>890.8099999999999</v>
      </c>
      <c r="Q356" s="16" t="n">
        <v>890.8099999999999</v>
      </c>
      <c r="R356" s="16" t="n">
        <v>890.8099999999999</v>
      </c>
      <c r="S356" s="16" t="n">
        <v>890.8099999999999</v>
      </c>
      <c r="T356" s="16" t="n">
        <v>890.8099999999999</v>
      </c>
      <c r="U356" s="16" t="n">
        <v>350</v>
      </c>
      <c r="V356" s="16" t="n">
        <v>250</v>
      </c>
      <c r="W356" s="16">
        <f>U356+V356</f>
        <v/>
      </c>
    </row>
    <row r="357">
      <c r="A357" s="3" t="inlineStr">
        <is>
          <t>CANON-202604-005724</t>
        </is>
      </c>
      <c r="B357" s="3" t="inlineStr">
        <is>
          <t>2026-04-04</t>
        </is>
      </c>
      <c r="C357" s="3" t="inlineStr">
        <is>
          <t>Sunniva Nakashima</t>
        </is>
      </c>
      <c r="D357" s="3" t="inlineStr">
        <is>
          <t>RI</t>
        </is>
      </c>
      <c r="E357" s="14" t="n">
        <v>660000</v>
      </c>
      <c r="F357" s="14" t="n">
        <v>9209.620000000001</v>
      </c>
      <c r="G357" s="14" t="n">
        <v>1151.2</v>
      </c>
      <c r="H357" s="14" t="n">
        <v>1151.2</v>
      </c>
      <c r="I357" s="14">
        <f>SUM(K357:T357)</f>
        <v/>
      </c>
      <c r="J357" s="14">
        <f>F357-(G357+H357+I357)</f>
        <v/>
      </c>
      <c r="K357" s="14" t="n">
        <v>690.72</v>
      </c>
      <c r="L357" s="14" t="n">
        <v>690.72</v>
      </c>
      <c r="M357" s="14" t="n">
        <v>690.72</v>
      </c>
      <c r="N357" s="14" t="n">
        <v>690.72</v>
      </c>
      <c r="O357" s="14" t="n">
        <v>690.72</v>
      </c>
      <c r="P357" s="14" t="n">
        <v>690.72</v>
      </c>
      <c r="Q357" s="14" t="n">
        <v>690.72</v>
      </c>
      <c r="R357" s="14" t="n">
        <v>690.72</v>
      </c>
      <c r="S357" s="14" t="n">
        <v>690.72</v>
      </c>
      <c r="T357" s="14" t="n">
        <v>690.72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CANON-202604-005725</t>
        </is>
      </c>
      <c r="B358" s="15" t="inlineStr">
        <is>
          <t>2026-04-19</t>
        </is>
      </c>
      <c r="C358" s="15" t="inlineStr">
        <is>
          <t>Saoirse Fairweather</t>
        </is>
      </c>
      <c r="D358" s="15" t="inlineStr">
        <is>
          <t>NY</t>
        </is>
      </c>
      <c r="E358" s="16" t="n">
        <v>1950000</v>
      </c>
      <c r="F358" s="16" t="n">
        <v>31289.48</v>
      </c>
      <c r="G358" s="16" t="n">
        <v>3911.18</v>
      </c>
      <c r="H358" s="16" t="n">
        <v>3911.18</v>
      </c>
      <c r="I358" s="16">
        <f>SUM(K358:T358)</f>
        <v/>
      </c>
      <c r="J358" s="16">
        <f>F358-(G358+H358+I358)</f>
        <v/>
      </c>
      <c r="K358" s="16" t="n">
        <v>2346.71</v>
      </c>
      <c r="L358" s="16" t="n">
        <v>2346.71</v>
      </c>
      <c r="M358" s="16" t="n">
        <v>2346.71</v>
      </c>
      <c r="N358" s="16" t="n">
        <v>2346.71</v>
      </c>
      <c r="O358" s="16" t="n">
        <v>2346.71</v>
      </c>
      <c r="P358" s="16" t="n">
        <v>2346.71</v>
      </c>
      <c r="Q358" s="16" t="n">
        <v>2346.71</v>
      </c>
      <c r="R358" s="16" t="n">
        <v>2346.71</v>
      </c>
      <c r="S358" s="16" t="n">
        <v>2346.71</v>
      </c>
      <c r="T358" s="16" t="n">
        <v>2346.71</v>
      </c>
      <c r="U358" s="16" t="n">
        <v>350</v>
      </c>
      <c r="V358" s="16" t="n">
        <v>250</v>
      </c>
      <c r="W358" s="16">
        <f>U358+V358</f>
        <v/>
      </c>
    </row>
    <row r="359">
      <c r="A359" s="3" t="inlineStr">
        <is>
          <t>CANON-202604-005726</t>
        </is>
      </c>
      <c r="B359" s="3" t="inlineStr">
        <is>
          <t>2026-04-06</t>
        </is>
      </c>
      <c r="C359" s="3" t="inlineStr">
        <is>
          <t>Wilhelmina Thistlewood</t>
        </is>
      </c>
      <c r="D359" s="3" t="inlineStr">
        <is>
          <t>UT</t>
        </is>
      </c>
      <c r="E359" s="14" t="n">
        <v>600000</v>
      </c>
      <c r="F359" s="14" t="n">
        <v>8250.15</v>
      </c>
      <c r="G359" s="14" t="n">
        <v>1031.27</v>
      </c>
      <c r="H359" s="14" t="n">
        <v>1031.27</v>
      </c>
      <c r="I359" s="14">
        <f>SUM(K359:T359)</f>
        <v/>
      </c>
      <c r="J359" s="14">
        <f>F359-(G359+H359+I359)</f>
        <v/>
      </c>
      <c r="K359" s="14" t="n">
        <v>618.76</v>
      </c>
      <c r="L359" s="14" t="n">
        <v>618.76</v>
      </c>
      <c r="M359" s="14" t="n">
        <v>618.76</v>
      </c>
      <c r="N359" s="14" t="n">
        <v>618.76</v>
      </c>
      <c r="O359" s="14" t="n">
        <v>618.76</v>
      </c>
      <c r="P359" s="14" t="n">
        <v>618.76</v>
      </c>
      <c r="Q359" s="14" t="n">
        <v>618.76</v>
      </c>
      <c r="R359" s="14" t="n">
        <v>618.76</v>
      </c>
      <c r="S359" s="14" t="n">
        <v>618.76</v>
      </c>
      <c r="T359" s="14" t="n">
        <v>618.76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CANON-202604-005729</t>
        </is>
      </c>
      <c r="B360" s="15" t="inlineStr">
        <is>
          <t>2026-04-26</t>
        </is>
      </c>
      <c r="C360" s="15" t="inlineStr">
        <is>
          <t>Ingrid Whitlock</t>
        </is>
      </c>
      <c r="D360" s="15" t="inlineStr">
        <is>
          <t>FL</t>
        </is>
      </c>
      <c r="E360" s="16" t="n">
        <v>625000</v>
      </c>
      <c r="F360" s="16" t="n">
        <v>9039.52</v>
      </c>
      <c r="G360" s="16" t="n">
        <v>1129.94</v>
      </c>
      <c r="H360" s="16" t="n">
        <v>1129.94</v>
      </c>
      <c r="I360" s="16">
        <f>SUM(K360:T360)</f>
        <v/>
      </c>
      <c r="J360" s="16">
        <f>F360-(G360+H360+I360)</f>
        <v/>
      </c>
      <c r="K360" s="16" t="n">
        <v>677.96</v>
      </c>
      <c r="L360" s="16" t="n">
        <v>677.96</v>
      </c>
      <c r="M360" s="16" t="n">
        <v>677.96</v>
      </c>
      <c r="N360" s="16" t="n">
        <v>677.96</v>
      </c>
      <c r="O360" s="16" t="n">
        <v>677.96</v>
      </c>
      <c r="P360" s="16" t="n">
        <v>677.96</v>
      </c>
      <c r="Q360" s="16" t="n">
        <v>677.96</v>
      </c>
      <c r="R360" s="16" t="n">
        <v>677.96</v>
      </c>
      <c r="S360" s="16" t="n">
        <v>677.96</v>
      </c>
      <c r="T360" s="16" t="n">
        <v>677.96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CANON-202604-005734</t>
        </is>
      </c>
      <c r="B361" s="3" t="inlineStr">
        <is>
          <t>2026-04-22</t>
        </is>
      </c>
      <c r="C361" s="3" t="inlineStr">
        <is>
          <t>Marisol Rourke</t>
        </is>
      </c>
      <c r="D361" s="3" t="inlineStr">
        <is>
          <t>MO</t>
        </is>
      </c>
      <c r="E361" s="14" t="n">
        <v>1740000</v>
      </c>
      <c r="F361" s="14" t="n">
        <v>23121.12</v>
      </c>
      <c r="G361" s="14" t="n">
        <v>2890.14</v>
      </c>
      <c r="H361" s="14" t="n">
        <v>2890.14</v>
      </c>
      <c r="I361" s="14">
        <f>SUM(K361:T361)</f>
        <v/>
      </c>
      <c r="J361" s="14">
        <f>F361-(G361+H361+I361)</f>
        <v/>
      </c>
      <c r="K361" s="14" t="n">
        <v>1734.08</v>
      </c>
      <c r="L361" s="14" t="n">
        <v>1734.08</v>
      </c>
      <c r="M361" s="14" t="n">
        <v>1734.08</v>
      </c>
      <c r="N361" s="14" t="n">
        <v>1734.08</v>
      </c>
      <c r="O361" s="14" t="n">
        <v>1734.08</v>
      </c>
      <c r="P361" s="14" t="n">
        <v>1734.08</v>
      </c>
      <c r="Q361" s="14" t="n">
        <v>1734.08</v>
      </c>
      <c r="R361" s="14" t="n">
        <v>1734.08</v>
      </c>
      <c r="S361" s="14" t="n">
        <v>1734.08</v>
      </c>
      <c r="T361" s="14" t="n">
        <v>1734.08</v>
      </c>
      <c r="U361" s="14" t="n">
        <v>350</v>
      </c>
      <c r="V361" s="14" t="n">
        <v>250</v>
      </c>
      <c r="W361" s="14">
        <f>U361+V361</f>
        <v/>
      </c>
    </row>
    <row r="362">
      <c r="A362" s="15" t="inlineStr">
        <is>
          <t>CANON-202604-005735</t>
        </is>
      </c>
      <c r="B362" s="15" t="inlineStr">
        <is>
          <t>2026-04-23</t>
        </is>
      </c>
      <c r="C362" s="15" t="inlineStr">
        <is>
          <t>Ottilie Kingsford</t>
        </is>
      </c>
      <c r="D362" s="15" t="inlineStr">
        <is>
          <t>NC</t>
        </is>
      </c>
      <c r="E362" s="16" t="n">
        <v>105000</v>
      </c>
      <c r="F362" s="16" t="n">
        <v>1740.76</v>
      </c>
      <c r="G362" s="16" t="n">
        <v>217.59</v>
      </c>
      <c r="H362" s="16" t="n">
        <v>217.59</v>
      </c>
      <c r="I362" s="16">
        <f>SUM(K362:T362)</f>
        <v/>
      </c>
      <c r="J362" s="16">
        <f>F362-(G362+H362+I362)</f>
        <v/>
      </c>
      <c r="K362" s="16" t="n">
        <v>130.56</v>
      </c>
      <c r="L362" s="16" t="n">
        <v>130.56</v>
      </c>
      <c r="M362" s="16" t="n">
        <v>130.56</v>
      </c>
      <c r="N362" s="16" t="n">
        <v>130.56</v>
      </c>
      <c r="O362" s="16" t="n">
        <v>130.56</v>
      </c>
      <c r="P362" s="16" t="n">
        <v>130.56</v>
      </c>
      <c r="Q362" s="16" t="n">
        <v>130.56</v>
      </c>
      <c r="R362" s="16" t="n">
        <v>130.56</v>
      </c>
      <c r="S362" s="16" t="n">
        <v>130.56</v>
      </c>
      <c r="T362" s="16" t="n">
        <v>130.56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CANON-202604-005738</t>
        </is>
      </c>
      <c r="B363" s="3" t="inlineStr">
        <is>
          <t>2026-04-12</t>
        </is>
      </c>
      <c r="C363" s="3" t="inlineStr">
        <is>
          <t>Ramona Merriweather</t>
        </is>
      </c>
      <c r="D363" s="3" t="inlineStr">
        <is>
          <t>UT</t>
        </is>
      </c>
      <c r="E363" s="14" t="n">
        <v>360000</v>
      </c>
      <c r="F363" s="14" t="n">
        <v>8757.860000000001</v>
      </c>
      <c r="G363" s="14" t="n">
        <v>1094.73</v>
      </c>
      <c r="H363" s="14" t="n">
        <v>1094.73</v>
      </c>
      <c r="I363" s="14">
        <f>SUM(K363:T363)</f>
        <v/>
      </c>
      <c r="J363" s="14">
        <f>F363-(G363+H363+I363)</f>
        <v/>
      </c>
      <c r="K363" s="14" t="n">
        <v>656.84</v>
      </c>
      <c r="L363" s="14" t="n">
        <v>656.84</v>
      </c>
      <c r="M363" s="14" t="n">
        <v>656.84</v>
      </c>
      <c r="N363" s="14" t="n">
        <v>656.84</v>
      </c>
      <c r="O363" s="14" t="n">
        <v>656.84</v>
      </c>
      <c r="P363" s="14" t="n">
        <v>656.84</v>
      </c>
      <c r="Q363" s="14" t="n">
        <v>656.84</v>
      </c>
      <c r="R363" s="14" t="n">
        <v>656.84</v>
      </c>
      <c r="S363" s="14" t="n">
        <v>656.84</v>
      </c>
      <c r="T363" s="14" t="n">
        <v>656.84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CANON-202604-005739</t>
        </is>
      </c>
      <c r="B364" s="15" t="inlineStr">
        <is>
          <t>2026-04-13</t>
        </is>
      </c>
      <c r="C364" s="15" t="inlineStr">
        <is>
          <t>Saoirse Underwood</t>
        </is>
      </c>
      <c r="D364" s="15" t="inlineStr">
        <is>
          <t>TX</t>
        </is>
      </c>
      <c r="E364" s="16" t="n">
        <v>1020000</v>
      </c>
      <c r="F364" s="16" t="n">
        <v>14704.55</v>
      </c>
      <c r="G364" s="16" t="n">
        <v>1838.07</v>
      </c>
      <c r="H364" s="16" t="n">
        <v>1838.07</v>
      </c>
      <c r="I364" s="16">
        <f>SUM(K364:T364)</f>
        <v/>
      </c>
      <c r="J364" s="16">
        <f>F364-(G364+H364+I364)</f>
        <v/>
      </c>
      <c r="K364" s="16" t="n">
        <v>1102.84</v>
      </c>
      <c r="L364" s="16" t="n">
        <v>1102.84</v>
      </c>
      <c r="M364" s="16" t="n">
        <v>1102.84</v>
      </c>
      <c r="N364" s="16" t="n">
        <v>1102.84</v>
      </c>
      <c r="O364" s="16" t="n">
        <v>1102.84</v>
      </c>
      <c r="P364" s="16" t="n">
        <v>1102.84</v>
      </c>
      <c r="Q364" s="16" t="n">
        <v>1102.84</v>
      </c>
      <c r="R364" s="16" t="n">
        <v>1102.84</v>
      </c>
      <c r="S364" s="16" t="n">
        <v>1102.84</v>
      </c>
      <c r="T364" s="16" t="n">
        <v>1102.84</v>
      </c>
      <c r="U364" s="16" t="n">
        <v>350</v>
      </c>
      <c r="V364" s="16" t="n">
        <v>250</v>
      </c>
      <c r="W364" s="16">
        <f>U364+V364</f>
        <v/>
      </c>
    </row>
    <row r="365">
      <c r="A365" s="3" t="inlineStr">
        <is>
          <t>CANON-202604-005740</t>
        </is>
      </c>
      <c r="B365" s="3" t="inlineStr">
        <is>
          <t>2026-04-27</t>
        </is>
      </c>
      <c r="C365" s="3" t="inlineStr">
        <is>
          <t>Horace Pennington</t>
        </is>
      </c>
      <c r="D365" s="3" t="inlineStr">
        <is>
          <t>LA</t>
        </is>
      </c>
      <c r="E365" s="14" t="n">
        <v>510000</v>
      </c>
      <c r="F365" s="14" t="n">
        <v>6285.4</v>
      </c>
      <c r="G365" s="14" t="n">
        <v>785.67</v>
      </c>
      <c r="H365" s="14" t="n">
        <v>785.67</v>
      </c>
      <c r="I365" s="14">
        <f>SUM(K365:T365)</f>
        <v/>
      </c>
      <c r="J365" s="14">
        <f>F365-(G365+H365+I365)</f>
        <v/>
      </c>
      <c r="K365" s="14" t="n">
        <v>471.4</v>
      </c>
      <c r="L365" s="14" t="n">
        <v>471.4</v>
      </c>
      <c r="M365" s="14" t="n">
        <v>471.4</v>
      </c>
      <c r="N365" s="14" t="n">
        <v>471.4</v>
      </c>
      <c r="O365" s="14" t="n">
        <v>471.4</v>
      </c>
      <c r="P365" s="14" t="n">
        <v>471.4</v>
      </c>
      <c r="Q365" s="14" t="n">
        <v>471.4</v>
      </c>
      <c r="R365" s="14" t="n">
        <v>471.4</v>
      </c>
      <c r="S365" s="14" t="n">
        <v>471.4</v>
      </c>
      <c r="T365" s="14" t="n">
        <v>471.4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CANON-202604-005741</t>
        </is>
      </c>
      <c r="B366" s="15" t="inlineStr">
        <is>
          <t>2026-04-06</t>
        </is>
      </c>
      <c r="C366" s="15" t="inlineStr">
        <is>
          <t>Fenwick Larsson</t>
        </is>
      </c>
      <c r="D366" s="15" t="inlineStr">
        <is>
          <t>UT</t>
        </is>
      </c>
      <c r="E366" s="16" t="n">
        <v>380000</v>
      </c>
      <c r="F366" s="16" t="n">
        <v>6028.96</v>
      </c>
      <c r="G366" s="16" t="n">
        <v>753.62</v>
      </c>
      <c r="H366" s="16" t="n">
        <v>753.62</v>
      </c>
      <c r="I366" s="16">
        <f>SUM(K366:T366)</f>
        <v/>
      </c>
      <c r="J366" s="16">
        <f>F366-(G366+H366+I366)</f>
        <v/>
      </c>
      <c r="K366" s="16" t="n">
        <v>452.17</v>
      </c>
      <c r="L366" s="16" t="n">
        <v>452.17</v>
      </c>
      <c r="M366" s="16" t="n">
        <v>452.17</v>
      </c>
      <c r="N366" s="16" t="n">
        <v>452.17</v>
      </c>
      <c r="O366" s="16" t="n">
        <v>452.17</v>
      </c>
      <c r="P366" s="16" t="n">
        <v>452.17</v>
      </c>
      <c r="Q366" s="16" t="n">
        <v>452.17</v>
      </c>
      <c r="R366" s="16" t="n">
        <v>452.17</v>
      </c>
      <c r="S366" s="16" t="n">
        <v>452.17</v>
      </c>
      <c r="T366" s="16" t="n">
        <v>452.17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CANON-202604-005742</t>
        </is>
      </c>
      <c r="B367" s="3" t="inlineStr">
        <is>
          <t>2026-04-09</t>
        </is>
      </c>
      <c r="C367" s="3" t="inlineStr">
        <is>
          <t>Everett Fairweather</t>
        </is>
      </c>
      <c r="D367" s="3" t="inlineStr">
        <is>
          <t>FL</t>
        </is>
      </c>
      <c r="E367" s="14" t="n">
        <v>1310000</v>
      </c>
      <c r="F367" s="14" t="n">
        <v>11076.61</v>
      </c>
      <c r="G367" s="14" t="n">
        <v>1384.58</v>
      </c>
      <c r="H367" s="14" t="n">
        <v>1384.58</v>
      </c>
      <c r="I367" s="14">
        <f>SUM(K367:T367)</f>
        <v/>
      </c>
      <c r="J367" s="14">
        <f>F367-(G367+H367+I367)</f>
        <v/>
      </c>
      <c r="K367" s="14" t="n">
        <v>830.75</v>
      </c>
      <c r="L367" s="14" t="n">
        <v>830.75</v>
      </c>
      <c r="M367" s="14" t="n">
        <v>830.75</v>
      </c>
      <c r="N367" s="14" t="n">
        <v>830.75</v>
      </c>
      <c r="O367" s="14" t="n">
        <v>830.75</v>
      </c>
      <c r="P367" s="14" t="n">
        <v>830.75</v>
      </c>
      <c r="Q367" s="14" t="n">
        <v>830.75</v>
      </c>
      <c r="R367" s="14" t="n">
        <v>830.75</v>
      </c>
      <c r="S367" s="14" t="n">
        <v>830.75</v>
      </c>
      <c r="T367" s="14" t="n">
        <v>830.75</v>
      </c>
      <c r="U367" s="14" t="n">
        <v>350</v>
      </c>
      <c r="V367" s="14" t="n">
        <v>250</v>
      </c>
      <c r="W367" s="14">
        <f>U367+V367</f>
        <v/>
      </c>
    </row>
    <row r="368">
      <c r="A368" s="15" t="inlineStr">
        <is>
          <t>CANON-202604-005743</t>
        </is>
      </c>
      <c r="B368" s="15" t="inlineStr">
        <is>
          <t>2026-04-24</t>
        </is>
      </c>
      <c r="C368" s="15" t="inlineStr">
        <is>
          <t>Marisol Ashcombe</t>
        </is>
      </c>
      <c r="D368" s="15" t="inlineStr">
        <is>
          <t>NY</t>
        </is>
      </c>
      <c r="E368" s="16" t="n">
        <v>165000</v>
      </c>
      <c r="F368" s="16" t="n">
        <v>1886.4</v>
      </c>
      <c r="G368" s="16" t="n">
        <v>235.8</v>
      </c>
      <c r="H368" s="16" t="n">
        <v>235.8</v>
      </c>
      <c r="I368" s="16">
        <f>SUM(K368:T368)</f>
        <v/>
      </c>
      <c r="J368" s="16">
        <f>F368-(G368+H368+I368)</f>
        <v/>
      </c>
      <c r="K368" s="16" t="n">
        <v>141.48</v>
      </c>
      <c r="L368" s="16" t="n">
        <v>141.48</v>
      </c>
      <c r="M368" s="16" t="n">
        <v>141.48</v>
      </c>
      <c r="N368" s="16" t="n">
        <v>141.48</v>
      </c>
      <c r="O368" s="16" t="n">
        <v>141.48</v>
      </c>
      <c r="P368" s="16" t="n">
        <v>141.48</v>
      </c>
      <c r="Q368" s="16" t="n">
        <v>141.48</v>
      </c>
      <c r="R368" s="16" t="n">
        <v>141.48</v>
      </c>
      <c r="S368" s="16" t="n">
        <v>141.48</v>
      </c>
      <c r="T368" s="16" t="n">
        <v>141.48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CANON-202604-005744</t>
        </is>
      </c>
      <c r="B369" s="3" t="inlineStr">
        <is>
          <t>2026-04-24</t>
        </is>
      </c>
      <c r="C369" s="3" t="inlineStr">
        <is>
          <t>Ingrid Larsson</t>
        </is>
      </c>
      <c r="D369" s="3" t="inlineStr">
        <is>
          <t>KS</t>
        </is>
      </c>
      <c r="E369" s="14" t="n">
        <v>725000</v>
      </c>
      <c r="F369" s="14" t="n">
        <v>7162.86</v>
      </c>
      <c r="G369" s="14" t="n">
        <v>895.36</v>
      </c>
      <c r="H369" s="14" t="n">
        <v>895.36</v>
      </c>
      <c r="I369" s="14">
        <f>SUM(K369:T369)</f>
        <v/>
      </c>
      <c r="J369" s="14">
        <f>F369-(G369+H369+I369)</f>
        <v/>
      </c>
      <c r="K369" s="14" t="n">
        <v>537.21</v>
      </c>
      <c r="L369" s="14" t="n">
        <v>537.21</v>
      </c>
      <c r="M369" s="14" t="n">
        <v>537.21</v>
      </c>
      <c r="N369" s="14" t="n">
        <v>537.21</v>
      </c>
      <c r="O369" s="14" t="n">
        <v>537.21</v>
      </c>
      <c r="P369" s="14" t="n">
        <v>537.21</v>
      </c>
      <c r="Q369" s="14" t="n">
        <v>537.21</v>
      </c>
      <c r="R369" s="14" t="n">
        <v>537.21</v>
      </c>
      <c r="S369" s="14" t="n">
        <v>537.21</v>
      </c>
      <c r="T369" s="14" t="n">
        <v>537.21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CANON-202604-005746</t>
        </is>
      </c>
      <c r="B370" s="15" t="inlineStr">
        <is>
          <t>2026-04-29</t>
        </is>
      </c>
      <c r="C370" s="15" t="inlineStr">
        <is>
          <t>Cassius Farkas</t>
        </is>
      </c>
      <c r="D370" s="15" t="inlineStr">
        <is>
          <t>AZ</t>
        </is>
      </c>
      <c r="E370" s="16" t="n">
        <v>260000</v>
      </c>
      <c r="F370" s="16" t="n">
        <v>3086.17</v>
      </c>
      <c r="G370" s="16" t="n">
        <v>385.77</v>
      </c>
      <c r="H370" s="16" t="n">
        <v>385.77</v>
      </c>
      <c r="I370" s="16">
        <f>SUM(K370:T370)</f>
        <v/>
      </c>
      <c r="J370" s="16">
        <f>F370-(G370+H370+I370)</f>
        <v/>
      </c>
      <c r="K370" s="16" t="n">
        <v>231.46</v>
      </c>
      <c r="L370" s="16" t="n">
        <v>231.46</v>
      </c>
      <c r="M370" s="16" t="n">
        <v>231.46</v>
      </c>
      <c r="N370" s="16" t="n">
        <v>231.46</v>
      </c>
      <c r="O370" s="16" t="n">
        <v>231.46</v>
      </c>
      <c r="P370" s="16" t="n">
        <v>231.46</v>
      </c>
      <c r="Q370" s="16" t="n">
        <v>231.46</v>
      </c>
      <c r="R370" s="16" t="n">
        <v>231.46</v>
      </c>
      <c r="S370" s="16" t="n">
        <v>231.46</v>
      </c>
      <c r="T370" s="16" t="n">
        <v>231.46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CANON-202604-005747</t>
        </is>
      </c>
      <c r="B371" s="3" t="inlineStr">
        <is>
          <t>2026-04-06</t>
        </is>
      </c>
      <c r="C371" s="3" t="inlineStr">
        <is>
          <t>Leopold Farkas</t>
        </is>
      </c>
      <c r="D371" s="3" t="inlineStr">
        <is>
          <t>WA</t>
        </is>
      </c>
      <c r="E371" s="14" t="n">
        <v>310000</v>
      </c>
      <c r="F371" s="14" t="n">
        <v>5362.84</v>
      </c>
      <c r="G371" s="14" t="n">
        <v>670.36</v>
      </c>
      <c r="H371" s="14" t="n">
        <v>670.36</v>
      </c>
      <c r="I371" s="14">
        <f>SUM(K371:T371)</f>
        <v/>
      </c>
      <c r="J371" s="14">
        <f>F371-(G371+H371+I371)</f>
        <v/>
      </c>
      <c r="K371" s="14" t="n">
        <v>402.21</v>
      </c>
      <c r="L371" s="14" t="n">
        <v>402.21</v>
      </c>
      <c r="M371" s="14" t="n">
        <v>402.21</v>
      </c>
      <c r="N371" s="14" t="n">
        <v>402.21</v>
      </c>
      <c r="O371" s="14" t="n">
        <v>402.21</v>
      </c>
      <c r="P371" s="14" t="n">
        <v>402.21</v>
      </c>
      <c r="Q371" s="14" t="n">
        <v>402.21</v>
      </c>
      <c r="R371" s="14" t="n">
        <v>402.21</v>
      </c>
      <c r="S371" s="14" t="n">
        <v>402.21</v>
      </c>
      <c r="T371" s="14" t="n">
        <v>402.21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CANON-202604-005750</t>
        </is>
      </c>
      <c r="B372" s="15" t="inlineStr">
        <is>
          <t>2026-04-21</t>
        </is>
      </c>
      <c r="C372" s="15" t="inlineStr">
        <is>
          <t>Ramona Farkas</t>
        </is>
      </c>
      <c r="D372" s="15" t="inlineStr">
        <is>
          <t>CA</t>
        </is>
      </c>
      <c r="E372" s="16" t="n">
        <v>375000</v>
      </c>
      <c r="F372" s="16" t="n">
        <v>5949.64</v>
      </c>
      <c r="G372" s="16" t="n">
        <v>743.71</v>
      </c>
      <c r="H372" s="16" t="n">
        <v>743.71</v>
      </c>
      <c r="I372" s="16">
        <f>SUM(K372:T372)</f>
        <v/>
      </c>
      <c r="J372" s="16">
        <f>F372-(G372+H372+I372)</f>
        <v/>
      </c>
      <c r="K372" s="16" t="n">
        <v>446.22</v>
      </c>
      <c r="L372" s="16" t="n">
        <v>446.22</v>
      </c>
      <c r="M372" s="16" t="n">
        <v>446.22</v>
      </c>
      <c r="N372" s="16" t="n">
        <v>446.22</v>
      </c>
      <c r="O372" s="16" t="n">
        <v>446.22</v>
      </c>
      <c r="P372" s="16" t="n">
        <v>446.22</v>
      </c>
      <c r="Q372" s="16" t="n">
        <v>446.22</v>
      </c>
      <c r="R372" s="16" t="n">
        <v>446.22</v>
      </c>
      <c r="S372" s="16" t="n">
        <v>446.22</v>
      </c>
      <c r="T372" s="16" t="n">
        <v>446.22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CANON-202604-005753</t>
        </is>
      </c>
      <c r="B373" s="3" t="inlineStr">
        <is>
          <t>2026-04-08</t>
        </is>
      </c>
      <c r="C373" s="3" t="inlineStr">
        <is>
          <t>Wilhelmina Okonkwo</t>
        </is>
      </c>
      <c r="D373" s="3" t="inlineStr">
        <is>
          <t>MA</t>
        </is>
      </c>
      <c r="E373" s="14" t="n">
        <v>885000</v>
      </c>
      <c r="F373" s="14" t="n">
        <v>11267.58</v>
      </c>
      <c r="G373" s="14" t="n">
        <v>1408.45</v>
      </c>
      <c r="H373" s="14" t="n">
        <v>1408.45</v>
      </c>
      <c r="I373" s="14">
        <f>SUM(K373:T373)</f>
        <v/>
      </c>
      <c r="J373" s="14">
        <f>F373-(G373+H373+I373)</f>
        <v/>
      </c>
      <c r="K373" s="14" t="n">
        <v>845.0700000000001</v>
      </c>
      <c r="L373" s="14" t="n">
        <v>845.0700000000001</v>
      </c>
      <c r="M373" s="14" t="n">
        <v>845.0700000000001</v>
      </c>
      <c r="N373" s="14" t="n">
        <v>845.0700000000001</v>
      </c>
      <c r="O373" s="14" t="n">
        <v>845.0700000000001</v>
      </c>
      <c r="P373" s="14" t="n">
        <v>845.0700000000001</v>
      </c>
      <c r="Q373" s="14" t="n">
        <v>845.0700000000001</v>
      </c>
      <c r="R373" s="14" t="n">
        <v>845.0700000000001</v>
      </c>
      <c r="S373" s="14" t="n">
        <v>845.0700000000001</v>
      </c>
      <c r="T373" s="14" t="n">
        <v>845.0700000000001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CANON-202604-005754</t>
        </is>
      </c>
      <c r="B374" s="15" t="inlineStr">
        <is>
          <t>2026-04-08</t>
        </is>
      </c>
      <c r="C374" s="15" t="inlineStr">
        <is>
          <t>Lorenzo Castellanos</t>
        </is>
      </c>
      <c r="D374" s="15" t="inlineStr">
        <is>
          <t>WA</t>
        </is>
      </c>
      <c r="E374" s="16" t="n">
        <v>370000</v>
      </c>
      <c r="F374" s="16" t="n">
        <v>4174.44</v>
      </c>
      <c r="G374" s="16" t="n">
        <v>521.8</v>
      </c>
      <c r="H374" s="16" t="n">
        <v>521.8</v>
      </c>
      <c r="I374" s="16">
        <f>SUM(K374:T374)</f>
        <v/>
      </c>
      <c r="J374" s="16">
        <f>F374-(G374+H374+I374)</f>
        <v/>
      </c>
      <c r="K374" s="16" t="n">
        <v>313.08</v>
      </c>
      <c r="L374" s="16" t="n">
        <v>313.08</v>
      </c>
      <c r="M374" s="16" t="n">
        <v>313.08</v>
      </c>
      <c r="N374" s="16" t="n">
        <v>313.08</v>
      </c>
      <c r="O374" s="16" t="n">
        <v>313.08</v>
      </c>
      <c r="P374" s="16" t="n">
        <v>313.08</v>
      </c>
      <c r="Q374" s="16" t="n">
        <v>313.08</v>
      </c>
      <c r="R374" s="16" t="n">
        <v>313.08</v>
      </c>
      <c r="S374" s="16" t="n">
        <v>313.08</v>
      </c>
      <c r="T374" s="16" t="n">
        <v>313.08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CANON-202604-005755</t>
        </is>
      </c>
      <c r="B375" s="3" t="inlineStr">
        <is>
          <t>2026-04-30</t>
        </is>
      </c>
      <c r="C375" s="3" t="inlineStr">
        <is>
          <t>Sunniva Rourke</t>
        </is>
      </c>
      <c r="D375" s="3" t="inlineStr">
        <is>
          <t>ID</t>
        </is>
      </c>
      <c r="E375" s="14" t="n">
        <v>220000</v>
      </c>
      <c r="F375" s="14" t="n">
        <v>3139.85</v>
      </c>
      <c r="G375" s="14" t="n">
        <v>392.48</v>
      </c>
      <c r="H375" s="14" t="n">
        <v>392.48</v>
      </c>
      <c r="I375" s="14">
        <f>SUM(K375:T375)</f>
        <v/>
      </c>
      <c r="J375" s="14">
        <f>F375-(G375+H375+I375)</f>
        <v/>
      </c>
      <c r="K375" s="14" t="n">
        <v>235.49</v>
      </c>
      <c r="L375" s="14" t="n">
        <v>235.49</v>
      </c>
      <c r="M375" s="14" t="n">
        <v>235.49</v>
      </c>
      <c r="N375" s="14" t="n">
        <v>235.49</v>
      </c>
      <c r="O375" s="14" t="n">
        <v>235.49</v>
      </c>
      <c r="P375" s="14" t="n">
        <v>235.49</v>
      </c>
      <c r="Q375" s="14" t="n">
        <v>235.49</v>
      </c>
      <c r="R375" s="14" t="n">
        <v>235.49</v>
      </c>
      <c r="S375" s="14" t="n">
        <v>235.49</v>
      </c>
      <c r="T375" s="14" t="n">
        <v>235.49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CANON-202604-005756</t>
        </is>
      </c>
      <c r="B376" s="15" t="inlineStr">
        <is>
          <t>2026-04-05</t>
        </is>
      </c>
      <c r="C376" s="15" t="inlineStr">
        <is>
          <t>Emiliano Vandermeer</t>
        </is>
      </c>
      <c r="D376" s="15" t="inlineStr">
        <is>
          <t>MD</t>
        </is>
      </c>
      <c r="E376" s="16" t="n">
        <v>1515000</v>
      </c>
      <c r="F376" s="16" t="n">
        <v>18042.22</v>
      </c>
      <c r="G376" s="16" t="n">
        <v>2255.28</v>
      </c>
      <c r="H376" s="16" t="n">
        <v>2255.28</v>
      </c>
      <c r="I376" s="16">
        <f>SUM(K376:T376)</f>
        <v/>
      </c>
      <c r="J376" s="16">
        <f>F376-(G376+H376+I376)</f>
        <v/>
      </c>
      <c r="K376" s="16" t="n">
        <v>1353.17</v>
      </c>
      <c r="L376" s="16" t="n">
        <v>1353.17</v>
      </c>
      <c r="M376" s="16" t="n">
        <v>1353.17</v>
      </c>
      <c r="N376" s="16" t="n">
        <v>1353.17</v>
      </c>
      <c r="O376" s="16" t="n">
        <v>1353.17</v>
      </c>
      <c r="P376" s="16" t="n">
        <v>1353.17</v>
      </c>
      <c r="Q376" s="16" t="n">
        <v>1353.17</v>
      </c>
      <c r="R376" s="16" t="n">
        <v>1353.17</v>
      </c>
      <c r="S376" s="16" t="n">
        <v>1353.17</v>
      </c>
      <c r="T376" s="16" t="n">
        <v>1353.17</v>
      </c>
      <c r="U376" s="16" t="n">
        <v>350</v>
      </c>
      <c r="V376" s="16" t="n">
        <v>250</v>
      </c>
      <c r="W376" s="16">
        <f>U376+V376</f>
        <v/>
      </c>
    </row>
    <row r="377">
      <c r="A377" s="3" t="inlineStr">
        <is>
          <t>CANON-202604-005757</t>
        </is>
      </c>
      <c r="B377" s="3" t="inlineStr">
        <is>
          <t>2026-04-14</t>
        </is>
      </c>
      <c r="C377" s="3" t="inlineStr">
        <is>
          <t>Delphine Blackwood</t>
        </is>
      </c>
      <c r="D377" s="3" t="inlineStr">
        <is>
          <t>NM</t>
        </is>
      </c>
      <c r="E377" s="14" t="n">
        <v>230000</v>
      </c>
      <c r="F377" s="14" t="n">
        <v>6550.73</v>
      </c>
      <c r="G377" s="14" t="n">
        <v>818.84</v>
      </c>
      <c r="H377" s="14" t="n">
        <v>818.84</v>
      </c>
      <c r="I377" s="14">
        <f>SUM(K377:T377)</f>
        <v/>
      </c>
      <c r="J377" s="14">
        <f>F377-(G377+H377+I377)</f>
        <v/>
      </c>
      <c r="K377" s="14" t="n">
        <v>491.3</v>
      </c>
      <c r="L377" s="14" t="n">
        <v>491.3</v>
      </c>
      <c r="M377" s="14" t="n">
        <v>491.3</v>
      </c>
      <c r="N377" s="14" t="n">
        <v>491.3</v>
      </c>
      <c r="O377" s="14" t="n">
        <v>491.3</v>
      </c>
      <c r="P377" s="14" t="n">
        <v>491.3</v>
      </c>
      <c r="Q377" s="14" t="n">
        <v>491.3</v>
      </c>
      <c r="R377" s="14" t="n">
        <v>491.3</v>
      </c>
      <c r="S377" s="14" t="n">
        <v>491.3</v>
      </c>
      <c r="T377" s="14" t="n">
        <v>491.3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CANON-202604-005758</t>
        </is>
      </c>
      <c r="B378" s="15" t="inlineStr">
        <is>
          <t>2026-04-30</t>
        </is>
      </c>
      <c r="C378" s="15" t="inlineStr">
        <is>
          <t>Fenwick Bellandi</t>
        </is>
      </c>
      <c r="D378" s="15" t="inlineStr">
        <is>
          <t>TX</t>
        </is>
      </c>
      <c r="E378" s="16" t="n">
        <v>440000</v>
      </c>
      <c r="F378" s="16" t="n">
        <v>5946.7</v>
      </c>
      <c r="G378" s="16" t="n">
        <v>743.34</v>
      </c>
      <c r="H378" s="16" t="n">
        <v>743.34</v>
      </c>
      <c r="I378" s="16">
        <f>SUM(K378:T378)</f>
        <v/>
      </c>
      <c r="J378" s="16">
        <f>F378-(G378+H378+I378)</f>
        <v/>
      </c>
      <c r="K378" s="16" t="n">
        <v>446</v>
      </c>
      <c r="L378" s="16" t="n">
        <v>446</v>
      </c>
      <c r="M378" s="16" t="n">
        <v>446</v>
      </c>
      <c r="N378" s="16" t="n">
        <v>446</v>
      </c>
      <c r="O378" s="16" t="n">
        <v>446</v>
      </c>
      <c r="P378" s="16" t="n">
        <v>446</v>
      </c>
      <c r="Q378" s="16" t="n">
        <v>446</v>
      </c>
      <c r="R378" s="16" t="n">
        <v>446</v>
      </c>
      <c r="S378" s="16" t="n">
        <v>446</v>
      </c>
      <c r="T378" s="16" t="n">
        <v>446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CANON-202604-005759</t>
        </is>
      </c>
      <c r="B379" s="3" t="inlineStr">
        <is>
          <t>2026-04-04</t>
        </is>
      </c>
      <c r="C379" s="3" t="inlineStr">
        <is>
          <t>Noor Underwood</t>
        </is>
      </c>
      <c r="D379" s="3" t="inlineStr">
        <is>
          <t>MO</t>
        </is>
      </c>
      <c r="E379" s="14" t="n">
        <v>515000</v>
      </c>
      <c r="F379" s="14" t="n">
        <v>8126.44</v>
      </c>
      <c r="G379" s="14" t="n">
        <v>1015.8</v>
      </c>
      <c r="H379" s="14" t="n">
        <v>1015.8</v>
      </c>
      <c r="I379" s="14">
        <f>SUM(K379:T379)</f>
        <v/>
      </c>
      <c r="J379" s="14">
        <f>F379-(G379+H379+I379)</f>
        <v/>
      </c>
      <c r="K379" s="14" t="n">
        <v>609.48</v>
      </c>
      <c r="L379" s="14" t="n">
        <v>609.48</v>
      </c>
      <c r="M379" s="14" t="n">
        <v>609.48</v>
      </c>
      <c r="N379" s="14" t="n">
        <v>609.48</v>
      </c>
      <c r="O379" s="14" t="n">
        <v>609.48</v>
      </c>
      <c r="P379" s="14" t="n">
        <v>609.48</v>
      </c>
      <c r="Q379" s="14" t="n">
        <v>609.48</v>
      </c>
      <c r="R379" s="14" t="n">
        <v>609.48</v>
      </c>
      <c r="S379" s="14" t="n">
        <v>609.48</v>
      </c>
      <c r="T379" s="14" t="n">
        <v>609.48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CANON-202604-005761</t>
        </is>
      </c>
      <c r="B380" s="15" t="inlineStr">
        <is>
          <t>2026-04-10</t>
        </is>
      </c>
      <c r="C380" s="15" t="inlineStr">
        <is>
          <t>Mireille Delacroix</t>
        </is>
      </c>
      <c r="D380" s="15" t="inlineStr">
        <is>
          <t>GA</t>
        </is>
      </c>
      <c r="E380" s="16" t="n">
        <v>895000</v>
      </c>
      <c r="F380" s="16" t="n">
        <v>14922.05</v>
      </c>
      <c r="G380" s="16" t="n">
        <v>1865.26</v>
      </c>
      <c r="H380" s="16" t="n">
        <v>1865.26</v>
      </c>
      <c r="I380" s="16">
        <f>SUM(K380:T380)</f>
        <v/>
      </c>
      <c r="J380" s="16">
        <f>F380-(G380+H380+I380)</f>
        <v/>
      </c>
      <c r="K380" s="16" t="n">
        <v>1119.15</v>
      </c>
      <c r="L380" s="16" t="n">
        <v>1119.15</v>
      </c>
      <c r="M380" s="16" t="n">
        <v>1119.15</v>
      </c>
      <c r="N380" s="16" t="n">
        <v>1119.15</v>
      </c>
      <c r="O380" s="16" t="n">
        <v>1119.15</v>
      </c>
      <c r="P380" s="16" t="n">
        <v>1119.15</v>
      </c>
      <c r="Q380" s="16" t="n">
        <v>1119.15</v>
      </c>
      <c r="R380" s="16" t="n">
        <v>1119.15</v>
      </c>
      <c r="S380" s="16" t="n">
        <v>1119.15</v>
      </c>
      <c r="T380" s="16" t="n">
        <v>1119.15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CANON-202604-005762</t>
        </is>
      </c>
      <c r="B381" s="3" t="inlineStr">
        <is>
          <t>2026-04-15</t>
        </is>
      </c>
      <c r="C381" s="3" t="inlineStr">
        <is>
          <t>Ottilie Pennington</t>
        </is>
      </c>
      <c r="D381" s="3" t="inlineStr">
        <is>
          <t>CO</t>
        </is>
      </c>
      <c r="E381" s="14" t="n">
        <v>475000</v>
      </c>
      <c r="F381" s="14" t="n">
        <v>9415.59</v>
      </c>
      <c r="G381" s="14" t="n">
        <v>1176.95</v>
      </c>
      <c r="H381" s="14" t="n">
        <v>1176.95</v>
      </c>
      <c r="I381" s="14">
        <f>SUM(K381:T381)</f>
        <v/>
      </c>
      <c r="J381" s="14">
        <f>F381-(G381+H381+I381)</f>
        <v/>
      </c>
      <c r="K381" s="14" t="n">
        <v>706.17</v>
      </c>
      <c r="L381" s="14" t="n">
        <v>706.17</v>
      </c>
      <c r="M381" s="14" t="n">
        <v>706.17</v>
      </c>
      <c r="N381" s="14" t="n">
        <v>706.17</v>
      </c>
      <c r="O381" s="14" t="n">
        <v>706.17</v>
      </c>
      <c r="P381" s="14" t="n">
        <v>706.17</v>
      </c>
      <c r="Q381" s="14" t="n">
        <v>706.17</v>
      </c>
      <c r="R381" s="14" t="n">
        <v>706.17</v>
      </c>
      <c r="S381" s="14" t="n">
        <v>706.17</v>
      </c>
      <c r="T381" s="14" t="n">
        <v>706.17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CANON-202604-005763</t>
        </is>
      </c>
      <c r="B382" s="15" t="inlineStr">
        <is>
          <t>2026-04-25</t>
        </is>
      </c>
      <c r="C382" s="15" t="inlineStr">
        <is>
          <t>Horace Whitlock</t>
        </is>
      </c>
      <c r="D382" s="15" t="inlineStr">
        <is>
          <t>FL</t>
        </is>
      </c>
      <c r="E382" s="16" t="n">
        <v>1950000</v>
      </c>
      <c r="F382" s="16" t="n">
        <v>23864.34</v>
      </c>
      <c r="G382" s="16" t="n">
        <v>2983.04</v>
      </c>
      <c r="H382" s="16" t="n">
        <v>2983.04</v>
      </c>
      <c r="I382" s="16">
        <f>SUM(K382:T382)</f>
        <v/>
      </c>
      <c r="J382" s="16">
        <f>F382-(G382+H382+I382)</f>
        <v/>
      </c>
      <c r="K382" s="16" t="n">
        <v>1789.83</v>
      </c>
      <c r="L382" s="16" t="n">
        <v>1789.83</v>
      </c>
      <c r="M382" s="16" t="n">
        <v>1789.83</v>
      </c>
      <c r="N382" s="16" t="n">
        <v>1789.83</v>
      </c>
      <c r="O382" s="16" t="n">
        <v>1789.83</v>
      </c>
      <c r="P382" s="16" t="n">
        <v>1789.83</v>
      </c>
      <c r="Q382" s="16" t="n">
        <v>1789.83</v>
      </c>
      <c r="R382" s="16" t="n">
        <v>1789.83</v>
      </c>
      <c r="S382" s="16" t="n">
        <v>1789.83</v>
      </c>
      <c r="T382" s="16" t="n">
        <v>1789.83</v>
      </c>
      <c r="U382" s="16" t="n">
        <v>350</v>
      </c>
      <c r="V382" s="16" t="n">
        <v>250</v>
      </c>
      <c r="W382" s="16">
        <f>U382+V382</f>
        <v/>
      </c>
    </row>
    <row r="383">
      <c r="A383" s="3" t="inlineStr">
        <is>
          <t>CANON-202604-005764</t>
        </is>
      </c>
      <c r="B383" s="3" t="inlineStr">
        <is>
          <t>2026-04-14</t>
        </is>
      </c>
      <c r="C383" s="3" t="inlineStr">
        <is>
          <t>Aurelio Chattopadhyay</t>
        </is>
      </c>
      <c r="D383" s="3" t="inlineStr">
        <is>
          <t>DE</t>
        </is>
      </c>
      <c r="E383" s="14" t="n">
        <v>670000</v>
      </c>
      <c r="F383" s="14" t="n">
        <v>8530.26</v>
      </c>
      <c r="G383" s="14" t="n">
        <v>1066.28</v>
      </c>
      <c r="H383" s="14" t="n">
        <v>1066.28</v>
      </c>
      <c r="I383" s="14">
        <f>SUM(K383:T383)</f>
        <v/>
      </c>
      <c r="J383" s="14">
        <f>F383-(G383+H383+I383)</f>
        <v/>
      </c>
      <c r="K383" s="14" t="n">
        <v>639.77</v>
      </c>
      <c r="L383" s="14" t="n">
        <v>639.77</v>
      </c>
      <c r="M383" s="14" t="n">
        <v>639.77</v>
      </c>
      <c r="N383" s="14" t="n">
        <v>639.77</v>
      </c>
      <c r="O383" s="14" t="n">
        <v>639.77</v>
      </c>
      <c r="P383" s="14" t="n">
        <v>639.77</v>
      </c>
      <c r="Q383" s="14" t="n">
        <v>639.77</v>
      </c>
      <c r="R383" s="14" t="n">
        <v>639.77</v>
      </c>
      <c r="S383" s="14" t="n">
        <v>639.77</v>
      </c>
      <c r="T383" s="14" t="n">
        <v>639.77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CANON-202604-005765</t>
        </is>
      </c>
      <c r="B384" s="15" t="inlineStr">
        <is>
          <t>2026-04-20</t>
        </is>
      </c>
      <c r="C384" s="15" t="inlineStr">
        <is>
          <t>Aurelio Pennington</t>
        </is>
      </c>
      <c r="D384" s="15" t="inlineStr">
        <is>
          <t>MS</t>
        </is>
      </c>
      <c r="E384" s="16" t="n">
        <v>745000</v>
      </c>
      <c r="F384" s="16" t="n">
        <v>5973.59</v>
      </c>
      <c r="G384" s="16" t="n">
        <v>746.7</v>
      </c>
      <c r="H384" s="16" t="n">
        <v>746.7</v>
      </c>
      <c r="I384" s="16">
        <f>SUM(K384:T384)</f>
        <v/>
      </c>
      <c r="J384" s="16">
        <f>F384-(G384+H384+I384)</f>
        <v/>
      </c>
      <c r="K384" s="16" t="n">
        <v>448.02</v>
      </c>
      <c r="L384" s="16" t="n">
        <v>448.02</v>
      </c>
      <c r="M384" s="16" t="n">
        <v>448.02</v>
      </c>
      <c r="N384" s="16" t="n">
        <v>448.02</v>
      </c>
      <c r="O384" s="16" t="n">
        <v>448.02</v>
      </c>
      <c r="P384" s="16" t="n">
        <v>448.02</v>
      </c>
      <c r="Q384" s="16" t="n">
        <v>448.02</v>
      </c>
      <c r="R384" s="16" t="n">
        <v>448.02</v>
      </c>
      <c r="S384" s="16" t="n">
        <v>448.02</v>
      </c>
      <c r="T384" s="16" t="n">
        <v>448.02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CANON-202604-005766</t>
        </is>
      </c>
      <c r="B385" s="3" t="inlineStr">
        <is>
          <t>2026-04-10</t>
        </is>
      </c>
      <c r="C385" s="3" t="inlineStr">
        <is>
          <t>Marisol Castellanos</t>
        </is>
      </c>
      <c r="D385" s="3" t="inlineStr">
        <is>
          <t>IL</t>
        </is>
      </c>
      <c r="E385" s="14" t="n">
        <v>720000</v>
      </c>
      <c r="F385" s="14" t="n">
        <v>9973.52</v>
      </c>
      <c r="G385" s="14" t="n">
        <v>1246.69</v>
      </c>
      <c r="H385" s="14" t="n">
        <v>1246.69</v>
      </c>
      <c r="I385" s="14">
        <f>SUM(K385:T385)</f>
        <v/>
      </c>
      <c r="J385" s="14">
        <f>F385-(G385+H385+I385)</f>
        <v/>
      </c>
      <c r="K385" s="14" t="n">
        <v>748.01</v>
      </c>
      <c r="L385" s="14" t="n">
        <v>748.01</v>
      </c>
      <c r="M385" s="14" t="n">
        <v>748.01</v>
      </c>
      <c r="N385" s="14" t="n">
        <v>748.01</v>
      </c>
      <c r="O385" s="14" t="n">
        <v>748.01</v>
      </c>
      <c r="P385" s="14" t="n">
        <v>748.01</v>
      </c>
      <c r="Q385" s="14" t="n">
        <v>748.01</v>
      </c>
      <c r="R385" s="14" t="n">
        <v>748.01</v>
      </c>
      <c r="S385" s="14" t="n">
        <v>748.01</v>
      </c>
      <c r="T385" s="14" t="n">
        <v>748.01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CANON-202604-005767</t>
        </is>
      </c>
      <c r="B386" s="15" t="inlineStr">
        <is>
          <t>2026-04-24</t>
        </is>
      </c>
      <c r="C386" s="15" t="inlineStr">
        <is>
          <t>Callum Fairweather</t>
        </is>
      </c>
      <c r="D386" s="15" t="inlineStr">
        <is>
          <t>IA</t>
        </is>
      </c>
      <c r="E386" s="16" t="n">
        <v>1230000</v>
      </c>
      <c r="F386" s="16" t="n">
        <v>11660.69</v>
      </c>
      <c r="G386" s="16" t="n">
        <v>1457.59</v>
      </c>
      <c r="H386" s="16" t="n">
        <v>1457.59</v>
      </c>
      <c r="I386" s="16">
        <f>SUM(K386:T386)</f>
        <v/>
      </c>
      <c r="J386" s="16">
        <f>F386-(G386+H386+I386)</f>
        <v/>
      </c>
      <c r="K386" s="16" t="n">
        <v>874.55</v>
      </c>
      <c r="L386" s="16" t="n">
        <v>874.55</v>
      </c>
      <c r="M386" s="16" t="n">
        <v>874.55</v>
      </c>
      <c r="N386" s="16" t="n">
        <v>874.55</v>
      </c>
      <c r="O386" s="16" t="n">
        <v>874.55</v>
      </c>
      <c r="P386" s="16" t="n">
        <v>874.55</v>
      </c>
      <c r="Q386" s="16" t="n">
        <v>874.55</v>
      </c>
      <c r="R386" s="16" t="n">
        <v>874.55</v>
      </c>
      <c r="S386" s="16" t="n">
        <v>874.55</v>
      </c>
      <c r="T386" s="16" t="n">
        <v>874.55</v>
      </c>
      <c r="U386" s="16" t="n">
        <v>350</v>
      </c>
      <c r="V386" s="16" t="n">
        <v>250</v>
      </c>
      <c r="W386" s="16">
        <f>U386+V386</f>
        <v/>
      </c>
    </row>
    <row r="387">
      <c r="A387" s="3" t="inlineStr">
        <is>
          <t>CANON-202604-005769</t>
        </is>
      </c>
      <c r="B387" s="3" t="inlineStr">
        <is>
          <t>2026-04-24</t>
        </is>
      </c>
      <c r="C387" s="3" t="inlineStr">
        <is>
          <t>Cassius Farkas</t>
        </is>
      </c>
      <c r="D387" s="3" t="inlineStr">
        <is>
          <t>IL</t>
        </is>
      </c>
      <c r="E387" s="14" t="n">
        <v>1710000</v>
      </c>
      <c r="F387" s="14" t="n">
        <v>12390.18</v>
      </c>
      <c r="G387" s="14" t="n">
        <v>1548.77</v>
      </c>
      <c r="H387" s="14" t="n">
        <v>1548.77</v>
      </c>
      <c r="I387" s="14">
        <f>SUM(K387:T387)</f>
        <v/>
      </c>
      <c r="J387" s="14">
        <f>F387-(G387+H387+I387)</f>
        <v/>
      </c>
      <c r="K387" s="14" t="n">
        <v>929.26</v>
      </c>
      <c r="L387" s="14" t="n">
        <v>929.26</v>
      </c>
      <c r="M387" s="14" t="n">
        <v>929.26</v>
      </c>
      <c r="N387" s="14" t="n">
        <v>929.26</v>
      </c>
      <c r="O387" s="14" t="n">
        <v>929.26</v>
      </c>
      <c r="P387" s="14" t="n">
        <v>929.26</v>
      </c>
      <c r="Q387" s="14" t="n">
        <v>929.26</v>
      </c>
      <c r="R387" s="14" t="n">
        <v>929.26</v>
      </c>
      <c r="S387" s="14" t="n">
        <v>929.26</v>
      </c>
      <c r="T387" s="14" t="n">
        <v>929.26</v>
      </c>
      <c r="U387" s="14" t="n">
        <v>350</v>
      </c>
      <c r="V387" s="14" t="n">
        <v>250</v>
      </c>
      <c r="W387" s="14">
        <f>U387+V387</f>
        <v/>
      </c>
    </row>
    <row r="388">
      <c r="A388" s="15" t="inlineStr">
        <is>
          <t>CANON-202604-005771</t>
        </is>
      </c>
      <c r="B388" s="15" t="inlineStr">
        <is>
          <t>2026-04-03</t>
        </is>
      </c>
      <c r="C388" s="15" t="inlineStr">
        <is>
          <t>Everett Harrington</t>
        </is>
      </c>
      <c r="D388" s="15" t="inlineStr">
        <is>
          <t>ID</t>
        </is>
      </c>
      <c r="E388" s="16" t="n">
        <v>1400000</v>
      </c>
      <c r="F388" s="16" t="n">
        <v>17374.68</v>
      </c>
      <c r="G388" s="16" t="n">
        <v>2171.84</v>
      </c>
      <c r="H388" s="16" t="n">
        <v>2171.84</v>
      </c>
      <c r="I388" s="16">
        <f>SUM(K388:T388)</f>
        <v/>
      </c>
      <c r="J388" s="16">
        <f>F388-(G388+H388+I388)</f>
        <v/>
      </c>
      <c r="K388" s="16" t="n">
        <v>1303.1</v>
      </c>
      <c r="L388" s="16" t="n">
        <v>1303.1</v>
      </c>
      <c r="M388" s="16" t="n">
        <v>1303.1</v>
      </c>
      <c r="N388" s="16" t="n">
        <v>1303.1</v>
      </c>
      <c r="O388" s="16" t="n">
        <v>1303.1</v>
      </c>
      <c r="P388" s="16" t="n">
        <v>1303.1</v>
      </c>
      <c r="Q388" s="16" t="n">
        <v>1303.1</v>
      </c>
      <c r="R388" s="16" t="n">
        <v>1303.1</v>
      </c>
      <c r="S388" s="16" t="n">
        <v>1303.1</v>
      </c>
      <c r="T388" s="16" t="n">
        <v>1303.1</v>
      </c>
      <c r="U388" s="16" t="n">
        <v>350</v>
      </c>
      <c r="V388" s="16" t="n">
        <v>250</v>
      </c>
      <c r="W388" s="16">
        <f>U388+V388</f>
        <v/>
      </c>
    </row>
    <row r="389">
      <c r="A389" s="3" t="inlineStr">
        <is>
          <t>CANON-202604-005772</t>
        </is>
      </c>
      <c r="B389" s="3" t="inlineStr">
        <is>
          <t>2026-04-26</t>
        </is>
      </c>
      <c r="C389" s="3" t="inlineStr">
        <is>
          <t>Everett Vandermeer</t>
        </is>
      </c>
      <c r="D389" s="3" t="inlineStr">
        <is>
          <t>CA</t>
        </is>
      </c>
      <c r="E389" s="14" t="n">
        <v>310000</v>
      </c>
      <c r="F389" s="14" t="n">
        <v>4918.36</v>
      </c>
      <c r="G389" s="14" t="n">
        <v>614.79</v>
      </c>
      <c r="H389" s="14" t="n">
        <v>614.79</v>
      </c>
      <c r="I389" s="14">
        <f>SUM(K389:T389)</f>
        <v/>
      </c>
      <c r="J389" s="14">
        <f>F389-(G389+H389+I389)</f>
        <v/>
      </c>
      <c r="K389" s="14" t="n">
        <v>368.88</v>
      </c>
      <c r="L389" s="14" t="n">
        <v>368.88</v>
      </c>
      <c r="M389" s="14" t="n">
        <v>368.88</v>
      </c>
      <c r="N389" s="14" t="n">
        <v>368.88</v>
      </c>
      <c r="O389" s="14" t="n">
        <v>368.88</v>
      </c>
      <c r="P389" s="14" t="n">
        <v>368.88</v>
      </c>
      <c r="Q389" s="14" t="n">
        <v>368.88</v>
      </c>
      <c r="R389" s="14" t="n">
        <v>368.88</v>
      </c>
      <c r="S389" s="14" t="n">
        <v>368.88</v>
      </c>
      <c r="T389" s="14" t="n">
        <v>368.88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CANON-202604-005773</t>
        </is>
      </c>
      <c r="B390" s="15" t="inlineStr">
        <is>
          <t>2026-04-22</t>
        </is>
      </c>
      <c r="C390" s="15" t="inlineStr">
        <is>
          <t>Wilhelmina Chattopadhyay</t>
        </is>
      </c>
      <c r="D390" s="15" t="inlineStr">
        <is>
          <t>SC</t>
        </is>
      </c>
      <c r="E390" s="16" t="n">
        <v>250000</v>
      </c>
      <c r="F390" s="16" t="n">
        <v>3643.23</v>
      </c>
      <c r="G390" s="16" t="n">
        <v>455.4</v>
      </c>
      <c r="H390" s="16" t="n">
        <v>455.4</v>
      </c>
      <c r="I390" s="16">
        <f>SUM(K390:T390)</f>
        <v/>
      </c>
      <c r="J390" s="16">
        <f>F390-(G390+H390+I390)</f>
        <v/>
      </c>
      <c r="K390" s="16" t="n">
        <v>273.24</v>
      </c>
      <c r="L390" s="16" t="n">
        <v>273.24</v>
      </c>
      <c r="M390" s="16" t="n">
        <v>273.24</v>
      </c>
      <c r="N390" s="16" t="n">
        <v>273.24</v>
      </c>
      <c r="O390" s="16" t="n">
        <v>273.24</v>
      </c>
      <c r="P390" s="16" t="n">
        <v>273.24</v>
      </c>
      <c r="Q390" s="16" t="n">
        <v>273.24</v>
      </c>
      <c r="R390" s="16" t="n">
        <v>273.24</v>
      </c>
      <c r="S390" s="16" t="n">
        <v>273.24</v>
      </c>
      <c r="T390" s="16" t="n">
        <v>273.24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CANON-202604-005775</t>
        </is>
      </c>
      <c r="B391" s="3" t="inlineStr">
        <is>
          <t>2026-04-16</t>
        </is>
      </c>
      <c r="C391" s="3" t="inlineStr">
        <is>
          <t>Sunniva Larsson</t>
        </is>
      </c>
      <c r="D391" s="3" t="inlineStr">
        <is>
          <t>OK</t>
        </is>
      </c>
      <c r="E391" s="14" t="n">
        <v>775000</v>
      </c>
      <c r="F391" s="14" t="n">
        <v>11935.22</v>
      </c>
      <c r="G391" s="14" t="n">
        <v>1491.9</v>
      </c>
      <c r="H391" s="14" t="n">
        <v>1491.9</v>
      </c>
      <c r="I391" s="14">
        <f>SUM(K391:T391)</f>
        <v/>
      </c>
      <c r="J391" s="14">
        <f>F391-(G391+H391+I391)</f>
        <v/>
      </c>
      <c r="K391" s="14" t="n">
        <v>895.14</v>
      </c>
      <c r="L391" s="14" t="n">
        <v>895.14</v>
      </c>
      <c r="M391" s="14" t="n">
        <v>895.14</v>
      </c>
      <c r="N391" s="14" t="n">
        <v>895.14</v>
      </c>
      <c r="O391" s="14" t="n">
        <v>895.14</v>
      </c>
      <c r="P391" s="14" t="n">
        <v>895.14</v>
      </c>
      <c r="Q391" s="14" t="n">
        <v>895.14</v>
      </c>
      <c r="R391" s="14" t="n">
        <v>895.14</v>
      </c>
      <c r="S391" s="14" t="n">
        <v>895.14</v>
      </c>
      <c r="T391" s="14" t="n">
        <v>895.14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CANON-202604-005776</t>
        </is>
      </c>
      <c r="B392" s="15" t="inlineStr">
        <is>
          <t>2026-04-18</t>
        </is>
      </c>
      <c r="C392" s="15" t="inlineStr">
        <is>
          <t>Fenwick Nakashima</t>
        </is>
      </c>
      <c r="D392" s="15" t="inlineStr">
        <is>
          <t>WA</t>
        </is>
      </c>
      <c r="E392" s="16" t="n">
        <v>985000</v>
      </c>
      <c r="F392" s="16" t="n">
        <v>14076.5</v>
      </c>
      <c r="G392" s="16" t="n">
        <v>1759.56</v>
      </c>
      <c r="H392" s="16" t="n">
        <v>1759.56</v>
      </c>
      <c r="I392" s="16">
        <f>SUM(K392:T392)</f>
        <v/>
      </c>
      <c r="J392" s="16">
        <f>F392-(G392+H392+I392)</f>
        <v/>
      </c>
      <c r="K392" s="16" t="n">
        <v>1055.74</v>
      </c>
      <c r="L392" s="16" t="n">
        <v>1055.74</v>
      </c>
      <c r="M392" s="16" t="n">
        <v>1055.74</v>
      </c>
      <c r="N392" s="16" t="n">
        <v>1055.74</v>
      </c>
      <c r="O392" s="16" t="n">
        <v>1055.74</v>
      </c>
      <c r="P392" s="16" t="n">
        <v>1055.74</v>
      </c>
      <c r="Q392" s="16" t="n">
        <v>1055.74</v>
      </c>
      <c r="R392" s="16" t="n">
        <v>1055.74</v>
      </c>
      <c r="S392" s="16" t="n">
        <v>1055.74</v>
      </c>
      <c r="T392" s="16" t="n">
        <v>1055.74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CANON-202604-005777</t>
        </is>
      </c>
      <c r="B393" s="3" t="inlineStr">
        <is>
          <t>2026-04-10</t>
        </is>
      </c>
      <c r="C393" s="3" t="inlineStr">
        <is>
          <t>Everett Merriweather</t>
        </is>
      </c>
      <c r="D393" s="3" t="inlineStr">
        <is>
          <t>AR</t>
        </is>
      </c>
      <c r="E393" s="14" t="n">
        <v>400000</v>
      </c>
      <c r="F393" s="14" t="n">
        <v>6487.3</v>
      </c>
      <c r="G393" s="14" t="n">
        <v>810.91</v>
      </c>
      <c r="H393" s="14" t="n">
        <v>810.91</v>
      </c>
      <c r="I393" s="14">
        <f>SUM(K393:T393)</f>
        <v/>
      </c>
      <c r="J393" s="14">
        <f>F393-(G393+H393+I393)</f>
        <v/>
      </c>
      <c r="K393" s="14" t="n">
        <v>486.55</v>
      </c>
      <c r="L393" s="14" t="n">
        <v>486.55</v>
      </c>
      <c r="M393" s="14" t="n">
        <v>486.55</v>
      </c>
      <c r="N393" s="14" t="n">
        <v>486.55</v>
      </c>
      <c r="O393" s="14" t="n">
        <v>486.55</v>
      </c>
      <c r="P393" s="14" t="n">
        <v>486.55</v>
      </c>
      <c r="Q393" s="14" t="n">
        <v>486.55</v>
      </c>
      <c r="R393" s="14" t="n">
        <v>486.55</v>
      </c>
      <c r="S393" s="14" t="n">
        <v>486.55</v>
      </c>
      <c r="T393" s="14" t="n">
        <v>486.55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CANON-202604-005778</t>
        </is>
      </c>
      <c r="B394" s="15" t="inlineStr">
        <is>
          <t>2026-04-29</t>
        </is>
      </c>
      <c r="C394" s="15" t="inlineStr">
        <is>
          <t>Fenwick Pennington</t>
        </is>
      </c>
      <c r="D394" s="15" t="inlineStr">
        <is>
          <t>ME</t>
        </is>
      </c>
      <c r="E394" s="16" t="n">
        <v>370000</v>
      </c>
      <c r="F394" s="16" t="n">
        <v>4696.24</v>
      </c>
      <c r="G394" s="16" t="n">
        <v>587.03</v>
      </c>
      <c r="H394" s="16" t="n">
        <v>587.03</v>
      </c>
      <c r="I394" s="16">
        <f>SUM(K394:T394)</f>
        <v/>
      </c>
      <c r="J394" s="16">
        <f>F394-(G394+H394+I394)</f>
        <v/>
      </c>
      <c r="K394" s="16" t="n">
        <v>352.22</v>
      </c>
      <c r="L394" s="16" t="n">
        <v>352.22</v>
      </c>
      <c r="M394" s="16" t="n">
        <v>352.22</v>
      </c>
      <c r="N394" s="16" t="n">
        <v>352.22</v>
      </c>
      <c r="O394" s="16" t="n">
        <v>352.22</v>
      </c>
      <c r="P394" s="16" t="n">
        <v>352.22</v>
      </c>
      <c r="Q394" s="16" t="n">
        <v>352.22</v>
      </c>
      <c r="R394" s="16" t="n">
        <v>352.22</v>
      </c>
      <c r="S394" s="16" t="n">
        <v>352.22</v>
      </c>
      <c r="T394" s="16" t="n">
        <v>352.22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CANON-202604-005779</t>
        </is>
      </c>
      <c r="B395" s="3" t="inlineStr">
        <is>
          <t>2026-04-30</t>
        </is>
      </c>
      <c r="C395" s="3" t="inlineStr">
        <is>
          <t>Aurelio Kingsford</t>
        </is>
      </c>
      <c r="D395" s="3" t="inlineStr">
        <is>
          <t>MD</t>
        </is>
      </c>
      <c r="E395" s="14" t="n">
        <v>1950000</v>
      </c>
      <c r="F395" s="14" t="n">
        <v>23222.66</v>
      </c>
      <c r="G395" s="14" t="n">
        <v>2902.83</v>
      </c>
      <c r="H395" s="14" t="n">
        <v>2902.83</v>
      </c>
      <c r="I395" s="14">
        <f>SUM(K395:T395)</f>
        <v/>
      </c>
      <c r="J395" s="14">
        <f>F395-(G395+H395+I395)</f>
        <v/>
      </c>
      <c r="K395" s="14" t="n">
        <v>1741.7</v>
      </c>
      <c r="L395" s="14" t="n">
        <v>1741.7</v>
      </c>
      <c r="M395" s="14" t="n">
        <v>1741.7</v>
      </c>
      <c r="N395" s="14" t="n">
        <v>1741.7</v>
      </c>
      <c r="O395" s="14" t="n">
        <v>1741.7</v>
      </c>
      <c r="P395" s="14" t="n">
        <v>1741.7</v>
      </c>
      <c r="Q395" s="14" t="n">
        <v>1741.7</v>
      </c>
      <c r="R395" s="14" t="n">
        <v>1741.7</v>
      </c>
      <c r="S395" s="14" t="n">
        <v>1741.7</v>
      </c>
      <c r="T395" s="14" t="n">
        <v>1741.7</v>
      </c>
      <c r="U395" s="14" t="n">
        <v>350</v>
      </c>
      <c r="V395" s="14" t="n">
        <v>250</v>
      </c>
      <c r="W395" s="14">
        <f>U395+V395</f>
        <v/>
      </c>
    </row>
    <row r="396">
      <c r="A396" s="15" t="inlineStr">
        <is>
          <t>CANON-202604-005780</t>
        </is>
      </c>
      <c r="B396" s="15" t="inlineStr">
        <is>
          <t>2026-04-29</t>
        </is>
      </c>
      <c r="C396" s="15" t="inlineStr">
        <is>
          <t>Desmond Rourke</t>
        </is>
      </c>
      <c r="D396" s="15" t="inlineStr">
        <is>
          <t>NY</t>
        </is>
      </c>
      <c r="E396" s="16" t="n">
        <v>710000</v>
      </c>
      <c r="F396" s="16" t="n">
        <v>9256.469999999999</v>
      </c>
      <c r="G396" s="16" t="n">
        <v>1157.06</v>
      </c>
      <c r="H396" s="16" t="n">
        <v>1157.06</v>
      </c>
      <c r="I396" s="16">
        <f>SUM(K396:T396)</f>
        <v/>
      </c>
      <c r="J396" s="16">
        <f>F396-(G396+H396+I396)</f>
        <v/>
      </c>
      <c r="K396" s="16" t="n">
        <v>694.24</v>
      </c>
      <c r="L396" s="16" t="n">
        <v>694.24</v>
      </c>
      <c r="M396" s="16" t="n">
        <v>694.24</v>
      </c>
      <c r="N396" s="16" t="n">
        <v>694.24</v>
      </c>
      <c r="O396" s="16" t="n">
        <v>694.24</v>
      </c>
      <c r="P396" s="16" t="n">
        <v>694.24</v>
      </c>
      <c r="Q396" s="16" t="n">
        <v>694.24</v>
      </c>
      <c r="R396" s="16" t="n">
        <v>694.24</v>
      </c>
      <c r="S396" s="16" t="n">
        <v>694.24</v>
      </c>
      <c r="T396" s="16" t="n">
        <v>694.24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CANON-202604-005781</t>
        </is>
      </c>
      <c r="B397" s="3" t="inlineStr">
        <is>
          <t>2026-04-30</t>
        </is>
      </c>
      <c r="C397" s="3" t="inlineStr">
        <is>
          <t>Thaddeus Pennington</t>
        </is>
      </c>
      <c r="D397" s="3" t="inlineStr">
        <is>
          <t>TX</t>
        </is>
      </c>
      <c r="E397" s="14" t="n">
        <v>200000</v>
      </c>
      <c r="F397" s="14" t="n">
        <v>3315.73</v>
      </c>
      <c r="G397" s="14" t="n">
        <v>414.47</v>
      </c>
      <c r="H397" s="14" t="n">
        <v>414.47</v>
      </c>
      <c r="I397" s="14">
        <f>SUM(K397:T397)</f>
        <v/>
      </c>
      <c r="J397" s="14">
        <f>F397-(G397+H397+I397)</f>
        <v/>
      </c>
      <c r="K397" s="14" t="n">
        <v>248.68</v>
      </c>
      <c r="L397" s="14" t="n">
        <v>248.68</v>
      </c>
      <c r="M397" s="14" t="n">
        <v>248.68</v>
      </c>
      <c r="N397" s="14" t="n">
        <v>248.68</v>
      </c>
      <c r="O397" s="14" t="n">
        <v>248.68</v>
      </c>
      <c r="P397" s="14" t="n">
        <v>248.68</v>
      </c>
      <c r="Q397" s="14" t="n">
        <v>248.68</v>
      </c>
      <c r="R397" s="14" t="n">
        <v>248.68</v>
      </c>
      <c r="S397" s="14" t="n">
        <v>248.68</v>
      </c>
      <c r="T397" s="14" t="n">
        <v>248.68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CANON-202604-005782</t>
        </is>
      </c>
      <c r="B398" s="15" t="inlineStr">
        <is>
          <t>2026-04-20</t>
        </is>
      </c>
      <c r="C398" s="15" t="inlineStr">
        <is>
          <t>Fitzgerald Chattopadhyay</t>
        </is>
      </c>
      <c r="D398" s="15" t="inlineStr">
        <is>
          <t>CA</t>
        </is>
      </c>
      <c r="E398" s="16" t="n">
        <v>550000</v>
      </c>
      <c r="F398" s="16" t="n">
        <v>7562.64</v>
      </c>
      <c r="G398" s="16" t="n">
        <v>945.33</v>
      </c>
      <c r="H398" s="16" t="n">
        <v>945.33</v>
      </c>
      <c r="I398" s="16">
        <f>SUM(K398:T398)</f>
        <v/>
      </c>
      <c r="J398" s="16">
        <f>F398-(G398+H398+I398)</f>
        <v/>
      </c>
      <c r="K398" s="16" t="n">
        <v>567.2</v>
      </c>
      <c r="L398" s="16" t="n">
        <v>567.2</v>
      </c>
      <c r="M398" s="16" t="n">
        <v>567.2</v>
      </c>
      <c r="N398" s="16" t="n">
        <v>567.2</v>
      </c>
      <c r="O398" s="16" t="n">
        <v>567.2</v>
      </c>
      <c r="P398" s="16" t="n">
        <v>567.2</v>
      </c>
      <c r="Q398" s="16" t="n">
        <v>567.2</v>
      </c>
      <c r="R398" s="16" t="n">
        <v>567.2</v>
      </c>
      <c r="S398" s="16" t="n">
        <v>567.2</v>
      </c>
      <c r="T398" s="16" t="n">
        <v>567.2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CANON-202604-005783</t>
        </is>
      </c>
      <c r="B399" s="3" t="inlineStr">
        <is>
          <t>2026-04-19</t>
        </is>
      </c>
      <c r="C399" s="3" t="inlineStr">
        <is>
          <t>Delphine Montoya</t>
        </is>
      </c>
      <c r="D399" s="3" t="inlineStr">
        <is>
          <t>NE</t>
        </is>
      </c>
      <c r="E399" s="14" t="n">
        <v>1395000</v>
      </c>
      <c r="F399" s="14" t="n">
        <v>15629.46</v>
      </c>
      <c r="G399" s="14" t="n">
        <v>1953.68</v>
      </c>
      <c r="H399" s="14" t="n">
        <v>1953.68</v>
      </c>
      <c r="I399" s="14">
        <f>SUM(K399:T399)</f>
        <v/>
      </c>
      <c r="J399" s="14">
        <f>F399-(G399+H399+I399)</f>
        <v/>
      </c>
      <c r="K399" s="14" t="n">
        <v>1172.21</v>
      </c>
      <c r="L399" s="14" t="n">
        <v>1172.21</v>
      </c>
      <c r="M399" s="14" t="n">
        <v>1172.21</v>
      </c>
      <c r="N399" s="14" t="n">
        <v>1172.21</v>
      </c>
      <c r="O399" s="14" t="n">
        <v>1172.21</v>
      </c>
      <c r="P399" s="14" t="n">
        <v>1172.21</v>
      </c>
      <c r="Q399" s="14" t="n">
        <v>1172.21</v>
      </c>
      <c r="R399" s="14" t="n">
        <v>1172.21</v>
      </c>
      <c r="S399" s="14" t="n">
        <v>1172.21</v>
      </c>
      <c r="T399" s="14" t="n">
        <v>1172.21</v>
      </c>
      <c r="U399" s="14" t="n">
        <v>350</v>
      </c>
      <c r="V399" s="14" t="n">
        <v>250</v>
      </c>
      <c r="W399" s="14">
        <f>U399+V399</f>
        <v/>
      </c>
    </row>
    <row r="400">
      <c r="A400" s="15" t="inlineStr">
        <is>
          <t>CANON-202604-005784</t>
        </is>
      </c>
      <c r="B400" s="15" t="inlineStr">
        <is>
          <t>2026-04-24</t>
        </is>
      </c>
      <c r="C400" s="15" t="inlineStr">
        <is>
          <t>Lorenzo Pennington</t>
        </is>
      </c>
      <c r="D400" s="15" t="inlineStr">
        <is>
          <t>TX</t>
        </is>
      </c>
      <c r="E400" s="16" t="n">
        <v>235000</v>
      </c>
      <c r="F400" s="16" t="n">
        <v>3895.98</v>
      </c>
      <c r="G400" s="16" t="n">
        <v>487</v>
      </c>
      <c r="H400" s="16" t="n">
        <v>487</v>
      </c>
      <c r="I400" s="16">
        <f>SUM(K400:T400)</f>
        <v/>
      </c>
      <c r="J400" s="16">
        <f>F400-(G400+H400+I400)</f>
        <v/>
      </c>
      <c r="K400" s="16" t="n">
        <v>292.2</v>
      </c>
      <c r="L400" s="16" t="n">
        <v>292.2</v>
      </c>
      <c r="M400" s="16" t="n">
        <v>292.2</v>
      </c>
      <c r="N400" s="16" t="n">
        <v>292.2</v>
      </c>
      <c r="O400" s="16" t="n">
        <v>292.2</v>
      </c>
      <c r="P400" s="16" t="n">
        <v>292.2</v>
      </c>
      <c r="Q400" s="16" t="n">
        <v>292.2</v>
      </c>
      <c r="R400" s="16" t="n">
        <v>292.2</v>
      </c>
      <c r="S400" s="16" t="n">
        <v>292.2</v>
      </c>
      <c r="T400" s="16" t="n">
        <v>292.2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CANON-202604-005785</t>
        </is>
      </c>
      <c r="B401" s="3" t="inlineStr">
        <is>
          <t>2026-04-05</t>
        </is>
      </c>
      <c r="C401" s="3" t="inlineStr">
        <is>
          <t>Anouk Bellandi</t>
        </is>
      </c>
      <c r="D401" s="3" t="inlineStr">
        <is>
          <t>NM</t>
        </is>
      </c>
      <c r="E401" s="14" t="n">
        <v>545000</v>
      </c>
      <c r="F401" s="14" t="n">
        <v>10384.7</v>
      </c>
      <c r="G401" s="14" t="n">
        <v>1298.09</v>
      </c>
      <c r="H401" s="14" t="n">
        <v>1298.09</v>
      </c>
      <c r="I401" s="14">
        <f>SUM(K401:T401)</f>
        <v/>
      </c>
      <c r="J401" s="14">
        <f>F401-(G401+H401+I401)</f>
        <v/>
      </c>
      <c r="K401" s="14" t="n">
        <v>778.85</v>
      </c>
      <c r="L401" s="14" t="n">
        <v>778.85</v>
      </c>
      <c r="M401" s="14" t="n">
        <v>778.85</v>
      </c>
      <c r="N401" s="14" t="n">
        <v>778.85</v>
      </c>
      <c r="O401" s="14" t="n">
        <v>778.85</v>
      </c>
      <c r="P401" s="14" t="n">
        <v>778.85</v>
      </c>
      <c r="Q401" s="14" t="n">
        <v>778.85</v>
      </c>
      <c r="R401" s="14" t="n">
        <v>778.85</v>
      </c>
      <c r="S401" s="14" t="n">
        <v>778.85</v>
      </c>
      <c r="T401" s="14" t="n">
        <v>778.85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CANON-202604-005786</t>
        </is>
      </c>
      <c r="B402" s="15" t="inlineStr">
        <is>
          <t>2026-04-10</t>
        </is>
      </c>
      <c r="C402" s="15" t="inlineStr">
        <is>
          <t>Fitzgerald Chattopadhyay</t>
        </is>
      </c>
      <c r="D402" s="15" t="inlineStr">
        <is>
          <t>VT</t>
        </is>
      </c>
      <c r="E402" s="16" t="n">
        <v>305000</v>
      </c>
      <c r="F402" s="16" t="n">
        <v>4373.06</v>
      </c>
      <c r="G402" s="16" t="n">
        <v>546.63</v>
      </c>
      <c r="H402" s="16" t="n">
        <v>546.63</v>
      </c>
      <c r="I402" s="16">
        <f>SUM(K402:T402)</f>
        <v/>
      </c>
      <c r="J402" s="16">
        <f>F402-(G402+H402+I402)</f>
        <v/>
      </c>
      <c r="K402" s="16" t="n">
        <v>327.98</v>
      </c>
      <c r="L402" s="16" t="n">
        <v>327.98</v>
      </c>
      <c r="M402" s="16" t="n">
        <v>327.98</v>
      </c>
      <c r="N402" s="16" t="n">
        <v>327.98</v>
      </c>
      <c r="O402" s="16" t="n">
        <v>327.98</v>
      </c>
      <c r="P402" s="16" t="n">
        <v>327.98</v>
      </c>
      <c r="Q402" s="16" t="n">
        <v>327.98</v>
      </c>
      <c r="R402" s="16" t="n">
        <v>327.98</v>
      </c>
      <c r="S402" s="16" t="n">
        <v>327.98</v>
      </c>
      <c r="T402" s="16" t="n">
        <v>327.98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CANON-202604-005787</t>
        </is>
      </c>
      <c r="B403" s="3" t="inlineStr">
        <is>
          <t>2026-04-21</t>
        </is>
      </c>
      <c r="C403" s="3" t="inlineStr">
        <is>
          <t>Ingrid Pennington</t>
        </is>
      </c>
      <c r="D403" s="3" t="inlineStr">
        <is>
          <t>NM</t>
        </is>
      </c>
      <c r="E403" s="14" t="n">
        <v>415000</v>
      </c>
      <c r="F403" s="14" t="n">
        <v>6242.85</v>
      </c>
      <c r="G403" s="14" t="n">
        <v>780.36</v>
      </c>
      <c r="H403" s="14" t="n">
        <v>780.36</v>
      </c>
      <c r="I403" s="14">
        <f>SUM(K403:T403)</f>
        <v/>
      </c>
      <c r="J403" s="14">
        <f>F403-(G403+H403+I403)</f>
        <v/>
      </c>
      <c r="K403" s="14" t="n">
        <v>468.21</v>
      </c>
      <c r="L403" s="14" t="n">
        <v>468.21</v>
      </c>
      <c r="M403" s="14" t="n">
        <v>468.21</v>
      </c>
      <c r="N403" s="14" t="n">
        <v>468.21</v>
      </c>
      <c r="O403" s="14" t="n">
        <v>468.21</v>
      </c>
      <c r="P403" s="14" t="n">
        <v>468.21</v>
      </c>
      <c r="Q403" s="14" t="n">
        <v>468.21</v>
      </c>
      <c r="R403" s="14" t="n">
        <v>468.21</v>
      </c>
      <c r="S403" s="14" t="n">
        <v>468.21</v>
      </c>
      <c r="T403" s="14" t="n">
        <v>468.21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CANON-202604-005788</t>
        </is>
      </c>
      <c r="B404" s="15" t="inlineStr">
        <is>
          <t>2026-04-15</t>
        </is>
      </c>
      <c r="C404" s="15" t="inlineStr">
        <is>
          <t>Mireille Whitlock</t>
        </is>
      </c>
      <c r="D404" s="15" t="inlineStr">
        <is>
          <t>WA</t>
        </is>
      </c>
      <c r="E404" s="16" t="n">
        <v>420000</v>
      </c>
      <c r="F404" s="16" t="n">
        <v>4738.55</v>
      </c>
      <c r="G404" s="16" t="n">
        <v>592.3200000000001</v>
      </c>
      <c r="H404" s="16" t="n">
        <v>592.3200000000001</v>
      </c>
      <c r="I404" s="16">
        <f>SUM(K404:T404)</f>
        <v/>
      </c>
      <c r="J404" s="16">
        <f>F404-(G404+H404+I404)</f>
        <v/>
      </c>
      <c r="K404" s="16" t="n">
        <v>355.39</v>
      </c>
      <c r="L404" s="16" t="n">
        <v>355.39</v>
      </c>
      <c r="M404" s="16" t="n">
        <v>355.39</v>
      </c>
      <c r="N404" s="16" t="n">
        <v>355.39</v>
      </c>
      <c r="O404" s="16" t="n">
        <v>355.39</v>
      </c>
      <c r="P404" s="16" t="n">
        <v>355.39</v>
      </c>
      <c r="Q404" s="16" t="n">
        <v>355.39</v>
      </c>
      <c r="R404" s="16" t="n">
        <v>355.39</v>
      </c>
      <c r="S404" s="16" t="n">
        <v>355.39</v>
      </c>
      <c r="T404" s="16" t="n">
        <v>355.39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CANON-202604-005790</t>
        </is>
      </c>
      <c r="B405" s="3" t="inlineStr">
        <is>
          <t>2026-04-05</t>
        </is>
      </c>
      <c r="C405" s="3" t="inlineStr">
        <is>
          <t>Wilhelmina Vasquez</t>
        </is>
      </c>
      <c r="D405" s="3" t="inlineStr">
        <is>
          <t>TX</t>
        </is>
      </c>
      <c r="E405" s="14" t="n">
        <v>335000</v>
      </c>
      <c r="F405" s="14" t="n">
        <v>4527.6</v>
      </c>
      <c r="G405" s="14" t="n">
        <v>565.95</v>
      </c>
      <c r="H405" s="14" t="n">
        <v>565.95</v>
      </c>
      <c r="I405" s="14">
        <f>SUM(K405:T405)</f>
        <v/>
      </c>
      <c r="J405" s="14">
        <f>F405-(G405+H405+I405)</f>
        <v/>
      </c>
      <c r="K405" s="14" t="n">
        <v>339.57</v>
      </c>
      <c r="L405" s="14" t="n">
        <v>339.57</v>
      </c>
      <c r="M405" s="14" t="n">
        <v>339.57</v>
      </c>
      <c r="N405" s="14" t="n">
        <v>339.57</v>
      </c>
      <c r="O405" s="14" t="n">
        <v>339.57</v>
      </c>
      <c r="P405" s="14" t="n">
        <v>339.57</v>
      </c>
      <c r="Q405" s="14" t="n">
        <v>339.57</v>
      </c>
      <c r="R405" s="14" t="n">
        <v>339.57</v>
      </c>
      <c r="S405" s="14" t="n">
        <v>339.57</v>
      </c>
      <c r="T405" s="14" t="n">
        <v>339.57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CANON-202604-005791</t>
        </is>
      </c>
      <c r="B406" s="15" t="inlineStr">
        <is>
          <t>2026-04-29</t>
        </is>
      </c>
      <c r="C406" s="15" t="inlineStr">
        <is>
          <t>Everett Vasquez</t>
        </is>
      </c>
      <c r="D406" s="15" t="inlineStr">
        <is>
          <t>OH</t>
        </is>
      </c>
      <c r="E406" s="16" t="n">
        <v>770000</v>
      </c>
      <c r="F406" s="16" t="n">
        <v>15932.83</v>
      </c>
      <c r="G406" s="16" t="n">
        <v>1991.6</v>
      </c>
      <c r="H406" s="16" t="n">
        <v>1991.6</v>
      </c>
      <c r="I406" s="16">
        <f>SUM(K406:T406)</f>
        <v/>
      </c>
      <c r="J406" s="16">
        <f>F406-(G406+H406+I406)</f>
        <v/>
      </c>
      <c r="K406" s="16" t="n">
        <v>1194.96</v>
      </c>
      <c r="L406" s="16" t="n">
        <v>1194.96</v>
      </c>
      <c r="M406" s="16" t="n">
        <v>1194.96</v>
      </c>
      <c r="N406" s="16" t="n">
        <v>1194.96</v>
      </c>
      <c r="O406" s="16" t="n">
        <v>1194.96</v>
      </c>
      <c r="P406" s="16" t="n">
        <v>1194.96</v>
      </c>
      <c r="Q406" s="16" t="n">
        <v>1194.96</v>
      </c>
      <c r="R406" s="16" t="n">
        <v>1194.96</v>
      </c>
      <c r="S406" s="16" t="n">
        <v>1194.96</v>
      </c>
      <c r="T406" s="16" t="n">
        <v>1194.96</v>
      </c>
      <c r="U406" s="16" t="n">
        <v>350</v>
      </c>
      <c r="V406" s="16" t="n">
        <v>0</v>
      </c>
      <c r="W406" s="16">
        <f>U406+V406</f>
        <v/>
      </c>
    </row>
    <row r="407">
      <c r="A407" s="3" t="inlineStr">
        <is>
          <t>CANON-202604-005792</t>
        </is>
      </c>
      <c r="B407" s="3" t="inlineStr">
        <is>
          <t>2026-04-08</t>
        </is>
      </c>
      <c r="C407" s="3" t="inlineStr">
        <is>
          <t>Everett Blackwood</t>
        </is>
      </c>
      <c r="D407" s="3" t="inlineStr">
        <is>
          <t>CO</t>
        </is>
      </c>
      <c r="E407" s="14" t="n">
        <v>715000</v>
      </c>
      <c r="F407" s="14" t="n">
        <v>8010.8</v>
      </c>
      <c r="G407" s="14" t="n">
        <v>1001.35</v>
      </c>
      <c r="H407" s="14" t="n">
        <v>1001.35</v>
      </c>
      <c r="I407" s="14">
        <f>SUM(K407:T407)</f>
        <v/>
      </c>
      <c r="J407" s="14">
        <f>F407-(G407+H407+I407)</f>
        <v/>
      </c>
      <c r="K407" s="14" t="n">
        <v>600.8099999999999</v>
      </c>
      <c r="L407" s="14" t="n">
        <v>600.8099999999999</v>
      </c>
      <c r="M407" s="14" t="n">
        <v>600.8099999999999</v>
      </c>
      <c r="N407" s="14" t="n">
        <v>600.8099999999999</v>
      </c>
      <c r="O407" s="14" t="n">
        <v>600.8099999999999</v>
      </c>
      <c r="P407" s="14" t="n">
        <v>600.8099999999999</v>
      </c>
      <c r="Q407" s="14" t="n">
        <v>600.8099999999999</v>
      </c>
      <c r="R407" s="14" t="n">
        <v>600.8099999999999</v>
      </c>
      <c r="S407" s="14" t="n">
        <v>600.8099999999999</v>
      </c>
      <c r="T407" s="14" t="n">
        <v>600.8099999999999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CANON-202604-005794</t>
        </is>
      </c>
      <c r="B408" s="15" t="inlineStr">
        <is>
          <t>2026-04-06</t>
        </is>
      </c>
      <c r="C408" s="15" t="inlineStr">
        <is>
          <t>Horace Okonkwo</t>
        </is>
      </c>
      <c r="D408" s="15" t="inlineStr">
        <is>
          <t>AZ</t>
        </is>
      </c>
      <c r="E408" s="16" t="n">
        <v>1220000</v>
      </c>
      <c r="F408" s="16" t="n">
        <v>15446.68</v>
      </c>
      <c r="G408" s="16" t="n">
        <v>1930.84</v>
      </c>
      <c r="H408" s="16" t="n">
        <v>1930.84</v>
      </c>
      <c r="I408" s="16">
        <f>SUM(K408:T408)</f>
        <v/>
      </c>
      <c r="J408" s="16">
        <f>F408-(G408+H408+I408)</f>
        <v/>
      </c>
      <c r="K408" s="16" t="n">
        <v>1158.5</v>
      </c>
      <c r="L408" s="16" t="n">
        <v>1158.5</v>
      </c>
      <c r="M408" s="16" t="n">
        <v>1158.5</v>
      </c>
      <c r="N408" s="16" t="n">
        <v>1158.5</v>
      </c>
      <c r="O408" s="16" t="n">
        <v>1158.5</v>
      </c>
      <c r="P408" s="16" t="n">
        <v>1158.5</v>
      </c>
      <c r="Q408" s="16" t="n">
        <v>1158.5</v>
      </c>
      <c r="R408" s="16" t="n">
        <v>1158.5</v>
      </c>
      <c r="S408" s="16" t="n">
        <v>1158.5</v>
      </c>
      <c r="T408" s="16" t="n">
        <v>1158.5</v>
      </c>
      <c r="U408" s="16" t="n">
        <v>350</v>
      </c>
      <c r="V408" s="16" t="n">
        <v>250</v>
      </c>
      <c r="W408" s="16">
        <f>U408+V408</f>
        <v/>
      </c>
    </row>
    <row r="409">
      <c r="A409" s="3" t="inlineStr">
        <is>
          <t>CANON-202604-005795</t>
        </is>
      </c>
      <c r="B409" s="3" t="inlineStr">
        <is>
          <t>2026-04-14</t>
        </is>
      </c>
      <c r="C409" s="3" t="inlineStr">
        <is>
          <t>Horace Blackwood</t>
        </is>
      </c>
      <c r="D409" s="3" t="inlineStr">
        <is>
          <t>KS</t>
        </is>
      </c>
      <c r="E409" s="14" t="n">
        <v>1950000</v>
      </c>
      <c r="F409" s="14" t="n">
        <v>20154.82</v>
      </c>
      <c r="G409" s="14" t="n">
        <v>2519.35</v>
      </c>
      <c r="H409" s="14" t="n">
        <v>2519.35</v>
      </c>
      <c r="I409" s="14">
        <f>SUM(K409:T409)</f>
        <v/>
      </c>
      <c r="J409" s="14">
        <f>F409-(G409+H409+I409)</f>
        <v/>
      </c>
      <c r="K409" s="14" t="n">
        <v>1511.61</v>
      </c>
      <c r="L409" s="14" t="n">
        <v>1511.61</v>
      </c>
      <c r="M409" s="14" t="n">
        <v>1511.61</v>
      </c>
      <c r="N409" s="14" t="n">
        <v>1511.61</v>
      </c>
      <c r="O409" s="14" t="n">
        <v>1511.61</v>
      </c>
      <c r="P409" s="14" t="n">
        <v>1511.61</v>
      </c>
      <c r="Q409" s="14" t="n">
        <v>1511.61</v>
      </c>
      <c r="R409" s="14" t="n">
        <v>1511.61</v>
      </c>
      <c r="S409" s="14" t="n">
        <v>1511.61</v>
      </c>
      <c r="T409" s="14" t="n">
        <v>1511.61</v>
      </c>
      <c r="U409" s="14" t="n">
        <v>350</v>
      </c>
      <c r="V409" s="14" t="n">
        <v>250</v>
      </c>
      <c r="W409" s="14">
        <f>U409+V409</f>
        <v/>
      </c>
    </row>
    <row r="410">
      <c r="A410" s="15" t="inlineStr">
        <is>
          <t>CANON-202604-005796</t>
        </is>
      </c>
      <c r="B410" s="15" t="inlineStr">
        <is>
          <t>2026-04-07</t>
        </is>
      </c>
      <c r="C410" s="15" t="inlineStr">
        <is>
          <t>Priya Rourke</t>
        </is>
      </c>
      <c r="D410" s="15" t="inlineStr">
        <is>
          <t>AK</t>
        </is>
      </c>
      <c r="E410" s="16" t="n">
        <v>795000</v>
      </c>
      <c r="F410" s="16" t="n">
        <v>9231.01</v>
      </c>
      <c r="G410" s="16" t="n">
        <v>1153.88</v>
      </c>
      <c r="H410" s="16" t="n">
        <v>1153.88</v>
      </c>
      <c r="I410" s="16">
        <f>SUM(K410:T410)</f>
        <v/>
      </c>
      <c r="J410" s="16">
        <f>F410-(G410+H410+I410)</f>
        <v/>
      </c>
      <c r="K410" s="16" t="n">
        <v>692.33</v>
      </c>
      <c r="L410" s="16" t="n">
        <v>692.33</v>
      </c>
      <c r="M410" s="16" t="n">
        <v>692.33</v>
      </c>
      <c r="N410" s="16" t="n">
        <v>692.33</v>
      </c>
      <c r="O410" s="16" t="n">
        <v>692.33</v>
      </c>
      <c r="P410" s="16" t="n">
        <v>692.33</v>
      </c>
      <c r="Q410" s="16" t="n">
        <v>692.33</v>
      </c>
      <c r="R410" s="16" t="n">
        <v>692.33</v>
      </c>
      <c r="S410" s="16" t="n">
        <v>692.33</v>
      </c>
      <c r="T410" s="16" t="n">
        <v>692.33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CANON-202604-005797</t>
        </is>
      </c>
      <c r="B411" s="3" t="inlineStr">
        <is>
          <t>2026-04-08</t>
        </is>
      </c>
      <c r="C411" s="3" t="inlineStr">
        <is>
          <t>Fitzgerald Thistlewood</t>
        </is>
      </c>
      <c r="D411" s="3" t="inlineStr">
        <is>
          <t>CO</t>
        </is>
      </c>
      <c r="E411" s="14" t="n">
        <v>520000</v>
      </c>
      <c r="F411" s="14" t="n">
        <v>5826.03</v>
      </c>
      <c r="G411" s="14" t="n">
        <v>728.25</v>
      </c>
      <c r="H411" s="14" t="n">
        <v>728.25</v>
      </c>
      <c r="I411" s="14">
        <f>SUM(K411:T411)</f>
        <v/>
      </c>
      <c r="J411" s="14">
        <f>F411-(G411+H411+I411)</f>
        <v/>
      </c>
      <c r="K411" s="14" t="n">
        <v>436.95</v>
      </c>
      <c r="L411" s="14" t="n">
        <v>436.95</v>
      </c>
      <c r="M411" s="14" t="n">
        <v>436.95</v>
      </c>
      <c r="N411" s="14" t="n">
        <v>436.95</v>
      </c>
      <c r="O411" s="14" t="n">
        <v>436.95</v>
      </c>
      <c r="P411" s="14" t="n">
        <v>436.95</v>
      </c>
      <c r="Q411" s="14" t="n">
        <v>436.95</v>
      </c>
      <c r="R411" s="14" t="n">
        <v>436.95</v>
      </c>
      <c r="S411" s="14" t="n">
        <v>436.95</v>
      </c>
      <c r="T411" s="14" t="n">
        <v>436.95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CANON-202604-005798</t>
        </is>
      </c>
      <c r="B412" s="15" t="inlineStr">
        <is>
          <t>2026-04-04</t>
        </is>
      </c>
      <c r="C412" s="15" t="inlineStr">
        <is>
          <t>Emiliano Vasquez</t>
        </is>
      </c>
      <c r="D412" s="15" t="inlineStr">
        <is>
          <t>WA</t>
        </is>
      </c>
      <c r="E412" s="16" t="n">
        <v>770000</v>
      </c>
      <c r="F412" s="16" t="n">
        <v>7529.03</v>
      </c>
      <c r="G412" s="16" t="n">
        <v>941.13</v>
      </c>
      <c r="H412" s="16" t="n">
        <v>941.13</v>
      </c>
      <c r="I412" s="16">
        <f>SUM(K412:T412)</f>
        <v/>
      </c>
      <c r="J412" s="16">
        <f>F412-(G412+H412+I412)</f>
        <v/>
      </c>
      <c r="K412" s="16" t="n">
        <v>564.6799999999999</v>
      </c>
      <c r="L412" s="16" t="n">
        <v>564.6799999999999</v>
      </c>
      <c r="M412" s="16" t="n">
        <v>564.6799999999999</v>
      </c>
      <c r="N412" s="16" t="n">
        <v>564.6799999999999</v>
      </c>
      <c r="O412" s="16" t="n">
        <v>564.6799999999999</v>
      </c>
      <c r="P412" s="16" t="n">
        <v>564.6799999999999</v>
      </c>
      <c r="Q412" s="16" t="n">
        <v>564.6799999999999</v>
      </c>
      <c r="R412" s="16" t="n">
        <v>564.6799999999999</v>
      </c>
      <c r="S412" s="16" t="n">
        <v>564.6799999999999</v>
      </c>
      <c r="T412" s="16" t="n">
        <v>564.6799999999999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CANON-202604-005800</t>
        </is>
      </c>
      <c r="B413" s="3" t="inlineStr">
        <is>
          <t>2026-04-28</t>
        </is>
      </c>
      <c r="C413" s="3" t="inlineStr">
        <is>
          <t>Noor Montoya</t>
        </is>
      </c>
      <c r="D413" s="3" t="inlineStr">
        <is>
          <t>NY</t>
        </is>
      </c>
      <c r="E413" s="14" t="n">
        <v>315000</v>
      </c>
      <c r="F413" s="14" t="n">
        <v>4738.55</v>
      </c>
      <c r="G413" s="14" t="n">
        <v>592.3200000000001</v>
      </c>
      <c r="H413" s="14" t="n">
        <v>592.3200000000001</v>
      </c>
      <c r="I413" s="14">
        <f>SUM(K413:T413)</f>
        <v/>
      </c>
      <c r="J413" s="14">
        <f>F413-(G413+H413+I413)</f>
        <v/>
      </c>
      <c r="K413" s="14" t="n">
        <v>355.39</v>
      </c>
      <c r="L413" s="14" t="n">
        <v>355.39</v>
      </c>
      <c r="M413" s="14" t="n">
        <v>355.39</v>
      </c>
      <c r="N413" s="14" t="n">
        <v>355.39</v>
      </c>
      <c r="O413" s="14" t="n">
        <v>355.39</v>
      </c>
      <c r="P413" s="14" t="n">
        <v>355.39</v>
      </c>
      <c r="Q413" s="14" t="n">
        <v>355.39</v>
      </c>
      <c r="R413" s="14" t="n">
        <v>355.39</v>
      </c>
      <c r="S413" s="14" t="n">
        <v>355.39</v>
      </c>
      <c r="T413" s="14" t="n">
        <v>355.39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CANON-202604-005801</t>
        </is>
      </c>
      <c r="B414" s="15" t="inlineStr">
        <is>
          <t>2026-04-30</t>
        </is>
      </c>
      <c r="C414" s="15" t="inlineStr">
        <is>
          <t>Ingrid Rourke</t>
        </is>
      </c>
      <c r="D414" s="15" t="inlineStr">
        <is>
          <t>KS</t>
        </is>
      </c>
      <c r="E414" s="16" t="n">
        <v>630000</v>
      </c>
      <c r="F414" s="16" t="n">
        <v>3638.81</v>
      </c>
      <c r="G414" s="16" t="n">
        <v>454.85</v>
      </c>
      <c r="H414" s="16" t="n">
        <v>454.85</v>
      </c>
      <c r="I414" s="16">
        <f>SUM(K414:T414)</f>
        <v/>
      </c>
      <c r="J414" s="16">
        <f>F414-(G414+H414+I414)</f>
        <v/>
      </c>
      <c r="K414" s="16" t="n">
        <v>272.91</v>
      </c>
      <c r="L414" s="16" t="n">
        <v>272.91</v>
      </c>
      <c r="M414" s="16" t="n">
        <v>272.91</v>
      </c>
      <c r="N414" s="16" t="n">
        <v>272.91</v>
      </c>
      <c r="O414" s="16" t="n">
        <v>272.91</v>
      </c>
      <c r="P414" s="16" t="n">
        <v>272.91</v>
      </c>
      <c r="Q414" s="16" t="n">
        <v>272.91</v>
      </c>
      <c r="R414" s="16" t="n">
        <v>272.91</v>
      </c>
      <c r="S414" s="16" t="n">
        <v>272.91</v>
      </c>
      <c r="T414" s="16" t="n">
        <v>272.91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CANON-202604-005802</t>
        </is>
      </c>
      <c r="B415" s="3" t="inlineStr">
        <is>
          <t>2026-04-09</t>
        </is>
      </c>
      <c r="C415" s="3" t="inlineStr">
        <is>
          <t>Ingrid Chattopadhyay</t>
        </is>
      </c>
      <c r="D415" s="3" t="inlineStr">
        <is>
          <t>NY</t>
        </is>
      </c>
      <c r="E415" s="14" t="n">
        <v>735000</v>
      </c>
      <c r="F415" s="14" t="n">
        <v>9582.4</v>
      </c>
      <c r="G415" s="14" t="n">
        <v>1197.8</v>
      </c>
      <c r="H415" s="14" t="n">
        <v>1197.8</v>
      </c>
      <c r="I415" s="14">
        <f>SUM(K415:T415)</f>
        <v/>
      </c>
      <c r="J415" s="14">
        <f>F415-(G415+H415+I415)</f>
        <v/>
      </c>
      <c r="K415" s="14" t="n">
        <v>718.6799999999999</v>
      </c>
      <c r="L415" s="14" t="n">
        <v>718.6799999999999</v>
      </c>
      <c r="M415" s="14" t="n">
        <v>718.6799999999999</v>
      </c>
      <c r="N415" s="14" t="n">
        <v>718.6799999999999</v>
      </c>
      <c r="O415" s="14" t="n">
        <v>718.6799999999999</v>
      </c>
      <c r="P415" s="14" t="n">
        <v>718.6799999999999</v>
      </c>
      <c r="Q415" s="14" t="n">
        <v>718.6799999999999</v>
      </c>
      <c r="R415" s="14" t="n">
        <v>718.6799999999999</v>
      </c>
      <c r="S415" s="14" t="n">
        <v>718.6799999999999</v>
      </c>
      <c r="T415" s="14" t="n">
        <v>718.6799999999999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CANON-202604-005803</t>
        </is>
      </c>
      <c r="B416" s="15" t="inlineStr">
        <is>
          <t>2026-04-22</t>
        </is>
      </c>
      <c r="C416" s="15" t="inlineStr">
        <is>
          <t>Wilhelmina Merriweather</t>
        </is>
      </c>
      <c r="D416" s="15" t="inlineStr">
        <is>
          <t>MO</t>
        </is>
      </c>
      <c r="E416" s="16" t="n">
        <v>1035000</v>
      </c>
      <c r="F416" s="16" t="n">
        <v>9455.24</v>
      </c>
      <c r="G416" s="16" t="n">
        <v>1181.9</v>
      </c>
      <c r="H416" s="16" t="n">
        <v>1181.9</v>
      </c>
      <c r="I416" s="16">
        <f>SUM(K416:T416)</f>
        <v/>
      </c>
      <c r="J416" s="16">
        <f>F416-(G416+H416+I416)</f>
        <v/>
      </c>
      <c r="K416" s="16" t="n">
        <v>709.14</v>
      </c>
      <c r="L416" s="16" t="n">
        <v>709.14</v>
      </c>
      <c r="M416" s="16" t="n">
        <v>709.14</v>
      </c>
      <c r="N416" s="16" t="n">
        <v>709.14</v>
      </c>
      <c r="O416" s="16" t="n">
        <v>709.14</v>
      </c>
      <c r="P416" s="16" t="n">
        <v>709.14</v>
      </c>
      <c r="Q416" s="16" t="n">
        <v>709.14</v>
      </c>
      <c r="R416" s="16" t="n">
        <v>709.14</v>
      </c>
      <c r="S416" s="16" t="n">
        <v>709.14</v>
      </c>
      <c r="T416" s="16" t="n">
        <v>709.14</v>
      </c>
      <c r="U416" s="16" t="n">
        <v>350</v>
      </c>
      <c r="V416" s="16" t="n">
        <v>250</v>
      </c>
      <c r="W416" s="16">
        <f>U416+V416</f>
        <v/>
      </c>
    </row>
    <row r="417">
      <c r="A417" s="3" t="inlineStr">
        <is>
          <t>CANON-202604-005804</t>
        </is>
      </c>
      <c r="B417" s="3" t="inlineStr">
        <is>
          <t>2026-04-24</t>
        </is>
      </c>
      <c r="C417" s="3" t="inlineStr">
        <is>
          <t>Everett Farkas</t>
        </is>
      </c>
      <c r="D417" s="3" t="inlineStr">
        <is>
          <t>GA</t>
        </is>
      </c>
      <c r="E417" s="14" t="n">
        <v>1085000</v>
      </c>
      <c r="F417" s="14" t="n">
        <v>7235.94</v>
      </c>
      <c r="G417" s="14" t="n">
        <v>904.49</v>
      </c>
      <c r="H417" s="14" t="n">
        <v>904.49</v>
      </c>
      <c r="I417" s="14">
        <f>SUM(K417:T417)</f>
        <v/>
      </c>
      <c r="J417" s="14">
        <f>F417-(G417+H417+I417)</f>
        <v/>
      </c>
      <c r="K417" s="14" t="n">
        <v>542.7</v>
      </c>
      <c r="L417" s="14" t="n">
        <v>542.7</v>
      </c>
      <c r="M417" s="14" t="n">
        <v>542.7</v>
      </c>
      <c r="N417" s="14" t="n">
        <v>542.7</v>
      </c>
      <c r="O417" s="14" t="n">
        <v>542.7</v>
      </c>
      <c r="P417" s="14" t="n">
        <v>542.7</v>
      </c>
      <c r="Q417" s="14" t="n">
        <v>542.7</v>
      </c>
      <c r="R417" s="14" t="n">
        <v>542.7</v>
      </c>
      <c r="S417" s="14" t="n">
        <v>542.7</v>
      </c>
      <c r="T417" s="14" t="n">
        <v>542.7</v>
      </c>
      <c r="U417" s="14" t="n">
        <v>350</v>
      </c>
      <c r="V417" s="14" t="n">
        <v>250</v>
      </c>
      <c r="W417" s="14">
        <f>U417+V417</f>
        <v/>
      </c>
    </row>
    <row r="418">
      <c r="A418" s="15" t="inlineStr">
        <is>
          <t>CANON-202604-005805</t>
        </is>
      </c>
      <c r="B418" s="15" t="inlineStr">
        <is>
          <t>2026-04-28</t>
        </is>
      </c>
      <c r="C418" s="15" t="inlineStr">
        <is>
          <t>Fenwick Vasquez</t>
        </is>
      </c>
      <c r="D418" s="15" t="inlineStr">
        <is>
          <t>FL</t>
        </is>
      </c>
      <c r="E418" s="16" t="n">
        <v>975000</v>
      </c>
      <c r="F418" s="16" t="n">
        <v>20610.11</v>
      </c>
      <c r="G418" s="16" t="n">
        <v>2576.26</v>
      </c>
      <c r="H418" s="16" t="n">
        <v>2576.26</v>
      </c>
      <c r="I418" s="16">
        <f>SUM(K418:T418)</f>
        <v/>
      </c>
      <c r="J418" s="16">
        <f>F418-(G418+H418+I418)</f>
        <v/>
      </c>
      <c r="K418" s="16" t="n">
        <v>1545.76</v>
      </c>
      <c r="L418" s="16" t="n">
        <v>1545.76</v>
      </c>
      <c r="M418" s="16" t="n">
        <v>1545.76</v>
      </c>
      <c r="N418" s="16" t="n">
        <v>1545.76</v>
      </c>
      <c r="O418" s="16" t="n">
        <v>1545.76</v>
      </c>
      <c r="P418" s="16" t="n">
        <v>1545.76</v>
      </c>
      <c r="Q418" s="16" t="n">
        <v>1545.76</v>
      </c>
      <c r="R418" s="16" t="n">
        <v>1545.76</v>
      </c>
      <c r="S418" s="16" t="n">
        <v>1545.76</v>
      </c>
      <c r="T418" s="16" t="n">
        <v>1545.76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CANON-202604-005806</t>
        </is>
      </c>
      <c r="B419" s="3" t="inlineStr">
        <is>
          <t>2026-04-21</t>
        </is>
      </c>
      <c r="C419" s="3" t="inlineStr">
        <is>
          <t>Desmond Chattopadhyay</t>
        </is>
      </c>
      <c r="D419" s="3" t="inlineStr">
        <is>
          <t>PA</t>
        </is>
      </c>
      <c r="E419" s="14" t="n">
        <v>680000</v>
      </c>
      <c r="F419" s="14" t="n">
        <v>8311.27</v>
      </c>
      <c r="G419" s="14" t="n">
        <v>1038.91</v>
      </c>
      <c r="H419" s="14" t="n">
        <v>1038.91</v>
      </c>
      <c r="I419" s="14">
        <f>SUM(K419:T419)</f>
        <v/>
      </c>
      <c r="J419" s="14">
        <f>F419-(G419+H419+I419)</f>
        <v/>
      </c>
      <c r="K419" s="14" t="n">
        <v>623.35</v>
      </c>
      <c r="L419" s="14" t="n">
        <v>623.35</v>
      </c>
      <c r="M419" s="14" t="n">
        <v>623.35</v>
      </c>
      <c r="N419" s="14" t="n">
        <v>623.35</v>
      </c>
      <c r="O419" s="14" t="n">
        <v>623.35</v>
      </c>
      <c r="P419" s="14" t="n">
        <v>623.35</v>
      </c>
      <c r="Q419" s="14" t="n">
        <v>623.35</v>
      </c>
      <c r="R419" s="14" t="n">
        <v>623.35</v>
      </c>
      <c r="S419" s="14" t="n">
        <v>623.35</v>
      </c>
      <c r="T419" s="14" t="n">
        <v>623.35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CANON-202604-005807</t>
        </is>
      </c>
      <c r="B420" s="15" t="inlineStr">
        <is>
          <t>2026-04-08</t>
        </is>
      </c>
      <c r="C420" s="15" t="inlineStr">
        <is>
          <t>Saoirse Larsson</t>
        </is>
      </c>
      <c r="D420" s="15" t="inlineStr">
        <is>
          <t>NJ</t>
        </is>
      </c>
      <c r="E420" s="16" t="n">
        <v>970000</v>
      </c>
      <c r="F420" s="16" t="n">
        <v>8990.639999999999</v>
      </c>
      <c r="G420" s="16" t="n">
        <v>1123.83</v>
      </c>
      <c r="H420" s="16" t="n">
        <v>1123.83</v>
      </c>
      <c r="I420" s="16">
        <f>SUM(K420:T420)</f>
        <v/>
      </c>
      <c r="J420" s="16">
        <f>F420-(G420+H420+I420)</f>
        <v/>
      </c>
      <c r="K420" s="16" t="n">
        <v>674.3</v>
      </c>
      <c r="L420" s="16" t="n">
        <v>674.3</v>
      </c>
      <c r="M420" s="16" t="n">
        <v>674.3</v>
      </c>
      <c r="N420" s="16" t="n">
        <v>674.3</v>
      </c>
      <c r="O420" s="16" t="n">
        <v>674.3</v>
      </c>
      <c r="P420" s="16" t="n">
        <v>674.3</v>
      </c>
      <c r="Q420" s="16" t="n">
        <v>674.3</v>
      </c>
      <c r="R420" s="16" t="n">
        <v>674.3</v>
      </c>
      <c r="S420" s="16" t="n">
        <v>674.3</v>
      </c>
      <c r="T420" s="16" t="n">
        <v>674.3</v>
      </c>
      <c r="U420" s="16" t="n">
        <v>350</v>
      </c>
      <c r="V420" s="16" t="n">
        <v>0</v>
      </c>
      <c r="W420" s="16">
        <f>U420+V420</f>
        <v/>
      </c>
    </row>
    <row r="421">
      <c r="A421" s="3" t="inlineStr">
        <is>
          <t>CANON-202604-005808</t>
        </is>
      </c>
      <c r="B421" s="3" t="inlineStr">
        <is>
          <t>2026-04-14</t>
        </is>
      </c>
      <c r="C421" s="3" t="inlineStr">
        <is>
          <t>Everett Ashcombe</t>
        </is>
      </c>
      <c r="D421" s="3" t="inlineStr">
        <is>
          <t>IN</t>
        </is>
      </c>
      <c r="E421" s="14" t="n">
        <v>790000</v>
      </c>
      <c r="F421" s="14" t="n">
        <v>9897.129999999999</v>
      </c>
      <c r="G421" s="14" t="n">
        <v>1237.14</v>
      </c>
      <c r="H421" s="14" t="n">
        <v>1237.14</v>
      </c>
      <c r="I421" s="14">
        <f>SUM(K421:T421)</f>
        <v/>
      </c>
      <c r="J421" s="14">
        <f>F421-(G421+H421+I421)</f>
        <v/>
      </c>
      <c r="K421" s="14" t="n">
        <v>742.28</v>
      </c>
      <c r="L421" s="14" t="n">
        <v>742.28</v>
      </c>
      <c r="M421" s="14" t="n">
        <v>742.28</v>
      </c>
      <c r="N421" s="14" t="n">
        <v>742.28</v>
      </c>
      <c r="O421" s="14" t="n">
        <v>742.28</v>
      </c>
      <c r="P421" s="14" t="n">
        <v>742.28</v>
      </c>
      <c r="Q421" s="14" t="n">
        <v>742.28</v>
      </c>
      <c r="R421" s="14" t="n">
        <v>742.28</v>
      </c>
      <c r="S421" s="14" t="n">
        <v>742.28</v>
      </c>
      <c r="T421" s="14" t="n">
        <v>742.28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CANON-202604-005809</t>
        </is>
      </c>
      <c r="B422" s="15" t="inlineStr">
        <is>
          <t>2026-04-26</t>
        </is>
      </c>
      <c r="C422" s="15" t="inlineStr">
        <is>
          <t>Ramona Montoya</t>
        </is>
      </c>
      <c r="D422" s="15" t="inlineStr">
        <is>
          <t>PA</t>
        </is>
      </c>
      <c r="E422" s="16" t="n">
        <v>435000</v>
      </c>
      <c r="F422" s="16" t="n">
        <v>5112.28</v>
      </c>
      <c r="G422" s="16" t="n">
        <v>639.03</v>
      </c>
      <c r="H422" s="16" t="n">
        <v>639.03</v>
      </c>
      <c r="I422" s="16">
        <f>SUM(K422:T422)</f>
        <v/>
      </c>
      <c r="J422" s="16">
        <f>F422-(G422+H422+I422)</f>
        <v/>
      </c>
      <c r="K422" s="16" t="n">
        <v>383.42</v>
      </c>
      <c r="L422" s="16" t="n">
        <v>383.42</v>
      </c>
      <c r="M422" s="16" t="n">
        <v>383.42</v>
      </c>
      <c r="N422" s="16" t="n">
        <v>383.42</v>
      </c>
      <c r="O422" s="16" t="n">
        <v>383.42</v>
      </c>
      <c r="P422" s="16" t="n">
        <v>383.42</v>
      </c>
      <c r="Q422" s="16" t="n">
        <v>383.42</v>
      </c>
      <c r="R422" s="16" t="n">
        <v>383.42</v>
      </c>
      <c r="S422" s="16" t="n">
        <v>383.42</v>
      </c>
      <c r="T422" s="16" t="n">
        <v>383.42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CANON-202604-005811</t>
        </is>
      </c>
      <c r="B423" s="3" t="inlineStr">
        <is>
          <t>2026-04-30</t>
        </is>
      </c>
      <c r="C423" s="3" t="inlineStr">
        <is>
          <t>Lorenzo Merriweather</t>
        </is>
      </c>
      <c r="D423" s="3" t="inlineStr">
        <is>
          <t>CA</t>
        </is>
      </c>
      <c r="E423" s="14" t="n">
        <v>365000</v>
      </c>
      <c r="F423" s="14" t="n">
        <v>5790.98</v>
      </c>
      <c r="G423" s="14" t="n">
        <v>723.87</v>
      </c>
      <c r="H423" s="14" t="n">
        <v>723.87</v>
      </c>
      <c r="I423" s="14">
        <f>SUM(K423:T423)</f>
        <v/>
      </c>
      <c r="J423" s="14">
        <f>F423-(G423+H423+I423)</f>
        <v/>
      </c>
      <c r="K423" s="14" t="n">
        <v>434.32</v>
      </c>
      <c r="L423" s="14" t="n">
        <v>434.32</v>
      </c>
      <c r="M423" s="14" t="n">
        <v>434.32</v>
      </c>
      <c r="N423" s="14" t="n">
        <v>434.32</v>
      </c>
      <c r="O423" s="14" t="n">
        <v>434.32</v>
      </c>
      <c r="P423" s="14" t="n">
        <v>434.32</v>
      </c>
      <c r="Q423" s="14" t="n">
        <v>434.32</v>
      </c>
      <c r="R423" s="14" t="n">
        <v>434.32</v>
      </c>
      <c r="S423" s="14" t="n">
        <v>434.32</v>
      </c>
      <c r="T423" s="14" t="n">
        <v>434.32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CANON-202604-005814</t>
        </is>
      </c>
      <c r="B424" s="15" t="inlineStr">
        <is>
          <t>2026-04-28</t>
        </is>
      </c>
      <c r="C424" s="15" t="inlineStr">
        <is>
          <t>Callum Harrington</t>
        </is>
      </c>
      <c r="D424" s="15" t="inlineStr">
        <is>
          <t>MA</t>
        </is>
      </c>
      <c r="E424" s="16" t="n">
        <v>415000</v>
      </c>
      <c r="F424" s="16" t="n">
        <v>6096.53</v>
      </c>
      <c r="G424" s="16" t="n">
        <v>762.0700000000001</v>
      </c>
      <c r="H424" s="16" t="n">
        <v>762.0700000000001</v>
      </c>
      <c r="I424" s="16">
        <f>SUM(K424:T424)</f>
        <v/>
      </c>
      <c r="J424" s="16">
        <f>F424-(G424+H424+I424)</f>
        <v/>
      </c>
      <c r="K424" s="16" t="n">
        <v>457.24</v>
      </c>
      <c r="L424" s="16" t="n">
        <v>457.24</v>
      </c>
      <c r="M424" s="16" t="n">
        <v>457.24</v>
      </c>
      <c r="N424" s="16" t="n">
        <v>457.24</v>
      </c>
      <c r="O424" s="16" t="n">
        <v>457.24</v>
      </c>
      <c r="P424" s="16" t="n">
        <v>457.24</v>
      </c>
      <c r="Q424" s="16" t="n">
        <v>457.24</v>
      </c>
      <c r="R424" s="16" t="n">
        <v>457.24</v>
      </c>
      <c r="S424" s="16" t="n">
        <v>457.24</v>
      </c>
      <c r="T424" s="16" t="n">
        <v>457.24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CANON-202604-005815</t>
        </is>
      </c>
      <c r="B425" s="3" t="inlineStr">
        <is>
          <t>2026-04-12</t>
        </is>
      </c>
      <c r="C425" s="3" t="inlineStr">
        <is>
          <t>Ingrid Montoya</t>
        </is>
      </c>
      <c r="D425" s="3" t="inlineStr">
        <is>
          <t>NH</t>
        </is>
      </c>
      <c r="E425" s="14" t="n">
        <v>480000</v>
      </c>
      <c r="F425" s="14" t="n">
        <v>5866.78</v>
      </c>
      <c r="G425" s="14" t="n">
        <v>733.35</v>
      </c>
      <c r="H425" s="14" t="n">
        <v>733.35</v>
      </c>
      <c r="I425" s="14">
        <f>SUM(K425:T425)</f>
        <v/>
      </c>
      <c r="J425" s="14">
        <f>F425-(G425+H425+I425)</f>
        <v/>
      </c>
      <c r="K425" s="14" t="n">
        <v>440.01</v>
      </c>
      <c r="L425" s="14" t="n">
        <v>440.01</v>
      </c>
      <c r="M425" s="14" t="n">
        <v>440.01</v>
      </c>
      <c r="N425" s="14" t="n">
        <v>440.01</v>
      </c>
      <c r="O425" s="14" t="n">
        <v>440.01</v>
      </c>
      <c r="P425" s="14" t="n">
        <v>440.01</v>
      </c>
      <c r="Q425" s="14" t="n">
        <v>440.01</v>
      </c>
      <c r="R425" s="14" t="n">
        <v>440.01</v>
      </c>
      <c r="S425" s="14" t="n">
        <v>440.01</v>
      </c>
      <c r="T425" s="14" t="n">
        <v>440.01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CANON-202604-005816</t>
        </is>
      </c>
      <c r="B426" s="15" t="inlineStr">
        <is>
          <t>2026-04-09</t>
        </is>
      </c>
      <c r="C426" s="15" t="inlineStr">
        <is>
          <t>Callum Vandermeer</t>
        </is>
      </c>
      <c r="D426" s="15" t="inlineStr">
        <is>
          <t>AL</t>
        </is>
      </c>
      <c r="E426" s="16" t="n">
        <v>400000</v>
      </c>
      <c r="F426" s="16" t="n">
        <v>3820.92</v>
      </c>
      <c r="G426" s="16" t="n">
        <v>477.62</v>
      </c>
      <c r="H426" s="16" t="n">
        <v>477.62</v>
      </c>
      <c r="I426" s="16">
        <f>SUM(K426:T426)</f>
        <v/>
      </c>
      <c r="J426" s="16">
        <f>F426-(G426+H426+I426)</f>
        <v/>
      </c>
      <c r="K426" s="16" t="n">
        <v>286.57</v>
      </c>
      <c r="L426" s="16" t="n">
        <v>286.57</v>
      </c>
      <c r="M426" s="16" t="n">
        <v>286.57</v>
      </c>
      <c r="N426" s="16" t="n">
        <v>286.57</v>
      </c>
      <c r="O426" s="16" t="n">
        <v>286.57</v>
      </c>
      <c r="P426" s="16" t="n">
        <v>286.57</v>
      </c>
      <c r="Q426" s="16" t="n">
        <v>286.57</v>
      </c>
      <c r="R426" s="16" t="n">
        <v>286.57</v>
      </c>
      <c r="S426" s="16" t="n">
        <v>286.57</v>
      </c>
      <c r="T426" s="16" t="n">
        <v>286.57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CANON-202604-005817</t>
        </is>
      </c>
      <c r="B427" s="3" t="inlineStr">
        <is>
          <t>2026-04-08</t>
        </is>
      </c>
      <c r="C427" s="3" t="inlineStr">
        <is>
          <t>Wilhelmina Vandermeer</t>
        </is>
      </c>
      <c r="D427" s="3" t="inlineStr">
        <is>
          <t>NE</t>
        </is>
      </c>
      <c r="E427" s="14" t="n">
        <v>650000</v>
      </c>
      <c r="F427" s="14" t="n">
        <v>5693.63</v>
      </c>
      <c r="G427" s="14" t="n">
        <v>711.7</v>
      </c>
      <c r="H427" s="14" t="n">
        <v>711.7</v>
      </c>
      <c r="I427" s="14">
        <f>SUM(K427:T427)</f>
        <v/>
      </c>
      <c r="J427" s="14">
        <f>F427-(G427+H427+I427)</f>
        <v/>
      </c>
      <c r="K427" s="14" t="n">
        <v>427.02</v>
      </c>
      <c r="L427" s="14" t="n">
        <v>427.02</v>
      </c>
      <c r="M427" s="14" t="n">
        <v>427.02</v>
      </c>
      <c r="N427" s="14" t="n">
        <v>427.02</v>
      </c>
      <c r="O427" s="14" t="n">
        <v>427.02</v>
      </c>
      <c r="P427" s="14" t="n">
        <v>427.02</v>
      </c>
      <c r="Q427" s="14" t="n">
        <v>427.02</v>
      </c>
      <c r="R427" s="14" t="n">
        <v>427.02</v>
      </c>
      <c r="S427" s="14" t="n">
        <v>427.02</v>
      </c>
      <c r="T427" s="14" t="n">
        <v>427.02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CANON-202604-005818</t>
        </is>
      </c>
      <c r="B428" s="15" t="inlineStr">
        <is>
          <t>2026-04-28</t>
        </is>
      </c>
      <c r="C428" s="15" t="inlineStr">
        <is>
          <t>Beatrix Vandermeer</t>
        </is>
      </c>
      <c r="D428" s="15" t="inlineStr">
        <is>
          <t>IA</t>
        </is>
      </c>
      <c r="E428" s="16" t="n">
        <v>1170000</v>
      </c>
      <c r="F428" s="16" t="n">
        <v>7663.48</v>
      </c>
      <c r="G428" s="16" t="n">
        <v>957.9299999999999</v>
      </c>
      <c r="H428" s="16" t="n">
        <v>957.9299999999999</v>
      </c>
      <c r="I428" s="16">
        <f>SUM(K428:T428)</f>
        <v/>
      </c>
      <c r="J428" s="16">
        <f>F428-(G428+H428+I428)</f>
        <v/>
      </c>
      <c r="K428" s="16" t="n">
        <v>574.76</v>
      </c>
      <c r="L428" s="16" t="n">
        <v>574.76</v>
      </c>
      <c r="M428" s="16" t="n">
        <v>574.76</v>
      </c>
      <c r="N428" s="16" t="n">
        <v>574.76</v>
      </c>
      <c r="O428" s="16" t="n">
        <v>574.76</v>
      </c>
      <c r="P428" s="16" t="n">
        <v>574.76</v>
      </c>
      <c r="Q428" s="16" t="n">
        <v>574.76</v>
      </c>
      <c r="R428" s="16" t="n">
        <v>574.76</v>
      </c>
      <c r="S428" s="16" t="n">
        <v>574.76</v>
      </c>
      <c r="T428" s="16" t="n">
        <v>574.76</v>
      </c>
      <c r="U428" s="16" t="n">
        <v>350</v>
      </c>
      <c r="V428" s="16" t="n">
        <v>250</v>
      </c>
      <c r="W428" s="16">
        <f>U428+V428</f>
        <v/>
      </c>
    </row>
    <row r="429">
      <c r="A429" s="3" t="inlineStr">
        <is>
          <t>CANON-202604-005819</t>
        </is>
      </c>
      <c r="B429" s="3" t="inlineStr">
        <is>
          <t>2026-04-14</t>
        </is>
      </c>
      <c r="C429" s="3" t="inlineStr">
        <is>
          <t>Anouk Merriweather</t>
        </is>
      </c>
      <c r="D429" s="3" t="inlineStr">
        <is>
          <t>FL</t>
        </is>
      </c>
      <c r="E429" s="14" t="n">
        <v>510000</v>
      </c>
      <c r="F429" s="14" t="n">
        <v>7376.25</v>
      </c>
      <c r="G429" s="14" t="n">
        <v>922.03</v>
      </c>
      <c r="H429" s="14" t="n">
        <v>922.03</v>
      </c>
      <c r="I429" s="14">
        <f>SUM(K429:T429)</f>
        <v/>
      </c>
      <c r="J429" s="14">
        <f>F429-(G429+H429+I429)</f>
        <v/>
      </c>
      <c r="K429" s="14" t="n">
        <v>553.22</v>
      </c>
      <c r="L429" s="14" t="n">
        <v>553.22</v>
      </c>
      <c r="M429" s="14" t="n">
        <v>553.22</v>
      </c>
      <c r="N429" s="14" t="n">
        <v>553.22</v>
      </c>
      <c r="O429" s="14" t="n">
        <v>553.22</v>
      </c>
      <c r="P429" s="14" t="n">
        <v>553.22</v>
      </c>
      <c r="Q429" s="14" t="n">
        <v>553.22</v>
      </c>
      <c r="R429" s="14" t="n">
        <v>553.22</v>
      </c>
      <c r="S429" s="14" t="n">
        <v>553.22</v>
      </c>
      <c r="T429" s="14" t="n">
        <v>553.22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CANON-202604-005820</t>
        </is>
      </c>
      <c r="B430" s="15" t="inlineStr">
        <is>
          <t>2026-04-12</t>
        </is>
      </c>
      <c r="C430" s="15" t="inlineStr">
        <is>
          <t>Ramona Okonkwo</t>
        </is>
      </c>
      <c r="D430" s="15" t="inlineStr">
        <is>
          <t>GA</t>
        </is>
      </c>
      <c r="E430" s="16" t="n">
        <v>395000</v>
      </c>
      <c r="F430" s="16" t="n">
        <v>3327.51</v>
      </c>
      <c r="G430" s="16" t="n">
        <v>415.94</v>
      </c>
      <c r="H430" s="16" t="n">
        <v>415.94</v>
      </c>
      <c r="I430" s="16">
        <f>SUM(K430:T430)</f>
        <v/>
      </c>
      <c r="J430" s="16">
        <f>F430-(G430+H430+I430)</f>
        <v/>
      </c>
      <c r="K430" s="16" t="n">
        <v>249.56</v>
      </c>
      <c r="L430" s="16" t="n">
        <v>249.56</v>
      </c>
      <c r="M430" s="16" t="n">
        <v>249.56</v>
      </c>
      <c r="N430" s="16" t="n">
        <v>249.56</v>
      </c>
      <c r="O430" s="16" t="n">
        <v>249.56</v>
      </c>
      <c r="P430" s="16" t="n">
        <v>249.56</v>
      </c>
      <c r="Q430" s="16" t="n">
        <v>249.56</v>
      </c>
      <c r="R430" s="16" t="n">
        <v>249.56</v>
      </c>
      <c r="S430" s="16" t="n">
        <v>249.56</v>
      </c>
      <c r="T430" s="16" t="n">
        <v>249.56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CANON-202604-005821</t>
        </is>
      </c>
      <c r="B431" s="3" t="inlineStr">
        <is>
          <t>2026-04-24</t>
        </is>
      </c>
      <c r="C431" s="3" t="inlineStr">
        <is>
          <t>Thaddeus Bellandi</t>
        </is>
      </c>
      <c r="D431" s="3" t="inlineStr">
        <is>
          <t>MO</t>
        </is>
      </c>
      <c r="E431" s="14" t="n">
        <v>235000</v>
      </c>
      <c r="F431" s="14" t="n">
        <v>3591.08</v>
      </c>
      <c r="G431" s="14" t="n">
        <v>448.88</v>
      </c>
      <c r="H431" s="14" t="n">
        <v>448.88</v>
      </c>
      <c r="I431" s="14">
        <f>SUM(K431:T431)</f>
        <v/>
      </c>
      <c r="J431" s="14">
        <f>F431-(G431+H431+I431)</f>
        <v/>
      </c>
      <c r="K431" s="14" t="n">
        <v>269.33</v>
      </c>
      <c r="L431" s="14" t="n">
        <v>269.33</v>
      </c>
      <c r="M431" s="14" t="n">
        <v>269.33</v>
      </c>
      <c r="N431" s="14" t="n">
        <v>269.33</v>
      </c>
      <c r="O431" s="14" t="n">
        <v>269.33</v>
      </c>
      <c r="P431" s="14" t="n">
        <v>269.33</v>
      </c>
      <c r="Q431" s="14" t="n">
        <v>269.33</v>
      </c>
      <c r="R431" s="14" t="n">
        <v>269.33</v>
      </c>
      <c r="S431" s="14" t="n">
        <v>269.33</v>
      </c>
      <c r="T431" s="14" t="n">
        <v>269.33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CANON-202604-005822</t>
        </is>
      </c>
      <c r="B432" s="15" t="inlineStr">
        <is>
          <t>2026-04-05</t>
        </is>
      </c>
      <c r="C432" s="15" t="inlineStr">
        <is>
          <t>Sunniva Rourke</t>
        </is>
      </c>
      <c r="D432" s="15" t="inlineStr">
        <is>
          <t>OR</t>
        </is>
      </c>
      <c r="E432" s="16" t="n">
        <v>600000</v>
      </c>
      <c r="F432" s="16" t="n">
        <v>10092.93</v>
      </c>
      <c r="G432" s="16" t="n">
        <v>1261.62</v>
      </c>
      <c r="H432" s="16" t="n">
        <v>1261.62</v>
      </c>
      <c r="I432" s="16">
        <f>SUM(K432:T432)</f>
        <v/>
      </c>
      <c r="J432" s="16">
        <f>F432-(G432+H432+I432)</f>
        <v/>
      </c>
      <c r="K432" s="16" t="n">
        <v>756.97</v>
      </c>
      <c r="L432" s="16" t="n">
        <v>756.97</v>
      </c>
      <c r="M432" s="16" t="n">
        <v>756.97</v>
      </c>
      <c r="N432" s="16" t="n">
        <v>756.97</v>
      </c>
      <c r="O432" s="16" t="n">
        <v>756.97</v>
      </c>
      <c r="P432" s="16" t="n">
        <v>756.97</v>
      </c>
      <c r="Q432" s="16" t="n">
        <v>756.97</v>
      </c>
      <c r="R432" s="16" t="n">
        <v>756.97</v>
      </c>
      <c r="S432" s="16" t="n">
        <v>756.97</v>
      </c>
      <c r="T432" s="16" t="n">
        <v>756.97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CANON-202604-005824</t>
        </is>
      </c>
      <c r="B433" s="3" t="inlineStr">
        <is>
          <t>2026-04-02</t>
        </is>
      </c>
      <c r="C433" s="3" t="inlineStr">
        <is>
          <t>Ingrid Rourke</t>
        </is>
      </c>
      <c r="D433" s="3" t="inlineStr">
        <is>
          <t>AK</t>
        </is>
      </c>
      <c r="E433" s="14" t="n">
        <v>815000</v>
      </c>
      <c r="F433" s="14" t="n">
        <v>9463.23</v>
      </c>
      <c r="G433" s="14" t="n">
        <v>1182.9</v>
      </c>
      <c r="H433" s="14" t="n">
        <v>1182.9</v>
      </c>
      <c r="I433" s="14">
        <f>SUM(K433:T433)</f>
        <v/>
      </c>
      <c r="J433" s="14">
        <f>F433-(G433+H433+I433)</f>
        <v/>
      </c>
      <c r="K433" s="14" t="n">
        <v>709.74</v>
      </c>
      <c r="L433" s="14" t="n">
        <v>709.74</v>
      </c>
      <c r="M433" s="14" t="n">
        <v>709.74</v>
      </c>
      <c r="N433" s="14" t="n">
        <v>709.74</v>
      </c>
      <c r="O433" s="14" t="n">
        <v>709.74</v>
      </c>
      <c r="P433" s="14" t="n">
        <v>709.74</v>
      </c>
      <c r="Q433" s="14" t="n">
        <v>709.74</v>
      </c>
      <c r="R433" s="14" t="n">
        <v>709.74</v>
      </c>
      <c r="S433" s="14" t="n">
        <v>709.74</v>
      </c>
      <c r="T433" s="14" t="n">
        <v>709.74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CANON-202604-005825</t>
        </is>
      </c>
      <c r="B434" s="15" t="inlineStr">
        <is>
          <t>2026-04-05</t>
        </is>
      </c>
      <c r="C434" s="15" t="inlineStr">
        <is>
          <t>Horace Montoya</t>
        </is>
      </c>
      <c r="D434" s="15" t="inlineStr">
        <is>
          <t>LA</t>
        </is>
      </c>
      <c r="E434" s="16" t="n">
        <v>635000</v>
      </c>
      <c r="F434" s="16" t="n">
        <v>7825.93</v>
      </c>
      <c r="G434" s="16" t="n">
        <v>978.24</v>
      </c>
      <c r="H434" s="16" t="n">
        <v>978.24</v>
      </c>
      <c r="I434" s="16">
        <f>SUM(K434:T434)</f>
        <v/>
      </c>
      <c r="J434" s="16">
        <f>F434-(G434+H434+I434)</f>
        <v/>
      </c>
      <c r="K434" s="16" t="n">
        <v>586.9400000000001</v>
      </c>
      <c r="L434" s="16" t="n">
        <v>586.9400000000001</v>
      </c>
      <c r="M434" s="16" t="n">
        <v>586.9400000000001</v>
      </c>
      <c r="N434" s="16" t="n">
        <v>586.9400000000001</v>
      </c>
      <c r="O434" s="16" t="n">
        <v>586.9400000000001</v>
      </c>
      <c r="P434" s="16" t="n">
        <v>586.9400000000001</v>
      </c>
      <c r="Q434" s="16" t="n">
        <v>586.9400000000001</v>
      </c>
      <c r="R434" s="16" t="n">
        <v>586.9400000000001</v>
      </c>
      <c r="S434" s="16" t="n">
        <v>586.9400000000001</v>
      </c>
      <c r="T434" s="16" t="n">
        <v>586.9400000000001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CANON-202604-005827</t>
        </is>
      </c>
      <c r="B435" s="3" t="inlineStr">
        <is>
          <t>2026-04-28</t>
        </is>
      </c>
      <c r="C435" s="3" t="inlineStr">
        <is>
          <t>Fitzgerald Harrington</t>
        </is>
      </c>
      <c r="D435" s="3" t="inlineStr">
        <is>
          <t>TX</t>
        </is>
      </c>
      <c r="E435" s="14" t="n">
        <v>835000</v>
      </c>
      <c r="F435" s="14" t="n">
        <v>14294.59</v>
      </c>
      <c r="G435" s="14" t="n">
        <v>1786.82</v>
      </c>
      <c r="H435" s="14" t="n">
        <v>1786.82</v>
      </c>
      <c r="I435" s="14">
        <f>SUM(K435:T435)</f>
        <v/>
      </c>
      <c r="J435" s="14">
        <f>F435-(G435+H435+I435)</f>
        <v/>
      </c>
      <c r="K435" s="14" t="n">
        <v>1072.09</v>
      </c>
      <c r="L435" s="14" t="n">
        <v>1072.09</v>
      </c>
      <c r="M435" s="14" t="n">
        <v>1072.09</v>
      </c>
      <c r="N435" s="14" t="n">
        <v>1072.09</v>
      </c>
      <c r="O435" s="14" t="n">
        <v>1072.09</v>
      </c>
      <c r="P435" s="14" t="n">
        <v>1072.09</v>
      </c>
      <c r="Q435" s="14" t="n">
        <v>1072.09</v>
      </c>
      <c r="R435" s="14" t="n">
        <v>1072.09</v>
      </c>
      <c r="S435" s="14" t="n">
        <v>1072.09</v>
      </c>
      <c r="T435" s="14" t="n">
        <v>1072.09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CANON-202604-005830</t>
        </is>
      </c>
      <c r="B436" s="15" t="inlineStr">
        <is>
          <t>2026-04-28</t>
        </is>
      </c>
      <c r="C436" s="15" t="inlineStr">
        <is>
          <t>Horace Nakashima</t>
        </is>
      </c>
      <c r="D436" s="15" t="inlineStr">
        <is>
          <t>MI</t>
        </is>
      </c>
      <c r="E436" s="16" t="n">
        <v>1950000</v>
      </c>
      <c r="F436" s="16" t="n">
        <v>16103.08</v>
      </c>
      <c r="G436" s="16" t="n">
        <v>2012.88</v>
      </c>
      <c r="H436" s="16" t="n">
        <v>2012.88</v>
      </c>
      <c r="I436" s="16">
        <f>SUM(K436:T436)</f>
        <v/>
      </c>
      <c r="J436" s="16">
        <f>F436-(G436+H436+I436)</f>
        <v/>
      </c>
      <c r="K436" s="16" t="n">
        <v>1207.73</v>
      </c>
      <c r="L436" s="16" t="n">
        <v>1207.73</v>
      </c>
      <c r="M436" s="16" t="n">
        <v>1207.73</v>
      </c>
      <c r="N436" s="16" t="n">
        <v>1207.73</v>
      </c>
      <c r="O436" s="16" t="n">
        <v>1207.73</v>
      </c>
      <c r="P436" s="16" t="n">
        <v>1207.73</v>
      </c>
      <c r="Q436" s="16" t="n">
        <v>1207.73</v>
      </c>
      <c r="R436" s="16" t="n">
        <v>1207.73</v>
      </c>
      <c r="S436" s="16" t="n">
        <v>1207.73</v>
      </c>
      <c r="T436" s="16" t="n">
        <v>1207.73</v>
      </c>
      <c r="U436" s="16" t="n">
        <v>350</v>
      </c>
      <c r="V436" s="16" t="n">
        <v>250</v>
      </c>
      <c r="W436" s="16">
        <f>U436+V436</f>
        <v/>
      </c>
    </row>
    <row r="437">
      <c r="A437" s="3" t="inlineStr">
        <is>
          <t>CANON-202604-005831</t>
        </is>
      </c>
      <c r="B437" s="3" t="inlineStr">
        <is>
          <t>2026-04-05</t>
        </is>
      </c>
      <c r="C437" s="3" t="inlineStr">
        <is>
          <t>Aurelio Nakashima</t>
        </is>
      </c>
      <c r="D437" s="3" t="inlineStr">
        <is>
          <t>WI</t>
        </is>
      </c>
      <c r="E437" s="14" t="n">
        <v>505000</v>
      </c>
      <c r="F437" s="14" t="n">
        <v>6172.34</v>
      </c>
      <c r="G437" s="14" t="n">
        <v>771.54</v>
      </c>
      <c r="H437" s="14" t="n">
        <v>771.54</v>
      </c>
      <c r="I437" s="14">
        <f>SUM(K437:T437)</f>
        <v/>
      </c>
      <c r="J437" s="14">
        <f>F437-(G437+H437+I437)</f>
        <v/>
      </c>
      <c r="K437" s="14" t="n">
        <v>462.93</v>
      </c>
      <c r="L437" s="14" t="n">
        <v>462.93</v>
      </c>
      <c r="M437" s="14" t="n">
        <v>462.93</v>
      </c>
      <c r="N437" s="14" t="n">
        <v>462.93</v>
      </c>
      <c r="O437" s="14" t="n">
        <v>462.93</v>
      </c>
      <c r="P437" s="14" t="n">
        <v>462.93</v>
      </c>
      <c r="Q437" s="14" t="n">
        <v>462.93</v>
      </c>
      <c r="R437" s="14" t="n">
        <v>462.93</v>
      </c>
      <c r="S437" s="14" t="n">
        <v>462.93</v>
      </c>
      <c r="T437" s="14" t="n">
        <v>462.93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CANON-202604-005832</t>
        </is>
      </c>
      <c r="B438" s="15" t="inlineStr">
        <is>
          <t>2026-04-02</t>
        </is>
      </c>
      <c r="C438" s="15" t="inlineStr">
        <is>
          <t>Wilhelmina Okonkwo</t>
        </is>
      </c>
      <c r="D438" s="15" t="inlineStr">
        <is>
          <t>WA</t>
        </is>
      </c>
      <c r="E438" s="16" t="n">
        <v>820000</v>
      </c>
      <c r="F438" s="16" t="n">
        <v>11718.51</v>
      </c>
      <c r="G438" s="16" t="n">
        <v>1464.81</v>
      </c>
      <c r="H438" s="16" t="n">
        <v>1464.81</v>
      </c>
      <c r="I438" s="16">
        <f>SUM(K438:T438)</f>
        <v/>
      </c>
      <c r="J438" s="16">
        <f>F438-(G438+H438+I438)</f>
        <v/>
      </c>
      <c r="K438" s="16" t="n">
        <v>878.89</v>
      </c>
      <c r="L438" s="16" t="n">
        <v>878.89</v>
      </c>
      <c r="M438" s="16" t="n">
        <v>878.89</v>
      </c>
      <c r="N438" s="16" t="n">
        <v>878.89</v>
      </c>
      <c r="O438" s="16" t="n">
        <v>878.89</v>
      </c>
      <c r="P438" s="16" t="n">
        <v>878.89</v>
      </c>
      <c r="Q438" s="16" t="n">
        <v>878.89</v>
      </c>
      <c r="R438" s="16" t="n">
        <v>878.89</v>
      </c>
      <c r="S438" s="16" t="n">
        <v>878.89</v>
      </c>
      <c r="T438" s="16" t="n">
        <v>878.89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CANON-202604-005833</t>
        </is>
      </c>
      <c r="B439" s="3" t="inlineStr">
        <is>
          <t>2026-04-29</t>
        </is>
      </c>
      <c r="C439" s="3" t="inlineStr">
        <is>
          <t>Sunniva Harrington</t>
        </is>
      </c>
      <c r="D439" s="3" t="inlineStr">
        <is>
          <t>TX</t>
        </is>
      </c>
      <c r="E439" s="14" t="n">
        <v>745000</v>
      </c>
      <c r="F439" s="14" t="n">
        <v>8726.32</v>
      </c>
      <c r="G439" s="14" t="n">
        <v>1090.79</v>
      </c>
      <c r="H439" s="14" t="n">
        <v>1090.79</v>
      </c>
      <c r="I439" s="14">
        <f>SUM(K439:T439)</f>
        <v/>
      </c>
      <c r="J439" s="14">
        <f>F439-(G439+H439+I439)</f>
        <v/>
      </c>
      <c r="K439" s="14" t="n">
        <v>654.47</v>
      </c>
      <c r="L439" s="14" t="n">
        <v>654.47</v>
      </c>
      <c r="M439" s="14" t="n">
        <v>654.47</v>
      </c>
      <c r="N439" s="14" t="n">
        <v>654.47</v>
      </c>
      <c r="O439" s="14" t="n">
        <v>654.47</v>
      </c>
      <c r="P439" s="14" t="n">
        <v>654.47</v>
      </c>
      <c r="Q439" s="14" t="n">
        <v>654.47</v>
      </c>
      <c r="R439" s="14" t="n">
        <v>654.47</v>
      </c>
      <c r="S439" s="14" t="n">
        <v>654.47</v>
      </c>
      <c r="T439" s="14" t="n">
        <v>654.47</v>
      </c>
      <c r="U439" s="14" t="n">
        <v>350</v>
      </c>
      <c r="V439" s="14" t="n">
        <v>0</v>
      </c>
      <c r="W439" s="14">
        <f>U439+V439</f>
        <v/>
      </c>
    </row>
    <row r="440">
      <c r="A440" s="15" t="inlineStr">
        <is>
          <t>CANON-202604-005834</t>
        </is>
      </c>
      <c r="B440" s="15" t="inlineStr">
        <is>
          <t>2026-04-17</t>
        </is>
      </c>
      <c r="C440" s="15" t="inlineStr">
        <is>
          <t>Noor Delacroix</t>
        </is>
      </c>
      <c r="D440" s="15" t="inlineStr">
        <is>
          <t>ND</t>
        </is>
      </c>
      <c r="E440" s="16" t="n">
        <v>1510000</v>
      </c>
      <c r="F440" s="16" t="n">
        <v>13274.06</v>
      </c>
      <c r="G440" s="16" t="n">
        <v>1659.26</v>
      </c>
      <c r="H440" s="16" t="n">
        <v>1659.26</v>
      </c>
      <c r="I440" s="16">
        <f>SUM(K440:T440)</f>
        <v/>
      </c>
      <c r="J440" s="16">
        <f>F440-(G440+H440+I440)</f>
        <v/>
      </c>
      <c r="K440" s="16" t="n">
        <v>995.55</v>
      </c>
      <c r="L440" s="16" t="n">
        <v>995.55</v>
      </c>
      <c r="M440" s="16" t="n">
        <v>995.55</v>
      </c>
      <c r="N440" s="16" t="n">
        <v>995.55</v>
      </c>
      <c r="O440" s="16" t="n">
        <v>995.55</v>
      </c>
      <c r="P440" s="16" t="n">
        <v>995.55</v>
      </c>
      <c r="Q440" s="16" t="n">
        <v>995.55</v>
      </c>
      <c r="R440" s="16" t="n">
        <v>995.55</v>
      </c>
      <c r="S440" s="16" t="n">
        <v>995.55</v>
      </c>
      <c r="T440" s="16" t="n">
        <v>995.55</v>
      </c>
      <c r="U440" s="16" t="n">
        <v>350</v>
      </c>
      <c r="V440" s="16" t="n">
        <v>250</v>
      </c>
      <c r="W440" s="16">
        <f>U440+V440</f>
        <v/>
      </c>
    </row>
    <row r="441">
      <c r="A441" s="3" t="inlineStr">
        <is>
          <t>CANON-202604-005835</t>
        </is>
      </c>
      <c r="B441" s="3" t="inlineStr">
        <is>
          <t>2026-04-27</t>
        </is>
      </c>
      <c r="C441" s="3" t="inlineStr">
        <is>
          <t>Fenwick Farkas</t>
        </is>
      </c>
      <c r="D441" s="3" t="inlineStr">
        <is>
          <t>NY</t>
        </is>
      </c>
      <c r="E441" s="14" t="n">
        <v>780000</v>
      </c>
      <c r="F441" s="14" t="n">
        <v>10169.08</v>
      </c>
      <c r="G441" s="14" t="n">
        <v>1271.13</v>
      </c>
      <c r="H441" s="14" t="n">
        <v>1271.13</v>
      </c>
      <c r="I441" s="14">
        <f>SUM(K441:T441)</f>
        <v/>
      </c>
      <c r="J441" s="14">
        <f>F441-(G441+H441+I441)</f>
        <v/>
      </c>
      <c r="K441" s="14" t="n">
        <v>762.6799999999999</v>
      </c>
      <c r="L441" s="14" t="n">
        <v>762.6799999999999</v>
      </c>
      <c r="M441" s="14" t="n">
        <v>762.6799999999999</v>
      </c>
      <c r="N441" s="14" t="n">
        <v>762.6799999999999</v>
      </c>
      <c r="O441" s="14" t="n">
        <v>762.6799999999999</v>
      </c>
      <c r="P441" s="14" t="n">
        <v>762.6799999999999</v>
      </c>
      <c r="Q441" s="14" t="n">
        <v>762.6799999999999</v>
      </c>
      <c r="R441" s="14" t="n">
        <v>762.6799999999999</v>
      </c>
      <c r="S441" s="14" t="n">
        <v>762.6799999999999</v>
      </c>
      <c r="T441" s="14" t="n">
        <v>762.6799999999999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CANON-202604-005836</t>
        </is>
      </c>
      <c r="B442" s="15" t="inlineStr">
        <is>
          <t>2026-04-11</t>
        </is>
      </c>
      <c r="C442" s="15" t="inlineStr">
        <is>
          <t>Noor Delacroix</t>
        </is>
      </c>
      <c r="D442" s="15" t="inlineStr">
        <is>
          <t>UT</t>
        </is>
      </c>
      <c r="E442" s="16" t="n">
        <v>555000</v>
      </c>
      <c r="F442" s="16" t="n">
        <v>5048.46</v>
      </c>
      <c r="G442" s="16" t="n">
        <v>631.0599999999999</v>
      </c>
      <c r="H442" s="16" t="n">
        <v>631.0599999999999</v>
      </c>
      <c r="I442" s="16">
        <f>SUM(K442:T442)</f>
        <v/>
      </c>
      <c r="J442" s="16">
        <f>F442-(G442+H442+I442)</f>
        <v/>
      </c>
      <c r="K442" s="16" t="n">
        <v>378.63</v>
      </c>
      <c r="L442" s="16" t="n">
        <v>378.63</v>
      </c>
      <c r="M442" s="16" t="n">
        <v>378.63</v>
      </c>
      <c r="N442" s="16" t="n">
        <v>378.63</v>
      </c>
      <c r="O442" s="16" t="n">
        <v>378.63</v>
      </c>
      <c r="P442" s="16" t="n">
        <v>378.63</v>
      </c>
      <c r="Q442" s="16" t="n">
        <v>378.63</v>
      </c>
      <c r="R442" s="16" t="n">
        <v>378.63</v>
      </c>
      <c r="S442" s="16" t="n">
        <v>378.63</v>
      </c>
      <c r="T442" s="16" t="n">
        <v>378.63</v>
      </c>
      <c r="U442" s="16" t="n">
        <v>350</v>
      </c>
      <c r="V442" s="16" t="n">
        <v>0</v>
      </c>
      <c r="W442" s="16">
        <f>U442+V442</f>
        <v/>
      </c>
    </row>
    <row r="443">
      <c r="A443" s="3" t="inlineStr">
        <is>
          <t>CANON-202604-005837</t>
        </is>
      </c>
      <c r="B443" s="3" t="inlineStr">
        <is>
          <t>2026-04-03</t>
        </is>
      </c>
      <c r="C443" s="3" t="inlineStr">
        <is>
          <t>Everett Vasquez</t>
        </is>
      </c>
      <c r="D443" s="3" t="inlineStr">
        <is>
          <t>AK</t>
        </is>
      </c>
      <c r="E443" s="14" t="n">
        <v>495000</v>
      </c>
      <c r="F443" s="14" t="n">
        <v>10168.85</v>
      </c>
      <c r="G443" s="14" t="n">
        <v>1271.11</v>
      </c>
      <c r="H443" s="14" t="n">
        <v>1271.11</v>
      </c>
      <c r="I443" s="14">
        <f>SUM(K443:T443)</f>
        <v/>
      </c>
      <c r="J443" s="14">
        <f>F443-(G443+H443+I443)</f>
        <v/>
      </c>
      <c r="K443" s="14" t="n">
        <v>762.66</v>
      </c>
      <c r="L443" s="14" t="n">
        <v>762.66</v>
      </c>
      <c r="M443" s="14" t="n">
        <v>762.66</v>
      </c>
      <c r="N443" s="14" t="n">
        <v>762.66</v>
      </c>
      <c r="O443" s="14" t="n">
        <v>762.66</v>
      </c>
      <c r="P443" s="14" t="n">
        <v>762.66</v>
      </c>
      <c r="Q443" s="14" t="n">
        <v>762.66</v>
      </c>
      <c r="R443" s="14" t="n">
        <v>762.66</v>
      </c>
      <c r="S443" s="14" t="n">
        <v>762.66</v>
      </c>
      <c r="T443" s="14" t="n">
        <v>762.66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CANON-202604-005838</t>
        </is>
      </c>
      <c r="B444" s="15" t="inlineStr">
        <is>
          <t>2026-04-27</t>
        </is>
      </c>
      <c r="C444" s="15" t="inlineStr">
        <is>
          <t>Emiliano Fairweather</t>
        </is>
      </c>
      <c r="D444" s="15" t="inlineStr">
        <is>
          <t>KY</t>
        </is>
      </c>
      <c r="E444" s="16" t="n">
        <v>1090000</v>
      </c>
      <c r="F444" s="16" t="n">
        <v>18309.86</v>
      </c>
      <c r="G444" s="16" t="n">
        <v>2288.73</v>
      </c>
      <c r="H444" s="16" t="n">
        <v>2288.73</v>
      </c>
      <c r="I444" s="16">
        <f>SUM(K444:T444)</f>
        <v/>
      </c>
      <c r="J444" s="16">
        <f>F444-(G444+H444+I444)</f>
        <v/>
      </c>
      <c r="K444" s="16" t="n">
        <v>1373.24</v>
      </c>
      <c r="L444" s="16" t="n">
        <v>1373.24</v>
      </c>
      <c r="M444" s="16" t="n">
        <v>1373.24</v>
      </c>
      <c r="N444" s="16" t="n">
        <v>1373.24</v>
      </c>
      <c r="O444" s="16" t="n">
        <v>1373.24</v>
      </c>
      <c r="P444" s="16" t="n">
        <v>1373.24</v>
      </c>
      <c r="Q444" s="16" t="n">
        <v>1373.24</v>
      </c>
      <c r="R444" s="16" t="n">
        <v>1373.24</v>
      </c>
      <c r="S444" s="16" t="n">
        <v>1373.24</v>
      </c>
      <c r="T444" s="16" t="n">
        <v>1373.24</v>
      </c>
      <c r="U444" s="16" t="n">
        <v>350</v>
      </c>
      <c r="V444" s="16" t="n">
        <v>250</v>
      </c>
      <c r="W444" s="16">
        <f>U444+V444</f>
        <v/>
      </c>
    </row>
    <row r="445">
      <c r="A445" s="3" t="inlineStr">
        <is>
          <t>CANON-202604-005841</t>
        </is>
      </c>
      <c r="B445" s="3" t="inlineStr">
        <is>
          <t>2026-04-29</t>
        </is>
      </c>
      <c r="C445" s="3" t="inlineStr">
        <is>
          <t>Leopold Montoya</t>
        </is>
      </c>
      <c r="D445" s="3" t="inlineStr">
        <is>
          <t>NV</t>
        </is>
      </c>
      <c r="E445" s="14" t="n">
        <v>455000</v>
      </c>
      <c r="F445" s="14" t="n">
        <v>6256.36</v>
      </c>
      <c r="G445" s="14" t="n">
        <v>782.04</v>
      </c>
      <c r="H445" s="14" t="n">
        <v>782.04</v>
      </c>
      <c r="I445" s="14">
        <f>SUM(K445:T445)</f>
        <v/>
      </c>
      <c r="J445" s="14">
        <f>F445-(G445+H445+I445)</f>
        <v/>
      </c>
      <c r="K445" s="14" t="n">
        <v>469.23</v>
      </c>
      <c r="L445" s="14" t="n">
        <v>469.23</v>
      </c>
      <c r="M445" s="14" t="n">
        <v>469.23</v>
      </c>
      <c r="N445" s="14" t="n">
        <v>469.23</v>
      </c>
      <c r="O445" s="14" t="n">
        <v>469.23</v>
      </c>
      <c r="P445" s="14" t="n">
        <v>469.23</v>
      </c>
      <c r="Q445" s="14" t="n">
        <v>469.23</v>
      </c>
      <c r="R445" s="14" t="n">
        <v>469.23</v>
      </c>
      <c r="S445" s="14" t="n">
        <v>469.23</v>
      </c>
      <c r="T445" s="14" t="n">
        <v>469.23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CANON-202604-005842</t>
        </is>
      </c>
      <c r="B446" s="15" t="inlineStr">
        <is>
          <t>2026-04-17</t>
        </is>
      </c>
      <c r="C446" s="15" t="inlineStr">
        <is>
          <t>Beatrix Montoya</t>
        </is>
      </c>
      <c r="D446" s="15" t="inlineStr">
        <is>
          <t>MI</t>
        </is>
      </c>
      <c r="E446" s="16" t="n">
        <v>785000</v>
      </c>
      <c r="F446" s="16" t="n">
        <v>18112.93</v>
      </c>
      <c r="G446" s="16" t="n">
        <v>2264.12</v>
      </c>
      <c r="H446" s="16" t="n">
        <v>2264.12</v>
      </c>
      <c r="I446" s="16">
        <f>SUM(K446:T446)</f>
        <v/>
      </c>
      <c r="J446" s="16">
        <f>F446-(G446+H446+I446)</f>
        <v/>
      </c>
      <c r="K446" s="16" t="n">
        <v>1358.47</v>
      </c>
      <c r="L446" s="16" t="n">
        <v>1358.47</v>
      </c>
      <c r="M446" s="16" t="n">
        <v>1358.47</v>
      </c>
      <c r="N446" s="16" t="n">
        <v>1358.47</v>
      </c>
      <c r="O446" s="16" t="n">
        <v>1358.47</v>
      </c>
      <c r="P446" s="16" t="n">
        <v>1358.47</v>
      </c>
      <c r="Q446" s="16" t="n">
        <v>1358.47</v>
      </c>
      <c r="R446" s="16" t="n">
        <v>1358.47</v>
      </c>
      <c r="S446" s="16" t="n">
        <v>1358.47</v>
      </c>
      <c r="T446" s="16" t="n">
        <v>1358.47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CANON-202604-005845</t>
        </is>
      </c>
      <c r="B447" s="3" t="inlineStr">
        <is>
          <t>2026-04-09</t>
        </is>
      </c>
      <c r="C447" s="3" t="inlineStr">
        <is>
          <t>Marisol Fairweather</t>
        </is>
      </c>
      <c r="D447" s="3" t="inlineStr">
        <is>
          <t>CO</t>
        </is>
      </c>
      <c r="E447" s="14" t="n">
        <v>510000</v>
      </c>
      <c r="F447" s="14" t="n">
        <v>5714</v>
      </c>
      <c r="G447" s="14" t="n">
        <v>714.25</v>
      </c>
      <c r="H447" s="14" t="n">
        <v>714.25</v>
      </c>
      <c r="I447" s="14">
        <f>SUM(K447:T447)</f>
        <v/>
      </c>
      <c r="J447" s="14">
        <f>F447-(G447+H447+I447)</f>
        <v/>
      </c>
      <c r="K447" s="14" t="n">
        <v>428.55</v>
      </c>
      <c r="L447" s="14" t="n">
        <v>428.55</v>
      </c>
      <c r="M447" s="14" t="n">
        <v>428.55</v>
      </c>
      <c r="N447" s="14" t="n">
        <v>428.55</v>
      </c>
      <c r="O447" s="14" t="n">
        <v>428.55</v>
      </c>
      <c r="P447" s="14" t="n">
        <v>428.55</v>
      </c>
      <c r="Q447" s="14" t="n">
        <v>428.55</v>
      </c>
      <c r="R447" s="14" t="n">
        <v>428.55</v>
      </c>
      <c r="S447" s="14" t="n">
        <v>428.55</v>
      </c>
      <c r="T447" s="14" t="n">
        <v>428.55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CANON-202604-005846</t>
        </is>
      </c>
      <c r="B448" s="15" t="inlineStr">
        <is>
          <t>2026-04-20</t>
        </is>
      </c>
      <c r="C448" s="15" t="inlineStr">
        <is>
          <t>Ingrid Blackwood</t>
        </is>
      </c>
      <c r="D448" s="15" t="inlineStr">
        <is>
          <t>WV</t>
        </is>
      </c>
      <c r="E448" s="16" t="n">
        <v>530000</v>
      </c>
      <c r="F448" s="16" t="n">
        <v>7179.67</v>
      </c>
      <c r="G448" s="16" t="n">
        <v>897.46</v>
      </c>
      <c r="H448" s="16" t="n">
        <v>897.46</v>
      </c>
      <c r="I448" s="16">
        <f>SUM(K448:T448)</f>
        <v/>
      </c>
      <c r="J448" s="16">
        <f>F448-(G448+H448+I448)</f>
        <v/>
      </c>
      <c r="K448" s="16" t="n">
        <v>538.48</v>
      </c>
      <c r="L448" s="16" t="n">
        <v>538.48</v>
      </c>
      <c r="M448" s="16" t="n">
        <v>538.48</v>
      </c>
      <c r="N448" s="16" t="n">
        <v>538.48</v>
      </c>
      <c r="O448" s="16" t="n">
        <v>538.48</v>
      </c>
      <c r="P448" s="16" t="n">
        <v>538.48</v>
      </c>
      <c r="Q448" s="16" t="n">
        <v>538.48</v>
      </c>
      <c r="R448" s="16" t="n">
        <v>538.48</v>
      </c>
      <c r="S448" s="16" t="n">
        <v>538.48</v>
      </c>
      <c r="T448" s="16" t="n">
        <v>538.48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CANON-202604-005847</t>
        </is>
      </c>
      <c r="B449" s="3" t="inlineStr">
        <is>
          <t>2026-04-14</t>
        </is>
      </c>
      <c r="C449" s="3" t="inlineStr">
        <is>
          <t>Ingrid Okonkwo</t>
        </is>
      </c>
      <c r="D449" s="3" t="inlineStr">
        <is>
          <t>OH</t>
        </is>
      </c>
      <c r="E449" s="14" t="n">
        <v>380000</v>
      </c>
      <c r="F449" s="14" t="n">
        <v>3972.86</v>
      </c>
      <c r="G449" s="14" t="n">
        <v>496.61</v>
      </c>
      <c r="H449" s="14" t="n">
        <v>496.61</v>
      </c>
      <c r="I449" s="14">
        <f>SUM(K449:T449)</f>
        <v/>
      </c>
      <c r="J449" s="14">
        <f>F449-(G449+H449+I449)</f>
        <v/>
      </c>
      <c r="K449" s="14" t="n">
        <v>297.96</v>
      </c>
      <c r="L449" s="14" t="n">
        <v>297.96</v>
      </c>
      <c r="M449" s="14" t="n">
        <v>297.96</v>
      </c>
      <c r="N449" s="14" t="n">
        <v>297.96</v>
      </c>
      <c r="O449" s="14" t="n">
        <v>297.96</v>
      </c>
      <c r="P449" s="14" t="n">
        <v>297.96</v>
      </c>
      <c r="Q449" s="14" t="n">
        <v>297.96</v>
      </c>
      <c r="R449" s="14" t="n">
        <v>297.96</v>
      </c>
      <c r="S449" s="14" t="n">
        <v>297.96</v>
      </c>
      <c r="T449" s="14" t="n">
        <v>297.96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CANON-202604-005850</t>
        </is>
      </c>
      <c r="B450" s="15" t="inlineStr">
        <is>
          <t>2026-04-26</t>
        </is>
      </c>
      <c r="C450" s="15" t="inlineStr">
        <is>
          <t>Aurelio Okonkwo</t>
        </is>
      </c>
      <c r="D450" s="15" t="inlineStr">
        <is>
          <t>NJ</t>
        </is>
      </c>
      <c r="E450" s="16" t="n">
        <v>1950000</v>
      </c>
      <c r="F450" s="16" t="n">
        <v>15293.34</v>
      </c>
      <c r="G450" s="16" t="n">
        <v>1911.67</v>
      </c>
      <c r="H450" s="16" t="n">
        <v>1911.67</v>
      </c>
      <c r="I450" s="16">
        <f>SUM(K450:T450)</f>
        <v/>
      </c>
      <c r="J450" s="16">
        <f>F450-(G450+H450+I450)</f>
        <v/>
      </c>
      <c r="K450" s="16" t="n">
        <v>1147</v>
      </c>
      <c r="L450" s="16" t="n">
        <v>1147</v>
      </c>
      <c r="M450" s="16" t="n">
        <v>1147</v>
      </c>
      <c r="N450" s="16" t="n">
        <v>1147</v>
      </c>
      <c r="O450" s="16" t="n">
        <v>1147</v>
      </c>
      <c r="P450" s="16" t="n">
        <v>1147</v>
      </c>
      <c r="Q450" s="16" t="n">
        <v>1147</v>
      </c>
      <c r="R450" s="16" t="n">
        <v>1147</v>
      </c>
      <c r="S450" s="16" t="n">
        <v>1147</v>
      </c>
      <c r="T450" s="16" t="n">
        <v>1147</v>
      </c>
      <c r="U450" s="16" t="n">
        <v>350</v>
      </c>
      <c r="V450" s="16" t="n">
        <v>250</v>
      </c>
      <c r="W450" s="16">
        <f>U450+V450</f>
        <v/>
      </c>
    </row>
    <row r="451">
      <c r="A451" s="3" t="inlineStr">
        <is>
          <t>CANON-202604-005852</t>
        </is>
      </c>
      <c r="B451" s="3" t="inlineStr">
        <is>
          <t>2026-04-22</t>
        </is>
      </c>
      <c r="C451" s="3" t="inlineStr">
        <is>
          <t>Ramona Delacroix</t>
        </is>
      </c>
      <c r="D451" s="3" t="inlineStr">
        <is>
          <t>TN</t>
        </is>
      </c>
      <c r="E451" s="14" t="n">
        <v>440000</v>
      </c>
      <c r="F451" s="14" t="n">
        <v>5067.62</v>
      </c>
      <c r="G451" s="14" t="n">
        <v>633.45</v>
      </c>
      <c r="H451" s="14" t="n">
        <v>633.45</v>
      </c>
      <c r="I451" s="14">
        <f>SUM(K451:T451)</f>
        <v/>
      </c>
      <c r="J451" s="14">
        <f>F451-(G451+H451+I451)</f>
        <v/>
      </c>
      <c r="K451" s="14" t="n">
        <v>380.07</v>
      </c>
      <c r="L451" s="14" t="n">
        <v>380.07</v>
      </c>
      <c r="M451" s="14" t="n">
        <v>380.07</v>
      </c>
      <c r="N451" s="14" t="n">
        <v>380.07</v>
      </c>
      <c r="O451" s="14" t="n">
        <v>380.07</v>
      </c>
      <c r="P451" s="14" t="n">
        <v>380.07</v>
      </c>
      <c r="Q451" s="14" t="n">
        <v>380.07</v>
      </c>
      <c r="R451" s="14" t="n">
        <v>380.07</v>
      </c>
      <c r="S451" s="14" t="n">
        <v>380.07</v>
      </c>
      <c r="T451" s="14" t="n">
        <v>380.07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CANON-202604-005853</t>
        </is>
      </c>
      <c r="B452" s="15" t="inlineStr">
        <is>
          <t>2026-04-17</t>
        </is>
      </c>
      <c r="C452" s="15" t="inlineStr">
        <is>
          <t>Ottilie Underwood</t>
        </is>
      </c>
      <c r="D452" s="15" t="inlineStr">
        <is>
          <t>KY</t>
        </is>
      </c>
      <c r="E452" s="16" t="n">
        <v>400000</v>
      </c>
      <c r="F452" s="16" t="n">
        <v>4031.53</v>
      </c>
      <c r="G452" s="16" t="n">
        <v>503.94</v>
      </c>
      <c r="H452" s="16" t="n">
        <v>503.94</v>
      </c>
      <c r="I452" s="16">
        <f>SUM(K452:T452)</f>
        <v/>
      </c>
      <c r="J452" s="16">
        <f>F452-(G452+H452+I452)</f>
        <v/>
      </c>
      <c r="K452" s="16" t="n">
        <v>302.36</v>
      </c>
      <c r="L452" s="16" t="n">
        <v>302.36</v>
      </c>
      <c r="M452" s="16" t="n">
        <v>302.36</v>
      </c>
      <c r="N452" s="16" t="n">
        <v>302.36</v>
      </c>
      <c r="O452" s="16" t="n">
        <v>302.36</v>
      </c>
      <c r="P452" s="16" t="n">
        <v>302.36</v>
      </c>
      <c r="Q452" s="16" t="n">
        <v>302.36</v>
      </c>
      <c r="R452" s="16" t="n">
        <v>302.36</v>
      </c>
      <c r="S452" s="16" t="n">
        <v>302.36</v>
      </c>
      <c r="T452" s="16" t="n">
        <v>302.36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CANON-202604-005855</t>
        </is>
      </c>
      <c r="B453" s="3" t="inlineStr">
        <is>
          <t>2026-04-17</t>
        </is>
      </c>
      <c r="C453" s="3" t="inlineStr">
        <is>
          <t>Desmond Pennington</t>
        </is>
      </c>
      <c r="D453" s="3" t="inlineStr">
        <is>
          <t>OH</t>
        </is>
      </c>
      <c r="E453" s="14" t="n">
        <v>1045000</v>
      </c>
      <c r="F453" s="14" t="n">
        <v>18208.95</v>
      </c>
      <c r="G453" s="14" t="n">
        <v>2276.12</v>
      </c>
      <c r="H453" s="14" t="n">
        <v>2276.12</v>
      </c>
      <c r="I453" s="14">
        <f>SUM(K453:T453)</f>
        <v/>
      </c>
      <c r="J453" s="14">
        <f>F453-(G453+H453+I453)</f>
        <v/>
      </c>
      <c r="K453" s="14" t="n">
        <v>1365.67</v>
      </c>
      <c r="L453" s="14" t="n">
        <v>1365.67</v>
      </c>
      <c r="M453" s="14" t="n">
        <v>1365.67</v>
      </c>
      <c r="N453" s="14" t="n">
        <v>1365.67</v>
      </c>
      <c r="O453" s="14" t="n">
        <v>1365.67</v>
      </c>
      <c r="P453" s="14" t="n">
        <v>1365.67</v>
      </c>
      <c r="Q453" s="14" t="n">
        <v>1365.67</v>
      </c>
      <c r="R453" s="14" t="n">
        <v>1365.67</v>
      </c>
      <c r="S453" s="14" t="n">
        <v>1365.67</v>
      </c>
      <c r="T453" s="14" t="n">
        <v>1365.67</v>
      </c>
      <c r="U453" s="14" t="n">
        <v>350</v>
      </c>
      <c r="V453" s="14" t="n">
        <v>250</v>
      </c>
      <c r="W453" s="14">
        <f>U453+V453</f>
        <v/>
      </c>
    </row>
    <row r="454">
      <c r="A454" s="15" t="inlineStr">
        <is>
          <t>CANON-202604-005856</t>
        </is>
      </c>
      <c r="B454" s="15" t="inlineStr">
        <is>
          <t>2026-04-29</t>
        </is>
      </c>
      <c r="C454" s="15" t="inlineStr">
        <is>
          <t>Priya Okonkwo</t>
        </is>
      </c>
      <c r="D454" s="15" t="inlineStr">
        <is>
          <t>FL</t>
        </is>
      </c>
      <c r="E454" s="16" t="n">
        <v>570000</v>
      </c>
      <c r="F454" s="16" t="n">
        <v>8244.040000000001</v>
      </c>
      <c r="G454" s="16" t="n">
        <v>1030.51</v>
      </c>
      <c r="H454" s="16" t="n">
        <v>1030.51</v>
      </c>
      <c r="I454" s="16">
        <f>SUM(K454:T454)</f>
        <v/>
      </c>
      <c r="J454" s="16">
        <f>F454-(G454+H454+I454)</f>
        <v/>
      </c>
      <c r="K454" s="16" t="n">
        <v>618.3</v>
      </c>
      <c r="L454" s="16" t="n">
        <v>618.3</v>
      </c>
      <c r="M454" s="16" t="n">
        <v>618.3</v>
      </c>
      <c r="N454" s="16" t="n">
        <v>618.3</v>
      </c>
      <c r="O454" s="16" t="n">
        <v>618.3</v>
      </c>
      <c r="P454" s="16" t="n">
        <v>618.3</v>
      </c>
      <c r="Q454" s="16" t="n">
        <v>618.3</v>
      </c>
      <c r="R454" s="16" t="n">
        <v>618.3</v>
      </c>
      <c r="S454" s="16" t="n">
        <v>618.3</v>
      </c>
      <c r="T454" s="16" t="n">
        <v>618.3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CANON-202604-005857</t>
        </is>
      </c>
      <c r="B455" s="3" t="inlineStr">
        <is>
          <t>2026-04-15</t>
        </is>
      </c>
      <c r="C455" s="3" t="inlineStr">
        <is>
          <t>Ingrid Ashcombe</t>
        </is>
      </c>
      <c r="D455" s="3" t="inlineStr">
        <is>
          <t>IA</t>
        </is>
      </c>
      <c r="E455" s="14" t="n">
        <v>1030000</v>
      </c>
      <c r="F455" s="14" t="n">
        <v>9764.65</v>
      </c>
      <c r="G455" s="14" t="n">
        <v>1220.58</v>
      </c>
      <c r="H455" s="14" t="n">
        <v>1220.58</v>
      </c>
      <c r="I455" s="14">
        <f>SUM(K455:T455)</f>
        <v/>
      </c>
      <c r="J455" s="14">
        <f>F455-(G455+H455+I455)</f>
        <v/>
      </c>
      <c r="K455" s="14" t="n">
        <v>732.35</v>
      </c>
      <c r="L455" s="14" t="n">
        <v>732.35</v>
      </c>
      <c r="M455" s="14" t="n">
        <v>732.35</v>
      </c>
      <c r="N455" s="14" t="n">
        <v>732.35</v>
      </c>
      <c r="O455" s="14" t="n">
        <v>732.35</v>
      </c>
      <c r="P455" s="14" t="n">
        <v>732.35</v>
      </c>
      <c r="Q455" s="14" t="n">
        <v>732.35</v>
      </c>
      <c r="R455" s="14" t="n">
        <v>732.35</v>
      </c>
      <c r="S455" s="14" t="n">
        <v>732.35</v>
      </c>
      <c r="T455" s="14" t="n">
        <v>732.35</v>
      </c>
      <c r="U455" s="14" t="n">
        <v>350</v>
      </c>
      <c r="V455" s="14" t="n">
        <v>250</v>
      </c>
      <c r="W455" s="14">
        <f>U455+V455</f>
        <v/>
      </c>
    </row>
    <row r="456">
      <c r="A456" s="15" t="inlineStr">
        <is>
          <t>CANON-202604-005858</t>
        </is>
      </c>
      <c r="B456" s="15" t="inlineStr">
        <is>
          <t>2026-04-13</t>
        </is>
      </c>
      <c r="C456" s="15" t="inlineStr">
        <is>
          <t>Marisol Bellandi</t>
        </is>
      </c>
      <c r="D456" s="15" t="inlineStr">
        <is>
          <t>IA</t>
        </is>
      </c>
      <c r="E456" s="16" t="n">
        <v>1030000</v>
      </c>
      <c r="F456" s="16" t="n">
        <v>9764.65</v>
      </c>
      <c r="G456" s="16" t="n">
        <v>1220.58</v>
      </c>
      <c r="H456" s="16" t="n">
        <v>1220.58</v>
      </c>
      <c r="I456" s="16">
        <f>SUM(K456:T456)</f>
        <v/>
      </c>
      <c r="J456" s="16">
        <f>F456-(G456+H456+I456)</f>
        <v/>
      </c>
      <c r="K456" s="16" t="n">
        <v>732.35</v>
      </c>
      <c r="L456" s="16" t="n">
        <v>732.35</v>
      </c>
      <c r="M456" s="16" t="n">
        <v>732.35</v>
      </c>
      <c r="N456" s="16" t="n">
        <v>732.35</v>
      </c>
      <c r="O456" s="16" t="n">
        <v>732.35</v>
      </c>
      <c r="P456" s="16" t="n">
        <v>732.35</v>
      </c>
      <c r="Q456" s="16" t="n">
        <v>732.35</v>
      </c>
      <c r="R456" s="16" t="n">
        <v>732.35</v>
      </c>
      <c r="S456" s="16" t="n">
        <v>732.35</v>
      </c>
      <c r="T456" s="16" t="n">
        <v>732.35</v>
      </c>
      <c r="U456" s="16" t="n">
        <v>350</v>
      </c>
      <c r="V456" s="16" t="n">
        <v>250</v>
      </c>
      <c r="W456" s="16">
        <f>U456+V456</f>
        <v/>
      </c>
    </row>
    <row r="457">
      <c r="A457" s="3" t="inlineStr">
        <is>
          <t>CANON-202604-005859</t>
        </is>
      </c>
      <c r="B457" s="3" t="inlineStr">
        <is>
          <t>2026-04-30</t>
        </is>
      </c>
      <c r="C457" s="3" t="inlineStr">
        <is>
          <t>Priya Chattopadhyay</t>
        </is>
      </c>
      <c r="D457" s="3" t="inlineStr">
        <is>
          <t>WV</t>
        </is>
      </c>
      <c r="E457" s="14" t="n">
        <v>1950000</v>
      </c>
      <c r="F457" s="14" t="n">
        <v>32511.72</v>
      </c>
      <c r="G457" s="14" t="n">
        <v>4063.97</v>
      </c>
      <c r="H457" s="14" t="n">
        <v>4063.97</v>
      </c>
      <c r="I457" s="14">
        <f>SUM(K457:T457)</f>
        <v/>
      </c>
      <c r="J457" s="14">
        <f>F457-(G457+H457+I457)</f>
        <v/>
      </c>
      <c r="K457" s="14" t="n">
        <v>2438.38</v>
      </c>
      <c r="L457" s="14" t="n">
        <v>2438.38</v>
      </c>
      <c r="M457" s="14" t="n">
        <v>2438.38</v>
      </c>
      <c r="N457" s="14" t="n">
        <v>2438.38</v>
      </c>
      <c r="O457" s="14" t="n">
        <v>2438.38</v>
      </c>
      <c r="P457" s="14" t="n">
        <v>2438.38</v>
      </c>
      <c r="Q457" s="14" t="n">
        <v>2438.38</v>
      </c>
      <c r="R457" s="14" t="n">
        <v>2438.38</v>
      </c>
      <c r="S457" s="14" t="n">
        <v>2438.38</v>
      </c>
      <c r="T457" s="14" t="n">
        <v>2438.38</v>
      </c>
      <c r="U457" s="14" t="n">
        <v>350</v>
      </c>
      <c r="V457" s="14" t="n">
        <v>250</v>
      </c>
      <c r="W457" s="14">
        <f>U457+V457</f>
        <v/>
      </c>
    </row>
    <row r="458">
      <c r="A458" s="15" t="inlineStr">
        <is>
          <t>CANON-202604-005860</t>
        </is>
      </c>
      <c r="B458" s="15" t="inlineStr">
        <is>
          <t>2026-04-27</t>
        </is>
      </c>
      <c r="C458" s="15" t="inlineStr">
        <is>
          <t>Beatrix Merriweather</t>
        </is>
      </c>
      <c r="D458" s="15" t="inlineStr">
        <is>
          <t>WI</t>
        </is>
      </c>
      <c r="E458" s="16" t="n">
        <v>350000</v>
      </c>
      <c r="F458" s="16" t="n">
        <v>4935.99</v>
      </c>
      <c r="G458" s="16" t="n">
        <v>617</v>
      </c>
      <c r="H458" s="16" t="n">
        <v>617</v>
      </c>
      <c r="I458" s="16">
        <f>SUM(K458:T458)</f>
        <v/>
      </c>
      <c r="J458" s="16">
        <f>F458-(G458+H458+I458)</f>
        <v/>
      </c>
      <c r="K458" s="16" t="n">
        <v>370.2</v>
      </c>
      <c r="L458" s="16" t="n">
        <v>370.2</v>
      </c>
      <c r="M458" s="16" t="n">
        <v>370.2</v>
      </c>
      <c r="N458" s="16" t="n">
        <v>370.2</v>
      </c>
      <c r="O458" s="16" t="n">
        <v>370.2</v>
      </c>
      <c r="P458" s="16" t="n">
        <v>370.2</v>
      </c>
      <c r="Q458" s="16" t="n">
        <v>370.2</v>
      </c>
      <c r="R458" s="16" t="n">
        <v>370.2</v>
      </c>
      <c r="S458" s="16" t="n">
        <v>370.2</v>
      </c>
      <c r="T458" s="16" t="n">
        <v>370.2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CANON-202604-005861</t>
        </is>
      </c>
      <c r="B459" s="3" t="inlineStr">
        <is>
          <t>2026-04-16</t>
        </is>
      </c>
      <c r="C459" s="3" t="inlineStr">
        <is>
          <t>Emiliano Pennington</t>
        </is>
      </c>
      <c r="D459" s="3" t="inlineStr">
        <is>
          <t>NM</t>
        </is>
      </c>
      <c r="E459" s="14" t="n">
        <v>940000</v>
      </c>
      <c r="F459" s="14" t="n">
        <v>17911.22</v>
      </c>
      <c r="G459" s="14" t="n">
        <v>2238.9</v>
      </c>
      <c r="H459" s="14" t="n">
        <v>2238.9</v>
      </c>
      <c r="I459" s="14">
        <f>SUM(K459:T459)</f>
        <v/>
      </c>
      <c r="J459" s="14">
        <f>F459-(G459+H459+I459)</f>
        <v/>
      </c>
      <c r="K459" s="14" t="n">
        <v>1343.34</v>
      </c>
      <c r="L459" s="14" t="n">
        <v>1343.34</v>
      </c>
      <c r="M459" s="14" t="n">
        <v>1343.34</v>
      </c>
      <c r="N459" s="14" t="n">
        <v>1343.34</v>
      </c>
      <c r="O459" s="14" t="n">
        <v>1343.34</v>
      </c>
      <c r="P459" s="14" t="n">
        <v>1343.34</v>
      </c>
      <c r="Q459" s="14" t="n">
        <v>1343.34</v>
      </c>
      <c r="R459" s="14" t="n">
        <v>1343.34</v>
      </c>
      <c r="S459" s="14" t="n">
        <v>1343.34</v>
      </c>
      <c r="T459" s="14" t="n">
        <v>1343.34</v>
      </c>
      <c r="U459" s="14" t="n">
        <v>350</v>
      </c>
      <c r="V459" s="14" t="n">
        <v>0</v>
      </c>
      <c r="W459" s="14">
        <f>U459+V459</f>
        <v/>
      </c>
    </row>
    <row r="460">
      <c r="A460" s="15" t="inlineStr">
        <is>
          <t>CANON-202604-005862</t>
        </is>
      </c>
      <c r="B460" s="15" t="inlineStr">
        <is>
          <t>2026-04-14</t>
        </is>
      </c>
      <c r="C460" s="15" t="inlineStr">
        <is>
          <t>Beatrix Rourke</t>
        </is>
      </c>
      <c r="D460" s="15" t="inlineStr">
        <is>
          <t>RI</t>
        </is>
      </c>
      <c r="E460" s="16" t="n">
        <v>835000</v>
      </c>
      <c r="F460" s="16" t="n">
        <v>11651.57</v>
      </c>
      <c r="G460" s="16" t="n">
        <v>1456.45</v>
      </c>
      <c r="H460" s="16" t="n">
        <v>1456.45</v>
      </c>
      <c r="I460" s="16">
        <f>SUM(K460:T460)</f>
        <v/>
      </c>
      <c r="J460" s="16">
        <f>F460-(G460+H460+I460)</f>
        <v/>
      </c>
      <c r="K460" s="16" t="n">
        <v>873.87</v>
      </c>
      <c r="L460" s="16" t="n">
        <v>873.87</v>
      </c>
      <c r="M460" s="16" t="n">
        <v>873.87</v>
      </c>
      <c r="N460" s="16" t="n">
        <v>873.87</v>
      </c>
      <c r="O460" s="16" t="n">
        <v>873.87</v>
      </c>
      <c r="P460" s="16" t="n">
        <v>873.87</v>
      </c>
      <c r="Q460" s="16" t="n">
        <v>873.87</v>
      </c>
      <c r="R460" s="16" t="n">
        <v>873.87</v>
      </c>
      <c r="S460" s="16" t="n">
        <v>873.87</v>
      </c>
      <c r="T460" s="16" t="n">
        <v>873.87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CANON-202604-005863</t>
        </is>
      </c>
      <c r="B461" s="3" t="inlineStr">
        <is>
          <t>2026-04-10</t>
        </is>
      </c>
      <c r="C461" s="3" t="inlineStr">
        <is>
          <t>Ingrid Castellanos</t>
        </is>
      </c>
      <c r="D461" s="3" t="inlineStr">
        <is>
          <t>IN</t>
        </is>
      </c>
      <c r="E461" s="14" t="n">
        <v>1305000</v>
      </c>
      <c r="F461" s="14" t="n">
        <v>20121.92</v>
      </c>
      <c r="G461" s="14" t="n">
        <v>2515.24</v>
      </c>
      <c r="H461" s="14" t="n">
        <v>2515.24</v>
      </c>
      <c r="I461" s="14">
        <f>SUM(K461:T461)</f>
        <v/>
      </c>
      <c r="J461" s="14">
        <f>F461-(G461+H461+I461)</f>
        <v/>
      </c>
      <c r="K461" s="14" t="n">
        <v>1509.14</v>
      </c>
      <c r="L461" s="14" t="n">
        <v>1509.14</v>
      </c>
      <c r="M461" s="14" t="n">
        <v>1509.14</v>
      </c>
      <c r="N461" s="14" t="n">
        <v>1509.14</v>
      </c>
      <c r="O461" s="14" t="n">
        <v>1509.14</v>
      </c>
      <c r="P461" s="14" t="n">
        <v>1509.14</v>
      </c>
      <c r="Q461" s="14" t="n">
        <v>1509.14</v>
      </c>
      <c r="R461" s="14" t="n">
        <v>1509.14</v>
      </c>
      <c r="S461" s="14" t="n">
        <v>1509.14</v>
      </c>
      <c r="T461" s="14" t="n">
        <v>1509.14</v>
      </c>
      <c r="U461" s="14" t="n">
        <v>350</v>
      </c>
      <c r="V461" s="14" t="n">
        <v>250</v>
      </c>
      <c r="W461" s="14">
        <f>U461+V461</f>
        <v/>
      </c>
    </row>
    <row r="462">
      <c r="A462" s="15" t="inlineStr">
        <is>
          <t>CANON-202604-005865</t>
        </is>
      </c>
      <c r="B462" s="15" t="inlineStr">
        <is>
          <t>2026-04-27</t>
        </is>
      </c>
      <c r="C462" s="15" t="inlineStr">
        <is>
          <t>Lorenzo Castellanos</t>
        </is>
      </c>
      <c r="D462" s="15" t="inlineStr">
        <is>
          <t>MA</t>
        </is>
      </c>
      <c r="E462" s="16" t="n">
        <v>170000</v>
      </c>
      <c r="F462" s="16" t="n">
        <v>4728.37</v>
      </c>
      <c r="G462" s="16" t="n">
        <v>591.05</v>
      </c>
      <c r="H462" s="16" t="n">
        <v>591.05</v>
      </c>
      <c r="I462" s="16">
        <f>SUM(K462:T462)</f>
        <v/>
      </c>
      <c r="J462" s="16">
        <f>F462-(G462+H462+I462)</f>
        <v/>
      </c>
      <c r="K462" s="16" t="n">
        <v>354.63</v>
      </c>
      <c r="L462" s="16" t="n">
        <v>354.63</v>
      </c>
      <c r="M462" s="16" t="n">
        <v>354.63</v>
      </c>
      <c r="N462" s="16" t="n">
        <v>354.63</v>
      </c>
      <c r="O462" s="16" t="n">
        <v>354.63</v>
      </c>
      <c r="P462" s="16" t="n">
        <v>354.63</v>
      </c>
      <c r="Q462" s="16" t="n">
        <v>354.63</v>
      </c>
      <c r="R462" s="16" t="n">
        <v>354.63</v>
      </c>
      <c r="S462" s="16" t="n">
        <v>354.63</v>
      </c>
      <c r="T462" s="16" t="n">
        <v>354.63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CANON-202604-005866</t>
        </is>
      </c>
      <c r="B463" s="3" t="inlineStr">
        <is>
          <t>2026-04-26</t>
        </is>
      </c>
      <c r="C463" s="3" t="inlineStr">
        <is>
          <t>Wilhelmina Larsson</t>
        </is>
      </c>
      <c r="D463" s="3" t="inlineStr">
        <is>
          <t>NC</t>
        </is>
      </c>
      <c r="E463" s="14" t="n">
        <v>985000</v>
      </c>
      <c r="F463" s="14" t="n">
        <v>11537.49</v>
      </c>
      <c r="G463" s="14" t="n">
        <v>1442.19</v>
      </c>
      <c r="H463" s="14" t="n">
        <v>1442.19</v>
      </c>
      <c r="I463" s="14">
        <f>SUM(K463:T463)</f>
        <v/>
      </c>
      <c r="J463" s="14">
        <f>F463-(G463+H463+I463)</f>
        <v/>
      </c>
      <c r="K463" s="14" t="n">
        <v>865.3099999999999</v>
      </c>
      <c r="L463" s="14" t="n">
        <v>865.3099999999999</v>
      </c>
      <c r="M463" s="14" t="n">
        <v>865.3099999999999</v>
      </c>
      <c r="N463" s="14" t="n">
        <v>865.3099999999999</v>
      </c>
      <c r="O463" s="14" t="n">
        <v>865.3099999999999</v>
      </c>
      <c r="P463" s="14" t="n">
        <v>865.3099999999999</v>
      </c>
      <c r="Q463" s="14" t="n">
        <v>865.3099999999999</v>
      </c>
      <c r="R463" s="14" t="n">
        <v>865.3099999999999</v>
      </c>
      <c r="S463" s="14" t="n">
        <v>865.3099999999999</v>
      </c>
      <c r="T463" s="14" t="n">
        <v>865.3099999999999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CANON-202604-005867</t>
        </is>
      </c>
      <c r="B464" s="15" t="inlineStr">
        <is>
          <t>2026-04-30</t>
        </is>
      </c>
      <c r="C464" s="15" t="inlineStr">
        <is>
          <t>Everett Chattopadhyay</t>
        </is>
      </c>
      <c r="D464" s="15" t="inlineStr">
        <is>
          <t>WI</t>
        </is>
      </c>
      <c r="E464" s="16" t="n">
        <v>1080000</v>
      </c>
      <c r="F464" s="16" t="n">
        <v>11169.44</v>
      </c>
      <c r="G464" s="16" t="n">
        <v>1396.18</v>
      </c>
      <c r="H464" s="16" t="n">
        <v>1396.18</v>
      </c>
      <c r="I464" s="16">
        <f>SUM(K464:T464)</f>
        <v/>
      </c>
      <c r="J464" s="16">
        <f>F464-(G464+H464+I464)</f>
        <v/>
      </c>
      <c r="K464" s="16" t="n">
        <v>837.71</v>
      </c>
      <c r="L464" s="16" t="n">
        <v>837.71</v>
      </c>
      <c r="M464" s="16" t="n">
        <v>837.71</v>
      </c>
      <c r="N464" s="16" t="n">
        <v>837.71</v>
      </c>
      <c r="O464" s="16" t="n">
        <v>837.71</v>
      </c>
      <c r="P464" s="16" t="n">
        <v>837.71</v>
      </c>
      <c r="Q464" s="16" t="n">
        <v>837.71</v>
      </c>
      <c r="R464" s="16" t="n">
        <v>837.71</v>
      </c>
      <c r="S464" s="16" t="n">
        <v>837.71</v>
      </c>
      <c r="T464" s="16" t="n">
        <v>837.71</v>
      </c>
      <c r="U464" s="16" t="n">
        <v>350</v>
      </c>
      <c r="V464" s="16" t="n">
        <v>250</v>
      </c>
      <c r="W464" s="16">
        <f>U464+V464</f>
        <v/>
      </c>
    </row>
    <row r="465">
      <c r="A465" s="3" t="inlineStr">
        <is>
          <t>CANON-202604-005868</t>
        </is>
      </c>
      <c r="B465" s="3" t="inlineStr">
        <is>
          <t>2026-04-06</t>
        </is>
      </c>
      <c r="C465" s="3" t="inlineStr">
        <is>
          <t>Mireille Blackwood</t>
        </is>
      </c>
      <c r="D465" s="3" t="inlineStr">
        <is>
          <t>CA</t>
        </is>
      </c>
      <c r="E465" s="14" t="n">
        <v>1075000</v>
      </c>
      <c r="F465" s="14" t="n">
        <v>12507.45</v>
      </c>
      <c r="G465" s="14" t="n">
        <v>1563.43</v>
      </c>
      <c r="H465" s="14" t="n">
        <v>1563.43</v>
      </c>
      <c r="I465" s="14">
        <f>SUM(K465:T465)</f>
        <v/>
      </c>
      <c r="J465" s="14">
        <f>F465-(G465+H465+I465)</f>
        <v/>
      </c>
      <c r="K465" s="14" t="n">
        <v>938.0599999999999</v>
      </c>
      <c r="L465" s="14" t="n">
        <v>938.0599999999999</v>
      </c>
      <c r="M465" s="14" t="n">
        <v>938.0599999999999</v>
      </c>
      <c r="N465" s="14" t="n">
        <v>938.0599999999999</v>
      </c>
      <c r="O465" s="14" t="n">
        <v>938.0599999999999</v>
      </c>
      <c r="P465" s="14" t="n">
        <v>938.0599999999999</v>
      </c>
      <c r="Q465" s="14" t="n">
        <v>938.0599999999999</v>
      </c>
      <c r="R465" s="14" t="n">
        <v>938.0599999999999</v>
      </c>
      <c r="S465" s="14" t="n">
        <v>938.0599999999999</v>
      </c>
      <c r="T465" s="14" t="n">
        <v>938.0599999999999</v>
      </c>
      <c r="U465" s="14" t="n">
        <v>350</v>
      </c>
      <c r="V465" s="14" t="n">
        <v>250</v>
      </c>
      <c r="W465" s="14">
        <f>U465+V465</f>
        <v/>
      </c>
    </row>
    <row r="466">
      <c r="A466" s="15" t="inlineStr">
        <is>
          <t>CANON-202604-005869</t>
        </is>
      </c>
      <c r="B466" s="15" t="inlineStr">
        <is>
          <t>2026-04-18</t>
        </is>
      </c>
      <c r="C466" s="15" t="inlineStr">
        <is>
          <t>Delphine Merriweather</t>
        </is>
      </c>
      <c r="D466" s="15" t="inlineStr">
        <is>
          <t>PA</t>
        </is>
      </c>
      <c r="E466" s="16" t="n">
        <v>230000</v>
      </c>
      <c r="F466" s="16" t="n">
        <v>3315.73</v>
      </c>
      <c r="G466" s="16" t="n">
        <v>414.47</v>
      </c>
      <c r="H466" s="16" t="n">
        <v>414.47</v>
      </c>
      <c r="I466" s="16">
        <f>SUM(K466:T466)</f>
        <v/>
      </c>
      <c r="J466" s="16">
        <f>F466-(G466+H466+I466)</f>
        <v/>
      </c>
      <c r="K466" s="16" t="n">
        <v>248.68</v>
      </c>
      <c r="L466" s="16" t="n">
        <v>248.68</v>
      </c>
      <c r="M466" s="16" t="n">
        <v>248.68</v>
      </c>
      <c r="N466" s="16" t="n">
        <v>248.68</v>
      </c>
      <c r="O466" s="16" t="n">
        <v>248.68</v>
      </c>
      <c r="P466" s="16" t="n">
        <v>248.68</v>
      </c>
      <c r="Q466" s="16" t="n">
        <v>248.68</v>
      </c>
      <c r="R466" s="16" t="n">
        <v>248.68</v>
      </c>
      <c r="S466" s="16" t="n">
        <v>248.68</v>
      </c>
      <c r="T466" s="16" t="n">
        <v>248.68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CANON-202604-005870</t>
        </is>
      </c>
      <c r="B467" s="3" t="inlineStr">
        <is>
          <t>2026-04-08</t>
        </is>
      </c>
      <c r="C467" s="3" t="inlineStr">
        <is>
          <t>Callum Thistlewood</t>
        </is>
      </c>
      <c r="D467" s="3" t="inlineStr">
        <is>
          <t>NY</t>
        </is>
      </c>
      <c r="E467" s="14" t="n">
        <v>285000</v>
      </c>
      <c r="F467" s="14" t="n">
        <v>4287.26</v>
      </c>
      <c r="G467" s="14" t="n">
        <v>535.91</v>
      </c>
      <c r="H467" s="14" t="n">
        <v>535.91</v>
      </c>
      <c r="I467" s="14">
        <f>SUM(K467:T467)</f>
        <v/>
      </c>
      <c r="J467" s="14">
        <f>F467-(G467+H467+I467)</f>
        <v/>
      </c>
      <c r="K467" s="14" t="n">
        <v>321.54</v>
      </c>
      <c r="L467" s="14" t="n">
        <v>321.54</v>
      </c>
      <c r="M467" s="14" t="n">
        <v>321.54</v>
      </c>
      <c r="N467" s="14" t="n">
        <v>321.54</v>
      </c>
      <c r="O467" s="14" t="n">
        <v>321.54</v>
      </c>
      <c r="P467" s="14" t="n">
        <v>321.54</v>
      </c>
      <c r="Q467" s="14" t="n">
        <v>321.54</v>
      </c>
      <c r="R467" s="14" t="n">
        <v>321.54</v>
      </c>
      <c r="S467" s="14" t="n">
        <v>321.54</v>
      </c>
      <c r="T467" s="14" t="n">
        <v>321.54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CANON-202604-005871</t>
        </is>
      </c>
      <c r="B468" s="15" t="inlineStr">
        <is>
          <t>2026-04-09</t>
        </is>
      </c>
      <c r="C468" s="15" t="inlineStr">
        <is>
          <t>Ingrid Ashcombe</t>
        </is>
      </c>
      <c r="D468" s="15" t="inlineStr">
        <is>
          <t>HI</t>
        </is>
      </c>
      <c r="E468" s="16" t="n">
        <v>745000</v>
      </c>
      <c r="F468" s="16" t="n">
        <v>9864.540000000001</v>
      </c>
      <c r="G468" s="16" t="n">
        <v>1233.07</v>
      </c>
      <c r="H468" s="16" t="n">
        <v>1233.07</v>
      </c>
      <c r="I468" s="16">
        <f>SUM(K468:T468)</f>
        <v/>
      </c>
      <c r="J468" s="16">
        <f>F468-(G468+H468+I468)</f>
        <v/>
      </c>
      <c r="K468" s="16" t="n">
        <v>739.84</v>
      </c>
      <c r="L468" s="16" t="n">
        <v>739.84</v>
      </c>
      <c r="M468" s="16" t="n">
        <v>739.84</v>
      </c>
      <c r="N468" s="16" t="n">
        <v>739.84</v>
      </c>
      <c r="O468" s="16" t="n">
        <v>739.84</v>
      </c>
      <c r="P468" s="16" t="n">
        <v>739.84</v>
      </c>
      <c r="Q468" s="16" t="n">
        <v>739.84</v>
      </c>
      <c r="R468" s="16" t="n">
        <v>739.84</v>
      </c>
      <c r="S468" s="16" t="n">
        <v>739.84</v>
      </c>
      <c r="T468" s="16" t="n">
        <v>739.84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CANON-202604-005873</t>
        </is>
      </c>
      <c r="B469" s="3" t="inlineStr">
        <is>
          <t>2026-04-14</t>
        </is>
      </c>
      <c r="C469" s="3" t="inlineStr">
        <is>
          <t>Desmond Fairweather</t>
        </is>
      </c>
      <c r="D469" s="3" t="inlineStr">
        <is>
          <t>NY</t>
        </is>
      </c>
      <c r="E469" s="14" t="n">
        <v>265000</v>
      </c>
      <c r="F469" s="14" t="n">
        <v>3986.4</v>
      </c>
      <c r="G469" s="14" t="n">
        <v>498.3</v>
      </c>
      <c r="H469" s="14" t="n">
        <v>498.3</v>
      </c>
      <c r="I469" s="14">
        <f>SUM(K469:T469)</f>
        <v/>
      </c>
      <c r="J469" s="14">
        <f>F469-(G469+H469+I469)</f>
        <v/>
      </c>
      <c r="K469" s="14" t="n">
        <v>298.98</v>
      </c>
      <c r="L469" s="14" t="n">
        <v>298.98</v>
      </c>
      <c r="M469" s="14" t="n">
        <v>298.98</v>
      </c>
      <c r="N469" s="14" t="n">
        <v>298.98</v>
      </c>
      <c r="O469" s="14" t="n">
        <v>298.98</v>
      </c>
      <c r="P469" s="14" t="n">
        <v>298.98</v>
      </c>
      <c r="Q469" s="14" t="n">
        <v>298.98</v>
      </c>
      <c r="R469" s="14" t="n">
        <v>298.98</v>
      </c>
      <c r="S469" s="14" t="n">
        <v>298.98</v>
      </c>
      <c r="T469" s="14" t="n">
        <v>298.98</v>
      </c>
      <c r="U469" s="14" t="n">
        <v>350</v>
      </c>
      <c r="V469" s="14" t="n">
        <v>0</v>
      </c>
      <c r="W469" s="14">
        <f>U469+V469</f>
        <v/>
      </c>
    </row>
    <row r="470">
      <c r="A470" s="15" t="inlineStr">
        <is>
          <t>CANON-202604-005874</t>
        </is>
      </c>
      <c r="B470" s="15" t="inlineStr">
        <is>
          <t>2026-04-03</t>
        </is>
      </c>
      <c r="C470" s="15" t="inlineStr">
        <is>
          <t>Saoirse Farkas</t>
        </is>
      </c>
      <c r="D470" s="15" t="inlineStr">
        <is>
          <t>AK</t>
        </is>
      </c>
      <c r="E470" s="16" t="n">
        <v>285000</v>
      </c>
      <c r="F470" s="16" t="n">
        <v>3818.34</v>
      </c>
      <c r="G470" s="16" t="n">
        <v>477.29</v>
      </c>
      <c r="H470" s="16" t="n">
        <v>477.29</v>
      </c>
      <c r="I470" s="16">
        <f>SUM(K470:T470)</f>
        <v/>
      </c>
      <c r="J470" s="16">
        <f>F470-(G470+H470+I470)</f>
        <v/>
      </c>
      <c r="K470" s="16" t="n">
        <v>286.38</v>
      </c>
      <c r="L470" s="16" t="n">
        <v>286.38</v>
      </c>
      <c r="M470" s="16" t="n">
        <v>286.38</v>
      </c>
      <c r="N470" s="16" t="n">
        <v>286.38</v>
      </c>
      <c r="O470" s="16" t="n">
        <v>286.38</v>
      </c>
      <c r="P470" s="16" t="n">
        <v>286.38</v>
      </c>
      <c r="Q470" s="16" t="n">
        <v>286.38</v>
      </c>
      <c r="R470" s="16" t="n">
        <v>286.38</v>
      </c>
      <c r="S470" s="16" t="n">
        <v>286.38</v>
      </c>
      <c r="T470" s="16" t="n">
        <v>286.38</v>
      </c>
      <c r="U470" s="16" t="n">
        <v>350</v>
      </c>
      <c r="V470" s="16" t="n">
        <v>0</v>
      </c>
      <c r="W470" s="16">
        <f>U470+V470</f>
        <v/>
      </c>
    </row>
    <row r="471">
      <c r="A471" s="3" t="inlineStr">
        <is>
          <t>CANON-202604-005875</t>
        </is>
      </c>
      <c r="B471" s="3" t="inlineStr">
        <is>
          <t>2026-04-08</t>
        </is>
      </c>
      <c r="C471" s="3" t="inlineStr">
        <is>
          <t>Fitzgerald Rourke</t>
        </is>
      </c>
      <c r="D471" s="3" t="inlineStr">
        <is>
          <t>OH</t>
        </is>
      </c>
      <c r="E471" s="14" t="n">
        <v>220000</v>
      </c>
      <c r="F471" s="14" t="n">
        <v>4408.49</v>
      </c>
      <c r="G471" s="14" t="n">
        <v>551.0599999999999</v>
      </c>
      <c r="H471" s="14" t="n">
        <v>551.0599999999999</v>
      </c>
      <c r="I471" s="14">
        <f>SUM(K471:T471)</f>
        <v/>
      </c>
      <c r="J471" s="14">
        <f>F471-(G471+H471+I471)</f>
        <v/>
      </c>
      <c r="K471" s="14" t="n">
        <v>330.64</v>
      </c>
      <c r="L471" s="14" t="n">
        <v>330.64</v>
      </c>
      <c r="M471" s="14" t="n">
        <v>330.64</v>
      </c>
      <c r="N471" s="14" t="n">
        <v>330.64</v>
      </c>
      <c r="O471" s="14" t="n">
        <v>330.64</v>
      </c>
      <c r="P471" s="14" t="n">
        <v>330.64</v>
      </c>
      <c r="Q471" s="14" t="n">
        <v>330.64</v>
      </c>
      <c r="R471" s="14" t="n">
        <v>330.64</v>
      </c>
      <c r="S471" s="14" t="n">
        <v>330.64</v>
      </c>
      <c r="T471" s="14" t="n">
        <v>330.64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CANON-202604-005876</t>
        </is>
      </c>
      <c r="B472" s="15" t="inlineStr">
        <is>
          <t>2026-04-02</t>
        </is>
      </c>
      <c r="C472" s="15" t="inlineStr">
        <is>
          <t>Leopold Okonkwo</t>
        </is>
      </c>
      <c r="D472" s="15" t="inlineStr">
        <is>
          <t>MN</t>
        </is>
      </c>
      <c r="E472" s="16" t="n">
        <v>785000</v>
      </c>
      <c r="F472" s="16" t="n">
        <v>6981.94</v>
      </c>
      <c r="G472" s="16" t="n">
        <v>872.74</v>
      </c>
      <c r="H472" s="16" t="n">
        <v>872.74</v>
      </c>
      <c r="I472" s="16">
        <f>SUM(K472:T472)</f>
        <v/>
      </c>
      <c r="J472" s="16">
        <f>F472-(G472+H472+I472)</f>
        <v/>
      </c>
      <c r="K472" s="16" t="n">
        <v>523.65</v>
      </c>
      <c r="L472" s="16" t="n">
        <v>523.65</v>
      </c>
      <c r="M472" s="16" t="n">
        <v>523.65</v>
      </c>
      <c r="N472" s="16" t="n">
        <v>523.65</v>
      </c>
      <c r="O472" s="16" t="n">
        <v>523.65</v>
      </c>
      <c r="P472" s="16" t="n">
        <v>523.65</v>
      </c>
      <c r="Q472" s="16" t="n">
        <v>523.65</v>
      </c>
      <c r="R472" s="16" t="n">
        <v>523.65</v>
      </c>
      <c r="S472" s="16" t="n">
        <v>523.65</v>
      </c>
      <c r="T472" s="16" t="n">
        <v>523.65</v>
      </c>
      <c r="U472" s="16" t="n">
        <v>350</v>
      </c>
      <c r="V472" s="16" t="n">
        <v>0</v>
      </c>
      <c r="W472" s="16">
        <f>U472+V472</f>
        <v/>
      </c>
    </row>
    <row r="473">
      <c r="A473" s="3" t="inlineStr">
        <is>
          <t>CANON-202604-005877</t>
        </is>
      </c>
      <c r="B473" s="3" t="inlineStr">
        <is>
          <t>2026-04-18</t>
        </is>
      </c>
      <c r="C473" s="3" t="inlineStr">
        <is>
          <t>Priya Chattopadhyay</t>
        </is>
      </c>
      <c r="D473" s="3" t="inlineStr">
        <is>
          <t>TN</t>
        </is>
      </c>
      <c r="E473" s="14" t="n">
        <v>1430000</v>
      </c>
      <c r="F473" s="14" t="n">
        <v>8344.67</v>
      </c>
      <c r="G473" s="14" t="n">
        <v>1043.08</v>
      </c>
      <c r="H473" s="14" t="n">
        <v>1043.08</v>
      </c>
      <c r="I473" s="14">
        <f>SUM(K473:T473)</f>
        <v/>
      </c>
      <c r="J473" s="14">
        <f>F473-(G473+H473+I473)</f>
        <v/>
      </c>
      <c r="K473" s="14" t="n">
        <v>625.85</v>
      </c>
      <c r="L473" s="14" t="n">
        <v>625.85</v>
      </c>
      <c r="M473" s="14" t="n">
        <v>625.85</v>
      </c>
      <c r="N473" s="14" t="n">
        <v>625.85</v>
      </c>
      <c r="O473" s="14" t="n">
        <v>625.85</v>
      </c>
      <c r="P473" s="14" t="n">
        <v>625.85</v>
      </c>
      <c r="Q473" s="14" t="n">
        <v>625.85</v>
      </c>
      <c r="R473" s="14" t="n">
        <v>625.85</v>
      </c>
      <c r="S473" s="14" t="n">
        <v>625.85</v>
      </c>
      <c r="T473" s="14" t="n">
        <v>625.85</v>
      </c>
      <c r="U473" s="14" t="n">
        <v>350</v>
      </c>
      <c r="V473" s="14" t="n">
        <v>250</v>
      </c>
      <c r="W473" s="14">
        <f>U473+V473</f>
        <v/>
      </c>
    </row>
    <row r="474">
      <c r="A474" s="15" t="inlineStr">
        <is>
          <t>CANON-202604-005879</t>
        </is>
      </c>
      <c r="B474" s="15" t="inlineStr">
        <is>
          <t>2026-04-09</t>
        </is>
      </c>
      <c r="C474" s="15" t="inlineStr">
        <is>
          <t>Callum Whitlock</t>
        </is>
      </c>
      <c r="D474" s="15" t="inlineStr">
        <is>
          <t>SD</t>
        </is>
      </c>
      <c r="E474" s="16" t="n">
        <v>1480000</v>
      </c>
      <c r="F474" s="16" t="n">
        <v>14158.3</v>
      </c>
      <c r="G474" s="16" t="n">
        <v>1769.79</v>
      </c>
      <c r="H474" s="16" t="n">
        <v>1769.79</v>
      </c>
      <c r="I474" s="16">
        <f>SUM(K474:T474)</f>
        <v/>
      </c>
      <c r="J474" s="16">
        <f>F474-(G474+H474+I474)</f>
        <v/>
      </c>
      <c r="K474" s="16" t="n">
        <v>1061.87</v>
      </c>
      <c r="L474" s="16" t="n">
        <v>1061.87</v>
      </c>
      <c r="M474" s="16" t="n">
        <v>1061.87</v>
      </c>
      <c r="N474" s="16" t="n">
        <v>1061.87</v>
      </c>
      <c r="O474" s="16" t="n">
        <v>1061.87</v>
      </c>
      <c r="P474" s="16" t="n">
        <v>1061.87</v>
      </c>
      <c r="Q474" s="16" t="n">
        <v>1061.87</v>
      </c>
      <c r="R474" s="16" t="n">
        <v>1061.87</v>
      </c>
      <c r="S474" s="16" t="n">
        <v>1061.87</v>
      </c>
      <c r="T474" s="16" t="n">
        <v>1061.87</v>
      </c>
      <c r="U474" s="16" t="n">
        <v>350</v>
      </c>
      <c r="V474" s="16" t="n">
        <v>250</v>
      </c>
      <c r="W474" s="16">
        <f>U474+V474</f>
        <v/>
      </c>
    </row>
    <row r="475">
      <c r="A475" s="3" t="inlineStr">
        <is>
          <t>CANON-202604-005880</t>
        </is>
      </c>
      <c r="B475" s="3" t="inlineStr">
        <is>
          <t>2026-04-11</t>
        </is>
      </c>
      <c r="C475" s="3" t="inlineStr">
        <is>
          <t>Beatrix Kingsford</t>
        </is>
      </c>
      <c r="D475" s="3" t="inlineStr">
        <is>
          <t>DE</t>
        </is>
      </c>
      <c r="E475" s="14" t="n">
        <v>590000</v>
      </c>
      <c r="F475" s="14" t="n">
        <v>7511.71</v>
      </c>
      <c r="G475" s="14" t="n">
        <v>938.96</v>
      </c>
      <c r="H475" s="14" t="n">
        <v>938.96</v>
      </c>
      <c r="I475" s="14">
        <f>SUM(K475:T475)</f>
        <v/>
      </c>
      <c r="J475" s="14">
        <f>F475-(G475+H475+I475)</f>
        <v/>
      </c>
      <c r="K475" s="14" t="n">
        <v>563.38</v>
      </c>
      <c r="L475" s="14" t="n">
        <v>563.38</v>
      </c>
      <c r="M475" s="14" t="n">
        <v>563.38</v>
      </c>
      <c r="N475" s="14" t="n">
        <v>563.38</v>
      </c>
      <c r="O475" s="14" t="n">
        <v>563.38</v>
      </c>
      <c r="P475" s="14" t="n">
        <v>563.38</v>
      </c>
      <c r="Q475" s="14" t="n">
        <v>563.38</v>
      </c>
      <c r="R475" s="14" t="n">
        <v>563.38</v>
      </c>
      <c r="S475" s="14" t="n">
        <v>563.38</v>
      </c>
      <c r="T475" s="14" t="n">
        <v>563.38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CANON-202604-005882</t>
        </is>
      </c>
      <c r="B476" s="15" t="inlineStr">
        <is>
          <t>2026-04-05</t>
        </is>
      </c>
      <c r="C476" s="15" t="inlineStr">
        <is>
          <t>Priya Rourke</t>
        </is>
      </c>
      <c r="D476" s="15" t="inlineStr">
        <is>
          <t>NE</t>
        </is>
      </c>
      <c r="E476" s="16" t="n">
        <v>1360000</v>
      </c>
      <c r="F476" s="16" t="n">
        <v>15237.32</v>
      </c>
      <c r="G476" s="16" t="n">
        <v>1904.66</v>
      </c>
      <c r="H476" s="16" t="n">
        <v>1904.66</v>
      </c>
      <c r="I476" s="16">
        <f>SUM(K476:T476)</f>
        <v/>
      </c>
      <c r="J476" s="16">
        <f>F476-(G476+H476+I476)</f>
        <v/>
      </c>
      <c r="K476" s="16" t="n">
        <v>1142.8</v>
      </c>
      <c r="L476" s="16" t="n">
        <v>1142.8</v>
      </c>
      <c r="M476" s="16" t="n">
        <v>1142.8</v>
      </c>
      <c r="N476" s="16" t="n">
        <v>1142.8</v>
      </c>
      <c r="O476" s="16" t="n">
        <v>1142.8</v>
      </c>
      <c r="P476" s="16" t="n">
        <v>1142.8</v>
      </c>
      <c r="Q476" s="16" t="n">
        <v>1142.8</v>
      </c>
      <c r="R476" s="16" t="n">
        <v>1142.8</v>
      </c>
      <c r="S476" s="16" t="n">
        <v>1142.8</v>
      </c>
      <c r="T476" s="16" t="n">
        <v>1142.8</v>
      </c>
      <c r="U476" s="16" t="n">
        <v>350</v>
      </c>
      <c r="V476" s="16" t="n">
        <v>250</v>
      </c>
      <c r="W476" s="16">
        <f>U476+V476</f>
        <v/>
      </c>
    </row>
    <row r="477">
      <c r="A477" s="3" t="inlineStr">
        <is>
          <t>CANON-202604-005883</t>
        </is>
      </c>
      <c r="B477" s="3" t="inlineStr">
        <is>
          <t>2026-04-25</t>
        </is>
      </c>
      <c r="C477" s="3" t="inlineStr">
        <is>
          <t>Ramona Okonkwo</t>
        </is>
      </c>
      <c r="D477" s="3" t="inlineStr">
        <is>
          <t>WV</t>
        </is>
      </c>
      <c r="E477" s="14" t="n">
        <v>465000</v>
      </c>
      <c r="F477" s="14" t="n">
        <v>7268.25</v>
      </c>
      <c r="G477" s="14" t="n">
        <v>908.53</v>
      </c>
      <c r="H477" s="14" t="n">
        <v>908.53</v>
      </c>
      <c r="I477" s="14">
        <f>SUM(K477:T477)</f>
        <v/>
      </c>
      <c r="J477" s="14">
        <f>F477-(G477+H477+I477)</f>
        <v/>
      </c>
      <c r="K477" s="14" t="n">
        <v>545.12</v>
      </c>
      <c r="L477" s="14" t="n">
        <v>545.12</v>
      </c>
      <c r="M477" s="14" t="n">
        <v>545.12</v>
      </c>
      <c r="N477" s="14" t="n">
        <v>545.12</v>
      </c>
      <c r="O477" s="14" t="n">
        <v>545.12</v>
      </c>
      <c r="P477" s="14" t="n">
        <v>545.12</v>
      </c>
      <c r="Q477" s="14" t="n">
        <v>545.12</v>
      </c>
      <c r="R477" s="14" t="n">
        <v>545.12</v>
      </c>
      <c r="S477" s="14" t="n">
        <v>545.12</v>
      </c>
      <c r="T477" s="14" t="n">
        <v>545.12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CANON-202604-005885</t>
        </is>
      </c>
      <c r="B478" s="15" t="inlineStr">
        <is>
          <t>2026-04-07</t>
        </is>
      </c>
      <c r="C478" s="15" t="inlineStr">
        <is>
          <t>Lorenzo Harrington</t>
        </is>
      </c>
      <c r="D478" s="15" t="inlineStr">
        <is>
          <t>SD</t>
        </is>
      </c>
      <c r="E478" s="16" t="n">
        <v>1015000</v>
      </c>
      <c r="F478" s="16" t="n">
        <v>9709.92</v>
      </c>
      <c r="G478" s="16" t="n">
        <v>1213.74</v>
      </c>
      <c r="H478" s="16" t="n">
        <v>1213.74</v>
      </c>
      <c r="I478" s="16">
        <f>SUM(K478:T478)</f>
        <v/>
      </c>
      <c r="J478" s="16">
        <f>F478-(G478+H478+I478)</f>
        <v/>
      </c>
      <c r="K478" s="16" t="n">
        <v>728.24</v>
      </c>
      <c r="L478" s="16" t="n">
        <v>728.24</v>
      </c>
      <c r="M478" s="16" t="n">
        <v>728.24</v>
      </c>
      <c r="N478" s="16" t="n">
        <v>728.24</v>
      </c>
      <c r="O478" s="16" t="n">
        <v>728.24</v>
      </c>
      <c r="P478" s="16" t="n">
        <v>728.24</v>
      </c>
      <c r="Q478" s="16" t="n">
        <v>728.24</v>
      </c>
      <c r="R478" s="16" t="n">
        <v>728.24</v>
      </c>
      <c r="S478" s="16" t="n">
        <v>728.24</v>
      </c>
      <c r="T478" s="16" t="n">
        <v>728.24</v>
      </c>
      <c r="U478" s="16" t="n">
        <v>350</v>
      </c>
      <c r="V478" s="16" t="n">
        <v>250</v>
      </c>
      <c r="W478" s="16">
        <f>U478+V478</f>
        <v/>
      </c>
    </row>
    <row r="479">
      <c r="A479" s="3" t="inlineStr">
        <is>
          <t>CANON-202604-005886</t>
        </is>
      </c>
      <c r="B479" s="3" t="inlineStr">
        <is>
          <t>2026-04-02</t>
        </is>
      </c>
      <c r="C479" s="3" t="inlineStr">
        <is>
          <t>Mireille Thistlewood</t>
        </is>
      </c>
      <c r="D479" s="3" t="inlineStr">
        <is>
          <t>ND</t>
        </is>
      </c>
      <c r="E479" s="14" t="n">
        <v>1180000</v>
      </c>
      <c r="F479" s="14" t="n">
        <v>15088.15</v>
      </c>
      <c r="G479" s="14" t="n">
        <v>1886.02</v>
      </c>
      <c r="H479" s="14" t="n">
        <v>1886.02</v>
      </c>
      <c r="I479" s="14">
        <f>SUM(K479:T479)</f>
        <v/>
      </c>
      <c r="J479" s="14">
        <f>F479-(G479+H479+I479)</f>
        <v/>
      </c>
      <c r="K479" s="14" t="n">
        <v>1131.61</v>
      </c>
      <c r="L479" s="14" t="n">
        <v>1131.61</v>
      </c>
      <c r="M479" s="14" t="n">
        <v>1131.61</v>
      </c>
      <c r="N479" s="14" t="n">
        <v>1131.61</v>
      </c>
      <c r="O479" s="14" t="n">
        <v>1131.61</v>
      </c>
      <c r="P479" s="14" t="n">
        <v>1131.61</v>
      </c>
      <c r="Q479" s="14" t="n">
        <v>1131.61</v>
      </c>
      <c r="R479" s="14" t="n">
        <v>1131.61</v>
      </c>
      <c r="S479" s="14" t="n">
        <v>1131.61</v>
      </c>
      <c r="T479" s="14" t="n">
        <v>1131.61</v>
      </c>
      <c r="U479" s="14" t="n">
        <v>350</v>
      </c>
      <c r="V479" s="14" t="n">
        <v>250</v>
      </c>
      <c r="W479" s="14">
        <f>U479+V479</f>
        <v/>
      </c>
    </row>
    <row r="480">
      <c r="A480" s="15" t="inlineStr">
        <is>
          <t>CANON-202604-005887</t>
        </is>
      </c>
      <c r="B480" s="15" t="inlineStr">
        <is>
          <t>2026-04-23</t>
        </is>
      </c>
      <c r="C480" s="15" t="inlineStr">
        <is>
          <t>Leopold Merriweather</t>
        </is>
      </c>
      <c r="D480" s="15" t="inlineStr">
        <is>
          <t>WA</t>
        </is>
      </c>
      <c r="E480" s="16" t="n">
        <v>365000</v>
      </c>
      <c r="F480" s="16" t="n">
        <v>4118.03</v>
      </c>
      <c r="G480" s="16" t="n">
        <v>514.75</v>
      </c>
      <c r="H480" s="16" t="n">
        <v>514.75</v>
      </c>
      <c r="I480" s="16">
        <f>SUM(K480:T480)</f>
        <v/>
      </c>
      <c r="J480" s="16">
        <f>F480-(G480+H480+I480)</f>
        <v/>
      </c>
      <c r="K480" s="16" t="n">
        <v>308.85</v>
      </c>
      <c r="L480" s="16" t="n">
        <v>308.85</v>
      </c>
      <c r="M480" s="16" t="n">
        <v>308.85</v>
      </c>
      <c r="N480" s="16" t="n">
        <v>308.85</v>
      </c>
      <c r="O480" s="16" t="n">
        <v>308.85</v>
      </c>
      <c r="P480" s="16" t="n">
        <v>308.85</v>
      </c>
      <c r="Q480" s="16" t="n">
        <v>308.85</v>
      </c>
      <c r="R480" s="16" t="n">
        <v>308.85</v>
      </c>
      <c r="S480" s="16" t="n">
        <v>308.85</v>
      </c>
      <c r="T480" s="16" t="n">
        <v>308.85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CANON-202604-005888</t>
        </is>
      </c>
      <c r="B481" s="3" t="inlineStr">
        <is>
          <t>2026-04-28</t>
        </is>
      </c>
      <c r="C481" s="3" t="inlineStr">
        <is>
          <t>Ottilie Kingsford</t>
        </is>
      </c>
      <c r="D481" s="3" t="inlineStr">
        <is>
          <t>MN</t>
        </is>
      </c>
      <c r="E481" s="14" t="n">
        <v>385000</v>
      </c>
      <c r="F481" s="14" t="n">
        <v>3822.43</v>
      </c>
      <c r="G481" s="14" t="n">
        <v>477.8</v>
      </c>
      <c r="H481" s="14" t="n">
        <v>477.8</v>
      </c>
      <c r="I481" s="14">
        <f>SUM(K481:T481)</f>
        <v/>
      </c>
      <c r="J481" s="14">
        <f>F481-(G481+H481+I481)</f>
        <v/>
      </c>
      <c r="K481" s="14" t="n">
        <v>286.68</v>
      </c>
      <c r="L481" s="14" t="n">
        <v>286.68</v>
      </c>
      <c r="M481" s="14" t="n">
        <v>286.68</v>
      </c>
      <c r="N481" s="14" t="n">
        <v>286.68</v>
      </c>
      <c r="O481" s="14" t="n">
        <v>286.68</v>
      </c>
      <c r="P481" s="14" t="n">
        <v>286.68</v>
      </c>
      <c r="Q481" s="14" t="n">
        <v>286.68</v>
      </c>
      <c r="R481" s="14" t="n">
        <v>286.68</v>
      </c>
      <c r="S481" s="14" t="n">
        <v>286.68</v>
      </c>
      <c r="T481" s="14" t="n">
        <v>286.68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CANON-202604-005890</t>
        </is>
      </c>
      <c r="B482" s="15" t="inlineStr">
        <is>
          <t>2026-04-19</t>
        </is>
      </c>
      <c r="C482" s="15" t="inlineStr">
        <is>
          <t>Ramona Underwood</t>
        </is>
      </c>
      <c r="D482" s="15" t="inlineStr">
        <is>
          <t>MS</t>
        </is>
      </c>
      <c r="E482" s="16" t="n">
        <v>915000</v>
      </c>
      <c r="F482" s="16" t="n">
        <v>11090.35</v>
      </c>
      <c r="G482" s="16" t="n">
        <v>1386.29</v>
      </c>
      <c r="H482" s="16" t="n">
        <v>1386.29</v>
      </c>
      <c r="I482" s="16">
        <f>SUM(K482:T482)</f>
        <v/>
      </c>
      <c r="J482" s="16">
        <f>F482-(G482+H482+I482)</f>
        <v/>
      </c>
      <c r="K482" s="16" t="n">
        <v>831.78</v>
      </c>
      <c r="L482" s="16" t="n">
        <v>831.78</v>
      </c>
      <c r="M482" s="16" t="n">
        <v>831.78</v>
      </c>
      <c r="N482" s="16" t="n">
        <v>831.78</v>
      </c>
      <c r="O482" s="16" t="n">
        <v>831.78</v>
      </c>
      <c r="P482" s="16" t="n">
        <v>831.78</v>
      </c>
      <c r="Q482" s="16" t="n">
        <v>831.78</v>
      </c>
      <c r="R482" s="16" t="n">
        <v>831.78</v>
      </c>
      <c r="S482" s="16" t="n">
        <v>831.78</v>
      </c>
      <c r="T482" s="16" t="n">
        <v>831.78</v>
      </c>
      <c r="U482" s="16" t="n">
        <v>350</v>
      </c>
      <c r="V482" s="16" t="n">
        <v>0</v>
      </c>
      <c r="W482" s="16">
        <f>U482+V482</f>
        <v/>
      </c>
    </row>
    <row r="483">
      <c r="A483" s="3" t="inlineStr">
        <is>
          <t>CANON-202604-005891</t>
        </is>
      </c>
      <c r="B483" s="3" t="inlineStr">
        <is>
          <t>2026-04-24</t>
        </is>
      </c>
      <c r="C483" s="3" t="inlineStr">
        <is>
          <t>Ramona Fairweather</t>
        </is>
      </c>
      <c r="D483" s="3" t="inlineStr">
        <is>
          <t>HI</t>
        </is>
      </c>
      <c r="E483" s="14" t="n">
        <v>1760000</v>
      </c>
      <c r="F483" s="14" t="n">
        <v>19718.89</v>
      </c>
      <c r="G483" s="14" t="n">
        <v>2464.86</v>
      </c>
      <c r="H483" s="14" t="n">
        <v>2464.86</v>
      </c>
      <c r="I483" s="14">
        <f>SUM(K483:T483)</f>
        <v/>
      </c>
      <c r="J483" s="14">
        <f>F483-(G483+H483+I483)</f>
        <v/>
      </c>
      <c r="K483" s="14" t="n">
        <v>1478.92</v>
      </c>
      <c r="L483" s="14" t="n">
        <v>1478.92</v>
      </c>
      <c r="M483" s="14" t="n">
        <v>1478.92</v>
      </c>
      <c r="N483" s="14" t="n">
        <v>1478.92</v>
      </c>
      <c r="O483" s="14" t="n">
        <v>1478.92</v>
      </c>
      <c r="P483" s="14" t="n">
        <v>1478.92</v>
      </c>
      <c r="Q483" s="14" t="n">
        <v>1478.92</v>
      </c>
      <c r="R483" s="14" t="n">
        <v>1478.92</v>
      </c>
      <c r="S483" s="14" t="n">
        <v>1478.92</v>
      </c>
      <c r="T483" s="14" t="n">
        <v>1478.92</v>
      </c>
      <c r="U483" s="14" t="n">
        <v>350</v>
      </c>
      <c r="V483" s="14" t="n">
        <v>250</v>
      </c>
      <c r="W483" s="14">
        <f>U483+V483</f>
        <v/>
      </c>
    </row>
    <row r="484">
      <c r="A484" s="15" t="inlineStr">
        <is>
          <t>CANON-202604-005892</t>
        </is>
      </c>
      <c r="B484" s="15" t="inlineStr">
        <is>
          <t>2026-04-19</t>
        </is>
      </c>
      <c r="C484" s="15" t="inlineStr">
        <is>
          <t>Lorenzo Ashcombe</t>
        </is>
      </c>
      <c r="D484" s="15" t="inlineStr">
        <is>
          <t>MA</t>
        </is>
      </c>
      <c r="E484" s="16" t="n">
        <v>630000</v>
      </c>
      <c r="F484" s="16" t="n">
        <v>8020.99</v>
      </c>
      <c r="G484" s="16" t="n">
        <v>1002.62</v>
      </c>
      <c r="H484" s="16" t="n">
        <v>1002.62</v>
      </c>
      <c r="I484" s="16">
        <f>SUM(K484:T484)</f>
        <v/>
      </c>
      <c r="J484" s="16">
        <f>F484-(G484+H484+I484)</f>
        <v/>
      </c>
      <c r="K484" s="16" t="n">
        <v>601.5700000000001</v>
      </c>
      <c r="L484" s="16" t="n">
        <v>601.5700000000001</v>
      </c>
      <c r="M484" s="16" t="n">
        <v>601.5700000000001</v>
      </c>
      <c r="N484" s="16" t="n">
        <v>601.5700000000001</v>
      </c>
      <c r="O484" s="16" t="n">
        <v>601.5700000000001</v>
      </c>
      <c r="P484" s="16" t="n">
        <v>601.5700000000001</v>
      </c>
      <c r="Q484" s="16" t="n">
        <v>601.5700000000001</v>
      </c>
      <c r="R484" s="16" t="n">
        <v>601.5700000000001</v>
      </c>
      <c r="S484" s="16" t="n">
        <v>601.5700000000001</v>
      </c>
      <c r="T484" s="16" t="n">
        <v>601.5700000000001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CANON-202604-005893</t>
        </is>
      </c>
      <c r="B485" s="3" t="inlineStr">
        <is>
          <t>2026-04-09</t>
        </is>
      </c>
      <c r="C485" s="3" t="inlineStr">
        <is>
          <t>Callum Chattopadhyay</t>
        </is>
      </c>
      <c r="D485" s="3" t="inlineStr">
        <is>
          <t>OH</t>
        </is>
      </c>
      <c r="E485" s="14" t="n">
        <v>205000</v>
      </c>
      <c r="F485" s="14" t="n">
        <v>4107.9</v>
      </c>
      <c r="G485" s="14" t="n">
        <v>513.49</v>
      </c>
      <c r="H485" s="14" t="n">
        <v>513.49</v>
      </c>
      <c r="I485" s="14">
        <f>SUM(K485:T485)</f>
        <v/>
      </c>
      <c r="J485" s="14">
        <f>F485-(G485+H485+I485)</f>
        <v/>
      </c>
      <c r="K485" s="14" t="n">
        <v>308.09</v>
      </c>
      <c r="L485" s="14" t="n">
        <v>308.09</v>
      </c>
      <c r="M485" s="14" t="n">
        <v>308.09</v>
      </c>
      <c r="N485" s="14" t="n">
        <v>308.09</v>
      </c>
      <c r="O485" s="14" t="n">
        <v>308.09</v>
      </c>
      <c r="P485" s="14" t="n">
        <v>308.09</v>
      </c>
      <c r="Q485" s="14" t="n">
        <v>308.09</v>
      </c>
      <c r="R485" s="14" t="n">
        <v>308.09</v>
      </c>
      <c r="S485" s="14" t="n">
        <v>308.09</v>
      </c>
      <c r="T485" s="14" t="n">
        <v>308.09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CANON-202604-005894</t>
        </is>
      </c>
      <c r="B486" s="15" t="inlineStr">
        <is>
          <t>2026-04-06</t>
        </is>
      </c>
      <c r="C486" s="15" t="inlineStr">
        <is>
          <t>Delphine Kingsford</t>
        </is>
      </c>
      <c r="D486" s="15" t="inlineStr">
        <is>
          <t>WY</t>
        </is>
      </c>
      <c r="E486" s="16" t="n">
        <v>760000</v>
      </c>
      <c r="F486" s="16" t="n">
        <v>8282.75</v>
      </c>
      <c r="G486" s="16" t="n">
        <v>1035.34</v>
      </c>
      <c r="H486" s="16" t="n">
        <v>1035.34</v>
      </c>
      <c r="I486" s="16">
        <f>SUM(K486:T486)</f>
        <v/>
      </c>
      <c r="J486" s="16">
        <f>F486-(G486+H486+I486)</f>
        <v/>
      </c>
      <c r="K486" s="16" t="n">
        <v>621.21</v>
      </c>
      <c r="L486" s="16" t="n">
        <v>621.21</v>
      </c>
      <c r="M486" s="16" t="n">
        <v>621.21</v>
      </c>
      <c r="N486" s="16" t="n">
        <v>621.21</v>
      </c>
      <c r="O486" s="16" t="n">
        <v>621.21</v>
      </c>
      <c r="P486" s="16" t="n">
        <v>621.21</v>
      </c>
      <c r="Q486" s="16" t="n">
        <v>621.21</v>
      </c>
      <c r="R486" s="16" t="n">
        <v>621.21</v>
      </c>
      <c r="S486" s="16" t="n">
        <v>621.21</v>
      </c>
      <c r="T486" s="16" t="n">
        <v>621.21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CANON-202604-005896</t>
        </is>
      </c>
      <c r="B487" s="3" t="inlineStr">
        <is>
          <t>2026-04-09</t>
        </is>
      </c>
      <c r="C487" s="3" t="inlineStr">
        <is>
          <t>Wilhelmina Castellanos</t>
        </is>
      </c>
      <c r="D487" s="3" t="inlineStr">
        <is>
          <t>VT</t>
        </is>
      </c>
      <c r="E487" s="14" t="n">
        <v>225000</v>
      </c>
      <c r="F487" s="14" t="n">
        <v>3957.26</v>
      </c>
      <c r="G487" s="14" t="n">
        <v>494.66</v>
      </c>
      <c r="H487" s="14" t="n">
        <v>494.66</v>
      </c>
      <c r="I487" s="14">
        <f>SUM(K487:T487)</f>
        <v/>
      </c>
      <c r="J487" s="14">
        <f>F487-(G487+H487+I487)</f>
        <v/>
      </c>
      <c r="K487" s="14" t="n">
        <v>296.79</v>
      </c>
      <c r="L487" s="14" t="n">
        <v>296.79</v>
      </c>
      <c r="M487" s="14" t="n">
        <v>296.79</v>
      </c>
      <c r="N487" s="14" t="n">
        <v>296.79</v>
      </c>
      <c r="O487" s="14" t="n">
        <v>296.79</v>
      </c>
      <c r="P487" s="14" t="n">
        <v>296.79</v>
      </c>
      <c r="Q487" s="14" t="n">
        <v>296.79</v>
      </c>
      <c r="R487" s="14" t="n">
        <v>296.79</v>
      </c>
      <c r="S487" s="14" t="n">
        <v>296.79</v>
      </c>
      <c r="T487" s="14" t="n">
        <v>296.79</v>
      </c>
      <c r="U487" s="14" t="n">
        <v>350</v>
      </c>
      <c r="V487" s="14" t="n">
        <v>0</v>
      </c>
      <c r="W487" s="14">
        <f>U487+V487</f>
        <v/>
      </c>
    </row>
    <row r="488">
      <c r="A488" s="15" t="inlineStr">
        <is>
          <t>CANON-202604-005897</t>
        </is>
      </c>
      <c r="B488" s="15" t="inlineStr">
        <is>
          <t>2026-04-09</t>
        </is>
      </c>
      <c r="C488" s="15" t="inlineStr">
        <is>
          <t>Emiliano Larsson</t>
        </is>
      </c>
      <c r="D488" s="15" t="inlineStr">
        <is>
          <t>ID</t>
        </is>
      </c>
      <c r="E488" s="16" t="n">
        <v>570000</v>
      </c>
      <c r="F488" s="16" t="n">
        <v>3360.14</v>
      </c>
      <c r="G488" s="16" t="n">
        <v>420.02</v>
      </c>
      <c r="H488" s="16" t="n">
        <v>420.02</v>
      </c>
      <c r="I488" s="16">
        <f>SUM(K488:T488)</f>
        <v/>
      </c>
      <c r="J488" s="16">
        <f>F488-(G488+H488+I488)</f>
        <v/>
      </c>
      <c r="K488" s="16" t="n">
        <v>252.01</v>
      </c>
      <c r="L488" s="16" t="n">
        <v>252.01</v>
      </c>
      <c r="M488" s="16" t="n">
        <v>252.01</v>
      </c>
      <c r="N488" s="16" t="n">
        <v>252.01</v>
      </c>
      <c r="O488" s="16" t="n">
        <v>252.01</v>
      </c>
      <c r="P488" s="16" t="n">
        <v>252.01</v>
      </c>
      <c r="Q488" s="16" t="n">
        <v>252.01</v>
      </c>
      <c r="R488" s="16" t="n">
        <v>252.01</v>
      </c>
      <c r="S488" s="16" t="n">
        <v>252.01</v>
      </c>
      <c r="T488" s="16" t="n">
        <v>252.01</v>
      </c>
      <c r="U488" s="16" t="n">
        <v>350</v>
      </c>
      <c r="V488" s="16" t="n">
        <v>0</v>
      </c>
      <c r="W488" s="16">
        <f>U488+V488</f>
        <v/>
      </c>
    </row>
    <row r="489">
      <c r="A489" s="3" t="inlineStr">
        <is>
          <t>CANON-202604-005898</t>
        </is>
      </c>
      <c r="B489" s="3" t="inlineStr">
        <is>
          <t>2026-04-16</t>
        </is>
      </c>
      <c r="C489" s="3" t="inlineStr">
        <is>
          <t>Priya Delacroix</t>
        </is>
      </c>
      <c r="D489" s="3" t="inlineStr">
        <is>
          <t>WI</t>
        </is>
      </c>
      <c r="E489" s="14" t="n">
        <v>1365000</v>
      </c>
      <c r="F489" s="14" t="n">
        <v>20533.72</v>
      </c>
      <c r="G489" s="14" t="n">
        <v>2566.72</v>
      </c>
      <c r="H489" s="14" t="n">
        <v>2566.72</v>
      </c>
      <c r="I489" s="14">
        <f>SUM(K489:T489)</f>
        <v/>
      </c>
      <c r="J489" s="14">
        <f>F489-(G489+H489+I489)</f>
        <v/>
      </c>
      <c r="K489" s="14" t="n">
        <v>1540.03</v>
      </c>
      <c r="L489" s="14" t="n">
        <v>1540.03</v>
      </c>
      <c r="M489" s="14" t="n">
        <v>1540.03</v>
      </c>
      <c r="N489" s="14" t="n">
        <v>1540.03</v>
      </c>
      <c r="O489" s="14" t="n">
        <v>1540.03</v>
      </c>
      <c r="P489" s="14" t="n">
        <v>1540.03</v>
      </c>
      <c r="Q489" s="14" t="n">
        <v>1540.03</v>
      </c>
      <c r="R489" s="14" t="n">
        <v>1540.03</v>
      </c>
      <c r="S489" s="14" t="n">
        <v>1540.03</v>
      </c>
      <c r="T489" s="14" t="n">
        <v>1540.03</v>
      </c>
      <c r="U489" s="14" t="n">
        <v>350</v>
      </c>
      <c r="V489" s="14" t="n">
        <v>250</v>
      </c>
      <c r="W489" s="14">
        <f>U489+V489</f>
        <v/>
      </c>
    </row>
    <row r="490">
      <c r="A490" s="15" t="inlineStr">
        <is>
          <t>CANON-202604-005899</t>
        </is>
      </c>
      <c r="B490" s="15" t="inlineStr">
        <is>
          <t>2026-04-03</t>
        </is>
      </c>
      <c r="C490" s="15" t="inlineStr">
        <is>
          <t>Thaddeus Underwood</t>
        </is>
      </c>
      <c r="D490" s="15" t="inlineStr">
        <is>
          <t>PA</t>
        </is>
      </c>
      <c r="E490" s="16" t="n">
        <v>1425000</v>
      </c>
      <c r="F490" s="16" t="n">
        <v>17863.58</v>
      </c>
      <c r="G490" s="16" t="n">
        <v>2232.95</v>
      </c>
      <c r="H490" s="16" t="n">
        <v>2232.95</v>
      </c>
      <c r="I490" s="16">
        <f>SUM(K490:T490)</f>
        <v/>
      </c>
      <c r="J490" s="16">
        <f>F490-(G490+H490+I490)</f>
        <v/>
      </c>
      <c r="K490" s="16" t="n">
        <v>1339.77</v>
      </c>
      <c r="L490" s="16" t="n">
        <v>1339.77</v>
      </c>
      <c r="M490" s="16" t="n">
        <v>1339.77</v>
      </c>
      <c r="N490" s="16" t="n">
        <v>1339.77</v>
      </c>
      <c r="O490" s="16" t="n">
        <v>1339.77</v>
      </c>
      <c r="P490" s="16" t="n">
        <v>1339.77</v>
      </c>
      <c r="Q490" s="16" t="n">
        <v>1339.77</v>
      </c>
      <c r="R490" s="16" t="n">
        <v>1339.77</v>
      </c>
      <c r="S490" s="16" t="n">
        <v>1339.77</v>
      </c>
      <c r="T490" s="16" t="n">
        <v>1339.77</v>
      </c>
      <c r="U490" s="16" t="n">
        <v>350</v>
      </c>
      <c r="V490" s="16" t="n">
        <v>250</v>
      </c>
      <c r="W490" s="16">
        <f>U490+V490</f>
        <v/>
      </c>
    </row>
    <row r="491">
      <c r="A491" s="3" t="inlineStr">
        <is>
          <t>CANON-202604-005900</t>
        </is>
      </c>
      <c r="B491" s="3" t="inlineStr">
        <is>
          <t>2026-04-19</t>
        </is>
      </c>
      <c r="C491" s="3" t="inlineStr">
        <is>
          <t>Anouk Blackwood</t>
        </is>
      </c>
      <c r="D491" s="3" t="inlineStr">
        <is>
          <t>CA</t>
        </is>
      </c>
      <c r="E491" s="14" t="n">
        <v>1190000</v>
      </c>
      <c r="F491" s="14" t="n">
        <v>20138.84</v>
      </c>
      <c r="G491" s="14" t="n">
        <v>2517.36</v>
      </c>
      <c r="H491" s="14" t="n">
        <v>2517.36</v>
      </c>
      <c r="I491" s="14">
        <f>SUM(K491:T491)</f>
        <v/>
      </c>
      <c r="J491" s="14">
        <f>F491-(G491+H491+I491)</f>
        <v/>
      </c>
      <c r="K491" s="14" t="n">
        <v>1510.41</v>
      </c>
      <c r="L491" s="14" t="n">
        <v>1510.41</v>
      </c>
      <c r="M491" s="14" t="n">
        <v>1510.41</v>
      </c>
      <c r="N491" s="14" t="n">
        <v>1510.41</v>
      </c>
      <c r="O491" s="14" t="n">
        <v>1510.41</v>
      </c>
      <c r="P491" s="14" t="n">
        <v>1510.41</v>
      </c>
      <c r="Q491" s="14" t="n">
        <v>1510.41</v>
      </c>
      <c r="R491" s="14" t="n">
        <v>1510.41</v>
      </c>
      <c r="S491" s="14" t="n">
        <v>1510.41</v>
      </c>
      <c r="T491" s="14" t="n">
        <v>1510.41</v>
      </c>
      <c r="U491" s="14" t="n">
        <v>350</v>
      </c>
      <c r="V491" s="14" t="n">
        <v>250</v>
      </c>
      <c r="W491" s="14">
        <f>U491+V491</f>
        <v/>
      </c>
    </row>
    <row r="492">
      <c r="A492" s="15" t="inlineStr">
        <is>
          <t>CANON-202604-005901</t>
        </is>
      </c>
      <c r="B492" s="15" t="inlineStr">
        <is>
          <t>2026-04-09</t>
        </is>
      </c>
      <c r="C492" s="15" t="inlineStr">
        <is>
          <t>Noor Bellandi</t>
        </is>
      </c>
      <c r="D492" s="15" t="inlineStr">
        <is>
          <t>OH</t>
        </is>
      </c>
      <c r="E492" s="16" t="n">
        <v>455000</v>
      </c>
      <c r="F492" s="16" t="n">
        <v>7432.78</v>
      </c>
      <c r="G492" s="16" t="n">
        <v>929.1</v>
      </c>
      <c r="H492" s="16" t="n">
        <v>929.1</v>
      </c>
      <c r="I492" s="16">
        <f>SUM(K492:T492)</f>
        <v/>
      </c>
      <c r="J492" s="16">
        <f>F492-(G492+H492+I492)</f>
        <v/>
      </c>
      <c r="K492" s="16" t="n">
        <v>557.46</v>
      </c>
      <c r="L492" s="16" t="n">
        <v>557.46</v>
      </c>
      <c r="M492" s="16" t="n">
        <v>557.46</v>
      </c>
      <c r="N492" s="16" t="n">
        <v>557.46</v>
      </c>
      <c r="O492" s="16" t="n">
        <v>557.46</v>
      </c>
      <c r="P492" s="16" t="n">
        <v>557.46</v>
      </c>
      <c r="Q492" s="16" t="n">
        <v>557.46</v>
      </c>
      <c r="R492" s="16" t="n">
        <v>557.46</v>
      </c>
      <c r="S492" s="16" t="n">
        <v>557.46</v>
      </c>
      <c r="T492" s="16" t="n">
        <v>557.46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CANON-202604-005902</t>
        </is>
      </c>
      <c r="B493" s="3" t="inlineStr">
        <is>
          <t>2026-04-17</t>
        </is>
      </c>
      <c r="C493" s="3" t="inlineStr">
        <is>
          <t>Callum Okonkwo</t>
        </is>
      </c>
      <c r="D493" s="3" t="inlineStr">
        <is>
          <t>AR</t>
        </is>
      </c>
      <c r="E493" s="14" t="n">
        <v>515000</v>
      </c>
      <c r="F493" s="14" t="n">
        <v>7238.75</v>
      </c>
      <c r="G493" s="14" t="n">
        <v>904.84</v>
      </c>
      <c r="H493" s="14" t="n">
        <v>904.84</v>
      </c>
      <c r="I493" s="14">
        <f>SUM(K493:T493)</f>
        <v/>
      </c>
      <c r="J493" s="14">
        <f>F493-(G493+H493+I493)</f>
        <v/>
      </c>
      <c r="K493" s="14" t="n">
        <v>542.91</v>
      </c>
      <c r="L493" s="14" t="n">
        <v>542.91</v>
      </c>
      <c r="M493" s="14" t="n">
        <v>542.91</v>
      </c>
      <c r="N493" s="14" t="n">
        <v>542.91</v>
      </c>
      <c r="O493" s="14" t="n">
        <v>542.91</v>
      </c>
      <c r="P493" s="14" t="n">
        <v>542.91</v>
      </c>
      <c r="Q493" s="14" t="n">
        <v>542.91</v>
      </c>
      <c r="R493" s="14" t="n">
        <v>542.91</v>
      </c>
      <c r="S493" s="14" t="n">
        <v>542.91</v>
      </c>
      <c r="T493" s="14" t="n">
        <v>542.91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CANON-202604-005904</t>
        </is>
      </c>
      <c r="B494" s="15" t="inlineStr">
        <is>
          <t>2026-04-11</t>
        </is>
      </c>
      <c r="C494" s="15" t="inlineStr">
        <is>
          <t>Cassius Fairweather</t>
        </is>
      </c>
      <c r="D494" s="15" t="inlineStr">
        <is>
          <t>NE</t>
        </is>
      </c>
      <c r="E494" s="16" t="n">
        <v>690000</v>
      </c>
      <c r="F494" s="16" t="n">
        <v>9136.280000000001</v>
      </c>
      <c r="G494" s="16" t="n">
        <v>1142.04</v>
      </c>
      <c r="H494" s="16" t="n">
        <v>1142.04</v>
      </c>
      <c r="I494" s="16">
        <f>SUM(K494:T494)</f>
        <v/>
      </c>
      <c r="J494" s="16">
        <f>F494-(G494+H494+I494)</f>
        <v/>
      </c>
      <c r="K494" s="16" t="n">
        <v>685.22</v>
      </c>
      <c r="L494" s="16" t="n">
        <v>685.22</v>
      </c>
      <c r="M494" s="16" t="n">
        <v>685.22</v>
      </c>
      <c r="N494" s="16" t="n">
        <v>685.22</v>
      </c>
      <c r="O494" s="16" t="n">
        <v>685.22</v>
      </c>
      <c r="P494" s="16" t="n">
        <v>685.22</v>
      </c>
      <c r="Q494" s="16" t="n">
        <v>685.22</v>
      </c>
      <c r="R494" s="16" t="n">
        <v>685.22</v>
      </c>
      <c r="S494" s="16" t="n">
        <v>685.22</v>
      </c>
      <c r="T494" s="16" t="n">
        <v>685.22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CANON-202604-005906</t>
        </is>
      </c>
      <c r="B495" s="3" t="inlineStr">
        <is>
          <t>2026-04-26</t>
        </is>
      </c>
      <c r="C495" s="3" t="inlineStr">
        <is>
          <t>Horace Montoya</t>
        </is>
      </c>
      <c r="D495" s="3" t="inlineStr">
        <is>
          <t>LA</t>
        </is>
      </c>
      <c r="E495" s="14" t="n">
        <v>745000</v>
      </c>
      <c r="F495" s="14" t="n">
        <v>13419.28</v>
      </c>
      <c r="G495" s="14" t="n">
        <v>1677.41</v>
      </c>
      <c r="H495" s="14" t="n">
        <v>1677.41</v>
      </c>
      <c r="I495" s="14">
        <f>SUM(K495:T495)</f>
        <v/>
      </c>
      <c r="J495" s="14">
        <f>F495-(G495+H495+I495)</f>
        <v/>
      </c>
      <c r="K495" s="14" t="n">
        <v>1006.45</v>
      </c>
      <c r="L495" s="14" t="n">
        <v>1006.45</v>
      </c>
      <c r="M495" s="14" t="n">
        <v>1006.45</v>
      </c>
      <c r="N495" s="14" t="n">
        <v>1006.45</v>
      </c>
      <c r="O495" s="14" t="n">
        <v>1006.45</v>
      </c>
      <c r="P495" s="14" t="n">
        <v>1006.45</v>
      </c>
      <c r="Q495" s="14" t="n">
        <v>1006.45</v>
      </c>
      <c r="R495" s="14" t="n">
        <v>1006.45</v>
      </c>
      <c r="S495" s="14" t="n">
        <v>1006.45</v>
      </c>
      <c r="T495" s="14" t="n">
        <v>1006.45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CANON-202604-005907</t>
        </is>
      </c>
      <c r="B496" s="15" t="inlineStr">
        <is>
          <t>2026-04-02</t>
        </is>
      </c>
      <c r="C496" s="15" t="inlineStr">
        <is>
          <t>Lorenzo Whitlock</t>
        </is>
      </c>
      <c r="D496" s="15" t="inlineStr">
        <is>
          <t>NV</t>
        </is>
      </c>
      <c r="E496" s="16" t="n">
        <v>515000</v>
      </c>
      <c r="F496" s="16" t="n">
        <v>6137.2</v>
      </c>
      <c r="G496" s="16" t="n">
        <v>767.15</v>
      </c>
      <c r="H496" s="16" t="n">
        <v>767.15</v>
      </c>
      <c r="I496" s="16">
        <f>SUM(K496:T496)</f>
        <v/>
      </c>
      <c r="J496" s="16">
        <f>F496-(G496+H496+I496)</f>
        <v/>
      </c>
      <c r="K496" s="16" t="n">
        <v>460.29</v>
      </c>
      <c r="L496" s="16" t="n">
        <v>460.29</v>
      </c>
      <c r="M496" s="16" t="n">
        <v>460.29</v>
      </c>
      <c r="N496" s="16" t="n">
        <v>460.29</v>
      </c>
      <c r="O496" s="16" t="n">
        <v>460.29</v>
      </c>
      <c r="P496" s="16" t="n">
        <v>460.29</v>
      </c>
      <c r="Q496" s="16" t="n">
        <v>460.29</v>
      </c>
      <c r="R496" s="16" t="n">
        <v>460.29</v>
      </c>
      <c r="S496" s="16" t="n">
        <v>460.29</v>
      </c>
      <c r="T496" s="16" t="n">
        <v>460.29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CANON-202604-005908</t>
        </is>
      </c>
      <c r="B497" s="3" t="inlineStr">
        <is>
          <t>2026-04-30</t>
        </is>
      </c>
      <c r="C497" s="3" t="inlineStr">
        <is>
          <t>Lorenzo Chattopadhyay</t>
        </is>
      </c>
      <c r="D497" s="3" t="inlineStr">
        <is>
          <t>IL</t>
        </is>
      </c>
      <c r="E497" s="14" t="n">
        <v>1270000</v>
      </c>
      <c r="F497" s="14" t="n">
        <v>14885.69</v>
      </c>
      <c r="G497" s="14" t="n">
        <v>1860.71</v>
      </c>
      <c r="H497" s="14" t="n">
        <v>1860.71</v>
      </c>
      <c r="I497" s="14">
        <f>SUM(K497:T497)</f>
        <v/>
      </c>
      <c r="J497" s="14">
        <f>F497-(G497+H497+I497)</f>
        <v/>
      </c>
      <c r="K497" s="14" t="n">
        <v>1116.43</v>
      </c>
      <c r="L497" s="14" t="n">
        <v>1116.43</v>
      </c>
      <c r="M497" s="14" t="n">
        <v>1116.43</v>
      </c>
      <c r="N497" s="14" t="n">
        <v>1116.43</v>
      </c>
      <c r="O497" s="14" t="n">
        <v>1116.43</v>
      </c>
      <c r="P497" s="14" t="n">
        <v>1116.43</v>
      </c>
      <c r="Q497" s="14" t="n">
        <v>1116.43</v>
      </c>
      <c r="R497" s="14" t="n">
        <v>1116.43</v>
      </c>
      <c r="S497" s="14" t="n">
        <v>1116.43</v>
      </c>
      <c r="T497" s="14" t="n">
        <v>1116.43</v>
      </c>
      <c r="U497" s="14" t="n">
        <v>350</v>
      </c>
      <c r="V497" s="14" t="n">
        <v>250</v>
      </c>
      <c r="W497" s="14">
        <f>U497+V497</f>
        <v/>
      </c>
    </row>
    <row r="498">
      <c r="A498" s="15" t="inlineStr">
        <is>
          <t>CANON-202604-005909</t>
        </is>
      </c>
      <c r="B498" s="15" t="inlineStr">
        <is>
          <t>2026-04-23</t>
        </is>
      </c>
      <c r="C498" s="15" t="inlineStr">
        <is>
          <t>Marisol Blackwood</t>
        </is>
      </c>
      <c r="D498" s="15" t="inlineStr">
        <is>
          <t>WV</t>
        </is>
      </c>
      <c r="E498" s="16" t="n">
        <v>495000</v>
      </c>
      <c r="F498" s="16" t="n">
        <v>7737.16</v>
      </c>
      <c r="G498" s="16" t="n">
        <v>967.14</v>
      </c>
      <c r="H498" s="16" t="n">
        <v>967.14</v>
      </c>
      <c r="I498" s="16">
        <f>SUM(K498:T498)</f>
        <v/>
      </c>
      <c r="J498" s="16">
        <f>F498-(G498+H498+I498)</f>
        <v/>
      </c>
      <c r="K498" s="16" t="n">
        <v>580.29</v>
      </c>
      <c r="L498" s="16" t="n">
        <v>580.29</v>
      </c>
      <c r="M498" s="16" t="n">
        <v>580.29</v>
      </c>
      <c r="N498" s="16" t="n">
        <v>580.29</v>
      </c>
      <c r="O498" s="16" t="n">
        <v>580.29</v>
      </c>
      <c r="P498" s="16" t="n">
        <v>580.29</v>
      </c>
      <c r="Q498" s="16" t="n">
        <v>580.29</v>
      </c>
      <c r="R498" s="16" t="n">
        <v>580.29</v>
      </c>
      <c r="S498" s="16" t="n">
        <v>580.29</v>
      </c>
      <c r="T498" s="16" t="n">
        <v>580.29</v>
      </c>
      <c r="U498" s="16" t="n">
        <v>350</v>
      </c>
      <c r="V498" s="16" t="n">
        <v>0</v>
      </c>
      <c r="W498" s="16">
        <f>U498+V498</f>
        <v/>
      </c>
    </row>
    <row r="499">
      <c r="A499" s="3" t="inlineStr">
        <is>
          <t>CANON-202604-005911</t>
        </is>
      </c>
      <c r="B499" s="3" t="inlineStr">
        <is>
          <t>2026-04-21</t>
        </is>
      </c>
      <c r="C499" s="3" t="inlineStr">
        <is>
          <t>Everett Fairweather</t>
        </is>
      </c>
      <c r="D499" s="3" t="inlineStr">
        <is>
          <t>KY</t>
        </is>
      </c>
      <c r="E499" s="14" t="n">
        <v>390000</v>
      </c>
      <c r="F499" s="14" t="n">
        <v>6141.78</v>
      </c>
      <c r="G499" s="14" t="n">
        <v>767.72</v>
      </c>
      <c r="H499" s="14" t="n">
        <v>767.72</v>
      </c>
      <c r="I499" s="14">
        <f>SUM(K499:T499)</f>
        <v/>
      </c>
      <c r="J499" s="14">
        <f>F499-(G499+H499+I499)</f>
        <v/>
      </c>
      <c r="K499" s="14" t="n">
        <v>460.63</v>
      </c>
      <c r="L499" s="14" t="n">
        <v>460.63</v>
      </c>
      <c r="M499" s="14" t="n">
        <v>460.63</v>
      </c>
      <c r="N499" s="14" t="n">
        <v>460.63</v>
      </c>
      <c r="O499" s="14" t="n">
        <v>460.63</v>
      </c>
      <c r="P499" s="14" t="n">
        <v>460.63</v>
      </c>
      <c r="Q499" s="14" t="n">
        <v>460.63</v>
      </c>
      <c r="R499" s="14" t="n">
        <v>460.63</v>
      </c>
      <c r="S499" s="14" t="n">
        <v>460.63</v>
      </c>
      <c r="T499" s="14" t="n">
        <v>460.63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CANON-202604-005912</t>
        </is>
      </c>
      <c r="B500" s="15" t="inlineStr">
        <is>
          <t>2026-04-28</t>
        </is>
      </c>
      <c r="C500" s="15" t="inlineStr">
        <is>
          <t>Callum Okonkwo</t>
        </is>
      </c>
      <c r="D500" s="15" t="inlineStr">
        <is>
          <t>OH</t>
        </is>
      </c>
      <c r="E500" s="16" t="n">
        <v>590000</v>
      </c>
      <c r="F500" s="16" t="n">
        <v>8353.030000000001</v>
      </c>
      <c r="G500" s="16" t="n">
        <v>1044.13</v>
      </c>
      <c r="H500" s="16" t="n">
        <v>1044.13</v>
      </c>
      <c r="I500" s="16">
        <f>SUM(K500:T500)</f>
        <v/>
      </c>
      <c r="J500" s="16">
        <f>F500-(G500+H500+I500)</f>
        <v/>
      </c>
      <c r="K500" s="16" t="n">
        <v>626.48</v>
      </c>
      <c r="L500" s="16" t="n">
        <v>626.48</v>
      </c>
      <c r="M500" s="16" t="n">
        <v>626.48</v>
      </c>
      <c r="N500" s="16" t="n">
        <v>626.48</v>
      </c>
      <c r="O500" s="16" t="n">
        <v>626.48</v>
      </c>
      <c r="P500" s="16" t="n">
        <v>626.48</v>
      </c>
      <c r="Q500" s="16" t="n">
        <v>626.48</v>
      </c>
      <c r="R500" s="16" t="n">
        <v>626.48</v>
      </c>
      <c r="S500" s="16" t="n">
        <v>626.48</v>
      </c>
      <c r="T500" s="16" t="n">
        <v>626.48</v>
      </c>
      <c r="U500" s="16" t="n">
        <v>350</v>
      </c>
      <c r="V500" s="16" t="n">
        <v>0</v>
      </c>
      <c r="W500" s="16">
        <f>U500+V500</f>
        <v/>
      </c>
    </row>
    <row r="501">
      <c r="A501" s="3" t="inlineStr">
        <is>
          <t>CANON-202604-005913</t>
        </is>
      </c>
      <c r="B501" s="3" t="inlineStr">
        <is>
          <t>2026-04-29</t>
        </is>
      </c>
      <c r="C501" s="3" t="inlineStr">
        <is>
          <t>Horace Underwood</t>
        </is>
      </c>
      <c r="D501" s="3" t="inlineStr">
        <is>
          <t>MD</t>
        </is>
      </c>
      <c r="E501" s="14" t="n">
        <v>825000</v>
      </c>
      <c r="F501" s="14" t="n">
        <v>11667.15</v>
      </c>
      <c r="G501" s="14" t="n">
        <v>1458.39</v>
      </c>
      <c r="H501" s="14" t="n">
        <v>1458.39</v>
      </c>
      <c r="I501" s="14">
        <f>SUM(K501:T501)</f>
        <v/>
      </c>
      <c r="J501" s="14">
        <f>F501-(G501+H501+I501)</f>
        <v/>
      </c>
      <c r="K501" s="14" t="n">
        <v>875.04</v>
      </c>
      <c r="L501" s="14" t="n">
        <v>875.04</v>
      </c>
      <c r="M501" s="14" t="n">
        <v>875.04</v>
      </c>
      <c r="N501" s="14" t="n">
        <v>875.04</v>
      </c>
      <c r="O501" s="14" t="n">
        <v>875.04</v>
      </c>
      <c r="P501" s="14" t="n">
        <v>875.04</v>
      </c>
      <c r="Q501" s="14" t="n">
        <v>875.04</v>
      </c>
      <c r="R501" s="14" t="n">
        <v>875.04</v>
      </c>
      <c r="S501" s="14" t="n">
        <v>875.04</v>
      </c>
      <c r="T501" s="14" t="n">
        <v>875.04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CANON-202604-005914</t>
        </is>
      </c>
      <c r="B502" s="15" t="inlineStr">
        <is>
          <t>2026-04-12</t>
        </is>
      </c>
      <c r="C502" s="15" t="inlineStr">
        <is>
          <t>Marisol Pennington</t>
        </is>
      </c>
      <c r="D502" s="15" t="inlineStr">
        <is>
          <t>WA</t>
        </is>
      </c>
      <c r="E502" s="16" t="n">
        <v>740000</v>
      </c>
      <c r="F502" s="16" t="n">
        <v>7235.69</v>
      </c>
      <c r="G502" s="16" t="n">
        <v>904.46</v>
      </c>
      <c r="H502" s="16" t="n">
        <v>904.46</v>
      </c>
      <c r="I502" s="16">
        <f>SUM(K502:T502)</f>
        <v/>
      </c>
      <c r="J502" s="16">
        <f>F502-(G502+H502+I502)</f>
        <v/>
      </c>
      <c r="K502" s="16" t="n">
        <v>542.6799999999999</v>
      </c>
      <c r="L502" s="16" t="n">
        <v>542.6799999999999</v>
      </c>
      <c r="M502" s="16" t="n">
        <v>542.6799999999999</v>
      </c>
      <c r="N502" s="16" t="n">
        <v>542.6799999999999</v>
      </c>
      <c r="O502" s="16" t="n">
        <v>542.6799999999999</v>
      </c>
      <c r="P502" s="16" t="n">
        <v>542.6799999999999</v>
      </c>
      <c r="Q502" s="16" t="n">
        <v>542.6799999999999</v>
      </c>
      <c r="R502" s="16" t="n">
        <v>542.6799999999999</v>
      </c>
      <c r="S502" s="16" t="n">
        <v>542.6799999999999</v>
      </c>
      <c r="T502" s="16" t="n">
        <v>542.6799999999999</v>
      </c>
      <c r="U502" s="16" t="n">
        <v>350</v>
      </c>
      <c r="V502" s="16" t="n">
        <v>0</v>
      </c>
      <c r="W502" s="16">
        <f>U502+V502</f>
        <v/>
      </c>
    </row>
    <row r="503">
      <c r="A503" s="3" t="inlineStr">
        <is>
          <t>CANON-202604-005915</t>
        </is>
      </c>
      <c r="B503" s="3" t="inlineStr">
        <is>
          <t>2026-04-26</t>
        </is>
      </c>
      <c r="C503" s="3" t="inlineStr">
        <is>
          <t>Leopold Underwood</t>
        </is>
      </c>
      <c r="D503" s="3" t="inlineStr">
        <is>
          <t>AR</t>
        </is>
      </c>
      <c r="E503" s="14" t="n">
        <v>530000</v>
      </c>
      <c r="F503" s="14" t="n">
        <v>7449.59</v>
      </c>
      <c r="G503" s="14" t="n">
        <v>931.2</v>
      </c>
      <c r="H503" s="14" t="n">
        <v>931.2</v>
      </c>
      <c r="I503" s="14">
        <f>SUM(K503:T503)</f>
        <v/>
      </c>
      <c r="J503" s="14">
        <f>F503-(G503+H503+I503)</f>
        <v/>
      </c>
      <c r="K503" s="14" t="n">
        <v>558.72</v>
      </c>
      <c r="L503" s="14" t="n">
        <v>558.72</v>
      </c>
      <c r="M503" s="14" t="n">
        <v>558.72</v>
      </c>
      <c r="N503" s="14" t="n">
        <v>558.72</v>
      </c>
      <c r="O503" s="14" t="n">
        <v>558.72</v>
      </c>
      <c r="P503" s="14" t="n">
        <v>558.72</v>
      </c>
      <c r="Q503" s="14" t="n">
        <v>558.72</v>
      </c>
      <c r="R503" s="14" t="n">
        <v>558.72</v>
      </c>
      <c r="S503" s="14" t="n">
        <v>558.72</v>
      </c>
      <c r="T503" s="14" t="n">
        <v>558.72</v>
      </c>
      <c r="U503" s="14" t="n">
        <v>350</v>
      </c>
      <c r="V503" s="14" t="n">
        <v>0</v>
      </c>
      <c r="W503" s="14">
        <f>U503+V503</f>
        <v/>
      </c>
    </row>
    <row r="504">
      <c r="A504" s="15" t="inlineStr">
        <is>
          <t>CANON-202604-005916</t>
        </is>
      </c>
      <c r="B504" s="15" t="inlineStr">
        <is>
          <t>2026-04-16</t>
        </is>
      </c>
      <c r="C504" s="15" t="inlineStr">
        <is>
          <t>Desmond Ashcombe</t>
        </is>
      </c>
      <c r="D504" s="15" t="inlineStr">
        <is>
          <t>MI</t>
        </is>
      </c>
      <c r="E504" s="16" t="n">
        <v>1335000</v>
      </c>
      <c r="F504" s="16" t="n">
        <v>17833.62</v>
      </c>
      <c r="G504" s="16" t="n">
        <v>2229.2</v>
      </c>
      <c r="H504" s="16" t="n">
        <v>2229.2</v>
      </c>
      <c r="I504" s="16">
        <f>SUM(K504:T504)</f>
        <v/>
      </c>
      <c r="J504" s="16">
        <f>F504-(G504+H504+I504)</f>
        <v/>
      </c>
      <c r="K504" s="16" t="n">
        <v>1337.52</v>
      </c>
      <c r="L504" s="16" t="n">
        <v>1337.52</v>
      </c>
      <c r="M504" s="16" t="n">
        <v>1337.52</v>
      </c>
      <c r="N504" s="16" t="n">
        <v>1337.52</v>
      </c>
      <c r="O504" s="16" t="n">
        <v>1337.52</v>
      </c>
      <c r="P504" s="16" t="n">
        <v>1337.52</v>
      </c>
      <c r="Q504" s="16" t="n">
        <v>1337.52</v>
      </c>
      <c r="R504" s="16" t="n">
        <v>1337.52</v>
      </c>
      <c r="S504" s="16" t="n">
        <v>1337.52</v>
      </c>
      <c r="T504" s="16" t="n">
        <v>1337.52</v>
      </c>
      <c r="U504" s="16" t="n">
        <v>350</v>
      </c>
      <c r="V504" s="16" t="n">
        <v>250</v>
      </c>
      <c r="W504" s="16">
        <f>U504+V504</f>
        <v/>
      </c>
    </row>
    <row r="505">
      <c r="A505" s="3" t="inlineStr">
        <is>
          <t>CANON-202604-005919</t>
        </is>
      </c>
      <c r="B505" s="3" t="inlineStr">
        <is>
          <t>2026-04-22</t>
        </is>
      </c>
      <c r="C505" s="3" t="inlineStr">
        <is>
          <t>Desmond Vasquez</t>
        </is>
      </c>
      <c r="D505" s="3" t="inlineStr">
        <is>
          <t>MS</t>
        </is>
      </c>
      <c r="E505" s="14" t="n">
        <v>485000</v>
      </c>
      <c r="F505" s="14" t="n">
        <v>6782.88</v>
      </c>
      <c r="G505" s="14" t="n">
        <v>847.86</v>
      </c>
      <c r="H505" s="14" t="n">
        <v>847.86</v>
      </c>
      <c r="I505" s="14">
        <f>SUM(K505:T505)</f>
        <v/>
      </c>
      <c r="J505" s="14">
        <f>F505-(G505+H505+I505)</f>
        <v/>
      </c>
      <c r="K505" s="14" t="n">
        <v>508.72</v>
      </c>
      <c r="L505" s="14" t="n">
        <v>508.72</v>
      </c>
      <c r="M505" s="14" t="n">
        <v>508.72</v>
      </c>
      <c r="N505" s="14" t="n">
        <v>508.72</v>
      </c>
      <c r="O505" s="14" t="n">
        <v>508.72</v>
      </c>
      <c r="P505" s="14" t="n">
        <v>508.72</v>
      </c>
      <c r="Q505" s="14" t="n">
        <v>508.72</v>
      </c>
      <c r="R505" s="14" t="n">
        <v>508.72</v>
      </c>
      <c r="S505" s="14" t="n">
        <v>508.72</v>
      </c>
      <c r="T505" s="14" t="n">
        <v>508.72</v>
      </c>
      <c r="U505" s="14" t="n">
        <v>350</v>
      </c>
      <c r="V505" s="14" t="n">
        <v>0</v>
      </c>
      <c r="W505" s="14">
        <f>U505+V505</f>
        <v/>
      </c>
    </row>
    <row r="506">
      <c r="A506" s="15" t="inlineStr">
        <is>
          <t>CANON-202604-005920</t>
        </is>
      </c>
      <c r="B506" s="15" t="inlineStr">
        <is>
          <t>2026-04-02</t>
        </is>
      </c>
      <c r="C506" s="15" t="inlineStr">
        <is>
          <t>Thaddeus Merriweather</t>
        </is>
      </c>
      <c r="D506" s="15" t="inlineStr">
        <is>
          <t>NJ</t>
        </is>
      </c>
      <c r="E506" s="16" t="n">
        <v>550000</v>
      </c>
      <c r="F506" s="16" t="n">
        <v>5097.78</v>
      </c>
      <c r="G506" s="16" t="n">
        <v>637.22</v>
      </c>
      <c r="H506" s="16" t="n">
        <v>637.22</v>
      </c>
      <c r="I506" s="16">
        <f>SUM(K506:T506)</f>
        <v/>
      </c>
      <c r="J506" s="16">
        <f>F506-(G506+H506+I506)</f>
        <v/>
      </c>
      <c r="K506" s="16" t="n">
        <v>382.33</v>
      </c>
      <c r="L506" s="16" t="n">
        <v>382.33</v>
      </c>
      <c r="M506" s="16" t="n">
        <v>382.33</v>
      </c>
      <c r="N506" s="16" t="n">
        <v>382.33</v>
      </c>
      <c r="O506" s="16" t="n">
        <v>382.33</v>
      </c>
      <c r="P506" s="16" t="n">
        <v>382.33</v>
      </c>
      <c r="Q506" s="16" t="n">
        <v>382.33</v>
      </c>
      <c r="R506" s="16" t="n">
        <v>382.33</v>
      </c>
      <c r="S506" s="16" t="n">
        <v>382.33</v>
      </c>
      <c r="T506" s="16" t="n">
        <v>382.33</v>
      </c>
      <c r="U506" s="16" t="n">
        <v>350</v>
      </c>
      <c r="V506" s="16" t="n">
        <v>0</v>
      </c>
      <c r="W506" s="16">
        <f>U506+V506</f>
        <v/>
      </c>
    </row>
    <row r="507">
      <c r="A507" s="3" t="inlineStr">
        <is>
          <t>CANON-202604-005921</t>
        </is>
      </c>
      <c r="B507" s="3" t="inlineStr">
        <is>
          <t>2026-04-02</t>
        </is>
      </c>
      <c r="C507" s="3" t="inlineStr">
        <is>
          <t>Delphine Nakashima</t>
        </is>
      </c>
      <c r="D507" s="3" t="inlineStr">
        <is>
          <t>PA</t>
        </is>
      </c>
      <c r="E507" s="14" t="n">
        <v>920000</v>
      </c>
      <c r="F507" s="14" t="n">
        <v>9370.549999999999</v>
      </c>
      <c r="G507" s="14" t="n">
        <v>1171.32</v>
      </c>
      <c r="H507" s="14" t="n">
        <v>1171.32</v>
      </c>
      <c r="I507" s="14">
        <f>SUM(K507:T507)</f>
        <v/>
      </c>
      <c r="J507" s="14">
        <f>F507-(G507+H507+I507)</f>
        <v/>
      </c>
      <c r="K507" s="14" t="n">
        <v>702.79</v>
      </c>
      <c r="L507" s="14" t="n">
        <v>702.79</v>
      </c>
      <c r="M507" s="14" t="n">
        <v>702.79</v>
      </c>
      <c r="N507" s="14" t="n">
        <v>702.79</v>
      </c>
      <c r="O507" s="14" t="n">
        <v>702.79</v>
      </c>
      <c r="P507" s="14" t="n">
        <v>702.79</v>
      </c>
      <c r="Q507" s="14" t="n">
        <v>702.79</v>
      </c>
      <c r="R507" s="14" t="n">
        <v>702.79</v>
      </c>
      <c r="S507" s="14" t="n">
        <v>702.79</v>
      </c>
      <c r="T507" s="14" t="n">
        <v>702.79</v>
      </c>
      <c r="U507" s="14" t="n">
        <v>350</v>
      </c>
      <c r="V507" s="14" t="n">
        <v>0</v>
      </c>
      <c r="W507" s="14">
        <f>U507+V507</f>
        <v/>
      </c>
    </row>
    <row r="508">
      <c r="A508" s="15" t="inlineStr">
        <is>
          <t>CANON-202604-005923</t>
        </is>
      </c>
      <c r="B508" s="15" t="inlineStr">
        <is>
          <t>2026-04-15</t>
        </is>
      </c>
      <c r="C508" s="15" t="inlineStr">
        <is>
          <t>Mireille Farkas</t>
        </is>
      </c>
      <c r="D508" s="15" t="inlineStr">
        <is>
          <t>NJ</t>
        </is>
      </c>
      <c r="E508" s="16" t="n">
        <v>210000</v>
      </c>
      <c r="F508" s="16" t="n">
        <v>2754.94</v>
      </c>
      <c r="G508" s="16" t="n">
        <v>344.37</v>
      </c>
      <c r="H508" s="16" t="n">
        <v>344.37</v>
      </c>
      <c r="I508" s="16">
        <f>SUM(K508:T508)</f>
        <v/>
      </c>
      <c r="J508" s="16">
        <f>F508-(G508+H508+I508)</f>
        <v/>
      </c>
      <c r="K508" s="16" t="n">
        <v>206.62</v>
      </c>
      <c r="L508" s="16" t="n">
        <v>206.62</v>
      </c>
      <c r="M508" s="16" t="n">
        <v>206.62</v>
      </c>
      <c r="N508" s="16" t="n">
        <v>206.62</v>
      </c>
      <c r="O508" s="16" t="n">
        <v>206.62</v>
      </c>
      <c r="P508" s="16" t="n">
        <v>206.62</v>
      </c>
      <c r="Q508" s="16" t="n">
        <v>206.62</v>
      </c>
      <c r="R508" s="16" t="n">
        <v>206.62</v>
      </c>
      <c r="S508" s="16" t="n">
        <v>206.62</v>
      </c>
      <c r="T508" s="16" t="n">
        <v>206.62</v>
      </c>
      <c r="U508" s="16" t="n">
        <v>350</v>
      </c>
      <c r="V508" s="16" t="n">
        <v>0</v>
      </c>
      <c r="W508" s="16">
        <f>U508+V508</f>
        <v/>
      </c>
    </row>
    <row r="509">
      <c r="A509" s="3" t="inlineStr">
        <is>
          <t>CANON-202604-005924</t>
        </is>
      </c>
      <c r="B509" s="3" t="inlineStr">
        <is>
          <t>2026-04-06</t>
        </is>
      </c>
      <c r="C509" s="3" t="inlineStr">
        <is>
          <t>Lorenzo Nakashima</t>
        </is>
      </c>
      <c r="D509" s="3" t="inlineStr">
        <is>
          <t>WA</t>
        </is>
      </c>
      <c r="E509" s="14" t="n">
        <v>185000</v>
      </c>
      <c r="F509" s="14" t="n">
        <v>2560.32</v>
      </c>
      <c r="G509" s="14" t="n">
        <v>320.04</v>
      </c>
      <c r="H509" s="14" t="n">
        <v>320.04</v>
      </c>
      <c r="I509" s="14">
        <f>SUM(K509:T509)</f>
        <v/>
      </c>
      <c r="J509" s="14">
        <f>F509-(G509+H509+I509)</f>
        <v/>
      </c>
      <c r="K509" s="14" t="n">
        <v>192.02</v>
      </c>
      <c r="L509" s="14" t="n">
        <v>192.02</v>
      </c>
      <c r="M509" s="14" t="n">
        <v>192.02</v>
      </c>
      <c r="N509" s="14" t="n">
        <v>192.02</v>
      </c>
      <c r="O509" s="14" t="n">
        <v>192.02</v>
      </c>
      <c r="P509" s="14" t="n">
        <v>192.02</v>
      </c>
      <c r="Q509" s="14" t="n">
        <v>192.02</v>
      </c>
      <c r="R509" s="14" t="n">
        <v>192.02</v>
      </c>
      <c r="S509" s="14" t="n">
        <v>192.02</v>
      </c>
      <c r="T509" s="14" t="n">
        <v>192.02</v>
      </c>
      <c r="U509" s="14" t="n">
        <v>350</v>
      </c>
      <c r="V509" s="14" t="n">
        <v>0</v>
      </c>
      <c r="W509" s="14">
        <f>U509+V509</f>
        <v/>
      </c>
    </row>
    <row r="510">
      <c r="A510" s="15" t="inlineStr">
        <is>
          <t>CANON-202604-005929</t>
        </is>
      </c>
      <c r="B510" s="15" t="inlineStr">
        <is>
          <t>2026-04-21</t>
        </is>
      </c>
      <c r="C510" s="15" t="inlineStr">
        <is>
          <t>Fenwick Chattopadhyay</t>
        </is>
      </c>
      <c r="D510" s="15" t="inlineStr">
        <is>
          <t>CO</t>
        </is>
      </c>
      <c r="E510" s="16" t="n">
        <v>315000</v>
      </c>
      <c r="F510" s="16" t="n">
        <v>4072.19</v>
      </c>
      <c r="G510" s="16" t="n">
        <v>509.02</v>
      </c>
      <c r="H510" s="16" t="n">
        <v>509.02</v>
      </c>
      <c r="I510" s="16">
        <f>SUM(K510:T510)</f>
        <v/>
      </c>
      <c r="J510" s="16">
        <f>F510-(G510+H510+I510)</f>
        <v/>
      </c>
      <c r="K510" s="16" t="n">
        <v>305.41</v>
      </c>
      <c r="L510" s="16" t="n">
        <v>305.41</v>
      </c>
      <c r="M510" s="16" t="n">
        <v>305.41</v>
      </c>
      <c r="N510" s="16" t="n">
        <v>305.41</v>
      </c>
      <c r="O510" s="16" t="n">
        <v>305.41</v>
      </c>
      <c r="P510" s="16" t="n">
        <v>305.41</v>
      </c>
      <c r="Q510" s="16" t="n">
        <v>305.41</v>
      </c>
      <c r="R510" s="16" t="n">
        <v>305.41</v>
      </c>
      <c r="S510" s="16" t="n">
        <v>305.41</v>
      </c>
      <c r="T510" s="16" t="n">
        <v>305.41</v>
      </c>
      <c r="U510" s="16" t="n">
        <v>350</v>
      </c>
      <c r="V510" s="16" t="n">
        <v>0</v>
      </c>
      <c r="W510" s="16">
        <f>U510+V510</f>
        <v/>
      </c>
    </row>
    <row r="511">
      <c r="A511" s="3" t="inlineStr">
        <is>
          <t>CANON-202604-005930</t>
        </is>
      </c>
      <c r="B511" s="3" t="inlineStr">
        <is>
          <t>2026-04-15</t>
        </is>
      </c>
      <c r="C511" s="3" t="inlineStr">
        <is>
          <t>Desmond Farkas</t>
        </is>
      </c>
      <c r="D511" s="3" t="inlineStr">
        <is>
          <t>NY</t>
        </is>
      </c>
      <c r="E511" s="14" t="n">
        <v>460000</v>
      </c>
      <c r="F511" s="14" t="n">
        <v>6919.79</v>
      </c>
      <c r="G511" s="14" t="n">
        <v>864.97</v>
      </c>
      <c r="H511" s="14" t="n">
        <v>864.97</v>
      </c>
      <c r="I511" s="14">
        <f>SUM(K511:T511)</f>
        <v/>
      </c>
      <c r="J511" s="14">
        <f>F511-(G511+H511+I511)</f>
        <v/>
      </c>
      <c r="K511" s="14" t="n">
        <v>518.98</v>
      </c>
      <c r="L511" s="14" t="n">
        <v>518.98</v>
      </c>
      <c r="M511" s="14" t="n">
        <v>518.98</v>
      </c>
      <c r="N511" s="14" t="n">
        <v>518.98</v>
      </c>
      <c r="O511" s="14" t="n">
        <v>518.98</v>
      </c>
      <c r="P511" s="14" t="n">
        <v>518.98</v>
      </c>
      <c r="Q511" s="14" t="n">
        <v>518.98</v>
      </c>
      <c r="R511" s="14" t="n">
        <v>518.98</v>
      </c>
      <c r="S511" s="14" t="n">
        <v>518.98</v>
      </c>
      <c r="T511" s="14" t="n">
        <v>518.98</v>
      </c>
      <c r="U511" s="14" t="n">
        <v>350</v>
      </c>
      <c r="V511" s="14" t="n">
        <v>0</v>
      </c>
      <c r="W511" s="14">
        <f>U511+V511</f>
        <v/>
      </c>
    </row>
    <row r="512">
      <c r="A512" s="15" t="inlineStr">
        <is>
          <t>CANON-202604-005931</t>
        </is>
      </c>
      <c r="B512" s="15" t="inlineStr">
        <is>
          <t>2026-04-24</t>
        </is>
      </c>
      <c r="C512" s="15" t="inlineStr">
        <is>
          <t>Ottilie Delacroix</t>
        </is>
      </c>
      <c r="D512" s="15" t="inlineStr">
        <is>
          <t>MN</t>
        </is>
      </c>
      <c r="E512" s="16" t="n">
        <v>615000</v>
      </c>
      <c r="F512" s="16" t="n">
        <v>8268.49</v>
      </c>
      <c r="G512" s="16" t="n">
        <v>1033.56</v>
      </c>
      <c r="H512" s="16" t="n">
        <v>1033.56</v>
      </c>
      <c r="I512" s="16">
        <f>SUM(K512:T512)</f>
        <v/>
      </c>
      <c r="J512" s="16">
        <f>F512-(G512+H512+I512)</f>
        <v/>
      </c>
      <c r="K512" s="16" t="n">
        <v>620.14</v>
      </c>
      <c r="L512" s="16" t="n">
        <v>620.14</v>
      </c>
      <c r="M512" s="16" t="n">
        <v>620.14</v>
      </c>
      <c r="N512" s="16" t="n">
        <v>620.14</v>
      </c>
      <c r="O512" s="16" t="n">
        <v>620.14</v>
      </c>
      <c r="P512" s="16" t="n">
        <v>620.14</v>
      </c>
      <c r="Q512" s="16" t="n">
        <v>620.14</v>
      </c>
      <c r="R512" s="16" t="n">
        <v>620.14</v>
      </c>
      <c r="S512" s="16" t="n">
        <v>620.14</v>
      </c>
      <c r="T512" s="16" t="n">
        <v>620.14</v>
      </c>
      <c r="U512" s="16" t="n">
        <v>350</v>
      </c>
      <c r="V512" s="16" t="n">
        <v>0</v>
      </c>
      <c r="W512" s="16">
        <f>U512+V512</f>
        <v/>
      </c>
    </row>
    <row r="513">
      <c r="A513" s="3" t="inlineStr">
        <is>
          <t>CANON-202604-005932</t>
        </is>
      </c>
      <c r="B513" s="3" t="inlineStr">
        <is>
          <t>2026-04-09</t>
        </is>
      </c>
      <c r="C513" s="3" t="inlineStr">
        <is>
          <t>Aurelio Underwood</t>
        </is>
      </c>
      <c r="D513" s="3" t="inlineStr">
        <is>
          <t>TN</t>
        </is>
      </c>
      <c r="E513" s="14" t="n">
        <v>330000</v>
      </c>
      <c r="F513" s="14" t="n">
        <v>4459.5</v>
      </c>
      <c r="G513" s="14" t="n">
        <v>557.4400000000001</v>
      </c>
      <c r="H513" s="14" t="n">
        <v>557.4400000000001</v>
      </c>
      <c r="I513" s="14">
        <f>SUM(K513:T513)</f>
        <v/>
      </c>
      <c r="J513" s="14">
        <f>F513-(G513+H513+I513)</f>
        <v/>
      </c>
      <c r="K513" s="14" t="n">
        <v>334.46</v>
      </c>
      <c r="L513" s="14" t="n">
        <v>334.46</v>
      </c>
      <c r="M513" s="14" t="n">
        <v>334.46</v>
      </c>
      <c r="N513" s="14" t="n">
        <v>334.46</v>
      </c>
      <c r="O513" s="14" t="n">
        <v>334.46</v>
      </c>
      <c r="P513" s="14" t="n">
        <v>334.46</v>
      </c>
      <c r="Q513" s="14" t="n">
        <v>334.46</v>
      </c>
      <c r="R513" s="14" t="n">
        <v>334.46</v>
      </c>
      <c r="S513" s="14" t="n">
        <v>334.46</v>
      </c>
      <c r="T513" s="14" t="n">
        <v>334.46</v>
      </c>
      <c r="U513" s="14" t="n">
        <v>350</v>
      </c>
      <c r="V513" s="14" t="n">
        <v>0</v>
      </c>
      <c r="W513" s="14">
        <f>U513+V513</f>
        <v/>
      </c>
    </row>
    <row r="514">
      <c r="A514" s="15" t="inlineStr">
        <is>
          <t>CANON-202604-005933</t>
        </is>
      </c>
      <c r="B514" s="15" t="inlineStr">
        <is>
          <t>2026-04-16</t>
        </is>
      </c>
      <c r="C514" s="15" t="inlineStr">
        <is>
          <t>Anouk Larsson</t>
        </is>
      </c>
      <c r="D514" s="15" t="inlineStr">
        <is>
          <t>KY</t>
        </is>
      </c>
      <c r="E514" s="16" t="n">
        <v>695000</v>
      </c>
      <c r="F514" s="16" t="n">
        <v>9485.639999999999</v>
      </c>
      <c r="G514" s="16" t="n">
        <v>1185.7</v>
      </c>
      <c r="H514" s="16" t="n">
        <v>1185.7</v>
      </c>
      <c r="I514" s="16">
        <f>SUM(K514:T514)</f>
        <v/>
      </c>
      <c r="J514" s="16">
        <f>F514-(G514+H514+I514)</f>
        <v/>
      </c>
      <c r="K514" s="16" t="n">
        <v>711.42</v>
      </c>
      <c r="L514" s="16" t="n">
        <v>711.42</v>
      </c>
      <c r="M514" s="16" t="n">
        <v>711.42</v>
      </c>
      <c r="N514" s="16" t="n">
        <v>711.42</v>
      </c>
      <c r="O514" s="16" t="n">
        <v>711.42</v>
      </c>
      <c r="P514" s="16" t="n">
        <v>711.42</v>
      </c>
      <c r="Q514" s="16" t="n">
        <v>711.42</v>
      </c>
      <c r="R514" s="16" t="n">
        <v>711.42</v>
      </c>
      <c r="S514" s="16" t="n">
        <v>711.42</v>
      </c>
      <c r="T514" s="16" t="n">
        <v>711.42</v>
      </c>
      <c r="U514" s="16" t="n">
        <v>350</v>
      </c>
      <c r="V514" s="16" t="n">
        <v>0</v>
      </c>
      <c r="W514" s="16">
        <f>U514+V514</f>
        <v/>
      </c>
    </row>
    <row r="515">
      <c r="A515" s="3" t="inlineStr">
        <is>
          <t>CANON-202604-005934</t>
        </is>
      </c>
      <c r="B515" s="3" t="inlineStr">
        <is>
          <t>2026-04-06</t>
        </is>
      </c>
      <c r="C515" s="3" t="inlineStr">
        <is>
          <t>Sunniva Blackwood</t>
        </is>
      </c>
      <c r="D515" s="3" t="inlineStr">
        <is>
          <t>MS</t>
        </is>
      </c>
      <c r="E515" s="14" t="n">
        <v>775000</v>
      </c>
      <c r="F515" s="14" t="n">
        <v>13728.91</v>
      </c>
      <c r="G515" s="14" t="n">
        <v>1716.11</v>
      </c>
      <c r="H515" s="14" t="n">
        <v>1716.11</v>
      </c>
      <c r="I515" s="14">
        <f>SUM(K515:T515)</f>
        <v/>
      </c>
      <c r="J515" s="14">
        <f>F515-(G515+H515+I515)</f>
        <v/>
      </c>
      <c r="K515" s="14" t="n">
        <v>1029.67</v>
      </c>
      <c r="L515" s="14" t="n">
        <v>1029.67</v>
      </c>
      <c r="M515" s="14" t="n">
        <v>1029.67</v>
      </c>
      <c r="N515" s="14" t="n">
        <v>1029.67</v>
      </c>
      <c r="O515" s="14" t="n">
        <v>1029.67</v>
      </c>
      <c r="P515" s="14" t="n">
        <v>1029.67</v>
      </c>
      <c r="Q515" s="14" t="n">
        <v>1029.67</v>
      </c>
      <c r="R515" s="14" t="n">
        <v>1029.67</v>
      </c>
      <c r="S515" s="14" t="n">
        <v>1029.67</v>
      </c>
      <c r="T515" s="14" t="n">
        <v>1029.67</v>
      </c>
      <c r="U515" s="14" t="n">
        <v>350</v>
      </c>
      <c r="V515" s="14" t="n">
        <v>0</v>
      </c>
      <c r="W515" s="14">
        <f>U515+V515</f>
        <v/>
      </c>
    </row>
    <row r="516">
      <c r="A516" s="15" t="inlineStr">
        <is>
          <t>CANON-202604-005935</t>
        </is>
      </c>
      <c r="B516" s="15" t="inlineStr">
        <is>
          <t>2026-04-24</t>
        </is>
      </c>
      <c r="C516" s="15" t="inlineStr">
        <is>
          <t>Delphine Nakashima</t>
        </is>
      </c>
      <c r="D516" s="15" t="inlineStr">
        <is>
          <t>FL</t>
        </is>
      </c>
      <c r="E516" s="16" t="n">
        <v>630000</v>
      </c>
      <c r="F516" s="16" t="n">
        <v>10934.21</v>
      </c>
      <c r="G516" s="16" t="n">
        <v>1366.78</v>
      </c>
      <c r="H516" s="16" t="n">
        <v>1366.78</v>
      </c>
      <c r="I516" s="16">
        <f>SUM(K516:T516)</f>
        <v/>
      </c>
      <c r="J516" s="16">
        <f>F516-(G516+H516+I516)</f>
        <v/>
      </c>
      <c r="K516" s="16" t="n">
        <v>820.0700000000001</v>
      </c>
      <c r="L516" s="16" t="n">
        <v>820.0700000000001</v>
      </c>
      <c r="M516" s="16" t="n">
        <v>820.0700000000001</v>
      </c>
      <c r="N516" s="16" t="n">
        <v>820.0700000000001</v>
      </c>
      <c r="O516" s="16" t="n">
        <v>820.0700000000001</v>
      </c>
      <c r="P516" s="16" t="n">
        <v>820.0700000000001</v>
      </c>
      <c r="Q516" s="16" t="n">
        <v>820.0700000000001</v>
      </c>
      <c r="R516" s="16" t="n">
        <v>820.0700000000001</v>
      </c>
      <c r="S516" s="16" t="n">
        <v>820.0700000000001</v>
      </c>
      <c r="T516" s="16" t="n">
        <v>820.0700000000001</v>
      </c>
      <c r="U516" s="16" t="n">
        <v>350</v>
      </c>
      <c r="V516" s="16" t="n">
        <v>0</v>
      </c>
      <c r="W516" s="16">
        <f>U516+V516</f>
        <v/>
      </c>
    </row>
    <row r="517">
      <c r="A517" s="3" t="inlineStr">
        <is>
          <t>CANON-202604-005936</t>
        </is>
      </c>
      <c r="B517" s="3" t="inlineStr">
        <is>
          <t>2026-04-06</t>
        </is>
      </c>
      <c r="C517" s="3" t="inlineStr">
        <is>
          <t>Cassius Harrington</t>
        </is>
      </c>
      <c r="D517" s="3" t="inlineStr">
        <is>
          <t>WA</t>
        </is>
      </c>
      <c r="E517" s="14" t="n">
        <v>360000</v>
      </c>
      <c r="F517" s="14" t="n">
        <v>6227.81</v>
      </c>
      <c r="G517" s="14" t="n">
        <v>778.48</v>
      </c>
      <c r="H517" s="14" t="n">
        <v>778.48</v>
      </c>
      <c r="I517" s="14">
        <f>SUM(K517:T517)</f>
        <v/>
      </c>
      <c r="J517" s="14">
        <f>F517-(G517+H517+I517)</f>
        <v/>
      </c>
      <c r="K517" s="14" t="n">
        <v>467.09</v>
      </c>
      <c r="L517" s="14" t="n">
        <v>467.09</v>
      </c>
      <c r="M517" s="14" t="n">
        <v>467.09</v>
      </c>
      <c r="N517" s="14" t="n">
        <v>467.09</v>
      </c>
      <c r="O517" s="14" t="n">
        <v>467.09</v>
      </c>
      <c r="P517" s="14" t="n">
        <v>467.09</v>
      </c>
      <c r="Q517" s="14" t="n">
        <v>467.09</v>
      </c>
      <c r="R517" s="14" t="n">
        <v>467.09</v>
      </c>
      <c r="S517" s="14" t="n">
        <v>467.09</v>
      </c>
      <c r="T517" s="14" t="n">
        <v>467.09</v>
      </c>
      <c r="U517" s="14" t="n">
        <v>350</v>
      </c>
      <c r="V517" s="14" t="n">
        <v>0</v>
      </c>
      <c r="W517" s="14">
        <f>U517+V517</f>
        <v/>
      </c>
    </row>
    <row r="518">
      <c r="A518" s="15" t="inlineStr">
        <is>
          <t>CANON-202604-005937</t>
        </is>
      </c>
      <c r="B518" s="15" t="inlineStr">
        <is>
          <t>2026-04-09</t>
        </is>
      </c>
      <c r="C518" s="15" t="inlineStr">
        <is>
          <t>Aurelio Okonkwo</t>
        </is>
      </c>
      <c r="D518" s="15" t="inlineStr">
        <is>
          <t>OR</t>
        </is>
      </c>
      <c r="E518" s="16" t="n">
        <v>705000</v>
      </c>
      <c r="F518" s="16" t="n">
        <v>8114.18</v>
      </c>
      <c r="G518" s="16" t="n">
        <v>1014.27</v>
      </c>
      <c r="H518" s="16" t="n">
        <v>1014.27</v>
      </c>
      <c r="I518" s="16">
        <f>SUM(K518:T518)</f>
        <v/>
      </c>
      <c r="J518" s="16">
        <f>F518-(G518+H518+I518)</f>
        <v/>
      </c>
      <c r="K518" s="16" t="n">
        <v>608.5599999999999</v>
      </c>
      <c r="L518" s="16" t="n">
        <v>608.5599999999999</v>
      </c>
      <c r="M518" s="16" t="n">
        <v>608.5599999999999</v>
      </c>
      <c r="N518" s="16" t="n">
        <v>608.5599999999999</v>
      </c>
      <c r="O518" s="16" t="n">
        <v>608.5599999999999</v>
      </c>
      <c r="P518" s="16" t="n">
        <v>608.5599999999999</v>
      </c>
      <c r="Q518" s="16" t="n">
        <v>608.5599999999999</v>
      </c>
      <c r="R518" s="16" t="n">
        <v>608.5599999999999</v>
      </c>
      <c r="S518" s="16" t="n">
        <v>608.5599999999999</v>
      </c>
      <c r="T518" s="16" t="n">
        <v>608.5599999999999</v>
      </c>
      <c r="U518" s="16" t="n">
        <v>350</v>
      </c>
      <c r="V518" s="16" t="n">
        <v>0</v>
      </c>
      <c r="W518" s="16">
        <f>U518+V518</f>
        <v/>
      </c>
    </row>
    <row r="519">
      <c r="A519" s="3" t="inlineStr">
        <is>
          <t>CANON-202604-005938</t>
        </is>
      </c>
      <c r="B519" s="3" t="inlineStr">
        <is>
          <t>2026-04-16</t>
        </is>
      </c>
      <c r="C519" s="3" t="inlineStr">
        <is>
          <t>Cassius Okonkwo</t>
        </is>
      </c>
      <c r="D519" s="3" t="inlineStr">
        <is>
          <t>IL</t>
        </is>
      </c>
      <c r="E519" s="14" t="n">
        <v>260000</v>
      </c>
      <c r="F519" s="14" t="n">
        <v>4155.63</v>
      </c>
      <c r="G519" s="14" t="n">
        <v>519.45</v>
      </c>
      <c r="H519" s="14" t="n">
        <v>519.45</v>
      </c>
      <c r="I519" s="14">
        <f>SUM(K519:T519)</f>
        <v/>
      </c>
      <c r="J519" s="14">
        <f>F519-(G519+H519+I519)</f>
        <v/>
      </c>
      <c r="K519" s="14" t="n">
        <v>311.67</v>
      </c>
      <c r="L519" s="14" t="n">
        <v>311.67</v>
      </c>
      <c r="M519" s="14" t="n">
        <v>311.67</v>
      </c>
      <c r="N519" s="14" t="n">
        <v>311.67</v>
      </c>
      <c r="O519" s="14" t="n">
        <v>311.67</v>
      </c>
      <c r="P519" s="14" t="n">
        <v>311.67</v>
      </c>
      <c r="Q519" s="14" t="n">
        <v>311.67</v>
      </c>
      <c r="R519" s="14" t="n">
        <v>311.67</v>
      </c>
      <c r="S519" s="14" t="n">
        <v>311.67</v>
      </c>
      <c r="T519" s="14" t="n">
        <v>311.67</v>
      </c>
      <c r="U519" s="14" t="n">
        <v>350</v>
      </c>
      <c r="V519" s="14" t="n">
        <v>0</v>
      </c>
      <c r="W519" s="14">
        <f>U519+V519</f>
        <v/>
      </c>
    </row>
    <row r="520">
      <c r="A520" s="15" t="inlineStr">
        <is>
          <t>CANON-202604-005939</t>
        </is>
      </c>
      <c r="B520" s="15" t="inlineStr">
        <is>
          <t>2026-04-23</t>
        </is>
      </c>
      <c r="C520" s="15" t="inlineStr">
        <is>
          <t>Beatrix Thistlewood</t>
        </is>
      </c>
      <c r="D520" s="15" t="inlineStr">
        <is>
          <t>CA</t>
        </is>
      </c>
      <c r="E520" s="16" t="n">
        <v>645000</v>
      </c>
      <c r="F520" s="16" t="n">
        <v>8868.92</v>
      </c>
      <c r="G520" s="16" t="n">
        <v>1108.62</v>
      </c>
      <c r="H520" s="16" t="n">
        <v>1108.62</v>
      </c>
      <c r="I520" s="16">
        <f>SUM(K520:T520)</f>
        <v/>
      </c>
      <c r="J520" s="16">
        <f>F520-(G520+H520+I520)</f>
        <v/>
      </c>
      <c r="K520" s="16" t="n">
        <v>665.17</v>
      </c>
      <c r="L520" s="16" t="n">
        <v>665.17</v>
      </c>
      <c r="M520" s="16" t="n">
        <v>665.17</v>
      </c>
      <c r="N520" s="16" t="n">
        <v>665.17</v>
      </c>
      <c r="O520" s="16" t="n">
        <v>665.17</v>
      </c>
      <c r="P520" s="16" t="n">
        <v>665.17</v>
      </c>
      <c r="Q520" s="16" t="n">
        <v>665.17</v>
      </c>
      <c r="R520" s="16" t="n">
        <v>665.17</v>
      </c>
      <c r="S520" s="16" t="n">
        <v>665.17</v>
      </c>
      <c r="T520" s="16" t="n">
        <v>665.17</v>
      </c>
      <c r="U520" s="16" t="n">
        <v>350</v>
      </c>
      <c r="V520" s="16" t="n">
        <v>0</v>
      </c>
      <c r="W520" s="16">
        <f>U520+V520</f>
        <v/>
      </c>
    </row>
    <row r="521">
      <c r="A521" s="3" t="inlineStr">
        <is>
          <t>CANON-202604-005940</t>
        </is>
      </c>
      <c r="B521" s="3" t="inlineStr">
        <is>
          <t>2026-04-28</t>
        </is>
      </c>
      <c r="C521" s="3" t="inlineStr">
        <is>
          <t>Anouk Chattopadhyay</t>
        </is>
      </c>
      <c r="D521" s="3" t="inlineStr">
        <is>
          <t>MI</t>
        </is>
      </c>
      <c r="E521" s="14" t="n">
        <v>200000</v>
      </c>
      <c r="F521" s="14" t="n">
        <v>4469.03</v>
      </c>
      <c r="G521" s="14" t="n">
        <v>558.63</v>
      </c>
      <c r="H521" s="14" t="n">
        <v>558.63</v>
      </c>
      <c r="I521" s="14">
        <f>SUM(K521:T521)</f>
        <v/>
      </c>
      <c r="J521" s="14">
        <f>F521-(G521+H521+I521)</f>
        <v/>
      </c>
      <c r="K521" s="14" t="n">
        <v>335.18</v>
      </c>
      <c r="L521" s="14" t="n">
        <v>335.18</v>
      </c>
      <c r="M521" s="14" t="n">
        <v>335.18</v>
      </c>
      <c r="N521" s="14" t="n">
        <v>335.18</v>
      </c>
      <c r="O521" s="14" t="n">
        <v>335.18</v>
      </c>
      <c r="P521" s="14" t="n">
        <v>335.18</v>
      </c>
      <c r="Q521" s="14" t="n">
        <v>335.18</v>
      </c>
      <c r="R521" s="14" t="n">
        <v>335.18</v>
      </c>
      <c r="S521" s="14" t="n">
        <v>335.18</v>
      </c>
      <c r="T521" s="14" t="n">
        <v>335.18</v>
      </c>
      <c r="U521" s="14" t="n">
        <v>350</v>
      </c>
      <c r="V521" s="14" t="n">
        <v>0</v>
      </c>
      <c r="W521" s="14">
        <f>U521+V521</f>
        <v/>
      </c>
    </row>
    <row r="522">
      <c r="A522" s="15" t="inlineStr">
        <is>
          <t>CANON-202604-005941</t>
        </is>
      </c>
      <c r="B522" s="15" t="inlineStr">
        <is>
          <t>2026-04-10</t>
        </is>
      </c>
      <c r="C522" s="15" t="inlineStr">
        <is>
          <t>Desmond Ashcombe</t>
        </is>
      </c>
      <c r="D522" s="15" t="inlineStr">
        <is>
          <t>AK</t>
        </is>
      </c>
      <c r="E522" s="16" t="n">
        <v>395000</v>
      </c>
      <c r="F522" s="16" t="n">
        <v>5292.09</v>
      </c>
      <c r="G522" s="16" t="n">
        <v>661.51</v>
      </c>
      <c r="H522" s="16" t="n">
        <v>661.51</v>
      </c>
      <c r="I522" s="16">
        <f>SUM(K522:T522)</f>
        <v/>
      </c>
      <c r="J522" s="16">
        <f>F522-(G522+H522+I522)</f>
        <v/>
      </c>
      <c r="K522" s="16" t="n">
        <v>396.91</v>
      </c>
      <c r="L522" s="16" t="n">
        <v>396.91</v>
      </c>
      <c r="M522" s="16" t="n">
        <v>396.91</v>
      </c>
      <c r="N522" s="16" t="n">
        <v>396.91</v>
      </c>
      <c r="O522" s="16" t="n">
        <v>396.91</v>
      </c>
      <c r="P522" s="16" t="n">
        <v>396.91</v>
      </c>
      <c r="Q522" s="16" t="n">
        <v>396.91</v>
      </c>
      <c r="R522" s="16" t="n">
        <v>396.91</v>
      </c>
      <c r="S522" s="16" t="n">
        <v>396.91</v>
      </c>
      <c r="T522" s="16" t="n">
        <v>396.91</v>
      </c>
      <c r="U522" s="16" t="n">
        <v>350</v>
      </c>
      <c r="V522" s="16" t="n">
        <v>0</v>
      </c>
      <c r="W522" s="16">
        <f>U522+V522</f>
        <v/>
      </c>
    </row>
    <row r="523">
      <c r="A523" s="3" t="inlineStr">
        <is>
          <t>CANON-202604-005942</t>
        </is>
      </c>
      <c r="B523" s="3" t="inlineStr">
        <is>
          <t>2026-04-30</t>
        </is>
      </c>
      <c r="C523" s="3" t="inlineStr">
        <is>
          <t>Ottilie Castellanos</t>
        </is>
      </c>
      <c r="D523" s="3" t="inlineStr">
        <is>
          <t>VT</t>
        </is>
      </c>
      <c r="E523" s="14" t="n">
        <v>255000</v>
      </c>
      <c r="F523" s="14" t="n">
        <v>3656.16</v>
      </c>
      <c r="G523" s="14" t="n">
        <v>457.02</v>
      </c>
      <c r="H523" s="14" t="n">
        <v>457.02</v>
      </c>
      <c r="I523" s="14">
        <f>SUM(K523:T523)</f>
        <v/>
      </c>
      <c r="J523" s="14">
        <f>F523-(G523+H523+I523)</f>
        <v/>
      </c>
      <c r="K523" s="14" t="n">
        <v>274.21</v>
      </c>
      <c r="L523" s="14" t="n">
        <v>274.21</v>
      </c>
      <c r="M523" s="14" t="n">
        <v>274.21</v>
      </c>
      <c r="N523" s="14" t="n">
        <v>274.21</v>
      </c>
      <c r="O523" s="14" t="n">
        <v>274.21</v>
      </c>
      <c r="P523" s="14" t="n">
        <v>274.21</v>
      </c>
      <c r="Q523" s="14" t="n">
        <v>274.21</v>
      </c>
      <c r="R523" s="14" t="n">
        <v>274.21</v>
      </c>
      <c r="S523" s="14" t="n">
        <v>274.21</v>
      </c>
      <c r="T523" s="14" t="n">
        <v>274.21</v>
      </c>
      <c r="U523" s="14" t="n">
        <v>350</v>
      </c>
      <c r="V523" s="14" t="n">
        <v>0</v>
      </c>
      <c r="W523" s="14">
        <f>U523+V523</f>
        <v/>
      </c>
    </row>
    <row r="524">
      <c r="A524" s="15" t="inlineStr">
        <is>
          <t>CANON-202604-005944</t>
        </is>
      </c>
      <c r="B524" s="15" t="inlineStr">
        <is>
          <t>2026-04-29</t>
        </is>
      </c>
      <c r="C524" s="15" t="inlineStr">
        <is>
          <t>Fenwick Underwood</t>
        </is>
      </c>
      <c r="D524" s="15" t="inlineStr">
        <is>
          <t>IL</t>
        </is>
      </c>
      <c r="E524" s="16" t="n">
        <v>175000</v>
      </c>
      <c r="F524" s="16" t="n">
        <v>3915.88</v>
      </c>
      <c r="G524" s="16" t="n">
        <v>489.49</v>
      </c>
      <c r="H524" s="16" t="n">
        <v>489.49</v>
      </c>
      <c r="I524" s="16">
        <f>SUM(K524:T524)</f>
        <v/>
      </c>
      <c r="J524" s="16">
        <f>F524-(G524+H524+I524)</f>
        <v/>
      </c>
      <c r="K524" s="16" t="n">
        <v>293.69</v>
      </c>
      <c r="L524" s="16" t="n">
        <v>293.69</v>
      </c>
      <c r="M524" s="16" t="n">
        <v>293.69</v>
      </c>
      <c r="N524" s="16" t="n">
        <v>293.69</v>
      </c>
      <c r="O524" s="16" t="n">
        <v>293.69</v>
      </c>
      <c r="P524" s="16" t="n">
        <v>293.69</v>
      </c>
      <c r="Q524" s="16" t="n">
        <v>293.69</v>
      </c>
      <c r="R524" s="16" t="n">
        <v>293.69</v>
      </c>
      <c r="S524" s="16" t="n">
        <v>293.69</v>
      </c>
      <c r="T524" s="16" t="n">
        <v>293.69</v>
      </c>
      <c r="U524" s="16" t="n">
        <v>350</v>
      </c>
      <c r="V524" s="16" t="n">
        <v>0</v>
      </c>
      <c r="W524" s="16">
        <f>U524+V524</f>
        <v/>
      </c>
    </row>
    <row r="525">
      <c r="A525" s="3" t="inlineStr">
        <is>
          <t>CANON-202604-005945</t>
        </is>
      </c>
      <c r="B525" s="3" t="inlineStr">
        <is>
          <t>2026-04-30</t>
        </is>
      </c>
      <c r="C525" s="3" t="inlineStr">
        <is>
          <t>Cassius Castellanos</t>
        </is>
      </c>
      <c r="D525" s="3" t="inlineStr">
        <is>
          <t>CO</t>
        </is>
      </c>
      <c r="E525" s="14" t="n">
        <v>505000</v>
      </c>
      <c r="F525" s="14" t="n">
        <v>5657.98</v>
      </c>
      <c r="G525" s="14" t="n">
        <v>707.25</v>
      </c>
      <c r="H525" s="14" t="n">
        <v>707.25</v>
      </c>
      <c r="I525" s="14">
        <f>SUM(K525:T525)</f>
        <v/>
      </c>
      <c r="J525" s="14">
        <f>F525-(G525+H525+I525)</f>
        <v/>
      </c>
      <c r="K525" s="14" t="n">
        <v>424.35</v>
      </c>
      <c r="L525" s="14" t="n">
        <v>424.35</v>
      </c>
      <c r="M525" s="14" t="n">
        <v>424.35</v>
      </c>
      <c r="N525" s="14" t="n">
        <v>424.35</v>
      </c>
      <c r="O525" s="14" t="n">
        <v>424.35</v>
      </c>
      <c r="P525" s="14" t="n">
        <v>424.35</v>
      </c>
      <c r="Q525" s="14" t="n">
        <v>424.35</v>
      </c>
      <c r="R525" s="14" t="n">
        <v>424.35</v>
      </c>
      <c r="S525" s="14" t="n">
        <v>424.35</v>
      </c>
      <c r="T525" s="14" t="n">
        <v>424.35</v>
      </c>
      <c r="U525" s="14" t="n">
        <v>350</v>
      </c>
      <c r="V525" s="14" t="n">
        <v>0</v>
      </c>
      <c r="W525" s="14">
        <f>U525+V525</f>
        <v/>
      </c>
    </row>
    <row r="526">
      <c r="A526" s="15" t="inlineStr">
        <is>
          <t>CANON-202604-005946</t>
        </is>
      </c>
      <c r="B526" s="15" t="inlineStr">
        <is>
          <t>2026-04-27</t>
        </is>
      </c>
      <c r="C526" s="15" t="inlineStr">
        <is>
          <t>Leopold Montoya</t>
        </is>
      </c>
      <c r="D526" s="15" t="inlineStr">
        <is>
          <t>MI</t>
        </is>
      </c>
      <c r="E526" s="16" t="n">
        <v>750000</v>
      </c>
      <c r="F526" s="16" t="n">
        <v>11840.5</v>
      </c>
      <c r="G526" s="16" t="n">
        <v>1480.06</v>
      </c>
      <c r="H526" s="16" t="n">
        <v>1480.06</v>
      </c>
      <c r="I526" s="16">
        <f>SUM(K526:T526)</f>
        <v/>
      </c>
      <c r="J526" s="16">
        <f>F526-(G526+H526+I526)</f>
        <v/>
      </c>
      <c r="K526" s="16" t="n">
        <v>888.04</v>
      </c>
      <c r="L526" s="16" t="n">
        <v>888.04</v>
      </c>
      <c r="M526" s="16" t="n">
        <v>888.04</v>
      </c>
      <c r="N526" s="16" t="n">
        <v>888.04</v>
      </c>
      <c r="O526" s="16" t="n">
        <v>888.04</v>
      </c>
      <c r="P526" s="16" t="n">
        <v>888.04</v>
      </c>
      <c r="Q526" s="16" t="n">
        <v>888.04</v>
      </c>
      <c r="R526" s="16" t="n">
        <v>888.04</v>
      </c>
      <c r="S526" s="16" t="n">
        <v>888.04</v>
      </c>
      <c r="T526" s="16" t="n">
        <v>888.04</v>
      </c>
      <c r="U526" s="16" t="n">
        <v>350</v>
      </c>
      <c r="V526" s="16" t="n">
        <v>0</v>
      </c>
      <c r="W526" s="16">
        <f>U526+V526</f>
        <v/>
      </c>
    </row>
    <row r="527">
      <c r="A527" s="3" t="inlineStr">
        <is>
          <t>CANON-202604-005948</t>
        </is>
      </c>
      <c r="B527" s="3" t="inlineStr">
        <is>
          <t>2026-04-12</t>
        </is>
      </c>
      <c r="C527" s="3" t="inlineStr">
        <is>
          <t>Anouk Okonkwo</t>
        </is>
      </c>
      <c r="D527" s="3" t="inlineStr">
        <is>
          <t>IL</t>
        </is>
      </c>
      <c r="E527" s="14" t="n">
        <v>540000</v>
      </c>
      <c r="F527" s="14" t="n">
        <v>4948.4</v>
      </c>
      <c r="G527" s="14" t="n">
        <v>618.55</v>
      </c>
      <c r="H527" s="14" t="n">
        <v>618.55</v>
      </c>
      <c r="I527" s="14">
        <f>SUM(K527:T527)</f>
        <v/>
      </c>
      <c r="J527" s="14">
        <f>F527-(G527+H527+I527)</f>
        <v/>
      </c>
      <c r="K527" s="14" t="n">
        <v>371.13</v>
      </c>
      <c r="L527" s="14" t="n">
        <v>371.13</v>
      </c>
      <c r="M527" s="14" t="n">
        <v>371.13</v>
      </c>
      <c r="N527" s="14" t="n">
        <v>371.13</v>
      </c>
      <c r="O527" s="14" t="n">
        <v>371.13</v>
      </c>
      <c r="P527" s="14" t="n">
        <v>371.13</v>
      </c>
      <c r="Q527" s="14" t="n">
        <v>371.13</v>
      </c>
      <c r="R527" s="14" t="n">
        <v>371.13</v>
      </c>
      <c r="S527" s="14" t="n">
        <v>371.13</v>
      </c>
      <c r="T527" s="14" t="n">
        <v>371.13</v>
      </c>
      <c r="U527" s="14" t="n">
        <v>350</v>
      </c>
      <c r="V527" s="14" t="n">
        <v>0</v>
      </c>
      <c r="W527" s="14">
        <f>U527+V527</f>
        <v/>
      </c>
    </row>
    <row r="528">
      <c r="A528" s="15" t="inlineStr">
        <is>
          <t>CANON-202604-005949</t>
        </is>
      </c>
      <c r="B528" s="15" t="inlineStr">
        <is>
          <t>2026-04-27</t>
        </is>
      </c>
      <c r="C528" s="15" t="inlineStr">
        <is>
          <t>Lorenzo Chattopadhyay</t>
        </is>
      </c>
      <c r="D528" s="15" t="inlineStr">
        <is>
          <t>KY</t>
        </is>
      </c>
      <c r="E528" s="16" t="n">
        <v>340000</v>
      </c>
      <c r="F528" s="16" t="n">
        <v>5354.37</v>
      </c>
      <c r="G528" s="16" t="n">
        <v>669.3</v>
      </c>
      <c r="H528" s="16" t="n">
        <v>669.3</v>
      </c>
      <c r="I528" s="16">
        <f>SUM(K528:T528)</f>
        <v/>
      </c>
      <c r="J528" s="16">
        <f>F528-(G528+H528+I528)</f>
        <v/>
      </c>
      <c r="K528" s="16" t="n">
        <v>401.58</v>
      </c>
      <c r="L528" s="16" t="n">
        <v>401.58</v>
      </c>
      <c r="M528" s="16" t="n">
        <v>401.58</v>
      </c>
      <c r="N528" s="16" t="n">
        <v>401.58</v>
      </c>
      <c r="O528" s="16" t="n">
        <v>401.58</v>
      </c>
      <c r="P528" s="16" t="n">
        <v>401.58</v>
      </c>
      <c r="Q528" s="16" t="n">
        <v>401.58</v>
      </c>
      <c r="R528" s="16" t="n">
        <v>401.58</v>
      </c>
      <c r="S528" s="16" t="n">
        <v>401.58</v>
      </c>
      <c r="T528" s="16" t="n">
        <v>401.58</v>
      </c>
      <c r="U528" s="16" t="n">
        <v>350</v>
      </c>
      <c r="V528" s="16" t="n">
        <v>0</v>
      </c>
      <c r="W528" s="16">
        <f>U528+V528</f>
        <v/>
      </c>
    </row>
    <row r="529">
      <c r="A529" s="3" t="inlineStr">
        <is>
          <t>CANON-202604-005950</t>
        </is>
      </c>
      <c r="B529" s="3" t="inlineStr">
        <is>
          <t>2026-04-02</t>
        </is>
      </c>
      <c r="C529" s="3" t="inlineStr">
        <is>
          <t>Desmond Whitlock</t>
        </is>
      </c>
      <c r="D529" s="3" t="inlineStr">
        <is>
          <t>LA</t>
        </is>
      </c>
      <c r="E529" s="14" t="n">
        <v>445000</v>
      </c>
      <c r="F529" s="14" t="n">
        <v>9703.02</v>
      </c>
      <c r="G529" s="14" t="n">
        <v>1212.88</v>
      </c>
      <c r="H529" s="14" t="n">
        <v>1212.88</v>
      </c>
      <c r="I529" s="14">
        <f>SUM(K529:T529)</f>
        <v/>
      </c>
      <c r="J529" s="14">
        <f>F529-(G529+H529+I529)</f>
        <v/>
      </c>
      <c r="K529" s="14" t="n">
        <v>727.73</v>
      </c>
      <c r="L529" s="14" t="n">
        <v>727.73</v>
      </c>
      <c r="M529" s="14" t="n">
        <v>727.73</v>
      </c>
      <c r="N529" s="14" t="n">
        <v>727.73</v>
      </c>
      <c r="O529" s="14" t="n">
        <v>727.73</v>
      </c>
      <c r="P529" s="14" t="n">
        <v>727.73</v>
      </c>
      <c r="Q529" s="14" t="n">
        <v>727.73</v>
      </c>
      <c r="R529" s="14" t="n">
        <v>727.73</v>
      </c>
      <c r="S529" s="14" t="n">
        <v>727.73</v>
      </c>
      <c r="T529" s="14" t="n">
        <v>727.73</v>
      </c>
      <c r="U529" s="14" t="n">
        <v>350</v>
      </c>
      <c r="V529" s="14" t="n">
        <v>0</v>
      </c>
      <c r="W529" s="14">
        <f>U529+V529</f>
        <v/>
      </c>
    </row>
    <row r="530">
      <c r="A530" s="15" t="inlineStr">
        <is>
          <t>CANON-202604-005951</t>
        </is>
      </c>
      <c r="B530" s="15" t="inlineStr">
        <is>
          <t>2026-04-07</t>
        </is>
      </c>
      <c r="C530" s="15" t="inlineStr">
        <is>
          <t>Ingrid Bellandi</t>
        </is>
      </c>
      <c r="D530" s="15" t="inlineStr">
        <is>
          <t>OK</t>
        </is>
      </c>
      <c r="E530" s="16" t="n">
        <v>505000</v>
      </c>
      <c r="F530" s="16" t="n">
        <v>6480.96</v>
      </c>
      <c r="G530" s="16" t="n">
        <v>810.12</v>
      </c>
      <c r="H530" s="16" t="n">
        <v>810.12</v>
      </c>
      <c r="I530" s="16">
        <f>SUM(K530:T530)</f>
        <v/>
      </c>
      <c r="J530" s="16">
        <f>F530-(G530+H530+I530)</f>
        <v/>
      </c>
      <c r="K530" s="16" t="n">
        <v>486.07</v>
      </c>
      <c r="L530" s="16" t="n">
        <v>486.07</v>
      </c>
      <c r="M530" s="16" t="n">
        <v>486.07</v>
      </c>
      <c r="N530" s="16" t="n">
        <v>486.07</v>
      </c>
      <c r="O530" s="16" t="n">
        <v>486.07</v>
      </c>
      <c r="P530" s="16" t="n">
        <v>486.07</v>
      </c>
      <c r="Q530" s="16" t="n">
        <v>486.07</v>
      </c>
      <c r="R530" s="16" t="n">
        <v>486.07</v>
      </c>
      <c r="S530" s="16" t="n">
        <v>486.07</v>
      </c>
      <c r="T530" s="16" t="n">
        <v>486.07</v>
      </c>
      <c r="U530" s="16" t="n">
        <v>350</v>
      </c>
      <c r="V530" s="16" t="n">
        <v>0</v>
      </c>
      <c r="W530" s="16">
        <f>U530+V530</f>
        <v/>
      </c>
    </row>
    <row r="531">
      <c r="A531" s="3" t="inlineStr">
        <is>
          <t>CANON-202604-005953</t>
        </is>
      </c>
      <c r="B531" s="3" t="inlineStr">
        <is>
          <t>2026-04-05</t>
        </is>
      </c>
      <c r="C531" s="3" t="inlineStr">
        <is>
          <t>Fitzgerald Montoya</t>
        </is>
      </c>
      <c r="D531" s="3" t="inlineStr">
        <is>
          <t>TX</t>
        </is>
      </c>
      <c r="E531" s="14" t="n">
        <v>245000</v>
      </c>
      <c r="F531" s="14" t="n">
        <v>6269.25</v>
      </c>
      <c r="G531" s="14" t="n">
        <v>783.66</v>
      </c>
      <c r="H531" s="14" t="n">
        <v>783.66</v>
      </c>
      <c r="I531" s="14">
        <f>SUM(K531:T531)</f>
        <v/>
      </c>
      <c r="J531" s="14">
        <f>F531-(G531+H531+I531)</f>
        <v/>
      </c>
      <c r="K531" s="14" t="n">
        <v>470.19</v>
      </c>
      <c r="L531" s="14" t="n">
        <v>470.19</v>
      </c>
      <c r="M531" s="14" t="n">
        <v>470.19</v>
      </c>
      <c r="N531" s="14" t="n">
        <v>470.19</v>
      </c>
      <c r="O531" s="14" t="n">
        <v>470.19</v>
      </c>
      <c r="P531" s="14" t="n">
        <v>470.19</v>
      </c>
      <c r="Q531" s="14" t="n">
        <v>470.19</v>
      </c>
      <c r="R531" s="14" t="n">
        <v>470.19</v>
      </c>
      <c r="S531" s="14" t="n">
        <v>470.19</v>
      </c>
      <c r="T531" s="14" t="n">
        <v>470.19</v>
      </c>
      <c r="U531" s="14" t="n">
        <v>350</v>
      </c>
      <c r="V531" s="14" t="n">
        <v>0</v>
      </c>
      <c r="W531" s="14">
        <f>U531+V531</f>
        <v/>
      </c>
    </row>
    <row r="532">
      <c r="A532" s="15" t="inlineStr">
        <is>
          <t>CANON-202604-005954</t>
        </is>
      </c>
      <c r="B532" s="15" t="inlineStr">
        <is>
          <t>2026-04-17</t>
        </is>
      </c>
      <c r="C532" s="15" t="inlineStr">
        <is>
          <t>Beatrix Rourke</t>
        </is>
      </c>
      <c r="D532" s="15" t="inlineStr">
        <is>
          <t>NE</t>
        </is>
      </c>
      <c r="E532" s="16" t="n">
        <v>785000</v>
      </c>
      <c r="F532" s="16" t="n">
        <v>6876.15</v>
      </c>
      <c r="G532" s="16" t="n">
        <v>859.52</v>
      </c>
      <c r="H532" s="16" t="n">
        <v>859.52</v>
      </c>
      <c r="I532" s="16">
        <f>SUM(K532:T532)</f>
        <v/>
      </c>
      <c r="J532" s="16">
        <f>F532-(G532+H532+I532)</f>
        <v/>
      </c>
      <c r="K532" s="16" t="n">
        <v>515.71</v>
      </c>
      <c r="L532" s="16" t="n">
        <v>515.71</v>
      </c>
      <c r="M532" s="16" t="n">
        <v>515.71</v>
      </c>
      <c r="N532" s="16" t="n">
        <v>515.71</v>
      </c>
      <c r="O532" s="16" t="n">
        <v>515.71</v>
      </c>
      <c r="P532" s="16" t="n">
        <v>515.71</v>
      </c>
      <c r="Q532" s="16" t="n">
        <v>515.71</v>
      </c>
      <c r="R532" s="16" t="n">
        <v>515.71</v>
      </c>
      <c r="S532" s="16" t="n">
        <v>515.71</v>
      </c>
      <c r="T532" s="16" t="n">
        <v>515.71</v>
      </c>
      <c r="U532" s="16" t="n">
        <v>350</v>
      </c>
      <c r="V532" s="16" t="n">
        <v>0</v>
      </c>
      <c r="W532" s="16">
        <f>U532+V532</f>
        <v/>
      </c>
    </row>
    <row r="533">
      <c r="A533" s="3" t="inlineStr">
        <is>
          <t>CANON-202604-005956</t>
        </is>
      </c>
      <c r="B533" s="3" t="inlineStr">
        <is>
          <t>2026-04-17</t>
        </is>
      </c>
      <c r="C533" s="3" t="inlineStr">
        <is>
          <t>Callum Rourke</t>
        </is>
      </c>
      <c r="D533" s="3" t="inlineStr">
        <is>
          <t>ND</t>
        </is>
      </c>
      <c r="E533" s="14" t="n">
        <v>530000</v>
      </c>
      <c r="F533" s="14" t="n">
        <v>5506.22</v>
      </c>
      <c r="G533" s="14" t="n">
        <v>688.28</v>
      </c>
      <c r="H533" s="14" t="n">
        <v>688.28</v>
      </c>
      <c r="I533" s="14">
        <f>SUM(K533:T533)</f>
        <v/>
      </c>
      <c r="J533" s="14">
        <f>F533-(G533+H533+I533)</f>
        <v/>
      </c>
      <c r="K533" s="14" t="n">
        <v>412.97</v>
      </c>
      <c r="L533" s="14" t="n">
        <v>412.97</v>
      </c>
      <c r="M533" s="14" t="n">
        <v>412.97</v>
      </c>
      <c r="N533" s="14" t="n">
        <v>412.97</v>
      </c>
      <c r="O533" s="14" t="n">
        <v>412.97</v>
      </c>
      <c r="P533" s="14" t="n">
        <v>412.97</v>
      </c>
      <c r="Q533" s="14" t="n">
        <v>412.97</v>
      </c>
      <c r="R533" s="14" t="n">
        <v>412.97</v>
      </c>
      <c r="S533" s="14" t="n">
        <v>412.97</v>
      </c>
      <c r="T533" s="14" t="n">
        <v>412.97</v>
      </c>
      <c r="U533" s="14" t="n">
        <v>350</v>
      </c>
      <c r="V533" s="14" t="n">
        <v>0</v>
      </c>
      <c r="W533" s="14">
        <f>U533+V533</f>
        <v/>
      </c>
    </row>
    <row r="534">
      <c r="A534" s="15" t="inlineStr">
        <is>
          <t>CANON-202604-005957</t>
        </is>
      </c>
      <c r="B534" s="15" t="inlineStr">
        <is>
          <t>2026-04-10</t>
        </is>
      </c>
      <c r="C534" s="15" t="inlineStr">
        <is>
          <t>Fenwick Farkas</t>
        </is>
      </c>
      <c r="D534" s="15" t="inlineStr">
        <is>
          <t>NY</t>
        </is>
      </c>
      <c r="E534" s="16" t="n">
        <v>360000</v>
      </c>
      <c r="F534" s="16" t="n">
        <v>3465.91</v>
      </c>
      <c r="G534" s="16" t="n">
        <v>433.24</v>
      </c>
      <c r="H534" s="16" t="n">
        <v>433.24</v>
      </c>
      <c r="I534" s="16">
        <f>SUM(K534:T534)</f>
        <v/>
      </c>
      <c r="J534" s="16">
        <f>F534-(G534+H534+I534)</f>
        <v/>
      </c>
      <c r="K534" s="16" t="n">
        <v>259.94</v>
      </c>
      <c r="L534" s="16" t="n">
        <v>259.94</v>
      </c>
      <c r="M534" s="16" t="n">
        <v>259.94</v>
      </c>
      <c r="N534" s="16" t="n">
        <v>259.94</v>
      </c>
      <c r="O534" s="16" t="n">
        <v>259.94</v>
      </c>
      <c r="P534" s="16" t="n">
        <v>259.94</v>
      </c>
      <c r="Q534" s="16" t="n">
        <v>259.94</v>
      </c>
      <c r="R534" s="16" t="n">
        <v>259.94</v>
      </c>
      <c r="S534" s="16" t="n">
        <v>259.94</v>
      </c>
      <c r="T534" s="16" t="n">
        <v>259.94</v>
      </c>
      <c r="U534" s="16" t="n">
        <v>350</v>
      </c>
      <c r="V534" s="16" t="n">
        <v>0</v>
      </c>
      <c r="W534" s="16">
        <f>U534+V534</f>
        <v/>
      </c>
    </row>
    <row r="535">
      <c r="A535" s="3" t="inlineStr">
        <is>
          <t>CANON-202604-005958</t>
        </is>
      </c>
      <c r="B535" s="3" t="inlineStr">
        <is>
          <t>2026-04-24</t>
        </is>
      </c>
      <c r="C535" s="3" t="inlineStr">
        <is>
          <t>Everett Blackwood</t>
        </is>
      </c>
      <c r="D535" s="3" t="inlineStr">
        <is>
          <t>ND</t>
        </is>
      </c>
      <c r="E535" s="14" t="n">
        <v>160000</v>
      </c>
      <c r="F535" s="14" t="n">
        <v>1457.67</v>
      </c>
      <c r="G535" s="14" t="n">
        <v>182.21</v>
      </c>
      <c r="H535" s="14" t="n">
        <v>182.21</v>
      </c>
      <c r="I535" s="14">
        <f>SUM(K535:T535)</f>
        <v/>
      </c>
      <c r="J535" s="14">
        <f>F535-(G535+H535+I535)</f>
        <v/>
      </c>
      <c r="K535" s="14" t="n">
        <v>109.33</v>
      </c>
      <c r="L535" s="14" t="n">
        <v>109.33</v>
      </c>
      <c r="M535" s="14" t="n">
        <v>109.33</v>
      </c>
      <c r="N535" s="14" t="n">
        <v>109.33</v>
      </c>
      <c r="O535" s="14" t="n">
        <v>109.33</v>
      </c>
      <c r="P535" s="14" t="n">
        <v>109.33</v>
      </c>
      <c r="Q535" s="14" t="n">
        <v>109.33</v>
      </c>
      <c r="R535" s="14" t="n">
        <v>109.33</v>
      </c>
      <c r="S535" s="14" t="n">
        <v>109.33</v>
      </c>
      <c r="T535" s="14" t="n">
        <v>109.33</v>
      </c>
      <c r="U535" s="14" t="n">
        <v>350</v>
      </c>
      <c r="V535" s="14" t="n">
        <v>0</v>
      </c>
      <c r="W535" s="14">
        <f>U535+V535</f>
        <v/>
      </c>
    </row>
    <row r="536">
      <c r="A536" s="15" t="inlineStr">
        <is>
          <t>CANON-202604-005959</t>
        </is>
      </c>
      <c r="B536" s="15" t="inlineStr">
        <is>
          <t>2026-04-01</t>
        </is>
      </c>
      <c r="C536" s="15" t="inlineStr">
        <is>
          <t>Sunniva Vandermeer</t>
        </is>
      </c>
      <c r="D536" s="15" t="inlineStr">
        <is>
          <t>RI</t>
        </is>
      </c>
      <c r="E536" s="16" t="n">
        <v>1255000</v>
      </c>
      <c r="F536" s="16" t="n">
        <v>21553.51</v>
      </c>
      <c r="G536" s="16" t="n">
        <v>2694.19</v>
      </c>
      <c r="H536" s="16" t="n">
        <v>2694.19</v>
      </c>
      <c r="I536" s="16">
        <f>SUM(K536:T536)</f>
        <v/>
      </c>
      <c r="J536" s="16">
        <f>F536-(G536+H536+I536)</f>
        <v/>
      </c>
      <c r="K536" s="16" t="n">
        <v>1616.51</v>
      </c>
      <c r="L536" s="16" t="n">
        <v>1616.51</v>
      </c>
      <c r="M536" s="16" t="n">
        <v>1616.51</v>
      </c>
      <c r="N536" s="16" t="n">
        <v>1616.51</v>
      </c>
      <c r="O536" s="16" t="n">
        <v>1616.51</v>
      </c>
      <c r="P536" s="16" t="n">
        <v>1616.51</v>
      </c>
      <c r="Q536" s="16" t="n">
        <v>1616.51</v>
      </c>
      <c r="R536" s="16" t="n">
        <v>1616.51</v>
      </c>
      <c r="S536" s="16" t="n">
        <v>1616.51</v>
      </c>
      <c r="T536" s="16" t="n">
        <v>1616.51</v>
      </c>
      <c r="U536" s="16" t="n">
        <v>350</v>
      </c>
      <c r="V536" s="16" t="n">
        <v>250</v>
      </c>
      <c r="W536" s="16">
        <f>U536+V536</f>
        <v/>
      </c>
    </row>
    <row r="537">
      <c r="A537" s="3" t="inlineStr">
        <is>
          <t>CANON-202604-005966</t>
        </is>
      </c>
      <c r="B537" s="3" t="inlineStr">
        <is>
          <t>2026-04-08</t>
        </is>
      </c>
      <c r="C537" s="3" t="inlineStr">
        <is>
          <t>Mireille Nakashima</t>
        </is>
      </c>
      <c r="D537" s="3" t="inlineStr">
        <is>
          <t>SC</t>
        </is>
      </c>
      <c r="E537" s="14" t="n">
        <v>1800000</v>
      </c>
      <c r="F537" s="14" t="n">
        <v>13290.51</v>
      </c>
      <c r="G537" s="14" t="n">
        <v>1661.31</v>
      </c>
      <c r="H537" s="14" t="n">
        <v>1661.31</v>
      </c>
      <c r="I537" s="14">
        <f>SUM(K537:T537)</f>
        <v/>
      </c>
      <c r="J537" s="14">
        <f>F537-(G537+H537+I537)</f>
        <v/>
      </c>
      <c r="K537" s="14" t="n">
        <v>996.79</v>
      </c>
      <c r="L537" s="14" t="n">
        <v>996.79</v>
      </c>
      <c r="M537" s="14" t="n">
        <v>996.79</v>
      </c>
      <c r="N537" s="14" t="n">
        <v>996.79</v>
      </c>
      <c r="O537" s="14" t="n">
        <v>996.79</v>
      </c>
      <c r="P537" s="14" t="n">
        <v>996.79</v>
      </c>
      <c r="Q537" s="14" t="n">
        <v>996.79</v>
      </c>
      <c r="R537" s="14" t="n">
        <v>996.79</v>
      </c>
      <c r="S537" s="14" t="n">
        <v>996.79</v>
      </c>
      <c r="T537" s="14" t="n">
        <v>996.79</v>
      </c>
      <c r="U537" s="14" t="n">
        <v>350</v>
      </c>
      <c r="V537" s="14" t="n">
        <v>250</v>
      </c>
      <c r="W537" s="14">
        <f>U537+V537</f>
        <v/>
      </c>
    </row>
    <row r="538">
      <c r="A538" s="15" t="inlineStr">
        <is>
          <t>CANON-202604-005967</t>
        </is>
      </c>
      <c r="B538" s="15" t="inlineStr">
        <is>
          <t>2026-04-16</t>
        </is>
      </c>
      <c r="C538" s="15" t="inlineStr">
        <is>
          <t>Mireille Chattopadhyay</t>
        </is>
      </c>
      <c r="D538" s="15" t="inlineStr">
        <is>
          <t>OR</t>
        </is>
      </c>
      <c r="E538" s="16" t="n">
        <v>1950000</v>
      </c>
      <c r="F538" s="16" t="n">
        <v>18990.64</v>
      </c>
      <c r="G538" s="16" t="n">
        <v>2373.83</v>
      </c>
      <c r="H538" s="16" t="n">
        <v>2373.83</v>
      </c>
      <c r="I538" s="16">
        <f>SUM(K538:T538)</f>
        <v/>
      </c>
      <c r="J538" s="16">
        <f>F538-(G538+H538+I538)</f>
        <v/>
      </c>
      <c r="K538" s="16" t="n">
        <v>1424.3</v>
      </c>
      <c r="L538" s="16" t="n">
        <v>1424.3</v>
      </c>
      <c r="M538" s="16" t="n">
        <v>1424.3</v>
      </c>
      <c r="N538" s="16" t="n">
        <v>1424.3</v>
      </c>
      <c r="O538" s="16" t="n">
        <v>1424.3</v>
      </c>
      <c r="P538" s="16" t="n">
        <v>1424.3</v>
      </c>
      <c r="Q538" s="16" t="n">
        <v>1424.3</v>
      </c>
      <c r="R538" s="16" t="n">
        <v>1424.3</v>
      </c>
      <c r="S538" s="16" t="n">
        <v>1424.3</v>
      </c>
      <c r="T538" s="16" t="n">
        <v>1424.3</v>
      </c>
      <c r="U538" s="16" t="n">
        <v>350</v>
      </c>
      <c r="V538" s="16" t="n">
        <v>250</v>
      </c>
      <c r="W538" s="16">
        <f>U538+V538</f>
        <v/>
      </c>
    </row>
    <row r="539">
      <c r="A539" s="3" t="inlineStr">
        <is>
          <t>CANON-202604-005968</t>
        </is>
      </c>
      <c r="B539" s="3" t="inlineStr">
        <is>
          <t>2026-04-03</t>
        </is>
      </c>
      <c r="C539" s="3" t="inlineStr">
        <is>
          <t>Anouk Fairweather</t>
        </is>
      </c>
      <c r="D539" s="3" t="inlineStr">
        <is>
          <t>CO</t>
        </is>
      </c>
      <c r="E539" s="14" t="n">
        <v>585000</v>
      </c>
      <c r="F539" s="14" t="n">
        <v>6554.29</v>
      </c>
      <c r="G539" s="14" t="n">
        <v>819.29</v>
      </c>
      <c r="H539" s="14" t="n">
        <v>819.29</v>
      </c>
      <c r="I539" s="14">
        <f>SUM(K539:T539)</f>
        <v/>
      </c>
      <c r="J539" s="14">
        <f>F539-(G539+H539+I539)</f>
        <v/>
      </c>
      <c r="K539" s="14" t="n">
        <v>491.57</v>
      </c>
      <c r="L539" s="14" t="n">
        <v>491.57</v>
      </c>
      <c r="M539" s="14" t="n">
        <v>491.57</v>
      </c>
      <c r="N539" s="14" t="n">
        <v>491.57</v>
      </c>
      <c r="O539" s="14" t="n">
        <v>491.57</v>
      </c>
      <c r="P539" s="14" t="n">
        <v>491.57</v>
      </c>
      <c r="Q539" s="14" t="n">
        <v>491.57</v>
      </c>
      <c r="R539" s="14" t="n">
        <v>491.57</v>
      </c>
      <c r="S539" s="14" t="n">
        <v>491.57</v>
      </c>
      <c r="T539" s="14" t="n">
        <v>491.57</v>
      </c>
      <c r="U539" s="14" t="n">
        <v>350</v>
      </c>
      <c r="V539" s="14" t="n">
        <v>0</v>
      </c>
      <c r="W539" s="14">
        <f>U539+V539</f>
        <v/>
      </c>
    </row>
    <row r="540">
      <c r="A540" s="15" t="inlineStr">
        <is>
          <t>CANON-202604-005969</t>
        </is>
      </c>
      <c r="B540" s="15" t="inlineStr">
        <is>
          <t>2026-04-28</t>
        </is>
      </c>
      <c r="C540" s="15" t="inlineStr">
        <is>
          <t>Thaddeus Underwood</t>
        </is>
      </c>
      <c r="D540" s="15" t="inlineStr">
        <is>
          <t>TX</t>
        </is>
      </c>
      <c r="E540" s="16" t="n">
        <v>290000</v>
      </c>
      <c r="F540" s="16" t="n">
        <v>2508.43</v>
      </c>
      <c r="G540" s="16" t="n">
        <v>313.55</v>
      </c>
      <c r="H540" s="16" t="n">
        <v>313.55</v>
      </c>
      <c r="I540" s="16">
        <f>SUM(K540:T540)</f>
        <v/>
      </c>
      <c r="J540" s="16">
        <f>F540-(G540+H540+I540)</f>
        <v/>
      </c>
      <c r="K540" s="16" t="n">
        <v>188.13</v>
      </c>
      <c r="L540" s="16" t="n">
        <v>188.13</v>
      </c>
      <c r="M540" s="16" t="n">
        <v>188.13</v>
      </c>
      <c r="N540" s="16" t="n">
        <v>188.13</v>
      </c>
      <c r="O540" s="16" t="n">
        <v>188.13</v>
      </c>
      <c r="P540" s="16" t="n">
        <v>188.13</v>
      </c>
      <c r="Q540" s="16" t="n">
        <v>188.13</v>
      </c>
      <c r="R540" s="16" t="n">
        <v>188.13</v>
      </c>
      <c r="S540" s="16" t="n">
        <v>188.13</v>
      </c>
      <c r="T540" s="16" t="n">
        <v>188.13</v>
      </c>
      <c r="U540" s="16" t="n">
        <v>350</v>
      </c>
      <c r="V540" s="16" t="n">
        <v>0</v>
      </c>
      <c r="W540" s="16">
        <f>U540+V540</f>
        <v/>
      </c>
    </row>
    <row r="541">
      <c r="A541" s="3" t="inlineStr">
        <is>
          <t>CANON-202604-005970</t>
        </is>
      </c>
      <c r="B541" s="3" t="inlineStr">
        <is>
          <t>2026-04-25</t>
        </is>
      </c>
      <c r="C541" s="3" t="inlineStr">
        <is>
          <t>Fitzgerald Merriweather</t>
        </is>
      </c>
      <c r="D541" s="3" t="inlineStr">
        <is>
          <t>SD</t>
        </is>
      </c>
      <c r="E541" s="14" t="n">
        <v>515000</v>
      </c>
      <c r="F541" s="14" t="n">
        <v>5822.47</v>
      </c>
      <c r="G541" s="14" t="n">
        <v>727.8099999999999</v>
      </c>
      <c r="H541" s="14" t="n">
        <v>727.8099999999999</v>
      </c>
      <c r="I541" s="14">
        <f>SUM(K541:T541)</f>
        <v/>
      </c>
      <c r="J541" s="14">
        <f>F541-(G541+H541+I541)</f>
        <v/>
      </c>
      <c r="K541" s="14" t="n">
        <v>436.69</v>
      </c>
      <c r="L541" s="14" t="n">
        <v>436.69</v>
      </c>
      <c r="M541" s="14" t="n">
        <v>436.69</v>
      </c>
      <c r="N541" s="14" t="n">
        <v>436.69</v>
      </c>
      <c r="O541" s="14" t="n">
        <v>436.69</v>
      </c>
      <c r="P541" s="14" t="n">
        <v>436.69</v>
      </c>
      <c r="Q541" s="14" t="n">
        <v>436.69</v>
      </c>
      <c r="R541" s="14" t="n">
        <v>436.69</v>
      </c>
      <c r="S541" s="14" t="n">
        <v>436.69</v>
      </c>
      <c r="T541" s="14" t="n">
        <v>436.69</v>
      </c>
      <c r="U541" s="14" t="n">
        <v>350</v>
      </c>
      <c r="V541" s="14" t="n">
        <v>0</v>
      </c>
      <c r="W541" s="14">
        <f>U541+V541</f>
        <v/>
      </c>
    </row>
    <row r="542">
      <c r="A542" s="15" t="inlineStr">
        <is>
          <t>CANON-202604-005971</t>
        </is>
      </c>
      <c r="B542" s="15" t="inlineStr">
        <is>
          <t>2026-04-17</t>
        </is>
      </c>
      <c r="C542" s="15" t="inlineStr">
        <is>
          <t>Delphine Pennington</t>
        </is>
      </c>
      <c r="D542" s="15" t="inlineStr">
        <is>
          <t>SC</t>
        </is>
      </c>
      <c r="E542" s="16" t="n">
        <v>515000</v>
      </c>
      <c r="F542" s="16" t="n">
        <v>6504.38</v>
      </c>
      <c r="G542" s="16" t="n">
        <v>813.05</v>
      </c>
      <c r="H542" s="16" t="n">
        <v>813.05</v>
      </c>
      <c r="I542" s="16">
        <f>SUM(K542:T542)</f>
        <v/>
      </c>
      <c r="J542" s="16">
        <f>F542-(G542+H542+I542)</f>
        <v/>
      </c>
      <c r="K542" s="16" t="n">
        <v>487.83</v>
      </c>
      <c r="L542" s="16" t="n">
        <v>487.83</v>
      </c>
      <c r="M542" s="16" t="n">
        <v>487.83</v>
      </c>
      <c r="N542" s="16" t="n">
        <v>487.83</v>
      </c>
      <c r="O542" s="16" t="n">
        <v>487.83</v>
      </c>
      <c r="P542" s="16" t="n">
        <v>487.83</v>
      </c>
      <c r="Q542" s="16" t="n">
        <v>487.83</v>
      </c>
      <c r="R542" s="16" t="n">
        <v>487.83</v>
      </c>
      <c r="S542" s="16" t="n">
        <v>487.83</v>
      </c>
      <c r="T542" s="16" t="n">
        <v>487.83</v>
      </c>
      <c r="U542" s="16" t="n">
        <v>350</v>
      </c>
      <c r="V542" s="16" t="n">
        <v>0</v>
      </c>
      <c r="W542" s="16">
        <f>U542+V542</f>
        <v/>
      </c>
    </row>
    <row r="543">
      <c r="A543" s="3" t="inlineStr">
        <is>
          <t>CANON-202604-005972</t>
        </is>
      </c>
      <c r="B543" s="3" t="inlineStr">
        <is>
          <t>2026-04-21</t>
        </is>
      </c>
      <c r="C543" s="3" t="inlineStr">
        <is>
          <t>Fenwick Vasquez</t>
        </is>
      </c>
      <c r="D543" s="3" t="inlineStr">
        <is>
          <t>NV</t>
        </is>
      </c>
      <c r="E543" s="14" t="n">
        <v>585000</v>
      </c>
      <c r="F543" s="14" t="n">
        <v>6971.38</v>
      </c>
      <c r="G543" s="14" t="n">
        <v>871.42</v>
      </c>
      <c r="H543" s="14" t="n">
        <v>871.42</v>
      </c>
      <c r="I543" s="14">
        <f>SUM(K543:T543)</f>
        <v/>
      </c>
      <c r="J543" s="14">
        <f>F543-(G543+H543+I543)</f>
        <v/>
      </c>
      <c r="K543" s="14" t="n">
        <v>522.85</v>
      </c>
      <c r="L543" s="14" t="n">
        <v>522.85</v>
      </c>
      <c r="M543" s="14" t="n">
        <v>522.85</v>
      </c>
      <c r="N543" s="14" t="n">
        <v>522.85</v>
      </c>
      <c r="O543" s="14" t="n">
        <v>522.85</v>
      </c>
      <c r="P543" s="14" t="n">
        <v>522.85</v>
      </c>
      <c r="Q543" s="14" t="n">
        <v>522.85</v>
      </c>
      <c r="R543" s="14" t="n">
        <v>522.85</v>
      </c>
      <c r="S543" s="14" t="n">
        <v>522.85</v>
      </c>
      <c r="T543" s="14" t="n">
        <v>522.85</v>
      </c>
      <c r="U543" s="14" t="n">
        <v>350</v>
      </c>
      <c r="V543" s="14" t="n">
        <v>0</v>
      </c>
      <c r="W543" s="14">
        <f>U543+V543</f>
        <v/>
      </c>
    </row>
    <row r="544">
      <c r="A544" s="15" t="inlineStr">
        <is>
          <t>CANON-202604-005973</t>
        </is>
      </c>
      <c r="B544" s="15" t="inlineStr">
        <is>
          <t>2026-04-18</t>
        </is>
      </c>
      <c r="C544" s="15" t="inlineStr">
        <is>
          <t>Ramona Vasquez</t>
        </is>
      </c>
      <c r="D544" s="15" t="inlineStr">
        <is>
          <t>VT</t>
        </is>
      </c>
      <c r="E544" s="16" t="n">
        <v>340000</v>
      </c>
      <c r="F544" s="16" t="n">
        <v>4874.88</v>
      </c>
      <c r="G544" s="16" t="n">
        <v>609.36</v>
      </c>
      <c r="H544" s="16" t="n">
        <v>609.36</v>
      </c>
      <c r="I544" s="16">
        <f>SUM(K544:T544)</f>
        <v/>
      </c>
      <c r="J544" s="16">
        <f>F544-(G544+H544+I544)</f>
        <v/>
      </c>
      <c r="K544" s="16" t="n">
        <v>365.62</v>
      </c>
      <c r="L544" s="16" t="n">
        <v>365.62</v>
      </c>
      <c r="M544" s="16" t="n">
        <v>365.62</v>
      </c>
      <c r="N544" s="16" t="n">
        <v>365.62</v>
      </c>
      <c r="O544" s="16" t="n">
        <v>365.62</v>
      </c>
      <c r="P544" s="16" t="n">
        <v>365.62</v>
      </c>
      <c r="Q544" s="16" t="n">
        <v>365.62</v>
      </c>
      <c r="R544" s="16" t="n">
        <v>365.62</v>
      </c>
      <c r="S544" s="16" t="n">
        <v>365.62</v>
      </c>
      <c r="T544" s="16" t="n">
        <v>365.62</v>
      </c>
      <c r="U544" s="16" t="n">
        <v>350</v>
      </c>
      <c r="V544" s="16" t="n">
        <v>0</v>
      </c>
      <c r="W544" s="16">
        <f>U544+V544</f>
        <v/>
      </c>
    </row>
    <row r="545">
      <c r="A545" s="3" t="inlineStr">
        <is>
          <t>CANON-202604-005974</t>
        </is>
      </c>
      <c r="B545" s="3" t="inlineStr">
        <is>
          <t>2026-04-29</t>
        </is>
      </c>
      <c r="C545" s="3" t="inlineStr">
        <is>
          <t>Mireille Thistlewood</t>
        </is>
      </c>
      <c r="D545" s="3" t="inlineStr">
        <is>
          <t>WA</t>
        </is>
      </c>
      <c r="E545" s="14" t="n">
        <v>375000</v>
      </c>
      <c r="F545" s="14" t="n">
        <v>4230.85</v>
      </c>
      <c r="G545" s="14" t="n">
        <v>528.86</v>
      </c>
      <c r="H545" s="14" t="n">
        <v>528.86</v>
      </c>
      <c r="I545" s="14">
        <f>SUM(K545:T545)</f>
        <v/>
      </c>
      <c r="J545" s="14">
        <f>F545-(G545+H545+I545)</f>
        <v/>
      </c>
      <c r="K545" s="14" t="n">
        <v>317.31</v>
      </c>
      <c r="L545" s="14" t="n">
        <v>317.31</v>
      </c>
      <c r="M545" s="14" t="n">
        <v>317.31</v>
      </c>
      <c r="N545" s="14" t="n">
        <v>317.31</v>
      </c>
      <c r="O545" s="14" t="n">
        <v>317.31</v>
      </c>
      <c r="P545" s="14" t="n">
        <v>317.31</v>
      </c>
      <c r="Q545" s="14" t="n">
        <v>317.31</v>
      </c>
      <c r="R545" s="14" t="n">
        <v>317.31</v>
      </c>
      <c r="S545" s="14" t="n">
        <v>317.31</v>
      </c>
      <c r="T545" s="14" t="n">
        <v>317.31</v>
      </c>
      <c r="U545" s="14" t="n">
        <v>350</v>
      </c>
      <c r="V545" s="14" t="n">
        <v>0</v>
      </c>
      <c r="W545" s="14">
        <f>U545+V545</f>
        <v/>
      </c>
    </row>
    <row r="546">
      <c r="A546" s="15" t="inlineStr">
        <is>
          <t>CANON-202604-005975</t>
        </is>
      </c>
      <c r="B546" s="15" t="inlineStr">
        <is>
          <t>2026-04-07</t>
        </is>
      </c>
      <c r="C546" s="15" t="inlineStr">
        <is>
          <t>Sunniva Harrington</t>
        </is>
      </c>
      <c r="D546" s="15" t="inlineStr">
        <is>
          <t>WA</t>
        </is>
      </c>
      <c r="E546" s="16" t="n">
        <v>890000</v>
      </c>
      <c r="F546" s="16" t="n">
        <v>5756.96</v>
      </c>
      <c r="G546" s="16" t="n">
        <v>719.62</v>
      </c>
      <c r="H546" s="16" t="n">
        <v>719.62</v>
      </c>
      <c r="I546" s="16">
        <f>SUM(K546:T546)</f>
        <v/>
      </c>
      <c r="J546" s="16">
        <f>F546-(G546+H546+I546)</f>
        <v/>
      </c>
      <c r="K546" s="16" t="n">
        <v>431.77</v>
      </c>
      <c r="L546" s="16" t="n">
        <v>431.77</v>
      </c>
      <c r="M546" s="16" t="n">
        <v>431.77</v>
      </c>
      <c r="N546" s="16" t="n">
        <v>431.77</v>
      </c>
      <c r="O546" s="16" t="n">
        <v>431.77</v>
      </c>
      <c r="P546" s="16" t="n">
        <v>431.77</v>
      </c>
      <c r="Q546" s="16" t="n">
        <v>431.77</v>
      </c>
      <c r="R546" s="16" t="n">
        <v>431.77</v>
      </c>
      <c r="S546" s="16" t="n">
        <v>431.77</v>
      </c>
      <c r="T546" s="16" t="n">
        <v>431.77</v>
      </c>
      <c r="U546" s="16" t="n">
        <v>350</v>
      </c>
      <c r="V546" s="16" t="n">
        <v>0</v>
      </c>
      <c r="W546" s="16">
        <f>U546+V546</f>
        <v/>
      </c>
    </row>
    <row r="547">
      <c r="A547" s="3" t="inlineStr">
        <is>
          <t>CANON-202604-005976</t>
        </is>
      </c>
      <c r="B547" s="3" t="inlineStr">
        <is>
          <t>2026-04-15</t>
        </is>
      </c>
      <c r="C547" s="3" t="inlineStr">
        <is>
          <t>Beatrix Okonkwo</t>
        </is>
      </c>
      <c r="D547" s="3" t="inlineStr">
        <is>
          <t>MI</t>
        </is>
      </c>
      <c r="E547" s="14" t="n">
        <v>960000</v>
      </c>
      <c r="F547" s="14" t="n">
        <v>15155.84</v>
      </c>
      <c r="G547" s="14" t="n">
        <v>1894.48</v>
      </c>
      <c r="H547" s="14" t="n">
        <v>1894.48</v>
      </c>
      <c r="I547" s="14">
        <f>SUM(K547:T547)</f>
        <v/>
      </c>
      <c r="J547" s="14">
        <f>F547-(G547+H547+I547)</f>
        <v/>
      </c>
      <c r="K547" s="14" t="n">
        <v>1136.69</v>
      </c>
      <c r="L547" s="14" t="n">
        <v>1136.69</v>
      </c>
      <c r="M547" s="14" t="n">
        <v>1136.69</v>
      </c>
      <c r="N547" s="14" t="n">
        <v>1136.69</v>
      </c>
      <c r="O547" s="14" t="n">
        <v>1136.69</v>
      </c>
      <c r="P547" s="14" t="n">
        <v>1136.69</v>
      </c>
      <c r="Q547" s="14" t="n">
        <v>1136.69</v>
      </c>
      <c r="R547" s="14" t="n">
        <v>1136.69</v>
      </c>
      <c r="S547" s="14" t="n">
        <v>1136.69</v>
      </c>
      <c r="T547" s="14" t="n">
        <v>1136.69</v>
      </c>
      <c r="U547" s="14" t="n">
        <v>350</v>
      </c>
      <c r="V547" s="14" t="n">
        <v>0</v>
      </c>
      <c r="W547" s="14">
        <f>U547+V547</f>
        <v/>
      </c>
    </row>
    <row r="548">
      <c r="A548" s="15" t="inlineStr">
        <is>
          <t>CANON-202604-005979</t>
        </is>
      </c>
      <c r="B548" s="15" t="inlineStr">
        <is>
          <t>2026-04-28</t>
        </is>
      </c>
      <c r="C548" s="15" t="inlineStr">
        <is>
          <t>Horace Merriweather</t>
        </is>
      </c>
      <c r="D548" s="15" t="inlineStr">
        <is>
          <t>IL</t>
        </is>
      </c>
      <c r="E548" s="16" t="n">
        <v>950000</v>
      </c>
      <c r="F548" s="16" t="n">
        <v>19233.13</v>
      </c>
      <c r="G548" s="16" t="n">
        <v>2404.14</v>
      </c>
      <c r="H548" s="16" t="n">
        <v>2404.14</v>
      </c>
      <c r="I548" s="16">
        <f>SUM(K548:T548)</f>
        <v/>
      </c>
      <c r="J548" s="16">
        <f>F548-(G548+H548+I548)</f>
        <v/>
      </c>
      <c r="K548" s="16" t="n">
        <v>1442.48</v>
      </c>
      <c r="L548" s="16" t="n">
        <v>1442.48</v>
      </c>
      <c r="M548" s="16" t="n">
        <v>1442.48</v>
      </c>
      <c r="N548" s="16" t="n">
        <v>1442.48</v>
      </c>
      <c r="O548" s="16" t="n">
        <v>1442.48</v>
      </c>
      <c r="P548" s="16" t="n">
        <v>1442.48</v>
      </c>
      <c r="Q548" s="16" t="n">
        <v>1442.48</v>
      </c>
      <c r="R548" s="16" t="n">
        <v>1442.48</v>
      </c>
      <c r="S548" s="16" t="n">
        <v>1442.48</v>
      </c>
      <c r="T548" s="16" t="n">
        <v>1442.48</v>
      </c>
      <c r="U548" s="16" t="n">
        <v>350</v>
      </c>
      <c r="V548" s="16" t="n">
        <v>0</v>
      </c>
      <c r="W548" s="16">
        <f>U548+V548</f>
        <v/>
      </c>
    </row>
    <row r="549">
      <c r="A549" s="3" t="inlineStr">
        <is>
          <t>CANON-202604-005980</t>
        </is>
      </c>
      <c r="B549" s="3" t="inlineStr">
        <is>
          <t>2026-04-20</t>
        </is>
      </c>
      <c r="C549" s="3" t="inlineStr">
        <is>
          <t>Noor Fairweather</t>
        </is>
      </c>
      <c r="D549" s="3" t="inlineStr">
        <is>
          <t>PA</t>
        </is>
      </c>
      <c r="E549" s="14" t="n">
        <v>365000</v>
      </c>
      <c r="F549" s="14" t="n">
        <v>6577.4</v>
      </c>
      <c r="G549" s="14" t="n">
        <v>822.17</v>
      </c>
      <c r="H549" s="14" t="n">
        <v>822.17</v>
      </c>
      <c r="I549" s="14">
        <f>SUM(K549:T549)</f>
        <v/>
      </c>
      <c r="J549" s="14">
        <f>F549-(G549+H549+I549)</f>
        <v/>
      </c>
      <c r="K549" s="14" t="n">
        <v>493.3</v>
      </c>
      <c r="L549" s="14" t="n">
        <v>493.3</v>
      </c>
      <c r="M549" s="14" t="n">
        <v>493.3</v>
      </c>
      <c r="N549" s="14" t="n">
        <v>493.3</v>
      </c>
      <c r="O549" s="14" t="n">
        <v>493.3</v>
      </c>
      <c r="P549" s="14" t="n">
        <v>493.3</v>
      </c>
      <c r="Q549" s="14" t="n">
        <v>493.3</v>
      </c>
      <c r="R549" s="14" t="n">
        <v>493.3</v>
      </c>
      <c r="S549" s="14" t="n">
        <v>493.3</v>
      </c>
      <c r="T549" s="14" t="n">
        <v>493.3</v>
      </c>
      <c r="U549" s="14" t="n">
        <v>350</v>
      </c>
      <c r="V549" s="14" t="n">
        <v>0</v>
      </c>
      <c r="W549" s="14">
        <f>U549+V549</f>
        <v/>
      </c>
    </row>
    <row r="550">
      <c r="A550" s="15" t="inlineStr">
        <is>
          <t>CANON-202604-005981</t>
        </is>
      </c>
      <c r="B550" s="15" t="inlineStr">
        <is>
          <t>2026-04-05</t>
        </is>
      </c>
      <c r="C550" s="15" t="inlineStr">
        <is>
          <t>Lorenzo Kingsford</t>
        </is>
      </c>
      <c r="D550" s="15" t="inlineStr">
        <is>
          <t>MO</t>
        </is>
      </c>
      <c r="E550" s="16" t="n">
        <v>1190000</v>
      </c>
      <c r="F550" s="16" t="n">
        <v>10871.25</v>
      </c>
      <c r="G550" s="16" t="n">
        <v>1358.91</v>
      </c>
      <c r="H550" s="16" t="n">
        <v>1358.91</v>
      </c>
      <c r="I550" s="16">
        <f>SUM(K550:T550)</f>
        <v/>
      </c>
      <c r="J550" s="16">
        <f>F550-(G550+H550+I550)</f>
        <v/>
      </c>
      <c r="K550" s="16" t="n">
        <v>815.34</v>
      </c>
      <c r="L550" s="16" t="n">
        <v>815.34</v>
      </c>
      <c r="M550" s="16" t="n">
        <v>815.34</v>
      </c>
      <c r="N550" s="16" t="n">
        <v>815.34</v>
      </c>
      <c r="O550" s="16" t="n">
        <v>815.34</v>
      </c>
      <c r="P550" s="16" t="n">
        <v>815.34</v>
      </c>
      <c r="Q550" s="16" t="n">
        <v>815.34</v>
      </c>
      <c r="R550" s="16" t="n">
        <v>815.34</v>
      </c>
      <c r="S550" s="16" t="n">
        <v>815.34</v>
      </c>
      <c r="T550" s="16" t="n">
        <v>815.34</v>
      </c>
      <c r="U550" s="16" t="n">
        <v>350</v>
      </c>
      <c r="V550" s="16" t="n">
        <v>250</v>
      </c>
      <c r="W550" s="16">
        <f>U550+V550</f>
        <v/>
      </c>
    </row>
    <row r="551">
      <c r="A551" s="9" t="inlineStr">
        <is>
          <t>TOTAL</t>
        </is>
      </c>
      <c r="E551" s="10">
        <f>SUM(E5:E550)</f>
        <v/>
      </c>
      <c r="F551" s="10">
        <f>SUM(F5:F550)</f>
        <v/>
      </c>
      <c r="G551" s="10">
        <f>SUM(G5:G550)</f>
        <v/>
      </c>
      <c r="H551" s="10">
        <f>SUM(H5:H550)</f>
        <v/>
      </c>
      <c r="I551" s="10">
        <f>SUM(I5:I550)</f>
        <v/>
      </c>
      <c r="J551" s="10">
        <f>SUM(J5:J550)</f>
        <v/>
      </c>
      <c r="K551" s="10">
        <f>SUM(K5:K550)</f>
        <v/>
      </c>
      <c r="L551" s="10">
        <f>SUM(L5:L550)</f>
        <v/>
      </c>
      <c r="M551" s="10">
        <f>SUM(M5:M550)</f>
        <v/>
      </c>
      <c r="N551" s="10">
        <f>SUM(N5:N550)</f>
        <v/>
      </c>
      <c r="O551" s="10">
        <f>SUM(O5:O550)</f>
        <v/>
      </c>
      <c r="P551" s="10">
        <f>SUM(P5:P550)</f>
        <v/>
      </c>
      <c r="Q551" s="10">
        <f>SUM(Q5:Q550)</f>
        <v/>
      </c>
      <c r="R551" s="10">
        <f>SUM(R5:R550)</f>
        <v/>
      </c>
      <c r="S551" s="10">
        <f>SUM(S5:S550)</f>
        <v/>
      </c>
      <c r="T551" s="10">
        <f>SUM(T5:T550)</f>
        <v/>
      </c>
      <c r="U551" s="10">
        <f>SUM(U5:U550)</f>
        <v/>
      </c>
      <c r="V551" s="10">
        <f>SUM(V5:V550)</f>
        <v/>
      </c>
      <c r="W551" s="10">
        <f>SUM(W5:W550)</f>
        <v/>
      </c>
    </row>
    <row r="552">
      <c r="A552" s="5" t="inlineStr">
        <is>
          <t>Foot check: Premium − (B+T+M+Resid)</t>
        </is>
      </c>
      <c r="F552" s="17">
        <f>F551-(G551+H551+I551+J551)</f>
        <v/>
      </c>
    </row>
    <row r="553">
      <c r="A553" s="5" t="inlineStr">
        <is>
          <t>Foot check: Markets − Σ(10 syndicates)</t>
        </is>
      </c>
      <c r="I553" s="17">
        <f>I551-SUM(K551:T551)</f>
        <v/>
      </c>
    </row>
  </sheetData>
  <autoFilter ref="A4:W550"/>
  <mergeCells count="2">
    <mergeCell ref="A2:W2"/>
    <mergeCell ref="A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W5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2026-05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CANON-202605-005982</t>
        </is>
      </c>
      <c r="B5" s="3" t="inlineStr">
        <is>
          <t>2026-05-18</t>
        </is>
      </c>
      <c r="C5" s="3" t="inlineStr">
        <is>
          <t>Delphine Merriweather</t>
        </is>
      </c>
      <c r="D5" s="3" t="inlineStr">
        <is>
          <t>MI</t>
        </is>
      </c>
      <c r="E5" s="14" t="n">
        <v>705000</v>
      </c>
      <c r="F5" s="14" t="n">
        <v>10415.76</v>
      </c>
      <c r="G5" s="14" t="n">
        <v>1301.97</v>
      </c>
      <c r="H5" s="14" t="n">
        <v>1301.97</v>
      </c>
      <c r="I5" s="14">
        <f>SUM(K5:T5)</f>
        <v/>
      </c>
      <c r="J5" s="14">
        <f>F5-(G5+H5+I5)</f>
        <v/>
      </c>
      <c r="K5" s="14" t="n">
        <v>781.1799999999999</v>
      </c>
      <c r="L5" s="14" t="n">
        <v>781.1799999999999</v>
      </c>
      <c r="M5" s="14" t="n">
        <v>781.1799999999999</v>
      </c>
      <c r="N5" s="14" t="n">
        <v>781.1799999999999</v>
      </c>
      <c r="O5" s="14" t="n">
        <v>781.1799999999999</v>
      </c>
      <c r="P5" s="14" t="n">
        <v>781.1799999999999</v>
      </c>
      <c r="Q5" s="14" t="n">
        <v>781.1799999999999</v>
      </c>
      <c r="R5" s="14" t="n">
        <v>781.1799999999999</v>
      </c>
      <c r="S5" s="14" t="n">
        <v>781.1799999999999</v>
      </c>
      <c r="T5" s="14" t="n">
        <v>781.1799999999999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CANON-202605-005984</t>
        </is>
      </c>
      <c r="B6" s="15" t="inlineStr">
        <is>
          <t>2026-05-16</t>
        </is>
      </c>
      <c r="C6" s="15" t="inlineStr">
        <is>
          <t>Noor Fairweather</t>
        </is>
      </c>
      <c r="D6" s="15" t="inlineStr">
        <is>
          <t>OH</t>
        </is>
      </c>
      <c r="E6" s="16" t="n">
        <v>1800000</v>
      </c>
      <c r="F6" s="16" t="n">
        <v>12474.5</v>
      </c>
      <c r="G6" s="16" t="n">
        <v>1559.31</v>
      </c>
      <c r="H6" s="16" t="n">
        <v>1559.31</v>
      </c>
      <c r="I6" s="16">
        <f>SUM(K6:T6)</f>
        <v/>
      </c>
      <c r="J6" s="16">
        <f>F6-(G6+H6+I6)</f>
        <v/>
      </c>
      <c r="K6" s="16" t="n">
        <v>935.59</v>
      </c>
      <c r="L6" s="16" t="n">
        <v>935.59</v>
      </c>
      <c r="M6" s="16" t="n">
        <v>935.59</v>
      </c>
      <c r="N6" s="16" t="n">
        <v>935.59</v>
      </c>
      <c r="O6" s="16" t="n">
        <v>935.59</v>
      </c>
      <c r="P6" s="16" t="n">
        <v>935.59</v>
      </c>
      <c r="Q6" s="16" t="n">
        <v>935.59</v>
      </c>
      <c r="R6" s="16" t="n">
        <v>935.59</v>
      </c>
      <c r="S6" s="16" t="n">
        <v>935.59</v>
      </c>
      <c r="T6" s="16" t="n">
        <v>935.59</v>
      </c>
      <c r="U6" s="16" t="n">
        <v>350</v>
      </c>
      <c r="V6" s="16" t="n">
        <v>250</v>
      </c>
      <c r="W6" s="16">
        <f>U6+V6</f>
        <v/>
      </c>
    </row>
    <row r="7">
      <c r="A7" s="3" t="inlineStr">
        <is>
          <t>CANON-202605-005985</t>
        </is>
      </c>
      <c r="B7" s="3" t="inlineStr">
        <is>
          <t>2026-05-31</t>
        </is>
      </c>
      <c r="C7" s="3" t="inlineStr">
        <is>
          <t>Wilhelmina Ashcombe</t>
        </is>
      </c>
      <c r="D7" s="3" t="inlineStr">
        <is>
          <t>WA</t>
        </is>
      </c>
      <c r="E7" s="14" t="n">
        <v>710000</v>
      </c>
      <c r="F7" s="14" t="n">
        <v>6496.81</v>
      </c>
      <c r="G7" s="14" t="n">
        <v>812.1</v>
      </c>
      <c r="H7" s="14" t="n">
        <v>812.1</v>
      </c>
      <c r="I7" s="14">
        <f>SUM(K7:T7)</f>
        <v/>
      </c>
      <c r="J7" s="14">
        <f>F7-(G7+H7+I7)</f>
        <v/>
      </c>
      <c r="K7" s="14" t="n">
        <v>487.26</v>
      </c>
      <c r="L7" s="14" t="n">
        <v>487.26</v>
      </c>
      <c r="M7" s="14" t="n">
        <v>487.26</v>
      </c>
      <c r="N7" s="14" t="n">
        <v>487.26</v>
      </c>
      <c r="O7" s="14" t="n">
        <v>487.26</v>
      </c>
      <c r="P7" s="14" t="n">
        <v>487.26</v>
      </c>
      <c r="Q7" s="14" t="n">
        <v>487.26</v>
      </c>
      <c r="R7" s="14" t="n">
        <v>487.26</v>
      </c>
      <c r="S7" s="14" t="n">
        <v>487.26</v>
      </c>
      <c r="T7" s="14" t="n">
        <v>487.26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CANON-202605-005986</t>
        </is>
      </c>
      <c r="B8" s="15" t="inlineStr">
        <is>
          <t>2026-05-14</t>
        </is>
      </c>
      <c r="C8" s="15" t="inlineStr">
        <is>
          <t>Mireille Pennington</t>
        </is>
      </c>
      <c r="D8" s="15" t="inlineStr">
        <is>
          <t>IL</t>
        </is>
      </c>
      <c r="E8" s="16" t="n">
        <v>1320000</v>
      </c>
      <c r="F8" s="16" t="n">
        <v>21060.07</v>
      </c>
      <c r="G8" s="16" t="n">
        <v>2632.51</v>
      </c>
      <c r="H8" s="16" t="n">
        <v>2632.51</v>
      </c>
      <c r="I8" s="16">
        <f>SUM(K8:T8)</f>
        <v/>
      </c>
      <c r="J8" s="16">
        <f>F8-(G8+H8+I8)</f>
        <v/>
      </c>
      <c r="K8" s="16" t="n">
        <v>1579.51</v>
      </c>
      <c r="L8" s="16" t="n">
        <v>1579.51</v>
      </c>
      <c r="M8" s="16" t="n">
        <v>1579.51</v>
      </c>
      <c r="N8" s="16" t="n">
        <v>1579.51</v>
      </c>
      <c r="O8" s="16" t="n">
        <v>1579.51</v>
      </c>
      <c r="P8" s="16" t="n">
        <v>1579.51</v>
      </c>
      <c r="Q8" s="16" t="n">
        <v>1579.51</v>
      </c>
      <c r="R8" s="16" t="n">
        <v>1579.51</v>
      </c>
      <c r="S8" s="16" t="n">
        <v>1579.51</v>
      </c>
      <c r="T8" s="16" t="n">
        <v>1579.51</v>
      </c>
      <c r="U8" s="16" t="n">
        <v>350</v>
      </c>
      <c r="V8" s="16" t="n">
        <v>250</v>
      </c>
      <c r="W8" s="16">
        <f>U8+V8</f>
        <v/>
      </c>
    </row>
    <row r="9">
      <c r="A9" s="3" t="inlineStr">
        <is>
          <t>CANON-202605-005987</t>
        </is>
      </c>
      <c r="B9" s="3" t="inlineStr">
        <is>
          <t>2026-05-08</t>
        </is>
      </c>
      <c r="C9" s="3" t="inlineStr">
        <is>
          <t>Fitzgerald Okonkwo</t>
        </is>
      </c>
      <c r="D9" s="3" t="inlineStr">
        <is>
          <t>LA</t>
        </is>
      </c>
      <c r="E9" s="14" t="n">
        <v>585000</v>
      </c>
      <c r="F9" s="14" t="n">
        <v>4463.41</v>
      </c>
      <c r="G9" s="14" t="n">
        <v>557.9299999999999</v>
      </c>
      <c r="H9" s="14" t="n">
        <v>557.9299999999999</v>
      </c>
      <c r="I9" s="14">
        <f>SUM(K9:T9)</f>
        <v/>
      </c>
      <c r="J9" s="14">
        <f>F9-(G9+H9+I9)</f>
        <v/>
      </c>
      <c r="K9" s="14" t="n">
        <v>334.76</v>
      </c>
      <c r="L9" s="14" t="n">
        <v>334.76</v>
      </c>
      <c r="M9" s="14" t="n">
        <v>334.76</v>
      </c>
      <c r="N9" s="14" t="n">
        <v>334.76</v>
      </c>
      <c r="O9" s="14" t="n">
        <v>334.76</v>
      </c>
      <c r="P9" s="14" t="n">
        <v>334.76</v>
      </c>
      <c r="Q9" s="14" t="n">
        <v>334.76</v>
      </c>
      <c r="R9" s="14" t="n">
        <v>334.76</v>
      </c>
      <c r="S9" s="14" t="n">
        <v>334.76</v>
      </c>
      <c r="T9" s="14" t="n">
        <v>334.76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CANON-202605-005988</t>
        </is>
      </c>
      <c r="B10" s="15" t="inlineStr">
        <is>
          <t>2026-05-20</t>
        </is>
      </c>
      <c r="C10" s="15" t="inlineStr">
        <is>
          <t>Wilhelmina Chattopadhyay</t>
        </is>
      </c>
      <c r="D10" s="15" t="inlineStr">
        <is>
          <t>OK</t>
        </is>
      </c>
      <c r="E10" s="16" t="n">
        <v>640000</v>
      </c>
      <c r="F10" s="16" t="n">
        <v>11233.91</v>
      </c>
      <c r="G10" s="16" t="n">
        <v>1404.24</v>
      </c>
      <c r="H10" s="16" t="n">
        <v>1404.24</v>
      </c>
      <c r="I10" s="16">
        <f>SUM(K10:T10)</f>
        <v/>
      </c>
      <c r="J10" s="16">
        <f>F10-(G10+H10+I10)</f>
        <v/>
      </c>
      <c r="K10" s="16" t="n">
        <v>842.54</v>
      </c>
      <c r="L10" s="16" t="n">
        <v>842.54</v>
      </c>
      <c r="M10" s="16" t="n">
        <v>842.54</v>
      </c>
      <c r="N10" s="16" t="n">
        <v>842.54</v>
      </c>
      <c r="O10" s="16" t="n">
        <v>842.54</v>
      </c>
      <c r="P10" s="16" t="n">
        <v>842.54</v>
      </c>
      <c r="Q10" s="16" t="n">
        <v>842.54</v>
      </c>
      <c r="R10" s="16" t="n">
        <v>842.54</v>
      </c>
      <c r="S10" s="16" t="n">
        <v>842.54</v>
      </c>
      <c r="T10" s="16" t="n">
        <v>842.54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CANON-202605-005989</t>
        </is>
      </c>
      <c r="B11" s="3" t="inlineStr">
        <is>
          <t>2026-05-10</t>
        </is>
      </c>
      <c r="C11" s="3" t="inlineStr">
        <is>
          <t>Noor Whitlock</t>
        </is>
      </c>
      <c r="D11" s="3" t="inlineStr">
        <is>
          <t>IA</t>
        </is>
      </c>
      <c r="E11" s="14" t="n">
        <v>1150000</v>
      </c>
      <c r="F11" s="14" t="n">
        <v>10202.58</v>
      </c>
      <c r="G11" s="14" t="n">
        <v>1275.32</v>
      </c>
      <c r="H11" s="14" t="n">
        <v>1275.32</v>
      </c>
      <c r="I11" s="14">
        <f>SUM(K11:T11)</f>
        <v/>
      </c>
      <c r="J11" s="14">
        <f>F11-(G11+H11+I11)</f>
        <v/>
      </c>
      <c r="K11" s="14" t="n">
        <v>765.1900000000001</v>
      </c>
      <c r="L11" s="14" t="n">
        <v>765.1900000000001</v>
      </c>
      <c r="M11" s="14" t="n">
        <v>765.1900000000001</v>
      </c>
      <c r="N11" s="14" t="n">
        <v>765.1900000000001</v>
      </c>
      <c r="O11" s="14" t="n">
        <v>765.1900000000001</v>
      </c>
      <c r="P11" s="14" t="n">
        <v>765.1900000000001</v>
      </c>
      <c r="Q11" s="14" t="n">
        <v>765.1900000000001</v>
      </c>
      <c r="R11" s="14" t="n">
        <v>765.1900000000001</v>
      </c>
      <c r="S11" s="14" t="n">
        <v>765.1900000000001</v>
      </c>
      <c r="T11" s="14" t="n">
        <v>765.1900000000001</v>
      </c>
      <c r="U11" s="14" t="n">
        <v>350</v>
      </c>
      <c r="V11" s="14" t="n">
        <v>250</v>
      </c>
      <c r="W11" s="14">
        <f>U11+V11</f>
        <v/>
      </c>
    </row>
    <row r="12">
      <c r="A12" s="15" t="inlineStr">
        <is>
          <t>CANON-202605-005990</t>
        </is>
      </c>
      <c r="B12" s="15" t="inlineStr">
        <is>
          <t>2026-05-08</t>
        </is>
      </c>
      <c r="C12" s="15" t="inlineStr">
        <is>
          <t>Marisol Rourke</t>
        </is>
      </c>
      <c r="D12" s="15" t="inlineStr">
        <is>
          <t>NJ</t>
        </is>
      </c>
      <c r="E12" s="16" t="n">
        <v>905000</v>
      </c>
      <c r="F12" s="16" t="n">
        <v>5192.96</v>
      </c>
      <c r="G12" s="16" t="n">
        <v>649.12</v>
      </c>
      <c r="H12" s="16" t="n">
        <v>649.12</v>
      </c>
      <c r="I12" s="16">
        <f>SUM(K12:T12)</f>
        <v/>
      </c>
      <c r="J12" s="16">
        <f>F12-(G12+H12+I12)</f>
        <v/>
      </c>
      <c r="K12" s="16" t="n">
        <v>389.47</v>
      </c>
      <c r="L12" s="16" t="n">
        <v>389.47</v>
      </c>
      <c r="M12" s="16" t="n">
        <v>389.47</v>
      </c>
      <c r="N12" s="16" t="n">
        <v>389.47</v>
      </c>
      <c r="O12" s="16" t="n">
        <v>389.47</v>
      </c>
      <c r="P12" s="16" t="n">
        <v>389.47</v>
      </c>
      <c r="Q12" s="16" t="n">
        <v>389.47</v>
      </c>
      <c r="R12" s="16" t="n">
        <v>389.47</v>
      </c>
      <c r="S12" s="16" t="n">
        <v>389.47</v>
      </c>
      <c r="T12" s="16" t="n">
        <v>389.47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CANON-202605-005992</t>
        </is>
      </c>
      <c r="B13" s="3" t="inlineStr">
        <is>
          <t>2026-05-18</t>
        </is>
      </c>
      <c r="C13" s="3" t="inlineStr">
        <is>
          <t>Ottilie Pennington</t>
        </is>
      </c>
      <c r="D13" s="3" t="inlineStr">
        <is>
          <t>CT</t>
        </is>
      </c>
      <c r="E13" s="14" t="n">
        <v>790000</v>
      </c>
      <c r="F13" s="14" t="n">
        <v>12326.1</v>
      </c>
      <c r="G13" s="14" t="n">
        <v>1540.76</v>
      </c>
      <c r="H13" s="14" t="n">
        <v>1540.76</v>
      </c>
      <c r="I13" s="14">
        <f>SUM(K13:T13)</f>
        <v/>
      </c>
      <c r="J13" s="14">
        <f>F13-(G13+H13+I13)</f>
        <v/>
      </c>
      <c r="K13" s="14" t="n">
        <v>924.46</v>
      </c>
      <c r="L13" s="14" t="n">
        <v>924.46</v>
      </c>
      <c r="M13" s="14" t="n">
        <v>924.46</v>
      </c>
      <c r="N13" s="14" t="n">
        <v>924.46</v>
      </c>
      <c r="O13" s="14" t="n">
        <v>924.46</v>
      </c>
      <c r="P13" s="14" t="n">
        <v>924.46</v>
      </c>
      <c r="Q13" s="14" t="n">
        <v>924.46</v>
      </c>
      <c r="R13" s="14" t="n">
        <v>924.46</v>
      </c>
      <c r="S13" s="14" t="n">
        <v>924.46</v>
      </c>
      <c r="T13" s="14" t="n">
        <v>924.46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CANON-202605-005993</t>
        </is>
      </c>
      <c r="B14" s="15" t="inlineStr">
        <is>
          <t>2026-05-08</t>
        </is>
      </c>
      <c r="C14" s="15" t="inlineStr">
        <is>
          <t>Fenwick Okonkwo</t>
        </is>
      </c>
      <c r="D14" s="15" t="inlineStr">
        <is>
          <t>WI</t>
        </is>
      </c>
      <c r="E14" s="16" t="n">
        <v>730000</v>
      </c>
      <c r="F14" s="16" t="n">
        <v>12203.51</v>
      </c>
      <c r="G14" s="16" t="n">
        <v>1525.44</v>
      </c>
      <c r="H14" s="16" t="n">
        <v>1525.44</v>
      </c>
      <c r="I14" s="16">
        <f>SUM(K14:T14)</f>
        <v/>
      </c>
      <c r="J14" s="16">
        <f>F14-(G14+H14+I14)</f>
        <v/>
      </c>
      <c r="K14" s="16" t="n">
        <v>915.26</v>
      </c>
      <c r="L14" s="16" t="n">
        <v>915.26</v>
      </c>
      <c r="M14" s="16" t="n">
        <v>915.26</v>
      </c>
      <c r="N14" s="16" t="n">
        <v>915.26</v>
      </c>
      <c r="O14" s="16" t="n">
        <v>915.26</v>
      </c>
      <c r="P14" s="16" t="n">
        <v>915.26</v>
      </c>
      <c r="Q14" s="16" t="n">
        <v>915.26</v>
      </c>
      <c r="R14" s="16" t="n">
        <v>915.26</v>
      </c>
      <c r="S14" s="16" t="n">
        <v>915.26</v>
      </c>
      <c r="T14" s="16" t="n">
        <v>915.26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CANON-202605-005994</t>
        </is>
      </c>
      <c r="B15" s="3" t="inlineStr">
        <is>
          <t>2026-05-09</t>
        </is>
      </c>
      <c r="C15" s="3" t="inlineStr">
        <is>
          <t>Anouk Kingsford</t>
        </is>
      </c>
      <c r="D15" s="3" t="inlineStr">
        <is>
          <t>AK</t>
        </is>
      </c>
      <c r="E15" s="14" t="n">
        <v>580000</v>
      </c>
      <c r="F15" s="14" t="n">
        <v>6302.36</v>
      </c>
      <c r="G15" s="14" t="n">
        <v>787.79</v>
      </c>
      <c r="H15" s="14" t="n">
        <v>787.79</v>
      </c>
      <c r="I15" s="14">
        <f>SUM(K15:T15)</f>
        <v/>
      </c>
      <c r="J15" s="14">
        <f>F15-(G15+H15+I15)</f>
        <v/>
      </c>
      <c r="K15" s="14" t="n">
        <v>472.68</v>
      </c>
      <c r="L15" s="14" t="n">
        <v>472.68</v>
      </c>
      <c r="M15" s="14" t="n">
        <v>472.68</v>
      </c>
      <c r="N15" s="14" t="n">
        <v>472.68</v>
      </c>
      <c r="O15" s="14" t="n">
        <v>472.68</v>
      </c>
      <c r="P15" s="14" t="n">
        <v>472.68</v>
      </c>
      <c r="Q15" s="14" t="n">
        <v>472.68</v>
      </c>
      <c r="R15" s="14" t="n">
        <v>472.68</v>
      </c>
      <c r="S15" s="14" t="n">
        <v>472.68</v>
      </c>
      <c r="T15" s="14" t="n">
        <v>472.68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CANON-202605-005995</t>
        </is>
      </c>
      <c r="B16" s="15" t="inlineStr">
        <is>
          <t>2026-05-08</t>
        </is>
      </c>
      <c r="C16" s="15" t="inlineStr">
        <is>
          <t>Cassius Okonkwo</t>
        </is>
      </c>
      <c r="D16" s="15" t="inlineStr">
        <is>
          <t>WA</t>
        </is>
      </c>
      <c r="E16" s="16" t="n">
        <v>675000</v>
      </c>
      <c r="F16" s="16" t="n">
        <v>9027.25</v>
      </c>
      <c r="G16" s="16" t="n">
        <v>1128.41</v>
      </c>
      <c r="H16" s="16" t="n">
        <v>1128.41</v>
      </c>
      <c r="I16" s="16">
        <f>SUM(K16:T16)</f>
        <v/>
      </c>
      <c r="J16" s="16">
        <f>F16-(G16+H16+I16)</f>
        <v/>
      </c>
      <c r="K16" s="16" t="n">
        <v>677.04</v>
      </c>
      <c r="L16" s="16" t="n">
        <v>677.04</v>
      </c>
      <c r="M16" s="16" t="n">
        <v>677.04</v>
      </c>
      <c r="N16" s="16" t="n">
        <v>677.04</v>
      </c>
      <c r="O16" s="16" t="n">
        <v>677.04</v>
      </c>
      <c r="P16" s="16" t="n">
        <v>677.04</v>
      </c>
      <c r="Q16" s="16" t="n">
        <v>677.04</v>
      </c>
      <c r="R16" s="16" t="n">
        <v>677.04</v>
      </c>
      <c r="S16" s="16" t="n">
        <v>677.04</v>
      </c>
      <c r="T16" s="16" t="n">
        <v>677.04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CANON-202605-005997</t>
        </is>
      </c>
      <c r="B17" s="3" t="inlineStr">
        <is>
          <t>2026-05-22</t>
        </is>
      </c>
      <c r="C17" s="3" t="inlineStr">
        <is>
          <t>Cassius Fairweather</t>
        </is>
      </c>
      <c r="D17" s="3" t="inlineStr">
        <is>
          <t>WA</t>
        </is>
      </c>
      <c r="E17" s="14" t="n">
        <v>565000</v>
      </c>
      <c r="F17" s="14" t="n">
        <v>3420.15</v>
      </c>
      <c r="G17" s="14" t="n">
        <v>427.52</v>
      </c>
      <c r="H17" s="14" t="n">
        <v>427.52</v>
      </c>
      <c r="I17" s="14">
        <f>SUM(K17:T17)</f>
        <v/>
      </c>
      <c r="J17" s="14">
        <f>F17-(G17+H17+I17)</f>
        <v/>
      </c>
      <c r="K17" s="14" t="n">
        <v>256.51</v>
      </c>
      <c r="L17" s="14" t="n">
        <v>256.51</v>
      </c>
      <c r="M17" s="14" t="n">
        <v>256.51</v>
      </c>
      <c r="N17" s="14" t="n">
        <v>256.51</v>
      </c>
      <c r="O17" s="14" t="n">
        <v>256.51</v>
      </c>
      <c r="P17" s="14" t="n">
        <v>256.51</v>
      </c>
      <c r="Q17" s="14" t="n">
        <v>256.51</v>
      </c>
      <c r="R17" s="14" t="n">
        <v>256.51</v>
      </c>
      <c r="S17" s="14" t="n">
        <v>256.51</v>
      </c>
      <c r="T17" s="14" t="n">
        <v>256.51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CANON-202605-005998</t>
        </is>
      </c>
      <c r="B18" s="15" t="inlineStr">
        <is>
          <t>2026-05-30</t>
        </is>
      </c>
      <c r="C18" s="15" t="inlineStr">
        <is>
          <t>Wilhelmina Harrington</t>
        </is>
      </c>
      <c r="D18" s="15" t="inlineStr">
        <is>
          <t>MT</t>
        </is>
      </c>
      <c r="E18" s="16" t="n">
        <v>445000</v>
      </c>
      <c r="F18" s="16" t="n">
        <v>4551.57</v>
      </c>
      <c r="G18" s="16" t="n">
        <v>568.95</v>
      </c>
      <c r="H18" s="16" t="n">
        <v>568.95</v>
      </c>
      <c r="I18" s="16">
        <f>SUM(K18:T18)</f>
        <v/>
      </c>
      <c r="J18" s="16">
        <f>F18-(G18+H18+I18)</f>
        <v/>
      </c>
      <c r="K18" s="16" t="n">
        <v>341.37</v>
      </c>
      <c r="L18" s="16" t="n">
        <v>341.37</v>
      </c>
      <c r="M18" s="16" t="n">
        <v>341.37</v>
      </c>
      <c r="N18" s="16" t="n">
        <v>341.37</v>
      </c>
      <c r="O18" s="16" t="n">
        <v>341.37</v>
      </c>
      <c r="P18" s="16" t="n">
        <v>341.37</v>
      </c>
      <c r="Q18" s="16" t="n">
        <v>341.37</v>
      </c>
      <c r="R18" s="16" t="n">
        <v>341.37</v>
      </c>
      <c r="S18" s="16" t="n">
        <v>341.37</v>
      </c>
      <c r="T18" s="16" t="n">
        <v>341.37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CANON-202605-006000</t>
        </is>
      </c>
      <c r="B19" s="3" t="inlineStr">
        <is>
          <t>2026-05-16</t>
        </is>
      </c>
      <c r="C19" s="3" t="inlineStr">
        <is>
          <t>Wilhelmina Ashcombe</t>
        </is>
      </c>
      <c r="D19" s="3" t="inlineStr">
        <is>
          <t>PA</t>
        </is>
      </c>
      <c r="E19" s="14" t="n">
        <v>1415000</v>
      </c>
      <c r="F19" s="14" t="n">
        <v>7884.91</v>
      </c>
      <c r="G19" s="14" t="n">
        <v>985.61</v>
      </c>
      <c r="H19" s="14" t="n">
        <v>985.61</v>
      </c>
      <c r="I19" s="14">
        <f>SUM(K19:T19)</f>
        <v/>
      </c>
      <c r="J19" s="14">
        <f>F19-(G19+H19+I19)</f>
        <v/>
      </c>
      <c r="K19" s="14" t="n">
        <v>591.37</v>
      </c>
      <c r="L19" s="14" t="n">
        <v>591.37</v>
      </c>
      <c r="M19" s="14" t="n">
        <v>591.37</v>
      </c>
      <c r="N19" s="14" t="n">
        <v>591.37</v>
      </c>
      <c r="O19" s="14" t="n">
        <v>591.37</v>
      </c>
      <c r="P19" s="14" t="n">
        <v>591.37</v>
      </c>
      <c r="Q19" s="14" t="n">
        <v>591.37</v>
      </c>
      <c r="R19" s="14" t="n">
        <v>591.37</v>
      </c>
      <c r="S19" s="14" t="n">
        <v>591.37</v>
      </c>
      <c r="T19" s="14" t="n">
        <v>591.37</v>
      </c>
      <c r="U19" s="14" t="n">
        <v>350</v>
      </c>
      <c r="V19" s="14" t="n">
        <v>250</v>
      </c>
      <c r="W19" s="14">
        <f>U19+V19</f>
        <v/>
      </c>
    </row>
    <row r="20">
      <c r="A20" s="15" t="inlineStr">
        <is>
          <t>CANON-202605-006001</t>
        </is>
      </c>
      <c r="B20" s="15" t="inlineStr">
        <is>
          <t>2026-05-08</t>
        </is>
      </c>
      <c r="C20" s="15" t="inlineStr">
        <is>
          <t>Delphine Whitlock</t>
        </is>
      </c>
      <c r="D20" s="15" t="inlineStr">
        <is>
          <t>NJ</t>
        </is>
      </c>
      <c r="E20" s="16" t="n">
        <v>305000</v>
      </c>
      <c r="F20" s="16" t="n">
        <v>3052.52</v>
      </c>
      <c r="G20" s="16" t="n">
        <v>381.56</v>
      </c>
      <c r="H20" s="16" t="n">
        <v>381.56</v>
      </c>
      <c r="I20" s="16">
        <f>SUM(K20:T20)</f>
        <v/>
      </c>
      <c r="J20" s="16">
        <f>F20-(G20+H20+I20)</f>
        <v/>
      </c>
      <c r="K20" s="16" t="n">
        <v>228.94</v>
      </c>
      <c r="L20" s="16" t="n">
        <v>228.94</v>
      </c>
      <c r="M20" s="16" t="n">
        <v>228.94</v>
      </c>
      <c r="N20" s="16" t="n">
        <v>228.94</v>
      </c>
      <c r="O20" s="16" t="n">
        <v>228.94</v>
      </c>
      <c r="P20" s="16" t="n">
        <v>228.94</v>
      </c>
      <c r="Q20" s="16" t="n">
        <v>228.94</v>
      </c>
      <c r="R20" s="16" t="n">
        <v>228.94</v>
      </c>
      <c r="S20" s="16" t="n">
        <v>228.94</v>
      </c>
      <c r="T20" s="16" t="n">
        <v>228.94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CANON-202605-006002</t>
        </is>
      </c>
      <c r="B21" s="3" t="inlineStr">
        <is>
          <t>2026-05-23</t>
        </is>
      </c>
      <c r="C21" s="3" t="inlineStr">
        <is>
          <t>Desmond Merriweather</t>
        </is>
      </c>
      <c r="D21" s="3" t="inlineStr">
        <is>
          <t>MN</t>
        </is>
      </c>
      <c r="E21" s="14" t="n">
        <v>1810000</v>
      </c>
      <c r="F21" s="14" t="n">
        <v>28028.47</v>
      </c>
      <c r="G21" s="14" t="n">
        <v>3503.56</v>
      </c>
      <c r="H21" s="14" t="n">
        <v>3503.56</v>
      </c>
      <c r="I21" s="14">
        <f>SUM(K21:T21)</f>
        <v/>
      </c>
      <c r="J21" s="14">
        <f>F21-(G21+H21+I21)</f>
        <v/>
      </c>
      <c r="K21" s="14" t="n">
        <v>2102.14</v>
      </c>
      <c r="L21" s="14" t="n">
        <v>2102.14</v>
      </c>
      <c r="M21" s="14" t="n">
        <v>2102.14</v>
      </c>
      <c r="N21" s="14" t="n">
        <v>2102.14</v>
      </c>
      <c r="O21" s="14" t="n">
        <v>2102.14</v>
      </c>
      <c r="P21" s="14" t="n">
        <v>2102.14</v>
      </c>
      <c r="Q21" s="14" t="n">
        <v>2102.14</v>
      </c>
      <c r="R21" s="14" t="n">
        <v>2102.14</v>
      </c>
      <c r="S21" s="14" t="n">
        <v>2102.14</v>
      </c>
      <c r="T21" s="14" t="n">
        <v>2102.14</v>
      </c>
      <c r="U21" s="14" t="n">
        <v>350</v>
      </c>
      <c r="V21" s="14" t="n">
        <v>250</v>
      </c>
      <c r="W21" s="14">
        <f>U21+V21</f>
        <v/>
      </c>
    </row>
    <row r="22">
      <c r="A22" s="15" t="inlineStr">
        <is>
          <t>CANON-202605-006005</t>
        </is>
      </c>
      <c r="B22" s="15" t="inlineStr">
        <is>
          <t>2026-05-11</t>
        </is>
      </c>
      <c r="C22" s="15" t="inlineStr">
        <is>
          <t>Ramona Delacroix</t>
        </is>
      </c>
      <c r="D22" s="15" t="inlineStr">
        <is>
          <t>TN</t>
        </is>
      </c>
      <c r="E22" s="16" t="n">
        <v>845000</v>
      </c>
      <c r="F22" s="16" t="n">
        <v>7893.2</v>
      </c>
      <c r="G22" s="16" t="n">
        <v>986.65</v>
      </c>
      <c r="H22" s="16" t="n">
        <v>986.65</v>
      </c>
      <c r="I22" s="16">
        <f>SUM(K22:T22)</f>
        <v/>
      </c>
      <c r="J22" s="16">
        <f>F22-(G22+H22+I22)</f>
        <v/>
      </c>
      <c r="K22" s="16" t="n">
        <v>591.99</v>
      </c>
      <c r="L22" s="16" t="n">
        <v>591.99</v>
      </c>
      <c r="M22" s="16" t="n">
        <v>591.99</v>
      </c>
      <c r="N22" s="16" t="n">
        <v>591.99</v>
      </c>
      <c r="O22" s="16" t="n">
        <v>591.99</v>
      </c>
      <c r="P22" s="16" t="n">
        <v>591.99</v>
      </c>
      <c r="Q22" s="16" t="n">
        <v>591.99</v>
      </c>
      <c r="R22" s="16" t="n">
        <v>591.99</v>
      </c>
      <c r="S22" s="16" t="n">
        <v>591.99</v>
      </c>
      <c r="T22" s="16" t="n">
        <v>591.99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CANON-202605-006006</t>
        </is>
      </c>
      <c r="B23" s="3" t="inlineStr">
        <is>
          <t>2026-05-13</t>
        </is>
      </c>
      <c r="C23" s="3" t="inlineStr">
        <is>
          <t>Beatrix Merriweather</t>
        </is>
      </c>
      <c r="D23" s="3" t="inlineStr">
        <is>
          <t>MT</t>
        </is>
      </c>
      <c r="E23" s="14" t="n">
        <v>905000</v>
      </c>
      <c r="F23" s="14" t="n">
        <v>11724.98</v>
      </c>
      <c r="G23" s="14" t="n">
        <v>1465.62</v>
      </c>
      <c r="H23" s="14" t="n">
        <v>1465.62</v>
      </c>
      <c r="I23" s="14">
        <f>SUM(K23:T23)</f>
        <v/>
      </c>
      <c r="J23" s="14">
        <f>F23-(G23+H23+I23)</f>
        <v/>
      </c>
      <c r="K23" s="14" t="n">
        <v>879.37</v>
      </c>
      <c r="L23" s="14" t="n">
        <v>879.37</v>
      </c>
      <c r="M23" s="14" t="n">
        <v>879.37</v>
      </c>
      <c r="N23" s="14" t="n">
        <v>879.37</v>
      </c>
      <c r="O23" s="14" t="n">
        <v>879.37</v>
      </c>
      <c r="P23" s="14" t="n">
        <v>879.37</v>
      </c>
      <c r="Q23" s="14" t="n">
        <v>879.37</v>
      </c>
      <c r="R23" s="14" t="n">
        <v>879.37</v>
      </c>
      <c r="S23" s="14" t="n">
        <v>879.37</v>
      </c>
      <c r="T23" s="14" t="n">
        <v>879.37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CANON-202605-006007</t>
        </is>
      </c>
      <c r="B24" s="15" t="inlineStr">
        <is>
          <t>2026-05-05</t>
        </is>
      </c>
      <c r="C24" s="15" t="inlineStr">
        <is>
          <t>Priya Montoya</t>
        </is>
      </c>
      <c r="D24" s="15" t="inlineStr">
        <is>
          <t>CT</t>
        </is>
      </c>
      <c r="E24" s="16" t="n">
        <v>270000</v>
      </c>
      <c r="F24" s="16" t="n">
        <v>3325.83</v>
      </c>
      <c r="G24" s="16" t="n">
        <v>415.73</v>
      </c>
      <c r="H24" s="16" t="n">
        <v>415.73</v>
      </c>
      <c r="I24" s="16">
        <f>SUM(K24:T24)</f>
        <v/>
      </c>
      <c r="J24" s="16">
        <f>F24-(G24+H24+I24)</f>
        <v/>
      </c>
      <c r="K24" s="16" t="n">
        <v>249.44</v>
      </c>
      <c r="L24" s="16" t="n">
        <v>249.44</v>
      </c>
      <c r="M24" s="16" t="n">
        <v>249.44</v>
      </c>
      <c r="N24" s="16" t="n">
        <v>249.44</v>
      </c>
      <c r="O24" s="16" t="n">
        <v>249.44</v>
      </c>
      <c r="P24" s="16" t="n">
        <v>249.44</v>
      </c>
      <c r="Q24" s="16" t="n">
        <v>249.44</v>
      </c>
      <c r="R24" s="16" t="n">
        <v>249.44</v>
      </c>
      <c r="S24" s="16" t="n">
        <v>249.44</v>
      </c>
      <c r="T24" s="16" t="n">
        <v>249.44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CANON-202605-006008</t>
        </is>
      </c>
      <c r="B25" s="3" t="inlineStr">
        <is>
          <t>2026-05-06</t>
        </is>
      </c>
      <c r="C25" s="3" t="inlineStr">
        <is>
          <t>Lorenzo Okonkwo</t>
        </is>
      </c>
      <c r="D25" s="3" t="inlineStr">
        <is>
          <t>MT</t>
        </is>
      </c>
      <c r="E25" s="14" t="n">
        <v>760000</v>
      </c>
      <c r="F25" s="14" t="n">
        <v>6737</v>
      </c>
      <c r="G25" s="14" t="n">
        <v>842.12</v>
      </c>
      <c r="H25" s="14" t="n">
        <v>842.12</v>
      </c>
      <c r="I25" s="14">
        <f>SUM(K25:T25)</f>
        <v/>
      </c>
      <c r="J25" s="14">
        <f>F25-(G25+H25+I25)</f>
        <v/>
      </c>
      <c r="K25" s="14" t="n">
        <v>505.27</v>
      </c>
      <c r="L25" s="14" t="n">
        <v>505.27</v>
      </c>
      <c r="M25" s="14" t="n">
        <v>505.27</v>
      </c>
      <c r="N25" s="14" t="n">
        <v>505.27</v>
      </c>
      <c r="O25" s="14" t="n">
        <v>505.27</v>
      </c>
      <c r="P25" s="14" t="n">
        <v>505.27</v>
      </c>
      <c r="Q25" s="14" t="n">
        <v>505.27</v>
      </c>
      <c r="R25" s="14" t="n">
        <v>505.27</v>
      </c>
      <c r="S25" s="14" t="n">
        <v>505.27</v>
      </c>
      <c r="T25" s="14" t="n">
        <v>505.27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CANON-202605-006009</t>
        </is>
      </c>
      <c r="B26" s="15" t="inlineStr">
        <is>
          <t>2026-05-03</t>
        </is>
      </c>
      <c r="C26" s="15" t="inlineStr">
        <is>
          <t>Emiliano Fairweather</t>
        </is>
      </c>
      <c r="D26" s="15" t="inlineStr">
        <is>
          <t>DE</t>
        </is>
      </c>
      <c r="E26" s="16" t="n">
        <v>570000</v>
      </c>
      <c r="F26" s="16" t="n">
        <v>8149.6</v>
      </c>
      <c r="G26" s="16" t="n">
        <v>1018.7</v>
      </c>
      <c r="H26" s="16" t="n">
        <v>1018.7</v>
      </c>
      <c r="I26" s="16">
        <f>SUM(K26:T26)</f>
        <v/>
      </c>
      <c r="J26" s="16">
        <f>F26-(G26+H26+I26)</f>
        <v/>
      </c>
      <c r="K26" s="16" t="n">
        <v>611.22</v>
      </c>
      <c r="L26" s="16" t="n">
        <v>611.22</v>
      </c>
      <c r="M26" s="16" t="n">
        <v>611.22</v>
      </c>
      <c r="N26" s="16" t="n">
        <v>611.22</v>
      </c>
      <c r="O26" s="16" t="n">
        <v>611.22</v>
      </c>
      <c r="P26" s="16" t="n">
        <v>611.22</v>
      </c>
      <c r="Q26" s="16" t="n">
        <v>611.22</v>
      </c>
      <c r="R26" s="16" t="n">
        <v>611.22</v>
      </c>
      <c r="S26" s="16" t="n">
        <v>611.22</v>
      </c>
      <c r="T26" s="16" t="n">
        <v>611.22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CANON-202605-006010</t>
        </is>
      </c>
      <c r="B27" s="3" t="inlineStr">
        <is>
          <t>2026-05-28</t>
        </is>
      </c>
      <c r="C27" s="3" t="inlineStr">
        <is>
          <t>Everett Chattopadhyay</t>
        </is>
      </c>
      <c r="D27" s="3" t="inlineStr">
        <is>
          <t>NY</t>
        </is>
      </c>
      <c r="E27" s="14" t="n">
        <v>985000</v>
      </c>
      <c r="F27" s="14" t="n">
        <v>17564.14</v>
      </c>
      <c r="G27" s="14" t="n">
        <v>2195.52</v>
      </c>
      <c r="H27" s="14" t="n">
        <v>2195.52</v>
      </c>
      <c r="I27" s="14">
        <f>SUM(K27:T27)</f>
        <v/>
      </c>
      <c r="J27" s="14">
        <f>F27-(G27+H27+I27)</f>
        <v/>
      </c>
      <c r="K27" s="14" t="n">
        <v>1317.31</v>
      </c>
      <c r="L27" s="14" t="n">
        <v>1317.31</v>
      </c>
      <c r="M27" s="14" t="n">
        <v>1317.31</v>
      </c>
      <c r="N27" s="14" t="n">
        <v>1317.31</v>
      </c>
      <c r="O27" s="14" t="n">
        <v>1317.31</v>
      </c>
      <c r="P27" s="14" t="n">
        <v>1317.31</v>
      </c>
      <c r="Q27" s="14" t="n">
        <v>1317.31</v>
      </c>
      <c r="R27" s="14" t="n">
        <v>1317.31</v>
      </c>
      <c r="S27" s="14" t="n">
        <v>1317.31</v>
      </c>
      <c r="T27" s="14" t="n">
        <v>1317.31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CANON-202605-006013</t>
        </is>
      </c>
      <c r="B28" s="15" t="inlineStr">
        <is>
          <t>2026-05-09</t>
        </is>
      </c>
      <c r="C28" s="15" t="inlineStr">
        <is>
          <t>Lorenzo Rourke</t>
        </is>
      </c>
      <c r="D28" s="15" t="inlineStr">
        <is>
          <t>CO</t>
        </is>
      </c>
      <c r="E28" s="16" t="n">
        <v>315000</v>
      </c>
      <c r="F28" s="16" t="n">
        <v>3810.84</v>
      </c>
      <c r="G28" s="16" t="n">
        <v>476.36</v>
      </c>
      <c r="H28" s="16" t="n">
        <v>476.36</v>
      </c>
      <c r="I28" s="16">
        <f>SUM(K28:T28)</f>
        <v/>
      </c>
      <c r="J28" s="16">
        <f>F28-(G28+H28+I28)</f>
        <v/>
      </c>
      <c r="K28" s="16" t="n">
        <v>285.81</v>
      </c>
      <c r="L28" s="16" t="n">
        <v>285.81</v>
      </c>
      <c r="M28" s="16" t="n">
        <v>285.81</v>
      </c>
      <c r="N28" s="16" t="n">
        <v>285.81</v>
      </c>
      <c r="O28" s="16" t="n">
        <v>285.81</v>
      </c>
      <c r="P28" s="16" t="n">
        <v>285.81</v>
      </c>
      <c r="Q28" s="16" t="n">
        <v>285.81</v>
      </c>
      <c r="R28" s="16" t="n">
        <v>285.81</v>
      </c>
      <c r="S28" s="16" t="n">
        <v>285.81</v>
      </c>
      <c r="T28" s="16" t="n">
        <v>285.81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CANON-202605-006014</t>
        </is>
      </c>
      <c r="B29" s="3" t="inlineStr">
        <is>
          <t>2026-05-17</t>
        </is>
      </c>
      <c r="C29" s="3" t="inlineStr">
        <is>
          <t>Leopold Farkas</t>
        </is>
      </c>
      <c r="D29" s="3" t="inlineStr">
        <is>
          <t>VA</t>
        </is>
      </c>
      <c r="E29" s="14" t="n">
        <v>915000</v>
      </c>
      <c r="F29" s="14" t="n">
        <v>9506.440000000001</v>
      </c>
      <c r="G29" s="14" t="n">
        <v>1188.31</v>
      </c>
      <c r="H29" s="14" t="n">
        <v>1188.31</v>
      </c>
      <c r="I29" s="14">
        <f>SUM(K29:T29)</f>
        <v/>
      </c>
      <c r="J29" s="14">
        <f>F29-(G29+H29+I29)</f>
        <v/>
      </c>
      <c r="K29" s="14" t="n">
        <v>712.98</v>
      </c>
      <c r="L29" s="14" t="n">
        <v>712.98</v>
      </c>
      <c r="M29" s="14" t="n">
        <v>712.98</v>
      </c>
      <c r="N29" s="14" t="n">
        <v>712.98</v>
      </c>
      <c r="O29" s="14" t="n">
        <v>712.98</v>
      </c>
      <c r="P29" s="14" t="n">
        <v>712.98</v>
      </c>
      <c r="Q29" s="14" t="n">
        <v>712.98</v>
      </c>
      <c r="R29" s="14" t="n">
        <v>712.98</v>
      </c>
      <c r="S29" s="14" t="n">
        <v>712.98</v>
      </c>
      <c r="T29" s="14" t="n">
        <v>712.98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CANON-202605-006016</t>
        </is>
      </c>
      <c r="B30" s="15" t="inlineStr">
        <is>
          <t>2026-05-13</t>
        </is>
      </c>
      <c r="C30" s="15" t="inlineStr">
        <is>
          <t>Sunniva Pennington</t>
        </is>
      </c>
      <c r="D30" s="15" t="inlineStr">
        <is>
          <t>IL</t>
        </is>
      </c>
      <c r="E30" s="16" t="n">
        <v>870000</v>
      </c>
      <c r="F30" s="16" t="n">
        <v>16483.09</v>
      </c>
      <c r="G30" s="16" t="n">
        <v>2060.39</v>
      </c>
      <c r="H30" s="16" t="n">
        <v>2060.39</v>
      </c>
      <c r="I30" s="16">
        <f>SUM(K30:T30)</f>
        <v/>
      </c>
      <c r="J30" s="16">
        <f>F30-(G30+H30+I30)</f>
        <v/>
      </c>
      <c r="K30" s="16" t="n">
        <v>1236.23</v>
      </c>
      <c r="L30" s="16" t="n">
        <v>1236.23</v>
      </c>
      <c r="M30" s="16" t="n">
        <v>1236.23</v>
      </c>
      <c r="N30" s="16" t="n">
        <v>1236.23</v>
      </c>
      <c r="O30" s="16" t="n">
        <v>1236.23</v>
      </c>
      <c r="P30" s="16" t="n">
        <v>1236.23</v>
      </c>
      <c r="Q30" s="16" t="n">
        <v>1236.23</v>
      </c>
      <c r="R30" s="16" t="n">
        <v>1236.23</v>
      </c>
      <c r="S30" s="16" t="n">
        <v>1236.23</v>
      </c>
      <c r="T30" s="16" t="n">
        <v>1236.23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CANON-202605-006017</t>
        </is>
      </c>
      <c r="B31" s="3" t="inlineStr">
        <is>
          <t>2026-05-23</t>
        </is>
      </c>
      <c r="C31" s="3" t="inlineStr">
        <is>
          <t>Horace Pennington</t>
        </is>
      </c>
      <c r="D31" s="3" t="inlineStr">
        <is>
          <t>MT</t>
        </is>
      </c>
      <c r="E31" s="14" t="n">
        <v>310000</v>
      </c>
      <c r="F31" s="14" t="n">
        <v>2029.28</v>
      </c>
      <c r="G31" s="14" t="n">
        <v>253.66</v>
      </c>
      <c r="H31" s="14" t="n">
        <v>253.66</v>
      </c>
      <c r="I31" s="14">
        <f>SUM(K31:T31)</f>
        <v/>
      </c>
      <c r="J31" s="14">
        <f>F31-(G31+H31+I31)</f>
        <v/>
      </c>
      <c r="K31" s="14" t="n">
        <v>152.2</v>
      </c>
      <c r="L31" s="14" t="n">
        <v>152.2</v>
      </c>
      <c r="M31" s="14" t="n">
        <v>152.2</v>
      </c>
      <c r="N31" s="14" t="n">
        <v>152.2</v>
      </c>
      <c r="O31" s="14" t="n">
        <v>152.2</v>
      </c>
      <c r="P31" s="14" t="n">
        <v>152.2</v>
      </c>
      <c r="Q31" s="14" t="n">
        <v>152.2</v>
      </c>
      <c r="R31" s="14" t="n">
        <v>152.2</v>
      </c>
      <c r="S31" s="14" t="n">
        <v>152.2</v>
      </c>
      <c r="T31" s="14" t="n">
        <v>152.2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CANON-202605-006018</t>
        </is>
      </c>
      <c r="B32" s="15" t="inlineStr">
        <is>
          <t>2026-05-11</t>
        </is>
      </c>
      <c r="C32" s="15" t="inlineStr">
        <is>
          <t>Saoirse Underwood</t>
        </is>
      </c>
      <c r="D32" s="15" t="inlineStr">
        <is>
          <t>NM</t>
        </is>
      </c>
      <c r="E32" s="16" t="n">
        <v>360000</v>
      </c>
      <c r="F32" s="16" t="n">
        <v>5067.93</v>
      </c>
      <c r="G32" s="16" t="n">
        <v>633.49</v>
      </c>
      <c r="H32" s="16" t="n">
        <v>633.49</v>
      </c>
      <c r="I32" s="16">
        <f>SUM(K32:T32)</f>
        <v/>
      </c>
      <c r="J32" s="16">
        <f>F32-(G32+H32+I32)</f>
        <v/>
      </c>
      <c r="K32" s="16" t="n">
        <v>380.09</v>
      </c>
      <c r="L32" s="16" t="n">
        <v>380.09</v>
      </c>
      <c r="M32" s="16" t="n">
        <v>380.09</v>
      </c>
      <c r="N32" s="16" t="n">
        <v>380.09</v>
      </c>
      <c r="O32" s="16" t="n">
        <v>380.09</v>
      </c>
      <c r="P32" s="16" t="n">
        <v>380.09</v>
      </c>
      <c r="Q32" s="16" t="n">
        <v>380.09</v>
      </c>
      <c r="R32" s="16" t="n">
        <v>380.09</v>
      </c>
      <c r="S32" s="16" t="n">
        <v>380.09</v>
      </c>
      <c r="T32" s="16" t="n">
        <v>380.09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CANON-202605-006019</t>
        </is>
      </c>
      <c r="B33" s="3" t="inlineStr">
        <is>
          <t>2026-05-17</t>
        </is>
      </c>
      <c r="C33" s="3" t="inlineStr">
        <is>
          <t>Ottilie Chattopadhyay</t>
        </is>
      </c>
      <c r="D33" s="3" t="inlineStr">
        <is>
          <t>NE</t>
        </is>
      </c>
      <c r="E33" s="14" t="n">
        <v>350000</v>
      </c>
      <c r="F33" s="14" t="n">
        <v>5004.14</v>
      </c>
      <c r="G33" s="14" t="n">
        <v>625.52</v>
      </c>
      <c r="H33" s="14" t="n">
        <v>625.52</v>
      </c>
      <c r="I33" s="14">
        <f>SUM(K33:T33)</f>
        <v/>
      </c>
      <c r="J33" s="14">
        <f>F33-(G33+H33+I33)</f>
        <v/>
      </c>
      <c r="K33" s="14" t="n">
        <v>375.31</v>
      </c>
      <c r="L33" s="14" t="n">
        <v>375.31</v>
      </c>
      <c r="M33" s="14" t="n">
        <v>375.31</v>
      </c>
      <c r="N33" s="14" t="n">
        <v>375.31</v>
      </c>
      <c r="O33" s="14" t="n">
        <v>375.31</v>
      </c>
      <c r="P33" s="14" t="n">
        <v>375.31</v>
      </c>
      <c r="Q33" s="14" t="n">
        <v>375.31</v>
      </c>
      <c r="R33" s="14" t="n">
        <v>375.31</v>
      </c>
      <c r="S33" s="14" t="n">
        <v>375.31</v>
      </c>
      <c r="T33" s="14" t="n">
        <v>375.31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CANON-202605-006020</t>
        </is>
      </c>
      <c r="B34" s="15" t="inlineStr">
        <is>
          <t>2026-05-28</t>
        </is>
      </c>
      <c r="C34" s="15" t="inlineStr">
        <is>
          <t>Delphine Nakashima</t>
        </is>
      </c>
      <c r="D34" s="15" t="inlineStr">
        <is>
          <t>MT</t>
        </is>
      </c>
      <c r="E34" s="16" t="n">
        <v>220000</v>
      </c>
      <c r="F34" s="16" t="n">
        <v>4260.41</v>
      </c>
      <c r="G34" s="16" t="n">
        <v>532.55</v>
      </c>
      <c r="H34" s="16" t="n">
        <v>532.55</v>
      </c>
      <c r="I34" s="16">
        <f>SUM(K34:T34)</f>
        <v/>
      </c>
      <c r="J34" s="16">
        <f>F34-(G34+H34+I34)</f>
        <v/>
      </c>
      <c r="K34" s="16" t="n">
        <v>319.53</v>
      </c>
      <c r="L34" s="16" t="n">
        <v>319.53</v>
      </c>
      <c r="M34" s="16" t="n">
        <v>319.53</v>
      </c>
      <c r="N34" s="16" t="n">
        <v>319.53</v>
      </c>
      <c r="O34" s="16" t="n">
        <v>319.53</v>
      </c>
      <c r="P34" s="16" t="n">
        <v>319.53</v>
      </c>
      <c r="Q34" s="16" t="n">
        <v>319.53</v>
      </c>
      <c r="R34" s="16" t="n">
        <v>319.53</v>
      </c>
      <c r="S34" s="16" t="n">
        <v>319.53</v>
      </c>
      <c r="T34" s="16" t="n">
        <v>319.53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CANON-202605-006025</t>
        </is>
      </c>
      <c r="B35" s="3" t="inlineStr">
        <is>
          <t>2026-05-31</t>
        </is>
      </c>
      <c r="C35" s="3" t="inlineStr">
        <is>
          <t>Sunniva Ashcombe</t>
        </is>
      </c>
      <c r="D35" s="3" t="inlineStr">
        <is>
          <t>ME</t>
        </is>
      </c>
      <c r="E35" s="14" t="n">
        <v>1055000</v>
      </c>
      <c r="F35" s="14" t="n">
        <v>6349.16</v>
      </c>
      <c r="G35" s="14" t="n">
        <v>793.64</v>
      </c>
      <c r="H35" s="14" t="n">
        <v>793.64</v>
      </c>
      <c r="I35" s="14">
        <f>SUM(K35:T35)</f>
        <v/>
      </c>
      <c r="J35" s="14">
        <f>F35-(G35+H35+I35)</f>
        <v/>
      </c>
      <c r="K35" s="14" t="n">
        <v>476.19</v>
      </c>
      <c r="L35" s="14" t="n">
        <v>476.19</v>
      </c>
      <c r="M35" s="14" t="n">
        <v>476.19</v>
      </c>
      <c r="N35" s="14" t="n">
        <v>476.19</v>
      </c>
      <c r="O35" s="14" t="n">
        <v>476.19</v>
      </c>
      <c r="P35" s="14" t="n">
        <v>476.19</v>
      </c>
      <c r="Q35" s="14" t="n">
        <v>476.19</v>
      </c>
      <c r="R35" s="14" t="n">
        <v>476.19</v>
      </c>
      <c r="S35" s="14" t="n">
        <v>476.19</v>
      </c>
      <c r="T35" s="14" t="n">
        <v>476.19</v>
      </c>
      <c r="U35" s="14" t="n">
        <v>350</v>
      </c>
      <c r="V35" s="14" t="n">
        <v>250</v>
      </c>
      <c r="W35" s="14">
        <f>U35+V35</f>
        <v/>
      </c>
    </row>
    <row r="36">
      <c r="A36" s="15" t="inlineStr">
        <is>
          <t>CANON-202605-006026</t>
        </is>
      </c>
      <c r="B36" s="15" t="inlineStr">
        <is>
          <t>2026-05-02</t>
        </is>
      </c>
      <c r="C36" s="15" t="inlineStr">
        <is>
          <t>Fenwick Blackwood</t>
        </is>
      </c>
      <c r="D36" s="15" t="inlineStr">
        <is>
          <t>CA</t>
        </is>
      </c>
      <c r="E36" s="16" t="n">
        <v>390000</v>
      </c>
      <c r="F36" s="16" t="n">
        <v>5790.51</v>
      </c>
      <c r="G36" s="16" t="n">
        <v>723.8099999999999</v>
      </c>
      <c r="H36" s="16" t="n">
        <v>723.8099999999999</v>
      </c>
      <c r="I36" s="16">
        <f>SUM(K36:T36)</f>
        <v/>
      </c>
      <c r="J36" s="16">
        <f>F36-(G36+H36+I36)</f>
        <v/>
      </c>
      <c r="K36" s="16" t="n">
        <v>434.29</v>
      </c>
      <c r="L36" s="16" t="n">
        <v>434.29</v>
      </c>
      <c r="M36" s="16" t="n">
        <v>434.29</v>
      </c>
      <c r="N36" s="16" t="n">
        <v>434.29</v>
      </c>
      <c r="O36" s="16" t="n">
        <v>434.29</v>
      </c>
      <c r="P36" s="16" t="n">
        <v>434.29</v>
      </c>
      <c r="Q36" s="16" t="n">
        <v>434.29</v>
      </c>
      <c r="R36" s="16" t="n">
        <v>434.29</v>
      </c>
      <c r="S36" s="16" t="n">
        <v>434.29</v>
      </c>
      <c r="T36" s="16" t="n">
        <v>434.29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CANON-202605-006027</t>
        </is>
      </c>
      <c r="B37" s="3" t="inlineStr">
        <is>
          <t>2026-05-12</t>
        </is>
      </c>
      <c r="C37" s="3" t="inlineStr">
        <is>
          <t>Delphine Bellandi</t>
        </is>
      </c>
      <c r="D37" s="3" t="inlineStr">
        <is>
          <t>WY</t>
        </is>
      </c>
      <c r="E37" s="14" t="n">
        <v>695000</v>
      </c>
      <c r="F37" s="14" t="n">
        <v>7088.25</v>
      </c>
      <c r="G37" s="14" t="n">
        <v>886.03</v>
      </c>
      <c r="H37" s="14" t="n">
        <v>886.03</v>
      </c>
      <c r="I37" s="14">
        <f>SUM(K37:T37)</f>
        <v/>
      </c>
      <c r="J37" s="14">
        <f>F37-(G37+H37+I37)</f>
        <v/>
      </c>
      <c r="K37" s="14" t="n">
        <v>531.62</v>
      </c>
      <c r="L37" s="14" t="n">
        <v>531.62</v>
      </c>
      <c r="M37" s="14" t="n">
        <v>531.62</v>
      </c>
      <c r="N37" s="14" t="n">
        <v>531.62</v>
      </c>
      <c r="O37" s="14" t="n">
        <v>531.62</v>
      </c>
      <c r="P37" s="14" t="n">
        <v>531.62</v>
      </c>
      <c r="Q37" s="14" t="n">
        <v>531.62</v>
      </c>
      <c r="R37" s="14" t="n">
        <v>531.62</v>
      </c>
      <c r="S37" s="14" t="n">
        <v>531.62</v>
      </c>
      <c r="T37" s="14" t="n">
        <v>531.62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CANON-202605-006028</t>
        </is>
      </c>
      <c r="B38" s="15" t="inlineStr">
        <is>
          <t>2026-05-13</t>
        </is>
      </c>
      <c r="C38" s="15" t="inlineStr">
        <is>
          <t>Callum Kingsford</t>
        </is>
      </c>
      <c r="D38" s="15" t="inlineStr">
        <is>
          <t>NY</t>
        </is>
      </c>
      <c r="E38" s="16" t="n">
        <v>615000</v>
      </c>
      <c r="F38" s="16" t="n">
        <v>9004.030000000001</v>
      </c>
      <c r="G38" s="16" t="n">
        <v>1125.5</v>
      </c>
      <c r="H38" s="16" t="n">
        <v>1125.5</v>
      </c>
      <c r="I38" s="16">
        <f>SUM(K38:T38)</f>
        <v/>
      </c>
      <c r="J38" s="16">
        <f>F38-(G38+H38+I38)</f>
        <v/>
      </c>
      <c r="K38" s="16" t="n">
        <v>675.3</v>
      </c>
      <c r="L38" s="16" t="n">
        <v>675.3</v>
      </c>
      <c r="M38" s="16" t="n">
        <v>675.3</v>
      </c>
      <c r="N38" s="16" t="n">
        <v>675.3</v>
      </c>
      <c r="O38" s="16" t="n">
        <v>675.3</v>
      </c>
      <c r="P38" s="16" t="n">
        <v>675.3</v>
      </c>
      <c r="Q38" s="16" t="n">
        <v>675.3</v>
      </c>
      <c r="R38" s="16" t="n">
        <v>675.3</v>
      </c>
      <c r="S38" s="16" t="n">
        <v>675.3</v>
      </c>
      <c r="T38" s="16" t="n">
        <v>675.3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CANON-202605-006030</t>
        </is>
      </c>
      <c r="B39" s="3" t="inlineStr">
        <is>
          <t>2026-05-18</t>
        </is>
      </c>
      <c r="C39" s="3" t="inlineStr">
        <is>
          <t>Fenwick Ashcombe</t>
        </is>
      </c>
      <c r="D39" s="3" t="inlineStr">
        <is>
          <t>OH</t>
        </is>
      </c>
      <c r="E39" s="14" t="n">
        <v>310000</v>
      </c>
      <c r="F39" s="14" t="n">
        <v>4739.09</v>
      </c>
      <c r="G39" s="14" t="n">
        <v>592.39</v>
      </c>
      <c r="H39" s="14" t="n">
        <v>592.39</v>
      </c>
      <c r="I39" s="14">
        <f>SUM(K39:T39)</f>
        <v/>
      </c>
      <c r="J39" s="14">
        <f>F39-(G39+H39+I39)</f>
        <v/>
      </c>
      <c r="K39" s="14" t="n">
        <v>355.43</v>
      </c>
      <c r="L39" s="14" t="n">
        <v>355.43</v>
      </c>
      <c r="M39" s="14" t="n">
        <v>355.43</v>
      </c>
      <c r="N39" s="14" t="n">
        <v>355.43</v>
      </c>
      <c r="O39" s="14" t="n">
        <v>355.43</v>
      </c>
      <c r="P39" s="14" t="n">
        <v>355.43</v>
      </c>
      <c r="Q39" s="14" t="n">
        <v>355.43</v>
      </c>
      <c r="R39" s="14" t="n">
        <v>355.43</v>
      </c>
      <c r="S39" s="14" t="n">
        <v>355.43</v>
      </c>
      <c r="T39" s="14" t="n">
        <v>355.43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CANON-202605-006031</t>
        </is>
      </c>
      <c r="B40" s="15" t="inlineStr">
        <is>
          <t>2026-05-10</t>
        </is>
      </c>
      <c r="C40" s="15" t="inlineStr">
        <is>
          <t>Marisol Harrington</t>
        </is>
      </c>
      <c r="D40" s="15" t="inlineStr">
        <is>
          <t>OK</t>
        </is>
      </c>
      <c r="E40" s="16" t="n">
        <v>275000</v>
      </c>
      <c r="F40" s="16" t="n">
        <v>5843.3</v>
      </c>
      <c r="G40" s="16" t="n">
        <v>730.41</v>
      </c>
      <c r="H40" s="16" t="n">
        <v>730.41</v>
      </c>
      <c r="I40" s="16">
        <f>SUM(K40:T40)</f>
        <v/>
      </c>
      <c r="J40" s="16">
        <f>F40-(G40+H40+I40)</f>
        <v/>
      </c>
      <c r="K40" s="16" t="n">
        <v>438.25</v>
      </c>
      <c r="L40" s="16" t="n">
        <v>438.25</v>
      </c>
      <c r="M40" s="16" t="n">
        <v>438.25</v>
      </c>
      <c r="N40" s="16" t="n">
        <v>438.25</v>
      </c>
      <c r="O40" s="16" t="n">
        <v>438.25</v>
      </c>
      <c r="P40" s="16" t="n">
        <v>438.25</v>
      </c>
      <c r="Q40" s="16" t="n">
        <v>438.25</v>
      </c>
      <c r="R40" s="16" t="n">
        <v>438.25</v>
      </c>
      <c r="S40" s="16" t="n">
        <v>438.25</v>
      </c>
      <c r="T40" s="16" t="n">
        <v>438.25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CANON-202605-006032</t>
        </is>
      </c>
      <c r="B41" s="3" t="inlineStr">
        <is>
          <t>2026-05-22</t>
        </is>
      </c>
      <c r="C41" s="3" t="inlineStr">
        <is>
          <t>Thaddeus Thistlewood</t>
        </is>
      </c>
      <c r="D41" s="3" t="inlineStr">
        <is>
          <t>AZ</t>
        </is>
      </c>
      <c r="E41" s="14" t="n">
        <v>750000</v>
      </c>
      <c r="F41" s="14" t="n">
        <v>7220.26</v>
      </c>
      <c r="G41" s="14" t="n">
        <v>902.53</v>
      </c>
      <c r="H41" s="14" t="n">
        <v>902.53</v>
      </c>
      <c r="I41" s="14">
        <f>SUM(K41:T41)</f>
        <v/>
      </c>
      <c r="J41" s="14">
        <f>F41-(G41+H41+I41)</f>
        <v/>
      </c>
      <c r="K41" s="14" t="n">
        <v>541.52</v>
      </c>
      <c r="L41" s="14" t="n">
        <v>541.52</v>
      </c>
      <c r="M41" s="14" t="n">
        <v>541.52</v>
      </c>
      <c r="N41" s="14" t="n">
        <v>541.52</v>
      </c>
      <c r="O41" s="14" t="n">
        <v>541.52</v>
      </c>
      <c r="P41" s="14" t="n">
        <v>541.52</v>
      </c>
      <c r="Q41" s="14" t="n">
        <v>541.52</v>
      </c>
      <c r="R41" s="14" t="n">
        <v>541.52</v>
      </c>
      <c r="S41" s="14" t="n">
        <v>541.52</v>
      </c>
      <c r="T41" s="14" t="n">
        <v>541.52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CANON-202605-006033</t>
        </is>
      </c>
      <c r="B42" s="15" t="inlineStr">
        <is>
          <t>2026-05-04</t>
        </is>
      </c>
      <c r="C42" s="15" t="inlineStr">
        <is>
          <t>Lorenzo Vasquez</t>
        </is>
      </c>
      <c r="D42" s="15" t="inlineStr">
        <is>
          <t>IN</t>
        </is>
      </c>
      <c r="E42" s="16" t="n">
        <v>780000</v>
      </c>
      <c r="F42" s="16" t="n">
        <v>13365.35</v>
      </c>
      <c r="G42" s="16" t="n">
        <v>1670.67</v>
      </c>
      <c r="H42" s="16" t="n">
        <v>1670.67</v>
      </c>
      <c r="I42" s="16">
        <f>SUM(K42:T42)</f>
        <v/>
      </c>
      <c r="J42" s="16">
        <f>F42-(G42+H42+I42)</f>
        <v/>
      </c>
      <c r="K42" s="16" t="n">
        <v>1002.4</v>
      </c>
      <c r="L42" s="16" t="n">
        <v>1002.4</v>
      </c>
      <c r="M42" s="16" t="n">
        <v>1002.4</v>
      </c>
      <c r="N42" s="16" t="n">
        <v>1002.4</v>
      </c>
      <c r="O42" s="16" t="n">
        <v>1002.4</v>
      </c>
      <c r="P42" s="16" t="n">
        <v>1002.4</v>
      </c>
      <c r="Q42" s="16" t="n">
        <v>1002.4</v>
      </c>
      <c r="R42" s="16" t="n">
        <v>1002.4</v>
      </c>
      <c r="S42" s="16" t="n">
        <v>1002.4</v>
      </c>
      <c r="T42" s="16" t="n">
        <v>1002.4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CANON-202605-006034</t>
        </is>
      </c>
      <c r="B43" s="3" t="inlineStr">
        <is>
          <t>2026-05-17</t>
        </is>
      </c>
      <c r="C43" s="3" t="inlineStr">
        <is>
          <t>Lorenzo Harrington</t>
        </is>
      </c>
      <c r="D43" s="3" t="inlineStr">
        <is>
          <t>MI</t>
        </is>
      </c>
      <c r="E43" s="14" t="n">
        <v>1950000</v>
      </c>
      <c r="F43" s="14" t="n">
        <v>16842.51</v>
      </c>
      <c r="G43" s="14" t="n">
        <v>2105.31</v>
      </c>
      <c r="H43" s="14" t="n">
        <v>2105.31</v>
      </c>
      <c r="I43" s="14">
        <f>SUM(K43:T43)</f>
        <v/>
      </c>
      <c r="J43" s="14">
        <f>F43-(G43+H43+I43)</f>
        <v/>
      </c>
      <c r="K43" s="14" t="n">
        <v>1263.19</v>
      </c>
      <c r="L43" s="14" t="n">
        <v>1263.19</v>
      </c>
      <c r="M43" s="14" t="n">
        <v>1263.19</v>
      </c>
      <c r="N43" s="14" t="n">
        <v>1263.19</v>
      </c>
      <c r="O43" s="14" t="n">
        <v>1263.19</v>
      </c>
      <c r="P43" s="14" t="n">
        <v>1263.19</v>
      </c>
      <c r="Q43" s="14" t="n">
        <v>1263.19</v>
      </c>
      <c r="R43" s="14" t="n">
        <v>1263.19</v>
      </c>
      <c r="S43" s="14" t="n">
        <v>1263.19</v>
      </c>
      <c r="T43" s="14" t="n">
        <v>1263.19</v>
      </c>
      <c r="U43" s="14" t="n">
        <v>350</v>
      </c>
      <c r="V43" s="14" t="n">
        <v>250</v>
      </c>
      <c r="W43" s="14">
        <f>U43+V43</f>
        <v/>
      </c>
    </row>
    <row r="44">
      <c r="A44" s="15" t="inlineStr">
        <is>
          <t>CANON-202605-006035</t>
        </is>
      </c>
      <c r="B44" s="15" t="inlineStr">
        <is>
          <t>2026-05-15</t>
        </is>
      </c>
      <c r="C44" s="15" t="inlineStr">
        <is>
          <t>Mireille Nakashima</t>
        </is>
      </c>
      <c r="D44" s="15" t="inlineStr">
        <is>
          <t>DE</t>
        </is>
      </c>
      <c r="E44" s="16" t="n">
        <v>340000</v>
      </c>
      <c r="F44" s="16" t="n">
        <v>4674.2</v>
      </c>
      <c r="G44" s="16" t="n">
        <v>584.27</v>
      </c>
      <c r="H44" s="16" t="n">
        <v>584.27</v>
      </c>
      <c r="I44" s="16">
        <f>SUM(K44:T44)</f>
        <v/>
      </c>
      <c r="J44" s="16">
        <f>F44-(G44+H44+I44)</f>
        <v/>
      </c>
      <c r="K44" s="16" t="n">
        <v>350.56</v>
      </c>
      <c r="L44" s="16" t="n">
        <v>350.56</v>
      </c>
      <c r="M44" s="16" t="n">
        <v>350.56</v>
      </c>
      <c r="N44" s="16" t="n">
        <v>350.56</v>
      </c>
      <c r="O44" s="16" t="n">
        <v>350.56</v>
      </c>
      <c r="P44" s="16" t="n">
        <v>350.56</v>
      </c>
      <c r="Q44" s="16" t="n">
        <v>350.56</v>
      </c>
      <c r="R44" s="16" t="n">
        <v>350.56</v>
      </c>
      <c r="S44" s="16" t="n">
        <v>350.56</v>
      </c>
      <c r="T44" s="16" t="n">
        <v>350.56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CANON-202605-006037</t>
        </is>
      </c>
      <c r="B45" s="3" t="inlineStr">
        <is>
          <t>2026-05-23</t>
        </is>
      </c>
      <c r="C45" s="3" t="inlineStr">
        <is>
          <t>Desmond Harrington</t>
        </is>
      </c>
      <c r="D45" s="3" t="inlineStr">
        <is>
          <t>FL</t>
        </is>
      </c>
      <c r="E45" s="14" t="n">
        <v>420000</v>
      </c>
      <c r="F45" s="14" t="n">
        <v>6559.27</v>
      </c>
      <c r="G45" s="14" t="n">
        <v>819.91</v>
      </c>
      <c r="H45" s="14" t="n">
        <v>819.91</v>
      </c>
      <c r="I45" s="14">
        <f>SUM(K45:T45)</f>
        <v/>
      </c>
      <c r="J45" s="14">
        <f>F45-(G45+H45+I45)</f>
        <v/>
      </c>
      <c r="K45" s="14" t="n">
        <v>491.95</v>
      </c>
      <c r="L45" s="14" t="n">
        <v>491.95</v>
      </c>
      <c r="M45" s="14" t="n">
        <v>491.95</v>
      </c>
      <c r="N45" s="14" t="n">
        <v>491.95</v>
      </c>
      <c r="O45" s="14" t="n">
        <v>491.95</v>
      </c>
      <c r="P45" s="14" t="n">
        <v>491.95</v>
      </c>
      <c r="Q45" s="14" t="n">
        <v>491.95</v>
      </c>
      <c r="R45" s="14" t="n">
        <v>491.95</v>
      </c>
      <c r="S45" s="14" t="n">
        <v>491.95</v>
      </c>
      <c r="T45" s="14" t="n">
        <v>491.95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CANON-202605-006038</t>
        </is>
      </c>
      <c r="B46" s="15" t="inlineStr">
        <is>
          <t>2026-05-13</t>
        </is>
      </c>
      <c r="C46" s="15" t="inlineStr">
        <is>
          <t>Everett Kingsford</t>
        </is>
      </c>
      <c r="D46" s="15" t="inlineStr">
        <is>
          <t>TX</t>
        </is>
      </c>
      <c r="E46" s="16" t="n">
        <v>695000</v>
      </c>
      <c r="F46" s="16" t="n">
        <v>11134.31</v>
      </c>
      <c r="G46" s="16" t="n">
        <v>1391.79</v>
      </c>
      <c r="H46" s="16" t="n">
        <v>1391.79</v>
      </c>
      <c r="I46" s="16">
        <f>SUM(K46:T46)</f>
        <v/>
      </c>
      <c r="J46" s="16">
        <f>F46-(G46+H46+I46)</f>
        <v/>
      </c>
      <c r="K46" s="16" t="n">
        <v>835.0700000000001</v>
      </c>
      <c r="L46" s="16" t="n">
        <v>835.0700000000001</v>
      </c>
      <c r="M46" s="16" t="n">
        <v>835.0700000000001</v>
      </c>
      <c r="N46" s="16" t="n">
        <v>835.0700000000001</v>
      </c>
      <c r="O46" s="16" t="n">
        <v>835.0700000000001</v>
      </c>
      <c r="P46" s="16" t="n">
        <v>835.0700000000001</v>
      </c>
      <c r="Q46" s="16" t="n">
        <v>835.0700000000001</v>
      </c>
      <c r="R46" s="16" t="n">
        <v>835.0700000000001</v>
      </c>
      <c r="S46" s="16" t="n">
        <v>835.0700000000001</v>
      </c>
      <c r="T46" s="16" t="n">
        <v>835.0700000000001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CANON-202605-006039</t>
        </is>
      </c>
      <c r="B47" s="3" t="inlineStr">
        <is>
          <t>2026-05-18</t>
        </is>
      </c>
      <c r="C47" s="3" t="inlineStr">
        <is>
          <t>Fitzgerald Pennington</t>
        </is>
      </c>
      <c r="D47" s="3" t="inlineStr">
        <is>
          <t>TN</t>
        </is>
      </c>
      <c r="E47" s="14" t="n">
        <v>1020000</v>
      </c>
      <c r="F47" s="14" t="n">
        <v>5570.15</v>
      </c>
      <c r="G47" s="14" t="n">
        <v>696.27</v>
      </c>
      <c r="H47" s="14" t="n">
        <v>696.27</v>
      </c>
      <c r="I47" s="14">
        <f>SUM(K47:T47)</f>
        <v/>
      </c>
      <c r="J47" s="14">
        <f>F47-(G47+H47+I47)</f>
        <v/>
      </c>
      <c r="K47" s="14" t="n">
        <v>417.76</v>
      </c>
      <c r="L47" s="14" t="n">
        <v>417.76</v>
      </c>
      <c r="M47" s="14" t="n">
        <v>417.76</v>
      </c>
      <c r="N47" s="14" t="n">
        <v>417.76</v>
      </c>
      <c r="O47" s="14" t="n">
        <v>417.76</v>
      </c>
      <c r="P47" s="14" t="n">
        <v>417.76</v>
      </c>
      <c r="Q47" s="14" t="n">
        <v>417.76</v>
      </c>
      <c r="R47" s="14" t="n">
        <v>417.76</v>
      </c>
      <c r="S47" s="14" t="n">
        <v>417.76</v>
      </c>
      <c r="T47" s="14" t="n">
        <v>417.76</v>
      </c>
      <c r="U47" s="14" t="n">
        <v>350</v>
      </c>
      <c r="V47" s="14" t="n">
        <v>250</v>
      </c>
      <c r="W47" s="14">
        <f>U47+V47</f>
        <v/>
      </c>
    </row>
    <row r="48">
      <c r="A48" s="15" t="inlineStr">
        <is>
          <t>CANON-202605-006040</t>
        </is>
      </c>
      <c r="B48" s="15" t="inlineStr">
        <is>
          <t>2026-05-07</t>
        </is>
      </c>
      <c r="C48" s="15" t="inlineStr">
        <is>
          <t>Ingrid Fairweather</t>
        </is>
      </c>
      <c r="D48" s="15" t="inlineStr">
        <is>
          <t>NC</t>
        </is>
      </c>
      <c r="E48" s="16" t="n">
        <v>635000</v>
      </c>
      <c r="F48" s="16" t="n">
        <v>6960.53</v>
      </c>
      <c r="G48" s="16" t="n">
        <v>870.0700000000001</v>
      </c>
      <c r="H48" s="16" t="n">
        <v>870.0700000000001</v>
      </c>
      <c r="I48" s="16">
        <f>SUM(K48:T48)</f>
        <v/>
      </c>
      <c r="J48" s="16">
        <f>F48-(G48+H48+I48)</f>
        <v/>
      </c>
      <c r="K48" s="16" t="n">
        <v>522.04</v>
      </c>
      <c r="L48" s="16" t="n">
        <v>522.04</v>
      </c>
      <c r="M48" s="16" t="n">
        <v>522.04</v>
      </c>
      <c r="N48" s="16" t="n">
        <v>522.04</v>
      </c>
      <c r="O48" s="16" t="n">
        <v>522.04</v>
      </c>
      <c r="P48" s="16" t="n">
        <v>522.04</v>
      </c>
      <c r="Q48" s="16" t="n">
        <v>522.04</v>
      </c>
      <c r="R48" s="16" t="n">
        <v>522.04</v>
      </c>
      <c r="S48" s="16" t="n">
        <v>522.04</v>
      </c>
      <c r="T48" s="16" t="n">
        <v>522.04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CANON-202605-006041</t>
        </is>
      </c>
      <c r="B49" s="3" t="inlineStr">
        <is>
          <t>2026-05-07</t>
        </is>
      </c>
      <c r="C49" s="3" t="inlineStr">
        <is>
          <t>Noor Delacroix</t>
        </is>
      </c>
      <c r="D49" s="3" t="inlineStr">
        <is>
          <t>AR</t>
        </is>
      </c>
      <c r="E49" s="14" t="n">
        <v>415000</v>
      </c>
      <c r="F49" s="14" t="n">
        <v>6298.62</v>
      </c>
      <c r="G49" s="14" t="n">
        <v>787.33</v>
      </c>
      <c r="H49" s="14" t="n">
        <v>787.33</v>
      </c>
      <c r="I49" s="14">
        <f>SUM(K49:T49)</f>
        <v/>
      </c>
      <c r="J49" s="14">
        <f>F49-(G49+H49+I49)</f>
        <v/>
      </c>
      <c r="K49" s="14" t="n">
        <v>472.4</v>
      </c>
      <c r="L49" s="14" t="n">
        <v>472.4</v>
      </c>
      <c r="M49" s="14" t="n">
        <v>472.4</v>
      </c>
      <c r="N49" s="14" t="n">
        <v>472.4</v>
      </c>
      <c r="O49" s="14" t="n">
        <v>472.4</v>
      </c>
      <c r="P49" s="14" t="n">
        <v>472.4</v>
      </c>
      <c r="Q49" s="14" t="n">
        <v>472.4</v>
      </c>
      <c r="R49" s="14" t="n">
        <v>472.4</v>
      </c>
      <c r="S49" s="14" t="n">
        <v>472.4</v>
      </c>
      <c r="T49" s="14" t="n">
        <v>472.4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CANON-202605-006042</t>
        </is>
      </c>
      <c r="B50" s="15" t="inlineStr">
        <is>
          <t>2026-05-18</t>
        </is>
      </c>
      <c r="C50" s="15" t="inlineStr">
        <is>
          <t>Lorenzo Whitlock</t>
        </is>
      </c>
      <c r="D50" s="15" t="inlineStr">
        <is>
          <t>AR</t>
        </is>
      </c>
      <c r="E50" s="16" t="n">
        <v>330000</v>
      </c>
      <c r="F50" s="16" t="n">
        <v>2804.78</v>
      </c>
      <c r="G50" s="16" t="n">
        <v>350.6</v>
      </c>
      <c r="H50" s="16" t="n">
        <v>350.6</v>
      </c>
      <c r="I50" s="16">
        <f>SUM(K50:T50)</f>
        <v/>
      </c>
      <c r="J50" s="16">
        <f>F50-(G50+H50+I50)</f>
        <v/>
      </c>
      <c r="K50" s="16" t="n">
        <v>210.36</v>
      </c>
      <c r="L50" s="16" t="n">
        <v>210.36</v>
      </c>
      <c r="M50" s="16" t="n">
        <v>210.36</v>
      </c>
      <c r="N50" s="16" t="n">
        <v>210.36</v>
      </c>
      <c r="O50" s="16" t="n">
        <v>210.36</v>
      </c>
      <c r="P50" s="16" t="n">
        <v>210.36</v>
      </c>
      <c r="Q50" s="16" t="n">
        <v>210.36</v>
      </c>
      <c r="R50" s="16" t="n">
        <v>210.36</v>
      </c>
      <c r="S50" s="16" t="n">
        <v>210.36</v>
      </c>
      <c r="T50" s="16" t="n">
        <v>210.36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CANON-202605-006044</t>
        </is>
      </c>
      <c r="B51" s="3" t="inlineStr">
        <is>
          <t>2026-05-19</t>
        </is>
      </c>
      <c r="C51" s="3" t="inlineStr">
        <is>
          <t>Priya Farkas</t>
        </is>
      </c>
      <c r="D51" s="3" t="inlineStr">
        <is>
          <t>HI</t>
        </is>
      </c>
      <c r="E51" s="14" t="n">
        <v>805000</v>
      </c>
      <c r="F51" s="14" t="n">
        <v>14578.73</v>
      </c>
      <c r="G51" s="14" t="n">
        <v>1822.34</v>
      </c>
      <c r="H51" s="14" t="n">
        <v>1822.34</v>
      </c>
      <c r="I51" s="14">
        <f>SUM(K51:T51)</f>
        <v/>
      </c>
      <c r="J51" s="14">
        <f>F51-(G51+H51+I51)</f>
        <v/>
      </c>
      <c r="K51" s="14" t="n">
        <v>1093.4</v>
      </c>
      <c r="L51" s="14" t="n">
        <v>1093.4</v>
      </c>
      <c r="M51" s="14" t="n">
        <v>1093.4</v>
      </c>
      <c r="N51" s="14" t="n">
        <v>1093.4</v>
      </c>
      <c r="O51" s="14" t="n">
        <v>1093.4</v>
      </c>
      <c r="P51" s="14" t="n">
        <v>1093.4</v>
      </c>
      <c r="Q51" s="14" t="n">
        <v>1093.4</v>
      </c>
      <c r="R51" s="14" t="n">
        <v>1093.4</v>
      </c>
      <c r="S51" s="14" t="n">
        <v>1093.4</v>
      </c>
      <c r="T51" s="14" t="n">
        <v>1093.4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CANON-202605-006045</t>
        </is>
      </c>
      <c r="B52" s="15" t="inlineStr">
        <is>
          <t>2026-05-21</t>
        </is>
      </c>
      <c r="C52" s="15" t="inlineStr">
        <is>
          <t>Callum Montoya</t>
        </is>
      </c>
      <c r="D52" s="15" t="inlineStr">
        <is>
          <t>SC</t>
        </is>
      </c>
      <c r="E52" s="16" t="n">
        <v>345000</v>
      </c>
      <c r="F52" s="16" t="n">
        <v>4704.99</v>
      </c>
      <c r="G52" s="16" t="n">
        <v>588.12</v>
      </c>
      <c r="H52" s="16" t="n">
        <v>588.12</v>
      </c>
      <c r="I52" s="16">
        <f>SUM(K52:T52)</f>
        <v/>
      </c>
      <c r="J52" s="16">
        <f>F52-(G52+H52+I52)</f>
        <v/>
      </c>
      <c r="K52" s="16" t="n">
        <v>352.87</v>
      </c>
      <c r="L52" s="16" t="n">
        <v>352.87</v>
      </c>
      <c r="M52" s="16" t="n">
        <v>352.87</v>
      </c>
      <c r="N52" s="16" t="n">
        <v>352.87</v>
      </c>
      <c r="O52" s="16" t="n">
        <v>352.87</v>
      </c>
      <c r="P52" s="16" t="n">
        <v>352.87</v>
      </c>
      <c r="Q52" s="16" t="n">
        <v>352.87</v>
      </c>
      <c r="R52" s="16" t="n">
        <v>352.87</v>
      </c>
      <c r="S52" s="16" t="n">
        <v>352.87</v>
      </c>
      <c r="T52" s="16" t="n">
        <v>352.87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CANON-202605-006049</t>
        </is>
      </c>
      <c r="B53" s="3" t="inlineStr">
        <is>
          <t>2026-05-16</t>
        </is>
      </c>
      <c r="C53" s="3" t="inlineStr">
        <is>
          <t>Ingrid Harrington</t>
        </is>
      </c>
      <c r="D53" s="3" t="inlineStr">
        <is>
          <t>LA</t>
        </is>
      </c>
      <c r="E53" s="14" t="n">
        <v>625000</v>
      </c>
      <c r="F53" s="14" t="n">
        <v>10535.27</v>
      </c>
      <c r="G53" s="14" t="n">
        <v>1316.91</v>
      </c>
      <c r="H53" s="14" t="n">
        <v>1316.91</v>
      </c>
      <c r="I53" s="14">
        <f>SUM(K53:T53)</f>
        <v/>
      </c>
      <c r="J53" s="14">
        <f>F53-(G53+H53+I53)</f>
        <v/>
      </c>
      <c r="K53" s="14" t="n">
        <v>790.15</v>
      </c>
      <c r="L53" s="14" t="n">
        <v>790.15</v>
      </c>
      <c r="M53" s="14" t="n">
        <v>790.15</v>
      </c>
      <c r="N53" s="14" t="n">
        <v>790.15</v>
      </c>
      <c r="O53" s="14" t="n">
        <v>790.15</v>
      </c>
      <c r="P53" s="14" t="n">
        <v>790.15</v>
      </c>
      <c r="Q53" s="14" t="n">
        <v>790.15</v>
      </c>
      <c r="R53" s="14" t="n">
        <v>790.15</v>
      </c>
      <c r="S53" s="14" t="n">
        <v>790.15</v>
      </c>
      <c r="T53" s="14" t="n">
        <v>790.15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CANON-202605-006050</t>
        </is>
      </c>
      <c r="B54" s="15" t="inlineStr">
        <is>
          <t>2026-05-26</t>
        </is>
      </c>
      <c r="C54" s="15" t="inlineStr">
        <is>
          <t>Callum Farkas</t>
        </is>
      </c>
      <c r="D54" s="15" t="inlineStr">
        <is>
          <t>MI</t>
        </is>
      </c>
      <c r="E54" s="16" t="n">
        <v>445000</v>
      </c>
      <c r="F54" s="16" t="n">
        <v>7585.95</v>
      </c>
      <c r="G54" s="16" t="n">
        <v>948.24</v>
      </c>
      <c r="H54" s="16" t="n">
        <v>948.24</v>
      </c>
      <c r="I54" s="16">
        <f>SUM(K54:T54)</f>
        <v/>
      </c>
      <c r="J54" s="16">
        <f>F54-(G54+H54+I54)</f>
        <v/>
      </c>
      <c r="K54" s="16" t="n">
        <v>568.95</v>
      </c>
      <c r="L54" s="16" t="n">
        <v>568.95</v>
      </c>
      <c r="M54" s="16" t="n">
        <v>568.95</v>
      </c>
      <c r="N54" s="16" t="n">
        <v>568.95</v>
      </c>
      <c r="O54" s="16" t="n">
        <v>568.95</v>
      </c>
      <c r="P54" s="16" t="n">
        <v>568.95</v>
      </c>
      <c r="Q54" s="16" t="n">
        <v>568.95</v>
      </c>
      <c r="R54" s="16" t="n">
        <v>568.95</v>
      </c>
      <c r="S54" s="16" t="n">
        <v>568.95</v>
      </c>
      <c r="T54" s="16" t="n">
        <v>568.95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CANON-202605-006051</t>
        </is>
      </c>
      <c r="B55" s="3" t="inlineStr">
        <is>
          <t>2026-05-10</t>
        </is>
      </c>
      <c r="C55" s="3" t="inlineStr">
        <is>
          <t>Wilhelmina Underwood</t>
        </is>
      </c>
      <c r="D55" s="3" t="inlineStr">
        <is>
          <t>MN</t>
        </is>
      </c>
      <c r="E55" s="14" t="n">
        <v>435000</v>
      </c>
      <c r="F55" s="14" t="n">
        <v>9683.18</v>
      </c>
      <c r="G55" s="14" t="n">
        <v>1210.4</v>
      </c>
      <c r="H55" s="14" t="n">
        <v>1210.4</v>
      </c>
      <c r="I55" s="14">
        <f>SUM(K55:T55)</f>
        <v/>
      </c>
      <c r="J55" s="14">
        <f>F55-(G55+H55+I55)</f>
        <v/>
      </c>
      <c r="K55" s="14" t="n">
        <v>726.24</v>
      </c>
      <c r="L55" s="14" t="n">
        <v>726.24</v>
      </c>
      <c r="M55" s="14" t="n">
        <v>726.24</v>
      </c>
      <c r="N55" s="14" t="n">
        <v>726.24</v>
      </c>
      <c r="O55" s="14" t="n">
        <v>726.24</v>
      </c>
      <c r="P55" s="14" t="n">
        <v>726.24</v>
      </c>
      <c r="Q55" s="14" t="n">
        <v>726.24</v>
      </c>
      <c r="R55" s="14" t="n">
        <v>726.24</v>
      </c>
      <c r="S55" s="14" t="n">
        <v>726.24</v>
      </c>
      <c r="T55" s="14" t="n">
        <v>726.24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CANON-202605-006052</t>
        </is>
      </c>
      <c r="B56" s="15" t="inlineStr">
        <is>
          <t>2026-05-30</t>
        </is>
      </c>
      <c r="C56" s="15" t="inlineStr">
        <is>
          <t>Sunniva Kingsford</t>
        </is>
      </c>
      <c r="D56" s="15" t="inlineStr">
        <is>
          <t>TX</t>
        </is>
      </c>
      <c r="E56" s="16" t="n">
        <v>440000</v>
      </c>
      <c r="F56" s="16" t="n">
        <v>5565.05</v>
      </c>
      <c r="G56" s="16" t="n">
        <v>695.63</v>
      </c>
      <c r="H56" s="16" t="n">
        <v>695.63</v>
      </c>
      <c r="I56" s="16">
        <f>SUM(K56:T56)</f>
        <v/>
      </c>
      <c r="J56" s="16">
        <f>F56-(G56+H56+I56)</f>
        <v/>
      </c>
      <c r="K56" s="16" t="n">
        <v>417.38</v>
      </c>
      <c r="L56" s="16" t="n">
        <v>417.38</v>
      </c>
      <c r="M56" s="16" t="n">
        <v>417.38</v>
      </c>
      <c r="N56" s="16" t="n">
        <v>417.38</v>
      </c>
      <c r="O56" s="16" t="n">
        <v>417.38</v>
      </c>
      <c r="P56" s="16" t="n">
        <v>417.38</v>
      </c>
      <c r="Q56" s="16" t="n">
        <v>417.38</v>
      </c>
      <c r="R56" s="16" t="n">
        <v>417.38</v>
      </c>
      <c r="S56" s="16" t="n">
        <v>417.38</v>
      </c>
      <c r="T56" s="16" t="n">
        <v>417.38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CANON-202605-006053</t>
        </is>
      </c>
      <c r="B57" s="3" t="inlineStr">
        <is>
          <t>2026-05-21</t>
        </is>
      </c>
      <c r="C57" s="3" t="inlineStr">
        <is>
          <t>Fitzgerald Nakashima</t>
        </is>
      </c>
      <c r="D57" s="3" t="inlineStr">
        <is>
          <t>CT</t>
        </is>
      </c>
      <c r="E57" s="14" t="n">
        <v>810000</v>
      </c>
      <c r="F57" s="14" t="n">
        <v>8647.16</v>
      </c>
      <c r="G57" s="14" t="n">
        <v>1080.89</v>
      </c>
      <c r="H57" s="14" t="n">
        <v>1080.89</v>
      </c>
      <c r="I57" s="14">
        <f>SUM(K57:T57)</f>
        <v/>
      </c>
      <c r="J57" s="14">
        <f>F57-(G57+H57+I57)</f>
        <v/>
      </c>
      <c r="K57" s="14" t="n">
        <v>648.54</v>
      </c>
      <c r="L57" s="14" t="n">
        <v>648.54</v>
      </c>
      <c r="M57" s="14" t="n">
        <v>648.54</v>
      </c>
      <c r="N57" s="14" t="n">
        <v>648.54</v>
      </c>
      <c r="O57" s="14" t="n">
        <v>648.54</v>
      </c>
      <c r="P57" s="14" t="n">
        <v>648.54</v>
      </c>
      <c r="Q57" s="14" t="n">
        <v>648.54</v>
      </c>
      <c r="R57" s="14" t="n">
        <v>648.54</v>
      </c>
      <c r="S57" s="14" t="n">
        <v>648.54</v>
      </c>
      <c r="T57" s="14" t="n">
        <v>648.54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CANON-202605-006054</t>
        </is>
      </c>
      <c r="B58" s="15" t="inlineStr">
        <is>
          <t>2026-05-13</t>
        </is>
      </c>
      <c r="C58" s="15" t="inlineStr">
        <is>
          <t>Emiliano Kingsford</t>
        </is>
      </c>
      <c r="D58" s="15" t="inlineStr">
        <is>
          <t>NV</t>
        </is>
      </c>
      <c r="E58" s="16" t="n">
        <v>275000</v>
      </c>
      <c r="F58" s="16" t="n">
        <v>3538.65</v>
      </c>
      <c r="G58" s="16" t="n">
        <v>442.33</v>
      </c>
      <c r="H58" s="16" t="n">
        <v>442.33</v>
      </c>
      <c r="I58" s="16">
        <f>SUM(K58:T58)</f>
        <v/>
      </c>
      <c r="J58" s="16">
        <f>F58-(G58+H58+I58)</f>
        <v/>
      </c>
      <c r="K58" s="16" t="n">
        <v>265.4</v>
      </c>
      <c r="L58" s="16" t="n">
        <v>265.4</v>
      </c>
      <c r="M58" s="16" t="n">
        <v>265.4</v>
      </c>
      <c r="N58" s="16" t="n">
        <v>265.4</v>
      </c>
      <c r="O58" s="16" t="n">
        <v>265.4</v>
      </c>
      <c r="P58" s="16" t="n">
        <v>265.4</v>
      </c>
      <c r="Q58" s="16" t="n">
        <v>265.4</v>
      </c>
      <c r="R58" s="16" t="n">
        <v>265.4</v>
      </c>
      <c r="S58" s="16" t="n">
        <v>265.4</v>
      </c>
      <c r="T58" s="16" t="n">
        <v>265.4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CANON-202605-006056</t>
        </is>
      </c>
      <c r="B59" s="3" t="inlineStr">
        <is>
          <t>2026-05-04</t>
        </is>
      </c>
      <c r="C59" s="3" t="inlineStr">
        <is>
          <t>Horace Harrington</t>
        </is>
      </c>
      <c r="D59" s="3" t="inlineStr">
        <is>
          <t>NY</t>
        </is>
      </c>
      <c r="E59" s="14" t="n">
        <v>505000</v>
      </c>
      <c r="F59" s="14" t="n">
        <v>6161.29</v>
      </c>
      <c r="G59" s="14" t="n">
        <v>770.16</v>
      </c>
      <c r="H59" s="14" t="n">
        <v>770.16</v>
      </c>
      <c r="I59" s="14">
        <f>SUM(K59:T59)</f>
        <v/>
      </c>
      <c r="J59" s="14">
        <f>F59-(G59+H59+I59)</f>
        <v/>
      </c>
      <c r="K59" s="14" t="n">
        <v>462.1</v>
      </c>
      <c r="L59" s="14" t="n">
        <v>462.1</v>
      </c>
      <c r="M59" s="14" t="n">
        <v>462.1</v>
      </c>
      <c r="N59" s="14" t="n">
        <v>462.1</v>
      </c>
      <c r="O59" s="14" t="n">
        <v>462.1</v>
      </c>
      <c r="P59" s="14" t="n">
        <v>462.1</v>
      </c>
      <c r="Q59" s="14" t="n">
        <v>462.1</v>
      </c>
      <c r="R59" s="14" t="n">
        <v>462.1</v>
      </c>
      <c r="S59" s="14" t="n">
        <v>462.1</v>
      </c>
      <c r="T59" s="14" t="n">
        <v>462.1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CANON-202605-006057</t>
        </is>
      </c>
      <c r="B60" s="15" t="inlineStr">
        <is>
          <t>2026-05-30</t>
        </is>
      </c>
      <c r="C60" s="15" t="inlineStr">
        <is>
          <t>Wilhelmina Blackwood</t>
        </is>
      </c>
      <c r="D60" s="15" t="inlineStr">
        <is>
          <t>DE</t>
        </is>
      </c>
      <c r="E60" s="16" t="n">
        <v>620000</v>
      </c>
      <c r="F60" s="16" t="n">
        <v>10796.48</v>
      </c>
      <c r="G60" s="16" t="n">
        <v>1349.56</v>
      </c>
      <c r="H60" s="16" t="n">
        <v>1349.56</v>
      </c>
      <c r="I60" s="16">
        <f>SUM(K60:T60)</f>
        <v/>
      </c>
      <c r="J60" s="16">
        <f>F60-(G60+H60+I60)</f>
        <v/>
      </c>
      <c r="K60" s="16" t="n">
        <v>809.74</v>
      </c>
      <c r="L60" s="16" t="n">
        <v>809.74</v>
      </c>
      <c r="M60" s="16" t="n">
        <v>809.74</v>
      </c>
      <c r="N60" s="16" t="n">
        <v>809.74</v>
      </c>
      <c r="O60" s="16" t="n">
        <v>809.74</v>
      </c>
      <c r="P60" s="16" t="n">
        <v>809.74</v>
      </c>
      <c r="Q60" s="16" t="n">
        <v>809.74</v>
      </c>
      <c r="R60" s="16" t="n">
        <v>809.74</v>
      </c>
      <c r="S60" s="16" t="n">
        <v>809.74</v>
      </c>
      <c r="T60" s="16" t="n">
        <v>809.74</v>
      </c>
      <c r="U60" s="16" t="n">
        <v>350</v>
      </c>
      <c r="V60" s="16" t="n">
        <v>0</v>
      </c>
      <c r="W60" s="16">
        <f>U60+V60</f>
        <v/>
      </c>
    </row>
    <row r="61">
      <c r="A61" s="3" t="inlineStr">
        <is>
          <t>CANON-202605-006059</t>
        </is>
      </c>
      <c r="B61" s="3" t="inlineStr">
        <is>
          <t>2026-05-24</t>
        </is>
      </c>
      <c r="C61" s="3" t="inlineStr">
        <is>
          <t>Mireille Okonkwo</t>
        </is>
      </c>
      <c r="D61" s="3" t="inlineStr">
        <is>
          <t>MS</t>
        </is>
      </c>
      <c r="E61" s="14" t="n">
        <v>1950000</v>
      </c>
      <c r="F61" s="14" t="n">
        <v>18715.49</v>
      </c>
      <c r="G61" s="14" t="n">
        <v>2339.44</v>
      </c>
      <c r="H61" s="14" t="n">
        <v>2339.44</v>
      </c>
      <c r="I61" s="14">
        <f>SUM(K61:T61)</f>
        <v/>
      </c>
      <c r="J61" s="14">
        <f>F61-(G61+H61+I61)</f>
        <v/>
      </c>
      <c r="K61" s="14" t="n">
        <v>1403.66</v>
      </c>
      <c r="L61" s="14" t="n">
        <v>1403.66</v>
      </c>
      <c r="M61" s="14" t="n">
        <v>1403.66</v>
      </c>
      <c r="N61" s="14" t="n">
        <v>1403.66</v>
      </c>
      <c r="O61" s="14" t="n">
        <v>1403.66</v>
      </c>
      <c r="P61" s="14" t="n">
        <v>1403.66</v>
      </c>
      <c r="Q61" s="14" t="n">
        <v>1403.66</v>
      </c>
      <c r="R61" s="14" t="n">
        <v>1403.66</v>
      </c>
      <c r="S61" s="14" t="n">
        <v>1403.66</v>
      </c>
      <c r="T61" s="14" t="n">
        <v>1403.66</v>
      </c>
      <c r="U61" s="14" t="n">
        <v>350</v>
      </c>
      <c r="V61" s="14" t="n">
        <v>250</v>
      </c>
      <c r="W61" s="14">
        <f>U61+V61</f>
        <v/>
      </c>
    </row>
    <row r="62">
      <c r="A62" s="15" t="inlineStr">
        <is>
          <t>CANON-202605-006060</t>
        </is>
      </c>
      <c r="B62" s="15" t="inlineStr">
        <is>
          <t>2026-05-11</t>
        </is>
      </c>
      <c r="C62" s="15" t="inlineStr">
        <is>
          <t>Emiliano Vasquez</t>
        </is>
      </c>
      <c r="D62" s="15" t="inlineStr">
        <is>
          <t>LA</t>
        </is>
      </c>
      <c r="E62" s="16" t="n">
        <v>1590000</v>
      </c>
      <c r="F62" s="16" t="n">
        <v>15516.8</v>
      </c>
      <c r="G62" s="16" t="n">
        <v>1939.6</v>
      </c>
      <c r="H62" s="16" t="n">
        <v>1939.6</v>
      </c>
      <c r="I62" s="16">
        <f>SUM(K62:T62)</f>
        <v/>
      </c>
      <c r="J62" s="16">
        <f>F62-(G62+H62+I62)</f>
        <v/>
      </c>
      <c r="K62" s="16" t="n">
        <v>1163.76</v>
      </c>
      <c r="L62" s="16" t="n">
        <v>1163.76</v>
      </c>
      <c r="M62" s="16" t="n">
        <v>1163.76</v>
      </c>
      <c r="N62" s="16" t="n">
        <v>1163.76</v>
      </c>
      <c r="O62" s="16" t="n">
        <v>1163.76</v>
      </c>
      <c r="P62" s="16" t="n">
        <v>1163.76</v>
      </c>
      <c r="Q62" s="16" t="n">
        <v>1163.76</v>
      </c>
      <c r="R62" s="16" t="n">
        <v>1163.76</v>
      </c>
      <c r="S62" s="16" t="n">
        <v>1163.76</v>
      </c>
      <c r="T62" s="16" t="n">
        <v>1163.76</v>
      </c>
      <c r="U62" s="16" t="n">
        <v>350</v>
      </c>
      <c r="V62" s="16" t="n">
        <v>250</v>
      </c>
      <c r="W62" s="16">
        <f>U62+V62</f>
        <v/>
      </c>
    </row>
    <row r="63">
      <c r="A63" s="3" t="inlineStr">
        <is>
          <t>CANON-202605-006061</t>
        </is>
      </c>
      <c r="B63" s="3" t="inlineStr">
        <is>
          <t>2026-05-01</t>
        </is>
      </c>
      <c r="C63" s="3" t="inlineStr">
        <is>
          <t>Fenwick Chattopadhyay</t>
        </is>
      </c>
      <c r="D63" s="3" t="inlineStr">
        <is>
          <t>KS</t>
        </is>
      </c>
      <c r="E63" s="14" t="n">
        <v>765000</v>
      </c>
      <c r="F63" s="14" t="n">
        <v>7072.99</v>
      </c>
      <c r="G63" s="14" t="n">
        <v>884.12</v>
      </c>
      <c r="H63" s="14" t="n">
        <v>884.12</v>
      </c>
      <c r="I63" s="14">
        <f>SUM(K63:T63)</f>
        <v/>
      </c>
      <c r="J63" s="14">
        <f>F63-(G63+H63+I63)</f>
        <v/>
      </c>
      <c r="K63" s="14" t="n">
        <v>530.47</v>
      </c>
      <c r="L63" s="14" t="n">
        <v>530.47</v>
      </c>
      <c r="M63" s="14" t="n">
        <v>530.47</v>
      </c>
      <c r="N63" s="14" t="n">
        <v>530.47</v>
      </c>
      <c r="O63" s="14" t="n">
        <v>530.47</v>
      </c>
      <c r="P63" s="14" t="n">
        <v>530.47</v>
      </c>
      <c r="Q63" s="14" t="n">
        <v>530.47</v>
      </c>
      <c r="R63" s="14" t="n">
        <v>530.47</v>
      </c>
      <c r="S63" s="14" t="n">
        <v>530.47</v>
      </c>
      <c r="T63" s="14" t="n">
        <v>530.47</v>
      </c>
      <c r="U63" s="14" t="n">
        <v>350</v>
      </c>
      <c r="V63" s="14" t="n">
        <v>0</v>
      </c>
      <c r="W63" s="14">
        <f>U63+V63</f>
        <v/>
      </c>
    </row>
    <row r="64">
      <c r="A64" s="15" t="inlineStr">
        <is>
          <t>CANON-202605-006062</t>
        </is>
      </c>
      <c r="B64" s="15" t="inlineStr">
        <is>
          <t>2026-05-06</t>
        </is>
      </c>
      <c r="C64" s="15" t="inlineStr">
        <is>
          <t>Delphine Kingsford</t>
        </is>
      </c>
      <c r="D64" s="15" t="inlineStr">
        <is>
          <t>MA</t>
        </is>
      </c>
      <c r="E64" s="16" t="n">
        <v>1815000</v>
      </c>
      <c r="F64" s="16" t="n">
        <v>12642.33</v>
      </c>
      <c r="G64" s="16" t="n">
        <v>1580.29</v>
      </c>
      <c r="H64" s="16" t="n">
        <v>1580.29</v>
      </c>
      <c r="I64" s="16">
        <f>SUM(K64:T64)</f>
        <v/>
      </c>
      <c r="J64" s="16">
        <f>F64-(G64+H64+I64)</f>
        <v/>
      </c>
      <c r="K64" s="16" t="n">
        <v>948.17</v>
      </c>
      <c r="L64" s="16" t="n">
        <v>948.17</v>
      </c>
      <c r="M64" s="16" t="n">
        <v>948.17</v>
      </c>
      <c r="N64" s="16" t="n">
        <v>948.17</v>
      </c>
      <c r="O64" s="16" t="n">
        <v>948.17</v>
      </c>
      <c r="P64" s="16" t="n">
        <v>948.17</v>
      </c>
      <c r="Q64" s="16" t="n">
        <v>948.17</v>
      </c>
      <c r="R64" s="16" t="n">
        <v>948.17</v>
      </c>
      <c r="S64" s="16" t="n">
        <v>948.17</v>
      </c>
      <c r="T64" s="16" t="n">
        <v>948.17</v>
      </c>
      <c r="U64" s="16" t="n">
        <v>350</v>
      </c>
      <c r="V64" s="16" t="n">
        <v>250</v>
      </c>
      <c r="W64" s="16">
        <f>U64+V64</f>
        <v/>
      </c>
    </row>
    <row r="65">
      <c r="A65" s="3" t="inlineStr">
        <is>
          <t>CANON-202605-006063</t>
        </is>
      </c>
      <c r="B65" s="3" t="inlineStr">
        <is>
          <t>2026-05-14</t>
        </is>
      </c>
      <c r="C65" s="3" t="inlineStr">
        <is>
          <t>Beatrix Chattopadhyay</t>
        </is>
      </c>
      <c r="D65" s="3" t="inlineStr">
        <is>
          <t>WY</t>
        </is>
      </c>
      <c r="E65" s="14" t="n">
        <v>420000</v>
      </c>
      <c r="F65" s="14" t="n">
        <v>4942.55</v>
      </c>
      <c r="G65" s="14" t="n">
        <v>617.8200000000001</v>
      </c>
      <c r="H65" s="14" t="n">
        <v>617.8200000000001</v>
      </c>
      <c r="I65" s="14">
        <f>SUM(K65:T65)</f>
        <v/>
      </c>
      <c r="J65" s="14">
        <f>F65-(G65+H65+I65)</f>
        <v/>
      </c>
      <c r="K65" s="14" t="n">
        <v>370.69</v>
      </c>
      <c r="L65" s="14" t="n">
        <v>370.69</v>
      </c>
      <c r="M65" s="14" t="n">
        <v>370.69</v>
      </c>
      <c r="N65" s="14" t="n">
        <v>370.69</v>
      </c>
      <c r="O65" s="14" t="n">
        <v>370.69</v>
      </c>
      <c r="P65" s="14" t="n">
        <v>370.69</v>
      </c>
      <c r="Q65" s="14" t="n">
        <v>370.69</v>
      </c>
      <c r="R65" s="14" t="n">
        <v>370.69</v>
      </c>
      <c r="S65" s="14" t="n">
        <v>370.69</v>
      </c>
      <c r="T65" s="14" t="n">
        <v>370.69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CANON-202605-006064</t>
        </is>
      </c>
      <c r="B66" s="15" t="inlineStr">
        <is>
          <t>2026-05-08</t>
        </is>
      </c>
      <c r="C66" s="15" t="inlineStr">
        <is>
          <t>Thaddeus Thistlewood</t>
        </is>
      </c>
      <c r="D66" s="15" t="inlineStr">
        <is>
          <t>ND</t>
        </is>
      </c>
      <c r="E66" s="16" t="n">
        <v>660000</v>
      </c>
      <c r="F66" s="16" t="n">
        <v>6416.74</v>
      </c>
      <c r="G66" s="16" t="n">
        <v>802.09</v>
      </c>
      <c r="H66" s="16" t="n">
        <v>802.09</v>
      </c>
      <c r="I66" s="16">
        <f>SUM(K66:T66)</f>
        <v/>
      </c>
      <c r="J66" s="16">
        <f>F66-(G66+H66+I66)</f>
        <v/>
      </c>
      <c r="K66" s="16" t="n">
        <v>481.26</v>
      </c>
      <c r="L66" s="16" t="n">
        <v>481.26</v>
      </c>
      <c r="M66" s="16" t="n">
        <v>481.26</v>
      </c>
      <c r="N66" s="16" t="n">
        <v>481.26</v>
      </c>
      <c r="O66" s="16" t="n">
        <v>481.26</v>
      </c>
      <c r="P66" s="16" t="n">
        <v>481.26</v>
      </c>
      <c r="Q66" s="16" t="n">
        <v>481.26</v>
      </c>
      <c r="R66" s="16" t="n">
        <v>481.26</v>
      </c>
      <c r="S66" s="16" t="n">
        <v>481.26</v>
      </c>
      <c r="T66" s="16" t="n">
        <v>481.26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CANON-202605-006065</t>
        </is>
      </c>
      <c r="B67" s="3" t="inlineStr">
        <is>
          <t>2026-05-20</t>
        </is>
      </c>
      <c r="C67" s="3" t="inlineStr">
        <is>
          <t>Cassius Bellandi</t>
        </is>
      </c>
      <c r="D67" s="3" t="inlineStr">
        <is>
          <t>NE</t>
        </is>
      </c>
      <c r="E67" s="14" t="n">
        <v>620000</v>
      </c>
      <c r="F67" s="14" t="n">
        <v>7682.55</v>
      </c>
      <c r="G67" s="14" t="n">
        <v>960.3200000000001</v>
      </c>
      <c r="H67" s="14" t="n">
        <v>960.3200000000001</v>
      </c>
      <c r="I67" s="14">
        <f>SUM(K67:T67)</f>
        <v/>
      </c>
      <c r="J67" s="14">
        <f>F67-(G67+H67+I67)</f>
        <v/>
      </c>
      <c r="K67" s="14" t="n">
        <v>576.1900000000001</v>
      </c>
      <c r="L67" s="14" t="n">
        <v>576.1900000000001</v>
      </c>
      <c r="M67" s="14" t="n">
        <v>576.1900000000001</v>
      </c>
      <c r="N67" s="14" t="n">
        <v>576.1900000000001</v>
      </c>
      <c r="O67" s="14" t="n">
        <v>576.1900000000001</v>
      </c>
      <c r="P67" s="14" t="n">
        <v>576.1900000000001</v>
      </c>
      <c r="Q67" s="14" t="n">
        <v>576.1900000000001</v>
      </c>
      <c r="R67" s="14" t="n">
        <v>576.1900000000001</v>
      </c>
      <c r="S67" s="14" t="n">
        <v>576.1900000000001</v>
      </c>
      <c r="T67" s="14" t="n">
        <v>576.1900000000001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CANON-202605-006066</t>
        </is>
      </c>
      <c r="B68" s="15" t="inlineStr">
        <is>
          <t>2026-05-06</t>
        </is>
      </c>
      <c r="C68" s="15" t="inlineStr">
        <is>
          <t>Everett Thistlewood</t>
        </is>
      </c>
      <c r="D68" s="15" t="inlineStr">
        <is>
          <t>MA</t>
        </is>
      </c>
      <c r="E68" s="16" t="n">
        <v>380000</v>
      </c>
      <c r="F68" s="16" t="n">
        <v>5224.11</v>
      </c>
      <c r="G68" s="16" t="n">
        <v>653.01</v>
      </c>
      <c r="H68" s="16" t="n">
        <v>653.01</v>
      </c>
      <c r="I68" s="16">
        <f>SUM(K68:T68)</f>
        <v/>
      </c>
      <c r="J68" s="16">
        <f>F68-(G68+H68+I68)</f>
        <v/>
      </c>
      <c r="K68" s="16" t="n">
        <v>391.81</v>
      </c>
      <c r="L68" s="16" t="n">
        <v>391.81</v>
      </c>
      <c r="M68" s="16" t="n">
        <v>391.81</v>
      </c>
      <c r="N68" s="16" t="n">
        <v>391.81</v>
      </c>
      <c r="O68" s="16" t="n">
        <v>391.81</v>
      </c>
      <c r="P68" s="16" t="n">
        <v>391.81</v>
      </c>
      <c r="Q68" s="16" t="n">
        <v>391.81</v>
      </c>
      <c r="R68" s="16" t="n">
        <v>391.81</v>
      </c>
      <c r="S68" s="16" t="n">
        <v>391.81</v>
      </c>
      <c r="T68" s="16" t="n">
        <v>391.81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CANON-202605-006069</t>
        </is>
      </c>
      <c r="B69" s="3" t="inlineStr">
        <is>
          <t>2026-05-16</t>
        </is>
      </c>
      <c r="C69" s="3" t="inlineStr">
        <is>
          <t>Fitzgerald Merriweather</t>
        </is>
      </c>
      <c r="D69" s="3" t="inlineStr">
        <is>
          <t>CO</t>
        </is>
      </c>
      <c r="E69" s="14" t="n">
        <v>465000</v>
      </c>
      <c r="F69" s="14" t="n">
        <v>8625.82</v>
      </c>
      <c r="G69" s="14" t="n">
        <v>1078.23</v>
      </c>
      <c r="H69" s="14" t="n">
        <v>1078.23</v>
      </c>
      <c r="I69" s="14">
        <f>SUM(K69:T69)</f>
        <v/>
      </c>
      <c r="J69" s="14">
        <f>F69-(G69+H69+I69)</f>
        <v/>
      </c>
      <c r="K69" s="14" t="n">
        <v>646.9400000000001</v>
      </c>
      <c r="L69" s="14" t="n">
        <v>646.9400000000001</v>
      </c>
      <c r="M69" s="14" t="n">
        <v>646.9400000000001</v>
      </c>
      <c r="N69" s="14" t="n">
        <v>646.9400000000001</v>
      </c>
      <c r="O69" s="14" t="n">
        <v>646.9400000000001</v>
      </c>
      <c r="P69" s="14" t="n">
        <v>646.9400000000001</v>
      </c>
      <c r="Q69" s="14" t="n">
        <v>646.9400000000001</v>
      </c>
      <c r="R69" s="14" t="n">
        <v>646.9400000000001</v>
      </c>
      <c r="S69" s="14" t="n">
        <v>646.9400000000001</v>
      </c>
      <c r="T69" s="14" t="n">
        <v>646.9400000000001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CANON-202605-006071</t>
        </is>
      </c>
      <c r="B70" s="15" t="inlineStr">
        <is>
          <t>2026-05-25</t>
        </is>
      </c>
      <c r="C70" s="15" t="inlineStr">
        <is>
          <t>Ingrid Whitlock</t>
        </is>
      </c>
      <c r="D70" s="15" t="inlineStr">
        <is>
          <t>NY</t>
        </is>
      </c>
      <c r="E70" s="16" t="n">
        <v>660000</v>
      </c>
      <c r="F70" s="16" t="n">
        <v>8052.37</v>
      </c>
      <c r="G70" s="16" t="n">
        <v>1006.55</v>
      </c>
      <c r="H70" s="16" t="n">
        <v>1006.55</v>
      </c>
      <c r="I70" s="16">
        <f>SUM(K70:T70)</f>
        <v/>
      </c>
      <c r="J70" s="16">
        <f>F70-(G70+H70+I70)</f>
        <v/>
      </c>
      <c r="K70" s="16" t="n">
        <v>603.9299999999999</v>
      </c>
      <c r="L70" s="16" t="n">
        <v>603.9299999999999</v>
      </c>
      <c r="M70" s="16" t="n">
        <v>603.9299999999999</v>
      </c>
      <c r="N70" s="16" t="n">
        <v>603.9299999999999</v>
      </c>
      <c r="O70" s="16" t="n">
        <v>603.9299999999999</v>
      </c>
      <c r="P70" s="16" t="n">
        <v>603.9299999999999</v>
      </c>
      <c r="Q70" s="16" t="n">
        <v>603.9299999999999</v>
      </c>
      <c r="R70" s="16" t="n">
        <v>603.9299999999999</v>
      </c>
      <c r="S70" s="16" t="n">
        <v>603.9299999999999</v>
      </c>
      <c r="T70" s="16" t="n">
        <v>603.9299999999999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CANON-202605-006072</t>
        </is>
      </c>
      <c r="B71" s="3" t="inlineStr">
        <is>
          <t>2026-05-17</t>
        </is>
      </c>
      <c r="C71" s="3" t="inlineStr">
        <is>
          <t>Callum Vandermeer</t>
        </is>
      </c>
      <c r="D71" s="3" t="inlineStr">
        <is>
          <t>AL</t>
        </is>
      </c>
      <c r="E71" s="14" t="n">
        <v>590000</v>
      </c>
      <c r="F71" s="14" t="n">
        <v>7142.1</v>
      </c>
      <c r="G71" s="14" t="n">
        <v>892.76</v>
      </c>
      <c r="H71" s="14" t="n">
        <v>892.76</v>
      </c>
      <c r="I71" s="14">
        <f>SUM(K71:T71)</f>
        <v/>
      </c>
      <c r="J71" s="14">
        <f>F71-(G71+H71+I71)</f>
        <v/>
      </c>
      <c r="K71" s="14" t="n">
        <v>535.66</v>
      </c>
      <c r="L71" s="14" t="n">
        <v>535.66</v>
      </c>
      <c r="M71" s="14" t="n">
        <v>535.66</v>
      </c>
      <c r="N71" s="14" t="n">
        <v>535.66</v>
      </c>
      <c r="O71" s="14" t="n">
        <v>535.66</v>
      </c>
      <c r="P71" s="14" t="n">
        <v>535.66</v>
      </c>
      <c r="Q71" s="14" t="n">
        <v>535.66</v>
      </c>
      <c r="R71" s="14" t="n">
        <v>535.66</v>
      </c>
      <c r="S71" s="14" t="n">
        <v>535.66</v>
      </c>
      <c r="T71" s="14" t="n">
        <v>535.66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CANON-202605-006074</t>
        </is>
      </c>
      <c r="B72" s="15" t="inlineStr">
        <is>
          <t>2026-05-05</t>
        </is>
      </c>
      <c r="C72" s="15" t="inlineStr">
        <is>
          <t>Fitzgerald Montoya</t>
        </is>
      </c>
      <c r="D72" s="15" t="inlineStr">
        <is>
          <t>CO</t>
        </is>
      </c>
      <c r="E72" s="16" t="n">
        <v>955000</v>
      </c>
      <c r="F72" s="16" t="n">
        <v>10013.05</v>
      </c>
      <c r="G72" s="16" t="n">
        <v>1251.63</v>
      </c>
      <c r="H72" s="16" t="n">
        <v>1251.63</v>
      </c>
      <c r="I72" s="16">
        <f>SUM(K72:T72)</f>
        <v/>
      </c>
      <c r="J72" s="16">
        <f>F72-(G72+H72+I72)</f>
        <v/>
      </c>
      <c r="K72" s="16" t="n">
        <v>750.98</v>
      </c>
      <c r="L72" s="16" t="n">
        <v>750.98</v>
      </c>
      <c r="M72" s="16" t="n">
        <v>750.98</v>
      </c>
      <c r="N72" s="16" t="n">
        <v>750.98</v>
      </c>
      <c r="O72" s="16" t="n">
        <v>750.98</v>
      </c>
      <c r="P72" s="16" t="n">
        <v>750.98</v>
      </c>
      <c r="Q72" s="16" t="n">
        <v>750.98</v>
      </c>
      <c r="R72" s="16" t="n">
        <v>750.98</v>
      </c>
      <c r="S72" s="16" t="n">
        <v>750.98</v>
      </c>
      <c r="T72" s="16" t="n">
        <v>750.98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CANON-202605-006075</t>
        </is>
      </c>
      <c r="B73" s="3" t="inlineStr">
        <is>
          <t>2026-05-07</t>
        </is>
      </c>
      <c r="C73" s="3" t="inlineStr">
        <is>
          <t>Fitzgerald Nakashima</t>
        </is>
      </c>
      <c r="D73" s="3" t="inlineStr">
        <is>
          <t>NC</t>
        </is>
      </c>
      <c r="E73" s="14" t="n">
        <v>265000</v>
      </c>
      <c r="F73" s="14" t="n">
        <v>3351.68</v>
      </c>
      <c r="G73" s="14" t="n">
        <v>418.96</v>
      </c>
      <c r="H73" s="14" t="n">
        <v>418.96</v>
      </c>
      <c r="I73" s="14">
        <f>SUM(K73:T73)</f>
        <v/>
      </c>
      <c r="J73" s="14">
        <f>F73-(G73+H73+I73)</f>
        <v/>
      </c>
      <c r="K73" s="14" t="n">
        <v>251.38</v>
      </c>
      <c r="L73" s="14" t="n">
        <v>251.38</v>
      </c>
      <c r="M73" s="14" t="n">
        <v>251.38</v>
      </c>
      <c r="N73" s="14" t="n">
        <v>251.38</v>
      </c>
      <c r="O73" s="14" t="n">
        <v>251.38</v>
      </c>
      <c r="P73" s="14" t="n">
        <v>251.38</v>
      </c>
      <c r="Q73" s="14" t="n">
        <v>251.38</v>
      </c>
      <c r="R73" s="14" t="n">
        <v>251.38</v>
      </c>
      <c r="S73" s="14" t="n">
        <v>251.38</v>
      </c>
      <c r="T73" s="14" t="n">
        <v>251.38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CANON-202605-006076</t>
        </is>
      </c>
      <c r="B74" s="15" t="inlineStr">
        <is>
          <t>2026-05-28</t>
        </is>
      </c>
      <c r="C74" s="15" t="inlineStr">
        <is>
          <t>Priya Fairweather</t>
        </is>
      </c>
      <c r="D74" s="15" t="inlineStr">
        <is>
          <t>FL</t>
        </is>
      </c>
      <c r="E74" s="16" t="n">
        <v>400000</v>
      </c>
      <c r="F74" s="16" t="n">
        <v>6246.93</v>
      </c>
      <c r="G74" s="16" t="n">
        <v>780.87</v>
      </c>
      <c r="H74" s="16" t="n">
        <v>780.87</v>
      </c>
      <c r="I74" s="16">
        <f>SUM(K74:T74)</f>
        <v/>
      </c>
      <c r="J74" s="16">
        <f>F74-(G74+H74+I74)</f>
        <v/>
      </c>
      <c r="K74" s="16" t="n">
        <v>468.52</v>
      </c>
      <c r="L74" s="16" t="n">
        <v>468.52</v>
      </c>
      <c r="M74" s="16" t="n">
        <v>468.52</v>
      </c>
      <c r="N74" s="16" t="n">
        <v>468.52</v>
      </c>
      <c r="O74" s="16" t="n">
        <v>468.52</v>
      </c>
      <c r="P74" s="16" t="n">
        <v>468.52</v>
      </c>
      <c r="Q74" s="16" t="n">
        <v>468.52</v>
      </c>
      <c r="R74" s="16" t="n">
        <v>468.52</v>
      </c>
      <c r="S74" s="16" t="n">
        <v>468.52</v>
      </c>
      <c r="T74" s="16" t="n">
        <v>468.52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CANON-202605-006078</t>
        </is>
      </c>
      <c r="B75" s="3" t="inlineStr">
        <is>
          <t>2026-05-08</t>
        </is>
      </c>
      <c r="C75" s="3" t="inlineStr">
        <is>
          <t>Beatrix Nakashima</t>
        </is>
      </c>
      <c r="D75" s="3" t="inlineStr">
        <is>
          <t>PA</t>
        </is>
      </c>
      <c r="E75" s="14" t="n">
        <v>920000</v>
      </c>
      <c r="F75" s="14" t="n">
        <v>8769.16</v>
      </c>
      <c r="G75" s="14" t="n">
        <v>1096.14</v>
      </c>
      <c r="H75" s="14" t="n">
        <v>1096.14</v>
      </c>
      <c r="I75" s="14">
        <f>SUM(K75:T75)</f>
        <v/>
      </c>
      <c r="J75" s="14">
        <f>F75-(G75+H75+I75)</f>
        <v/>
      </c>
      <c r="K75" s="14" t="n">
        <v>657.6900000000001</v>
      </c>
      <c r="L75" s="14" t="n">
        <v>657.6900000000001</v>
      </c>
      <c r="M75" s="14" t="n">
        <v>657.6900000000001</v>
      </c>
      <c r="N75" s="14" t="n">
        <v>657.6900000000001</v>
      </c>
      <c r="O75" s="14" t="n">
        <v>657.6900000000001</v>
      </c>
      <c r="P75" s="14" t="n">
        <v>657.6900000000001</v>
      </c>
      <c r="Q75" s="14" t="n">
        <v>657.6900000000001</v>
      </c>
      <c r="R75" s="14" t="n">
        <v>657.6900000000001</v>
      </c>
      <c r="S75" s="14" t="n">
        <v>657.6900000000001</v>
      </c>
      <c r="T75" s="14" t="n">
        <v>657.6900000000001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CANON-202605-006079</t>
        </is>
      </c>
      <c r="B76" s="15" t="inlineStr">
        <is>
          <t>2026-05-24</t>
        </is>
      </c>
      <c r="C76" s="15" t="inlineStr">
        <is>
          <t>Anouk Harrington</t>
        </is>
      </c>
      <c r="D76" s="15" t="inlineStr">
        <is>
          <t>PA</t>
        </is>
      </c>
      <c r="E76" s="16" t="n">
        <v>610000</v>
      </c>
      <c r="F76" s="16" t="n">
        <v>5814.33</v>
      </c>
      <c r="G76" s="16" t="n">
        <v>726.79</v>
      </c>
      <c r="H76" s="16" t="n">
        <v>726.79</v>
      </c>
      <c r="I76" s="16">
        <f>SUM(K76:T76)</f>
        <v/>
      </c>
      <c r="J76" s="16">
        <f>F76-(G76+H76+I76)</f>
        <v/>
      </c>
      <c r="K76" s="16" t="n">
        <v>436.07</v>
      </c>
      <c r="L76" s="16" t="n">
        <v>436.07</v>
      </c>
      <c r="M76" s="16" t="n">
        <v>436.07</v>
      </c>
      <c r="N76" s="16" t="n">
        <v>436.07</v>
      </c>
      <c r="O76" s="16" t="n">
        <v>436.07</v>
      </c>
      <c r="P76" s="16" t="n">
        <v>436.07</v>
      </c>
      <c r="Q76" s="16" t="n">
        <v>436.07</v>
      </c>
      <c r="R76" s="16" t="n">
        <v>436.07</v>
      </c>
      <c r="S76" s="16" t="n">
        <v>436.07</v>
      </c>
      <c r="T76" s="16" t="n">
        <v>436.07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CANON-202605-006081</t>
        </is>
      </c>
      <c r="B77" s="3" t="inlineStr">
        <is>
          <t>2026-05-12</t>
        </is>
      </c>
      <c r="C77" s="3" t="inlineStr">
        <is>
          <t>Saoirse Harrington</t>
        </is>
      </c>
      <c r="D77" s="3" t="inlineStr">
        <is>
          <t>AZ</t>
        </is>
      </c>
      <c r="E77" s="14" t="n">
        <v>240000</v>
      </c>
      <c r="F77" s="14" t="n">
        <v>3270.22</v>
      </c>
      <c r="G77" s="14" t="n">
        <v>408.78</v>
      </c>
      <c r="H77" s="14" t="n">
        <v>408.78</v>
      </c>
      <c r="I77" s="14">
        <f>SUM(K77:T77)</f>
        <v/>
      </c>
      <c r="J77" s="14">
        <f>F77-(G77+H77+I77)</f>
        <v/>
      </c>
      <c r="K77" s="14" t="n">
        <v>245.27</v>
      </c>
      <c r="L77" s="14" t="n">
        <v>245.27</v>
      </c>
      <c r="M77" s="14" t="n">
        <v>245.27</v>
      </c>
      <c r="N77" s="14" t="n">
        <v>245.27</v>
      </c>
      <c r="O77" s="14" t="n">
        <v>245.27</v>
      </c>
      <c r="P77" s="14" t="n">
        <v>245.27</v>
      </c>
      <c r="Q77" s="14" t="n">
        <v>245.27</v>
      </c>
      <c r="R77" s="14" t="n">
        <v>245.27</v>
      </c>
      <c r="S77" s="14" t="n">
        <v>245.27</v>
      </c>
      <c r="T77" s="14" t="n">
        <v>245.27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CANON-202605-006082</t>
        </is>
      </c>
      <c r="B78" s="15" t="inlineStr">
        <is>
          <t>2026-05-31</t>
        </is>
      </c>
      <c r="C78" s="15" t="inlineStr">
        <is>
          <t>Delphine Vasquez</t>
        </is>
      </c>
      <c r="D78" s="15" t="inlineStr">
        <is>
          <t>PA</t>
        </is>
      </c>
      <c r="E78" s="16" t="n">
        <v>535000</v>
      </c>
      <c r="F78" s="16" t="n">
        <v>5099.46</v>
      </c>
      <c r="G78" s="16" t="n">
        <v>637.4299999999999</v>
      </c>
      <c r="H78" s="16" t="n">
        <v>637.4299999999999</v>
      </c>
      <c r="I78" s="16">
        <f>SUM(K78:T78)</f>
        <v/>
      </c>
      <c r="J78" s="16">
        <f>F78-(G78+H78+I78)</f>
        <v/>
      </c>
      <c r="K78" s="16" t="n">
        <v>382.46</v>
      </c>
      <c r="L78" s="16" t="n">
        <v>382.46</v>
      </c>
      <c r="M78" s="16" t="n">
        <v>382.46</v>
      </c>
      <c r="N78" s="16" t="n">
        <v>382.46</v>
      </c>
      <c r="O78" s="16" t="n">
        <v>382.46</v>
      </c>
      <c r="P78" s="16" t="n">
        <v>382.46</v>
      </c>
      <c r="Q78" s="16" t="n">
        <v>382.46</v>
      </c>
      <c r="R78" s="16" t="n">
        <v>382.46</v>
      </c>
      <c r="S78" s="16" t="n">
        <v>382.46</v>
      </c>
      <c r="T78" s="16" t="n">
        <v>382.46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CANON-202605-006083</t>
        </is>
      </c>
      <c r="B79" s="3" t="inlineStr">
        <is>
          <t>2026-05-04</t>
        </is>
      </c>
      <c r="C79" s="3" t="inlineStr">
        <is>
          <t>Thaddeus Harrington</t>
        </is>
      </c>
      <c r="D79" s="3" t="inlineStr">
        <is>
          <t>MO</t>
        </is>
      </c>
      <c r="E79" s="14" t="n">
        <v>410000</v>
      </c>
      <c r="F79" s="14" t="n">
        <v>4779.78</v>
      </c>
      <c r="G79" s="14" t="n">
        <v>597.47</v>
      </c>
      <c r="H79" s="14" t="n">
        <v>597.47</v>
      </c>
      <c r="I79" s="14">
        <f>SUM(K79:T79)</f>
        <v/>
      </c>
      <c r="J79" s="14">
        <f>F79-(G79+H79+I79)</f>
        <v/>
      </c>
      <c r="K79" s="14" t="n">
        <v>358.48</v>
      </c>
      <c r="L79" s="14" t="n">
        <v>358.48</v>
      </c>
      <c r="M79" s="14" t="n">
        <v>358.48</v>
      </c>
      <c r="N79" s="14" t="n">
        <v>358.48</v>
      </c>
      <c r="O79" s="14" t="n">
        <v>358.48</v>
      </c>
      <c r="P79" s="14" t="n">
        <v>358.48</v>
      </c>
      <c r="Q79" s="14" t="n">
        <v>358.48</v>
      </c>
      <c r="R79" s="14" t="n">
        <v>358.48</v>
      </c>
      <c r="S79" s="14" t="n">
        <v>358.48</v>
      </c>
      <c r="T79" s="14" t="n">
        <v>358.48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CANON-202605-006086</t>
        </is>
      </c>
      <c r="B80" s="15" t="inlineStr">
        <is>
          <t>2026-05-29</t>
        </is>
      </c>
      <c r="C80" s="15" t="inlineStr">
        <is>
          <t>Ramona Pennington</t>
        </is>
      </c>
      <c r="D80" s="15" t="inlineStr">
        <is>
          <t>IA</t>
        </is>
      </c>
      <c r="E80" s="16" t="n">
        <v>790000</v>
      </c>
      <c r="F80" s="16" t="n">
        <v>8283.049999999999</v>
      </c>
      <c r="G80" s="16" t="n">
        <v>1035.38</v>
      </c>
      <c r="H80" s="16" t="n">
        <v>1035.38</v>
      </c>
      <c r="I80" s="16">
        <f>SUM(K80:T80)</f>
        <v/>
      </c>
      <c r="J80" s="16">
        <f>F80-(G80+H80+I80)</f>
        <v/>
      </c>
      <c r="K80" s="16" t="n">
        <v>621.23</v>
      </c>
      <c r="L80" s="16" t="n">
        <v>621.23</v>
      </c>
      <c r="M80" s="16" t="n">
        <v>621.23</v>
      </c>
      <c r="N80" s="16" t="n">
        <v>621.23</v>
      </c>
      <c r="O80" s="16" t="n">
        <v>621.23</v>
      </c>
      <c r="P80" s="16" t="n">
        <v>621.23</v>
      </c>
      <c r="Q80" s="16" t="n">
        <v>621.23</v>
      </c>
      <c r="R80" s="16" t="n">
        <v>621.23</v>
      </c>
      <c r="S80" s="16" t="n">
        <v>621.23</v>
      </c>
      <c r="T80" s="16" t="n">
        <v>621.23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CANON-202605-006088</t>
        </is>
      </c>
      <c r="B81" s="3" t="inlineStr">
        <is>
          <t>2026-05-24</t>
        </is>
      </c>
      <c r="C81" s="3" t="inlineStr">
        <is>
          <t>Wilhelmina Rourke</t>
        </is>
      </c>
      <c r="D81" s="3" t="inlineStr">
        <is>
          <t>NY</t>
        </is>
      </c>
      <c r="E81" s="14" t="n">
        <v>480000</v>
      </c>
      <c r="F81" s="14" t="n">
        <v>6757.24</v>
      </c>
      <c r="G81" s="14" t="n">
        <v>844.65</v>
      </c>
      <c r="H81" s="14" t="n">
        <v>844.65</v>
      </c>
      <c r="I81" s="14">
        <f>SUM(K81:T81)</f>
        <v/>
      </c>
      <c r="J81" s="14">
        <f>F81-(G81+H81+I81)</f>
        <v/>
      </c>
      <c r="K81" s="14" t="n">
        <v>506.79</v>
      </c>
      <c r="L81" s="14" t="n">
        <v>506.79</v>
      </c>
      <c r="M81" s="14" t="n">
        <v>506.79</v>
      </c>
      <c r="N81" s="14" t="n">
        <v>506.79</v>
      </c>
      <c r="O81" s="14" t="n">
        <v>506.79</v>
      </c>
      <c r="P81" s="14" t="n">
        <v>506.79</v>
      </c>
      <c r="Q81" s="14" t="n">
        <v>506.79</v>
      </c>
      <c r="R81" s="14" t="n">
        <v>506.79</v>
      </c>
      <c r="S81" s="14" t="n">
        <v>506.79</v>
      </c>
      <c r="T81" s="14" t="n">
        <v>506.79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CANON-202605-006090</t>
        </is>
      </c>
      <c r="B82" s="15" t="inlineStr">
        <is>
          <t>2026-05-26</t>
        </is>
      </c>
      <c r="C82" s="15" t="inlineStr">
        <is>
          <t>Aurelio Merriweather</t>
        </is>
      </c>
      <c r="D82" s="15" t="inlineStr">
        <is>
          <t>CA</t>
        </is>
      </c>
      <c r="E82" s="16" t="n">
        <v>1025000</v>
      </c>
      <c r="F82" s="16" t="n">
        <v>11160.34</v>
      </c>
      <c r="G82" s="16" t="n">
        <v>1395.04</v>
      </c>
      <c r="H82" s="16" t="n">
        <v>1395.04</v>
      </c>
      <c r="I82" s="16">
        <f>SUM(K82:T82)</f>
        <v/>
      </c>
      <c r="J82" s="16">
        <f>F82-(G82+H82+I82)</f>
        <v/>
      </c>
      <c r="K82" s="16" t="n">
        <v>837.03</v>
      </c>
      <c r="L82" s="16" t="n">
        <v>837.03</v>
      </c>
      <c r="M82" s="16" t="n">
        <v>837.03</v>
      </c>
      <c r="N82" s="16" t="n">
        <v>837.03</v>
      </c>
      <c r="O82" s="16" t="n">
        <v>837.03</v>
      </c>
      <c r="P82" s="16" t="n">
        <v>837.03</v>
      </c>
      <c r="Q82" s="16" t="n">
        <v>837.03</v>
      </c>
      <c r="R82" s="16" t="n">
        <v>837.03</v>
      </c>
      <c r="S82" s="16" t="n">
        <v>837.03</v>
      </c>
      <c r="T82" s="16" t="n">
        <v>837.03</v>
      </c>
      <c r="U82" s="16" t="n">
        <v>350</v>
      </c>
      <c r="V82" s="16" t="n">
        <v>250</v>
      </c>
      <c r="W82" s="16">
        <f>U82+V82</f>
        <v/>
      </c>
    </row>
    <row r="83">
      <c r="A83" s="3" t="inlineStr">
        <is>
          <t>CANON-202605-006091</t>
        </is>
      </c>
      <c r="B83" s="3" t="inlineStr">
        <is>
          <t>2026-05-20</t>
        </is>
      </c>
      <c r="C83" s="3" t="inlineStr">
        <is>
          <t>Marisol Delacroix</t>
        </is>
      </c>
      <c r="D83" s="3" t="inlineStr">
        <is>
          <t>RI</t>
        </is>
      </c>
      <c r="E83" s="14" t="n">
        <v>340000</v>
      </c>
      <c r="F83" s="14" t="n">
        <v>5122.92</v>
      </c>
      <c r="G83" s="14" t="n">
        <v>640.37</v>
      </c>
      <c r="H83" s="14" t="n">
        <v>640.37</v>
      </c>
      <c r="I83" s="14">
        <f>SUM(K83:T83)</f>
        <v/>
      </c>
      <c r="J83" s="14">
        <f>F83-(G83+H83+I83)</f>
        <v/>
      </c>
      <c r="K83" s="14" t="n">
        <v>384.22</v>
      </c>
      <c r="L83" s="14" t="n">
        <v>384.22</v>
      </c>
      <c r="M83" s="14" t="n">
        <v>384.22</v>
      </c>
      <c r="N83" s="14" t="n">
        <v>384.22</v>
      </c>
      <c r="O83" s="14" t="n">
        <v>384.22</v>
      </c>
      <c r="P83" s="14" t="n">
        <v>384.22</v>
      </c>
      <c r="Q83" s="14" t="n">
        <v>384.22</v>
      </c>
      <c r="R83" s="14" t="n">
        <v>384.22</v>
      </c>
      <c r="S83" s="14" t="n">
        <v>384.22</v>
      </c>
      <c r="T83" s="14" t="n">
        <v>384.22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CANON-202605-006093</t>
        </is>
      </c>
      <c r="B84" s="15" t="inlineStr">
        <is>
          <t>2026-05-04</t>
        </is>
      </c>
      <c r="C84" s="15" t="inlineStr">
        <is>
          <t>Aurelio Delacroix</t>
        </is>
      </c>
      <c r="D84" s="15" t="inlineStr">
        <is>
          <t>MI</t>
        </is>
      </c>
      <c r="E84" s="16" t="n">
        <v>995000</v>
      </c>
      <c r="F84" s="16" t="n">
        <v>14700.26</v>
      </c>
      <c r="G84" s="16" t="n">
        <v>1837.53</v>
      </c>
      <c r="H84" s="16" t="n">
        <v>1837.53</v>
      </c>
      <c r="I84" s="16">
        <f>SUM(K84:T84)</f>
        <v/>
      </c>
      <c r="J84" s="16">
        <f>F84-(G84+H84+I84)</f>
        <v/>
      </c>
      <c r="K84" s="16" t="n">
        <v>1102.52</v>
      </c>
      <c r="L84" s="16" t="n">
        <v>1102.52</v>
      </c>
      <c r="M84" s="16" t="n">
        <v>1102.52</v>
      </c>
      <c r="N84" s="16" t="n">
        <v>1102.52</v>
      </c>
      <c r="O84" s="16" t="n">
        <v>1102.52</v>
      </c>
      <c r="P84" s="16" t="n">
        <v>1102.52</v>
      </c>
      <c r="Q84" s="16" t="n">
        <v>1102.52</v>
      </c>
      <c r="R84" s="16" t="n">
        <v>1102.52</v>
      </c>
      <c r="S84" s="16" t="n">
        <v>1102.52</v>
      </c>
      <c r="T84" s="16" t="n">
        <v>1102.52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CANON-202605-006094</t>
        </is>
      </c>
      <c r="B85" s="3" t="inlineStr">
        <is>
          <t>2026-05-13</t>
        </is>
      </c>
      <c r="C85" s="3" t="inlineStr">
        <is>
          <t>Everett Vasquez</t>
        </is>
      </c>
      <c r="D85" s="3" t="inlineStr">
        <is>
          <t>SD</t>
        </is>
      </c>
      <c r="E85" s="14" t="n">
        <v>965000</v>
      </c>
      <c r="F85" s="14" t="n">
        <v>14922.13</v>
      </c>
      <c r="G85" s="14" t="n">
        <v>1865.27</v>
      </c>
      <c r="H85" s="14" t="n">
        <v>1865.27</v>
      </c>
      <c r="I85" s="14">
        <f>SUM(K85:T85)</f>
        <v/>
      </c>
      <c r="J85" s="14">
        <f>F85-(G85+H85+I85)</f>
        <v/>
      </c>
      <c r="K85" s="14" t="n">
        <v>1119.16</v>
      </c>
      <c r="L85" s="14" t="n">
        <v>1119.16</v>
      </c>
      <c r="M85" s="14" t="n">
        <v>1119.16</v>
      </c>
      <c r="N85" s="14" t="n">
        <v>1119.16</v>
      </c>
      <c r="O85" s="14" t="n">
        <v>1119.16</v>
      </c>
      <c r="P85" s="14" t="n">
        <v>1119.16</v>
      </c>
      <c r="Q85" s="14" t="n">
        <v>1119.16</v>
      </c>
      <c r="R85" s="14" t="n">
        <v>1119.16</v>
      </c>
      <c r="S85" s="14" t="n">
        <v>1119.16</v>
      </c>
      <c r="T85" s="14" t="n">
        <v>1119.16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CANON-202605-006095</t>
        </is>
      </c>
      <c r="B86" s="15" t="inlineStr">
        <is>
          <t>2026-05-12</t>
        </is>
      </c>
      <c r="C86" s="15" t="inlineStr">
        <is>
          <t>Ottilie Harrington</t>
        </is>
      </c>
      <c r="D86" s="15" t="inlineStr">
        <is>
          <t>IA</t>
        </is>
      </c>
      <c r="E86" s="16" t="n">
        <v>380000</v>
      </c>
      <c r="F86" s="16" t="n">
        <v>4597.21</v>
      </c>
      <c r="G86" s="16" t="n">
        <v>574.65</v>
      </c>
      <c r="H86" s="16" t="n">
        <v>574.65</v>
      </c>
      <c r="I86" s="16">
        <f>SUM(K86:T86)</f>
        <v/>
      </c>
      <c r="J86" s="16">
        <f>F86-(G86+H86+I86)</f>
        <v/>
      </c>
      <c r="K86" s="16" t="n">
        <v>344.79</v>
      </c>
      <c r="L86" s="16" t="n">
        <v>344.79</v>
      </c>
      <c r="M86" s="16" t="n">
        <v>344.79</v>
      </c>
      <c r="N86" s="16" t="n">
        <v>344.79</v>
      </c>
      <c r="O86" s="16" t="n">
        <v>344.79</v>
      </c>
      <c r="P86" s="16" t="n">
        <v>344.79</v>
      </c>
      <c r="Q86" s="16" t="n">
        <v>344.79</v>
      </c>
      <c r="R86" s="16" t="n">
        <v>344.79</v>
      </c>
      <c r="S86" s="16" t="n">
        <v>344.79</v>
      </c>
      <c r="T86" s="16" t="n">
        <v>344.79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CANON-202605-006096</t>
        </is>
      </c>
      <c r="B87" s="3" t="inlineStr">
        <is>
          <t>2026-05-21</t>
        </is>
      </c>
      <c r="C87" s="3" t="inlineStr">
        <is>
          <t>Delphine Whitlock</t>
        </is>
      </c>
      <c r="D87" s="3" t="inlineStr">
        <is>
          <t>IA</t>
        </is>
      </c>
      <c r="E87" s="14" t="n">
        <v>210000</v>
      </c>
      <c r="F87" s="14" t="n">
        <v>1930.83</v>
      </c>
      <c r="G87" s="14" t="n">
        <v>241.35</v>
      </c>
      <c r="H87" s="14" t="n">
        <v>241.35</v>
      </c>
      <c r="I87" s="14">
        <f>SUM(K87:T87)</f>
        <v/>
      </c>
      <c r="J87" s="14">
        <f>F87-(G87+H87+I87)</f>
        <v/>
      </c>
      <c r="K87" s="14" t="n">
        <v>144.81</v>
      </c>
      <c r="L87" s="14" t="n">
        <v>144.81</v>
      </c>
      <c r="M87" s="14" t="n">
        <v>144.81</v>
      </c>
      <c r="N87" s="14" t="n">
        <v>144.81</v>
      </c>
      <c r="O87" s="14" t="n">
        <v>144.81</v>
      </c>
      <c r="P87" s="14" t="n">
        <v>144.81</v>
      </c>
      <c r="Q87" s="14" t="n">
        <v>144.81</v>
      </c>
      <c r="R87" s="14" t="n">
        <v>144.81</v>
      </c>
      <c r="S87" s="14" t="n">
        <v>144.81</v>
      </c>
      <c r="T87" s="14" t="n">
        <v>144.81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CANON-202605-006097</t>
        </is>
      </c>
      <c r="B88" s="15" t="inlineStr">
        <is>
          <t>2026-05-15</t>
        </is>
      </c>
      <c r="C88" s="15" t="inlineStr">
        <is>
          <t>Fitzgerald Montoya</t>
        </is>
      </c>
      <c r="D88" s="15" t="inlineStr">
        <is>
          <t>MA</t>
        </is>
      </c>
      <c r="E88" s="16" t="n">
        <v>515000</v>
      </c>
      <c r="F88" s="16" t="n">
        <v>3587.22</v>
      </c>
      <c r="G88" s="16" t="n">
        <v>448.4</v>
      </c>
      <c r="H88" s="16" t="n">
        <v>448.4</v>
      </c>
      <c r="I88" s="16">
        <f>SUM(K88:T88)</f>
        <v/>
      </c>
      <c r="J88" s="16">
        <f>F88-(G88+H88+I88)</f>
        <v/>
      </c>
      <c r="K88" s="16" t="n">
        <v>269.04</v>
      </c>
      <c r="L88" s="16" t="n">
        <v>269.04</v>
      </c>
      <c r="M88" s="16" t="n">
        <v>269.04</v>
      </c>
      <c r="N88" s="16" t="n">
        <v>269.04</v>
      </c>
      <c r="O88" s="16" t="n">
        <v>269.04</v>
      </c>
      <c r="P88" s="16" t="n">
        <v>269.04</v>
      </c>
      <c r="Q88" s="16" t="n">
        <v>269.04</v>
      </c>
      <c r="R88" s="16" t="n">
        <v>269.04</v>
      </c>
      <c r="S88" s="16" t="n">
        <v>269.04</v>
      </c>
      <c r="T88" s="16" t="n">
        <v>269.04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CANON-202605-006100</t>
        </is>
      </c>
      <c r="B89" s="3" t="inlineStr">
        <is>
          <t>2026-05-06</t>
        </is>
      </c>
      <c r="C89" s="3" t="inlineStr">
        <is>
          <t>Fenwick Rourke</t>
        </is>
      </c>
      <c r="D89" s="3" t="inlineStr">
        <is>
          <t>MN</t>
        </is>
      </c>
      <c r="E89" s="14" t="n">
        <v>815000</v>
      </c>
      <c r="F89" s="14" t="n">
        <v>10254.2</v>
      </c>
      <c r="G89" s="14" t="n">
        <v>1281.78</v>
      </c>
      <c r="H89" s="14" t="n">
        <v>1281.78</v>
      </c>
      <c r="I89" s="14">
        <f>SUM(K89:T89)</f>
        <v/>
      </c>
      <c r="J89" s="14">
        <f>F89-(G89+H89+I89)</f>
        <v/>
      </c>
      <c r="K89" s="14" t="n">
        <v>769.0700000000001</v>
      </c>
      <c r="L89" s="14" t="n">
        <v>769.0700000000001</v>
      </c>
      <c r="M89" s="14" t="n">
        <v>769.0700000000001</v>
      </c>
      <c r="N89" s="14" t="n">
        <v>769.0700000000001</v>
      </c>
      <c r="O89" s="14" t="n">
        <v>769.0700000000001</v>
      </c>
      <c r="P89" s="14" t="n">
        <v>769.0700000000001</v>
      </c>
      <c r="Q89" s="14" t="n">
        <v>769.0700000000001</v>
      </c>
      <c r="R89" s="14" t="n">
        <v>769.0700000000001</v>
      </c>
      <c r="S89" s="14" t="n">
        <v>769.0700000000001</v>
      </c>
      <c r="T89" s="14" t="n">
        <v>769.0700000000001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CANON-202605-006102</t>
        </is>
      </c>
      <c r="B90" s="15" t="inlineStr">
        <is>
          <t>2026-05-07</t>
        </is>
      </c>
      <c r="C90" s="15" t="inlineStr">
        <is>
          <t>Desmond Vandermeer</t>
        </is>
      </c>
      <c r="D90" s="15" t="inlineStr">
        <is>
          <t>CA</t>
        </is>
      </c>
      <c r="E90" s="16" t="n">
        <v>1950000</v>
      </c>
      <c r="F90" s="16" t="n">
        <v>13125.15</v>
      </c>
      <c r="G90" s="16" t="n">
        <v>1640.64</v>
      </c>
      <c r="H90" s="16" t="n">
        <v>1640.64</v>
      </c>
      <c r="I90" s="16">
        <f>SUM(K90:T90)</f>
        <v/>
      </c>
      <c r="J90" s="16">
        <f>F90-(G90+H90+I90)</f>
        <v/>
      </c>
      <c r="K90" s="16" t="n">
        <v>984.39</v>
      </c>
      <c r="L90" s="16" t="n">
        <v>984.39</v>
      </c>
      <c r="M90" s="16" t="n">
        <v>984.39</v>
      </c>
      <c r="N90" s="16" t="n">
        <v>984.39</v>
      </c>
      <c r="O90" s="16" t="n">
        <v>984.39</v>
      </c>
      <c r="P90" s="16" t="n">
        <v>984.39</v>
      </c>
      <c r="Q90" s="16" t="n">
        <v>984.39</v>
      </c>
      <c r="R90" s="16" t="n">
        <v>984.39</v>
      </c>
      <c r="S90" s="16" t="n">
        <v>984.39</v>
      </c>
      <c r="T90" s="16" t="n">
        <v>984.39</v>
      </c>
      <c r="U90" s="16" t="n">
        <v>350</v>
      </c>
      <c r="V90" s="16" t="n">
        <v>250</v>
      </c>
      <c r="W90" s="16">
        <f>U90+V90</f>
        <v/>
      </c>
    </row>
    <row r="91">
      <c r="A91" s="3" t="inlineStr">
        <is>
          <t>CANON-202605-006103</t>
        </is>
      </c>
      <c r="B91" s="3" t="inlineStr">
        <is>
          <t>2026-05-19</t>
        </is>
      </c>
      <c r="C91" s="3" t="inlineStr">
        <is>
          <t>Wilhelmina Rourke</t>
        </is>
      </c>
      <c r="D91" s="3" t="inlineStr">
        <is>
          <t>LA</t>
        </is>
      </c>
      <c r="E91" s="14" t="n">
        <v>485000</v>
      </c>
      <c r="F91" s="14" t="n">
        <v>6454.24</v>
      </c>
      <c r="G91" s="14" t="n">
        <v>806.78</v>
      </c>
      <c r="H91" s="14" t="n">
        <v>806.78</v>
      </c>
      <c r="I91" s="14">
        <f>SUM(K91:T91)</f>
        <v/>
      </c>
      <c r="J91" s="14">
        <f>F91-(G91+H91+I91)</f>
        <v/>
      </c>
      <c r="K91" s="14" t="n">
        <v>484.07</v>
      </c>
      <c r="L91" s="14" t="n">
        <v>484.07</v>
      </c>
      <c r="M91" s="14" t="n">
        <v>484.07</v>
      </c>
      <c r="N91" s="14" t="n">
        <v>484.07</v>
      </c>
      <c r="O91" s="14" t="n">
        <v>484.07</v>
      </c>
      <c r="P91" s="14" t="n">
        <v>484.07</v>
      </c>
      <c r="Q91" s="14" t="n">
        <v>484.07</v>
      </c>
      <c r="R91" s="14" t="n">
        <v>484.07</v>
      </c>
      <c r="S91" s="14" t="n">
        <v>484.07</v>
      </c>
      <c r="T91" s="14" t="n">
        <v>484.07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CANON-202605-006104</t>
        </is>
      </c>
      <c r="B92" s="15" t="inlineStr">
        <is>
          <t>2026-05-27</t>
        </is>
      </c>
      <c r="C92" s="15" t="inlineStr">
        <is>
          <t>Anouk Montoya</t>
        </is>
      </c>
      <c r="D92" s="15" t="inlineStr">
        <is>
          <t>NC</t>
        </is>
      </c>
      <c r="E92" s="16" t="n">
        <v>420000</v>
      </c>
      <c r="F92" s="16" t="n">
        <v>5312.09</v>
      </c>
      <c r="G92" s="16" t="n">
        <v>664.01</v>
      </c>
      <c r="H92" s="16" t="n">
        <v>664.01</v>
      </c>
      <c r="I92" s="16">
        <f>SUM(K92:T92)</f>
        <v/>
      </c>
      <c r="J92" s="16">
        <f>F92-(G92+H92+I92)</f>
        <v/>
      </c>
      <c r="K92" s="16" t="n">
        <v>398.41</v>
      </c>
      <c r="L92" s="16" t="n">
        <v>398.41</v>
      </c>
      <c r="M92" s="16" t="n">
        <v>398.41</v>
      </c>
      <c r="N92" s="16" t="n">
        <v>398.41</v>
      </c>
      <c r="O92" s="16" t="n">
        <v>398.41</v>
      </c>
      <c r="P92" s="16" t="n">
        <v>398.41</v>
      </c>
      <c r="Q92" s="16" t="n">
        <v>398.41</v>
      </c>
      <c r="R92" s="16" t="n">
        <v>398.41</v>
      </c>
      <c r="S92" s="16" t="n">
        <v>398.41</v>
      </c>
      <c r="T92" s="16" t="n">
        <v>398.41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CANON-202605-006105</t>
        </is>
      </c>
      <c r="B93" s="3" t="inlineStr">
        <is>
          <t>2026-05-21</t>
        </is>
      </c>
      <c r="C93" s="3" t="inlineStr">
        <is>
          <t>Delphine Pennington</t>
        </is>
      </c>
      <c r="D93" s="3" t="inlineStr">
        <is>
          <t>MA</t>
        </is>
      </c>
      <c r="E93" s="14" t="n">
        <v>690000</v>
      </c>
      <c r="F93" s="14" t="n">
        <v>12015.44</v>
      </c>
      <c r="G93" s="14" t="n">
        <v>1501.93</v>
      </c>
      <c r="H93" s="14" t="n">
        <v>1501.93</v>
      </c>
      <c r="I93" s="14">
        <f>SUM(K93:T93)</f>
        <v/>
      </c>
      <c r="J93" s="14">
        <f>F93-(G93+H93+I93)</f>
        <v/>
      </c>
      <c r="K93" s="14" t="n">
        <v>901.16</v>
      </c>
      <c r="L93" s="14" t="n">
        <v>901.16</v>
      </c>
      <c r="M93" s="14" t="n">
        <v>901.16</v>
      </c>
      <c r="N93" s="14" t="n">
        <v>901.16</v>
      </c>
      <c r="O93" s="14" t="n">
        <v>901.16</v>
      </c>
      <c r="P93" s="14" t="n">
        <v>901.16</v>
      </c>
      <c r="Q93" s="14" t="n">
        <v>901.16</v>
      </c>
      <c r="R93" s="14" t="n">
        <v>901.16</v>
      </c>
      <c r="S93" s="14" t="n">
        <v>901.16</v>
      </c>
      <c r="T93" s="14" t="n">
        <v>901.16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CANON-202605-006106</t>
        </is>
      </c>
      <c r="B94" s="15" t="inlineStr">
        <is>
          <t>2026-05-22</t>
        </is>
      </c>
      <c r="C94" s="15" t="inlineStr">
        <is>
          <t>Cassius Nakashima</t>
        </is>
      </c>
      <c r="D94" s="15" t="inlineStr">
        <is>
          <t>RI</t>
        </is>
      </c>
      <c r="E94" s="16" t="n">
        <v>410000</v>
      </c>
      <c r="F94" s="16" t="n">
        <v>6177.64</v>
      </c>
      <c r="G94" s="16" t="n">
        <v>772.21</v>
      </c>
      <c r="H94" s="16" t="n">
        <v>772.21</v>
      </c>
      <c r="I94" s="16">
        <f>SUM(K94:T94)</f>
        <v/>
      </c>
      <c r="J94" s="16">
        <f>F94-(G94+H94+I94)</f>
        <v/>
      </c>
      <c r="K94" s="16" t="n">
        <v>463.32</v>
      </c>
      <c r="L94" s="16" t="n">
        <v>463.32</v>
      </c>
      <c r="M94" s="16" t="n">
        <v>463.32</v>
      </c>
      <c r="N94" s="16" t="n">
        <v>463.32</v>
      </c>
      <c r="O94" s="16" t="n">
        <v>463.32</v>
      </c>
      <c r="P94" s="16" t="n">
        <v>463.32</v>
      </c>
      <c r="Q94" s="16" t="n">
        <v>463.32</v>
      </c>
      <c r="R94" s="16" t="n">
        <v>463.32</v>
      </c>
      <c r="S94" s="16" t="n">
        <v>463.32</v>
      </c>
      <c r="T94" s="16" t="n">
        <v>463.32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CANON-202605-006107</t>
        </is>
      </c>
      <c r="B95" s="3" t="inlineStr">
        <is>
          <t>2026-05-11</t>
        </is>
      </c>
      <c r="C95" s="3" t="inlineStr">
        <is>
          <t>Marisol Blackwood</t>
        </is>
      </c>
      <c r="D95" s="3" t="inlineStr">
        <is>
          <t>MS</t>
        </is>
      </c>
      <c r="E95" s="14" t="n">
        <v>370000</v>
      </c>
      <c r="F95" s="14" t="n">
        <v>5681.83</v>
      </c>
      <c r="G95" s="14" t="n">
        <v>710.23</v>
      </c>
      <c r="H95" s="14" t="n">
        <v>710.23</v>
      </c>
      <c r="I95" s="14">
        <f>SUM(K95:T95)</f>
        <v/>
      </c>
      <c r="J95" s="14">
        <f>F95-(G95+H95+I95)</f>
        <v/>
      </c>
      <c r="K95" s="14" t="n">
        <v>426.14</v>
      </c>
      <c r="L95" s="14" t="n">
        <v>426.14</v>
      </c>
      <c r="M95" s="14" t="n">
        <v>426.14</v>
      </c>
      <c r="N95" s="14" t="n">
        <v>426.14</v>
      </c>
      <c r="O95" s="14" t="n">
        <v>426.14</v>
      </c>
      <c r="P95" s="14" t="n">
        <v>426.14</v>
      </c>
      <c r="Q95" s="14" t="n">
        <v>426.14</v>
      </c>
      <c r="R95" s="14" t="n">
        <v>426.14</v>
      </c>
      <c r="S95" s="14" t="n">
        <v>426.14</v>
      </c>
      <c r="T95" s="14" t="n">
        <v>426.14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CANON-202605-006108</t>
        </is>
      </c>
      <c r="B96" s="15" t="inlineStr">
        <is>
          <t>2026-05-10</t>
        </is>
      </c>
      <c r="C96" s="15" t="inlineStr">
        <is>
          <t>Sunniva Underwood</t>
        </is>
      </c>
      <c r="D96" s="15" t="inlineStr">
        <is>
          <t>TX</t>
        </is>
      </c>
      <c r="E96" s="16" t="n">
        <v>655000</v>
      </c>
      <c r="F96" s="16" t="n">
        <v>7179.75</v>
      </c>
      <c r="G96" s="16" t="n">
        <v>897.47</v>
      </c>
      <c r="H96" s="16" t="n">
        <v>897.47</v>
      </c>
      <c r="I96" s="16">
        <f>SUM(K96:T96)</f>
        <v/>
      </c>
      <c r="J96" s="16">
        <f>F96-(G96+H96+I96)</f>
        <v/>
      </c>
      <c r="K96" s="16" t="n">
        <v>538.48</v>
      </c>
      <c r="L96" s="16" t="n">
        <v>538.48</v>
      </c>
      <c r="M96" s="16" t="n">
        <v>538.48</v>
      </c>
      <c r="N96" s="16" t="n">
        <v>538.48</v>
      </c>
      <c r="O96" s="16" t="n">
        <v>538.48</v>
      </c>
      <c r="P96" s="16" t="n">
        <v>538.48</v>
      </c>
      <c r="Q96" s="16" t="n">
        <v>538.48</v>
      </c>
      <c r="R96" s="16" t="n">
        <v>538.48</v>
      </c>
      <c r="S96" s="16" t="n">
        <v>538.48</v>
      </c>
      <c r="T96" s="16" t="n">
        <v>538.48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CANON-202605-006111</t>
        </is>
      </c>
      <c r="B97" s="3" t="inlineStr">
        <is>
          <t>2026-05-18</t>
        </is>
      </c>
      <c r="C97" s="3" t="inlineStr">
        <is>
          <t>Everett Vandermeer</t>
        </is>
      </c>
      <c r="D97" s="3" t="inlineStr">
        <is>
          <t>MO</t>
        </is>
      </c>
      <c r="E97" s="14" t="n">
        <v>975000</v>
      </c>
      <c r="F97" s="14" t="n">
        <v>9851.01</v>
      </c>
      <c r="G97" s="14" t="n">
        <v>1231.38</v>
      </c>
      <c r="H97" s="14" t="n">
        <v>1231.38</v>
      </c>
      <c r="I97" s="14">
        <f>SUM(K97:T97)</f>
        <v/>
      </c>
      <c r="J97" s="14">
        <f>F97-(G97+H97+I97)</f>
        <v/>
      </c>
      <c r="K97" s="14" t="n">
        <v>738.83</v>
      </c>
      <c r="L97" s="14" t="n">
        <v>738.83</v>
      </c>
      <c r="M97" s="14" t="n">
        <v>738.83</v>
      </c>
      <c r="N97" s="14" t="n">
        <v>738.83</v>
      </c>
      <c r="O97" s="14" t="n">
        <v>738.83</v>
      </c>
      <c r="P97" s="14" t="n">
        <v>738.83</v>
      </c>
      <c r="Q97" s="14" t="n">
        <v>738.83</v>
      </c>
      <c r="R97" s="14" t="n">
        <v>738.83</v>
      </c>
      <c r="S97" s="14" t="n">
        <v>738.83</v>
      </c>
      <c r="T97" s="14" t="n">
        <v>738.83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CANON-202605-006112</t>
        </is>
      </c>
      <c r="B98" s="15" t="inlineStr">
        <is>
          <t>2026-05-07</t>
        </is>
      </c>
      <c r="C98" s="15" t="inlineStr">
        <is>
          <t>Cassius Nakashima</t>
        </is>
      </c>
      <c r="D98" s="15" t="inlineStr">
        <is>
          <t>WA</t>
        </is>
      </c>
      <c r="E98" s="16" t="n">
        <v>825000</v>
      </c>
      <c r="F98" s="16" t="n">
        <v>7549.11</v>
      </c>
      <c r="G98" s="16" t="n">
        <v>943.64</v>
      </c>
      <c r="H98" s="16" t="n">
        <v>943.64</v>
      </c>
      <c r="I98" s="16">
        <f>SUM(K98:T98)</f>
        <v/>
      </c>
      <c r="J98" s="16">
        <f>F98-(G98+H98+I98)</f>
        <v/>
      </c>
      <c r="K98" s="16" t="n">
        <v>566.1799999999999</v>
      </c>
      <c r="L98" s="16" t="n">
        <v>566.1799999999999</v>
      </c>
      <c r="M98" s="16" t="n">
        <v>566.1799999999999</v>
      </c>
      <c r="N98" s="16" t="n">
        <v>566.1799999999999</v>
      </c>
      <c r="O98" s="16" t="n">
        <v>566.1799999999999</v>
      </c>
      <c r="P98" s="16" t="n">
        <v>566.1799999999999</v>
      </c>
      <c r="Q98" s="16" t="n">
        <v>566.1799999999999</v>
      </c>
      <c r="R98" s="16" t="n">
        <v>566.1799999999999</v>
      </c>
      <c r="S98" s="16" t="n">
        <v>566.1799999999999</v>
      </c>
      <c r="T98" s="16" t="n">
        <v>566.1799999999999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CANON-202605-006116</t>
        </is>
      </c>
      <c r="B99" s="3" t="inlineStr">
        <is>
          <t>2026-05-05</t>
        </is>
      </c>
      <c r="C99" s="3" t="inlineStr">
        <is>
          <t>Fenwick Fairweather</t>
        </is>
      </c>
      <c r="D99" s="3" t="inlineStr">
        <is>
          <t>KY</t>
        </is>
      </c>
      <c r="E99" s="14" t="n">
        <v>960000</v>
      </c>
      <c r="F99" s="14" t="n">
        <v>12261.57</v>
      </c>
      <c r="G99" s="14" t="n">
        <v>1532.7</v>
      </c>
      <c r="H99" s="14" t="n">
        <v>1532.7</v>
      </c>
      <c r="I99" s="14">
        <f>SUM(K99:T99)</f>
        <v/>
      </c>
      <c r="J99" s="14">
        <f>F99-(G99+H99+I99)</f>
        <v/>
      </c>
      <c r="K99" s="14" t="n">
        <v>919.62</v>
      </c>
      <c r="L99" s="14" t="n">
        <v>919.62</v>
      </c>
      <c r="M99" s="14" t="n">
        <v>919.62</v>
      </c>
      <c r="N99" s="14" t="n">
        <v>919.62</v>
      </c>
      <c r="O99" s="14" t="n">
        <v>919.62</v>
      </c>
      <c r="P99" s="14" t="n">
        <v>919.62</v>
      </c>
      <c r="Q99" s="14" t="n">
        <v>919.62</v>
      </c>
      <c r="R99" s="14" t="n">
        <v>919.62</v>
      </c>
      <c r="S99" s="14" t="n">
        <v>919.62</v>
      </c>
      <c r="T99" s="14" t="n">
        <v>919.62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CANON-202605-006117</t>
        </is>
      </c>
      <c r="B100" s="15" t="inlineStr">
        <is>
          <t>2026-05-10</t>
        </is>
      </c>
      <c r="C100" s="15" t="inlineStr">
        <is>
          <t>Priya Harrington</t>
        </is>
      </c>
      <c r="D100" s="15" t="inlineStr">
        <is>
          <t>NH</t>
        </is>
      </c>
      <c r="E100" s="16" t="n">
        <v>1055000</v>
      </c>
      <c r="F100" s="16" t="n">
        <v>8849.23</v>
      </c>
      <c r="G100" s="16" t="n">
        <v>1106.15</v>
      </c>
      <c r="H100" s="16" t="n">
        <v>1106.15</v>
      </c>
      <c r="I100" s="16">
        <f>SUM(K100:T100)</f>
        <v/>
      </c>
      <c r="J100" s="16">
        <f>F100-(G100+H100+I100)</f>
        <v/>
      </c>
      <c r="K100" s="16" t="n">
        <v>663.6900000000001</v>
      </c>
      <c r="L100" s="16" t="n">
        <v>663.6900000000001</v>
      </c>
      <c r="M100" s="16" t="n">
        <v>663.6900000000001</v>
      </c>
      <c r="N100" s="16" t="n">
        <v>663.6900000000001</v>
      </c>
      <c r="O100" s="16" t="n">
        <v>663.6900000000001</v>
      </c>
      <c r="P100" s="16" t="n">
        <v>663.6900000000001</v>
      </c>
      <c r="Q100" s="16" t="n">
        <v>663.6900000000001</v>
      </c>
      <c r="R100" s="16" t="n">
        <v>663.6900000000001</v>
      </c>
      <c r="S100" s="16" t="n">
        <v>663.6900000000001</v>
      </c>
      <c r="T100" s="16" t="n">
        <v>663.6900000000001</v>
      </c>
      <c r="U100" s="16" t="n">
        <v>350</v>
      </c>
      <c r="V100" s="16" t="n">
        <v>250</v>
      </c>
      <c r="W100" s="16">
        <f>U100+V100</f>
        <v/>
      </c>
    </row>
    <row r="101">
      <c r="A101" s="3" t="inlineStr">
        <is>
          <t>CANON-202605-006118</t>
        </is>
      </c>
      <c r="B101" s="3" t="inlineStr">
        <is>
          <t>2026-05-18</t>
        </is>
      </c>
      <c r="C101" s="3" t="inlineStr">
        <is>
          <t>Everett Chattopadhyay</t>
        </is>
      </c>
      <c r="D101" s="3" t="inlineStr">
        <is>
          <t>AK</t>
        </is>
      </c>
      <c r="E101" s="14" t="n">
        <v>805000</v>
      </c>
      <c r="F101" s="14" t="n">
        <v>8747.24</v>
      </c>
      <c r="G101" s="14" t="n">
        <v>1093.4</v>
      </c>
      <c r="H101" s="14" t="n">
        <v>1093.4</v>
      </c>
      <c r="I101" s="14">
        <f>SUM(K101:T101)</f>
        <v/>
      </c>
      <c r="J101" s="14">
        <f>F101-(G101+H101+I101)</f>
        <v/>
      </c>
      <c r="K101" s="14" t="n">
        <v>656.04</v>
      </c>
      <c r="L101" s="14" t="n">
        <v>656.04</v>
      </c>
      <c r="M101" s="14" t="n">
        <v>656.04</v>
      </c>
      <c r="N101" s="14" t="n">
        <v>656.04</v>
      </c>
      <c r="O101" s="14" t="n">
        <v>656.04</v>
      </c>
      <c r="P101" s="14" t="n">
        <v>656.04</v>
      </c>
      <c r="Q101" s="14" t="n">
        <v>656.04</v>
      </c>
      <c r="R101" s="14" t="n">
        <v>656.04</v>
      </c>
      <c r="S101" s="14" t="n">
        <v>656.04</v>
      </c>
      <c r="T101" s="14" t="n">
        <v>656.04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CANON-202605-006119</t>
        </is>
      </c>
      <c r="B102" s="15" t="inlineStr">
        <is>
          <t>2026-05-07</t>
        </is>
      </c>
      <c r="C102" s="15" t="inlineStr">
        <is>
          <t>Callum Montoya</t>
        </is>
      </c>
      <c r="D102" s="15" t="inlineStr">
        <is>
          <t>MA</t>
        </is>
      </c>
      <c r="E102" s="16" t="n">
        <v>235000</v>
      </c>
      <c r="F102" s="16" t="n">
        <v>3962.99</v>
      </c>
      <c r="G102" s="16" t="n">
        <v>495.37</v>
      </c>
      <c r="H102" s="16" t="n">
        <v>495.37</v>
      </c>
      <c r="I102" s="16">
        <f>SUM(K102:T102)</f>
        <v/>
      </c>
      <c r="J102" s="16">
        <f>F102-(G102+H102+I102)</f>
        <v/>
      </c>
      <c r="K102" s="16" t="n">
        <v>297.22</v>
      </c>
      <c r="L102" s="16" t="n">
        <v>297.22</v>
      </c>
      <c r="M102" s="16" t="n">
        <v>297.22</v>
      </c>
      <c r="N102" s="16" t="n">
        <v>297.22</v>
      </c>
      <c r="O102" s="16" t="n">
        <v>297.22</v>
      </c>
      <c r="P102" s="16" t="n">
        <v>297.22</v>
      </c>
      <c r="Q102" s="16" t="n">
        <v>297.22</v>
      </c>
      <c r="R102" s="16" t="n">
        <v>297.22</v>
      </c>
      <c r="S102" s="16" t="n">
        <v>297.22</v>
      </c>
      <c r="T102" s="16" t="n">
        <v>297.22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CANON-202605-006120</t>
        </is>
      </c>
      <c r="B103" s="3" t="inlineStr">
        <is>
          <t>2026-05-28</t>
        </is>
      </c>
      <c r="C103" s="3" t="inlineStr">
        <is>
          <t>Sunniva Whitlock</t>
        </is>
      </c>
      <c r="D103" s="3" t="inlineStr">
        <is>
          <t>MI</t>
        </is>
      </c>
      <c r="E103" s="14" t="n">
        <v>295000</v>
      </c>
      <c r="F103" s="14" t="n">
        <v>5028.89</v>
      </c>
      <c r="G103" s="14" t="n">
        <v>628.61</v>
      </c>
      <c r="H103" s="14" t="n">
        <v>628.61</v>
      </c>
      <c r="I103" s="14">
        <f>SUM(K103:T103)</f>
        <v/>
      </c>
      <c r="J103" s="14">
        <f>F103-(G103+H103+I103)</f>
        <v/>
      </c>
      <c r="K103" s="14" t="n">
        <v>377.17</v>
      </c>
      <c r="L103" s="14" t="n">
        <v>377.17</v>
      </c>
      <c r="M103" s="14" t="n">
        <v>377.17</v>
      </c>
      <c r="N103" s="14" t="n">
        <v>377.17</v>
      </c>
      <c r="O103" s="14" t="n">
        <v>377.17</v>
      </c>
      <c r="P103" s="14" t="n">
        <v>377.17</v>
      </c>
      <c r="Q103" s="14" t="n">
        <v>377.17</v>
      </c>
      <c r="R103" s="14" t="n">
        <v>377.17</v>
      </c>
      <c r="S103" s="14" t="n">
        <v>377.17</v>
      </c>
      <c r="T103" s="14" t="n">
        <v>377.17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CANON-202605-006121</t>
        </is>
      </c>
      <c r="B104" s="15" t="inlineStr">
        <is>
          <t>2026-05-04</t>
        </is>
      </c>
      <c r="C104" s="15" t="inlineStr">
        <is>
          <t>Callum Thistlewood</t>
        </is>
      </c>
      <c r="D104" s="15" t="inlineStr">
        <is>
          <t>AZ</t>
        </is>
      </c>
      <c r="E104" s="16" t="n">
        <v>885000</v>
      </c>
      <c r="F104" s="16" t="n">
        <v>8519.91</v>
      </c>
      <c r="G104" s="16" t="n">
        <v>1064.99</v>
      </c>
      <c r="H104" s="16" t="n">
        <v>1064.99</v>
      </c>
      <c r="I104" s="16">
        <f>SUM(K104:T104)</f>
        <v/>
      </c>
      <c r="J104" s="16">
        <f>F104-(G104+H104+I104)</f>
        <v/>
      </c>
      <c r="K104" s="16" t="n">
        <v>638.99</v>
      </c>
      <c r="L104" s="16" t="n">
        <v>638.99</v>
      </c>
      <c r="M104" s="16" t="n">
        <v>638.99</v>
      </c>
      <c r="N104" s="16" t="n">
        <v>638.99</v>
      </c>
      <c r="O104" s="16" t="n">
        <v>638.99</v>
      </c>
      <c r="P104" s="16" t="n">
        <v>638.99</v>
      </c>
      <c r="Q104" s="16" t="n">
        <v>638.99</v>
      </c>
      <c r="R104" s="16" t="n">
        <v>638.99</v>
      </c>
      <c r="S104" s="16" t="n">
        <v>638.99</v>
      </c>
      <c r="T104" s="16" t="n">
        <v>638.99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CANON-202605-006122</t>
        </is>
      </c>
      <c r="B105" s="3" t="inlineStr">
        <is>
          <t>2026-05-02</t>
        </is>
      </c>
      <c r="C105" s="3" t="inlineStr">
        <is>
          <t>Fenwick Farkas</t>
        </is>
      </c>
      <c r="D105" s="3" t="inlineStr">
        <is>
          <t>CA</t>
        </is>
      </c>
      <c r="E105" s="14" t="n">
        <v>385000</v>
      </c>
      <c r="F105" s="14" t="n">
        <v>5716.27</v>
      </c>
      <c r="G105" s="14" t="n">
        <v>714.53</v>
      </c>
      <c r="H105" s="14" t="n">
        <v>714.53</v>
      </c>
      <c r="I105" s="14">
        <f>SUM(K105:T105)</f>
        <v/>
      </c>
      <c r="J105" s="14">
        <f>F105-(G105+H105+I105)</f>
        <v/>
      </c>
      <c r="K105" s="14" t="n">
        <v>428.72</v>
      </c>
      <c r="L105" s="14" t="n">
        <v>428.72</v>
      </c>
      <c r="M105" s="14" t="n">
        <v>428.72</v>
      </c>
      <c r="N105" s="14" t="n">
        <v>428.72</v>
      </c>
      <c r="O105" s="14" t="n">
        <v>428.72</v>
      </c>
      <c r="P105" s="14" t="n">
        <v>428.72</v>
      </c>
      <c r="Q105" s="14" t="n">
        <v>428.72</v>
      </c>
      <c r="R105" s="14" t="n">
        <v>428.72</v>
      </c>
      <c r="S105" s="14" t="n">
        <v>428.72</v>
      </c>
      <c r="T105" s="14" t="n">
        <v>428.72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CANON-202605-006123</t>
        </is>
      </c>
      <c r="B106" s="15" t="inlineStr">
        <is>
          <t>2026-05-22</t>
        </is>
      </c>
      <c r="C106" s="15" t="inlineStr">
        <is>
          <t>Saoirse Farkas</t>
        </is>
      </c>
      <c r="D106" s="15" t="inlineStr">
        <is>
          <t>AL</t>
        </is>
      </c>
      <c r="E106" s="16" t="n">
        <v>730000</v>
      </c>
      <c r="F106" s="16" t="n">
        <v>8836.83</v>
      </c>
      <c r="G106" s="16" t="n">
        <v>1104.6</v>
      </c>
      <c r="H106" s="16" t="n">
        <v>1104.6</v>
      </c>
      <c r="I106" s="16">
        <f>SUM(K106:T106)</f>
        <v/>
      </c>
      <c r="J106" s="16">
        <f>F106-(G106+H106+I106)</f>
        <v/>
      </c>
      <c r="K106" s="16" t="n">
        <v>662.76</v>
      </c>
      <c r="L106" s="16" t="n">
        <v>662.76</v>
      </c>
      <c r="M106" s="16" t="n">
        <v>662.76</v>
      </c>
      <c r="N106" s="16" t="n">
        <v>662.76</v>
      </c>
      <c r="O106" s="16" t="n">
        <v>662.76</v>
      </c>
      <c r="P106" s="16" t="n">
        <v>662.76</v>
      </c>
      <c r="Q106" s="16" t="n">
        <v>662.76</v>
      </c>
      <c r="R106" s="16" t="n">
        <v>662.76</v>
      </c>
      <c r="S106" s="16" t="n">
        <v>662.76</v>
      </c>
      <c r="T106" s="16" t="n">
        <v>662.76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CANON-202605-006125</t>
        </is>
      </c>
      <c r="B107" s="3" t="inlineStr">
        <is>
          <t>2026-05-26</t>
        </is>
      </c>
      <c r="C107" s="3" t="inlineStr">
        <is>
          <t>Ingrid Okonkwo</t>
        </is>
      </c>
      <c r="D107" s="3" t="inlineStr">
        <is>
          <t>LA</t>
        </is>
      </c>
      <c r="E107" s="14" t="n">
        <v>1140000</v>
      </c>
      <c r="F107" s="14" t="n">
        <v>11125.25</v>
      </c>
      <c r="G107" s="14" t="n">
        <v>1390.66</v>
      </c>
      <c r="H107" s="14" t="n">
        <v>1390.66</v>
      </c>
      <c r="I107" s="14">
        <f>SUM(K107:T107)</f>
        <v/>
      </c>
      <c r="J107" s="14">
        <f>F107-(G107+H107+I107)</f>
        <v/>
      </c>
      <c r="K107" s="14" t="n">
        <v>834.39</v>
      </c>
      <c r="L107" s="14" t="n">
        <v>834.39</v>
      </c>
      <c r="M107" s="14" t="n">
        <v>834.39</v>
      </c>
      <c r="N107" s="14" t="n">
        <v>834.39</v>
      </c>
      <c r="O107" s="14" t="n">
        <v>834.39</v>
      </c>
      <c r="P107" s="14" t="n">
        <v>834.39</v>
      </c>
      <c r="Q107" s="14" t="n">
        <v>834.39</v>
      </c>
      <c r="R107" s="14" t="n">
        <v>834.39</v>
      </c>
      <c r="S107" s="14" t="n">
        <v>834.39</v>
      </c>
      <c r="T107" s="14" t="n">
        <v>834.39</v>
      </c>
      <c r="U107" s="14" t="n">
        <v>350</v>
      </c>
      <c r="V107" s="14" t="n">
        <v>250</v>
      </c>
      <c r="W107" s="14">
        <f>U107+V107</f>
        <v/>
      </c>
    </row>
    <row r="108">
      <c r="A108" s="15" t="inlineStr">
        <is>
          <t>CANON-202605-006126</t>
        </is>
      </c>
      <c r="B108" s="15" t="inlineStr">
        <is>
          <t>2026-05-01</t>
        </is>
      </c>
      <c r="C108" s="15" t="inlineStr">
        <is>
          <t>Ingrid Farkas</t>
        </is>
      </c>
      <c r="D108" s="15" t="inlineStr">
        <is>
          <t>SD</t>
        </is>
      </c>
      <c r="E108" s="16" t="n">
        <v>1025000</v>
      </c>
      <c r="F108" s="16" t="n">
        <v>9176.280000000001</v>
      </c>
      <c r="G108" s="16" t="n">
        <v>1147.04</v>
      </c>
      <c r="H108" s="16" t="n">
        <v>1147.04</v>
      </c>
      <c r="I108" s="16">
        <f>SUM(K108:T108)</f>
        <v/>
      </c>
      <c r="J108" s="16">
        <f>F108-(G108+H108+I108)</f>
        <v/>
      </c>
      <c r="K108" s="16" t="n">
        <v>688.22</v>
      </c>
      <c r="L108" s="16" t="n">
        <v>688.22</v>
      </c>
      <c r="M108" s="16" t="n">
        <v>688.22</v>
      </c>
      <c r="N108" s="16" t="n">
        <v>688.22</v>
      </c>
      <c r="O108" s="16" t="n">
        <v>688.22</v>
      </c>
      <c r="P108" s="16" t="n">
        <v>688.22</v>
      </c>
      <c r="Q108" s="16" t="n">
        <v>688.22</v>
      </c>
      <c r="R108" s="16" t="n">
        <v>688.22</v>
      </c>
      <c r="S108" s="16" t="n">
        <v>688.22</v>
      </c>
      <c r="T108" s="16" t="n">
        <v>688.22</v>
      </c>
      <c r="U108" s="16" t="n">
        <v>350</v>
      </c>
      <c r="V108" s="16" t="n">
        <v>250</v>
      </c>
      <c r="W108" s="16">
        <f>U108+V108</f>
        <v/>
      </c>
    </row>
    <row r="109">
      <c r="A109" s="3" t="inlineStr">
        <is>
          <t>CANON-202605-006127</t>
        </is>
      </c>
      <c r="B109" s="3" t="inlineStr">
        <is>
          <t>2026-05-07</t>
        </is>
      </c>
      <c r="C109" s="3" t="inlineStr">
        <is>
          <t>Mireille Chattopadhyay</t>
        </is>
      </c>
      <c r="D109" s="3" t="inlineStr">
        <is>
          <t>VA</t>
        </is>
      </c>
      <c r="E109" s="14" t="n">
        <v>310000</v>
      </c>
      <c r="F109" s="14" t="n">
        <v>5698.27</v>
      </c>
      <c r="G109" s="14" t="n">
        <v>712.28</v>
      </c>
      <c r="H109" s="14" t="n">
        <v>712.28</v>
      </c>
      <c r="I109" s="14">
        <f>SUM(K109:T109)</f>
        <v/>
      </c>
      <c r="J109" s="14">
        <f>F109-(G109+H109+I109)</f>
        <v/>
      </c>
      <c r="K109" s="14" t="n">
        <v>427.37</v>
      </c>
      <c r="L109" s="14" t="n">
        <v>427.37</v>
      </c>
      <c r="M109" s="14" t="n">
        <v>427.37</v>
      </c>
      <c r="N109" s="14" t="n">
        <v>427.37</v>
      </c>
      <c r="O109" s="14" t="n">
        <v>427.37</v>
      </c>
      <c r="P109" s="14" t="n">
        <v>427.37</v>
      </c>
      <c r="Q109" s="14" t="n">
        <v>427.37</v>
      </c>
      <c r="R109" s="14" t="n">
        <v>427.37</v>
      </c>
      <c r="S109" s="14" t="n">
        <v>427.37</v>
      </c>
      <c r="T109" s="14" t="n">
        <v>427.37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CANON-202605-006128</t>
        </is>
      </c>
      <c r="B110" s="15" t="inlineStr">
        <is>
          <t>2026-05-07</t>
        </is>
      </c>
      <c r="C110" s="15" t="inlineStr">
        <is>
          <t>Ingrid Pennington</t>
        </is>
      </c>
      <c r="D110" s="15" t="inlineStr">
        <is>
          <t>WY</t>
        </is>
      </c>
      <c r="E110" s="16" t="n">
        <v>655000</v>
      </c>
      <c r="F110" s="16" t="n">
        <v>6680.29</v>
      </c>
      <c r="G110" s="16" t="n">
        <v>835.04</v>
      </c>
      <c r="H110" s="16" t="n">
        <v>835.04</v>
      </c>
      <c r="I110" s="16">
        <f>SUM(K110:T110)</f>
        <v/>
      </c>
      <c r="J110" s="16">
        <f>F110-(G110+H110+I110)</f>
        <v/>
      </c>
      <c r="K110" s="16" t="n">
        <v>501.02</v>
      </c>
      <c r="L110" s="16" t="n">
        <v>501.02</v>
      </c>
      <c r="M110" s="16" t="n">
        <v>501.02</v>
      </c>
      <c r="N110" s="16" t="n">
        <v>501.02</v>
      </c>
      <c r="O110" s="16" t="n">
        <v>501.02</v>
      </c>
      <c r="P110" s="16" t="n">
        <v>501.02</v>
      </c>
      <c r="Q110" s="16" t="n">
        <v>501.02</v>
      </c>
      <c r="R110" s="16" t="n">
        <v>501.02</v>
      </c>
      <c r="S110" s="16" t="n">
        <v>501.02</v>
      </c>
      <c r="T110" s="16" t="n">
        <v>501.02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CANON-202605-006129</t>
        </is>
      </c>
      <c r="B111" s="3" t="inlineStr">
        <is>
          <t>2026-05-08</t>
        </is>
      </c>
      <c r="C111" s="3" t="inlineStr">
        <is>
          <t>Horace Farkas</t>
        </is>
      </c>
      <c r="D111" s="3" t="inlineStr">
        <is>
          <t>MN</t>
        </is>
      </c>
      <c r="E111" s="14" t="n">
        <v>295000</v>
      </c>
      <c r="F111" s="14" t="n">
        <v>4282.67</v>
      </c>
      <c r="G111" s="14" t="n">
        <v>535.33</v>
      </c>
      <c r="H111" s="14" t="n">
        <v>535.33</v>
      </c>
      <c r="I111" s="14">
        <f>SUM(K111:T111)</f>
        <v/>
      </c>
      <c r="J111" s="14">
        <f>F111-(G111+H111+I111)</f>
        <v/>
      </c>
      <c r="K111" s="14" t="n">
        <v>321.2</v>
      </c>
      <c r="L111" s="14" t="n">
        <v>321.2</v>
      </c>
      <c r="M111" s="14" t="n">
        <v>321.2</v>
      </c>
      <c r="N111" s="14" t="n">
        <v>321.2</v>
      </c>
      <c r="O111" s="14" t="n">
        <v>321.2</v>
      </c>
      <c r="P111" s="14" t="n">
        <v>321.2</v>
      </c>
      <c r="Q111" s="14" t="n">
        <v>321.2</v>
      </c>
      <c r="R111" s="14" t="n">
        <v>321.2</v>
      </c>
      <c r="S111" s="14" t="n">
        <v>321.2</v>
      </c>
      <c r="T111" s="14" t="n">
        <v>321.2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CANON-202605-006131</t>
        </is>
      </c>
      <c r="B112" s="15" t="inlineStr">
        <is>
          <t>2026-05-26</t>
        </is>
      </c>
      <c r="C112" s="15" t="inlineStr">
        <is>
          <t>Ramona Thistlewood</t>
        </is>
      </c>
      <c r="D112" s="15" t="inlineStr">
        <is>
          <t>NJ</t>
        </is>
      </c>
      <c r="E112" s="16" t="n">
        <v>465000</v>
      </c>
      <c r="F112" s="16" t="n">
        <v>4653.85</v>
      </c>
      <c r="G112" s="16" t="n">
        <v>581.73</v>
      </c>
      <c r="H112" s="16" t="n">
        <v>581.73</v>
      </c>
      <c r="I112" s="16">
        <f>SUM(K112:T112)</f>
        <v/>
      </c>
      <c r="J112" s="16">
        <f>F112-(G112+H112+I112)</f>
        <v/>
      </c>
      <c r="K112" s="16" t="n">
        <v>349.04</v>
      </c>
      <c r="L112" s="16" t="n">
        <v>349.04</v>
      </c>
      <c r="M112" s="16" t="n">
        <v>349.04</v>
      </c>
      <c r="N112" s="16" t="n">
        <v>349.04</v>
      </c>
      <c r="O112" s="16" t="n">
        <v>349.04</v>
      </c>
      <c r="P112" s="16" t="n">
        <v>349.04</v>
      </c>
      <c r="Q112" s="16" t="n">
        <v>349.04</v>
      </c>
      <c r="R112" s="16" t="n">
        <v>349.04</v>
      </c>
      <c r="S112" s="16" t="n">
        <v>349.04</v>
      </c>
      <c r="T112" s="16" t="n">
        <v>349.04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CANON-202605-006132</t>
        </is>
      </c>
      <c r="B113" s="3" t="inlineStr">
        <is>
          <t>2026-05-02</t>
        </is>
      </c>
      <c r="C113" s="3" t="inlineStr">
        <is>
          <t>Horace Vasquez</t>
        </is>
      </c>
      <c r="D113" s="3" t="inlineStr">
        <is>
          <t>WY</t>
        </is>
      </c>
      <c r="E113" s="14" t="n">
        <v>485000</v>
      </c>
      <c r="F113" s="14" t="n">
        <v>5707.47</v>
      </c>
      <c r="G113" s="14" t="n">
        <v>713.4299999999999</v>
      </c>
      <c r="H113" s="14" t="n">
        <v>713.4299999999999</v>
      </c>
      <c r="I113" s="14">
        <f>SUM(K113:T113)</f>
        <v/>
      </c>
      <c r="J113" s="14">
        <f>F113-(G113+H113+I113)</f>
        <v/>
      </c>
      <c r="K113" s="14" t="n">
        <v>428.06</v>
      </c>
      <c r="L113" s="14" t="n">
        <v>428.06</v>
      </c>
      <c r="M113" s="14" t="n">
        <v>428.06</v>
      </c>
      <c r="N113" s="14" t="n">
        <v>428.06</v>
      </c>
      <c r="O113" s="14" t="n">
        <v>428.06</v>
      </c>
      <c r="P113" s="14" t="n">
        <v>428.06</v>
      </c>
      <c r="Q113" s="14" t="n">
        <v>428.06</v>
      </c>
      <c r="R113" s="14" t="n">
        <v>428.06</v>
      </c>
      <c r="S113" s="14" t="n">
        <v>428.06</v>
      </c>
      <c r="T113" s="14" t="n">
        <v>428.06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CANON-202605-006133</t>
        </is>
      </c>
      <c r="B114" s="15" t="inlineStr">
        <is>
          <t>2026-05-07</t>
        </is>
      </c>
      <c r="C114" s="15" t="inlineStr">
        <is>
          <t>Beatrix Fairweather</t>
        </is>
      </c>
      <c r="D114" s="15" t="inlineStr">
        <is>
          <t>NH</t>
        </is>
      </c>
      <c r="E114" s="16" t="n">
        <v>970000</v>
      </c>
      <c r="F114" s="16" t="n">
        <v>9615.58</v>
      </c>
      <c r="G114" s="16" t="n">
        <v>1201.95</v>
      </c>
      <c r="H114" s="16" t="n">
        <v>1201.95</v>
      </c>
      <c r="I114" s="16">
        <f>SUM(K114:T114)</f>
        <v/>
      </c>
      <c r="J114" s="16">
        <f>F114-(G114+H114+I114)</f>
        <v/>
      </c>
      <c r="K114" s="16" t="n">
        <v>721.17</v>
      </c>
      <c r="L114" s="16" t="n">
        <v>721.17</v>
      </c>
      <c r="M114" s="16" t="n">
        <v>721.17</v>
      </c>
      <c r="N114" s="16" t="n">
        <v>721.17</v>
      </c>
      <c r="O114" s="16" t="n">
        <v>721.17</v>
      </c>
      <c r="P114" s="16" t="n">
        <v>721.17</v>
      </c>
      <c r="Q114" s="16" t="n">
        <v>721.17</v>
      </c>
      <c r="R114" s="16" t="n">
        <v>721.17</v>
      </c>
      <c r="S114" s="16" t="n">
        <v>721.17</v>
      </c>
      <c r="T114" s="16" t="n">
        <v>721.17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CANON-202605-006134</t>
        </is>
      </c>
      <c r="B115" s="3" t="inlineStr">
        <is>
          <t>2026-05-25</t>
        </is>
      </c>
      <c r="C115" s="3" t="inlineStr">
        <is>
          <t>Saoirse Kingsford</t>
        </is>
      </c>
      <c r="D115" s="3" t="inlineStr">
        <is>
          <t>HI</t>
        </is>
      </c>
      <c r="E115" s="14" t="n">
        <v>675000</v>
      </c>
      <c r="F115" s="14" t="n">
        <v>12224.4</v>
      </c>
      <c r="G115" s="14" t="n">
        <v>1528.05</v>
      </c>
      <c r="H115" s="14" t="n">
        <v>1528.05</v>
      </c>
      <c r="I115" s="14">
        <f>SUM(K115:T115)</f>
        <v/>
      </c>
      <c r="J115" s="14">
        <f>F115-(G115+H115+I115)</f>
        <v/>
      </c>
      <c r="K115" s="14" t="n">
        <v>916.83</v>
      </c>
      <c r="L115" s="14" t="n">
        <v>916.83</v>
      </c>
      <c r="M115" s="14" t="n">
        <v>916.83</v>
      </c>
      <c r="N115" s="14" t="n">
        <v>916.83</v>
      </c>
      <c r="O115" s="14" t="n">
        <v>916.83</v>
      </c>
      <c r="P115" s="14" t="n">
        <v>916.83</v>
      </c>
      <c r="Q115" s="14" t="n">
        <v>916.83</v>
      </c>
      <c r="R115" s="14" t="n">
        <v>916.83</v>
      </c>
      <c r="S115" s="14" t="n">
        <v>916.83</v>
      </c>
      <c r="T115" s="14" t="n">
        <v>916.83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CANON-202605-006135</t>
        </is>
      </c>
      <c r="B116" s="15" t="inlineStr">
        <is>
          <t>2026-05-21</t>
        </is>
      </c>
      <c r="C116" s="15" t="inlineStr">
        <is>
          <t>Lorenzo Whitlock</t>
        </is>
      </c>
      <c r="D116" s="15" t="inlineStr">
        <is>
          <t>DE</t>
        </is>
      </c>
      <c r="E116" s="16" t="n">
        <v>395000</v>
      </c>
      <c r="F116" s="16" t="n">
        <v>5430.32</v>
      </c>
      <c r="G116" s="16" t="n">
        <v>678.79</v>
      </c>
      <c r="H116" s="16" t="n">
        <v>678.79</v>
      </c>
      <c r="I116" s="16">
        <f>SUM(K116:T116)</f>
        <v/>
      </c>
      <c r="J116" s="16">
        <f>F116-(G116+H116+I116)</f>
        <v/>
      </c>
      <c r="K116" s="16" t="n">
        <v>407.27</v>
      </c>
      <c r="L116" s="16" t="n">
        <v>407.27</v>
      </c>
      <c r="M116" s="16" t="n">
        <v>407.27</v>
      </c>
      <c r="N116" s="16" t="n">
        <v>407.27</v>
      </c>
      <c r="O116" s="16" t="n">
        <v>407.27</v>
      </c>
      <c r="P116" s="16" t="n">
        <v>407.27</v>
      </c>
      <c r="Q116" s="16" t="n">
        <v>407.27</v>
      </c>
      <c r="R116" s="16" t="n">
        <v>407.27</v>
      </c>
      <c r="S116" s="16" t="n">
        <v>407.27</v>
      </c>
      <c r="T116" s="16" t="n">
        <v>407.27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CANON-202605-006137</t>
        </is>
      </c>
      <c r="B117" s="3" t="inlineStr">
        <is>
          <t>2026-05-14</t>
        </is>
      </c>
      <c r="C117" s="3" t="inlineStr">
        <is>
          <t>Beatrix Ashcombe</t>
        </is>
      </c>
      <c r="D117" s="3" t="inlineStr">
        <is>
          <t>CA</t>
        </is>
      </c>
      <c r="E117" s="14" t="n">
        <v>450000</v>
      </c>
      <c r="F117" s="14" t="n">
        <v>4276.07</v>
      </c>
      <c r="G117" s="14" t="n">
        <v>534.51</v>
      </c>
      <c r="H117" s="14" t="n">
        <v>534.51</v>
      </c>
      <c r="I117" s="14">
        <f>SUM(K117:T117)</f>
        <v/>
      </c>
      <c r="J117" s="14">
        <f>F117-(G117+H117+I117)</f>
        <v/>
      </c>
      <c r="K117" s="14" t="n">
        <v>320.71</v>
      </c>
      <c r="L117" s="14" t="n">
        <v>320.71</v>
      </c>
      <c r="M117" s="14" t="n">
        <v>320.71</v>
      </c>
      <c r="N117" s="14" t="n">
        <v>320.71</v>
      </c>
      <c r="O117" s="14" t="n">
        <v>320.71</v>
      </c>
      <c r="P117" s="14" t="n">
        <v>320.71</v>
      </c>
      <c r="Q117" s="14" t="n">
        <v>320.71</v>
      </c>
      <c r="R117" s="14" t="n">
        <v>320.71</v>
      </c>
      <c r="S117" s="14" t="n">
        <v>320.71</v>
      </c>
      <c r="T117" s="14" t="n">
        <v>320.71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CANON-202605-006138</t>
        </is>
      </c>
      <c r="B118" s="15" t="inlineStr">
        <is>
          <t>2026-05-06</t>
        </is>
      </c>
      <c r="C118" s="15" t="inlineStr">
        <is>
          <t>Sunniva Bellandi</t>
        </is>
      </c>
      <c r="D118" s="15" t="inlineStr">
        <is>
          <t>ME</t>
        </is>
      </c>
      <c r="E118" s="16" t="n">
        <v>270000</v>
      </c>
      <c r="F118" s="16" t="n">
        <v>3207.05</v>
      </c>
      <c r="G118" s="16" t="n">
        <v>400.88</v>
      </c>
      <c r="H118" s="16" t="n">
        <v>400.88</v>
      </c>
      <c r="I118" s="16">
        <f>SUM(K118:T118)</f>
        <v/>
      </c>
      <c r="J118" s="16">
        <f>F118-(G118+H118+I118)</f>
        <v/>
      </c>
      <c r="K118" s="16" t="n">
        <v>240.53</v>
      </c>
      <c r="L118" s="16" t="n">
        <v>240.53</v>
      </c>
      <c r="M118" s="16" t="n">
        <v>240.53</v>
      </c>
      <c r="N118" s="16" t="n">
        <v>240.53</v>
      </c>
      <c r="O118" s="16" t="n">
        <v>240.53</v>
      </c>
      <c r="P118" s="16" t="n">
        <v>240.53</v>
      </c>
      <c r="Q118" s="16" t="n">
        <v>240.53</v>
      </c>
      <c r="R118" s="16" t="n">
        <v>240.53</v>
      </c>
      <c r="S118" s="16" t="n">
        <v>240.53</v>
      </c>
      <c r="T118" s="16" t="n">
        <v>240.53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CANON-202605-006140</t>
        </is>
      </c>
      <c r="B119" s="3" t="inlineStr">
        <is>
          <t>2026-05-24</t>
        </is>
      </c>
      <c r="C119" s="3" t="inlineStr">
        <is>
          <t>Callum Bellandi</t>
        </is>
      </c>
      <c r="D119" s="3" t="inlineStr">
        <is>
          <t>AL</t>
        </is>
      </c>
      <c r="E119" s="14" t="n">
        <v>270000</v>
      </c>
      <c r="F119" s="14" t="n">
        <v>3771.25</v>
      </c>
      <c r="G119" s="14" t="n">
        <v>471.41</v>
      </c>
      <c r="H119" s="14" t="n">
        <v>471.41</v>
      </c>
      <c r="I119" s="14">
        <f>SUM(K119:T119)</f>
        <v/>
      </c>
      <c r="J119" s="14">
        <f>F119-(G119+H119+I119)</f>
        <v/>
      </c>
      <c r="K119" s="14" t="n">
        <v>282.84</v>
      </c>
      <c r="L119" s="14" t="n">
        <v>282.84</v>
      </c>
      <c r="M119" s="14" t="n">
        <v>282.84</v>
      </c>
      <c r="N119" s="14" t="n">
        <v>282.84</v>
      </c>
      <c r="O119" s="14" t="n">
        <v>282.84</v>
      </c>
      <c r="P119" s="14" t="n">
        <v>282.84</v>
      </c>
      <c r="Q119" s="14" t="n">
        <v>282.84</v>
      </c>
      <c r="R119" s="14" t="n">
        <v>282.84</v>
      </c>
      <c r="S119" s="14" t="n">
        <v>282.84</v>
      </c>
      <c r="T119" s="14" t="n">
        <v>282.84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CANON-202605-006141</t>
        </is>
      </c>
      <c r="B120" s="15" t="inlineStr">
        <is>
          <t>2026-05-10</t>
        </is>
      </c>
      <c r="C120" s="15" t="inlineStr">
        <is>
          <t>Leopold Castellanos</t>
        </is>
      </c>
      <c r="D120" s="15" t="inlineStr">
        <is>
          <t>CO</t>
        </is>
      </c>
      <c r="E120" s="16" t="n">
        <v>220000</v>
      </c>
      <c r="F120" s="16" t="n">
        <v>3264.82</v>
      </c>
      <c r="G120" s="16" t="n">
        <v>408.1</v>
      </c>
      <c r="H120" s="16" t="n">
        <v>408.1</v>
      </c>
      <c r="I120" s="16">
        <f>SUM(K120:T120)</f>
        <v/>
      </c>
      <c r="J120" s="16">
        <f>F120-(G120+H120+I120)</f>
        <v/>
      </c>
      <c r="K120" s="16" t="n">
        <v>244.86</v>
      </c>
      <c r="L120" s="16" t="n">
        <v>244.86</v>
      </c>
      <c r="M120" s="16" t="n">
        <v>244.86</v>
      </c>
      <c r="N120" s="16" t="n">
        <v>244.86</v>
      </c>
      <c r="O120" s="16" t="n">
        <v>244.86</v>
      </c>
      <c r="P120" s="16" t="n">
        <v>244.86</v>
      </c>
      <c r="Q120" s="16" t="n">
        <v>244.86</v>
      </c>
      <c r="R120" s="16" t="n">
        <v>244.86</v>
      </c>
      <c r="S120" s="16" t="n">
        <v>244.86</v>
      </c>
      <c r="T120" s="16" t="n">
        <v>244.86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CANON-202605-006143</t>
        </is>
      </c>
      <c r="B121" s="3" t="inlineStr">
        <is>
          <t>2026-05-11</t>
        </is>
      </c>
      <c r="C121" s="3" t="inlineStr">
        <is>
          <t>Thaddeus Vasquez</t>
        </is>
      </c>
      <c r="D121" s="3" t="inlineStr">
        <is>
          <t>PA</t>
        </is>
      </c>
      <c r="E121" s="14" t="n">
        <v>280000</v>
      </c>
      <c r="F121" s="14" t="n">
        <v>4721.86</v>
      </c>
      <c r="G121" s="14" t="n">
        <v>590.23</v>
      </c>
      <c r="H121" s="14" t="n">
        <v>590.23</v>
      </c>
      <c r="I121" s="14">
        <f>SUM(K121:T121)</f>
        <v/>
      </c>
      <c r="J121" s="14">
        <f>F121-(G121+H121+I121)</f>
        <v/>
      </c>
      <c r="K121" s="14" t="n">
        <v>354.14</v>
      </c>
      <c r="L121" s="14" t="n">
        <v>354.14</v>
      </c>
      <c r="M121" s="14" t="n">
        <v>354.14</v>
      </c>
      <c r="N121" s="14" t="n">
        <v>354.14</v>
      </c>
      <c r="O121" s="14" t="n">
        <v>354.14</v>
      </c>
      <c r="P121" s="14" t="n">
        <v>354.14</v>
      </c>
      <c r="Q121" s="14" t="n">
        <v>354.14</v>
      </c>
      <c r="R121" s="14" t="n">
        <v>354.14</v>
      </c>
      <c r="S121" s="14" t="n">
        <v>354.14</v>
      </c>
      <c r="T121" s="14" t="n">
        <v>354.14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CANON-202605-006144</t>
        </is>
      </c>
      <c r="B122" s="15" t="inlineStr">
        <is>
          <t>2026-05-27</t>
        </is>
      </c>
      <c r="C122" s="15" t="inlineStr">
        <is>
          <t>Emiliano Ashcombe</t>
        </is>
      </c>
      <c r="D122" s="15" t="inlineStr">
        <is>
          <t>NC</t>
        </is>
      </c>
      <c r="E122" s="16" t="n">
        <v>665000</v>
      </c>
      <c r="F122" s="16" t="n">
        <v>7289.37</v>
      </c>
      <c r="G122" s="16" t="n">
        <v>911.17</v>
      </c>
      <c r="H122" s="16" t="n">
        <v>911.17</v>
      </c>
      <c r="I122" s="16">
        <f>SUM(K122:T122)</f>
        <v/>
      </c>
      <c r="J122" s="16">
        <f>F122-(G122+H122+I122)</f>
        <v/>
      </c>
      <c r="K122" s="16" t="n">
        <v>546.7</v>
      </c>
      <c r="L122" s="16" t="n">
        <v>546.7</v>
      </c>
      <c r="M122" s="16" t="n">
        <v>546.7</v>
      </c>
      <c r="N122" s="16" t="n">
        <v>546.7</v>
      </c>
      <c r="O122" s="16" t="n">
        <v>546.7</v>
      </c>
      <c r="P122" s="16" t="n">
        <v>546.7</v>
      </c>
      <c r="Q122" s="16" t="n">
        <v>546.7</v>
      </c>
      <c r="R122" s="16" t="n">
        <v>546.7</v>
      </c>
      <c r="S122" s="16" t="n">
        <v>546.7</v>
      </c>
      <c r="T122" s="16" t="n">
        <v>546.7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CANON-202605-006145</t>
        </is>
      </c>
      <c r="B123" s="3" t="inlineStr">
        <is>
          <t>2026-05-15</t>
        </is>
      </c>
      <c r="C123" s="3" t="inlineStr">
        <is>
          <t>Beatrix Nakashima</t>
        </is>
      </c>
      <c r="D123" s="3" t="inlineStr">
        <is>
          <t>WI</t>
        </is>
      </c>
      <c r="E123" s="14" t="n">
        <v>505000</v>
      </c>
      <c r="F123" s="14" t="n">
        <v>5776.21</v>
      </c>
      <c r="G123" s="14" t="n">
        <v>722.03</v>
      </c>
      <c r="H123" s="14" t="n">
        <v>722.03</v>
      </c>
      <c r="I123" s="14">
        <f>SUM(K123:T123)</f>
        <v/>
      </c>
      <c r="J123" s="14">
        <f>F123-(G123+H123+I123)</f>
        <v/>
      </c>
      <c r="K123" s="14" t="n">
        <v>433.22</v>
      </c>
      <c r="L123" s="14" t="n">
        <v>433.22</v>
      </c>
      <c r="M123" s="14" t="n">
        <v>433.22</v>
      </c>
      <c r="N123" s="14" t="n">
        <v>433.22</v>
      </c>
      <c r="O123" s="14" t="n">
        <v>433.22</v>
      </c>
      <c r="P123" s="14" t="n">
        <v>433.22</v>
      </c>
      <c r="Q123" s="14" t="n">
        <v>433.22</v>
      </c>
      <c r="R123" s="14" t="n">
        <v>433.22</v>
      </c>
      <c r="S123" s="14" t="n">
        <v>433.22</v>
      </c>
      <c r="T123" s="14" t="n">
        <v>433.22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CANON-202605-006146</t>
        </is>
      </c>
      <c r="B124" s="15" t="inlineStr">
        <is>
          <t>2026-05-18</t>
        </is>
      </c>
      <c r="C124" s="15" t="inlineStr">
        <is>
          <t>Marisol Chattopadhyay</t>
        </is>
      </c>
      <c r="D124" s="15" t="inlineStr">
        <is>
          <t>DE</t>
        </is>
      </c>
      <c r="E124" s="16" t="n">
        <v>355000</v>
      </c>
      <c r="F124" s="16" t="n">
        <v>4880.41</v>
      </c>
      <c r="G124" s="16" t="n">
        <v>610.05</v>
      </c>
      <c r="H124" s="16" t="n">
        <v>610.05</v>
      </c>
      <c r="I124" s="16">
        <f>SUM(K124:T124)</f>
        <v/>
      </c>
      <c r="J124" s="16">
        <f>F124-(G124+H124+I124)</f>
        <v/>
      </c>
      <c r="K124" s="16" t="n">
        <v>366.03</v>
      </c>
      <c r="L124" s="16" t="n">
        <v>366.03</v>
      </c>
      <c r="M124" s="16" t="n">
        <v>366.03</v>
      </c>
      <c r="N124" s="16" t="n">
        <v>366.03</v>
      </c>
      <c r="O124" s="16" t="n">
        <v>366.03</v>
      </c>
      <c r="P124" s="16" t="n">
        <v>366.03</v>
      </c>
      <c r="Q124" s="16" t="n">
        <v>366.03</v>
      </c>
      <c r="R124" s="16" t="n">
        <v>366.03</v>
      </c>
      <c r="S124" s="16" t="n">
        <v>366.03</v>
      </c>
      <c r="T124" s="16" t="n">
        <v>366.03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CANON-202605-006147</t>
        </is>
      </c>
      <c r="B125" s="3" t="inlineStr">
        <is>
          <t>2026-05-05</t>
        </is>
      </c>
      <c r="C125" s="3" t="inlineStr">
        <is>
          <t>Aurelio Fairweather</t>
        </is>
      </c>
      <c r="D125" s="3" t="inlineStr">
        <is>
          <t>RI</t>
        </is>
      </c>
      <c r="E125" s="14" t="n">
        <v>1355000</v>
      </c>
      <c r="F125" s="14" t="n">
        <v>21777.44</v>
      </c>
      <c r="G125" s="14" t="n">
        <v>2722.18</v>
      </c>
      <c r="H125" s="14" t="n">
        <v>2722.18</v>
      </c>
      <c r="I125" s="14">
        <f>SUM(K125:T125)</f>
        <v/>
      </c>
      <c r="J125" s="14">
        <f>F125-(G125+H125+I125)</f>
        <v/>
      </c>
      <c r="K125" s="14" t="n">
        <v>1633.31</v>
      </c>
      <c r="L125" s="14" t="n">
        <v>1633.31</v>
      </c>
      <c r="M125" s="14" t="n">
        <v>1633.31</v>
      </c>
      <c r="N125" s="14" t="n">
        <v>1633.31</v>
      </c>
      <c r="O125" s="14" t="n">
        <v>1633.31</v>
      </c>
      <c r="P125" s="14" t="n">
        <v>1633.31</v>
      </c>
      <c r="Q125" s="14" t="n">
        <v>1633.31</v>
      </c>
      <c r="R125" s="14" t="n">
        <v>1633.31</v>
      </c>
      <c r="S125" s="14" t="n">
        <v>1633.31</v>
      </c>
      <c r="T125" s="14" t="n">
        <v>1633.31</v>
      </c>
      <c r="U125" s="14" t="n">
        <v>350</v>
      </c>
      <c r="V125" s="14" t="n">
        <v>250</v>
      </c>
      <c r="W125" s="14">
        <f>U125+V125</f>
        <v/>
      </c>
    </row>
    <row r="126">
      <c r="A126" s="15" t="inlineStr">
        <is>
          <t>CANON-202605-006148</t>
        </is>
      </c>
      <c r="B126" s="15" t="inlineStr">
        <is>
          <t>2026-05-04</t>
        </is>
      </c>
      <c r="C126" s="15" t="inlineStr">
        <is>
          <t>Lorenzo Montoya</t>
        </is>
      </c>
      <c r="D126" s="15" t="inlineStr">
        <is>
          <t>OH</t>
        </is>
      </c>
      <c r="E126" s="16" t="n">
        <v>1165000</v>
      </c>
      <c r="F126" s="16" t="n">
        <v>18997.12</v>
      </c>
      <c r="G126" s="16" t="n">
        <v>2374.64</v>
      </c>
      <c r="H126" s="16" t="n">
        <v>2374.64</v>
      </c>
      <c r="I126" s="16">
        <f>SUM(K126:T126)</f>
        <v/>
      </c>
      <c r="J126" s="16">
        <f>F126-(G126+H126+I126)</f>
        <v/>
      </c>
      <c r="K126" s="16" t="n">
        <v>1424.78</v>
      </c>
      <c r="L126" s="16" t="n">
        <v>1424.78</v>
      </c>
      <c r="M126" s="16" t="n">
        <v>1424.78</v>
      </c>
      <c r="N126" s="16" t="n">
        <v>1424.78</v>
      </c>
      <c r="O126" s="16" t="n">
        <v>1424.78</v>
      </c>
      <c r="P126" s="16" t="n">
        <v>1424.78</v>
      </c>
      <c r="Q126" s="16" t="n">
        <v>1424.78</v>
      </c>
      <c r="R126" s="16" t="n">
        <v>1424.78</v>
      </c>
      <c r="S126" s="16" t="n">
        <v>1424.78</v>
      </c>
      <c r="T126" s="16" t="n">
        <v>1424.78</v>
      </c>
      <c r="U126" s="16" t="n">
        <v>350</v>
      </c>
      <c r="V126" s="16" t="n">
        <v>250</v>
      </c>
      <c r="W126" s="16">
        <f>U126+V126</f>
        <v/>
      </c>
    </row>
    <row r="127">
      <c r="A127" s="3" t="inlineStr">
        <is>
          <t>CANON-202605-006149</t>
        </is>
      </c>
      <c r="B127" s="3" t="inlineStr">
        <is>
          <t>2026-05-08</t>
        </is>
      </c>
      <c r="C127" s="3" t="inlineStr">
        <is>
          <t>Leopold Nakashima</t>
        </is>
      </c>
      <c r="D127" s="3" t="inlineStr">
        <is>
          <t>MI</t>
        </is>
      </c>
      <c r="E127" s="14" t="n">
        <v>685000</v>
      </c>
      <c r="F127" s="14" t="n">
        <v>10120.28</v>
      </c>
      <c r="G127" s="14" t="n">
        <v>1265.04</v>
      </c>
      <c r="H127" s="14" t="n">
        <v>1265.04</v>
      </c>
      <c r="I127" s="14">
        <f>SUM(K127:T127)</f>
        <v/>
      </c>
      <c r="J127" s="14">
        <f>F127-(G127+H127+I127)</f>
        <v/>
      </c>
      <c r="K127" s="14" t="n">
        <v>759.02</v>
      </c>
      <c r="L127" s="14" t="n">
        <v>759.02</v>
      </c>
      <c r="M127" s="14" t="n">
        <v>759.02</v>
      </c>
      <c r="N127" s="14" t="n">
        <v>759.02</v>
      </c>
      <c r="O127" s="14" t="n">
        <v>759.02</v>
      </c>
      <c r="P127" s="14" t="n">
        <v>759.02</v>
      </c>
      <c r="Q127" s="14" t="n">
        <v>759.02</v>
      </c>
      <c r="R127" s="14" t="n">
        <v>759.02</v>
      </c>
      <c r="S127" s="14" t="n">
        <v>759.02</v>
      </c>
      <c r="T127" s="14" t="n">
        <v>759.02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CANON-202605-006151</t>
        </is>
      </c>
      <c r="B128" s="15" t="inlineStr">
        <is>
          <t>2026-05-30</t>
        </is>
      </c>
      <c r="C128" s="15" t="inlineStr">
        <is>
          <t>Beatrix Farkas</t>
        </is>
      </c>
      <c r="D128" s="15" t="inlineStr">
        <is>
          <t>OR</t>
        </is>
      </c>
      <c r="E128" s="16" t="n">
        <v>265000</v>
      </c>
      <c r="F128" s="16" t="n">
        <v>3293.39</v>
      </c>
      <c r="G128" s="16" t="n">
        <v>411.67</v>
      </c>
      <c r="H128" s="16" t="n">
        <v>411.67</v>
      </c>
      <c r="I128" s="16">
        <f>SUM(K128:T128)</f>
        <v/>
      </c>
      <c r="J128" s="16">
        <f>F128-(G128+H128+I128)</f>
        <v/>
      </c>
      <c r="K128" s="16" t="n">
        <v>247</v>
      </c>
      <c r="L128" s="16" t="n">
        <v>247</v>
      </c>
      <c r="M128" s="16" t="n">
        <v>247</v>
      </c>
      <c r="N128" s="16" t="n">
        <v>247</v>
      </c>
      <c r="O128" s="16" t="n">
        <v>247</v>
      </c>
      <c r="P128" s="16" t="n">
        <v>247</v>
      </c>
      <c r="Q128" s="16" t="n">
        <v>247</v>
      </c>
      <c r="R128" s="16" t="n">
        <v>247</v>
      </c>
      <c r="S128" s="16" t="n">
        <v>247</v>
      </c>
      <c r="T128" s="16" t="n">
        <v>247</v>
      </c>
      <c r="U128" s="16" t="n">
        <v>350</v>
      </c>
      <c r="V128" s="16" t="n">
        <v>0</v>
      </c>
      <c r="W128" s="16">
        <f>U128+V128</f>
        <v/>
      </c>
    </row>
    <row r="129">
      <c r="A129" s="3" t="inlineStr">
        <is>
          <t>CANON-202605-006152</t>
        </is>
      </c>
      <c r="B129" s="3" t="inlineStr">
        <is>
          <t>2026-05-24</t>
        </is>
      </c>
      <c r="C129" s="3" t="inlineStr">
        <is>
          <t>Leopold Chattopadhyay</t>
        </is>
      </c>
      <c r="D129" s="3" t="inlineStr">
        <is>
          <t>SC</t>
        </is>
      </c>
      <c r="E129" s="14" t="n">
        <v>1500000</v>
      </c>
      <c r="F129" s="14" t="n">
        <v>15001.43</v>
      </c>
      <c r="G129" s="14" t="n">
        <v>1875.18</v>
      </c>
      <c r="H129" s="14" t="n">
        <v>1875.18</v>
      </c>
      <c r="I129" s="14">
        <f>SUM(K129:T129)</f>
        <v/>
      </c>
      <c r="J129" s="14">
        <f>F129-(G129+H129+I129)</f>
        <v/>
      </c>
      <c r="K129" s="14" t="n">
        <v>1125.11</v>
      </c>
      <c r="L129" s="14" t="n">
        <v>1125.11</v>
      </c>
      <c r="M129" s="14" t="n">
        <v>1125.11</v>
      </c>
      <c r="N129" s="14" t="n">
        <v>1125.11</v>
      </c>
      <c r="O129" s="14" t="n">
        <v>1125.11</v>
      </c>
      <c r="P129" s="14" t="n">
        <v>1125.11</v>
      </c>
      <c r="Q129" s="14" t="n">
        <v>1125.11</v>
      </c>
      <c r="R129" s="14" t="n">
        <v>1125.11</v>
      </c>
      <c r="S129" s="14" t="n">
        <v>1125.11</v>
      </c>
      <c r="T129" s="14" t="n">
        <v>1125.11</v>
      </c>
      <c r="U129" s="14" t="n">
        <v>350</v>
      </c>
      <c r="V129" s="14" t="n">
        <v>250</v>
      </c>
      <c r="W129" s="14">
        <f>U129+V129</f>
        <v/>
      </c>
    </row>
    <row r="130">
      <c r="A130" s="15" t="inlineStr">
        <is>
          <t>CANON-202605-006153</t>
        </is>
      </c>
      <c r="B130" s="15" t="inlineStr">
        <is>
          <t>2026-05-10</t>
        </is>
      </c>
      <c r="C130" s="15" t="inlineStr">
        <is>
          <t>Horace Bellandi</t>
        </is>
      </c>
      <c r="D130" s="15" t="inlineStr">
        <is>
          <t>OR</t>
        </is>
      </c>
      <c r="E130" s="16" t="n">
        <v>970000</v>
      </c>
      <c r="F130" s="16" t="n">
        <v>10447.7</v>
      </c>
      <c r="G130" s="16" t="n">
        <v>1305.96</v>
      </c>
      <c r="H130" s="16" t="n">
        <v>1305.96</v>
      </c>
      <c r="I130" s="16">
        <f>SUM(K130:T130)</f>
        <v/>
      </c>
      <c r="J130" s="16">
        <f>F130-(G130+H130+I130)</f>
        <v/>
      </c>
      <c r="K130" s="16" t="n">
        <v>783.58</v>
      </c>
      <c r="L130" s="16" t="n">
        <v>783.58</v>
      </c>
      <c r="M130" s="16" t="n">
        <v>783.58</v>
      </c>
      <c r="N130" s="16" t="n">
        <v>783.58</v>
      </c>
      <c r="O130" s="16" t="n">
        <v>783.58</v>
      </c>
      <c r="P130" s="16" t="n">
        <v>783.58</v>
      </c>
      <c r="Q130" s="16" t="n">
        <v>783.58</v>
      </c>
      <c r="R130" s="16" t="n">
        <v>783.58</v>
      </c>
      <c r="S130" s="16" t="n">
        <v>783.58</v>
      </c>
      <c r="T130" s="16" t="n">
        <v>783.58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CANON-202605-006154</t>
        </is>
      </c>
      <c r="B131" s="3" t="inlineStr">
        <is>
          <t>2026-05-29</t>
        </is>
      </c>
      <c r="C131" s="3" t="inlineStr">
        <is>
          <t>Marisol Vasquez</t>
        </is>
      </c>
      <c r="D131" s="3" t="inlineStr">
        <is>
          <t>WA</t>
        </is>
      </c>
      <c r="E131" s="14" t="n">
        <v>770000</v>
      </c>
      <c r="F131" s="14" t="n">
        <v>7045.83</v>
      </c>
      <c r="G131" s="14" t="n">
        <v>880.73</v>
      </c>
      <c r="H131" s="14" t="n">
        <v>880.73</v>
      </c>
      <c r="I131" s="14">
        <f>SUM(K131:T131)</f>
        <v/>
      </c>
      <c r="J131" s="14">
        <f>F131-(G131+H131+I131)</f>
        <v/>
      </c>
      <c r="K131" s="14" t="n">
        <v>528.4400000000001</v>
      </c>
      <c r="L131" s="14" t="n">
        <v>528.4400000000001</v>
      </c>
      <c r="M131" s="14" t="n">
        <v>528.4400000000001</v>
      </c>
      <c r="N131" s="14" t="n">
        <v>528.4400000000001</v>
      </c>
      <c r="O131" s="14" t="n">
        <v>528.4400000000001</v>
      </c>
      <c r="P131" s="14" t="n">
        <v>528.4400000000001</v>
      </c>
      <c r="Q131" s="14" t="n">
        <v>528.4400000000001</v>
      </c>
      <c r="R131" s="14" t="n">
        <v>528.4400000000001</v>
      </c>
      <c r="S131" s="14" t="n">
        <v>528.4400000000001</v>
      </c>
      <c r="T131" s="14" t="n">
        <v>528.4400000000001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CANON-202605-006156</t>
        </is>
      </c>
      <c r="B132" s="15" t="inlineStr">
        <is>
          <t>2026-05-15</t>
        </is>
      </c>
      <c r="C132" s="15" t="inlineStr">
        <is>
          <t>Delphine Castellanos</t>
        </is>
      </c>
      <c r="D132" s="15" t="inlineStr">
        <is>
          <t>MT</t>
        </is>
      </c>
      <c r="E132" s="16" t="n">
        <v>845000</v>
      </c>
      <c r="F132" s="16" t="n">
        <v>4955.24</v>
      </c>
      <c r="G132" s="16" t="n">
        <v>619.4</v>
      </c>
      <c r="H132" s="16" t="n">
        <v>619.4</v>
      </c>
      <c r="I132" s="16">
        <f>SUM(K132:T132)</f>
        <v/>
      </c>
      <c r="J132" s="16">
        <f>F132-(G132+H132+I132)</f>
        <v/>
      </c>
      <c r="K132" s="16" t="n">
        <v>371.64</v>
      </c>
      <c r="L132" s="16" t="n">
        <v>371.64</v>
      </c>
      <c r="M132" s="16" t="n">
        <v>371.64</v>
      </c>
      <c r="N132" s="16" t="n">
        <v>371.64</v>
      </c>
      <c r="O132" s="16" t="n">
        <v>371.64</v>
      </c>
      <c r="P132" s="16" t="n">
        <v>371.64</v>
      </c>
      <c r="Q132" s="16" t="n">
        <v>371.64</v>
      </c>
      <c r="R132" s="16" t="n">
        <v>371.64</v>
      </c>
      <c r="S132" s="16" t="n">
        <v>371.64</v>
      </c>
      <c r="T132" s="16" t="n">
        <v>371.64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CANON-202605-006158</t>
        </is>
      </c>
      <c r="B133" s="3" t="inlineStr">
        <is>
          <t>2026-05-18</t>
        </is>
      </c>
      <c r="C133" s="3" t="inlineStr">
        <is>
          <t>Wilhelmina Ashcombe</t>
        </is>
      </c>
      <c r="D133" s="3" t="inlineStr">
        <is>
          <t>AK</t>
        </is>
      </c>
      <c r="E133" s="14" t="n">
        <v>335000</v>
      </c>
      <c r="F133" s="14" t="n">
        <v>2352.1</v>
      </c>
      <c r="G133" s="14" t="n">
        <v>294.01</v>
      </c>
      <c r="H133" s="14" t="n">
        <v>294.01</v>
      </c>
      <c r="I133" s="14">
        <f>SUM(K133:T133)</f>
        <v/>
      </c>
      <c r="J133" s="14">
        <f>F133-(G133+H133+I133)</f>
        <v/>
      </c>
      <c r="K133" s="14" t="n">
        <v>176.41</v>
      </c>
      <c r="L133" s="14" t="n">
        <v>176.41</v>
      </c>
      <c r="M133" s="14" t="n">
        <v>176.41</v>
      </c>
      <c r="N133" s="14" t="n">
        <v>176.41</v>
      </c>
      <c r="O133" s="14" t="n">
        <v>176.41</v>
      </c>
      <c r="P133" s="14" t="n">
        <v>176.41</v>
      </c>
      <c r="Q133" s="14" t="n">
        <v>176.41</v>
      </c>
      <c r="R133" s="14" t="n">
        <v>176.41</v>
      </c>
      <c r="S133" s="14" t="n">
        <v>176.41</v>
      </c>
      <c r="T133" s="14" t="n">
        <v>176.41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CANON-202605-006159</t>
        </is>
      </c>
      <c r="B134" s="15" t="inlineStr">
        <is>
          <t>2026-05-10</t>
        </is>
      </c>
      <c r="C134" s="15" t="inlineStr">
        <is>
          <t>Marisol Thistlewood</t>
        </is>
      </c>
      <c r="D134" s="15" t="inlineStr">
        <is>
          <t>WY</t>
        </is>
      </c>
      <c r="E134" s="16" t="n">
        <v>1035000</v>
      </c>
      <c r="F134" s="16" t="n">
        <v>8931.9</v>
      </c>
      <c r="G134" s="16" t="n">
        <v>1116.49</v>
      </c>
      <c r="H134" s="16" t="n">
        <v>1116.49</v>
      </c>
      <c r="I134" s="16">
        <f>SUM(K134:T134)</f>
        <v/>
      </c>
      <c r="J134" s="16">
        <f>F134-(G134+H134+I134)</f>
        <v/>
      </c>
      <c r="K134" s="16" t="n">
        <v>669.89</v>
      </c>
      <c r="L134" s="16" t="n">
        <v>669.89</v>
      </c>
      <c r="M134" s="16" t="n">
        <v>669.89</v>
      </c>
      <c r="N134" s="16" t="n">
        <v>669.89</v>
      </c>
      <c r="O134" s="16" t="n">
        <v>669.89</v>
      </c>
      <c r="P134" s="16" t="n">
        <v>669.89</v>
      </c>
      <c r="Q134" s="16" t="n">
        <v>669.89</v>
      </c>
      <c r="R134" s="16" t="n">
        <v>669.89</v>
      </c>
      <c r="S134" s="16" t="n">
        <v>669.89</v>
      </c>
      <c r="T134" s="16" t="n">
        <v>669.89</v>
      </c>
      <c r="U134" s="16" t="n">
        <v>350</v>
      </c>
      <c r="V134" s="16" t="n">
        <v>250</v>
      </c>
      <c r="W134" s="16">
        <f>U134+V134</f>
        <v/>
      </c>
    </row>
    <row r="135">
      <c r="A135" s="3" t="inlineStr">
        <is>
          <t>CANON-202605-006160</t>
        </is>
      </c>
      <c r="B135" s="3" t="inlineStr">
        <is>
          <t>2026-05-03</t>
        </is>
      </c>
      <c r="C135" s="3" t="inlineStr">
        <is>
          <t>Ottilie Fairweather</t>
        </is>
      </c>
      <c r="D135" s="3" t="inlineStr">
        <is>
          <t>TX</t>
        </is>
      </c>
      <c r="E135" s="14" t="n">
        <v>845000</v>
      </c>
      <c r="F135" s="14" t="n">
        <v>6127.45</v>
      </c>
      <c r="G135" s="14" t="n">
        <v>765.9299999999999</v>
      </c>
      <c r="H135" s="14" t="n">
        <v>765.9299999999999</v>
      </c>
      <c r="I135" s="14">
        <f>SUM(K135:T135)</f>
        <v/>
      </c>
      <c r="J135" s="14">
        <f>F135-(G135+H135+I135)</f>
        <v/>
      </c>
      <c r="K135" s="14" t="n">
        <v>459.56</v>
      </c>
      <c r="L135" s="14" t="n">
        <v>459.56</v>
      </c>
      <c r="M135" s="14" t="n">
        <v>459.56</v>
      </c>
      <c r="N135" s="14" t="n">
        <v>459.56</v>
      </c>
      <c r="O135" s="14" t="n">
        <v>459.56</v>
      </c>
      <c r="P135" s="14" t="n">
        <v>459.56</v>
      </c>
      <c r="Q135" s="14" t="n">
        <v>459.56</v>
      </c>
      <c r="R135" s="14" t="n">
        <v>459.56</v>
      </c>
      <c r="S135" s="14" t="n">
        <v>459.56</v>
      </c>
      <c r="T135" s="14" t="n">
        <v>459.56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CANON-202605-006161</t>
        </is>
      </c>
      <c r="B136" s="15" t="inlineStr">
        <is>
          <t>2026-05-06</t>
        </is>
      </c>
      <c r="C136" s="15" t="inlineStr">
        <is>
          <t>Sunniva Castellanos</t>
        </is>
      </c>
      <c r="D136" s="15" t="inlineStr">
        <is>
          <t>HI</t>
        </is>
      </c>
      <c r="E136" s="16" t="n">
        <v>660000</v>
      </c>
      <c r="F136" s="16" t="n">
        <v>8178.2</v>
      </c>
      <c r="G136" s="16" t="n">
        <v>1022.27</v>
      </c>
      <c r="H136" s="16" t="n">
        <v>1022.27</v>
      </c>
      <c r="I136" s="16">
        <f>SUM(K136:T136)</f>
        <v/>
      </c>
      <c r="J136" s="16">
        <f>F136-(G136+H136+I136)</f>
        <v/>
      </c>
      <c r="K136" s="16" t="n">
        <v>613.37</v>
      </c>
      <c r="L136" s="16" t="n">
        <v>613.37</v>
      </c>
      <c r="M136" s="16" t="n">
        <v>613.37</v>
      </c>
      <c r="N136" s="16" t="n">
        <v>613.37</v>
      </c>
      <c r="O136" s="16" t="n">
        <v>613.37</v>
      </c>
      <c r="P136" s="16" t="n">
        <v>613.37</v>
      </c>
      <c r="Q136" s="16" t="n">
        <v>613.37</v>
      </c>
      <c r="R136" s="16" t="n">
        <v>613.37</v>
      </c>
      <c r="S136" s="16" t="n">
        <v>613.37</v>
      </c>
      <c r="T136" s="16" t="n">
        <v>613.37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CANON-202605-006162</t>
        </is>
      </c>
      <c r="B137" s="3" t="inlineStr">
        <is>
          <t>2026-05-04</t>
        </is>
      </c>
      <c r="C137" s="3" t="inlineStr">
        <is>
          <t>Priya Underwood</t>
        </is>
      </c>
      <c r="D137" s="3" t="inlineStr">
        <is>
          <t>AR</t>
        </is>
      </c>
      <c r="E137" s="14" t="n">
        <v>450000</v>
      </c>
      <c r="F137" s="14" t="n">
        <v>10472.4</v>
      </c>
      <c r="G137" s="14" t="n">
        <v>1309.05</v>
      </c>
      <c r="H137" s="14" t="n">
        <v>1309.05</v>
      </c>
      <c r="I137" s="14">
        <f>SUM(K137:T137)</f>
        <v/>
      </c>
      <c r="J137" s="14">
        <f>F137-(G137+H137+I137)</f>
        <v/>
      </c>
      <c r="K137" s="14" t="n">
        <v>785.4299999999999</v>
      </c>
      <c r="L137" s="14" t="n">
        <v>785.4299999999999</v>
      </c>
      <c r="M137" s="14" t="n">
        <v>785.4299999999999</v>
      </c>
      <c r="N137" s="14" t="n">
        <v>785.4299999999999</v>
      </c>
      <c r="O137" s="14" t="n">
        <v>785.4299999999999</v>
      </c>
      <c r="P137" s="14" t="n">
        <v>785.4299999999999</v>
      </c>
      <c r="Q137" s="14" t="n">
        <v>785.4299999999999</v>
      </c>
      <c r="R137" s="14" t="n">
        <v>785.4299999999999</v>
      </c>
      <c r="S137" s="14" t="n">
        <v>785.4299999999999</v>
      </c>
      <c r="T137" s="14" t="n">
        <v>785.4299999999999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CANON-202605-006163</t>
        </is>
      </c>
      <c r="B138" s="15" t="inlineStr">
        <is>
          <t>2026-05-30</t>
        </is>
      </c>
      <c r="C138" s="15" t="inlineStr">
        <is>
          <t>Fitzgerald Pennington</t>
        </is>
      </c>
      <c r="D138" s="15" t="inlineStr">
        <is>
          <t>NJ</t>
        </is>
      </c>
      <c r="E138" s="16" t="n">
        <v>265000</v>
      </c>
      <c r="F138" s="16" t="n">
        <v>2652.2</v>
      </c>
      <c r="G138" s="16" t="n">
        <v>331.52</v>
      </c>
      <c r="H138" s="16" t="n">
        <v>331.52</v>
      </c>
      <c r="I138" s="16">
        <f>SUM(K138:T138)</f>
        <v/>
      </c>
      <c r="J138" s="16">
        <f>F138-(G138+H138+I138)</f>
        <v/>
      </c>
      <c r="K138" s="16" t="n">
        <v>198.91</v>
      </c>
      <c r="L138" s="16" t="n">
        <v>198.91</v>
      </c>
      <c r="M138" s="16" t="n">
        <v>198.91</v>
      </c>
      <c r="N138" s="16" t="n">
        <v>198.91</v>
      </c>
      <c r="O138" s="16" t="n">
        <v>198.91</v>
      </c>
      <c r="P138" s="16" t="n">
        <v>198.91</v>
      </c>
      <c r="Q138" s="16" t="n">
        <v>198.91</v>
      </c>
      <c r="R138" s="16" t="n">
        <v>198.91</v>
      </c>
      <c r="S138" s="16" t="n">
        <v>198.91</v>
      </c>
      <c r="T138" s="16" t="n">
        <v>198.91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CANON-202605-006166</t>
        </is>
      </c>
      <c r="B139" s="3" t="inlineStr">
        <is>
          <t>2026-05-08</t>
        </is>
      </c>
      <c r="C139" s="3" t="inlineStr">
        <is>
          <t>Horace Farkas</t>
        </is>
      </c>
      <c r="D139" s="3" t="inlineStr">
        <is>
          <t>GA</t>
        </is>
      </c>
      <c r="E139" s="14" t="n">
        <v>350000</v>
      </c>
      <c r="F139" s="14" t="n">
        <v>4311.26</v>
      </c>
      <c r="G139" s="14" t="n">
        <v>538.91</v>
      </c>
      <c r="H139" s="14" t="n">
        <v>538.91</v>
      </c>
      <c r="I139" s="14">
        <f>SUM(K139:T139)</f>
        <v/>
      </c>
      <c r="J139" s="14">
        <f>F139-(G139+H139+I139)</f>
        <v/>
      </c>
      <c r="K139" s="14" t="n">
        <v>323.34</v>
      </c>
      <c r="L139" s="14" t="n">
        <v>323.34</v>
      </c>
      <c r="M139" s="14" t="n">
        <v>323.34</v>
      </c>
      <c r="N139" s="14" t="n">
        <v>323.34</v>
      </c>
      <c r="O139" s="14" t="n">
        <v>323.34</v>
      </c>
      <c r="P139" s="14" t="n">
        <v>323.34</v>
      </c>
      <c r="Q139" s="14" t="n">
        <v>323.34</v>
      </c>
      <c r="R139" s="14" t="n">
        <v>323.34</v>
      </c>
      <c r="S139" s="14" t="n">
        <v>323.34</v>
      </c>
      <c r="T139" s="14" t="n">
        <v>323.34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CANON-202605-006168</t>
        </is>
      </c>
      <c r="B140" s="15" t="inlineStr">
        <is>
          <t>2026-05-11</t>
        </is>
      </c>
      <c r="C140" s="15" t="inlineStr">
        <is>
          <t>Priya Larsson</t>
        </is>
      </c>
      <c r="D140" s="15" t="inlineStr">
        <is>
          <t>AZ</t>
        </is>
      </c>
      <c r="E140" s="16" t="n">
        <v>265000</v>
      </c>
      <c r="F140" s="16" t="n">
        <v>4513.59</v>
      </c>
      <c r="G140" s="16" t="n">
        <v>564.2</v>
      </c>
      <c r="H140" s="16" t="n">
        <v>564.2</v>
      </c>
      <c r="I140" s="16">
        <f>SUM(K140:T140)</f>
        <v/>
      </c>
      <c r="J140" s="16">
        <f>F140-(G140+H140+I140)</f>
        <v/>
      </c>
      <c r="K140" s="16" t="n">
        <v>338.52</v>
      </c>
      <c r="L140" s="16" t="n">
        <v>338.52</v>
      </c>
      <c r="M140" s="16" t="n">
        <v>338.52</v>
      </c>
      <c r="N140" s="16" t="n">
        <v>338.52</v>
      </c>
      <c r="O140" s="16" t="n">
        <v>338.52</v>
      </c>
      <c r="P140" s="16" t="n">
        <v>338.52</v>
      </c>
      <c r="Q140" s="16" t="n">
        <v>338.52</v>
      </c>
      <c r="R140" s="16" t="n">
        <v>338.52</v>
      </c>
      <c r="S140" s="16" t="n">
        <v>338.52</v>
      </c>
      <c r="T140" s="16" t="n">
        <v>338.52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CANON-202605-006169</t>
        </is>
      </c>
      <c r="B141" s="3" t="inlineStr">
        <is>
          <t>2026-05-18</t>
        </is>
      </c>
      <c r="C141" s="3" t="inlineStr">
        <is>
          <t>Marisol Okonkwo</t>
        </is>
      </c>
      <c r="D141" s="3" t="inlineStr">
        <is>
          <t>MS</t>
        </is>
      </c>
      <c r="E141" s="14" t="n">
        <v>1020000</v>
      </c>
      <c r="F141" s="14" t="n">
        <v>9789.639999999999</v>
      </c>
      <c r="G141" s="14" t="n">
        <v>1223.7</v>
      </c>
      <c r="H141" s="14" t="n">
        <v>1223.7</v>
      </c>
      <c r="I141" s="14">
        <f>SUM(K141:T141)</f>
        <v/>
      </c>
      <c r="J141" s="14">
        <f>F141-(G141+H141+I141)</f>
        <v/>
      </c>
      <c r="K141" s="14" t="n">
        <v>734.22</v>
      </c>
      <c r="L141" s="14" t="n">
        <v>734.22</v>
      </c>
      <c r="M141" s="14" t="n">
        <v>734.22</v>
      </c>
      <c r="N141" s="14" t="n">
        <v>734.22</v>
      </c>
      <c r="O141" s="14" t="n">
        <v>734.22</v>
      </c>
      <c r="P141" s="14" t="n">
        <v>734.22</v>
      </c>
      <c r="Q141" s="14" t="n">
        <v>734.22</v>
      </c>
      <c r="R141" s="14" t="n">
        <v>734.22</v>
      </c>
      <c r="S141" s="14" t="n">
        <v>734.22</v>
      </c>
      <c r="T141" s="14" t="n">
        <v>734.22</v>
      </c>
      <c r="U141" s="14" t="n">
        <v>350</v>
      </c>
      <c r="V141" s="14" t="n">
        <v>250</v>
      </c>
      <c r="W141" s="14">
        <f>U141+V141</f>
        <v/>
      </c>
    </row>
    <row r="142">
      <c r="A142" s="15" t="inlineStr">
        <is>
          <t>CANON-202605-006173</t>
        </is>
      </c>
      <c r="B142" s="15" t="inlineStr">
        <is>
          <t>2026-05-17</t>
        </is>
      </c>
      <c r="C142" s="15" t="inlineStr">
        <is>
          <t>Cassius Larsson</t>
        </is>
      </c>
      <c r="D142" s="15" t="inlineStr">
        <is>
          <t>GA</t>
        </is>
      </c>
      <c r="E142" s="16" t="n">
        <v>1220000</v>
      </c>
      <c r="F142" s="16" t="n">
        <v>11020.4</v>
      </c>
      <c r="G142" s="16" t="n">
        <v>1377.55</v>
      </c>
      <c r="H142" s="16" t="n">
        <v>1377.55</v>
      </c>
      <c r="I142" s="16">
        <f>SUM(K142:T142)</f>
        <v/>
      </c>
      <c r="J142" s="16">
        <f>F142-(G142+H142+I142)</f>
        <v/>
      </c>
      <c r="K142" s="16" t="n">
        <v>826.53</v>
      </c>
      <c r="L142" s="16" t="n">
        <v>826.53</v>
      </c>
      <c r="M142" s="16" t="n">
        <v>826.53</v>
      </c>
      <c r="N142" s="16" t="n">
        <v>826.53</v>
      </c>
      <c r="O142" s="16" t="n">
        <v>826.53</v>
      </c>
      <c r="P142" s="16" t="n">
        <v>826.53</v>
      </c>
      <c r="Q142" s="16" t="n">
        <v>826.53</v>
      </c>
      <c r="R142" s="16" t="n">
        <v>826.53</v>
      </c>
      <c r="S142" s="16" t="n">
        <v>826.53</v>
      </c>
      <c r="T142" s="16" t="n">
        <v>826.53</v>
      </c>
      <c r="U142" s="16" t="n">
        <v>350</v>
      </c>
      <c r="V142" s="16" t="n">
        <v>250</v>
      </c>
      <c r="W142" s="16">
        <f>U142+V142</f>
        <v/>
      </c>
    </row>
    <row r="143">
      <c r="A143" s="3" t="inlineStr">
        <is>
          <t>CANON-202605-006175</t>
        </is>
      </c>
      <c r="B143" s="3" t="inlineStr">
        <is>
          <t>2026-05-25</t>
        </is>
      </c>
      <c r="C143" s="3" t="inlineStr">
        <is>
          <t>Anouk Vasquez</t>
        </is>
      </c>
      <c r="D143" s="3" t="inlineStr">
        <is>
          <t>AZ</t>
        </is>
      </c>
      <c r="E143" s="14" t="n">
        <v>635000</v>
      </c>
      <c r="F143" s="14" t="n">
        <v>6113.15</v>
      </c>
      <c r="G143" s="14" t="n">
        <v>764.14</v>
      </c>
      <c r="H143" s="14" t="n">
        <v>764.14</v>
      </c>
      <c r="I143" s="14">
        <f>SUM(K143:T143)</f>
        <v/>
      </c>
      <c r="J143" s="14">
        <f>F143-(G143+H143+I143)</f>
        <v/>
      </c>
      <c r="K143" s="14" t="n">
        <v>458.49</v>
      </c>
      <c r="L143" s="14" t="n">
        <v>458.49</v>
      </c>
      <c r="M143" s="14" t="n">
        <v>458.49</v>
      </c>
      <c r="N143" s="14" t="n">
        <v>458.49</v>
      </c>
      <c r="O143" s="14" t="n">
        <v>458.49</v>
      </c>
      <c r="P143" s="14" t="n">
        <v>458.49</v>
      </c>
      <c r="Q143" s="14" t="n">
        <v>458.49</v>
      </c>
      <c r="R143" s="14" t="n">
        <v>458.49</v>
      </c>
      <c r="S143" s="14" t="n">
        <v>458.49</v>
      </c>
      <c r="T143" s="14" t="n">
        <v>458.49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CANON-202605-006180</t>
        </is>
      </c>
      <c r="B144" s="15" t="inlineStr">
        <is>
          <t>2026-05-22</t>
        </is>
      </c>
      <c r="C144" s="15" t="inlineStr">
        <is>
          <t>Delphine Okonkwo</t>
        </is>
      </c>
      <c r="D144" s="15" t="inlineStr">
        <is>
          <t>NY</t>
        </is>
      </c>
      <c r="E144" s="16" t="n">
        <v>420000</v>
      </c>
      <c r="F144" s="16" t="n">
        <v>9065.969999999999</v>
      </c>
      <c r="G144" s="16" t="n">
        <v>1133.25</v>
      </c>
      <c r="H144" s="16" t="n">
        <v>1133.25</v>
      </c>
      <c r="I144" s="16">
        <f>SUM(K144:T144)</f>
        <v/>
      </c>
      <c r="J144" s="16">
        <f>F144-(G144+H144+I144)</f>
        <v/>
      </c>
      <c r="K144" s="16" t="n">
        <v>679.95</v>
      </c>
      <c r="L144" s="16" t="n">
        <v>679.95</v>
      </c>
      <c r="M144" s="16" t="n">
        <v>679.95</v>
      </c>
      <c r="N144" s="16" t="n">
        <v>679.95</v>
      </c>
      <c r="O144" s="16" t="n">
        <v>679.95</v>
      </c>
      <c r="P144" s="16" t="n">
        <v>679.95</v>
      </c>
      <c r="Q144" s="16" t="n">
        <v>679.95</v>
      </c>
      <c r="R144" s="16" t="n">
        <v>679.95</v>
      </c>
      <c r="S144" s="16" t="n">
        <v>679.95</v>
      </c>
      <c r="T144" s="16" t="n">
        <v>679.95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CANON-202605-006181</t>
        </is>
      </c>
      <c r="B145" s="3" t="inlineStr">
        <is>
          <t>2026-05-06</t>
        </is>
      </c>
      <c r="C145" s="3" t="inlineStr">
        <is>
          <t>Noor Vandermeer</t>
        </is>
      </c>
      <c r="D145" s="3" t="inlineStr">
        <is>
          <t>KS</t>
        </is>
      </c>
      <c r="E145" s="14" t="n">
        <v>1175000</v>
      </c>
      <c r="F145" s="14" t="n">
        <v>9192.4</v>
      </c>
      <c r="G145" s="14" t="n">
        <v>1149.05</v>
      </c>
      <c r="H145" s="14" t="n">
        <v>1149.05</v>
      </c>
      <c r="I145" s="14">
        <f>SUM(K145:T145)</f>
        <v/>
      </c>
      <c r="J145" s="14">
        <f>F145-(G145+H145+I145)</f>
        <v/>
      </c>
      <c r="K145" s="14" t="n">
        <v>689.4299999999999</v>
      </c>
      <c r="L145" s="14" t="n">
        <v>689.4299999999999</v>
      </c>
      <c r="M145" s="14" t="n">
        <v>689.4299999999999</v>
      </c>
      <c r="N145" s="14" t="n">
        <v>689.4299999999999</v>
      </c>
      <c r="O145" s="14" t="n">
        <v>689.4299999999999</v>
      </c>
      <c r="P145" s="14" t="n">
        <v>689.4299999999999</v>
      </c>
      <c r="Q145" s="14" t="n">
        <v>689.4299999999999</v>
      </c>
      <c r="R145" s="14" t="n">
        <v>689.4299999999999</v>
      </c>
      <c r="S145" s="14" t="n">
        <v>689.4299999999999</v>
      </c>
      <c r="T145" s="14" t="n">
        <v>689.4299999999999</v>
      </c>
      <c r="U145" s="14" t="n">
        <v>350</v>
      </c>
      <c r="V145" s="14" t="n">
        <v>250</v>
      </c>
      <c r="W145" s="14">
        <f>U145+V145</f>
        <v/>
      </c>
    </row>
    <row r="146">
      <c r="A146" s="15" t="inlineStr">
        <is>
          <t>CANON-202605-006182</t>
        </is>
      </c>
      <c r="B146" s="15" t="inlineStr">
        <is>
          <t>2026-05-17</t>
        </is>
      </c>
      <c r="C146" s="15" t="inlineStr">
        <is>
          <t>Sunniva Whitlock</t>
        </is>
      </c>
      <c r="D146" s="15" t="inlineStr">
        <is>
          <t>AR</t>
        </is>
      </c>
      <c r="E146" s="16" t="n">
        <v>1005000</v>
      </c>
      <c r="F146" s="16" t="n">
        <v>16270.17</v>
      </c>
      <c r="G146" s="16" t="n">
        <v>2033.77</v>
      </c>
      <c r="H146" s="16" t="n">
        <v>2033.77</v>
      </c>
      <c r="I146" s="16">
        <f>SUM(K146:T146)</f>
        <v/>
      </c>
      <c r="J146" s="16">
        <f>F146-(G146+H146+I146)</f>
        <v/>
      </c>
      <c r="K146" s="16" t="n">
        <v>1220.26</v>
      </c>
      <c r="L146" s="16" t="n">
        <v>1220.26</v>
      </c>
      <c r="M146" s="16" t="n">
        <v>1220.26</v>
      </c>
      <c r="N146" s="16" t="n">
        <v>1220.26</v>
      </c>
      <c r="O146" s="16" t="n">
        <v>1220.26</v>
      </c>
      <c r="P146" s="16" t="n">
        <v>1220.26</v>
      </c>
      <c r="Q146" s="16" t="n">
        <v>1220.26</v>
      </c>
      <c r="R146" s="16" t="n">
        <v>1220.26</v>
      </c>
      <c r="S146" s="16" t="n">
        <v>1220.26</v>
      </c>
      <c r="T146" s="16" t="n">
        <v>1220.26</v>
      </c>
      <c r="U146" s="16" t="n">
        <v>350</v>
      </c>
      <c r="V146" s="16" t="n">
        <v>250</v>
      </c>
      <c r="W146" s="16">
        <f>U146+V146</f>
        <v/>
      </c>
    </row>
    <row r="147">
      <c r="A147" s="3" t="inlineStr">
        <is>
          <t>CANON-202605-006183</t>
        </is>
      </c>
      <c r="B147" s="3" t="inlineStr">
        <is>
          <t>2026-05-09</t>
        </is>
      </c>
      <c r="C147" s="3" t="inlineStr">
        <is>
          <t>Fitzgerald Whitlock</t>
        </is>
      </c>
      <c r="D147" s="3" t="inlineStr">
        <is>
          <t>TX</t>
        </is>
      </c>
      <c r="E147" s="14" t="n">
        <v>675000</v>
      </c>
      <c r="F147" s="14" t="n">
        <v>7398.98</v>
      </c>
      <c r="G147" s="14" t="n">
        <v>924.87</v>
      </c>
      <c r="H147" s="14" t="n">
        <v>924.87</v>
      </c>
      <c r="I147" s="14">
        <f>SUM(K147:T147)</f>
        <v/>
      </c>
      <c r="J147" s="14">
        <f>F147-(G147+H147+I147)</f>
        <v/>
      </c>
      <c r="K147" s="14" t="n">
        <v>554.92</v>
      </c>
      <c r="L147" s="14" t="n">
        <v>554.92</v>
      </c>
      <c r="M147" s="14" t="n">
        <v>554.92</v>
      </c>
      <c r="N147" s="14" t="n">
        <v>554.92</v>
      </c>
      <c r="O147" s="14" t="n">
        <v>554.92</v>
      </c>
      <c r="P147" s="14" t="n">
        <v>554.92</v>
      </c>
      <c r="Q147" s="14" t="n">
        <v>554.92</v>
      </c>
      <c r="R147" s="14" t="n">
        <v>554.92</v>
      </c>
      <c r="S147" s="14" t="n">
        <v>554.92</v>
      </c>
      <c r="T147" s="14" t="n">
        <v>554.92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CANON-202605-006184</t>
        </is>
      </c>
      <c r="B148" s="15" t="inlineStr">
        <is>
          <t>2026-05-31</t>
        </is>
      </c>
      <c r="C148" s="15" t="inlineStr">
        <is>
          <t>Lorenzo Underwood</t>
        </is>
      </c>
      <c r="D148" s="15" t="inlineStr">
        <is>
          <t>TX</t>
        </is>
      </c>
      <c r="E148" s="16" t="n">
        <v>470000</v>
      </c>
      <c r="F148" s="16" t="n">
        <v>5944.48</v>
      </c>
      <c r="G148" s="16" t="n">
        <v>743.0599999999999</v>
      </c>
      <c r="H148" s="16" t="n">
        <v>743.0599999999999</v>
      </c>
      <c r="I148" s="16">
        <f>SUM(K148:T148)</f>
        <v/>
      </c>
      <c r="J148" s="16">
        <f>F148-(G148+H148+I148)</f>
        <v/>
      </c>
      <c r="K148" s="16" t="n">
        <v>445.84</v>
      </c>
      <c r="L148" s="16" t="n">
        <v>445.84</v>
      </c>
      <c r="M148" s="16" t="n">
        <v>445.84</v>
      </c>
      <c r="N148" s="16" t="n">
        <v>445.84</v>
      </c>
      <c r="O148" s="16" t="n">
        <v>445.84</v>
      </c>
      <c r="P148" s="16" t="n">
        <v>445.84</v>
      </c>
      <c r="Q148" s="16" t="n">
        <v>445.84</v>
      </c>
      <c r="R148" s="16" t="n">
        <v>445.84</v>
      </c>
      <c r="S148" s="16" t="n">
        <v>445.84</v>
      </c>
      <c r="T148" s="16" t="n">
        <v>445.84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CANON-202605-006186</t>
        </is>
      </c>
      <c r="B149" s="3" t="inlineStr">
        <is>
          <t>2026-05-31</t>
        </is>
      </c>
      <c r="C149" s="3" t="inlineStr">
        <is>
          <t>Ottilie Rourke</t>
        </is>
      </c>
      <c r="D149" s="3" t="inlineStr">
        <is>
          <t>UT</t>
        </is>
      </c>
      <c r="E149" s="14" t="n">
        <v>620000</v>
      </c>
      <c r="F149" s="14" t="n">
        <v>11660.2</v>
      </c>
      <c r="G149" s="14" t="n">
        <v>1457.53</v>
      </c>
      <c r="H149" s="14" t="n">
        <v>1457.53</v>
      </c>
      <c r="I149" s="14">
        <f>SUM(K149:T149)</f>
        <v/>
      </c>
      <c r="J149" s="14">
        <f>F149-(G149+H149+I149)</f>
        <v/>
      </c>
      <c r="K149" s="14" t="n">
        <v>874.51</v>
      </c>
      <c r="L149" s="14" t="n">
        <v>874.51</v>
      </c>
      <c r="M149" s="14" t="n">
        <v>874.51</v>
      </c>
      <c r="N149" s="14" t="n">
        <v>874.51</v>
      </c>
      <c r="O149" s="14" t="n">
        <v>874.51</v>
      </c>
      <c r="P149" s="14" t="n">
        <v>874.51</v>
      </c>
      <c r="Q149" s="14" t="n">
        <v>874.51</v>
      </c>
      <c r="R149" s="14" t="n">
        <v>874.51</v>
      </c>
      <c r="S149" s="14" t="n">
        <v>874.51</v>
      </c>
      <c r="T149" s="14" t="n">
        <v>874.51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CANON-202605-006188</t>
        </is>
      </c>
      <c r="B150" s="15" t="inlineStr">
        <is>
          <t>2026-05-19</t>
        </is>
      </c>
      <c r="C150" s="15" t="inlineStr">
        <is>
          <t>Anouk Pennington</t>
        </is>
      </c>
      <c r="D150" s="15" t="inlineStr">
        <is>
          <t>OH</t>
        </is>
      </c>
      <c r="E150" s="16" t="n">
        <v>620000</v>
      </c>
      <c r="F150" s="16" t="n">
        <v>8214.42</v>
      </c>
      <c r="G150" s="16" t="n">
        <v>1026.8</v>
      </c>
      <c r="H150" s="16" t="n">
        <v>1026.8</v>
      </c>
      <c r="I150" s="16">
        <f>SUM(K150:T150)</f>
        <v/>
      </c>
      <c r="J150" s="16">
        <f>F150-(G150+H150+I150)</f>
        <v/>
      </c>
      <c r="K150" s="16" t="n">
        <v>616.08</v>
      </c>
      <c r="L150" s="16" t="n">
        <v>616.08</v>
      </c>
      <c r="M150" s="16" t="n">
        <v>616.08</v>
      </c>
      <c r="N150" s="16" t="n">
        <v>616.08</v>
      </c>
      <c r="O150" s="16" t="n">
        <v>616.08</v>
      </c>
      <c r="P150" s="16" t="n">
        <v>616.08</v>
      </c>
      <c r="Q150" s="16" t="n">
        <v>616.08</v>
      </c>
      <c r="R150" s="16" t="n">
        <v>616.08</v>
      </c>
      <c r="S150" s="16" t="n">
        <v>616.08</v>
      </c>
      <c r="T150" s="16" t="n">
        <v>616.08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CANON-202605-006191</t>
        </is>
      </c>
      <c r="B151" s="3" t="inlineStr">
        <is>
          <t>2026-05-07</t>
        </is>
      </c>
      <c r="C151" s="3" t="inlineStr">
        <is>
          <t>Lorenzo Ashcombe</t>
        </is>
      </c>
      <c r="D151" s="3" t="inlineStr">
        <is>
          <t>IA</t>
        </is>
      </c>
      <c r="E151" s="14" t="n">
        <v>540000</v>
      </c>
      <c r="F151" s="14" t="n">
        <v>5661.83</v>
      </c>
      <c r="G151" s="14" t="n">
        <v>707.73</v>
      </c>
      <c r="H151" s="14" t="n">
        <v>707.73</v>
      </c>
      <c r="I151" s="14">
        <f>SUM(K151:T151)</f>
        <v/>
      </c>
      <c r="J151" s="14">
        <f>F151-(G151+H151+I151)</f>
        <v/>
      </c>
      <c r="K151" s="14" t="n">
        <v>424.64</v>
      </c>
      <c r="L151" s="14" t="n">
        <v>424.64</v>
      </c>
      <c r="M151" s="14" t="n">
        <v>424.64</v>
      </c>
      <c r="N151" s="14" t="n">
        <v>424.64</v>
      </c>
      <c r="O151" s="14" t="n">
        <v>424.64</v>
      </c>
      <c r="P151" s="14" t="n">
        <v>424.64</v>
      </c>
      <c r="Q151" s="14" t="n">
        <v>424.64</v>
      </c>
      <c r="R151" s="14" t="n">
        <v>424.64</v>
      </c>
      <c r="S151" s="14" t="n">
        <v>424.64</v>
      </c>
      <c r="T151" s="14" t="n">
        <v>424.64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CANON-202605-006192</t>
        </is>
      </c>
      <c r="B152" s="15" t="inlineStr">
        <is>
          <t>2026-05-28</t>
        </is>
      </c>
      <c r="C152" s="15" t="inlineStr">
        <is>
          <t>Fitzgerald Ashcombe</t>
        </is>
      </c>
      <c r="D152" s="15" t="inlineStr">
        <is>
          <t>MS</t>
        </is>
      </c>
      <c r="E152" s="16" t="n">
        <v>895000</v>
      </c>
      <c r="F152" s="16" t="n">
        <v>6715.76</v>
      </c>
      <c r="G152" s="16" t="n">
        <v>839.47</v>
      </c>
      <c r="H152" s="16" t="n">
        <v>839.47</v>
      </c>
      <c r="I152" s="16">
        <f>SUM(K152:T152)</f>
        <v/>
      </c>
      <c r="J152" s="16">
        <f>F152-(G152+H152+I152)</f>
        <v/>
      </c>
      <c r="K152" s="16" t="n">
        <v>503.68</v>
      </c>
      <c r="L152" s="16" t="n">
        <v>503.68</v>
      </c>
      <c r="M152" s="16" t="n">
        <v>503.68</v>
      </c>
      <c r="N152" s="16" t="n">
        <v>503.68</v>
      </c>
      <c r="O152" s="16" t="n">
        <v>503.68</v>
      </c>
      <c r="P152" s="16" t="n">
        <v>503.68</v>
      </c>
      <c r="Q152" s="16" t="n">
        <v>503.68</v>
      </c>
      <c r="R152" s="16" t="n">
        <v>503.68</v>
      </c>
      <c r="S152" s="16" t="n">
        <v>503.68</v>
      </c>
      <c r="T152" s="16" t="n">
        <v>503.68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CANON-202605-006194</t>
        </is>
      </c>
      <c r="B153" s="3" t="inlineStr">
        <is>
          <t>2026-05-11</t>
        </is>
      </c>
      <c r="C153" s="3" t="inlineStr">
        <is>
          <t>Aurelio Kingsford</t>
        </is>
      </c>
      <c r="D153" s="3" t="inlineStr">
        <is>
          <t>TX</t>
        </is>
      </c>
      <c r="E153" s="14" t="n">
        <v>685000</v>
      </c>
      <c r="F153" s="14" t="n">
        <v>7508.59</v>
      </c>
      <c r="G153" s="14" t="n">
        <v>938.5700000000001</v>
      </c>
      <c r="H153" s="14" t="n">
        <v>938.5700000000001</v>
      </c>
      <c r="I153" s="14">
        <f>SUM(K153:T153)</f>
        <v/>
      </c>
      <c r="J153" s="14">
        <f>F153-(G153+H153+I153)</f>
        <v/>
      </c>
      <c r="K153" s="14" t="n">
        <v>563.14</v>
      </c>
      <c r="L153" s="14" t="n">
        <v>563.14</v>
      </c>
      <c r="M153" s="14" t="n">
        <v>563.14</v>
      </c>
      <c r="N153" s="14" t="n">
        <v>563.14</v>
      </c>
      <c r="O153" s="14" t="n">
        <v>563.14</v>
      </c>
      <c r="P153" s="14" t="n">
        <v>563.14</v>
      </c>
      <c r="Q153" s="14" t="n">
        <v>563.14</v>
      </c>
      <c r="R153" s="14" t="n">
        <v>563.14</v>
      </c>
      <c r="S153" s="14" t="n">
        <v>563.14</v>
      </c>
      <c r="T153" s="14" t="n">
        <v>563.14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CANON-202605-006196</t>
        </is>
      </c>
      <c r="B154" s="15" t="inlineStr">
        <is>
          <t>2026-05-19</t>
        </is>
      </c>
      <c r="C154" s="15" t="inlineStr">
        <is>
          <t>Mireille Nakashima</t>
        </is>
      </c>
      <c r="D154" s="15" t="inlineStr">
        <is>
          <t>WY</t>
        </is>
      </c>
      <c r="E154" s="16" t="n">
        <v>880000</v>
      </c>
      <c r="F154" s="16" t="n">
        <v>8975.040000000001</v>
      </c>
      <c r="G154" s="16" t="n">
        <v>1121.88</v>
      </c>
      <c r="H154" s="16" t="n">
        <v>1121.88</v>
      </c>
      <c r="I154" s="16">
        <f>SUM(K154:T154)</f>
        <v/>
      </c>
      <c r="J154" s="16">
        <f>F154-(G154+H154+I154)</f>
        <v/>
      </c>
      <c r="K154" s="16" t="n">
        <v>673.13</v>
      </c>
      <c r="L154" s="16" t="n">
        <v>673.13</v>
      </c>
      <c r="M154" s="16" t="n">
        <v>673.13</v>
      </c>
      <c r="N154" s="16" t="n">
        <v>673.13</v>
      </c>
      <c r="O154" s="16" t="n">
        <v>673.13</v>
      </c>
      <c r="P154" s="16" t="n">
        <v>673.13</v>
      </c>
      <c r="Q154" s="16" t="n">
        <v>673.13</v>
      </c>
      <c r="R154" s="16" t="n">
        <v>673.13</v>
      </c>
      <c r="S154" s="16" t="n">
        <v>673.13</v>
      </c>
      <c r="T154" s="16" t="n">
        <v>673.13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CANON-202605-006198</t>
        </is>
      </c>
      <c r="B155" s="3" t="inlineStr">
        <is>
          <t>2026-05-21</t>
        </is>
      </c>
      <c r="C155" s="3" t="inlineStr">
        <is>
          <t>Everett Vandermeer</t>
        </is>
      </c>
      <c r="D155" s="3" t="inlineStr">
        <is>
          <t>OH</t>
        </is>
      </c>
      <c r="E155" s="14" t="n">
        <v>615000</v>
      </c>
      <c r="F155" s="14" t="n">
        <v>8148.17</v>
      </c>
      <c r="G155" s="14" t="n">
        <v>1018.52</v>
      </c>
      <c r="H155" s="14" t="n">
        <v>1018.52</v>
      </c>
      <c r="I155" s="14">
        <f>SUM(K155:T155)</f>
        <v/>
      </c>
      <c r="J155" s="14">
        <f>F155-(G155+H155+I155)</f>
        <v/>
      </c>
      <c r="K155" s="14" t="n">
        <v>611.11</v>
      </c>
      <c r="L155" s="14" t="n">
        <v>611.11</v>
      </c>
      <c r="M155" s="14" t="n">
        <v>611.11</v>
      </c>
      <c r="N155" s="14" t="n">
        <v>611.11</v>
      </c>
      <c r="O155" s="14" t="n">
        <v>611.11</v>
      </c>
      <c r="P155" s="14" t="n">
        <v>611.11</v>
      </c>
      <c r="Q155" s="14" t="n">
        <v>611.11</v>
      </c>
      <c r="R155" s="14" t="n">
        <v>611.11</v>
      </c>
      <c r="S155" s="14" t="n">
        <v>611.11</v>
      </c>
      <c r="T155" s="14" t="n">
        <v>611.11</v>
      </c>
      <c r="U155" s="14" t="n">
        <v>350</v>
      </c>
      <c r="V155" s="14" t="n">
        <v>0</v>
      </c>
      <c r="W155" s="14">
        <f>U155+V155</f>
        <v/>
      </c>
    </row>
    <row r="156">
      <c r="A156" s="15" t="inlineStr">
        <is>
          <t>CANON-202605-006199</t>
        </is>
      </c>
      <c r="B156" s="15" t="inlineStr">
        <is>
          <t>2026-05-30</t>
        </is>
      </c>
      <c r="C156" s="15" t="inlineStr">
        <is>
          <t>Fenwick Nakashima</t>
        </is>
      </c>
      <c r="D156" s="15" t="inlineStr">
        <is>
          <t>MA</t>
        </is>
      </c>
      <c r="E156" s="16" t="n">
        <v>670000</v>
      </c>
      <c r="F156" s="16" t="n">
        <v>7982.8</v>
      </c>
      <c r="G156" s="16" t="n">
        <v>997.85</v>
      </c>
      <c r="H156" s="16" t="n">
        <v>997.85</v>
      </c>
      <c r="I156" s="16">
        <f>SUM(K156:T156)</f>
        <v/>
      </c>
      <c r="J156" s="16">
        <f>F156-(G156+H156+I156)</f>
        <v/>
      </c>
      <c r="K156" s="16" t="n">
        <v>598.71</v>
      </c>
      <c r="L156" s="16" t="n">
        <v>598.71</v>
      </c>
      <c r="M156" s="16" t="n">
        <v>598.71</v>
      </c>
      <c r="N156" s="16" t="n">
        <v>598.71</v>
      </c>
      <c r="O156" s="16" t="n">
        <v>598.71</v>
      </c>
      <c r="P156" s="16" t="n">
        <v>598.71</v>
      </c>
      <c r="Q156" s="16" t="n">
        <v>598.71</v>
      </c>
      <c r="R156" s="16" t="n">
        <v>598.71</v>
      </c>
      <c r="S156" s="16" t="n">
        <v>598.71</v>
      </c>
      <c r="T156" s="16" t="n">
        <v>598.71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CANON-202605-006200</t>
        </is>
      </c>
      <c r="B157" s="3" t="inlineStr">
        <is>
          <t>2026-05-04</t>
        </is>
      </c>
      <c r="C157" s="3" t="inlineStr">
        <is>
          <t>Delphine Delacroix</t>
        </is>
      </c>
      <c r="D157" s="3" t="inlineStr">
        <is>
          <t>NJ</t>
        </is>
      </c>
      <c r="E157" s="14" t="n">
        <v>1055000</v>
      </c>
      <c r="F157" s="14" t="n">
        <v>11262.65</v>
      </c>
      <c r="G157" s="14" t="n">
        <v>1407.83</v>
      </c>
      <c r="H157" s="14" t="n">
        <v>1407.83</v>
      </c>
      <c r="I157" s="14">
        <f>SUM(K157:T157)</f>
        <v/>
      </c>
      <c r="J157" s="14">
        <f>F157-(G157+H157+I157)</f>
        <v/>
      </c>
      <c r="K157" s="14" t="n">
        <v>844.7</v>
      </c>
      <c r="L157" s="14" t="n">
        <v>844.7</v>
      </c>
      <c r="M157" s="14" t="n">
        <v>844.7</v>
      </c>
      <c r="N157" s="14" t="n">
        <v>844.7</v>
      </c>
      <c r="O157" s="14" t="n">
        <v>844.7</v>
      </c>
      <c r="P157" s="14" t="n">
        <v>844.7</v>
      </c>
      <c r="Q157" s="14" t="n">
        <v>844.7</v>
      </c>
      <c r="R157" s="14" t="n">
        <v>844.7</v>
      </c>
      <c r="S157" s="14" t="n">
        <v>844.7</v>
      </c>
      <c r="T157" s="14" t="n">
        <v>844.7</v>
      </c>
      <c r="U157" s="14" t="n">
        <v>350</v>
      </c>
      <c r="V157" s="14" t="n">
        <v>250</v>
      </c>
      <c r="W157" s="14">
        <f>U157+V157</f>
        <v/>
      </c>
    </row>
    <row r="158">
      <c r="A158" s="15" t="inlineStr">
        <is>
          <t>CANON-202605-006201</t>
        </is>
      </c>
      <c r="B158" s="15" t="inlineStr">
        <is>
          <t>2026-05-04</t>
        </is>
      </c>
      <c r="C158" s="15" t="inlineStr">
        <is>
          <t>Cassius Nakashima</t>
        </is>
      </c>
      <c r="D158" s="15" t="inlineStr">
        <is>
          <t>NJ</t>
        </is>
      </c>
      <c r="E158" s="16" t="n">
        <v>265000</v>
      </c>
      <c r="F158" s="16" t="n">
        <v>2652.2</v>
      </c>
      <c r="G158" s="16" t="n">
        <v>331.52</v>
      </c>
      <c r="H158" s="16" t="n">
        <v>331.52</v>
      </c>
      <c r="I158" s="16">
        <f>SUM(K158:T158)</f>
        <v/>
      </c>
      <c r="J158" s="16">
        <f>F158-(G158+H158+I158)</f>
        <v/>
      </c>
      <c r="K158" s="16" t="n">
        <v>198.91</v>
      </c>
      <c r="L158" s="16" t="n">
        <v>198.91</v>
      </c>
      <c r="M158" s="16" t="n">
        <v>198.91</v>
      </c>
      <c r="N158" s="16" t="n">
        <v>198.91</v>
      </c>
      <c r="O158" s="16" t="n">
        <v>198.91</v>
      </c>
      <c r="P158" s="16" t="n">
        <v>198.91</v>
      </c>
      <c r="Q158" s="16" t="n">
        <v>198.91</v>
      </c>
      <c r="R158" s="16" t="n">
        <v>198.91</v>
      </c>
      <c r="S158" s="16" t="n">
        <v>198.91</v>
      </c>
      <c r="T158" s="16" t="n">
        <v>198.91</v>
      </c>
      <c r="U158" s="16" t="n">
        <v>350</v>
      </c>
      <c r="V158" s="16" t="n">
        <v>0</v>
      </c>
      <c r="W158" s="16">
        <f>U158+V158</f>
        <v/>
      </c>
    </row>
    <row r="159">
      <c r="A159" s="3" t="inlineStr">
        <is>
          <t>CANON-202605-006202</t>
        </is>
      </c>
      <c r="B159" s="3" t="inlineStr">
        <is>
          <t>2026-05-05</t>
        </is>
      </c>
      <c r="C159" s="3" t="inlineStr">
        <is>
          <t>Leopold Farkas</t>
        </is>
      </c>
      <c r="D159" s="3" t="inlineStr">
        <is>
          <t>WA</t>
        </is>
      </c>
      <c r="E159" s="14" t="n">
        <v>840000</v>
      </c>
      <c r="F159" s="14" t="n">
        <v>7686.36</v>
      </c>
      <c r="G159" s="14" t="n">
        <v>960.79</v>
      </c>
      <c r="H159" s="14" t="n">
        <v>960.79</v>
      </c>
      <c r="I159" s="14">
        <f>SUM(K159:T159)</f>
        <v/>
      </c>
      <c r="J159" s="14">
        <f>F159-(G159+H159+I159)</f>
        <v/>
      </c>
      <c r="K159" s="14" t="n">
        <v>576.48</v>
      </c>
      <c r="L159" s="14" t="n">
        <v>576.48</v>
      </c>
      <c r="M159" s="14" t="n">
        <v>576.48</v>
      </c>
      <c r="N159" s="14" t="n">
        <v>576.48</v>
      </c>
      <c r="O159" s="14" t="n">
        <v>576.48</v>
      </c>
      <c r="P159" s="14" t="n">
        <v>576.48</v>
      </c>
      <c r="Q159" s="14" t="n">
        <v>576.48</v>
      </c>
      <c r="R159" s="14" t="n">
        <v>576.48</v>
      </c>
      <c r="S159" s="14" t="n">
        <v>576.48</v>
      </c>
      <c r="T159" s="14" t="n">
        <v>576.48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CANON-202605-006203</t>
        </is>
      </c>
      <c r="B160" s="15" t="inlineStr">
        <is>
          <t>2026-05-05</t>
        </is>
      </c>
      <c r="C160" s="15" t="inlineStr">
        <is>
          <t>Cassius Montoya</t>
        </is>
      </c>
      <c r="D160" s="15" t="inlineStr">
        <is>
          <t>TX</t>
        </is>
      </c>
      <c r="E160" s="16" t="n">
        <v>1185000</v>
      </c>
      <c r="F160" s="16" t="n">
        <v>13588.83</v>
      </c>
      <c r="G160" s="16" t="n">
        <v>1698.6</v>
      </c>
      <c r="H160" s="16" t="n">
        <v>1698.6</v>
      </c>
      <c r="I160" s="16">
        <f>SUM(K160:T160)</f>
        <v/>
      </c>
      <c r="J160" s="16">
        <f>F160-(G160+H160+I160)</f>
        <v/>
      </c>
      <c r="K160" s="16" t="n">
        <v>1019.16</v>
      </c>
      <c r="L160" s="16" t="n">
        <v>1019.16</v>
      </c>
      <c r="M160" s="16" t="n">
        <v>1019.16</v>
      </c>
      <c r="N160" s="16" t="n">
        <v>1019.16</v>
      </c>
      <c r="O160" s="16" t="n">
        <v>1019.16</v>
      </c>
      <c r="P160" s="16" t="n">
        <v>1019.16</v>
      </c>
      <c r="Q160" s="16" t="n">
        <v>1019.16</v>
      </c>
      <c r="R160" s="16" t="n">
        <v>1019.16</v>
      </c>
      <c r="S160" s="16" t="n">
        <v>1019.16</v>
      </c>
      <c r="T160" s="16" t="n">
        <v>1019.16</v>
      </c>
      <c r="U160" s="16" t="n">
        <v>350</v>
      </c>
      <c r="V160" s="16" t="n">
        <v>250</v>
      </c>
      <c r="W160" s="16">
        <f>U160+V160</f>
        <v/>
      </c>
    </row>
    <row r="161">
      <c r="A161" s="3" t="inlineStr">
        <is>
          <t>CANON-202605-006204</t>
        </is>
      </c>
      <c r="B161" s="3" t="inlineStr">
        <is>
          <t>2026-05-16</t>
        </is>
      </c>
      <c r="C161" s="3" t="inlineStr">
        <is>
          <t>Saoirse Vandermeer</t>
        </is>
      </c>
      <c r="D161" s="3" t="inlineStr">
        <is>
          <t>CO</t>
        </is>
      </c>
      <c r="E161" s="14" t="n">
        <v>1480000</v>
      </c>
      <c r="F161" s="14" t="n">
        <v>19098.59</v>
      </c>
      <c r="G161" s="14" t="n">
        <v>2387.32</v>
      </c>
      <c r="H161" s="14" t="n">
        <v>2387.32</v>
      </c>
      <c r="I161" s="14">
        <f>SUM(K161:T161)</f>
        <v/>
      </c>
      <c r="J161" s="14">
        <f>F161-(G161+H161+I161)</f>
        <v/>
      </c>
      <c r="K161" s="14" t="n">
        <v>1432.39</v>
      </c>
      <c r="L161" s="14" t="n">
        <v>1432.39</v>
      </c>
      <c r="M161" s="14" t="n">
        <v>1432.39</v>
      </c>
      <c r="N161" s="14" t="n">
        <v>1432.39</v>
      </c>
      <c r="O161" s="14" t="n">
        <v>1432.39</v>
      </c>
      <c r="P161" s="14" t="n">
        <v>1432.39</v>
      </c>
      <c r="Q161" s="14" t="n">
        <v>1432.39</v>
      </c>
      <c r="R161" s="14" t="n">
        <v>1432.39</v>
      </c>
      <c r="S161" s="14" t="n">
        <v>1432.39</v>
      </c>
      <c r="T161" s="14" t="n">
        <v>1432.39</v>
      </c>
      <c r="U161" s="14" t="n">
        <v>350</v>
      </c>
      <c r="V161" s="14" t="n">
        <v>250</v>
      </c>
      <c r="W161" s="14">
        <f>U161+V161</f>
        <v/>
      </c>
    </row>
    <row r="162">
      <c r="A162" s="15" t="inlineStr">
        <is>
          <t>CANON-202605-006205</t>
        </is>
      </c>
      <c r="B162" s="15" t="inlineStr">
        <is>
          <t>2026-05-04</t>
        </is>
      </c>
      <c r="C162" s="15" t="inlineStr">
        <is>
          <t>Saoirse Blackwood</t>
        </is>
      </c>
      <c r="D162" s="15" t="inlineStr">
        <is>
          <t>PA</t>
        </is>
      </c>
      <c r="E162" s="16" t="n">
        <v>970000</v>
      </c>
      <c r="F162" s="16" t="n">
        <v>13513.01</v>
      </c>
      <c r="G162" s="16" t="n">
        <v>1689.13</v>
      </c>
      <c r="H162" s="16" t="n">
        <v>1689.13</v>
      </c>
      <c r="I162" s="16">
        <f>SUM(K162:T162)</f>
        <v/>
      </c>
      <c r="J162" s="16">
        <f>F162-(G162+H162+I162)</f>
        <v/>
      </c>
      <c r="K162" s="16" t="n">
        <v>1013.48</v>
      </c>
      <c r="L162" s="16" t="n">
        <v>1013.48</v>
      </c>
      <c r="M162" s="16" t="n">
        <v>1013.48</v>
      </c>
      <c r="N162" s="16" t="n">
        <v>1013.48</v>
      </c>
      <c r="O162" s="16" t="n">
        <v>1013.48</v>
      </c>
      <c r="P162" s="16" t="n">
        <v>1013.48</v>
      </c>
      <c r="Q162" s="16" t="n">
        <v>1013.48</v>
      </c>
      <c r="R162" s="16" t="n">
        <v>1013.48</v>
      </c>
      <c r="S162" s="16" t="n">
        <v>1013.48</v>
      </c>
      <c r="T162" s="16" t="n">
        <v>1013.48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CANON-202605-006206</t>
        </is>
      </c>
      <c r="B163" s="3" t="inlineStr">
        <is>
          <t>2026-05-04</t>
        </is>
      </c>
      <c r="C163" s="3" t="inlineStr">
        <is>
          <t>Callum Whitlock</t>
        </is>
      </c>
      <c r="D163" s="3" t="inlineStr">
        <is>
          <t>FL</t>
        </is>
      </c>
      <c r="E163" s="14" t="n">
        <v>715000</v>
      </c>
      <c r="F163" s="14" t="n">
        <v>9677.530000000001</v>
      </c>
      <c r="G163" s="14" t="n">
        <v>1209.69</v>
      </c>
      <c r="H163" s="14" t="n">
        <v>1209.69</v>
      </c>
      <c r="I163" s="14">
        <f>SUM(K163:T163)</f>
        <v/>
      </c>
      <c r="J163" s="14">
        <f>F163-(G163+H163+I163)</f>
        <v/>
      </c>
      <c r="K163" s="14" t="n">
        <v>725.8099999999999</v>
      </c>
      <c r="L163" s="14" t="n">
        <v>725.8099999999999</v>
      </c>
      <c r="M163" s="14" t="n">
        <v>725.8099999999999</v>
      </c>
      <c r="N163" s="14" t="n">
        <v>725.8099999999999</v>
      </c>
      <c r="O163" s="14" t="n">
        <v>725.8099999999999</v>
      </c>
      <c r="P163" s="14" t="n">
        <v>725.8099999999999</v>
      </c>
      <c r="Q163" s="14" t="n">
        <v>725.8099999999999</v>
      </c>
      <c r="R163" s="14" t="n">
        <v>725.8099999999999</v>
      </c>
      <c r="S163" s="14" t="n">
        <v>725.8099999999999</v>
      </c>
      <c r="T163" s="14" t="n">
        <v>725.8099999999999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CANON-202605-006207</t>
        </is>
      </c>
      <c r="B164" s="15" t="inlineStr">
        <is>
          <t>2026-05-13</t>
        </is>
      </c>
      <c r="C164" s="15" t="inlineStr">
        <is>
          <t>Fitzgerald Underwood</t>
        </is>
      </c>
      <c r="D164" s="15" t="inlineStr">
        <is>
          <t>SD</t>
        </is>
      </c>
      <c r="E164" s="16" t="n">
        <v>490000</v>
      </c>
      <c r="F164" s="16" t="n">
        <v>5981.88</v>
      </c>
      <c r="G164" s="16" t="n">
        <v>747.74</v>
      </c>
      <c r="H164" s="16" t="n">
        <v>747.74</v>
      </c>
      <c r="I164" s="16">
        <f>SUM(K164:T164)</f>
        <v/>
      </c>
      <c r="J164" s="16">
        <f>F164-(G164+H164+I164)</f>
        <v/>
      </c>
      <c r="K164" s="16" t="n">
        <v>448.64</v>
      </c>
      <c r="L164" s="16" t="n">
        <v>448.64</v>
      </c>
      <c r="M164" s="16" t="n">
        <v>448.64</v>
      </c>
      <c r="N164" s="16" t="n">
        <v>448.64</v>
      </c>
      <c r="O164" s="16" t="n">
        <v>448.64</v>
      </c>
      <c r="P164" s="16" t="n">
        <v>448.64</v>
      </c>
      <c r="Q164" s="16" t="n">
        <v>448.64</v>
      </c>
      <c r="R164" s="16" t="n">
        <v>448.64</v>
      </c>
      <c r="S164" s="16" t="n">
        <v>448.64</v>
      </c>
      <c r="T164" s="16" t="n">
        <v>448.64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CANON-202605-006208</t>
        </is>
      </c>
      <c r="B165" s="3" t="inlineStr">
        <is>
          <t>2026-05-16</t>
        </is>
      </c>
      <c r="C165" s="3" t="inlineStr">
        <is>
          <t>Ramona Harrington</t>
        </is>
      </c>
      <c r="D165" s="3" t="inlineStr">
        <is>
          <t>CO</t>
        </is>
      </c>
      <c r="E165" s="14" t="n">
        <v>375000</v>
      </c>
      <c r="F165" s="14" t="n">
        <v>4536.72</v>
      </c>
      <c r="G165" s="14" t="n">
        <v>567.09</v>
      </c>
      <c r="H165" s="14" t="n">
        <v>567.09</v>
      </c>
      <c r="I165" s="14">
        <f>SUM(K165:T165)</f>
        <v/>
      </c>
      <c r="J165" s="14">
        <f>F165-(G165+H165+I165)</f>
        <v/>
      </c>
      <c r="K165" s="14" t="n">
        <v>340.25</v>
      </c>
      <c r="L165" s="14" t="n">
        <v>340.25</v>
      </c>
      <c r="M165" s="14" t="n">
        <v>340.25</v>
      </c>
      <c r="N165" s="14" t="n">
        <v>340.25</v>
      </c>
      <c r="O165" s="14" t="n">
        <v>340.25</v>
      </c>
      <c r="P165" s="14" t="n">
        <v>340.25</v>
      </c>
      <c r="Q165" s="14" t="n">
        <v>340.25</v>
      </c>
      <c r="R165" s="14" t="n">
        <v>340.25</v>
      </c>
      <c r="S165" s="14" t="n">
        <v>340.25</v>
      </c>
      <c r="T165" s="14" t="n">
        <v>340.25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CANON-202605-006209</t>
        </is>
      </c>
      <c r="B166" s="15" t="inlineStr">
        <is>
          <t>2026-05-05</t>
        </is>
      </c>
      <c r="C166" s="15" t="inlineStr">
        <is>
          <t>Marisol Farkas</t>
        </is>
      </c>
      <c r="D166" s="15" t="inlineStr">
        <is>
          <t>NJ</t>
        </is>
      </c>
      <c r="E166" s="16" t="n">
        <v>570000</v>
      </c>
      <c r="F166" s="16" t="n">
        <v>3270.71</v>
      </c>
      <c r="G166" s="16" t="n">
        <v>408.84</v>
      </c>
      <c r="H166" s="16" t="n">
        <v>408.84</v>
      </c>
      <c r="I166" s="16">
        <f>SUM(K166:T166)</f>
        <v/>
      </c>
      <c r="J166" s="16">
        <f>F166-(G166+H166+I166)</f>
        <v/>
      </c>
      <c r="K166" s="16" t="n">
        <v>245.3</v>
      </c>
      <c r="L166" s="16" t="n">
        <v>245.3</v>
      </c>
      <c r="M166" s="16" t="n">
        <v>245.3</v>
      </c>
      <c r="N166" s="16" t="n">
        <v>245.3</v>
      </c>
      <c r="O166" s="16" t="n">
        <v>245.3</v>
      </c>
      <c r="P166" s="16" t="n">
        <v>245.3</v>
      </c>
      <c r="Q166" s="16" t="n">
        <v>245.3</v>
      </c>
      <c r="R166" s="16" t="n">
        <v>245.3</v>
      </c>
      <c r="S166" s="16" t="n">
        <v>245.3</v>
      </c>
      <c r="T166" s="16" t="n">
        <v>245.3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CANON-202605-006210</t>
        </is>
      </c>
      <c r="B167" s="3" t="inlineStr">
        <is>
          <t>2026-05-11</t>
        </is>
      </c>
      <c r="C167" s="3" t="inlineStr">
        <is>
          <t>Ottilie Larsson</t>
        </is>
      </c>
      <c r="D167" s="3" t="inlineStr">
        <is>
          <t>OK</t>
        </is>
      </c>
      <c r="E167" s="14" t="n">
        <v>1715000</v>
      </c>
      <c r="F167" s="14" t="n">
        <v>25350.21</v>
      </c>
      <c r="G167" s="14" t="n">
        <v>3168.78</v>
      </c>
      <c r="H167" s="14" t="n">
        <v>3168.78</v>
      </c>
      <c r="I167" s="14">
        <f>SUM(K167:T167)</f>
        <v/>
      </c>
      <c r="J167" s="14">
        <f>F167-(G167+H167+I167)</f>
        <v/>
      </c>
      <c r="K167" s="14" t="n">
        <v>1901.27</v>
      </c>
      <c r="L167" s="14" t="n">
        <v>1901.27</v>
      </c>
      <c r="M167" s="14" t="n">
        <v>1901.27</v>
      </c>
      <c r="N167" s="14" t="n">
        <v>1901.27</v>
      </c>
      <c r="O167" s="14" t="n">
        <v>1901.27</v>
      </c>
      <c r="P167" s="14" t="n">
        <v>1901.27</v>
      </c>
      <c r="Q167" s="14" t="n">
        <v>1901.27</v>
      </c>
      <c r="R167" s="14" t="n">
        <v>1901.27</v>
      </c>
      <c r="S167" s="14" t="n">
        <v>1901.27</v>
      </c>
      <c r="T167" s="14" t="n">
        <v>1901.27</v>
      </c>
      <c r="U167" s="14" t="n">
        <v>350</v>
      </c>
      <c r="V167" s="14" t="n">
        <v>250</v>
      </c>
      <c r="W167" s="14">
        <f>U167+V167</f>
        <v/>
      </c>
    </row>
    <row r="168">
      <c r="A168" s="15" t="inlineStr">
        <is>
          <t>CANON-202605-006212</t>
        </is>
      </c>
      <c r="B168" s="15" t="inlineStr">
        <is>
          <t>2026-05-05</t>
        </is>
      </c>
      <c r="C168" s="15" t="inlineStr">
        <is>
          <t>Aurelio Whitlock</t>
        </is>
      </c>
      <c r="D168" s="15" t="inlineStr">
        <is>
          <t>WA</t>
        </is>
      </c>
      <c r="E168" s="16" t="n">
        <v>215000</v>
      </c>
      <c r="F168" s="16" t="n">
        <v>2784.54</v>
      </c>
      <c r="G168" s="16" t="n">
        <v>348.07</v>
      </c>
      <c r="H168" s="16" t="n">
        <v>348.07</v>
      </c>
      <c r="I168" s="16">
        <f>SUM(K168:T168)</f>
        <v/>
      </c>
      <c r="J168" s="16">
        <f>F168-(G168+H168+I168)</f>
        <v/>
      </c>
      <c r="K168" s="16" t="n">
        <v>208.84</v>
      </c>
      <c r="L168" s="16" t="n">
        <v>208.84</v>
      </c>
      <c r="M168" s="16" t="n">
        <v>208.84</v>
      </c>
      <c r="N168" s="16" t="n">
        <v>208.84</v>
      </c>
      <c r="O168" s="16" t="n">
        <v>208.84</v>
      </c>
      <c r="P168" s="16" t="n">
        <v>208.84</v>
      </c>
      <c r="Q168" s="16" t="n">
        <v>208.84</v>
      </c>
      <c r="R168" s="16" t="n">
        <v>208.84</v>
      </c>
      <c r="S168" s="16" t="n">
        <v>208.84</v>
      </c>
      <c r="T168" s="16" t="n">
        <v>208.84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CANON-202605-006213</t>
        </is>
      </c>
      <c r="B169" s="3" t="inlineStr">
        <is>
          <t>2026-05-12</t>
        </is>
      </c>
      <c r="C169" s="3" t="inlineStr">
        <is>
          <t>Ramona Vandermeer</t>
        </is>
      </c>
      <c r="D169" s="3" t="inlineStr">
        <is>
          <t>CA</t>
        </is>
      </c>
      <c r="E169" s="14" t="n">
        <v>820000</v>
      </c>
      <c r="F169" s="14" t="n">
        <v>10551.59</v>
      </c>
      <c r="G169" s="14" t="n">
        <v>1318.95</v>
      </c>
      <c r="H169" s="14" t="n">
        <v>1318.95</v>
      </c>
      <c r="I169" s="14">
        <f>SUM(K169:T169)</f>
        <v/>
      </c>
      <c r="J169" s="14">
        <f>F169-(G169+H169+I169)</f>
        <v/>
      </c>
      <c r="K169" s="14" t="n">
        <v>791.37</v>
      </c>
      <c r="L169" s="14" t="n">
        <v>791.37</v>
      </c>
      <c r="M169" s="14" t="n">
        <v>791.37</v>
      </c>
      <c r="N169" s="14" t="n">
        <v>791.37</v>
      </c>
      <c r="O169" s="14" t="n">
        <v>791.37</v>
      </c>
      <c r="P169" s="14" t="n">
        <v>791.37</v>
      </c>
      <c r="Q169" s="14" t="n">
        <v>791.37</v>
      </c>
      <c r="R169" s="14" t="n">
        <v>791.37</v>
      </c>
      <c r="S169" s="14" t="n">
        <v>791.37</v>
      </c>
      <c r="T169" s="14" t="n">
        <v>791.37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CANON-202605-006215</t>
        </is>
      </c>
      <c r="B170" s="15" t="inlineStr">
        <is>
          <t>2026-05-22</t>
        </is>
      </c>
      <c r="C170" s="15" t="inlineStr">
        <is>
          <t>Sunniva Vandermeer</t>
        </is>
      </c>
      <c r="D170" s="15" t="inlineStr">
        <is>
          <t>OH</t>
        </is>
      </c>
      <c r="E170" s="16" t="n">
        <v>635000</v>
      </c>
      <c r="F170" s="16" t="n">
        <v>8413.15</v>
      </c>
      <c r="G170" s="16" t="n">
        <v>1051.64</v>
      </c>
      <c r="H170" s="16" t="n">
        <v>1051.64</v>
      </c>
      <c r="I170" s="16">
        <f>SUM(K170:T170)</f>
        <v/>
      </c>
      <c r="J170" s="16">
        <f>F170-(G170+H170+I170)</f>
        <v/>
      </c>
      <c r="K170" s="16" t="n">
        <v>630.99</v>
      </c>
      <c r="L170" s="16" t="n">
        <v>630.99</v>
      </c>
      <c r="M170" s="16" t="n">
        <v>630.99</v>
      </c>
      <c r="N170" s="16" t="n">
        <v>630.99</v>
      </c>
      <c r="O170" s="16" t="n">
        <v>630.99</v>
      </c>
      <c r="P170" s="16" t="n">
        <v>630.99</v>
      </c>
      <c r="Q170" s="16" t="n">
        <v>630.99</v>
      </c>
      <c r="R170" s="16" t="n">
        <v>630.99</v>
      </c>
      <c r="S170" s="16" t="n">
        <v>630.99</v>
      </c>
      <c r="T170" s="16" t="n">
        <v>630.99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CANON-202605-006216</t>
        </is>
      </c>
      <c r="B171" s="3" t="inlineStr">
        <is>
          <t>2026-05-28</t>
        </is>
      </c>
      <c r="C171" s="3" t="inlineStr">
        <is>
          <t>Leopold Underwood</t>
        </is>
      </c>
      <c r="D171" s="3" t="inlineStr">
        <is>
          <t>MI</t>
        </is>
      </c>
      <c r="E171" s="14" t="n">
        <v>1010000</v>
      </c>
      <c r="F171" s="14" t="n">
        <v>12626.2</v>
      </c>
      <c r="G171" s="14" t="n">
        <v>1578.28</v>
      </c>
      <c r="H171" s="14" t="n">
        <v>1578.28</v>
      </c>
      <c r="I171" s="14">
        <f>SUM(K171:T171)</f>
        <v/>
      </c>
      <c r="J171" s="14">
        <f>F171-(G171+H171+I171)</f>
        <v/>
      </c>
      <c r="K171" s="14" t="n">
        <v>946.97</v>
      </c>
      <c r="L171" s="14" t="n">
        <v>946.97</v>
      </c>
      <c r="M171" s="14" t="n">
        <v>946.97</v>
      </c>
      <c r="N171" s="14" t="n">
        <v>946.97</v>
      </c>
      <c r="O171" s="14" t="n">
        <v>946.97</v>
      </c>
      <c r="P171" s="14" t="n">
        <v>946.97</v>
      </c>
      <c r="Q171" s="14" t="n">
        <v>946.97</v>
      </c>
      <c r="R171" s="14" t="n">
        <v>946.97</v>
      </c>
      <c r="S171" s="14" t="n">
        <v>946.97</v>
      </c>
      <c r="T171" s="14" t="n">
        <v>946.97</v>
      </c>
      <c r="U171" s="14" t="n">
        <v>350</v>
      </c>
      <c r="V171" s="14" t="n">
        <v>250</v>
      </c>
      <c r="W171" s="14">
        <f>U171+V171</f>
        <v/>
      </c>
    </row>
    <row r="172">
      <c r="A172" s="15" t="inlineStr">
        <is>
          <t>CANON-202605-006217</t>
        </is>
      </c>
      <c r="B172" s="15" t="inlineStr">
        <is>
          <t>2026-05-14</t>
        </is>
      </c>
      <c r="C172" s="15" t="inlineStr">
        <is>
          <t>Ottilie Pennington</t>
        </is>
      </c>
      <c r="D172" s="15" t="inlineStr">
        <is>
          <t>CA</t>
        </is>
      </c>
      <c r="E172" s="16" t="n">
        <v>580000</v>
      </c>
      <c r="F172" s="16" t="n">
        <v>4937.27</v>
      </c>
      <c r="G172" s="16" t="n">
        <v>617.16</v>
      </c>
      <c r="H172" s="16" t="n">
        <v>617.16</v>
      </c>
      <c r="I172" s="16">
        <f>SUM(K172:T172)</f>
        <v/>
      </c>
      <c r="J172" s="16">
        <f>F172-(G172+H172+I172)</f>
        <v/>
      </c>
      <c r="K172" s="16" t="n">
        <v>370.3</v>
      </c>
      <c r="L172" s="16" t="n">
        <v>370.3</v>
      </c>
      <c r="M172" s="16" t="n">
        <v>370.3</v>
      </c>
      <c r="N172" s="16" t="n">
        <v>370.3</v>
      </c>
      <c r="O172" s="16" t="n">
        <v>370.3</v>
      </c>
      <c r="P172" s="16" t="n">
        <v>370.3</v>
      </c>
      <c r="Q172" s="16" t="n">
        <v>370.3</v>
      </c>
      <c r="R172" s="16" t="n">
        <v>370.3</v>
      </c>
      <c r="S172" s="16" t="n">
        <v>370.3</v>
      </c>
      <c r="T172" s="16" t="n">
        <v>370.3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CANON-202605-006218</t>
        </is>
      </c>
      <c r="B173" s="3" t="inlineStr">
        <is>
          <t>2026-05-24</t>
        </is>
      </c>
      <c r="C173" s="3" t="inlineStr">
        <is>
          <t>Thaddeus Delacroix</t>
        </is>
      </c>
      <c r="D173" s="3" t="inlineStr">
        <is>
          <t>FL</t>
        </is>
      </c>
      <c r="E173" s="14" t="n">
        <v>670000</v>
      </c>
      <c r="F173" s="14" t="n">
        <v>9068.459999999999</v>
      </c>
      <c r="G173" s="14" t="n">
        <v>1133.56</v>
      </c>
      <c r="H173" s="14" t="n">
        <v>1133.56</v>
      </c>
      <c r="I173" s="14">
        <f>SUM(K173:T173)</f>
        <v/>
      </c>
      <c r="J173" s="14">
        <f>F173-(G173+H173+I173)</f>
        <v/>
      </c>
      <c r="K173" s="14" t="n">
        <v>680.13</v>
      </c>
      <c r="L173" s="14" t="n">
        <v>680.13</v>
      </c>
      <c r="M173" s="14" t="n">
        <v>680.13</v>
      </c>
      <c r="N173" s="14" t="n">
        <v>680.13</v>
      </c>
      <c r="O173" s="14" t="n">
        <v>680.13</v>
      </c>
      <c r="P173" s="14" t="n">
        <v>680.13</v>
      </c>
      <c r="Q173" s="14" t="n">
        <v>680.13</v>
      </c>
      <c r="R173" s="14" t="n">
        <v>680.13</v>
      </c>
      <c r="S173" s="14" t="n">
        <v>680.13</v>
      </c>
      <c r="T173" s="14" t="n">
        <v>680.13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CANON-202605-006220</t>
        </is>
      </c>
      <c r="B174" s="15" t="inlineStr">
        <is>
          <t>2026-05-17</t>
        </is>
      </c>
      <c r="C174" s="15" t="inlineStr">
        <is>
          <t>Anouk Vandermeer</t>
        </is>
      </c>
      <c r="D174" s="15" t="inlineStr">
        <is>
          <t>CT</t>
        </is>
      </c>
      <c r="E174" s="16" t="n">
        <v>280000</v>
      </c>
      <c r="F174" s="16" t="n">
        <v>2207.36</v>
      </c>
      <c r="G174" s="16" t="n">
        <v>275.92</v>
      </c>
      <c r="H174" s="16" t="n">
        <v>275.92</v>
      </c>
      <c r="I174" s="16">
        <f>SUM(K174:T174)</f>
        <v/>
      </c>
      <c r="J174" s="16">
        <f>F174-(G174+H174+I174)</f>
        <v/>
      </c>
      <c r="K174" s="16" t="n">
        <v>165.55</v>
      </c>
      <c r="L174" s="16" t="n">
        <v>165.55</v>
      </c>
      <c r="M174" s="16" t="n">
        <v>165.55</v>
      </c>
      <c r="N174" s="16" t="n">
        <v>165.55</v>
      </c>
      <c r="O174" s="16" t="n">
        <v>165.55</v>
      </c>
      <c r="P174" s="16" t="n">
        <v>165.55</v>
      </c>
      <c r="Q174" s="16" t="n">
        <v>165.55</v>
      </c>
      <c r="R174" s="16" t="n">
        <v>165.55</v>
      </c>
      <c r="S174" s="16" t="n">
        <v>165.55</v>
      </c>
      <c r="T174" s="16" t="n">
        <v>165.55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CANON-202605-006221</t>
        </is>
      </c>
      <c r="B175" s="3" t="inlineStr">
        <is>
          <t>2026-05-29</t>
        </is>
      </c>
      <c r="C175" s="3" t="inlineStr">
        <is>
          <t>Noor Rourke</t>
        </is>
      </c>
      <c r="D175" s="3" t="inlineStr">
        <is>
          <t>IA</t>
        </is>
      </c>
      <c r="E175" s="14" t="n">
        <v>1145000</v>
      </c>
      <c r="F175" s="14" t="n">
        <v>7018.41</v>
      </c>
      <c r="G175" s="14" t="n">
        <v>877.3</v>
      </c>
      <c r="H175" s="14" t="n">
        <v>877.3</v>
      </c>
      <c r="I175" s="14">
        <f>SUM(K175:T175)</f>
        <v/>
      </c>
      <c r="J175" s="14">
        <f>F175-(G175+H175+I175)</f>
        <v/>
      </c>
      <c r="K175" s="14" t="n">
        <v>526.38</v>
      </c>
      <c r="L175" s="14" t="n">
        <v>526.38</v>
      </c>
      <c r="M175" s="14" t="n">
        <v>526.38</v>
      </c>
      <c r="N175" s="14" t="n">
        <v>526.38</v>
      </c>
      <c r="O175" s="14" t="n">
        <v>526.38</v>
      </c>
      <c r="P175" s="14" t="n">
        <v>526.38</v>
      </c>
      <c r="Q175" s="14" t="n">
        <v>526.38</v>
      </c>
      <c r="R175" s="14" t="n">
        <v>526.38</v>
      </c>
      <c r="S175" s="14" t="n">
        <v>526.38</v>
      </c>
      <c r="T175" s="14" t="n">
        <v>526.38</v>
      </c>
      <c r="U175" s="14" t="n">
        <v>350</v>
      </c>
      <c r="V175" s="14" t="n">
        <v>250</v>
      </c>
      <c r="W175" s="14">
        <f>U175+V175</f>
        <v/>
      </c>
    </row>
    <row r="176">
      <c r="A176" s="15" t="inlineStr">
        <is>
          <t>CANON-202605-006222</t>
        </is>
      </c>
      <c r="B176" s="15" t="inlineStr">
        <is>
          <t>2026-05-30</t>
        </is>
      </c>
      <c r="C176" s="15" t="inlineStr">
        <is>
          <t>Desmond Whitlock</t>
        </is>
      </c>
      <c r="D176" s="15" t="inlineStr">
        <is>
          <t>NV</t>
        </is>
      </c>
      <c r="E176" s="16" t="n">
        <v>595000</v>
      </c>
      <c r="F176" s="16" t="n">
        <v>6635.49</v>
      </c>
      <c r="G176" s="16" t="n">
        <v>829.4400000000001</v>
      </c>
      <c r="H176" s="16" t="n">
        <v>829.4400000000001</v>
      </c>
      <c r="I176" s="16">
        <f>SUM(K176:T176)</f>
        <v/>
      </c>
      <c r="J176" s="16">
        <f>F176-(G176+H176+I176)</f>
        <v/>
      </c>
      <c r="K176" s="16" t="n">
        <v>497.66</v>
      </c>
      <c r="L176" s="16" t="n">
        <v>497.66</v>
      </c>
      <c r="M176" s="16" t="n">
        <v>497.66</v>
      </c>
      <c r="N176" s="16" t="n">
        <v>497.66</v>
      </c>
      <c r="O176" s="16" t="n">
        <v>497.66</v>
      </c>
      <c r="P176" s="16" t="n">
        <v>497.66</v>
      </c>
      <c r="Q176" s="16" t="n">
        <v>497.66</v>
      </c>
      <c r="R176" s="16" t="n">
        <v>497.66</v>
      </c>
      <c r="S176" s="16" t="n">
        <v>497.66</v>
      </c>
      <c r="T176" s="16" t="n">
        <v>497.66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CANON-202605-006223</t>
        </is>
      </c>
      <c r="B177" s="3" t="inlineStr">
        <is>
          <t>2026-05-08</t>
        </is>
      </c>
      <c r="C177" s="3" t="inlineStr">
        <is>
          <t>Horace Pennington</t>
        </is>
      </c>
      <c r="D177" s="3" t="inlineStr">
        <is>
          <t>OR</t>
        </is>
      </c>
      <c r="E177" s="14" t="n">
        <v>455000</v>
      </c>
      <c r="F177" s="14" t="n">
        <v>5654.68</v>
      </c>
      <c r="G177" s="14" t="n">
        <v>706.84</v>
      </c>
      <c r="H177" s="14" t="n">
        <v>706.84</v>
      </c>
      <c r="I177" s="14">
        <f>SUM(K177:T177)</f>
        <v/>
      </c>
      <c r="J177" s="14">
        <f>F177-(G177+H177+I177)</f>
        <v/>
      </c>
      <c r="K177" s="14" t="n">
        <v>424.1</v>
      </c>
      <c r="L177" s="14" t="n">
        <v>424.1</v>
      </c>
      <c r="M177" s="14" t="n">
        <v>424.1</v>
      </c>
      <c r="N177" s="14" t="n">
        <v>424.1</v>
      </c>
      <c r="O177" s="14" t="n">
        <v>424.1</v>
      </c>
      <c r="P177" s="14" t="n">
        <v>424.1</v>
      </c>
      <c r="Q177" s="14" t="n">
        <v>424.1</v>
      </c>
      <c r="R177" s="14" t="n">
        <v>424.1</v>
      </c>
      <c r="S177" s="14" t="n">
        <v>424.1</v>
      </c>
      <c r="T177" s="14" t="n">
        <v>424.1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CANON-202605-006224</t>
        </is>
      </c>
      <c r="B178" s="15" t="inlineStr">
        <is>
          <t>2026-05-25</t>
        </is>
      </c>
      <c r="C178" s="15" t="inlineStr">
        <is>
          <t>Saoirse Fairweather</t>
        </is>
      </c>
      <c r="D178" s="15" t="inlineStr">
        <is>
          <t>CA</t>
        </is>
      </c>
      <c r="E178" s="16" t="n">
        <v>385000</v>
      </c>
      <c r="F178" s="16" t="n">
        <v>3658.41</v>
      </c>
      <c r="G178" s="16" t="n">
        <v>457.3</v>
      </c>
      <c r="H178" s="16" t="n">
        <v>457.3</v>
      </c>
      <c r="I178" s="16">
        <f>SUM(K178:T178)</f>
        <v/>
      </c>
      <c r="J178" s="16">
        <f>F178-(G178+H178+I178)</f>
        <v/>
      </c>
      <c r="K178" s="16" t="n">
        <v>274.38</v>
      </c>
      <c r="L178" s="16" t="n">
        <v>274.38</v>
      </c>
      <c r="M178" s="16" t="n">
        <v>274.38</v>
      </c>
      <c r="N178" s="16" t="n">
        <v>274.38</v>
      </c>
      <c r="O178" s="16" t="n">
        <v>274.38</v>
      </c>
      <c r="P178" s="16" t="n">
        <v>274.38</v>
      </c>
      <c r="Q178" s="16" t="n">
        <v>274.38</v>
      </c>
      <c r="R178" s="16" t="n">
        <v>274.38</v>
      </c>
      <c r="S178" s="16" t="n">
        <v>274.38</v>
      </c>
      <c r="T178" s="16" t="n">
        <v>274.38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CANON-202605-006225</t>
        </is>
      </c>
      <c r="B179" s="3" t="inlineStr">
        <is>
          <t>2026-05-05</t>
        </is>
      </c>
      <c r="C179" s="3" t="inlineStr">
        <is>
          <t>Everett Ashcombe</t>
        </is>
      </c>
      <c r="D179" s="3" t="inlineStr">
        <is>
          <t>OH</t>
        </is>
      </c>
      <c r="E179" s="14" t="n">
        <v>470000</v>
      </c>
      <c r="F179" s="14" t="n">
        <v>7185.07</v>
      </c>
      <c r="G179" s="14" t="n">
        <v>898.13</v>
      </c>
      <c r="H179" s="14" t="n">
        <v>898.13</v>
      </c>
      <c r="I179" s="14">
        <f>SUM(K179:T179)</f>
        <v/>
      </c>
      <c r="J179" s="14">
        <f>F179-(G179+H179+I179)</f>
        <v/>
      </c>
      <c r="K179" s="14" t="n">
        <v>538.88</v>
      </c>
      <c r="L179" s="14" t="n">
        <v>538.88</v>
      </c>
      <c r="M179" s="14" t="n">
        <v>538.88</v>
      </c>
      <c r="N179" s="14" t="n">
        <v>538.88</v>
      </c>
      <c r="O179" s="14" t="n">
        <v>538.88</v>
      </c>
      <c r="P179" s="14" t="n">
        <v>538.88</v>
      </c>
      <c r="Q179" s="14" t="n">
        <v>538.88</v>
      </c>
      <c r="R179" s="14" t="n">
        <v>538.88</v>
      </c>
      <c r="S179" s="14" t="n">
        <v>538.88</v>
      </c>
      <c r="T179" s="14" t="n">
        <v>538.88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CANON-202605-006226</t>
        </is>
      </c>
      <c r="B180" s="15" t="inlineStr">
        <is>
          <t>2026-05-23</t>
        </is>
      </c>
      <c r="C180" s="15" t="inlineStr">
        <is>
          <t>Beatrix Thistlewood</t>
        </is>
      </c>
      <c r="D180" s="15" t="inlineStr">
        <is>
          <t>SD</t>
        </is>
      </c>
      <c r="E180" s="16" t="n">
        <v>425000</v>
      </c>
      <c r="F180" s="16" t="n">
        <v>5188.36</v>
      </c>
      <c r="G180" s="16" t="n">
        <v>648.54</v>
      </c>
      <c r="H180" s="16" t="n">
        <v>648.54</v>
      </c>
      <c r="I180" s="16">
        <f>SUM(K180:T180)</f>
        <v/>
      </c>
      <c r="J180" s="16">
        <f>F180-(G180+H180+I180)</f>
        <v/>
      </c>
      <c r="K180" s="16" t="n">
        <v>389.13</v>
      </c>
      <c r="L180" s="16" t="n">
        <v>389.13</v>
      </c>
      <c r="M180" s="16" t="n">
        <v>389.13</v>
      </c>
      <c r="N180" s="16" t="n">
        <v>389.13</v>
      </c>
      <c r="O180" s="16" t="n">
        <v>389.13</v>
      </c>
      <c r="P180" s="16" t="n">
        <v>389.13</v>
      </c>
      <c r="Q180" s="16" t="n">
        <v>389.13</v>
      </c>
      <c r="R180" s="16" t="n">
        <v>389.13</v>
      </c>
      <c r="S180" s="16" t="n">
        <v>389.13</v>
      </c>
      <c r="T180" s="16" t="n">
        <v>389.13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CANON-202605-006227</t>
        </is>
      </c>
      <c r="B181" s="3" t="inlineStr">
        <is>
          <t>2026-05-22</t>
        </is>
      </c>
      <c r="C181" s="3" t="inlineStr">
        <is>
          <t>Desmond Pennington</t>
        </is>
      </c>
      <c r="D181" s="3" t="inlineStr">
        <is>
          <t>MA</t>
        </is>
      </c>
      <c r="E181" s="14" t="n">
        <v>1055000</v>
      </c>
      <c r="F181" s="14" t="n">
        <v>10636.09</v>
      </c>
      <c r="G181" s="14" t="n">
        <v>1329.51</v>
      </c>
      <c r="H181" s="14" t="n">
        <v>1329.51</v>
      </c>
      <c r="I181" s="14">
        <f>SUM(K181:T181)</f>
        <v/>
      </c>
      <c r="J181" s="14">
        <f>F181-(G181+H181+I181)</f>
        <v/>
      </c>
      <c r="K181" s="14" t="n">
        <v>797.71</v>
      </c>
      <c r="L181" s="14" t="n">
        <v>797.71</v>
      </c>
      <c r="M181" s="14" t="n">
        <v>797.71</v>
      </c>
      <c r="N181" s="14" t="n">
        <v>797.71</v>
      </c>
      <c r="O181" s="14" t="n">
        <v>797.71</v>
      </c>
      <c r="P181" s="14" t="n">
        <v>797.71</v>
      </c>
      <c r="Q181" s="14" t="n">
        <v>797.71</v>
      </c>
      <c r="R181" s="14" t="n">
        <v>797.71</v>
      </c>
      <c r="S181" s="14" t="n">
        <v>797.71</v>
      </c>
      <c r="T181" s="14" t="n">
        <v>797.71</v>
      </c>
      <c r="U181" s="14" t="n">
        <v>350</v>
      </c>
      <c r="V181" s="14" t="n">
        <v>250</v>
      </c>
      <c r="W181" s="14">
        <f>U181+V181</f>
        <v/>
      </c>
    </row>
    <row r="182">
      <c r="A182" s="15" t="inlineStr">
        <is>
          <t>CANON-202605-006231</t>
        </is>
      </c>
      <c r="B182" s="15" t="inlineStr">
        <is>
          <t>2026-05-07</t>
        </is>
      </c>
      <c r="C182" s="15" t="inlineStr">
        <is>
          <t>Wilhelmina Underwood</t>
        </is>
      </c>
      <c r="D182" s="15" t="inlineStr">
        <is>
          <t>NE</t>
        </is>
      </c>
      <c r="E182" s="16" t="n">
        <v>1620000</v>
      </c>
      <c r="F182" s="16" t="n">
        <v>16985.49</v>
      </c>
      <c r="G182" s="16" t="n">
        <v>2123.19</v>
      </c>
      <c r="H182" s="16" t="n">
        <v>2123.19</v>
      </c>
      <c r="I182" s="16">
        <f>SUM(K182:T182)</f>
        <v/>
      </c>
      <c r="J182" s="16">
        <f>F182-(G182+H182+I182)</f>
        <v/>
      </c>
      <c r="K182" s="16" t="n">
        <v>1273.91</v>
      </c>
      <c r="L182" s="16" t="n">
        <v>1273.91</v>
      </c>
      <c r="M182" s="16" t="n">
        <v>1273.91</v>
      </c>
      <c r="N182" s="16" t="n">
        <v>1273.91</v>
      </c>
      <c r="O182" s="16" t="n">
        <v>1273.91</v>
      </c>
      <c r="P182" s="16" t="n">
        <v>1273.91</v>
      </c>
      <c r="Q182" s="16" t="n">
        <v>1273.91</v>
      </c>
      <c r="R182" s="16" t="n">
        <v>1273.91</v>
      </c>
      <c r="S182" s="16" t="n">
        <v>1273.91</v>
      </c>
      <c r="T182" s="16" t="n">
        <v>1273.91</v>
      </c>
      <c r="U182" s="16" t="n">
        <v>350</v>
      </c>
      <c r="V182" s="16" t="n">
        <v>250</v>
      </c>
      <c r="W182" s="16">
        <f>U182+V182</f>
        <v/>
      </c>
    </row>
    <row r="183">
      <c r="A183" s="3" t="inlineStr">
        <is>
          <t>CANON-202605-006232</t>
        </is>
      </c>
      <c r="B183" s="3" t="inlineStr">
        <is>
          <t>2026-05-30</t>
        </is>
      </c>
      <c r="C183" s="3" t="inlineStr">
        <is>
          <t>Saoirse Larsson</t>
        </is>
      </c>
      <c r="D183" s="3" t="inlineStr">
        <is>
          <t>FL</t>
        </is>
      </c>
      <c r="E183" s="14" t="n">
        <v>955000</v>
      </c>
      <c r="F183" s="14" t="n">
        <v>18891.75</v>
      </c>
      <c r="G183" s="14" t="n">
        <v>2361.47</v>
      </c>
      <c r="H183" s="14" t="n">
        <v>2361.47</v>
      </c>
      <c r="I183" s="14">
        <f>SUM(K183:T183)</f>
        <v/>
      </c>
      <c r="J183" s="14">
        <f>F183-(G183+H183+I183)</f>
        <v/>
      </c>
      <c r="K183" s="14" t="n">
        <v>1416.88</v>
      </c>
      <c r="L183" s="14" t="n">
        <v>1416.88</v>
      </c>
      <c r="M183" s="14" t="n">
        <v>1416.88</v>
      </c>
      <c r="N183" s="14" t="n">
        <v>1416.88</v>
      </c>
      <c r="O183" s="14" t="n">
        <v>1416.88</v>
      </c>
      <c r="P183" s="14" t="n">
        <v>1416.88</v>
      </c>
      <c r="Q183" s="14" t="n">
        <v>1416.88</v>
      </c>
      <c r="R183" s="14" t="n">
        <v>1416.88</v>
      </c>
      <c r="S183" s="14" t="n">
        <v>1416.88</v>
      </c>
      <c r="T183" s="14" t="n">
        <v>1416.88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CANON-202605-006233</t>
        </is>
      </c>
      <c r="B184" s="15" t="inlineStr">
        <is>
          <t>2026-05-21</t>
        </is>
      </c>
      <c r="C184" s="15" t="inlineStr">
        <is>
          <t>Delphine Ashcombe</t>
        </is>
      </c>
      <c r="D184" s="15" t="inlineStr">
        <is>
          <t>CO</t>
        </is>
      </c>
      <c r="E184" s="16" t="n">
        <v>265000</v>
      </c>
      <c r="F184" s="16" t="n">
        <v>3205.95</v>
      </c>
      <c r="G184" s="16" t="n">
        <v>400.74</v>
      </c>
      <c r="H184" s="16" t="n">
        <v>400.74</v>
      </c>
      <c r="I184" s="16">
        <f>SUM(K184:T184)</f>
        <v/>
      </c>
      <c r="J184" s="16">
        <f>F184-(G184+H184+I184)</f>
        <v/>
      </c>
      <c r="K184" s="16" t="n">
        <v>240.45</v>
      </c>
      <c r="L184" s="16" t="n">
        <v>240.45</v>
      </c>
      <c r="M184" s="16" t="n">
        <v>240.45</v>
      </c>
      <c r="N184" s="16" t="n">
        <v>240.45</v>
      </c>
      <c r="O184" s="16" t="n">
        <v>240.45</v>
      </c>
      <c r="P184" s="16" t="n">
        <v>240.45</v>
      </c>
      <c r="Q184" s="16" t="n">
        <v>240.45</v>
      </c>
      <c r="R184" s="16" t="n">
        <v>240.45</v>
      </c>
      <c r="S184" s="16" t="n">
        <v>240.45</v>
      </c>
      <c r="T184" s="16" t="n">
        <v>240.45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CANON-202605-006234</t>
        </is>
      </c>
      <c r="B185" s="3" t="inlineStr">
        <is>
          <t>2026-05-27</t>
        </is>
      </c>
      <c r="C185" s="3" t="inlineStr">
        <is>
          <t>Saoirse Delacroix</t>
        </is>
      </c>
      <c r="D185" s="3" t="inlineStr">
        <is>
          <t>PA</t>
        </is>
      </c>
      <c r="E185" s="14" t="n">
        <v>455000</v>
      </c>
      <c r="F185" s="14" t="n">
        <v>3202.65</v>
      </c>
      <c r="G185" s="14" t="n">
        <v>400.33</v>
      </c>
      <c r="H185" s="14" t="n">
        <v>400.33</v>
      </c>
      <c r="I185" s="14">
        <f>SUM(K185:T185)</f>
        <v/>
      </c>
      <c r="J185" s="14">
        <f>F185-(G185+H185+I185)</f>
        <v/>
      </c>
      <c r="K185" s="14" t="n">
        <v>240.2</v>
      </c>
      <c r="L185" s="14" t="n">
        <v>240.2</v>
      </c>
      <c r="M185" s="14" t="n">
        <v>240.2</v>
      </c>
      <c r="N185" s="14" t="n">
        <v>240.2</v>
      </c>
      <c r="O185" s="14" t="n">
        <v>240.2</v>
      </c>
      <c r="P185" s="14" t="n">
        <v>240.2</v>
      </c>
      <c r="Q185" s="14" t="n">
        <v>240.2</v>
      </c>
      <c r="R185" s="14" t="n">
        <v>240.2</v>
      </c>
      <c r="S185" s="14" t="n">
        <v>240.2</v>
      </c>
      <c r="T185" s="14" t="n">
        <v>240.2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CANON-202605-006236</t>
        </is>
      </c>
      <c r="B186" s="15" t="inlineStr">
        <is>
          <t>2026-05-07</t>
        </is>
      </c>
      <c r="C186" s="15" t="inlineStr">
        <is>
          <t>Everett Farkas</t>
        </is>
      </c>
      <c r="D186" s="15" t="inlineStr">
        <is>
          <t>MI</t>
        </is>
      </c>
      <c r="E186" s="16" t="n">
        <v>555000</v>
      </c>
      <c r="F186" s="16" t="n">
        <v>8199.65</v>
      </c>
      <c r="G186" s="16" t="n">
        <v>1024.96</v>
      </c>
      <c r="H186" s="16" t="n">
        <v>1024.96</v>
      </c>
      <c r="I186" s="16">
        <f>SUM(K186:T186)</f>
        <v/>
      </c>
      <c r="J186" s="16">
        <f>F186-(G186+H186+I186)</f>
        <v/>
      </c>
      <c r="K186" s="16" t="n">
        <v>614.97</v>
      </c>
      <c r="L186" s="16" t="n">
        <v>614.97</v>
      </c>
      <c r="M186" s="16" t="n">
        <v>614.97</v>
      </c>
      <c r="N186" s="16" t="n">
        <v>614.97</v>
      </c>
      <c r="O186" s="16" t="n">
        <v>614.97</v>
      </c>
      <c r="P186" s="16" t="n">
        <v>614.97</v>
      </c>
      <c r="Q186" s="16" t="n">
        <v>614.97</v>
      </c>
      <c r="R186" s="16" t="n">
        <v>614.97</v>
      </c>
      <c r="S186" s="16" t="n">
        <v>614.97</v>
      </c>
      <c r="T186" s="16" t="n">
        <v>614.97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CANON-202605-006237</t>
        </is>
      </c>
      <c r="B187" s="3" t="inlineStr">
        <is>
          <t>2026-05-02</t>
        </is>
      </c>
      <c r="C187" s="3" t="inlineStr">
        <is>
          <t>Thaddeus Delacroix</t>
        </is>
      </c>
      <c r="D187" s="3" t="inlineStr">
        <is>
          <t>PA</t>
        </is>
      </c>
      <c r="E187" s="14" t="n">
        <v>330000</v>
      </c>
      <c r="F187" s="14" t="n">
        <v>3629.38</v>
      </c>
      <c r="G187" s="14" t="n">
        <v>453.67</v>
      </c>
      <c r="H187" s="14" t="n">
        <v>453.67</v>
      </c>
      <c r="I187" s="14">
        <f>SUM(K187:T187)</f>
        <v/>
      </c>
      <c r="J187" s="14">
        <f>F187-(G187+H187+I187)</f>
        <v/>
      </c>
      <c r="K187" s="14" t="n">
        <v>272.2</v>
      </c>
      <c r="L187" s="14" t="n">
        <v>272.2</v>
      </c>
      <c r="M187" s="14" t="n">
        <v>272.2</v>
      </c>
      <c r="N187" s="14" t="n">
        <v>272.2</v>
      </c>
      <c r="O187" s="14" t="n">
        <v>272.2</v>
      </c>
      <c r="P187" s="14" t="n">
        <v>272.2</v>
      </c>
      <c r="Q187" s="14" t="n">
        <v>272.2</v>
      </c>
      <c r="R187" s="14" t="n">
        <v>272.2</v>
      </c>
      <c r="S187" s="14" t="n">
        <v>272.2</v>
      </c>
      <c r="T187" s="14" t="n">
        <v>272.2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CANON-202605-006238</t>
        </is>
      </c>
      <c r="B188" s="15" t="inlineStr">
        <is>
          <t>2026-05-13</t>
        </is>
      </c>
      <c r="C188" s="15" t="inlineStr">
        <is>
          <t>Wilhelmina Delacroix</t>
        </is>
      </c>
      <c r="D188" s="15" t="inlineStr">
        <is>
          <t>OR</t>
        </is>
      </c>
      <c r="E188" s="16" t="n">
        <v>270000</v>
      </c>
      <c r="F188" s="16" t="n">
        <v>3355.52</v>
      </c>
      <c r="G188" s="16" t="n">
        <v>419.44</v>
      </c>
      <c r="H188" s="16" t="n">
        <v>419.44</v>
      </c>
      <c r="I188" s="16">
        <f>SUM(K188:T188)</f>
        <v/>
      </c>
      <c r="J188" s="16">
        <f>F188-(G188+H188+I188)</f>
        <v/>
      </c>
      <c r="K188" s="16" t="n">
        <v>251.66</v>
      </c>
      <c r="L188" s="16" t="n">
        <v>251.66</v>
      </c>
      <c r="M188" s="16" t="n">
        <v>251.66</v>
      </c>
      <c r="N188" s="16" t="n">
        <v>251.66</v>
      </c>
      <c r="O188" s="16" t="n">
        <v>251.66</v>
      </c>
      <c r="P188" s="16" t="n">
        <v>251.66</v>
      </c>
      <c r="Q188" s="16" t="n">
        <v>251.66</v>
      </c>
      <c r="R188" s="16" t="n">
        <v>251.66</v>
      </c>
      <c r="S188" s="16" t="n">
        <v>251.66</v>
      </c>
      <c r="T188" s="16" t="n">
        <v>251.66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CANON-202605-006239</t>
        </is>
      </c>
      <c r="B189" s="3" t="inlineStr">
        <is>
          <t>2026-05-14</t>
        </is>
      </c>
      <c r="C189" s="3" t="inlineStr">
        <is>
          <t>Desmond Ashcombe</t>
        </is>
      </c>
      <c r="D189" s="3" t="inlineStr">
        <is>
          <t>TX</t>
        </is>
      </c>
      <c r="E189" s="14" t="n">
        <v>910000</v>
      </c>
      <c r="F189" s="14" t="n">
        <v>9974.92</v>
      </c>
      <c r="G189" s="14" t="n">
        <v>1246.87</v>
      </c>
      <c r="H189" s="14" t="n">
        <v>1246.87</v>
      </c>
      <c r="I189" s="14">
        <f>SUM(K189:T189)</f>
        <v/>
      </c>
      <c r="J189" s="14">
        <f>F189-(G189+H189+I189)</f>
        <v/>
      </c>
      <c r="K189" s="14" t="n">
        <v>748.12</v>
      </c>
      <c r="L189" s="14" t="n">
        <v>748.12</v>
      </c>
      <c r="M189" s="14" t="n">
        <v>748.12</v>
      </c>
      <c r="N189" s="14" t="n">
        <v>748.12</v>
      </c>
      <c r="O189" s="14" t="n">
        <v>748.12</v>
      </c>
      <c r="P189" s="14" t="n">
        <v>748.12</v>
      </c>
      <c r="Q189" s="14" t="n">
        <v>748.12</v>
      </c>
      <c r="R189" s="14" t="n">
        <v>748.12</v>
      </c>
      <c r="S189" s="14" t="n">
        <v>748.12</v>
      </c>
      <c r="T189" s="14" t="n">
        <v>748.12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CANON-202605-006240</t>
        </is>
      </c>
      <c r="B190" s="15" t="inlineStr">
        <is>
          <t>2026-05-31</t>
        </is>
      </c>
      <c r="C190" s="15" t="inlineStr">
        <is>
          <t>Thaddeus Castellanos</t>
        </is>
      </c>
      <c r="D190" s="15" t="inlineStr">
        <is>
          <t>NY</t>
        </is>
      </c>
      <c r="E190" s="16" t="n">
        <v>905000</v>
      </c>
      <c r="F190" s="16" t="n">
        <v>16137.6</v>
      </c>
      <c r="G190" s="16" t="n">
        <v>2017.2</v>
      </c>
      <c r="H190" s="16" t="n">
        <v>2017.2</v>
      </c>
      <c r="I190" s="16">
        <f>SUM(K190:T190)</f>
        <v/>
      </c>
      <c r="J190" s="16">
        <f>F190-(G190+H190+I190)</f>
        <v/>
      </c>
      <c r="K190" s="16" t="n">
        <v>1210.32</v>
      </c>
      <c r="L190" s="16" t="n">
        <v>1210.32</v>
      </c>
      <c r="M190" s="16" t="n">
        <v>1210.32</v>
      </c>
      <c r="N190" s="16" t="n">
        <v>1210.32</v>
      </c>
      <c r="O190" s="16" t="n">
        <v>1210.32</v>
      </c>
      <c r="P190" s="16" t="n">
        <v>1210.32</v>
      </c>
      <c r="Q190" s="16" t="n">
        <v>1210.32</v>
      </c>
      <c r="R190" s="16" t="n">
        <v>1210.32</v>
      </c>
      <c r="S190" s="16" t="n">
        <v>1210.32</v>
      </c>
      <c r="T190" s="16" t="n">
        <v>1210.32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CANON-202605-006242</t>
        </is>
      </c>
      <c r="B191" s="3" t="inlineStr">
        <is>
          <t>2026-05-31</t>
        </is>
      </c>
      <c r="C191" s="3" t="inlineStr">
        <is>
          <t>Cassius Nakashima</t>
        </is>
      </c>
      <c r="D191" s="3" t="inlineStr">
        <is>
          <t>PA</t>
        </is>
      </c>
      <c r="E191" s="14" t="n">
        <v>1010000</v>
      </c>
      <c r="F191" s="14" t="n">
        <v>11848.63</v>
      </c>
      <c r="G191" s="14" t="n">
        <v>1481.08</v>
      </c>
      <c r="H191" s="14" t="n">
        <v>1481.08</v>
      </c>
      <c r="I191" s="14">
        <f>SUM(K191:T191)</f>
        <v/>
      </c>
      <c r="J191" s="14">
        <f>F191-(G191+H191+I191)</f>
        <v/>
      </c>
      <c r="K191" s="14" t="n">
        <v>888.65</v>
      </c>
      <c r="L191" s="14" t="n">
        <v>888.65</v>
      </c>
      <c r="M191" s="14" t="n">
        <v>888.65</v>
      </c>
      <c r="N191" s="14" t="n">
        <v>888.65</v>
      </c>
      <c r="O191" s="14" t="n">
        <v>888.65</v>
      </c>
      <c r="P191" s="14" t="n">
        <v>888.65</v>
      </c>
      <c r="Q191" s="14" t="n">
        <v>888.65</v>
      </c>
      <c r="R191" s="14" t="n">
        <v>888.65</v>
      </c>
      <c r="S191" s="14" t="n">
        <v>888.65</v>
      </c>
      <c r="T191" s="14" t="n">
        <v>888.65</v>
      </c>
      <c r="U191" s="14" t="n">
        <v>350</v>
      </c>
      <c r="V191" s="14" t="n">
        <v>250</v>
      </c>
      <c r="W191" s="14">
        <f>U191+V191</f>
        <v/>
      </c>
    </row>
    <row r="192">
      <c r="A192" s="15" t="inlineStr">
        <is>
          <t>CANON-202605-006244</t>
        </is>
      </c>
      <c r="B192" s="15" t="inlineStr">
        <is>
          <t>2026-05-18</t>
        </is>
      </c>
      <c r="C192" s="15" t="inlineStr">
        <is>
          <t>Horace Rourke</t>
        </is>
      </c>
      <c r="D192" s="15" t="inlineStr">
        <is>
          <t>FL</t>
        </is>
      </c>
      <c r="E192" s="16" t="n">
        <v>1090000</v>
      </c>
      <c r="F192" s="16" t="n">
        <v>12483.45</v>
      </c>
      <c r="G192" s="16" t="n">
        <v>1560.43</v>
      </c>
      <c r="H192" s="16" t="n">
        <v>1560.43</v>
      </c>
      <c r="I192" s="16">
        <f>SUM(K192:T192)</f>
        <v/>
      </c>
      <c r="J192" s="16">
        <f>F192-(G192+H192+I192)</f>
        <v/>
      </c>
      <c r="K192" s="16" t="n">
        <v>936.26</v>
      </c>
      <c r="L192" s="16" t="n">
        <v>936.26</v>
      </c>
      <c r="M192" s="16" t="n">
        <v>936.26</v>
      </c>
      <c r="N192" s="16" t="n">
        <v>936.26</v>
      </c>
      <c r="O192" s="16" t="n">
        <v>936.26</v>
      </c>
      <c r="P192" s="16" t="n">
        <v>936.26</v>
      </c>
      <c r="Q192" s="16" t="n">
        <v>936.26</v>
      </c>
      <c r="R192" s="16" t="n">
        <v>936.26</v>
      </c>
      <c r="S192" s="16" t="n">
        <v>936.26</v>
      </c>
      <c r="T192" s="16" t="n">
        <v>936.26</v>
      </c>
      <c r="U192" s="16" t="n">
        <v>350</v>
      </c>
      <c r="V192" s="16" t="n">
        <v>250</v>
      </c>
      <c r="W192" s="16">
        <f>U192+V192</f>
        <v/>
      </c>
    </row>
    <row r="193">
      <c r="A193" s="3" t="inlineStr">
        <is>
          <t>CANON-202605-006245</t>
        </is>
      </c>
      <c r="B193" s="3" t="inlineStr">
        <is>
          <t>2026-05-21</t>
        </is>
      </c>
      <c r="C193" s="3" t="inlineStr">
        <is>
          <t>Desmond Vandermeer</t>
        </is>
      </c>
      <c r="D193" s="3" t="inlineStr">
        <is>
          <t>NJ</t>
        </is>
      </c>
      <c r="E193" s="14" t="n">
        <v>275000</v>
      </c>
      <c r="F193" s="14" t="n">
        <v>2752.28</v>
      </c>
      <c r="G193" s="14" t="n">
        <v>344.04</v>
      </c>
      <c r="H193" s="14" t="n">
        <v>344.04</v>
      </c>
      <c r="I193" s="14">
        <f>SUM(K193:T193)</f>
        <v/>
      </c>
      <c r="J193" s="14">
        <f>F193-(G193+H193+I193)</f>
        <v/>
      </c>
      <c r="K193" s="14" t="n">
        <v>206.42</v>
      </c>
      <c r="L193" s="14" t="n">
        <v>206.42</v>
      </c>
      <c r="M193" s="14" t="n">
        <v>206.42</v>
      </c>
      <c r="N193" s="14" t="n">
        <v>206.42</v>
      </c>
      <c r="O193" s="14" t="n">
        <v>206.42</v>
      </c>
      <c r="P193" s="14" t="n">
        <v>206.42</v>
      </c>
      <c r="Q193" s="14" t="n">
        <v>206.42</v>
      </c>
      <c r="R193" s="14" t="n">
        <v>206.42</v>
      </c>
      <c r="S193" s="14" t="n">
        <v>206.42</v>
      </c>
      <c r="T193" s="14" t="n">
        <v>206.42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CANON-202605-006246</t>
        </is>
      </c>
      <c r="B194" s="15" t="inlineStr">
        <is>
          <t>2026-05-02</t>
        </is>
      </c>
      <c r="C194" s="15" t="inlineStr">
        <is>
          <t>Priya Merriweather</t>
        </is>
      </c>
      <c r="D194" s="15" t="inlineStr">
        <is>
          <t>MS</t>
        </is>
      </c>
      <c r="E194" s="16" t="n">
        <v>325000</v>
      </c>
      <c r="F194" s="16" t="n">
        <v>4253.52</v>
      </c>
      <c r="G194" s="16" t="n">
        <v>531.6900000000001</v>
      </c>
      <c r="H194" s="16" t="n">
        <v>531.6900000000001</v>
      </c>
      <c r="I194" s="16">
        <f>SUM(K194:T194)</f>
        <v/>
      </c>
      <c r="J194" s="16">
        <f>F194-(G194+H194+I194)</f>
        <v/>
      </c>
      <c r="K194" s="16" t="n">
        <v>319.01</v>
      </c>
      <c r="L194" s="16" t="n">
        <v>319.01</v>
      </c>
      <c r="M194" s="16" t="n">
        <v>319.01</v>
      </c>
      <c r="N194" s="16" t="n">
        <v>319.01</v>
      </c>
      <c r="O194" s="16" t="n">
        <v>319.01</v>
      </c>
      <c r="P194" s="16" t="n">
        <v>319.01</v>
      </c>
      <c r="Q194" s="16" t="n">
        <v>319.01</v>
      </c>
      <c r="R194" s="16" t="n">
        <v>319.01</v>
      </c>
      <c r="S194" s="16" t="n">
        <v>319.01</v>
      </c>
      <c r="T194" s="16" t="n">
        <v>319.01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CANON-202605-006249</t>
        </is>
      </c>
      <c r="B195" s="3" t="inlineStr">
        <is>
          <t>2026-05-25</t>
        </is>
      </c>
      <c r="C195" s="3" t="inlineStr">
        <is>
          <t>Delphine Okonkwo</t>
        </is>
      </c>
      <c r="D195" s="3" t="inlineStr">
        <is>
          <t>CA</t>
        </is>
      </c>
      <c r="E195" s="14" t="n">
        <v>930000</v>
      </c>
      <c r="F195" s="14" t="n">
        <v>11967.05</v>
      </c>
      <c r="G195" s="14" t="n">
        <v>1495.88</v>
      </c>
      <c r="H195" s="14" t="n">
        <v>1495.88</v>
      </c>
      <c r="I195" s="14">
        <f>SUM(K195:T195)</f>
        <v/>
      </c>
      <c r="J195" s="14">
        <f>F195-(G195+H195+I195)</f>
        <v/>
      </c>
      <c r="K195" s="14" t="n">
        <v>897.53</v>
      </c>
      <c r="L195" s="14" t="n">
        <v>897.53</v>
      </c>
      <c r="M195" s="14" t="n">
        <v>897.53</v>
      </c>
      <c r="N195" s="14" t="n">
        <v>897.53</v>
      </c>
      <c r="O195" s="14" t="n">
        <v>897.53</v>
      </c>
      <c r="P195" s="14" t="n">
        <v>897.53</v>
      </c>
      <c r="Q195" s="14" t="n">
        <v>897.53</v>
      </c>
      <c r="R195" s="14" t="n">
        <v>897.53</v>
      </c>
      <c r="S195" s="14" t="n">
        <v>897.53</v>
      </c>
      <c r="T195" s="14" t="n">
        <v>897.53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CANON-202605-006250</t>
        </is>
      </c>
      <c r="B196" s="15" t="inlineStr">
        <is>
          <t>2026-05-06</t>
        </is>
      </c>
      <c r="C196" s="15" t="inlineStr">
        <is>
          <t>Sunniva Vandermeer</t>
        </is>
      </c>
      <c r="D196" s="15" t="inlineStr">
        <is>
          <t>MI</t>
        </is>
      </c>
      <c r="E196" s="16" t="n">
        <v>970000</v>
      </c>
      <c r="F196" s="16" t="n">
        <v>20945.17</v>
      </c>
      <c r="G196" s="16" t="n">
        <v>2618.15</v>
      </c>
      <c r="H196" s="16" t="n">
        <v>2618.15</v>
      </c>
      <c r="I196" s="16">
        <f>SUM(K196:T196)</f>
        <v/>
      </c>
      <c r="J196" s="16">
        <f>F196-(G196+H196+I196)</f>
        <v/>
      </c>
      <c r="K196" s="16" t="n">
        <v>1570.89</v>
      </c>
      <c r="L196" s="16" t="n">
        <v>1570.89</v>
      </c>
      <c r="M196" s="16" t="n">
        <v>1570.89</v>
      </c>
      <c r="N196" s="16" t="n">
        <v>1570.89</v>
      </c>
      <c r="O196" s="16" t="n">
        <v>1570.89</v>
      </c>
      <c r="P196" s="16" t="n">
        <v>1570.89</v>
      </c>
      <c r="Q196" s="16" t="n">
        <v>1570.89</v>
      </c>
      <c r="R196" s="16" t="n">
        <v>1570.89</v>
      </c>
      <c r="S196" s="16" t="n">
        <v>1570.89</v>
      </c>
      <c r="T196" s="16" t="n">
        <v>1570.89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CANON-202605-006252</t>
        </is>
      </c>
      <c r="B197" s="3" t="inlineStr">
        <is>
          <t>2026-05-17</t>
        </is>
      </c>
      <c r="C197" s="3" t="inlineStr">
        <is>
          <t>Fitzgerald Blackwood</t>
        </is>
      </c>
      <c r="D197" s="3" t="inlineStr">
        <is>
          <t>MA</t>
        </is>
      </c>
      <c r="E197" s="14" t="n">
        <v>215000</v>
      </c>
      <c r="F197" s="14" t="n">
        <v>5596.21</v>
      </c>
      <c r="G197" s="14" t="n">
        <v>699.53</v>
      </c>
      <c r="H197" s="14" t="n">
        <v>699.53</v>
      </c>
      <c r="I197" s="14">
        <f>SUM(K197:T197)</f>
        <v/>
      </c>
      <c r="J197" s="14">
        <f>F197-(G197+H197+I197)</f>
        <v/>
      </c>
      <c r="K197" s="14" t="n">
        <v>419.72</v>
      </c>
      <c r="L197" s="14" t="n">
        <v>419.72</v>
      </c>
      <c r="M197" s="14" t="n">
        <v>419.72</v>
      </c>
      <c r="N197" s="14" t="n">
        <v>419.72</v>
      </c>
      <c r="O197" s="14" t="n">
        <v>419.72</v>
      </c>
      <c r="P197" s="14" t="n">
        <v>419.72</v>
      </c>
      <c r="Q197" s="14" t="n">
        <v>419.72</v>
      </c>
      <c r="R197" s="14" t="n">
        <v>419.72</v>
      </c>
      <c r="S197" s="14" t="n">
        <v>419.72</v>
      </c>
      <c r="T197" s="14" t="n">
        <v>419.72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CANON-202605-006254</t>
        </is>
      </c>
      <c r="B198" s="15" t="inlineStr">
        <is>
          <t>2026-05-27</t>
        </is>
      </c>
      <c r="C198" s="15" t="inlineStr">
        <is>
          <t>Fenwick Bellandi</t>
        </is>
      </c>
      <c r="D198" s="15" t="inlineStr">
        <is>
          <t>NY</t>
        </is>
      </c>
      <c r="E198" s="16" t="n">
        <v>1125000</v>
      </c>
      <c r="F198" s="16" t="n">
        <v>16893.1</v>
      </c>
      <c r="G198" s="16" t="n">
        <v>2111.64</v>
      </c>
      <c r="H198" s="16" t="n">
        <v>2111.64</v>
      </c>
      <c r="I198" s="16">
        <f>SUM(K198:T198)</f>
        <v/>
      </c>
      <c r="J198" s="16">
        <f>F198-(G198+H198+I198)</f>
        <v/>
      </c>
      <c r="K198" s="16" t="n">
        <v>1266.98</v>
      </c>
      <c r="L198" s="16" t="n">
        <v>1266.98</v>
      </c>
      <c r="M198" s="16" t="n">
        <v>1266.98</v>
      </c>
      <c r="N198" s="16" t="n">
        <v>1266.98</v>
      </c>
      <c r="O198" s="16" t="n">
        <v>1266.98</v>
      </c>
      <c r="P198" s="16" t="n">
        <v>1266.98</v>
      </c>
      <c r="Q198" s="16" t="n">
        <v>1266.98</v>
      </c>
      <c r="R198" s="16" t="n">
        <v>1266.98</v>
      </c>
      <c r="S198" s="16" t="n">
        <v>1266.98</v>
      </c>
      <c r="T198" s="16" t="n">
        <v>1266.98</v>
      </c>
      <c r="U198" s="16" t="n">
        <v>350</v>
      </c>
      <c r="V198" s="16" t="n">
        <v>250</v>
      </c>
      <c r="W198" s="16">
        <f>U198+V198</f>
        <v/>
      </c>
    </row>
    <row r="199">
      <c r="A199" s="3" t="inlineStr">
        <is>
          <t>CANON-202605-006255</t>
        </is>
      </c>
      <c r="B199" s="3" t="inlineStr">
        <is>
          <t>2026-05-18</t>
        </is>
      </c>
      <c r="C199" s="3" t="inlineStr">
        <is>
          <t>Fitzgerald Rourke</t>
        </is>
      </c>
      <c r="D199" s="3" t="inlineStr">
        <is>
          <t>MA</t>
        </is>
      </c>
      <c r="E199" s="14" t="n">
        <v>1140000</v>
      </c>
      <c r="F199" s="14" t="n">
        <v>11493.03</v>
      </c>
      <c r="G199" s="14" t="n">
        <v>1436.63</v>
      </c>
      <c r="H199" s="14" t="n">
        <v>1436.63</v>
      </c>
      <c r="I199" s="14">
        <f>SUM(K199:T199)</f>
        <v/>
      </c>
      <c r="J199" s="14">
        <f>F199-(G199+H199+I199)</f>
        <v/>
      </c>
      <c r="K199" s="14" t="n">
        <v>861.98</v>
      </c>
      <c r="L199" s="14" t="n">
        <v>861.98</v>
      </c>
      <c r="M199" s="14" t="n">
        <v>861.98</v>
      </c>
      <c r="N199" s="14" t="n">
        <v>861.98</v>
      </c>
      <c r="O199" s="14" t="n">
        <v>861.98</v>
      </c>
      <c r="P199" s="14" t="n">
        <v>861.98</v>
      </c>
      <c r="Q199" s="14" t="n">
        <v>861.98</v>
      </c>
      <c r="R199" s="14" t="n">
        <v>861.98</v>
      </c>
      <c r="S199" s="14" t="n">
        <v>861.98</v>
      </c>
      <c r="T199" s="14" t="n">
        <v>861.98</v>
      </c>
      <c r="U199" s="14" t="n">
        <v>350</v>
      </c>
      <c r="V199" s="14" t="n">
        <v>250</v>
      </c>
      <c r="W199" s="14">
        <f>U199+V199</f>
        <v/>
      </c>
    </row>
    <row r="200">
      <c r="A200" s="15" t="inlineStr">
        <is>
          <t>CANON-202605-006256</t>
        </is>
      </c>
      <c r="B200" s="15" t="inlineStr">
        <is>
          <t>2026-05-19</t>
        </is>
      </c>
      <c r="C200" s="15" t="inlineStr">
        <is>
          <t>Desmond Nakashima</t>
        </is>
      </c>
      <c r="D200" s="15" t="inlineStr">
        <is>
          <t>ID</t>
        </is>
      </c>
      <c r="E200" s="16" t="n">
        <v>315000</v>
      </c>
      <c r="F200" s="16" t="n">
        <v>3429.76</v>
      </c>
      <c r="G200" s="16" t="n">
        <v>428.72</v>
      </c>
      <c r="H200" s="16" t="n">
        <v>428.72</v>
      </c>
      <c r="I200" s="16">
        <f>SUM(K200:T200)</f>
        <v/>
      </c>
      <c r="J200" s="16">
        <f>F200-(G200+H200+I200)</f>
        <v/>
      </c>
      <c r="K200" s="16" t="n">
        <v>257.23</v>
      </c>
      <c r="L200" s="16" t="n">
        <v>257.23</v>
      </c>
      <c r="M200" s="16" t="n">
        <v>257.23</v>
      </c>
      <c r="N200" s="16" t="n">
        <v>257.23</v>
      </c>
      <c r="O200" s="16" t="n">
        <v>257.23</v>
      </c>
      <c r="P200" s="16" t="n">
        <v>257.23</v>
      </c>
      <c r="Q200" s="16" t="n">
        <v>257.23</v>
      </c>
      <c r="R200" s="16" t="n">
        <v>257.23</v>
      </c>
      <c r="S200" s="16" t="n">
        <v>257.23</v>
      </c>
      <c r="T200" s="16" t="n">
        <v>257.23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CANON-202605-006257</t>
        </is>
      </c>
      <c r="B201" s="3" t="inlineStr">
        <is>
          <t>2026-05-14</t>
        </is>
      </c>
      <c r="C201" s="3" t="inlineStr">
        <is>
          <t>Marisol Farkas</t>
        </is>
      </c>
      <c r="D201" s="3" t="inlineStr">
        <is>
          <t>IL</t>
        </is>
      </c>
      <c r="E201" s="14" t="n">
        <v>1235000</v>
      </c>
      <c r="F201" s="14" t="n">
        <v>8374.17</v>
      </c>
      <c r="G201" s="14" t="n">
        <v>1046.77</v>
      </c>
      <c r="H201" s="14" t="n">
        <v>1046.77</v>
      </c>
      <c r="I201" s="14">
        <f>SUM(K201:T201)</f>
        <v/>
      </c>
      <c r="J201" s="14">
        <f>F201-(G201+H201+I201)</f>
        <v/>
      </c>
      <c r="K201" s="14" t="n">
        <v>628.0599999999999</v>
      </c>
      <c r="L201" s="14" t="n">
        <v>628.0599999999999</v>
      </c>
      <c r="M201" s="14" t="n">
        <v>628.0599999999999</v>
      </c>
      <c r="N201" s="14" t="n">
        <v>628.0599999999999</v>
      </c>
      <c r="O201" s="14" t="n">
        <v>628.0599999999999</v>
      </c>
      <c r="P201" s="14" t="n">
        <v>628.0599999999999</v>
      </c>
      <c r="Q201" s="14" t="n">
        <v>628.0599999999999</v>
      </c>
      <c r="R201" s="14" t="n">
        <v>628.0599999999999</v>
      </c>
      <c r="S201" s="14" t="n">
        <v>628.0599999999999</v>
      </c>
      <c r="T201" s="14" t="n">
        <v>628.0599999999999</v>
      </c>
      <c r="U201" s="14" t="n">
        <v>350</v>
      </c>
      <c r="V201" s="14" t="n">
        <v>250</v>
      </c>
      <c r="W201" s="14">
        <f>U201+V201</f>
        <v/>
      </c>
    </row>
    <row r="202">
      <c r="A202" s="15" t="inlineStr">
        <is>
          <t>CANON-202605-006258</t>
        </is>
      </c>
      <c r="B202" s="15" t="inlineStr">
        <is>
          <t>2026-05-23</t>
        </is>
      </c>
      <c r="C202" s="15" t="inlineStr">
        <is>
          <t>Mireille Ashcombe</t>
        </is>
      </c>
      <c r="D202" s="15" t="inlineStr">
        <is>
          <t>CA</t>
        </is>
      </c>
      <c r="E202" s="16" t="n">
        <v>480000</v>
      </c>
      <c r="F202" s="16" t="n">
        <v>7126.78</v>
      </c>
      <c r="G202" s="16" t="n">
        <v>890.85</v>
      </c>
      <c r="H202" s="16" t="n">
        <v>890.85</v>
      </c>
      <c r="I202" s="16">
        <f>SUM(K202:T202)</f>
        <v/>
      </c>
      <c r="J202" s="16">
        <f>F202-(G202+H202+I202)</f>
        <v/>
      </c>
      <c r="K202" s="16" t="n">
        <v>534.51</v>
      </c>
      <c r="L202" s="16" t="n">
        <v>534.51</v>
      </c>
      <c r="M202" s="16" t="n">
        <v>534.51</v>
      </c>
      <c r="N202" s="16" t="n">
        <v>534.51</v>
      </c>
      <c r="O202" s="16" t="n">
        <v>534.51</v>
      </c>
      <c r="P202" s="16" t="n">
        <v>534.51</v>
      </c>
      <c r="Q202" s="16" t="n">
        <v>534.51</v>
      </c>
      <c r="R202" s="16" t="n">
        <v>534.51</v>
      </c>
      <c r="S202" s="16" t="n">
        <v>534.51</v>
      </c>
      <c r="T202" s="16" t="n">
        <v>534.51</v>
      </c>
      <c r="U202" s="16" t="n">
        <v>350</v>
      </c>
      <c r="V202" s="16" t="n">
        <v>0</v>
      </c>
      <c r="W202" s="16">
        <f>U202+V202</f>
        <v/>
      </c>
    </row>
    <row r="203">
      <c r="A203" s="3" t="inlineStr">
        <is>
          <t>CANON-202605-006260</t>
        </is>
      </c>
      <c r="B203" s="3" t="inlineStr">
        <is>
          <t>2026-05-27</t>
        </is>
      </c>
      <c r="C203" s="3" t="inlineStr">
        <is>
          <t>Priya Delacroix</t>
        </is>
      </c>
      <c r="D203" s="3" t="inlineStr">
        <is>
          <t>NV</t>
        </is>
      </c>
      <c r="E203" s="14" t="n">
        <v>205000</v>
      </c>
      <c r="F203" s="14" t="n">
        <v>2004.8</v>
      </c>
      <c r="G203" s="14" t="n">
        <v>250.6</v>
      </c>
      <c r="H203" s="14" t="n">
        <v>250.6</v>
      </c>
      <c r="I203" s="14">
        <f>SUM(K203:T203)</f>
        <v/>
      </c>
      <c r="J203" s="14">
        <f>F203-(G203+H203+I203)</f>
        <v/>
      </c>
      <c r="K203" s="14" t="n">
        <v>150.36</v>
      </c>
      <c r="L203" s="14" t="n">
        <v>150.36</v>
      </c>
      <c r="M203" s="14" t="n">
        <v>150.36</v>
      </c>
      <c r="N203" s="14" t="n">
        <v>150.36</v>
      </c>
      <c r="O203" s="14" t="n">
        <v>150.36</v>
      </c>
      <c r="P203" s="14" t="n">
        <v>150.36</v>
      </c>
      <c r="Q203" s="14" t="n">
        <v>150.36</v>
      </c>
      <c r="R203" s="14" t="n">
        <v>150.36</v>
      </c>
      <c r="S203" s="14" t="n">
        <v>150.36</v>
      </c>
      <c r="T203" s="14" t="n">
        <v>150.36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CANON-202605-006261</t>
        </is>
      </c>
      <c r="B204" s="15" t="inlineStr">
        <is>
          <t>2026-05-17</t>
        </is>
      </c>
      <c r="C204" s="15" t="inlineStr">
        <is>
          <t>Callum Bellandi</t>
        </is>
      </c>
      <c r="D204" s="15" t="inlineStr">
        <is>
          <t>RI</t>
        </is>
      </c>
      <c r="E204" s="16" t="n">
        <v>410000</v>
      </c>
      <c r="F204" s="16" t="n">
        <v>6177.64</v>
      </c>
      <c r="G204" s="16" t="n">
        <v>772.21</v>
      </c>
      <c r="H204" s="16" t="n">
        <v>772.21</v>
      </c>
      <c r="I204" s="16">
        <f>SUM(K204:T204)</f>
        <v/>
      </c>
      <c r="J204" s="16">
        <f>F204-(G204+H204+I204)</f>
        <v/>
      </c>
      <c r="K204" s="16" t="n">
        <v>463.32</v>
      </c>
      <c r="L204" s="16" t="n">
        <v>463.32</v>
      </c>
      <c r="M204" s="16" t="n">
        <v>463.32</v>
      </c>
      <c r="N204" s="16" t="n">
        <v>463.32</v>
      </c>
      <c r="O204" s="16" t="n">
        <v>463.32</v>
      </c>
      <c r="P204" s="16" t="n">
        <v>463.32</v>
      </c>
      <c r="Q204" s="16" t="n">
        <v>463.32</v>
      </c>
      <c r="R204" s="16" t="n">
        <v>463.32</v>
      </c>
      <c r="S204" s="16" t="n">
        <v>463.32</v>
      </c>
      <c r="T204" s="16" t="n">
        <v>463.32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CANON-202605-006263</t>
        </is>
      </c>
      <c r="B205" s="3" t="inlineStr">
        <is>
          <t>2026-05-21</t>
        </is>
      </c>
      <c r="C205" s="3" t="inlineStr">
        <is>
          <t>Mireille Chattopadhyay</t>
        </is>
      </c>
      <c r="D205" s="3" t="inlineStr">
        <is>
          <t>MO</t>
        </is>
      </c>
      <c r="E205" s="14" t="n">
        <v>800000</v>
      </c>
      <c r="F205" s="14" t="n">
        <v>9699.459999999999</v>
      </c>
      <c r="G205" s="14" t="n">
        <v>1212.43</v>
      </c>
      <c r="H205" s="14" t="n">
        <v>1212.43</v>
      </c>
      <c r="I205" s="14">
        <f>SUM(K205:T205)</f>
        <v/>
      </c>
      <c r="J205" s="14">
        <f>F205-(G205+H205+I205)</f>
        <v/>
      </c>
      <c r="K205" s="14" t="n">
        <v>727.46</v>
      </c>
      <c r="L205" s="14" t="n">
        <v>727.46</v>
      </c>
      <c r="M205" s="14" t="n">
        <v>727.46</v>
      </c>
      <c r="N205" s="14" t="n">
        <v>727.46</v>
      </c>
      <c r="O205" s="14" t="n">
        <v>727.46</v>
      </c>
      <c r="P205" s="14" t="n">
        <v>727.46</v>
      </c>
      <c r="Q205" s="14" t="n">
        <v>727.46</v>
      </c>
      <c r="R205" s="14" t="n">
        <v>727.46</v>
      </c>
      <c r="S205" s="14" t="n">
        <v>727.46</v>
      </c>
      <c r="T205" s="14" t="n">
        <v>727.46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CANON-202605-006264</t>
        </is>
      </c>
      <c r="B206" s="15" t="inlineStr">
        <is>
          <t>2026-05-07</t>
        </is>
      </c>
      <c r="C206" s="15" t="inlineStr">
        <is>
          <t>Saoirse Bellandi</t>
        </is>
      </c>
      <c r="D206" s="15" t="inlineStr">
        <is>
          <t>AL</t>
        </is>
      </c>
      <c r="E206" s="16" t="n">
        <v>190000</v>
      </c>
      <c r="F206" s="16" t="n">
        <v>3255.38</v>
      </c>
      <c r="G206" s="16" t="n">
        <v>406.92</v>
      </c>
      <c r="H206" s="16" t="n">
        <v>406.92</v>
      </c>
      <c r="I206" s="16">
        <f>SUM(K206:T206)</f>
        <v/>
      </c>
      <c r="J206" s="16">
        <f>F206-(G206+H206+I206)</f>
        <v/>
      </c>
      <c r="K206" s="16" t="n">
        <v>244.15</v>
      </c>
      <c r="L206" s="16" t="n">
        <v>244.15</v>
      </c>
      <c r="M206" s="16" t="n">
        <v>244.15</v>
      </c>
      <c r="N206" s="16" t="n">
        <v>244.15</v>
      </c>
      <c r="O206" s="16" t="n">
        <v>244.15</v>
      </c>
      <c r="P206" s="16" t="n">
        <v>244.15</v>
      </c>
      <c r="Q206" s="16" t="n">
        <v>244.15</v>
      </c>
      <c r="R206" s="16" t="n">
        <v>244.15</v>
      </c>
      <c r="S206" s="16" t="n">
        <v>244.15</v>
      </c>
      <c r="T206" s="16" t="n">
        <v>244.15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CANON-202605-006265</t>
        </is>
      </c>
      <c r="B207" s="3" t="inlineStr">
        <is>
          <t>2026-05-16</t>
        </is>
      </c>
      <c r="C207" s="3" t="inlineStr">
        <is>
          <t>Marisol Whitlock</t>
        </is>
      </c>
      <c r="D207" s="3" t="inlineStr">
        <is>
          <t>IL</t>
        </is>
      </c>
      <c r="E207" s="14" t="n">
        <v>375000</v>
      </c>
      <c r="F207" s="14" t="n">
        <v>5609.04</v>
      </c>
      <c r="G207" s="14" t="n">
        <v>701.13</v>
      </c>
      <c r="H207" s="14" t="n">
        <v>701.13</v>
      </c>
      <c r="I207" s="14">
        <f>SUM(K207:T207)</f>
        <v/>
      </c>
      <c r="J207" s="14">
        <f>F207-(G207+H207+I207)</f>
        <v/>
      </c>
      <c r="K207" s="14" t="n">
        <v>420.68</v>
      </c>
      <c r="L207" s="14" t="n">
        <v>420.68</v>
      </c>
      <c r="M207" s="14" t="n">
        <v>420.68</v>
      </c>
      <c r="N207" s="14" t="n">
        <v>420.68</v>
      </c>
      <c r="O207" s="14" t="n">
        <v>420.68</v>
      </c>
      <c r="P207" s="14" t="n">
        <v>420.68</v>
      </c>
      <c r="Q207" s="14" t="n">
        <v>420.68</v>
      </c>
      <c r="R207" s="14" t="n">
        <v>420.68</v>
      </c>
      <c r="S207" s="14" t="n">
        <v>420.68</v>
      </c>
      <c r="T207" s="14" t="n">
        <v>420.68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CANON-202605-006266</t>
        </is>
      </c>
      <c r="B208" s="15" t="inlineStr">
        <is>
          <t>2026-05-29</t>
        </is>
      </c>
      <c r="C208" s="15" t="inlineStr">
        <is>
          <t>Ingrid Whitlock</t>
        </is>
      </c>
      <c r="D208" s="15" t="inlineStr">
        <is>
          <t>AK</t>
        </is>
      </c>
      <c r="E208" s="16" t="n">
        <v>795000</v>
      </c>
      <c r="F208" s="16" t="n">
        <v>8638.58</v>
      </c>
      <c r="G208" s="16" t="n">
        <v>1079.82</v>
      </c>
      <c r="H208" s="16" t="n">
        <v>1079.82</v>
      </c>
      <c r="I208" s="16">
        <f>SUM(K208:T208)</f>
        <v/>
      </c>
      <c r="J208" s="16">
        <f>F208-(G208+H208+I208)</f>
        <v/>
      </c>
      <c r="K208" s="16" t="n">
        <v>647.89</v>
      </c>
      <c r="L208" s="16" t="n">
        <v>647.89</v>
      </c>
      <c r="M208" s="16" t="n">
        <v>647.89</v>
      </c>
      <c r="N208" s="16" t="n">
        <v>647.89</v>
      </c>
      <c r="O208" s="16" t="n">
        <v>647.89</v>
      </c>
      <c r="P208" s="16" t="n">
        <v>647.89</v>
      </c>
      <c r="Q208" s="16" t="n">
        <v>647.89</v>
      </c>
      <c r="R208" s="16" t="n">
        <v>647.89</v>
      </c>
      <c r="S208" s="16" t="n">
        <v>647.89</v>
      </c>
      <c r="T208" s="16" t="n">
        <v>647.89</v>
      </c>
      <c r="U208" s="16" t="n">
        <v>350</v>
      </c>
      <c r="V208" s="16" t="n">
        <v>0</v>
      </c>
      <c r="W208" s="16">
        <f>U208+V208</f>
        <v/>
      </c>
    </row>
    <row r="209">
      <c r="A209" s="3" t="inlineStr">
        <is>
          <t>CANON-202605-006267</t>
        </is>
      </c>
      <c r="B209" s="3" t="inlineStr">
        <is>
          <t>2026-05-25</t>
        </is>
      </c>
      <c r="C209" s="3" t="inlineStr">
        <is>
          <t>Aurelio Harrington</t>
        </is>
      </c>
      <c r="D209" s="3" t="inlineStr">
        <is>
          <t>ND</t>
        </is>
      </c>
      <c r="E209" s="14" t="n">
        <v>1055000</v>
      </c>
      <c r="F209" s="14" t="n">
        <v>12624.08</v>
      </c>
      <c r="G209" s="14" t="n">
        <v>1578.01</v>
      </c>
      <c r="H209" s="14" t="n">
        <v>1578.01</v>
      </c>
      <c r="I209" s="14">
        <f>SUM(K209:T209)</f>
        <v/>
      </c>
      <c r="J209" s="14">
        <f>F209-(G209+H209+I209)</f>
        <v/>
      </c>
      <c r="K209" s="14" t="n">
        <v>946.8099999999999</v>
      </c>
      <c r="L209" s="14" t="n">
        <v>946.8099999999999</v>
      </c>
      <c r="M209" s="14" t="n">
        <v>946.8099999999999</v>
      </c>
      <c r="N209" s="14" t="n">
        <v>946.8099999999999</v>
      </c>
      <c r="O209" s="14" t="n">
        <v>946.8099999999999</v>
      </c>
      <c r="P209" s="14" t="n">
        <v>946.8099999999999</v>
      </c>
      <c r="Q209" s="14" t="n">
        <v>946.8099999999999</v>
      </c>
      <c r="R209" s="14" t="n">
        <v>946.8099999999999</v>
      </c>
      <c r="S209" s="14" t="n">
        <v>946.8099999999999</v>
      </c>
      <c r="T209" s="14" t="n">
        <v>946.8099999999999</v>
      </c>
      <c r="U209" s="14" t="n">
        <v>350</v>
      </c>
      <c r="V209" s="14" t="n">
        <v>250</v>
      </c>
      <c r="W209" s="14">
        <f>U209+V209</f>
        <v/>
      </c>
    </row>
    <row r="210">
      <c r="A210" s="15" t="inlineStr">
        <is>
          <t>CANON-202605-006268</t>
        </is>
      </c>
      <c r="B210" s="15" t="inlineStr">
        <is>
          <t>2026-05-13</t>
        </is>
      </c>
      <c r="C210" s="15" t="inlineStr">
        <is>
          <t>Ingrid Pennington</t>
        </is>
      </c>
      <c r="D210" s="15" t="inlineStr">
        <is>
          <t>TX</t>
        </is>
      </c>
      <c r="E210" s="16" t="n">
        <v>790000</v>
      </c>
      <c r="F210" s="16" t="n">
        <v>8659.549999999999</v>
      </c>
      <c r="G210" s="16" t="n">
        <v>1082.44</v>
      </c>
      <c r="H210" s="16" t="n">
        <v>1082.44</v>
      </c>
      <c r="I210" s="16">
        <f>SUM(K210:T210)</f>
        <v/>
      </c>
      <c r="J210" s="16">
        <f>F210-(G210+H210+I210)</f>
        <v/>
      </c>
      <c r="K210" s="16" t="n">
        <v>649.47</v>
      </c>
      <c r="L210" s="16" t="n">
        <v>649.47</v>
      </c>
      <c r="M210" s="16" t="n">
        <v>649.47</v>
      </c>
      <c r="N210" s="16" t="n">
        <v>649.47</v>
      </c>
      <c r="O210" s="16" t="n">
        <v>649.47</v>
      </c>
      <c r="P210" s="16" t="n">
        <v>649.47</v>
      </c>
      <c r="Q210" s="16" t="n">
        <v>649.47</v>
      </c>
      <c r="R210" s="16" t="n">
        <v>649.47</v>
      </c>
      <c r="S210" s="16" t="n">
        <v>649.47</v>
      </c>
      <c r="T210" s="16" t="n">
        <v>649.47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CANON-202605-006269</t>
        </is>
      </c>
      <c r="B211" s="3" t="inlineStr">
        <is>
          <t>2026-05-27</t>
        </is>
      </c>
      <c r="C211" s="3" t="inlineStr">
        <is>
          <t>Marisol Thistlewood</t>
        </is>
      </c>
      <c r="D211" s="3" t="inlineStr">
        <is>
          <t>WI</t>
        </is>
      </c>
      <c r="E211" s="14" t="n">
        <v>390000</v>
      </c>
      <c r="F211" s="14" t="n">
        <v>5147.12</v>
      </c>
      <c r="G211" s="14" t="n">
        <v>643.39</v>
      </c>
      <c r="H211" s="14" t="n">
        <v>643.39</v>
      </c>
      <c r="I211" s="14">
        <f>SUM(K211:T211)</f>
        <v/>
      </c>
      <c r="J211" s="14">
        <f>F211-(G211+H211+I211)</f>
        <v/>
      </c>
      <c r="K211" s="14" t="n">
        <v>386.03</v>
      </c>
      <c r="L211" s="14" t="n">
        <v>386.03</v>
      </c>
      <c r="M211" s="14" t="n">
        <v>386.03</v>
      </c>
      <c r="N211" s="14" t="n">
        <v>386.03</v>
      </c>
      <c r="O211" s="14" t="n">
        <v>386.03</v>
      </c>
      <c r="P211" s="14" t="n">
        <v>386.03</v>
      </c>
      <c r="Q211" s="14" t="n">
        <v>386.03</v>
      </c>
      <c r="R211" s="14" t="n">
        <v>386.03</v>
      </c>
      <c r="S211" s="14" t="n">
        <v>386.03</v>
      </c>
      <c r="T211" s="14" t="n">
        <v>386.03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CANON-202605-006270</t>
        </is>
      </c>
      <c r="B212" s="15" t="inlineStr">
        <is>
          <t>2026-05-15</t>
        </is>
      </c>
      <c r="C212" s="15" t="inlineStr">
        <is>
          <t>Marisol Larsson</t>
        </is>
      </c>
      <c r="D212" s="15" t="inlineStr">
        <is>
          <t>ID</t>
        </is>
      </c>
      <c r="E212" s="16" t="n">
        <v>580000</v>
      </c>
      <c r="F212" s="16" t="n">
        <v>5473.1</v>
      </c>
      <c r="G212" s="16" t="n">
        <v>684.14</v>
      </c>
      <c r="H212" s="16" t="n">
        <v>684.14</v>
      </c>
      <c r="I212" s="16">
        <f>SUM(K212:T212)</f>
        <v/>
      </c>
      <c r="J212" s="16">
        <f>F212-(G212+H212+I212)</f>
        <v/>
      </c>
      <c r="K212" s="16" t="n">
        <v>410.48</v>
      </c>
      <c r="L212" s="16" t="n">
        <v>410.48</v>
      </c>
      <c r="M212" s="16" t="n">
        <v>410.48</v>
      </c>
      <c r="N212" s="16" t="n">
        <v>410.48</v>
      </c>
      <c r="O212" s="16" t="n">
        <v>410.48</v>
      </c>
      <c r="P212" s="16" t="n">
        <v>410.48</v>
      </c>
      <c r="Q212" s="16" t="n">
        <v>410.48</v>
      </c>
      <c r="R212" s="16" t="n">
        <v>410.48</v>
      </c>
      <c r="S212" s="16" t="n">
        <v>410.48</v>
      </c>
      <c r="T212" s="16" t="n">
        <v>410.48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CANON-202605-006271</t>
        </is>
      </c>
      <c r="B213" s="3" t="inlineStr">
        <is>
          <t>2026-05-23</t>
        </is>
      </c>
      <c r="C213" s="3" t="inlineStr">
        <is>
          <t>Cassius Castellanos</t>
        </is>
      </c>
      <c r="D213" s="3" t="inlineStr">
        <is>
          <t>CA</t>
        </is>
      </c>
      <c r="E213" s="14" t="n">
        <v>600000</v>
      </c>
      <c r="F213" s="14" t="n">
        <v>11284.07</v>
      </c>
      <c r="G213" s="14" t="n">
        <v>1410.51</v>
      </c>
      <c r="H213" s="14" t="n">
        <v>1410.51</v>
      </c>
      <c r="I213" s="14">
        <f>SUM(K213:T213)</f>
        <v/>
      </c>
      <c r="J213" s="14">
        <f>F213-(G213+H213+I213)</f>
        <v/>
      </c>
      <c r="K213" s="14" t="n">
        <v>846.3099999999999</v>
      </c>
      <c r="L213" s="14" t="n">
        <v>846.3099999999999</v>
      </c>
      <c r="M213" s="14" t="n">
        <v>846.3099999999999</v>
      </c>
      <c r="N213" s="14" t="n">
        <v>846.3099999999999</v>
      </c>
      <c r="O213" s="14" t="n">
        <v>846.3099999999999</v>
      </c>
      <c r="P213" s="14" t="n">
        <v>846.3099999999999</v>
      </c>
      <c r="Q213" s="14" t="n">
        <v>846.3099999999999</v>
      </c>
      <c r="R213" s="14" t="n">
        <v>846.3099999999999</v>
      </c>
      <c r="S213" s="14" t="n">
        <v>846.3099999999999</v>
      </c>
      <c r="T213" s="14" t="n">
        <v>846.3099999999999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CANON-202605-006273</t>
        </is>
      </c>
      <c r="B214" s="15" t="inlineStr">
        <is>
          <t>2026-05-09</t>
        </is>
      </c>
      <c r="C214" s="15" t="inlineStr">
        <is>
          <t>Priya Vasquez</t>
        </is>
      </c>
      <c r="D214" s="15" t="inlineStr">
        <is>
          <t>PA</t>
        </is>
      </c>
      <c r="E214" s="16" t="n">
        <v>555000</v>
      </c>
      <c r="F214" s="16" t="n">
        <v>7731.67</v>
      </c>
      <c r="G214" s="16" t="n">
        <v>966.46</v>
      </c>
      <c r="H214" s="16" t="n">
        <v>966.46</v>
      </c>
      <c r="I214" s="16">
        <f>SUM(K214:T214)</f>
        <v/>
      </c>
      <c r="J214" s="16">
        <f>F214-(G214+H214+I214)</f>
        <v/>
      </c>
      <c r="K214" s="16" t="n">
        <v>579.88</v>
      </c>
      <c r="L214" s="16" t="n">
        <v>579.88</v>
      </c>
      <c r="M214" s="16" t="n">
        <v>579.88</v>
      </c>
      <c r="N214" s="16" t="n">
        <v>579.88</v>
      </c>
      <c r="O214" s="16" t="n">
        <v>579.88</v>
      </c>
      <c r="P214" s="16" t="n">
        <v>579.88</v>
      </c>
      <c r="Q214" s="16" t="n">
        <v>579.88</v>
      </c>
      <c r="R214" s="16" t="n">
        <v>579.88</v>
      </c>
      <c r="S214" s="16" t="n">
        <v>579.88</v>
      </c>
      <c r="T214" s="16" t="n">
        <v>579.88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CANON-202605-006274</t>
        </is>
      </c>
      <c r="B215" s="3" t="inlineStr">
        <is>
          <t>2026-05-20</t>
        </is>
      </c>
      <c r="C215" s="3" t="inlineStr">
        <is>
          <t>Leopold Bellandi</t>
        </is>
      </c>
      <c r="D215" s="3" t="inlineStr">
        <is>
          <t>WA</t>
        </is>
      </c>
      <c r="E215" s="14" t="n">
        <v>1190000</v>
      </c>
      <c r="F215" s="14" t="n">
        <v>13401.86</v>
      </c>
      <c r="G215" s="14" t="n">
        <v>1675.23</v>
      </c>
      <c r="H215" s="14" t="n">
        <v>1675.23</v>
      </c>
      <c r="I215" s="14">
        <f>SUM(K215:T215)</f>
        <v/>
      </c>
      <c r="J215" s="14">
        <f>F215-(G215+H215+I215)</f>
        <v/>
      </c>
      <c r="K215" s="14" t="n">
        <v>1005.14</v>
      </c>
      <c r="L215" s="14" t="n">
        <v>1005.14</v>
      </c>
      <c r="M215" s="14" t="n">
        <v>1005.14</v>
      </c>
      <c r="N215" s="14" t="n">
        <v>1005.14</v>
      </c>
      <c r="O215" s="14" t="n">
        <v>1005.14</v>
      </c>
      <c r="P215" s="14" t="n">
        <v>1005.14</v>
      </c>
      <c r="Q215" s="14" t="n">
        <v>1005.14</v>
      </c>
      <c r="R215" s="14" t="n">
        <v>1005.14</v>
      </c>
      <c r="S215" s="14" t="n">
        <v>1005.14</v>
      </c>
      <c r="T215" s="14" t="n">
        <v>1005.14</v>
      </c>
      <c r="U215" s="14" t="n">
        <v>350</v>
      </c>
      <c r="V215" s="14" t="n">
        <v>250</v>
      </c>
      <c r="W215" s="14">
        <f>U215+V215</f>
        <v/>
      </c>
    </row>
    <row r="216">
      <c r="A216" s="15" t="inlineStr">
        <is>
          <t>CANON-202605-006277</t>
        </is>
      </c>
      <c r="B216" s="15" t="inlineStr">
        <is>
          <t>2026-05-21</t>
        </is>
      </c>
      <c r="C216" s="15" t="inlineStr">
        <is>
          <t>Leopold Rourke</t>
        </is>
      </c>
      <c r="D216" s="15" t="inlineStr">
        <is>
          <t>IL</t>
        </is>
      </c>
      <c r="E216" s="16" t="n">
        <v>1585000</v>
      </c>
      <c r="F216" s="16" t="n">
        <v>10747.42</v>
      </c>
      <c r="G216" s="16" t="n">
        <v>1343.43</v>
      </c>
      <c r="H216" s="16" t="n">
        <v>1343.43</v>
      </c>
      <c r="I216" s="16">
        <f>SUM(K216:T216)</f>
        <v/>
      </c>
      <c r="J216" s="16">
        <f>F216-(G216+H216+I216)</f>
        <v/>
      </c>
      <c r="K216" s="16" t="n">
        <v>806.0599999999999</v>
      </c>
      <c r="L216" s="16" t="n">
        <v>806.0599999999999</v>
      </c>
      <c r="M216" s="16" t="n">
        <v>806.0599999999999</v>
      </c>
      <c r="N216" s="16" t="n">
        <v>806.0599999999999</v>
      </c>
      <c r="O216" s="16" t="n">
        <v>806.0599999999999</v>
      </c>
      <c r="P216" s="16" t="n">
        <v>806.0599999999999</v>
      </c>
      <c r="Q216" s="16" t="n">
        <v>806.0599999999999</v>
      </c>
      <c r="R216" s="16" t="n">
        <v>806.0599999999999</v>
      </c>
      <c r="S216" s="16" t="n">
        <v>806.0599999999999</v>
      </c>
      <c r="T216" s="16" t="n">
        <v>806.0599999999999</v>
      </c>
      <c r="U216" s="16" t="n">
        <v>350</v>
      </c>
      <c r="V216" s="16" t="n">
        <v>250</v>
      </c>
      <c r="W216" s="16">
        <f>U216+V216</f>
        <v/>
      </c>
    </row>
    <row r="217">
      <c r="A217" s="3" t="inlineStr">
        <is>
          <t>CANON-202605-006278</t>
        </is>
      </c>
      <c r="B217" s="3" t="inlineStr">
        <is>
          <t>2026-05-06</t>
        </is>
      </c>
      <c r="C217" s="3" t="inlineStr">
        <is>
          <t>Horace Underwood</t>
        </is>
      </c>
      <c r="D217" s="3" t="inlineStr">
        <is>
          <t>NJ</t>
        </is>
      </c>
      <c r="E217" s="14" t="n">
        <v>1040000</v>
      </c>
      <c r="F217" s="14" t="n">
        <v>7632.98</v>
      </c>
      <c r="G217" s="14" t="n">
        <v>954.12</v>
      </c>
      <c r="H217" s="14" t="n">
        <v>954.12</v>
      </c>
      <c r="I217" s="14">
        <f>SUM(K217:T217)</f>
        <v/>
      </c>
      <c r="J217" s="14">
        <f>F217-(G217+H217+I217)</f>
        <v/>
      </c>
      <c r="K217" s="14" t="n">
        <v>572.47</v>
      </c>
      <c r="L217" s="14" t="n">
        <v>572.47</v>
      </c>
      <c r="M217" s="14" t="n">
        <v>572.47</v>
      </c>
      <c r="N217" s="14" t="n">
        <v>572.47</v>
      </c>
      <c r="O217" s="14" t="n">
        <v>572.47</v>
      </c>
      <c r="P217" s="14" t="n">
        <v>572.47</v>
      </c>
      <c r="Q217" s="14" t="n">
        <v>572.47</v>
      </c>
      <c r="R217" s="14" t="n">
        <v>572.47</v>
      </c>
      <c r="S217" s="14" t="n">
        <v>572.47</v>
      </c>
      <c r="T217" s="14" t="n">
        <v>572.47</v>
      </c>
      <c r="U217" s="14" t="n">
        <v>350</v>
      </c>
      <c r="V217" s="14" t="n">
        <v>250</v>
      </c>
      <c r="W217" s="14">
        <f>U217+V217</f>
        <v/>
      </c>
    </row>
    <row r="218">
      <c r="A218" s="15" t="inlineStr">
        <is>
          <t>CANON-202605-006281</t>
        </is>
      </c>
      <c r="B218" s="15" t="inlineStr">
        <is>
          <t>2026-05-01</t>
        </is>
      </c>
      <c r="C218" s="15" t="inlineStr">
        <is>
          <t>Priya Vandermeer</t>
        </is>
      </c>
      <c r="D218" s="15" t="inlineStr">
        <is>
          <t>MT</t>
        </is>
      </c>
      <c r="E218" s="16" t="n">
        <v>330000</v>
      </c>
      <c r="F218" s="16" t="n">
        <v>3375.32</v>
      </c>
      <c r="G218" s="16" t="n">
        <v>421.92</v>
      </c>
      <c r="H218" s="16" t="n">
        <v>421.92</v>
      </c>
      <c r="I218" s="16">
        <f>SUM(K218:T218)</f>
        <v/>
      </c>
      <c r="J218" s="16">
        <f>F218-(G218+H218+I218)</f>
        <v/>
      </c>
      <c r="K218" s="16" t="n">
        <v>253.15</v>
      </c>
      <c r="L218" s="16" t="n">
        <v>253.15</v>
      </c>
      <c r="M218" s="16" t="n">
        <v>253.15</v>
      </c>
      <c r="N218" s="16" t="n">
        <v>253.15</v>
      </c>
      <c r="O218" s="16" t="n">
        <v>253.15</v>
      </c>
      <c r="P218" s="16" t="n">
        <v>253.15</v>
      </c>
      <c r="Q218" s="16" t="n">
        <v>253.15</v>
      </c>
      <c r="R218" s="16" t="n">
        <v>253.15</v>
      </c>
      <c r="S218" s="16" t="n">
        <v>253.15</v>
      </c>
      <c r="T218" s="16" t="n">
        <v>253.15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CANON-202605-006282</t>
        </is>
      </c>
      <c r="B219" s="3" t="inlineStr">
        <is>
          <t>2026-05-16</t>
        </is>
      </c>
      <c r="C219" s="3" t="inlineStr">
        <is>
          <t>Priya Montoya</t>
        </is>
      </c>
      <c r="D219" s="3" t="inlineStr">
        <is>
          <t>TN</t>
        </is>
      </c>
      <c r="E219" s="14" t="n">
        <v>275000</v>
      </c>
      <c r="F219" s="14" t="n">
        <v>2963.99</v>
      </c>
      <c r="G219" s="14" t="n">
        <v>370.5</v>
      </c>
      <c r="H219" s="14" t="n">
        <v>370.5</v>
      </c>
      <c r="I219" s="14">
        <f>SUM(K219:T219)</f>
        <v/>
      </c>
      <c r="J219" s="14">
        <f>F219-(G219+H219+I219)</f>
        <v/>
      </c>
      <c r="K219" s="14" t="n">
        <v>222.3</v>
      </c>
      <c r="L219" s="14" t="n">
        <v>222.3</v>
      </c>
      <c r="M219" s="14" t="n">
        <v>222.3</v>
      </c>
      <c r="N219" s="14" t="n">
        <v>222.3</v>
      </c>
      <c r="O219" s="14" t="n">
        <v>222.3</v>
      </c>
      <c r="P219" s="14" t="n">
        <v>222.3</v>
      </c>
      <c r="Q219" s="14" t="n">
        <v>222.3</v>
      </c>
      <c r="R219" s="14" t="n">
        <v>222.3</v>
      </c>
      <c r="S219" s="14" t="n">
        <v>222.3</v>
      </c>
      <c r="T219" s="14" t="n">
        <v>222.3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CANON-202605-006283</t>
        </is>
      </c>
      <c r="B220" s="15" t="inlineStr">
        <is>
          <t>2026-05-19</t>
        </is>
      </c>
      <c r="C220" s="15" t="inlineStr">
        <is>
          <t>Saoirse Bellandi</t>
        </is>
      </c>
      <c r="D220" s="15" t="inlineStr">
        <is>
          <t>WY</t>
        </is>
      </c>
      <c r="E220" s="16" t="n">
        <v>650000</v>
      </c>
      <c r="F220" s="16" t="n">
        <v>6629.3</v>
      </c>
      <c r="G220" s="16" t="n">
        <v>828.66</v>
      </c>
      <c r="H220" s="16" t="n">
        <v>828.66</v>
      </c>
      <c r="I220" s="16">
        <f>SUM(K220:T220)</f>
        <v/>
      </c>
      <c r="J220" s="16">
        <f>F220-(G220+H220+I220)</f>
        <v/>
      </c>
      <c r="K220" s="16" t="n">
        <v>497.2</v>
      </c>
      <c r="L220" s="16" t="n">
        <v>497.2</v>
      </c>
      <c r="M220" s="16" t="n">
        <v>497.2</v>
      </c>
      <c r="N220" s="16" t="n">
        <v>497.2</v>
      </c>
      <c r="O220" s="16" t="n">
        <v>497.2</v>
      </c>
      <c r="P220" s="16" t="n">
        <v>497.2</v>
      </c>
      <c r="Q220" s="16" t="n">
        <v>497.2</v>
      </c>
      <c r="R220" s="16" t="n">
        <v>497.2</v>
      </c>
      <c r="S220" s="16" t="n">
        <v>497.2</v>
      </c>
      <c r="T220" s="16" t="n">
        <v>497.2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CANON-202605-006284</t>
        </is>
      </c>
      <c r="B221" s="3" t="inlineStr">
        <is>
          <t>2026-05-15</t>
        </is>
      </c>
      <c r="C221" s="3" t="inlineStr">
        <is>
          <t>Priya Harrington</t>
        </is>
      </c>
      <c r="D221" s="3" t="inlineStr">
        <is>
          <t>KY</t>
        </is>
      </c>
      <c r="E221" s="14" t="n">
        <v>400000</v>
      </c>
      <c r="F221" s="14" t="n">
        <v>5894.99</v>
      </c>
      <c r="G221" s="14" t="n">
        <v>736.87</v>
      </c>
      <c r="H221" s="14" t="n">
        <v>736.87</v>
      </c>
      <c r="I221" s="14">
        <f>SUM(K221:T221)</f>
        <v/>
      </c>
      <c r="J221" s="14">
        <f>F221-(G221+H221+I221)</f>
        <v/>
      </c>
      <c r="K221" s="14" t="n">
        <v>442.12</v>
      </c>
      <c r="L221" s="14" t="n">
        <v>442.12</v>
      </c>
      <c r="M221" s="14" t="n">
        <v>442.12</v>
      </c>
      <c r="N221" s="14" t="n">
        <v>442.12</v>
      </c>
      <c r="O221" s="14" t="n">
        <v>442.12</v>
      </c>
      <c r="P221" s="14" t="n">
        <v>442.12</v>
      </c>
      <c r="Q221" s="14" t="n">
        <v>442.12</v>
      </c>
      <c r="R221" s="14" t="n">
        <v>442.12</v>
      </c>
      <c r="S221" s="14" t="n">
        <v>442.12</v>
      </c>
      <c r="T221" s="14" t="n">
        <v>442.12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CANON-202605-006285</t>
        </is>
      </c>
      <c r="B222" s="15" t="inlineStr">
        <is>
          <t>2026-05-03</t>
        </is>
      </c>
      <c r="C222" s="15" t="inlineStr">
        <is>
          <t>Emiliano Chattopadhyay</t>
        </is>
      </c>
      <c r="D222" s="15" t="inlineStr">
        <is>
          <t>OH</t>
        </is>
      </c>
      <c r="E222" s="16" t="n">
        <v>1360000</v>
      </c>
      <c r="F222" s="16" t="n">
        <v>22176.89</v>
      </c>
      <c r="G222" s="16" t="n">
        <v>2772.11</v>
      </c>
      <c r="H222" s="16" t="n">
        <v>2772.11</v>
      </c>
      <c r="I222" s="16">
        <f>SUM(K222:T222)</f>
        <v/>
      </c>
      <c r="J222" s="16">
        <f>F222-(G222+H222+I222)</f>
        <v/>
      </c>
      <c r="K222" s="16" t="n">
        <v>1663.27</v>
      </c>
      <c r="L222" s="16" t="n">
        <v>1663.27</v>
      </c>
      <c r="M222" s="16" t="n">
        <v>1663.27</v>
      </c>
      <c r="N222" s="16" t="n">
        <v>1663.27</v>
      </c>
      <c r="O222" s="16" t="n">
        <v>1663.27</v>
      </c>
      <c r="P222" s="16" t="n">
        <v>1663.27</v>
      </c>
      <c r="Q222" s="16" t="n">
        <v>1663.27</v>
      </c>
      <c r="R222" s="16" t="n">
        <v>1663.27</v>
      </c>
      <c r="S222" s="16" t="n">
        <v>1663.27</v>
      </c>
      <c r="T222" s="16" t="n">
        <v>1663.27</v>
      </c>
      <c r="U222" s="16" t="n">
        <v>350</v>
      </c>
      <c r="V222" s="16" t="n">
        <v>250</v>
      </c>
      <c r="W222" s="16">
        <f>U222+V222</f>
        <v/>
      </c>
    </row>
    <row r="223">
      <c r="A223" s="3" t="inlineStr">
        <is>
          <t>CANON-202605-006286</t>
        </is>
      </c>
      <c r="B223" s="3" t="inlineStr">
        <is>
          <t>2026-05-14</t>
        </is>
      </c>
      <c r="C223" s="3" t="inlineStr">
        <is>
          <t>Everett Fairweather</t>
        </is>
      </c>
      <c r="D223" s="3" t="inlineStr">
        <is>
          <t>RI</t>
        </is>
      </c>
      <c r="E223" s="14" t="n">
        <v>675000</v>
      </c>
      <c r="F223" s="14" t="n">
        <v>8814.440000000001</v>
      </c>
      <c r="G223" s="14" t="n">
        <v>1101.81</v>
      </c>
      <c r="H223" s="14" t="n">
        <v>1101.81</v>
      </c>
      <c r="I223" s="14">
        <f>SUM(K223:T223)</f>
        <v/>
      </c>
      <c r="J223" s="14">
        <f>F223-(G223+H223+I223)</f>
        <v/>
      </c>
      <c r="K223" s="14" t="n">
        <v>661.08</v>
      </c>
      <c r="L223" s="14" t="n">
        <v>661.08</v>
      </c>
      <c r="M223" s="14" t="n">
        <v>661.08</v>
      </c>
      <c r="N223" s="14" t="n">
        <v>661.08</v>
      </c>
      <c r="O223" s="14" t="n">
        <v>661.08</v>
      </c>
      <c r="P223" s="14" t="n">
        <v>661.08</v>
      </c>
      <c r="Q223" s="14" t="n">
        <v>661.08</v>
      </c>
      <c r="R223" s="14" t="n">
        <v>661.08</v>
      </c>
      <c r="S223" s="14" t="n">
        <v>661.08</v>
      </c>
      <c r="T223" s="14" t="n">
        <v>661.08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CANON-202605-006287</t>
        </is>
      </c>
      <c r="B224" s="15" t="inlineStr">
        <is>
          <t>2026-05-26</t>
        </is>
      </c>
      <c r="C224" s="15" t="inlineStr">
        <is>
          <t>Marisol Nakashima</t>
        </is>
      </c>
      <c r="D224" s="15" t="inlineStr">
        <is>
          <t>NJ</t>
        </is>
      </c>
      <c r="E224" s="16" t="n">
        <v>750000</v>
      </c>
      <c r="F224" s="16" t="n">
        <v>9507.870000000001</v>
      </c>
      <c r="G224" s="16" t="n">
        <v>1188.48</v>
      </c>
      <c r="H224" s="16" t="n">
        <v>1188.48</v>
      </c>
      <c r="I224" s="16">
        <f>SUM(K224:T224)</f>
        <v/>
      </c>
      <c r="J224" s="16">
        <f>F224-(G224+H224+I224)</f>
        <v/>
      </c>
      <c r="K224" s="16" t="n">
        <v>713.09</v>
      </c>
      <c r="L224" s="16" t="n">
        <v>713.09</v>
      </c>
      <c r="M224" s="16" t="n">
        <v>713.09</v>
      </c>
      <c r="N224" s="16" t="n">
        <v>713.09</v>
      </c>
      <c r="O224" s="16" t="n">
        <v>713.09</v>
      </c>
      <c r="P224" s="16" t="n">
        <v>713.09</v>
      </c>
      <c r="Q224" s="16" t="n">
        <v>713.09</v>
      </c>
      <c r="R224" s="16" t="n">
        <v>713.09</v>
      </c>
      <c r="S224" s="16" t="n">
        <v>713.09</v>
      </c>
      <c r="T224" s="16" t="n">
        <v>713.09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CANON-202605-006288</t>
        </is>
      </c>
      <c r="B225" s="3" t="inlineStr">
        <is>
          <t>2026-05-06</t>
        </is>
      </c>
      <c r="C225" s="3" t="inlineStr">
        <is>
          <t>Saoirse Rourke</t>
        </is>
      </c>
      <c r="D225" s="3" t="inlineStr">
        <is>
          <t>KS</t>
        </is>
      </c>
      <c r="E225" s="14" t="n">
        <v>445000</v>
      </c>
      <c r="F225" s="14" t="n">
        <v>5570.21</v>
      </c>
      <c r="G225" s="14" t="n">
        <v>696.28</v>
      </c>
      <c r="H225" s="14" t="n">
        <v>696.28</v>
      </c>
      <c r="I225" s="14">
        <f>SUM(K225:T225)</f>
        <v/>
      </c>
      <c r="J225" s="14">
        <f>F225-(G225+H225+I225)</f>
        <v/>
      </c>
      <c r="K225" s="14" t="n">
        <v>417.77</v>
      </c>
      <c r="L225" s="14" t="n">
        <v>417.77</v>
      </c>
      <c r="M225" s="14" t="n">
        <v>417.77</v>
      </c>
      <c r="N225" s="14" t="n">
        <v>417.77</v>
      </c>
      <c r="O225" s="14" t="n">
        <v>417.77</v>
      </c>
      <c r="P225" s="14" t="n">
        <v>417.77</v>
      </c>
      <c r="Q225" s="14" t="n">
        <v>417.77</v>
      </c>
      <c r="R225" s="14" t="n">
        <v>417.77</v>
      </c>
      <c r="S225" s="14" t="n">
        <v>417.77</v>
      </c>
      <c r="T225" s="14" t="n">
        <v>417.77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CANON-202605-006289</t>
        </is>
      </c>
      <c r="B226" s="15" t="inlineStr">
        <is>
          <t>2026-05-30</t>
        </is>
      </c>
      <c r="C226" s="15" t="inlineStr">
        <is>
          <t>Desmond Okonkwo</t>
        </is>
      </c>
      <c r="D226" s="15" t="inlineStr">
        <is>
          <t>TX</t>
        </is>
      </c>
      <c r="E226" s="16" t="n">
        <v>600000</v>
      </c>
      <c r="F226" s="16" t="n">
        <v>6576.87</v>
      </c>
      <c r="G226" s="16" t="n">
        <v>822.11</v>
      </c>
      <c r="H226" s="16" t="n">
        <v>822.11</v>
      </c>
      <c r="I226" s="16">
        <f>SUM(K226:T226)</f>
        <v/>
      </c>
      <c r="J226" s="16">
        <f>F226-(G226+H226+I226)</f>
        <v/>
      </c>
      <c r="K226" s="16" t="n">
        <v>493.27</v>
      </c>
      <c r="L226" s="16" t="n">
        <v>493.27</v>
      </c>
      <c r="M226" s="16" t="n">
        <v>493.27</v>
      </c>
      <c r="N226" s="16" t="n">
        <v>493.27</v>
      </c>
      <c r="O226" s="16" t="n">
        <v>493.27</v>
      </c>
      <c r="P226" s="16" t="n">
        <v>493.27</v>
      </c>
      <c r="Q226" s="16" t="n">
        <v>493.27</v>
      </c>
      <c r="R226" s="16" t="n">
        <v>493.27</v>
      </c>
      <c r="S226" s="16" t="n">
        <v>493.27</v>
      </c>
      <c r="T226" s="16" t="n">
        <v>493.27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CANON-202605-006291</t>
        </is>
      </c>
      <c r="B227" s="3" t="inlineStr">
        <is>
          <t>2026-05-31</t>
        </is>
      </c>
      <c r="C227" s="3" t="inlineStr">
        <is>
          <t>Cassius Harrington</t>
        </is>
      </c>
      <c r="D227" s="3" t="inlineStr">
        <is>
          <t>OH</t>
        </is>
      </c>
      <c r="E227" s="14" t="n">
        <v>730000</v>
      </c>
      <c r="F227" s="14" t="n">
        <v>14135.73</v>
      </c>
      <c r="G227" s="14" t="n">
        <v>1766.97</v>
      </c>
      <c r="H227" s="14" t="n">
        <v>1766.97</v>
      </c>
      <c r="I227" s="14">
        <f>SUM(K227:T227)</f>
        <v/>
      </c>
      <c r="J227" s="14">
        <f>F227-(G227+H227+I227)</f>
        <v/>
      </c>
      <c r="K227" s="14" t="n">
        <v>1060.18</v>
      </c>
      <c r="L227" s="14" t="n">
        <v>1060.18</v>
      </c>
      <c r="M227" s="14" t="n">
        <v>1060.18</v>
      </c>
      <c r="N227" s="14" t="n">
        <v>1060.18</v>
      </c>
      <c r="O227" s="14" t="n">
        <v>1060.18</v>
      </c>
      <c r="P227" s="14" t="n">
        <v>1060.18</v>
      </c>
      <c r="Q227" s="14" t="n">
        <v>1060.18</v>
      </c>
      <c r="R227" s="14" t="n">
        <v>1060.18</v>
      </c>
      <c r="S227" s="14" t="n">
        <v>1060.18</v>
      </c>
      <c r="T227" s="14" t="n">
        <v>1060.18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CANON-202605-006293</t>
        </is>
      </c>
      <c r="B228" s="15" t="inlineStr">
        <is>
          <t>2026-05-28</t>
        </is>
      </c>
      <c r="C228" s="15" t="inlineStr">
        <is>
          <t>Ramona Thistlewood</t>
        </is>
      </c>
      <c r="D228" s="15" t="inlineStr">
        <is>
          <t>RI</t>
        </is>
      </c>
      <c r="E228" s="16" t="n">
        <v>880000</v>
      </c>
      <c r="F228" s="16" t="n">
        <v>11491.41</v>
      </c>
      <c r="G228" s="16" t="n">
        <v>1436.43</v>
      </c>
      <c r="H228" s="16" t="n">
        <v>1436.43</v>
      </c>
      <c r="I228" s="16">
        <f>SUM(K228:T228)</f>
        <v/>
      </c>
      <c r="J228" s="16">
        <f>F228-(G228+H228+I228)</f>
        <v/>
      </c>
      <c r="K228" s="16" t="n">
        <v>861.86</v>
      </c>
      <c r="L228" s="16" t="n">
        <v>861.86</v>
      </c>
      <c r="M228" s="16" t="n">
        <v>861.86</v>
      </c>
      <c r="N228" s="16" t="n">
        <v>861.86</v>
      </c>
      <c r="O228" s="16" t="n">
        <v>861.86</v>
      </c>
      <c r="P228" s="16" t="n">
        <v>861.86</v>
      </c>
      <c r="Q228" s="16" t="n">
        <v>861.86</v>
      </c>
      <c r="R228" s="16" t="n">
        <v>861.86</v>
      </c>
      <c r="S228" s="16" t="n">
        <v>861.86</v>
      </c>
      <c r="T228" s="16" t="n">
        <v>861.86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CANON-202605-006294</t>
        </is>
      </c>
      <c r="B229" s="3" t="inlineStr">
        <is>
          <t>2026-05-19</t>
        </is>
      </c>
      <c r="C229" s="3" t="inlineStr">
        <is>
          <t>Ramona Vasquez</t>
        </is>
      </c>
      <c r="D229" s="3" t="inlineStr">
        <is>
          <t>NY</t>
        </is>
      </c>
      <c r="E229" s="14" t="n">
        <v>1110000</v>
      </c>
      <c r="F229" s="14" t="n">
        <v>16667.86</v>
      </c>
      <c r="G229" s="14" t="n">
        <v>2083.48</v>
      </c>
      <c r="H229" s="14" t="n">
        <v>2083.48</v>
      </c>
      <c r="I229" s="14">
        <f>SUM(K229:T229)</f>
        <v/>
      </c>
      <c r="J229" s="14">
        <f>F229-(G229+H229+I229)</f>
        <v/>
      </c>
      <c r="K229" s="14" t="n">
        <v>1250.09</v>
      </c>
      <c r="L229" s="14" t="n">
        <v>1250.09</v>
      </c>
      <c r="M229" s="14" t="n">
        <v>1250.09</v>
      </c>
      <c r="N229" s="14" t="n">
        <v>1250.09</v>
      </c>
      <c r="O229" s="14" t="n">
        <v>1250.09</v>
      </c>
      <c r="P229" s="14" t="n">
        <v>1250.09</v>
      </c>
      <c r="Q229" s="14" t="n">
        <v>1250.09</v>
      </c>
      <c r="R229" s="14" t="n">
        <v>1250.09</v>
      </c>
      <c r="S229" s="14" t="n">
        <v>1250.09</v>
      </c>
      <c r="T229" s="14" t="n">
        <v>1250.09</v>
      </c>
      <c r="U229" s="14" t="n">
        <v>350</v>
      </c>
      <c r="V229" s="14" t="n">
        <v>250</v>
      </c>
      <c r="W229" s="14">
        <f>U229+V229</f>
        <v/>
      </c>
    </row>
    <row r="230">
      <c r="A230" s="15" t="inlineStr">
        <is>
          <t>CANON-202605-006295</t>
        </is>
      </c>
      <c r="B230" s="15" t="inlineStr">
        <is>
          <t>2026-05-09</t>
        </is>
      </c>
      <c r="C230" s="15" t="inlineStr">
        <is>
          <t>Fitzgerald Okonkwo</t>
        </is>
      </c>
      <c r="D230" s="15" t="inlineStr">
        <is>
          <t>LA</t>
        </is>
      </c>
      <c r="E230" s="16" t="n">
        <v>1700000</v>
      </c>
      <c r="F230" s="16" t="n">
        <v>24131.33</v>
      </c>
      <c r="G230" s="16" t="n">
        <v>3016.42</v>
      </c>
      <c r="H230" s="16" t="n">
        <v>3016.42</v>
      </c>
      <c r="I230" s="16">
        <f>SUM(K230:T230)</f>
        <v/>
      </c>
      <c r="J230" s="16">
        <f>F230-(G230+H230+I230)</f>
        <v/>
      </c>
      <c r="K230" s="16" t="n">
        <v>1809.85</v>
      </c>
      <c r="L230" s="16" t="n">
        <v>1809.85</v>
      </c>
      <c r="M230" s="16" t="n">
        <v>1809.85</v>
      </c>
      <c r="N230" s="16" t="n">
        <v>1809.85</v>
      </c>
      <c r="O230" s="16" t="n">
        <v>1809.85</v>
      </c>
      <c r="P230" s="16" t="n">
        <v>1809.85</v>
      </c>
      <c r="Q230" s="16" t="n">
        <v>1809.85</v>
      </c>
      <c r="R230" s="16" t="n">
        <v>1809.85</v>
      </c>
      <c r="S230" s="16" t="n">
        <v>1809.85</v>
      </c>
      <c r="T230" s="16" t="n">
        <v>1809.85</v>
      </c>
      <c r="U230" s="16" t="n">
        <v>350</v>
      </c>
      <c r="V230" s="16" t="n">
        <v>250</v>
      </c>
      <c r="W230" s="16">
        <f>U230+V230</f>
        <v/>
      </c>
    </row>
    <row r="231">
      <c r="A231" s="3" t="inlineStr">
        <is>
          <t>CANON-202605-006296</t>
        </is>
      </c>
      <c r="B231" s="3" t="inlineStr">
        <is>
          <t>2026-05-12</t>
        </is>
      </c>
      <c r="C231" s="3" t="inlineStr">
        <is>
          <t>Wilhelmina Vasquez</t>
        </is>
      </c>
      <c r="D231" s="3" t="inlineStr">
        <is>
          <t>CO</t>
        </is>
      </c>
      <c r="E231" s="14" t="n">
        <v>305000</v>
      </c>
      <c r="F231" s="14" t="n">
        <v>3689.87</v>
      </c>
      <c r="G231" s="14" t="n">
        <v>461.23</v>
      </c>
      <c r="H231" s="14" t="n">
        <v>461.23</v>
      </c>
      <c r="I231" s="14">
        <f>SUM(K231:T231)</f>
        <v/>
      </c>
      <c r="J231" s="14">
        <f>F231-(G231+H231+I231)</f>
        <v/>
      </c>
      <c r="K231" s="14" t="n">
        <v>276.74</v>
      </c>
      <c r="L231" s="14" t="n">
        <v>276.74</v>
      </c>
      <c r="M231" s="14" t="n">
        <v>276.74</v>
      </c>
      <c r="N231" s="14" t="n">
        <v>276.74</v>
      </c>
      <c r="O231" s="14" t="n">
        <v>276.74</v>
      </c>
      <c r="P231" s="14" t="n">
        <v>276.74</v>
      </c>
      <c r="Q231" s="14" t="n">
        <v>276.74</v>
      </c>
      <c r="R231" s="14" t="n">
        <v>276.74</v>
      </c>
      <c r="S231" s="14" t="n">
        <v>276.74</v>
      </c>
      <c r="T231" s="14" t="n">
        <v>276.74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CANON-202605-006297</t>
        </is>
      </c>
      <c r="B232" s="15" t="inlineStr">
        <is>
          <t>2026-05-23</t>
        </is>
      </c>
      <c r="C232" s="15" t="inlineStr">
        <is>
          <t>Ramona Farkas</t>
        </is>
      </c>
      <c r="D232" s="15" t="inlineStr">
        <is>
          <t>OH</t>
        </is>
      </c>
      <c r="E232" s="16" t="n">
        <v>515000</v>
      </c>
      <c r="F232" s="16" t="n">
        <v>4513.85</v>
      </c>
      <c r="G232" s="16" t="n">
        <v>564.23</v>
      </c>
      <c r="H232" s="16" t="n">
        <v>564.23</v>
      </c>
      <c r="I232" s="16">
        <f>SUM(K232:T232)</f>
        <v/>
      </c>
      <c r="J232" s="16">
        <f>F232-(G232+H232+I232)</f>
        <v/>
      </c>
      <c r="K232" s="16" t="n">
        <v>338.54</v>
      </c>
      <c r="L232" s="16" t="n">
        <v>338.54</v>
      </c>
      <c r="M232" s="16" t="n">
        <v>338.54</v>
      </c>
      <c r="N232" s="16" t="n">
        <v>338.54</v>
      </c>
      <c r="O232" s="16" t="n">
        <v>338.54</v>
      </c>
      <c r="P232" s="16" t="n">
        <v>338.54</v>
      </c>
      <c r="Q232" s="16" t="n">
        <v>338.54</v>
      </c>
      <c r="R232" s="16" t="n">
        <v>338.54</v>
      </c>
      <c r="S232" s="16" t="n">
        <v>338.54</v>
      </c>
      <c r="T232" s="16" t="n">
        <v>338.54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CANON-202605-006298</t>
        </is>
      </c>
      <c r="B233" s="3" t="inlineStr">
        <is>
          <t>2026-05-26</t>
        </is>
      </c>
      <c r="C233" s="3" t="inlineStr">
        <is>
          <t>Beatrix Fairweather</t>
        </is>
      </c>
      <c r="D233" s="3" t="inlineStr">
        <is>
          <t>SC</t>
        </is>
      </c>
      <c r="E233" s="14" t="n">
        <v>1175000</v>
      </c>
      <c r="F233" s="14" t="n">
        <v>7264.33</v>
      </c>
      <c r="G233" s="14" t="n">
        <v>908.04</v>
      </c>
      <c r="H233" s="14" t="n">
        <v>908.04</v>
      </c>
      <c r="I233" s="14">
        <f>SUM(K233:T233)</f>
        <v/>
      </c>
      <c r="J233" s="14">
        <f>F233-(G233+H233+I233)</f>
        <v/>
      </c>
      <c r="K233" s="14" t="n">
        <v>544.8200000000001</v>
      </c>
      <c r="L233" s="14" t="n">
        <v>544.8200000000001</v>
      </c>
      <c r="M233" s="14" t="n">
        <v>544.8200000000001</v>
      </c>
      <c r="N233" s="14" t="n">
        <v>544.8200000000001</v>
      </c>
      <c r="O233" s="14" t="n">
        <v>544.8200000000001</v>
      </c>
      <c r="P233" s="14" t="n">
        <v>544.8200000000001</v>
      </c>
      <c r="Q233" s="14" t="n">
        <v>544.8200000000001</v>
      </c>
      <c r="R233" s="14" t="n">
        <v>544.8200000000001</v>
      </c>
      <c r="S233" s="14" t="n">
        <v>544.8200000000001</v>
      </c>
      <c r="T233" s="14" t="n">
        <v>544.8200000000001</v>
      </c>
      <c r="U233" s="14" t="n">
        <v>350</v>
      </c>
      <c r="V233" s="14" t="n">
        <v>250</v>
      </c>
      <c r="W233" s="14">
        <f>U233+V233</f>
        <v/>
      </c>
    </row>
    <row r="234">
      <c r="A234" s="15" t="inlineStr">
        <is>
          <t>CANON-202605-006299</t>
        </is>
      </c>
      <c r="B234" s="15" t="inlineStr">
        <is>
          <t>2026-05-31</t>
        </is>
      </c>
      <c r="C234" s="15" t="inlineStr">
        <is>
          <t>Cassius Bellandi</t>
        </is>
      </c>
      <c r="D234" s="15" t="inlineStr">
        <is>
          <t>VT</t>
        </is>
      </c>
      <c r="E234" s="16" t="n">
        <v>610000</v>
      </c>
      <c r="F234" s="16" t="n">
        <v>10367.4</v>
      </c>
      <c r="G234" s="16" t="n">
        <v>1295.92</v>
      </c>
      <c r="H234" s="16" t="n">
        <v>1295.92</v>
      </c>
      <c r="I234" s="16">
        <f>SUM(K234:T234)</f>
        <v/>
      </c>
      <c r="J234" s="16">
        <f>F234-(G234+H234+I234)</f>
        <v/>
      </c>
      <c r="K234" s="16" t="n">
        <v>777.55</v>
      </c>
      <c r="L234" s="16" t="n">
        <v>777.55</v>
      </c>
      <c r="M234" s="16" t="n">
        <v>777.55</v>
      </c>
      <c r="N234" s="16" t="n">
        <v>777.55</v>
      </c>
      <c r="O234" s="16" t="n">
        <v>777.55</v>
      </c>
      <c r="P234" s="16" t="n">
        <v>777.55</v>
      </c>
      <c r="Q234" s="16" t="n">
        <v>777.55</v>
      </c>
      <c r="R234" s="16" t="n">
        <v>777.55</v>
      </c>
      <c r="S234" s="16" t="n">
        <v>777.55</v>
      </c>
      <c r="T234" s="16" t="n">
        <v>777.55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CANON-202605-006300</t>
        </is>
      </c>
      <c r="B235" s="3" t="inlineStr">
        <is>
          <t>2026-05-02</t>
        </is>
      </c>
      <c r="C235" s="3" t="inlineStr">
        <is>
          <t>Delphine Delacroix</t>
        </is>
      </c>
      <c r="D235" s="3" t="inlineStr">
        <is>
          <t>NC</t>
        </is>
      </c>
      <c r="E235" s="14" t="n">
        <v>600000</v>
      </c>
      <c r="F235" s="14" t="n">
        <v>7892.25</v>
      </c>
      <c r="G235" s="14" t="n">
        <v>986.53</v>
      </c>
      <c r="H235" s="14" t="n">
        <v>986.53</v>
      </c>
      <c r="I235" s="14">
        <f>SUM(K235:T235)</f>
        <v/>
      </c>
      <c r="J235" s="14">
        <f>F235-(G235+H235+I235)</f>
        <v/>
      </c>
      <c r="K235" s="14" t="n">
        <v>591.92</v>
      </c>
      <c r="L235" s="14" t="n">
        <v>591.92</v>
      </c>
      <c r="M235" s="14" t="n">
        <v>591.92</v>
      </c>
      <c r="N235" s="14" t="n">
        <v>591.92</v>
      </c>
      <c r="O235" s="14" t="n">
        <v>591.92</v>
      </c>
      <c r="P235" s="14" t="n">
        <v>591.92</v>
      </c>
      <c r="Q235" s="14" t="n">
        <v>591.92</v>
      </c>
      <c r="R235" s="14" t="n">
        <v>591.92</v>
      </c>
      <c r="S235" s="14" t="n">
        <v>591.92</v>
      </c>
      <c r="T235" s="14" t="n">
        <v>591.92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CANON-202605-006301</t>
        </is>
      </c>
      <c r="B236" s="15" t="inlineStr">
        <is>
          <t>2026-05-02</t>
        </is>
      </c>
      <c r="C236" s="15" t="inlineStr">
        <is>
          <t>Everett Merriweather</t>
        </is>
      </c>
      <c r="D236" s="15" t="inlineStr">
        <is>
          <t>OH</t>
        </is>
      </c>
      <c r="E236" s="16" t="n">
        <v>420000</v>
      </c>
      <c r="F236" s="16" t="n">
        <v>6420.7</v>
      </c>
      <c r="G236" s="16" t="n">
        <v>802.59</v>
      </c>
      <c r="H236" s="16" t="n">
        <v>802.59</v>
      </c>
      <c r="I236" s="16">
        <f>SUM(K236:T236)</f>
        <v/>
      </c>
      <c r="J236" s="16">
        <f>F236-(G236+H236+I236)</f>
        <v/>
      </c>
      <c r="K236" s="16" t="n">
        <v>481.55</v>
      </c>
      <c r="L236" s="16" t="n">
        <v>481.55</v>
      </c>
      <c r="M236" s="16" t="n">
        <v>481.55</v>
      </c>
      <c r="N236" s="16" t="n">
        <v>481.55</v>
      </c>
      <c r="O236" s="16" t="n">
        <v>481.55</v>
      </c>
      <c r="P236" s="16" t="n">
        <v>481.55</v>
      </c>
      <c r="Q236" s="16" t="n">
        <v>481.55</v>
      </c>
      <c r="R236" s="16" t="n">
        <v>481.55</v>
      </c>
      <c r="S236" s="16" t="n">
        <v>481.55</v>
      </c>
      <c r="T236" s="16" t="n">
        <v>481.55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CANON-202605-006304</t>
        </is>
      </c>
      <c r="B237" s="3" t="inlineStr">
        <is>
          <t>2026-05-09</t>
        </is>
      </c>
      <c r="C237" s="3" t="inlineStr">
        <is>
          <t>Fitzgerald Castellanos</t>
        </is>
      </c>
      <c r="D237" s="3" t="inlineStr">
        <is>
          <t>NC</t>
        </is>
      </c>
      <c r="E237" s="14" t="n">
        <v>545000</v>
      </c>
      <c r="F237" s="14" t="n">
        <v>5973.99</v>
      </c>
      <c r="G237" s="14" t="n">
        <v>746.75</v>
      </c>
      <c r="H237" s="14" t="n">
        <v>746.75</v>
      </c>
      <c r="I237" s="14">
        <f>SUM(K237:T237)</f>
        <v/>
      </c>
      <c r="J237" s="14">
        <f>F237-(G237+H237+I237)</f>
        <v/>
      </c>
      <c r="K237" s="14" t="n">
        <v>448.05</v>
      </c>
      <c r="L237" s="14" t="n">
        <v>448.05</v>
      </c>
      <c r="M237" s="14" t="n">
        <v>448.05</v>
      </c>
      <c r="N237" s="14" t="n">
        <v>448.05</v>
      </c>
      <c r="O237" s="14" t="n">
        <v>448.05</v>
      </c>
      <c r="P237" s="14" t="n">
        <v>448.05</v>
      </c>
      <c r="Q237" s="14" t="n">
        <v>448.05</v>
      </c>
      <c r="R237" s="14" t="n">
        <v>448.05</v>
      </c>
      <c r="S237" s="14" t="n">
        <v>448.05</v>
      </c>
      <c r="T237" s="14" t="n">
        <v>448.05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CANON-202605-006305</t>
        </is>
      </c>
      <c r="B238" s="15" t="inlineStr">
        <is>
          <t>2026-05-03</t>
        </is>
      </c>
      <c r="C238" s="15" t="inlineStr">
        <is>
          <t>Ottilie Fairweather</t>
        </is>
      </c>
      <c r="D238" s="15" t="inlineStr">
        <is>
          <t>TX</t>
        </is>
      </c>
      <c r="E238" s="16" t="n">
        <v>930000</v>
      </c>
      <c r="F238" s="16" t="n">
        <v>10194.15</v>
      </c>
      <c r="G238" s="16" t="n">
        <v>1274.27</v>
      </c>
      <c r="H238" s="16" t="n">
        <v>1274.27</v>
      </c>
      <c r="I238" s="16">
        <f>SUM(K238:T238)</f>
        <v/>
      </c>
      <c r="J238" s="16">
        <f>F238-(G238+H238+I238)</f>
        <v/>
      </c>
      <c r="K238" s="16" t="n">
        <v>764.5599999999999</v>
      </c>
      <c r="L238" s="16" t="n">
        <v>764.5599999999999</v>
      </c>
      <c r="M238" s="16" t="n">
        <v>764.5599999999999</v>
      </c>
      <c r="N238" s="16" t="n">
        <v>764.5599999999999</v>
      </c>
      <c r="O238" s="16" t="n">
        <v>764.5599999999999</v>
      </c>
      <c r="P238" s="16" t="n">
        <v>764.5599999999999</v>
      </c>
      <c r="Q238" s="16" t="n">
        <v>764.5599999999999</v>
      </c>
      <c r="R238" s="16" t="n">
        <v>764.5599999999999</v>
      </c>
      <c r="S238" s="16" t="n">
        <v>764.5599999999999</v>
      </c>
      <c r="T238" s="16" t="n">
        <v>764.5599999999999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CANON-202605-006308</t>
        </is>
      </c>
      <c r="B239" s="3" t="inlineStr">
        <is>
          <t>2026-05-10</t>
        </is>
      </c>
      <c r="C239" s="3" t="inlineStr">
        <is>
          <t>Cassius Vasquez</t>
        </is>
      </c>
      <c r="D239" s="3" t="inlineStr">
        <is>
          <t>TN</t>
        </is>
      </c>
      <c r="E239" s="14" t="n">
        <v>515000</v>
      </c>
      <c r="F239" s="14" t="n">
        <v>4810.65</v>
      </c>
      <c r="G239" s="14" t="n">
        <v>601.33</v>
      </c>
      <c r="H239" s="14" t="n">
        <v>601.33</v>
      </c>
      <c r="I239" s="14">
        <f>SUM(K239:T239)</f>
        <v/>
      </c>
      <c r="J239" s="14">
        <f>F239-(G239+H239+I239)</f>
        <v/>
      </c>
      <c r="K239" s="14" t="n">
        <v>360.8</v>
      </c>
      <c r="L239" s="14" t="n">
        <v>360.8</v>
      </c>
      <c r="M239" s="14" t="n">
        <v>360.8</v>
      </c>
      <c r="N239" s="14" t="n">
        <v>360.8</v>
      </c>
      <c r="O239" s="14" t="n">
        <v>360.8</v>
      </c>
      <c r="P239" s="14" t="n">
        <v>360.8</v>
      </c>
      <c r="Q239" s="14" t="n">
        <v>360.8</v>
      </c>
      <c r="R239" s="14" t="n">
        <v>360.8</v>
      </c>
      <c r="S239" s="14" t="n">
        <v>360.8</v>
      </c>
      <c r="T239" s="14" t="n">
        <v>360.8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CANON-202605-006309</t>
        </is>
      </c>
      <c r="B240" s="15" t="inlineStr">
        <is>
          <t>2026-05-06</t>
        </is>
      </c>
      <c r="C240" s="15" t="inlineStr">
        <is>
          <t>Fenwick Farkas</t>
        </is>
      </c>
      <c r="D240" s="15" t="inlineStr">
        <is>
          <t>CO</t>
        </is>
      </c>
      <c r="E240" s="16" t="n">
        <v>1005000</v>
      </c>
      <c r="F240" s="16" t="n">
        <v>8916.17</v>
      </c>
      <c r="G240" s="16" t="n">
        <v>1114.52</v>
      </c>
      <c r="H240" s="16" t="n">
        <v>1114.52</v>
      </c>
      <c r="I240" s="16">
        <f>SUM(K240:T240)</f>
        <v/>
      </c>
      <c r="J240" s="16">
        <f>F240-(G240+H240+I240)</f>
        <v/>
      </c>
      <c r="K240" s="16" t="n">
        <v>668.71</v>
      </c>
      <c r="L240" s="16" t="n">
        <v>668.71</v>
      </c>
      <c r="M240" s="16" t="n">
        <v>668.71</v>
      </c>
      <c r="N240" s="16" t="n">
        <v>668.71</v>
      </c>
      <c r="O240" s="16" t="n">
        <v>668.71</v>
      </c>
      <c r="P240" s="16" t="n">
        <v>668.71</v>
      </c>
      <c r="Q240" s="16" t="n">
        <v>668.71</v>
      </c>
      <c r="R240" s="16" t="n">
        <v>668.71</v>
      </c>
      <c r="S240" s="16" t="n">
        <v>668.71</v>
      </c>
      <c r="T240" s="16" t="n">
        <v>668.71</v>
      </c>
      <c r="U240" s="16" t="n">
        <v>350</v>
      </c>
      <c r="V240" s="16" t="n">
        <v>250</v>
      </c>
      <c r="W240" s="16">
        <f>U240+V240</f>
        <v/>
      </c>
    </row>
    <row r="241">
      <c r="A241" s="3" t="inlineStr">
        <is>
          <t>CANON-202605-006310</t>
        </is>
      </c>
      <c r="B241" s="3" t="inlineStr">
        <is>
          <t>2026-05-04</t>
        </is>
      </c>
      <c r="C241" s="3" t="inlineStr">
        <is>
          <t>Lorenzo Merriweather</t>
        </is>
      </c>
      <c r="D241" s="3" t="inlineStr">
        <is>
          <t>DE</t>
        </is>
      </c>
      <c r="E241" s="14" t="n">
        <v>390000</v>
      </c>
      <c r="F241" s="14" t="n">
        <v>3431.41</v>
      </c>
      <c r="G241" s="14" t="n">
        <v>428.93</v>
      </c>
      <c r="H241" s="14" t="n">
        <v>428.93</v>
      </c>
      <c r="I241" s="14">
        <f>SUM(K241:T241)</f>
        <v/>
      </c>
      <c r="J241" s="14">
        <f>F241-(G241+H241+I241)</f>
        <v/>
      </c>
      <c r="K241" s="14" t="n">
        <v>257.36</v>
      </c>
      <c r="L241" s="14" t="n">
        <v>257.36</v>
      </c>
      <c r="M241" s="14" t="n">
        <v>257.36</v>
      </c>
      <c r="N241" s="14" t="n">
        <v>257.36</v>
      </c>
      <c r="O241" s="14" t="n">
        <v>257.36</v>
      </c>
      <c r="P241" s="14" t="n">
        <v>257.36</v>
      </c>
      <c r="Q241" s="14" t="n">
        <v>257.36</v>
      </c>
      <c r="R241" s="14" t="n">
        <v>257.36</v>
      </c>
      <c r="S241" s="14" t="n">
        <v>257.36</v>
      </c>
      <c r="T241" s="14" t="n">
        <v>257.36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CANON-202605-006311</t>
        </is>
      </c>
      <c r="B242" s="15" t="inlineStr">
        <is>
          <t>2026-05-12</t>
        </is>
      </c>
      <c r="C242" s="15" t="inlineStr">
        <is>
          <t>Leopold Farkas</t>
        </is>
      </c>
      <c r="D242" s="15" t="inlineStr">
        <is>
          <t>NY</t>
        </is>
      </c>
      <c r="E242" s="16" t="n">
        <v>990000</v>
      </c>
      <c r="F242" s="16" t="n">
        <v>7061.31</v>
      </c>
      <c r="G242" s="16" t="n">
        <v>882.66</v>
      </c>
      <c r="H242" s="16" t="n">
        <v>882.66</v>
      </c>
      <c r="I242" s="16">
        <f>SUM(K242:T242)</f>
        <v/>
      </c>
      <c r="J242" s="16">
        <f>F242-(G242+H242+I242)</f>
        <v/>
      </c>
      <c r="K242" s="16" t="n">
        <v>529.6</v>
      </c>
      <c r="L242" s="16" t="n">
        <v>529.6</v>
      </c>
      <c r="M242" s="16" t="n">
        <v>529.6</v>
      </c>
      <c r="N242" s="16" t="n">
        <v>529.6</v>
      </c>
      <c r="O242" s="16" t="n">
        <v>529.6</v>
      </c>
      <c r="P242" s="16" t="n">
        <v>529.6</v>
      </c>
      <c r="Q242" s="16" t="n">
        <v>529.6</v>
      </c>
      <c r="R242" s="16" t="n">
        <v>529.6</v>
      </c>
      <c r="S242" s="16" t="n">
        <v>529.6</v>
      </c>
      <c r="T242" s="16" t="n">
        <v>529.6</v>
      </c>
      <c r="U242" s="16" t="n">
        <v>350</v>
      </c>
      <c r="V242" s="16" t="n">
        <v>0</v>
      </c>
      <c r="W242" s="16">
        <f>U242+V242</f>
        <v/>
      </c>
    </row>
    <row r="243">
      <c r="A243" s="3" t="inlineStr">
        <is>
          <t>CANON-202605-006312</t>
        </is>
      </c>
      <c r="B243" s="3" t="inlineStr">
        <is>
          <t>2026-05-11</t>
        </is>
      </c>
      <c r="C243" s="3" t="inlineStr">
        <is>
          <t>Ingrid Castellanos</t>
        </is>
      </c>
      <c r="D243" s="3" t="inlineStr">
        <is>
          <t>LA</t>
        </is>
      </c>
      <c r="E243" s="14" t="n">
        <v>330000</v>
      </c>
      <c r="F243" s="14" t="n">
        <v>4391.55</v>
      </c>
      <c r="G243" s="14" t="n">
        <v>548.9400000000001</v>
      </c>
      <c r="H243" s="14" t="n">
        <v>548.9400000000001</v>
      </c>
      <c r="I243" s="14">
        <f>SUM(K243:T243)</f>
        <v/>
      </c>
      <c r="J243" s="14">
        <f>F243-(G243+H243+I243)</f>
        <v/>
      </c>
      <c r="K243" s="14" t="n">
        <v>329.37</v>
      </c>
      <c r="L243" s="14" t="n">
        <v>329.37</v>
      </c>
      <c r="M243" s="14" t="n">
        <v>329.37</v>
      </c>
      <c r="N243" s="14" t="n">
        <v>329.37</v>
      </c>
      <c r="O243" s="14" t="n">
        <v>329.37</v>
      </c>
      <c r="P243" s="14" t="n">
        <v>329.37</v>
      </c>
      <c r="Q243" s="14" t="n">
        <v>329.37</v>
      </c>
      <c r="R243" s="14" t="n">
        <v>329.37</v>
      </c>
      <c r="S243" s="14" t="n">
        <v>329.37</v>
      </c>
      <c r="T243" s="14" t="n">
        <v>329.37</v>
      </c>
      <c r="U243" s="14" t="n">
        <v>350</v>
      </c>
      <c r="V243" s="14" t="n">
        <v>0</v>
      </c>
      <c r="W243" s="14">
        <f>U243+V243</f>
        <v/>
      </c>
    </row>
    <row r="244">
      <c r="A244" s="15" t="inlineStr">
        <is>
          <t>CANON-202605-006315</t>
        </is>
      </c>
      <c r="B244" s="15" t="inlineStr">
        <is>
          <t>2026-05-02</t>
        </is>
      </c>
      <c r="C244" s="15" t="inlineStr">
        <is>
          <t>Ottilie Farkas</t>
        </is>
      </c>
      <c r="D244" s="15" t="inlineStr">
        <is>
          <t>KY</t>
        </is>
      </c>
      <c r="E244" s="16" t="n">
        <v>845000</v>
      </c>
      <c r="F244" s="16" t="n">
        <v>10792.74</v>
      </c>
      <c r="G244" s="16" t="n">
        <v>1349.09</v>
      </c>
      <c r="H244" s="16" t="n">
        <v>1349.09</v>
      </c>
      <c r="I244" s="16">
        <f>SUM(K244:T244)</f>
        <v/>
      </c>
      <c r="J244" s="16">
        <f>F244-(G244+H244+I244)</f>
        <v/>
      </c>
      <c r="K244" s="16" t="n">
        <v>809.46</v>
      </c>
      <c r="L244" s="16" t="n">
        <v>809.46</v>
      </c>
      <c r="M244" s="16" t="n">
        <v>809.46</v>
      </c>
      <c r="N244" s="16" t="n">
        <v>809.46</v>
      </c>
      <c r="O244" s="16" t="n">
        <v>809.46</v>
      </c>
      <c r="P244" s="16" t="n">
        <v>809.46</v>
      </c>
      <c r="Q244" s="16" t="n">
        <v>809.46</v>
      </c>
      <c r="R244" s="16" t="n">
        <v>809.46</v>
      </c>
      <c r="S244" s="16" t="n">
        <v>809.46</v>
      </c>
      <c r="T244" s="16" t="n">
        <v>809.46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CANON-202605-006316</t>
        </is>
      </c>
      <c r="B245" s="3" t="inlineStr">
        <is>
          <t>2026-05-08</t>
        </is>
      </c>
      <c r="C245" s="3" t="inlineStr">
        <is>
          <t>Delphine Blackwood</t>
        </is>
      </c>
      <c r="D245" s="3" t="inlineStr">
        <is>
          <t>GA</t>
        </is>
      </c>
      <c r="E245" s="14" t="n">
        <v>435000</v>
      </c>
      <c r="F245" s="14" t="n">
        <v>3429.3</v>
      </c>
      <c r="G245" s="14" t="n">
        <v>428.66</v>
      </c>
      <c r="H245" s="14" t="n">
        <v>428.66</v>
      </c>
      <c r="I245" s="14">
        <f>SUM(K245:T245)</f>
        <v/>
      </c>
      <c r="J245" s="14">
        <f>F245-(G245+H245+I245)</f>
        <v/>
      </c>
      <c r="K245" s="14" t="n">
        <v>257.2</v>
      </c>
      <c r="L245" s="14" t="n">
        <v>257.2</v>
      </c>
      <c r="M245" s="14" t="n">
        <v>257.2</v>
      </c>
      <c r="N245" s="14" t="n">
        <v>257.2</v>
      </c>
      <c r="O245" s="14" t="n">
        <v>257.2</v>
      </c>
      <c r="P245" s="14" t="n">
        <v>257.2</v>
      </c>
      <c r="Q245" s="14" t="n">
        <v>257.2</v>
      </c>
      <c r="R245" s="14" t="n">
        <v>257.2</v>
      </c>
      <c r="S245" s="14" t="n">
        <v>257.2</v>
      </c>
      <c r="T245" s="14" t="n">
        <v>257.2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CANON-202605-006317</t>
        </is>
      </c>
      <c r="B246" s="15" t="inlineStr">
        <is>
          <t>2026-05-24</t>
        </is>
      </c>
      <c r="C246" s="15" t="inlineStr">
        <is>
          <t>Everett Larsson</t>
        </is>
      </c>
      <c r="D246" s="15" t="inlineStr">
        <is>
          <t>MI</t>
        </is>
      </c>
      <c r="E246" s="16" t="n">
        <v>1575000</v>
      </c>
      <c r="F246" s="16" t="n">
        <v>12171.61</v>
      </c>
      <c r="G246" s="16" t="n">
        <v>1521.45</v>
      </c>
      <c r="H246" s="16" t="n">
        <v>1521.45</v>
      </c>
      <c r="I246" s="16">
        <f>SUM(K246:T246)</f>
        <v/>
      </c>
      <c r="J246" s="16">
        <f>F246-(G246+H246+I246)</f>
        <v/>
      </c>
      <c r="K246" s="16" t="n">
        <v>912.87</v>
      </c>
      <c r="L246" s="16" t="n">
        <v>912.87</v>
      </c>
      <c r="M246" s="16" t="n">
        <v>912.87</v>
      </c>
      <c r="N246" s="16" t="n">
        <v>912.87</v>
      </c>
      <c r="O246" s="16" t="n">
        <v>912.87</v>
      </c>
      <c r="P246" s="16" t="n">
        <v>912.87</v>
      </c>
      <c r="Q246" s="16" t="n">
        <v>912.87</v>
      </c>
      <c r="R246" s="16" t="n">
        <v>912.87</v>
      </c>
      <c r="S246" s="16" t="n">
        <v>912.87</v>
      </c>
      <c r="T246" s="16" t="n">
        <v>912.87</v>
      </c>
      <c r="U246" s="16" t="n">
        <v>350</v>
      </c>
      <c r="V246" s="16" t="n">
        <v>250</v>
      </c>
      <c r="W246" s="16">
        <f>U246+V246</f>
        <v/>
      </c>
    </row>
    <row r="247">
      <c r="A247" s="3" t="inlineStr">
        <is>
          <t>CANON-202605-006318</t>
        </is>
      </c>
      <c r="B247" s="3" t="inlineStr">
        <is>
          <t>2026-05-06</t>
        </is>
      </c>
      <c r="C247" s="3" t="inlineStr">
        <is>
          <t>Ingrid Rourke</t>
        </is>
      </c>
      <c r="D247" s="3" t="inlineStr">
        <is>
          <t>IL</t>
        </is>
      </c>
      <c r="E247" s="14" t="n">
        <v>485000</v>
      </c>
      <c r="F247" s="14" t="n">
        <v>4642.79</v>
      </c>
      <c r="G247" s="14" t="n">
        <v>580.35</v>
      </c>
      <c r="H247" s="14" t="n">
        <v>580.35</v>
      </c>
      <c r="I247" s="14">
        <f>SUM(K247:T247)</f>
        <v/>
      </c>
      <c r="J247" s="14">
        <f>F247-(G247+H247+I247)</f>
        <v/>
      </c>
      <c r="K247" s="14" t="n">
        <v>348.21</v>
      </c>
      <c r="L247" s="14" t="n">
        <v>348.21</v>
      </c>
      <c r="M247" s="14" t="n">
        <v>348.21</v>
      </c>
      <c r="N247" s="14" t="n">
        <v>348.21</v>
      </c>
      <c r="O247" s="14" t="n">
        <v>348.21</v>
      </c>
      <c r="P247" s="14" t="n">
        <v>348.21</v>
      </c>
      <c r="Q247" s="14" t="n">
        <v>348.21</v>
      </c>
      <c r="R247" s="14" t="n">
        <v>348.21</v>
      </c>
      <c r="S247" s="14" t="n">
        <v>348.21</v>
      </c>
      <c r="T247" s="14" t="n">
        <v>348.21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CANON-202605-006319</t>
        </is>
      </c>
      <c r="B248" s="15" t="inlineStr">
        <is>
          <t>2026-05-17</t>
        </is>
      </c>
      <c r="C248" s="15" t="inlineStr">
        <is>
          <t>Noor Vandermeer</t>
        </is>
      </c>
      <c r="D248" s="15" t="inlineStr">
        <is>
          <t>CA</t>
        </is>
      </c>
      <c r="E248" s="16" t="n">
        <v>550000</v>
      </c>
      <c r="F248" s="16" t="n">
        <v>4681.9</v>
      </c>
      <c r="G248" s="16" t="n">
        <v>585.24</v>
      </c>
      <c r="H248" s="16" t="n">
        <v>585.24</v>
      </c>
      <c r="I248" s="16">
        <f>SUM(K248:T248)</f>
        <v/>
      </c>
      <c r="J248" s="16">
        <f>F248-(G248+H248+I248)</f>
        <v/>
      </c>
      <c r="K248" s="16" t="n">
        <v>351.14</v>
      </c>
      <c r="L248" s="16" t="n">
        <v>351.14</v>
      </c>
      <c r="M248" s="16" t="n">
        <v>351.14</v>
      </c>
      <c r="N248" s="16" t="n">
        <v>351.14</v>
      </c>
      <c r="O248" s="16" t="n">
        <v>351.14</v>
      </c>
      <c r="P248" s="16" t="n">
        <v>351.14</v>
      </c>
      <c r="Q248" s="16" t="n">
        <v>351.14</v>
      </c>
      <c r="R248" s="16" t="n">
        <v>351.14</v>
      </c>
      <c r="S248" s="16" t="n">
        <v>351.14</v>
      </c>
      <c r="T248" s="16" t="n">
        <v>351.14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CANON-202605-006320</t>
        </is>
      </c>
      <c r="B249" s="3" t="inlineStr">
        <is>
          <t>2026-05-14</t>
        </is>
      </c>
      <c r="C249" s="3" t="inlineStr">
        <is>
          <t>Mireille Blackwood</t>
        </is>
      </c>
      <c r="D249" s="3" t="inlineStr">
        <is>
          <t>ND</t>
        </is>
      </c>
      <c r="E249" s="14" t="n">
        <v>745000</v>
      </c>
      <c r="F249" s="14" t="n">
        <v>7243.14</v>
      </c>
      <c r="G249" s="14" t="n">
        <v>905.39</v>
      </c>
      <c r="H249" s="14" t="n">
        <v>905.39</v>
      </c>
      <c r="I249" s="14">
        <f>SUM(K249:T249)</f>
        <v/>
      </c>
      <c r="J249" s="14">
        <f>F249-(G249+H249+I249)</f>
        <v/>
      </c>
      <c r="K249" s="14" t="n">
        <v>543.24</v>
      </c>
      <c r="L249" s="14" t="n">
        <v>543.24</v>
      </c>
      <c r="M249" s="14" t="n">
        <v>543.24</v>
      </c>
      <c r="N249" s="14" t="n">
        <v>543.24</v>
      </c>
      <c r="O249" s="14" t="n">
        <v>543.24</v>
      </c>
      <c r="P249" s="14" t="n">
        <v>543.24</v>
      </c>
      <c r="Q249" s="14" t="n">
        <v>543.24</v>
      </c>
      <c r="R249" s="14" t="n">
        <v>543.24</v>
      </c>
      <c r="S249" s="14" t="n">
        <v>543.24</v>
      </c>
      <c r="T249" s="14" t="n">
        <v>543.24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CANON-202605-006322</t>
        </is>
      </c>
      <c r="B250" s="15" t="inlineStr">
        <is>
          <t>2026-05-21</t>
        </is>
      </c>
      <c r="C250" s="15" t="inlineStr">
        <is>
          <t>Thaddeus Vandermeer</t>
        </is>
      </c>
      <c r="D250" s="15" t="inlineStr">
        <is>
          <t>NV</t>
        </is>
      </c>
      <c r="E250" s="16" t="n">
        <v>450000</v>
      </c>
      <c r="F250" s="16" t="n">
        <v>8878.780000000001</v>
      </c>
      <c r="G250" s="16" t="n">
        <v>1109.85</v>
      </c>
      <c r="H250" s="16" t="n">
        <v>1109.85</v>
      </c>
      <c r="I250" s="16">
        <f>SUM(K250:T250)</f>
        <v/>
      </c>
      <c r="J250" s="16">
        <f>F250-(G250+H250+I250)</f>
        <v/>
      </c>
      <c r="K250" s="16" t="n">
        <v>665.91</v>
      </c>
      <c r="L250" s="16" t="n">
        <v>665.91</v>
      </c>
      <c r="M250" s="16" t="n">
        <v>665.91</v>
      </c>
      <c r="N250" s="16" t="n">
        <v>665.91</v>
      </c>
      <c r="O250" s="16" t="n">
        <v>665.91</v>
      </c>
      <c r="P250" s="16" t="n">
        <v>665.91</v>
      </c>
      <c r="Q250" s="16" t="n">
        <v>665.91</v>
      </c>
      <c r="R250" s="16" t="n">
        <v>665.91</v>
      </c>
      <c r="S250" s="16" t="n">
        <v>665.91</v>
      </c>
      <c r="T250" s="16" t="n">
        <v>665.91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CANON-202605-006323</t>
        </is>
      </c>
      <c r="B251" s="3" t="inlineStr">
        <is>
          <t>2026-05-17</t>
        </is>
      </c>
      <c r="C251" s="3" t="inlineStr">
        <is>
          <t>Sunniva Underwood</t>
        </is>
      </c>
      <c r="D251" s="3" t="inlineStr">
        <is>
          <t>MS</t>
        </is>
      </c>
      <c r="E251" s="14" t="n">
        <v>945000</v>
      </c>
      <c r="F251" s="14" t="n">
        <v>15666.04</v>
      </c>
      <c r="G251" s="14" t="n">
        <v>1958.26</v>
      </c>
      <c r="H251" s="14" t="n">
        <v>1958.26</v>
      </c>
      <c r="I251" s="14">
        <f>SUM(K251:T251)</f>
        <v/>
      </c>
      <c r="J251" s="14">
        <f>F251-(G251+H251+I251)</f>
        <v/>
      </c>
      <c r="K251" s="14" t="n">
        <v>1174.95</v>
      </c>
      <c r="L251" s="14" t="n">
        <v>1174.95</v>
      </c>
      <c r="M251" s="14" t="n">
        <v>1174.95</v>
      </c>
      <c r="N251" s="14" t="n">
        <v>1174.95</v>
      </c>
      <c r="O251" s="14" t="n">
        <v>1174.95</v>
      </c>
      <c r="P251" s="14" t="n">
        <v>1174.95</v>
      </c>
      <c r="Q251" s="14" t="n">
        <v>1174.95</v>
      </c>
      <c r="R251" s="14" t="n">
        <v>1174.95</v>
      </c>
      <c r="S251" s="14" t="n">
        <v>1174.95</v>
      </c>
      <c r="T251" s="14" t="n">
        <v>1174.95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CANON-202605-006325</t>
        </is>
      </c>
      <c r="B252" s="15" t="inlineStr">
        <is>
          <t>2026-05-03</t>
        </is>
      </c>
      <c r="C252" s="15" t="inlineStr">
        <is>
          <t>Priya Bellandi</t>
        </is>
      </c>
      <c r="D252" s="15" t="inlineStr">
        <is>
          <t>NY</t>
        </is>
      </c>
      <c r="E252" s="16" t="n">
        <v>355000</v>
      </c>
      <c r="F252" s="16" t="n">
        <v>4997.54</v>
      </c>
      <c r="G252" s="16" t="n">
        <v>624.6900000000001</v>
      </c>
      <c r="H252" s="16" t="n">
        <v>624.6900000000001</v>
      </c>
      <c r="I252" s="16">
        <f>SUM(K252:T252)</f>
        <v/>
      </c>
      <c r="J252" s="16">
        <f>F252-(G252+H252+I252)</f>
        <v/>
      </c>
      <c r="K252" s="16" t="n">
        <v>374.82</v>
      </c>
      <c r="L252" s="16" t="n">
        <v>374.82</v>
      </c>
      <c r="M252" s="16" t="n">
        <v>374.82</v>
      </c>
      <c r="N252" s="16" t="n">
        <v>374.82</v>
      </c>
      <c r="O252" s="16" t="n">
        <v>374.82</v>
      </c>
      <c r="P252" s="16" t="n">
        <v>374.82</v>
      </c>
      <c r="Q252" s="16" t="n">
        <v>374.82</v>
      </c>
      <c r="R252" s="16" t="n">
        <v>374.82</v>
      </c>
      <c r="S252" s="16" t="n">
        <v>374.82</v>
      </c>
      <c r="T252" s="16" t="n">
        <v>374.82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CANON-202605-006327</t>
        </is>
      </c>
      <c r="B253" s="3" t="inlineStr">
        <is>
          <t>2026-05-03</t>
        </is>
      </c>
      <c r="C253" s="3" t="inlineStr">
        <is>
          <t>Everett Blackwood</t>
        </is>
      </c>
      <c r="D253" s="3" t="inlineStr">
        <is>
          <t>AK</t>
        </is>
      </c>
      <c r="E253" s="14" t="n">
        <v>385000</v>
      </c>
      <c r="F253" s="14" t="n">
        <v>4827.07</v>
      </c>
      <c r="G253" s="14" t="n">
        <v>603.38</v>
      </c>
      <c r="H253" s="14" t="n">
        <v>603.38</v>
      </c>
      <c r="I253" s="14">
        <f>SUM(K253:T253)</f>
        <v/>
      </c>
      <c r="J253" s="14">
        <f>F253-(G253+H253+I253)</f>
        <v/>
      </c>
      <c r="K253" s="14" t="n">
        <v>362.03</v>
      </c>
      <c r="L253" s="14" t="n">
        <v>362.03</v>
      </c>
      <c r="M253" s="14" t="n">
        <v>362.03</v>
      </c>
      <c r="N253" s="14" t="n">
        <v>362.03</v>
      </c>
      <c r="O253" s="14" t="n">
        <v>362.03</v>
      </c>
      <c r="P253" s="14" t="n">
        <v>362.03</v>
      </c>
      <c r="Q253" s="14" t="n">
        <v>362.03</v>
      </c>
      <c r="R253" s="14" t="n">
        <v>362.03</v>
      </c>
      <c r="S253" s="14" t="n">
        <v>362.03</v>
      </c>
      <c r="T253" s="14" t="n">
        <v>362.03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CANON-202605-006329</t>
        </is>
      </c>
      <c r="B254" s="15" t="inlineStr">
        <is>
          <t>2026-05-06</t>
        </is>
      </c>
      <c r="C254" s="15" t="inlineStr">
        <is>
          <t>Mireille Chattopadhyay</t>
        </is>
      </c>
      <c r="D254" s="15" t="inlineStr">
        <is>
          <t>OR</t>
        </is>
      </c>
      <c r="E254" s="16" t="n">
        <v>1020000</v>
      </c>
      <c r="F254" s="16" t="n">
        <v>13521.52</v>
      </c>
      <c r="G254" s="16" t="n">
        <v>1690.19</v>
      </c>
      <c r="H254" s="16" t="n">
        <v>1690.19</v>
      </c>
      <c r="I254" s="16">
        <f>SUM(K254:T254)</f>
        <v/>
      </c>
      <c r="J254" s="16">
        <f>F254-(G254+H254+I254)</f>
        <v/>
      </c>
      <c r="K254" s="16" t="n">
        <v>1014.11</v>
      </c>
      <c r="L254" s="16" t="n">
        <v>1014.11</v>
      </c>
      <c r="M254" s="16" t="n">
        <v>1014.11</v>
      </c>
      <c r="N254" s="16" t="n">
        <v>1014.11</v>
      </c>
      <c r="O254" s="16" t="n">
        <v>1014.11</v>
      </c>
      <c r="P254" s="16" t="n">
        <v>1014.11</v>
      </c>
      <c r="Q254" s="16" t="n">
        <v>1014.11</v>
      </c>
      <c r="R254" s="16" t="n">
        <v>1014.11</v>
      </c>
      <c r="S254" s="16" t="n">
        <v>1014.11</v>
      </c>
      <c r="T254" s="16" t="n">
        <v>1014.11</v>
      </c>
      <c r="U254" s="16" t="n">
        <v>350</v>
      </c>
      <c r="V254" s="16" t="n">
        <v>250</v>
      </c>
      <c r="W254" s="16">
        <f>U254+V254</f>
        <v/>
      </c>
    </row>
    <row r="255">
      <c r="A255" s="3" t="inlineStr">
        <is>
          <t>CANON-202605-006331</t>
        </is>
      </c>
      <c r="B255" s="3" t="inlineStr">
        <is>
          <t>2026-05-09</t>
        </is>
      </c>
      <c r="C255" s="3" t="inlineStr">
        <is>
          <t>Priya Ashcombe</t>
        </is>
      </c>
      <c r="D255" s="3" t="inlineStr">
        <is>
          <t>CO</t>
        </is>
      </c>
      <c r="E255" s="14" t="n">
        <v>170000</v>
      </c>
      <c r="F255" s="14" t="n">
        <v>2522.82</v>
      </c>
      <c r="G255" s="14" t="n">
        <v>315.35</v>
      </c>
      <c r="H255" s="14" t="n">
        <v>315.35</v>
      </c>
      <c r="I255" s="14">
        <f>SUM(K255:T255)</f>
        <v/>
      </c>
      <c r="J255" s="14">
        <f>F255-(G255+H255+I255)</f>
        <v/>
      </c>
      <c r="K255" s="14" t="n">
        <v>189.21</v>
      </c>
      <c r="L255" s="14" t="n">
        <v>189.21</v>
      </c>
      <c r="M255" s="14" t="n">
        <v>189.21</v>
      </c>
      <c r="N255" s="14" t="n">
        <v>189.21</v>
      </c>
      <c r="O255" s="14" t="n">
        <v>189.21</v>
      </c>
      <c r="P255" s="14" t="n">
        <v>189.21</v>
      </c>
      <c r="Q255" s="14" t="n">
        <v>189.21</v>
      </c>
      <c r="R255" s="14" t="n">
        <v>189.21</v>
      </c>
      <c r="S255" s="14" t="n">
        <v>189.21</v>
      </c>
      <c r="T255" s="14" t="n">
        <v>189.21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CANON-202605-006332</t>
        </is>
      </c>
      <c r="B256" s="15" t="inlineStr">
        <is>
          <t>2026-05-16</t>
        </is>
      </c>
      <c r="C256" s="15" t="inlineStr">
        <is>
          <t>Mireille Okonkwo</t>
        </is>
      </c>
      <c r="D256" s="15" t="inlineStr">
        <is>
          <t>HI</t>
        </is>
      </c>
      <c r="E256" s="16" t="n">
        <v>1950000</v>
      </c>
      <c r="F256" s="16" t="n">
        <v>12639.03</v>
      </c>
      <c r="G256" s="16" t="n">
        <v>1579.88</v>
      </c>
      <c r="H256" s="16" t="n">
        <v>1579.88</v>
      </c>
      <c r="I256" s="16">
        <f>SUM(K256:T256)</f>
        <v/>
      </c>
      <c r="J256" s="16">
        <f>F256-(G256+H256+I256)</f>
        <v/>
      </c>
      <c r="K256" s="16" t="n">
        <v>947.9299999999999</v>
      </c>
      <c r="L256" s="16" t="n">
        <v>947.9299999999999</v>
      </c>
      <c r="M256" s="16" t="n">
        <v>947.9299999999999</v>
      </c>
      <c r="N256" s="16" t="n">
        <v>947.9299999999999</v>
      </c>
      <c r="O256" s="16" t="n">
        <v>947.9299999999999</v>
      </c>
      <c r="P256" s="16" t="n">
        <v>947.9299999999999</v>
      </c>
      <c r="Q256" s="16" t="n">
        <v>947.9299999999999</v>
      </c>
      <c r="R256" s="16" t="n">
        <v>947.9299999999999</v>
      </c>
      <c r="S256" s="16" t="n">
        <v>947.9299999999999</v>
      </c>
      <c r="T256" s="16" t="n">
        <v>947.9299999999999</v>
      </c>
      <c r="U256" s="16" t="n">
        <v>350</v>
      </c>
      <c r="V256" s="16" t="n">
        <v>250</v>
      </c>
      <c r="W256" s="16">
        <f>U256+V256</f>
        <v/>
      </c>
    </row>
    <row r="257">
      <c r="A257" s="3" t="inlineStr">
        <is>
          <t>CANON-202605-006333</t>
        </is>
      </c>
      <c r="B257" s="3" t="inlineStr">
        <is>
          <t>2026-05-05</t>
        </is>
      </c>
      <c r="C257" s="3" t="inlineStr">
        <is>
          <t>Everett Kingsford</t>
        </is>
      </c>
      <c r="D257" s="3" t="inlineStr">
        <is>
          <t>UT</t>
        </is>
      </c>
      <c r="E257" s="14" t="n">
        <v>310000</v>
      </c>
      <c r="F257" s="14" t="n">
        <v>4602.71</v>
      </c>
      <c r="G257" s="14" t="n">
        <v>575.34</v>
      </c>
      <c r="H257" s="14" t="n">
        <v>575.34</v>
      </c>
      <c r="I257" s="14">
        <f>SUM(K257:T257)</f>
        <v/>
      </c>
      <c r="J257" s="14">
        <f>F257-(G257+H257+I257)</f>
        <v/>
      </c>
      <c r="K257" s="14" t="n">
        <v>345.2</v>
      </c>
      <c r="L257" s="14" t="n">
        <v>345.2</v>
      </c>
      <c r="M257" s="14" t="n">
        <v>345.2</v>
      </c>
      <c r="N257" s="14" t="n">
        <v>345.2</v>
      </c>
      <c r="O257" s="14" t="n">
        <v>345.2</v>
      </c>
      <c r="P257" s="14" t="n">
        <v>345.2</v>
      </c>
      <c r="Q257" s="14" t="n">
        <v>345.2</v>
      </c>
      <c r="R257" s="14" t="n">
        <v>345.2</v>
      </c>
      <c r="S257" s="14" t="n">
        <v>345.2</v>
      </c>
      <c r="T257" s="14" t="n">
        <v>345.2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CANON-202605-006334</t>
        </is>
      </c>
      <c r="B258" s="15" t="inlineStr">
        <is>
          <t>2026-05-11</t>
        </is>
      </c>
      <c r="C258" s="15" t="inlineStr">
        <is>
          <t>Ottilie Merriweather</t>
        </is>
      </c>
      <c r="D258" s="15" t="inlineStr">
        <is>
          <t>MI</t>
        </is>
      </c>
      <c r="E258" s="16" t="n">
        <v>375000</v>
      </c>
      <c r="F258" s="16" t="n">
        <v>6392.66</v>
      </c>
      <c r="G258" s="16" t="n">
        <v>799.08</v>
      </c>
      <c r="H258" s="16" t="n">
        <v>799.08</v>
      </c>
      <c r="I258" s="16">
        <f>SUM(K258:T258)</f>
        <v/>
      </c>
      <c r="J258" s="16">
        <f>F258-(G258+H258+I258)</f>
        <v/>
      </c>
      <c r="K258" s="16" t="n">
        <v>479.45</v>
      </c>
      <c r="L258" s="16" t="n">
        <v>479.45</v>
      </c>
      <c r="M258" s="16" t="n">
        <v>479.45</v>
      </c>
      <c r="N258" s="16" t="n">
        <v>479.45</v>
      </c>
      <c r="O258" s="16" t="n">
        <v>479.45</v>
      </c>
      <c r="P258" s="16" t="n">
        <v>479.45</v>
      </c>
      <c r="Q258" s="16" t="n">
        <v>479.45</v>
      </c>
      <c r="R258" s="16" t="n">
        <v>479.45</v>
      </c>
      <c r="S258" s="16" t="n">
        <v>479.45</v>
      </c>
      <c r="T258" s="16" t="n">
        <v>479.45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CANON-202605-006335</t>
        </is>
      </c>
      <c r="B259" s="3" t="inlineStr">
        <is>
          <t>2026-05-13</t>
        </is>
      </c>
      <c r="C259" s="3" t="inlineStr">
        <is>
          <t>Emiliano Farkas</t>
        </is>
      </c>
      <c r="D259" s="3" t="inlineStr">
        <is>
          <t>MS</t>
        </is>
      </c>
      <c r="E259" s="14" t="n">
        <v>695000</v>
      </c>
      <c r="F259" s="14" t="n">
        <v>7883.19</v>
      </c>
      <c r="G259" s="14" t="n">
        <v>985.4</v>
      </c>
      <c r="H259" s="14" t="n">
        <v>985.4</v>
      </c>
      <c r="I259" s="14">
        <f>SUM(K259:T259)</f>
        <v/>
      </c>
      <c r="J259" s="14">
        <f>F259-(G259+H259+I259)</f>
        <v/>
      </c>
      <c r="K259" s="14" t="n">
        <v>591.24</v>
      </c>
      <c r="L259" s="14" t="n">
        <v>591.24</v>
      </c>
      <c r="M259" s="14" t="n">
        <v>591.24</v>
      </c>
      <c r="N259" s="14" t="n">
        <v>591.24</v>
      </c>
      <c r="O259" s="14" t="n">
        <v>591.24</v>
      </c>
      <c r="P259" s="14" t="n">
        <v>591.24</v>
      </c>
      <c r="Q259" s="14" t="n">
        <v>591.24</v>
      </c>
      <c r="R259" s="14" t="n">
        <v>591.24</v>
      </c>
      <c r="S259" s="14" t="n">
        <v>591.24</v>
      </c>
      <c r="T259" s="14" t="n">
        <v>591.24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CANON-202605-006336</t>
        </is>
      </c>
      <c r="B260" s="15" t="inlineStr">
        <is>
          <t>2026-05-07</t>
        </is>
      </c>
      <c r="C260" s="15" t="inlineStr">
        <is>
          <t>Wilhelmina Fairweather</t>
        </is>
      </c>
      <c r="D260" s="15" t="inlineStr">
        <is>
          <t>TX</t>
        </is>
      </c>
      <c r="E260" s="16" t="n">
        <v>1055000</v>
      </c>
      <c r="F260" s="16" t="n">
        <v>14233.03</v>
      </c>
      <c r="G260" s="16" t="n">
        <v>1779.13</v>
      </c>
      <c r="H260" s="16" t="n">
        <v>1779.13</v>
      </c>
      <c r="I260" s="16">
        <f>SUM(K260:T260)</f>
        <v/>
      </c>
      <c r="J260" s="16">
        <f>F260-(G260+H260+I260)</f>
        <v/>
      </c>
      <c r="K260" s="16" t="n">
        <v>1067.48</v>
      </c>
      <c r="L260" s="16" t="n">
        <v>1067.48</v>
      </c>
      <c r="M260" s="16" t="n">
        <v>1067.48</v>
      </c>
      <c r="N260" s="16" t="n">
        <v>1067.48</v>
      </c>
      <c r="O260" s="16" t="n">
        <v>1067.48</v>
      </c>
      <c r="P260" s="16" t="n">
        <v>1067.48</v>
      </c>
      <c r="Q260" s="16" t="n">
        <v>1067.48</v>
      </c>
      <c r="R260" s="16" t="n">
        <v>1067.48</v>
      </c>
      <c r="S260" s="16" t="n">
        <v>1067.48</v>
      </c>
      <c r="T260" s="16" t="n">
        <v>1067.48</v>
      </c>
      <c r="U260" s="16" t="n">
        <v>350</v>
      </c>
      <c r="V260" s="16" t="n">
        <v>250</v>
      </c>
      <c r="W260" s="16">
        <f>U260+V260</f>
        <v/>
      </c>
    </row>
    <row r="261">
      <c r="A261" s="3" t="inlineStr">
        <is>
          <t>CANON-202605-006337</t>
        </is>
      </c>
      <c r="B261" s="3" t="inlineStr">
        <is>
          <t>2026-05-12</t>
        </is>
      </c>
      <c r="C261" s="3" t="inlineStr">
        <is>
          <t>Sunniva Delacroix</t>
        </is>
      </c>
      <c r="D261" s="3" t="inlineStr">
        <is>
          <t>CA</t>
        </is>
      </c>
      <c r="E261" s="14" t="n">
        <v>560000</v>
      </c>
      <c r="F261" s="14" t="n">
        <v>7205.97</v>
      </c>
      <c r="G261" s="14" t="n">
        <v>900.75</v>
      </c>
      <c r="H261" s="14" t="n">
        <v>900.75</v>
      </c>
      <c r="I261" s="14">
        <f>SUM(K261:T261)</f>
        <v/>
      </c>
      <c r="J261" s="14">
        <f>F261-(G261+H261+I261)</f>
        <v/>
      </c>
      <c r="K261" s="14" t="n">
        <v>540.45</v>
      </c>
      <c r="L261" s="14" t="n">
        <v>540.45</v>
      </c>
      <c r="M261" s="14" t="n">
        <v>540.45</v>
      </c>
      <c r="N261" s="14" t="n">
        <v>540.45</v>
      </c>
      <c r="O261" s="14" t="n">
        <v>540.45</v>
      </c>
      <c r="P261" s="14" t="n">
        <v>540.45</v>
      </c>
      <c r="Q261" s="14" t="n">
        <v>540.45</v>
      </c>
      <c r="R261" s="14" t="n">
        <v>540.45</v>
      </c>
      <c r="S261" s="14" t="n">
        <v>540.45</v>
      </c>
      <c r="T261" s="14" t="n">
        <v>540.45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CANON-202605-006339</t>
        </is>
      </c>
      <c r="B262" s="15" t="inlineStr">
        <is>
          <t>2026-05-31</t>
        </is>
      </c>
      <c r="C262" s="15" t="inlineStr">
        <is>
          <t>Cassius Thistlewood</t>
        </is>
      </c>
      <c r="D262" s="15" t="inlineStr">
        <is>
          <t>NJ</t>
        </is>
      </c>
      <c r="E262" s="16" t="n">
        <v>750000</v>
      </c>
      <c r="F262" s="16" t="n">
        <v>6505.38</v>
      </c>
      <c r="G262" s="16" t="n">
        <v>813.17</v>
      </c>
      <c r="H262" s="16" t="n">
        <v>813.17</v>
      </c>
      <c r="I262" s="16">
        <f>SUM(K262:T262)</f>
        <v/>
      </c>
      <c r="J262" s="16">
        <f>F262-(G262+H262+I262)</f>
        <v/>
      </c>
      <c r="K262" s="16" t="n">
        <v>487.9</v>
      </c>
      <c r="L262" s="16" t="n">
        <v>487.9</v>
      </c>
      <c r="M262" s="16" t="n">
        <v>487.9</v>
      </c>
      <c r="N262" s="16" t="n">
        <v>487.9</v>
      </c>
      <c r="O262" s="16" t="n">
        <v>487.9</v>
      </c>
      <c r="P262" s="16" t="n">
        <v>487.9</v>
      </c>
      <c r="Q262" s="16" t="n">
        <v>487.9</v>
      </c>
      <c r="R262" s="16" t="n">
        <v>487.9</v>
      </c>
      <c r="S262" s="16" t="n">
        <v>487.9</v>
      </c>
      <c r="T262" s="16" t="n">
        <v>487.9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CANON-202605-006340</t>
        </is>
      </c>
      <c r="B263" s="3" t="inlineStr">
        <is>
          <t>2026-05-07</t>
        </is>
      </c>
      <c r="C263" s="3" t="inlineStr">
        <is>
          <t>Sunniva Castellanos</t>
        </is>
      </c>
      <c r="D263" s="3" t="inlineStr">
        <is>
          <t>MO</t>
        </is>
      </c>
      <c r="E263" s="14" t="n">
        <v>670000</v>
      </c>
      <c r="F263" s="14" t="n">
        <v>6769.41</v>
      </c>
      <c r="G263" s="14" t="n">
        <v>846.1799999999999</v>
      </c>
      <c r="H263" s="14" t="n">
        <v>846.1799999999999</v>
      </c>
      <c r="I263" s="14">
        <f>SUM(K263:T263)</f>
        <v/>
      </c>
      <c r="J263" s="14">
        <f>F263-(G263+H263+I263)</f>
        <v/>
      </c>
      <c r="K263" s="14" t="n">
        <v>507.71</v>
      </c>
      <c r="L263" s="14" t="n">
        <v>507.71</v>
      </c>
      <c r="M263" s="14" t="n">
        <v>507.71</v>
      </c>
      <c r="N263" s="14" t="n">
        <v>507.71</v>
      </c>
      <c r="O263" s="14" t="n">
        <v>507.71</v>
      </c>
      <c r="P263" s="14" t="n">
        <v>507.71</v>
      </c>
      <c r="Q263" s="14" t="n">
        <v>507.71</v>
      </c>
      <c r="R263" s="14" t="n">
        <v>507.71</v>
      </c>
      <c r="S263" s="14" t="n">
        <v>507.71</v>
      </c>
      <c r="T263" s="14" t="n">
        <v>507.71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CANON-202605-006341</t>
        </is>
      </c>
      <c r="B264" s="15" t="inlineStr">
        <is>
          <t>2026-05-29</t>
        </is>
      </c>
      <c r="C264" s="15" t="inlineStr">
        <is>
          <t>Marisol Bellandi</t>
        </is>
      </c>
      <c r="D264" s="15" t="inlineStr">
        <is>
          <t>WA</t>
        </is>
      </c>
      <c r="E264" s="16" t="n">
        <v>685000</v>
      </c>
      <c r="F264" s="16" t="n">
        <v>6268.05</v>
      </c>
      <c r="G264" s="16" t="n">
        <v>783.51</v>
      </c>
      <c r="H264" s="16" t="n">
        <v>783.51</v>
      </c>
      <c r="I264" s="16">
        <f>SUM(K264:T264)</f>
        <v/>
      </c>
      <c r="J264" s="16">
        <f>F264-(G264+H264+I264)</f>
        <v/>
      </c>
      <c r="K264" s="16" t="n">
        <v>470.1</v>
      </c>
      <c r="L264" s="16" t="n">
        <v>470.1</v>
      </c>
      <c r="M264" s="16" t="n">
        <v>470.1</v>
      </c>
      <c r="N264" s="16" t="n">
        <v>470.1</v>
      </c>
      <c r="O264" s="16" t="n">
        <v>470.1</v>
      </c>
      <c r="P264" s="16" t="n">
        <v>470.1</v>
      </c>
      <c r="Q264" s="16" t="n">
        <v>470.1</v>
      </c>
      <c r="R264" s="16" t="n">
        <v>470.1</v>
      </c>
      <c r="S264" s="16" t="n">
        <v>470.1</v>
      </c>
      <c r="T264" s="16" t="n">
        <v>470.1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CANON-202605-006342</t>
        </is>
      </c>
      <c r="B265" s="3" t="inlineStr">
        <is>
          <t>2026-05-28</t>
        </is>
      </c>
      <c r="C265" s="3" t="inlineStr">
        <is>
          <t>Priya Farkas</t>
        </is>
      </c>
      <c r="D265" s="3" t="inlineStr">
        <is>
          <t>IL</t>
        </is>
      </c>
      <c r="E265" s="14" t="n">
        <v>405000</v>
      </c>
      <c r="F265" s="14" t="n">
        <v>6057.76</v>
      </c>
      <c r="G265" s="14" t="n">
        <v>757.22</v>
      </c>
      <c r="H265" s="14" t="n">
        <v>757.22</v>
      </c>
      <c r="I265" s="14">
        <f>SUM(K265:T265)</f>
        <v/>
      </c>
      <c r="J265" s="14">
        <f>F265-(G265+H265+I265)</f>
        <v/>
      </c>
      <c r="K265" s="14" t="n">
        <v>454.33</v>
      </c>
      <c r="L265" s="14" t="n">
        <v>454.33</v>
      </c>
      <c r="M265" s="14" t="n">
        <v>454.33</v>
      </c>
      <c r="N265" s="14" t="n">
        <v>454.33</v>
      </c>
      <c r="O265" s="14" t="n">
        <v>454.33</v>
      </c>
      <c r="P265" s="14" t="n">
        <v>454.33</v>
      </c>
      <c r="Q265" s="14" t="n">
        <v>454.33</v>
      </c>
      <c r="R265" s="14" t="n">
        <v>454.33</v>
      </c>
      <c r="S265" s="14" t="n">
        <v>454.33</v>
      </c>
      <c r="T265" s="14" t="n">
        <v>454.33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CANON-202605-006343</t>
        </is>
      </c>
      <c r="B266" s="15" t="inlineStr">
        <is>
          <t>2026-05-01</t>
        </is>
      </c>
      <c r="C266" s="15" t="inlineStr">
        <is>
          <t>Ramona Underwood</t>
        </is>
      </c>
      <c r="D266" s="15" t="inlineStr">
        <is>
          <t>FL</t>
        </is>
      </c>
      <c r="E266" s="16" t="n">
        <v>1850000</v>
      </c>
      <c r="F266" s="16" t="n">
        <v>13097.72</v>
      </c>
      <c r="G266" s="16" t="n">
        <v>1637.21</v>
      </c>
      <c r="H266" s="16" t="n">
        <v>1637.21</v>
      </c>
      <c r="I266" s="16">
        <f>SUM(K266:T266)</f>
        <v/>
      </c>
      <c r="J266" s="16">
        <f>F266-(G266+H266+I266)</f>
        <v/>
      </c>
      <c r="K266" s="16" t="n">
        <v>982.33</v>
      </c>
      <c r="L266" s="16" t="n">
        <v>982.33</v>
      </c>
      <c r="M266" s="16" t="n">
        <v>982.33</v>
      </c>
      <c r="N266" s="16" t="n">
        <v>982.33</v>
      </c>
      <c r="O266" s="16" t="n">
        <v>982.33</v>
      </c>
      <c r="P266" s="16" t="n">
        <v>982.33</v>
      </c>
      <c r="Q266" s="16" t="n">
        <v>982.33</v>
      </c>
      <c r="R266" s="16" t="n">
        <v>982.33</v>
      </c>
      <c r="S266" s="16" t="n">
        <v>982.33</v>
      </c>
      <c r="T266" s="16" t="n">
        <v>982.33</v>
      </c>
      <c r="U266" s="16" t="n">
        <v>350</v>
      </c>
      <c r="V266" s="16" t="n">
        <v>250</v>
      </c>
      <c r="W266" s="16">
        <f>U266+V266</f>
        <v/>
      </c>
    </row>
    <row r="267">
      <c r="A267" s="3" t="inlineStr">
        <is>
          <t>CANON-202605-006344</t>
        </is>
      </c>
      <c r="B267" s="3" t="inlineStr">
        <is>
          <t>2026-05-23</t>
        </is>
      </c>
      <c r="C267" s="3" t="inlineStr">
        <is>
          <t>Horace Okonkwo</t>
        </is>
      </c>
      <c r="D267" s="3" t="inlineStr">
        <is>
          <t>AL</t>
        </is>
      </c>
      <c r="E267" s="14" t="n">
        <v>370000</v>
      </c>
      <c r="F267" s="14" t="n">
        <v>5168.01</v>
      </c>
      <c r="G267" s="14" t="n">
        <v>646</v>
      </c>
      <c r="H267" s="14" t="n">
        <v>646</v>
      </c>
      <c r="I267" s="14">
        <f>SUM(K267:T267)</f>
        <v/>
      </c>
      <c r="J267" s="14">
        <f>F267-(G267+H267+I267)</f>
        <v/>
      </c>
      <c r="K267" s="14" t="n">
        <v>387.6</v>
      </c>
      <c r="L267" s="14" t="n">
        <v>387.6</v>
      </c>
      <c r="M267" s="14" t="n">
        <v>387.6</v>
      </c>
      <c r="N267" s="14" t="n">
        <v>387.6</v>
      </c>
      <c r="O267" s="14" t="n">
        <v>387.6</v>
      </c>
      <c r="P267" s="14" t="n">
        <v>387.6</v>
      </c>
      <c r="Q267" s="14" t="n">
        <v>387.6</v>
      </c>
      <c r="R267" s="14" t="n">
        <v>387.6</v>
      </c>
      <c r="S267" s="14" t="n">
        <v>387.6</v>
      </c>
      <c r="T267" s="14" t="n">
        <v>387.6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CANON-202605-006346</t>
        </is>
      </c>
      <c r="B268" s="15" t="inlineStr">
        <is>
          <t>2026-05-29</t>
        </is>
      </c>
      <c r="C268" s="15" t="inlineStr">
        <is>
          <t>Wilhelmina Farkas</t>
        </is>
      </c>
      <c r="D268" s="15" t="inlineStr">
        <is>
          <t>OH</t>
        </is>
      </c>
      <c r="E268" s="16" t="n">
        <v>460000</v>
      </c>
      <c r="F268" s="16" t="n">
        <v>7032.19</v>
      </c>
      <c r="G268" s="16" t="n">
        <v>879.02</v>
      </c>
      <c r="H268" s="16" t="n">
        <v>879.02</v>
      </c>
      <c r="I268" s="16">
        <f>SUM(K268:T268)</f>
        <v/>
      </c>
      <c r="J268" s="16">
        <f>F268-(G268+H268+I268)</f>
        <v/>
      </c>
      <c r="K268" s="16" t="n">
        <v>527.41</v>
      </c>
      <c r="L268" s="16" t="n">
        <v>527.41</v>
      </c>
      <c r="M268" s="16" t="n">
        <v>527.41</v>
      </c>
      <c r="N268" s="16" t="n">
        <v>527.41</v>
      </c>
      <c r="O268" s="16" t="n">
        <v>527.41</v>
      </c>
      <c r="P268" s="16" t="n">
        <v>527.41</v>
      </c>
      <c r="Q268" s="16" t="n">
        <v>527.41</v>
      </c>
      <c r="R268" s="16" t="n">
        <v>527.41</v>
      </c>
      <c r="S268" s="16" t="n">
        <v>527.41</v>
      </c>
      <c r="T268" s="16" t="n">
        <v>527.41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CANON-202605-006347</t>
        </is>
      </c>
      <c r="B269" s="3" t="inlineStr">
        <is>
          <t>2026-05-29</t>
        </is>
      </c>
      <c r="C269" s="3" t="inlineStr">
        <is>
          <t>Delphine Delacroix</t>
        </is>
      </c>
      <c r="D269" s="3" t="inlineStr">
        <is>
          <t>KY</t>
        </is>
      </c>
      <c r="E269" s="14" t="n">
        <v>1095000</v>
      </c>
      <c r="F269" s="14" t="n">
        <v>11834.19</v>
      </c>
      <c r="G269" s="14" t="n">
        <v>1479.27</v>
      </c>
      <c r="H269" s="14" t="n">
        <v>1479.27</v>
      </c>
      <c r="I269" s="14">
        <f>SUM(K269:T269)</f>
        <v/>
      </c>
      <c r="J269" s="14">
        <f>F269-(G269+H269+I269)</f>
        <v/>
      </c>
      <c r="K269" s="14" t="n">
        <v>887.5599999999999</v>
      </c>
      <c r="L269" s="14" t="n">
        <v>887.5599999999999</v>
      </c>
      <c r="M269" s="14" t="n">
        <v>887.5599999999999</v>
      </c>
      <c r="N269" s="14" t="n">
        <v>887.5599999999999</v>
      </c>
      <c r="O269" s="14" t="n">
        <v>887.5599999999999</v>
      </c>
      <c r="P269" s="14" t="n">
        <v>887.5599999999999</v>
      </c>
      <c r="Q269" s="14" t="n">
        <v>887.5599999999999</v>
      </c>
      <c r="R269" s="14" t="n">
        <v>887.5599999999999</v>
      </c>
      <c r="S269" s="14" t="n">
        <v>887.5599999999999</v>
      </c>
      <c r="T269" s="14" t="n">
        <v>887.5599999999999</v>
      </c>
      <c r="U269" s="14" t="n">
        <v>350</v>
      </c>
      <c r="V269" s="14" t="n">
        <v>250</v>
      </c>
      <c r="W269" s="14">
        <f>U269+V269</f>
        <v/>
      </c>
    </row>
    <row r="270">
      <c r="A270" s="15" t="inlineStr">
        <is>
          <t>CANON-202605-006349</t>
        </is>
      </c>
      <c r="B270" s="15" t="inlineStr">
        <is>
          <t>2026-05-03</t>
        </is>
      </c>
      <c r="C270" s="15" t="inlineStr">
        <is>
          <t>Ingrid Chattopadhyay</t>
        </is>
      </c>
      <c r="D270" s="15" t="inlineStr">
        <is>
          <t>CA</t>
        </is>
      </c>
      <c r="E270" s="16" t="n">
        <v>580000</v>
      </c>
      <c r="F270" s="16" t="n">
        <v>8955.99</v>
      </c>
      <c r="G270" s="16" t="n">
        <v>1119.5</v>
      </c>
      <c r="H270" s="16" t="n">
        <v>1119.5</v>
      </c>
      <c r="I270" s="16">
        <f>SUM(K270:T270)</f>
        <v/>
      </c>
      <c r="J270" s="16">
        <f>F270-(G270+H270+I270)</f>
        <v/>
      </c>
      <c r="K270" s="16" t="n">
        <v>671.7</v>
      </c>
      <c r="L270" s="16" t="n">
        <v>671.7</v>
      </c>
      <c r="M270" s="16" t="n">
        <v>671.7</v>
      </c>
      <c r="N270" s="16" t="n">
        <v>671.7</v>
      </c>
      <c r="O270" s="16" t="n">
        <v>671.7</v>
      </c>
      <c r="P270" s="16" t="n">
        <v>671.7</v>
      </c>
      <c r="Q270" s="16" t="n">
        <v>671.7</v>
      </c>
      <c r="R270" s="16" t="n">
        <v>671.7</v>
      </c>
      <c r="S270" s="16" t="n">
        <v>671.7</v>
      </c>
      <c r="T270" s="16" t="n">
        <v>671.7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CANON-202605-006350</t>
        </is>
      </c>
      <c r="B271" s="3" t="inlineStr">
        <is>
          <t>2026-05-20</t>
        </is>
      </c>
      <c r="C271" s="3" t="inlineStr">
        <is>
          <t>Marisol Vasquez</t>
        </is>
      </c>
      <c r="D271" s="3" t="inlineStr">
        <is>
          <t>DE</t>
        </is>
      </c>
      <c r="E271" s="14" t="n">
        <v>1370000</v>
      </c>
      <c r="F271" s="14" t="n">
        <v>20089.89</v>
      </c>
      <c r="G271" s="14" t="n">
        <v>2511.24</v>
      </c>
      <c r="H271" s="14" t="n">
        <v>2511.24</v>
      </c>
      <c r="I271" s="14">
        <f>SUM(K271:T271)</f>
        <v/>
      </c>
      <c r="J271" s="14">
        <f>F271-(G271+H271+I271)</f>
        <v/>
      </c>
      <c r="K271" s="14" t="n">
        <v>1506.74</v>
      </c>
      <c r="L271" s="14" t="n">
        <v>1506.74</v>
      </c>
      <c r="M271" s="14" t="n">
        <v>1506.74</v>
      </c>
      <c r="N271" s="14" t="n">
        <v>1506.74</v>
      </c>
      <c r="O271" s="14" t="n">
        <v>1506.74</v>
      </c>
      <c r="P271" s="14" t="n">
        <v>1506.74</v>
      </c>
      <c r="Q271" s="14" t="n">
        <v>1506.74</v>
      </c>
      <c r="R271" s="14" t="n">
        <v>1506.74</v>
      </c>
      <c r="S271" s="14" t="n">
        <v>1506.74</v>
      </c>
      <c r="T271" s="14" t="n">
        <v>1506.74</v>
      </c>
      <c r="U271" s="14" t="n">
        <v>350</v>
      </c>
      <c r="V271" s="14" t="n">
        <v>250</v>
      </c>
      <c r="W271" s="14">
        <f>U271+V271</f>
        <v/>
      </c>
    </row>
    <row r="272">
      <c r="A272" s="15" t="inlineStr">
        <is>
          <t>CANON-202605-006355</t>
        </is>
      </c>
      <c r="B272" s="15" t="inlineStr">
        <is>
          <t>2026-05-20</t>
        </is>
      </c>
      <c r="C272" s="15" t="inlineStr">
        <is>
          <t>Delphine Vandermeer</t>
        </is>
      </c>
      <c r="D272" s="15" t="inlineStr">
        <is>
          <t>MI</t>
        </is>
      </c>
      <c r="E272" s="16" t="n">
        <v>1635000</v>
      </c>
      <c r="F272" s="16" t="n">
        <v>29730.1</v>
      </c>
      <c r="G272" s="16" t="n">
        <v>3716.26</v>
      </c>
      <c r="H272" s="16" t="n">
        <v>3716.26</v>
      </c>
      <c r="I272" s="16">
        <f>SUM(K272:T272)</f>
        <v/>
      </c>
      <c r="J272" s="16">
        <f>F272-(G272+H272+I272)</f>
        <v/>
      </c>
      <c r="K272" s="16" t="n">
        <v>2229.76</v>
      </c>
      <c r="L272" s="16" t="n">
        <v>2229.76</v>
      </c>
      <c r="M272" s="16" t="n">
        <v>2229.76</v>
      </c>
      <c r="N272" s="16" t="n">
        <v>2229.76</v>
      </c>
      <c r="O272" s="16" t="n">
        <v>2229.76</v>
      </c>
      <c r="P272" s="16" t="n">
        <v>2229.76</v>
      </c>
      <c r="Q272" s="16" t="n">
        <v>2229.76</v>
      </c>
      <c r="R272" s="16" t="n">
        <v>2229.76</v>
      </c>
      <c r="S272" s="16" t="n">
        <v>2229.76</v>
      </c>
      <c r="T272" s="16" t="n">
        <v>2229.76</v>
      </c>
      <c r="U272" s="16" t="n">
        <v>350</v>
      </c>
      <c r="V272" s="16" t="n">
        <v>250</v>
      </c>
      <c r="W272" s="16">
        <f>U272+V272</f>
        <v/>
      </c>
    </row>
    <row r="273">
      <c r="A273" s="3" t="inlineStr">
        <is>
          <t>CANON-202605-006356</t>
        </is>
      </c>
      <c r="B273" s="3" t="inlineStr">
        <is>
          <t>2026-05-19</t>
        </is>
      </c>
      <c r="C273" s="3" t="inlineStr">
        <is>
          <t>Thaddeus Pennington</t>
        </is>
      </c>
      <c r="D273" s="3" t="inlineStr">
        <is>
          <t>AR</t>
        </is>
      </c>
      <c r="E273" s="14" t="n">
        <v>420000</v>
      </c>
      <c r="F273" s="14" t="n">
        <v>6374.51</v>
      </c>
      <c r="G273" s="14" t="n">
        <v>796.8099999999999</v>
      </c>
      <c r="H273" s="14" t="n">
        <v>796.8099999999999</v>
      </c>
      <c r="I273" s="14">
        <f>SUM(K273:T273)</f>
        <v/>
      </c>
      <c r="J273" s="14">
        <f>F273-(G273+H273+I273)</f>
        <v/>
      </c>
      <c r="K273" s="14" t="n">
        <v>478.09</v>
      </c>
      <c r="L273" s="14" t="n">
        <v>478.09</v>
      </c>
      <c r="M273" s="14" t="n">
        <v>478.09</v>
      </c>
      <c r="N273" s="14" t="n">
        <v>478.09</v>
      </c>
      <c r="O273" s="14" t="n">
        <v>478.09</v>
      </c>
      <c r="P273" s="14" t="n">
        <v>478.09</v>
      </c>
      <c r="Q273" s="14" t="n">
        <v>478.09</v>
      </c>
      <c r="R273" s="14" t="n">
        <v>478.09</v>
      </c>
      <c r="S273" s="14" t="n">
        <v>478.09</v>
      </c>
      <c r="T273" s="14" t="n">
        <v>478.09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CANON-202605-006357</t>
        </is>
      </c>
      <c r="B274" s="15" t="inlineStr">
        <is>
          <t>2026-05-22</t>
        </is>
      </c>
      <c r="C274" s="15" t="inlineStr">
        <is>
          <t>Lorenzo Merriweather</t>
        </is>
      </c>
      <c r="D274" s="15" t="inlineStr">
        <is>
          <t>NY</t>
        </is>
      </c>
      <c r="E274" s="16" t="n">
        <v>1755000</v>
      </c>
      <c r="F274" s="16" t="n">
        <v>18117.85</v>
      </c>
      <c r="G274" s="16" t="n">
        <v>2264.73</v>
      </c>
      <c r="H274" s="16" t="n">
        <v>2264.73</v>
      </c>
      <c r="I274" s="16">
        <f>SUM(K274:T274)</f>
        <v/>
      </c>
      <c r="J274" s="16">
        <f>F274-(G274+H274+I274)</f>
        <v/>
      </c>
      <c r="K274" s="16" t="n">
        <v>1358.84</v>
      </c>
      <c r="L274" s="16" t="n">
        <v>1358.84</v>
      </c>
      <c r="M274" s="16" t="n">
        <v>1358.84</v>
      </c>
      <c r="N274" s="16" t="n">
        <v>1358.84</v>
      </c>
      <c r="O274" s="16" t="n">
        <v>1358.84</v>
      </c>
      <c r="P274" s="16" t="n">
        <v>1358.84</v>
      </c>
      <c r="Q274" s="16" t="n">
        <v>1358.84</v>
      </c>
      <c r="R274" s="16" t="n">
        <v>1358.84</v>
      </c>
      <c r="S274" s="16" t="n">
        <v>1358.84</v>
      </c>
      <c r="T274" s="16" t="n">
        <v>1358.84</v>
      </c>
      <c r="U274" s="16" t="n">
        <v>350</v>
      </c>
      <c r="V274" s="16" t="n">
        <v>250</v>
      </c>
      <c r="W274" s="16">
        <f>U274+V274</f>
        <v/>
      </c>
    </row>
    <row r="275">
      <c r="A275" s="3" t="inlineStr">
        <is>
          <t>CANON-202605-006359</t>
        </is>
      </c>
      <c r="B275" s="3" t="inlineStr">
        <is>
          <t>2026-05-09</t>
        </is>
      </c>
      <c r="C275" s="3" t="inlineStr">
        <is>
          <t>Emiliano Rourke</t>
        </is>
      </c>
      <c r="D275" s="3" t="inlineStr">
        <is>
          <t>GA</t>
        </is>
      </c>
      <c r="E275" s="14" t="n">
        <v>440000</v>
      </c>
      <c r="F275" s="14" t="n">
        <v>5419.87</v>
      </c>
      <c r="G275" s="14" t="n">
        <v>677.48</v>
      </c>
      <c r="H275" s="14" t="n">
        <v>677.48</v>
      </c>
      <c r="I275" s="14">
        <f>SUM(K275:T275)</f>
        <v/>
      </c>
      <c r="J275" s="14">
        <f>F275-(G275+H275+I275)</f>
        <v/>
      </c>
      <c r="K275" s="14" t="n">
        <v>406.49</v>
      </c>
      <c r="L275" s="14" t="n">
        <v>406.49</v>
      </c>
      <c r="M275" s="14" t="n">
        <v>406.49</v>
      </c>
      <c r="N275" s="14" t="n">
        <v>406.49</v>
      </c>
      <c r="O275" s="14" t="n">
        <v>406.49</v>
      </c>
      <c r="P275" s="14" t="n">
        <v>406.49</v>
      </c>
      <c r="Q275" s="14" t="n">
        <v>406.49</v>
      </c>
      <c r="R275" s="14" t="n">
        <v>406.49</v>
      </c>
      <c r="S275" s="14" t="n">
        <v>406.49</v>
      </c>
      <c r="T275" s="14" t="n">
        <v>406.49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CANON-202605-006361</t>
        </is>
      </c>
      <c r="B276" s="15" t="inlineStr">
        <is>
          <t>2026-05-18</t>
        </is>
      </c>
      <c r="C276" s="15" t="inlineStr">
        <is>
          <t>Anouk Whitlock</t>
        </is>
      </c>
      <c r="D276" s="15" t="inlineStr">
        <is>
          <t>GA</t>
        </is>
      </c>
      <c r="E276" s="16" t="n">
        <v>490000</v>
      </c>
      <c r="F276" s="16" t="n">
        <v>6035.77</v>
      </c>
      <c r="G276" s="16" t="n">
        <v>754.47</v>
      </c>
      <c r="H276" s="16" t="n">
        <v>754.47</v>
      </c>
      <c r="I276" s="16">
        <f>SUM(K276:T276)</f>
        <v/>
      </c>
      <c r="J276" s="16">
        <f>F276-(G276+H276+I276)</f>
        <v/>
      </c>
      <c r="K276" s="16" t="n">
        <v>452.68</v>
      </c>
      <c r="L276" s="16" t="n">
        <v>452.68</v>
      </c>
      <c r="M276" s="16" t="n">
        <v>452.68</v>
      </c>
      <c r="N276" s="16" t="n">
        <v>452.68</v>
      </c>
      <c r="O276" s="16" t="n">
        <v>452.68</v>
      </c>
      <c r="P276" s="16" t="n">
        <v>452.68</v>
      </c>
      <c r="Q276" s="16" t="n">
        <v>452.68</v>
      </c>
      <c r="R276" s="16" t="n">
        <v>452.68</v>
      </c>
      <c r="S276" s="16" t="n">
        <v>452.68</v>
      </c>
      <c r="T276" s="16" t="n">
        <v>452.68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CANON-202605-006363</t>
        </is>
      </c>
      <c r="B277" s="3" t="inlineStr">
        <is>
          <t>2026-05-23</t>
        </is>
      </c>
      <c r="C277" s="3" t="inlineStr">
        <is>
          <t>Anouk Delacroix</t>
        </is>
      </c>
      <c r="D277" s="3" t="inlineStr">
        <is>
          <t>CO</t>
        </is>
      </c>
      <c r="E277" s="14" t="n">
        <v>510000</v>
      </c>
      <c r="F277" s="14" t="n">
        <v>7815.26</v>
      </c>
      <c r="G277" s="14" t="n">
        <v>976.91</v>
      </c>
      <c r="H277" s="14" t="n">
        <v>976.91</v>
      </c>
      <c r="I277" s="14">
        <f>SUM(K277:T277)</f>
        <v/>
      </c>
      <c r="J277" s="14">
        <f>F277-(G277+H277+I277)</f>
        <v/>
      </c>
      <c r="K277" s="14" t="n">
        <v>586.14</v>
      </c>
      <c r="L277" s="14" t="n">
        <v>586.14</v>
      </c>
      <c r="M277" s="14" t="n">
        <v>586.14</v>
      </c>
      <c r="N277" s="14" t="n">
        <v>586.14</v>
      </c>
      <c r="O277" s="14" t="n">
        <v>586.14</v>
      </c>
      <c r="P277" s="14" t="n">
        <v>586.14</v>
      </c>
      <c r="Q277" s="14" t="n">
        <v>586.14</v>
      </c>
      <c r="R277" s="14" t="n">
        <v>586.14</v>
      </c>
      <c r="S277" s="14" t="n">
        <v>586.14</v>
      </c>
      <c r="T277" s="14" t="n">
        <v>586.14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CANON-202605-006364</t>
        </is>
      </c>
      <c r="B278" s="15" t="inlineStr">
        <is>
          <t>2026-05-15</t>
        </is>
      </c>
      <c r="C278" s="15" t="inlineStr">
        <is>
          <t>Aurelio Blackwood</t>
        </is>
      </c>
      <c r="D278" s="15" t="inlineStr">
        <is>
          <t>NY</t>
        </is>
      </c>
      <c r="E278" s="16" t="n">
        <v>170000</v>
      </c>
      <c r="F278" s="16" t="n">
        <v>2935.65</v>
      </c>
      <c r="G278" s="16" t="n">
        <v>366.96</v>
      </c>
      <c r="H278" s="16" t="n">
        <v>366.96</v>
      </c>
      <c r="I278" s="16">
        <f>SUM(K278:T278)</f>
        <v/>
      </c>
      <c r="J278" s="16">
        <f>F278-(G278+H278+I278)</f>
        <v/>
      </c>
      <c r="K278" s="16" t="n">
        <v>220.17</v>
      </c>
      <c r="L278" s="16" t="n">
        <v>220.17</v>
      </c>
      <c r="M278" s="16" t="n">
        <v>220.17</v>
      </c>
      <c r="N278" s="16" t="n">
        <v>220.17</v>
      </c>
      <c r="O278" s="16" t="n">
        <v>220.17</v>
      </c>
      <c r="P278" s="16" t="n">
        <v>220.17</v>
      </c>
      <c r="Q278" s="16" t="n">
        <v>220.17</v>
      </c>
      <c r="R278" s="16" t="n">
        <v>220.17</v>
      </c>
      <c r="S278" s="16" t="n">
        <v>220.17</v>
      </c>
      <c r="T278" s="16" t="n">
        <v>220.17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CANON-202605-006365</t>
        </is>
      </c>
      <c r="B279" s="3" t="inlineStr">
        <is>
          <t>2026-05-21</t>
        </is>
      </c>
      <c r="C279" s="3" t="inlineStr">
        <is>
          <t>Beatrix Nakashima</t>
        </is>
      </c>
      <c r="D279" s="3" t="inlineStr">
        <is>
          <t>WA</t>
        </is>
      </c>
      <c r="E279" s="14" t="n">
        <v>365000</v>
      </c>
      <c r="F279" s="14" t="n">
        <v>3853.74</v>
      </c>
      <c r="G279" s="14" t="n">
        <v>481.72</v>
      </c>
      <c r="H279" s="14" t="n">
        <v>481.72</v>
      </c>
      <c r="I279" s="14">
        <f>SUM(K279:T279)</f>
        <v/>
      </c>
      <c r="J279" s="14">
        <f>F279-(G279+H279+I279)</f>
        <v/>
      </c>
      <c r="K279" s="14" t="n">
        <v>289.03</v>
      </c>
      <c r="L279" s="14" t="n">
        <v>289.03</v>
      </c>
      <c r="M279" s="14" t="n">
        <v>289.03</v>
      </c>
      <c r="N279" s="14" t="n">
        <v>289.03</v>
      </c>
      <c r="O279" s="14" t="n">
        <v>289.03</v>
      </c>
      <c r="P279" s="14" t="n">
        <v>289.03</v>
      </c>
      <c r="Q279" s="14" t="n">
        <v>289.03</v>
      </c>
      <c r="R279" s="14" t="n">
        <v>289.03</v>
      </c>
      <c r="S279" s="14" t="n">
        <v>289.03</v>
      </c>
      <c r="T279" s="14" t="n">
        <v>289.03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CANON-202605-006366</t>
        </is>
      </c>
      <c r="B280" s="15" t="inlineStr">
        <is>
          <t>2026-05-31</t>
        </is>
      </c>
      <c r="C280" s="15" t="inlineStr">
        <is>
          <t>Ingrid Thistlewood</t>
        </is>
      </c>
      <c r="D280" s="15" t="inlineStr">
        <is>
          <t>AL</t>
        </is>
      </c>
      <c r="E280" s="16" t="n">
        <v>360000</v>
      </c>
      <c r="F280" s="16" t="n">
        <v>5028.34</v>
      </c>
      <c r="G280" s="16" t="n">
        <v>628.54</v>
      </c>
      <c r="H280" s="16" t="n">
        <v>628.54</v>
      </c>
      <c r="I280" s="16">
        <f>SUM(K280:T280)</f>
        <v/>
      </c>
      <c r="J280" s="16">
        <f>F280-(G280+H280+I280)</f>
        <v/>
      </c>
      <c r="K280" s="16" t="n">
        <v>377.13</v>
      </c>
      <c r="L280" s="16" t="n">
        <v>377.13</v>
      </c>
      <c r="M280" s="16" t="n">
        <v>377.13</v>
      </c>
      <c r="N280" s="16" t="n">
        <v>377.13</v>
      </c>
      <c r="O280" s="16" t="n">
        <v>377.13</v>
      </c>
      <c r="P280" s="16" t="n">
        <v>377.13</v>
      </c>
      <c r="Q280" s="16" t="n">
        <v>377.13</v>
      </c>
      <c r="R280" s="16" t="n">
        <v>377.13</v>
      </c>
      <c r="S280" s="16" t="n">
        <v>377.13</v>
      </c>
      <c r="T280" s="16" t="n">
        <v>377.13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CANON-202605-006367</t>
        </is>
      </c>
      <c r="B281" s="3" t="inlineStr">
        <is>
          <t>2026-05-18</t>
        </is>
      </c>
      <c r="C281" s="3" t="inlineStr">
        <is>
          <t>Lorenzo Vandermeer</t>
        </is>
      </c>
      <c r="D281" s="3" t="inlineStr">
        <is>
          <t>MT</t>
        </is>
      </c>
      <c r="E281" s="14" t="n">
        <v>855000</v>
      </c>
      <c r="F281" s="14" t="n">
        <v>7579.13</v>
      </c>
      <c r="G281" s="14" t="n">
        <v>947.39</v>
      </c>
      <c r="H281" s="14" t="n">
        <v>947.39</v>
      </c>
      <c r="I281" s="14">
        <f>SUM(K281:T281)</f>
        <v/>
      </c>
      <c r="J281" s="14">
        <f>F281-(G281+H281+I281)</f>
        <v/>
      </c>
      <c r="K281" s="14" t="n">
        <v>568.4299999999999</v>
      </c>
      <c r="L281" s="14" t="n">
        <v>568.4299999999999</v>
      </c>
      <c r="M281" s="14" t="n">
        <v>568.4299999999999</v>
      </c>
      <c r="N281" s="14" t="n">
        <v>568.4299999999999</v>
      </c>
      <c r="O281" s="14" t="n">
        <v>568.4299999999999</v>
      </c>
      <c r="P281" s="14" t="n">
        <v>568.4299999999999</v>
      </c>
      <c r="Q281" s="14" t="n">
        <v>568.4299999999999</v>
      </c>
      <c r="R281" s="14" t="n">
        <v>568.4299999999999</v>
      </c>
      <c r="S281" s="14" t="n">
        <v>568.4299999999999</v>
      </c>
      <c r="T281" s="14" t="n">
        <v>568.4299999999999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CANON-202605-006368</t>
        </is>
      </c>
      <c r="B282" s="15" t="inlineStr">
        <is>
          <t>2026-05-13</t>
        </is>
      </c>
      <c r="C282" s="15" t="inlineStr">
        <is>
          <t>Ottilie Vandermeer</t>
        </is>
      </c>
      <c r="D282" s="15" t="inlineStr">
        <is>
          <t>FL</t>
        </is>
      </c>
      <c r="E282" s="16" t="n">
        <v>1290000</v>
      </c>
      <c r="F282" s="16" t="n">
        <v>10207.48</v>
      </c>
      <c r="G282" s="16" t="n">
        <v>1275.93</v>
      </c>
      <c r="H282" s="16" t="n">
        <v>1275.93</v>
      </c>
      <c r="I282" s="16">
        <f>SUM(K282:T282)</f>
        <v/>
      </c>
      <c r="J282" s="16">
        <f>F282-(G282+H282+I282)</f>
        <v/>
      </c>
      <c r="K282" s="16" t="n">
        <v>765.5599999999999</v>
      </c>
      <c r="L282" s="16" t="n">
        <v>765.5599999999999</v>
      </c>
      <c r="M282" s="16" t="n">
        <v>765.5599999999999</v>
      </c>
      <c r="N282" s="16" t="n">
        <v>765.5599999999999</v>
      </c>
      <c r="O282" s="16" t="n">
        <v>765.5599999999999</v>
      </c>
      <c r="P282" s="16" t="n">
        <v>765.5599999999999</v>
      </c>
      <c r="Q282" s="16" t="n">
        <v>765.5599999999999</v>
      </c>
      <c r="R282" s="16" t="n">
        <v>765.5599999999999</v>
      </c>
      <c r="S282" s="16" t="n">
        <v>765.5599999999999</v>
      </c>
      <c r="T282" s="16" t="n">
        <v>765.5599999999999</v>
      </c>
      <c r="U282" s="16" t="n">
        <v>350</v>
      </c>
      <c r="V282" s="16" t="n">
        <v>250</v>
      </c>
      <c r="W282" s="16">
        <f>U282+V282</f>
        <v/>
      </c>
    </row>
    <row r="283">
      <c r="A283" s="3" t="inlineStr">
        <is>
          <t>CANON-202605-006369</t>
        </is>
      </c>
      <c r="B283" s="3" t="inlineStr">
        <is>
          <t>2026-05-01</t>
        </is>
      </c>
      <c r="C283" s="3" t="inlineStr">
        <is>
          <t>Anouk Nakashima</t>
        </is>
      </c>
      <c r="D283" s="3" t="inlineStr">
        <is>
          <t>LA</t>
        </is>
      </c>
      <c r="E283" s="14" t="n">
        <v>795000</v>
      </c>
      <c r="F283" s="14" t="n">
        <v>9169.02</v>
      </c>
      <c r="G283" s="14" t="n">
        <v>1146.13</v>
      </c>
      <c r="H283" s="14" t="n">
        <v>1146.13</v>
      </c>
      <c r="I283" s="14">
        <f>SUM(K283:T283)</f>
        <v/>
      </c>
      <c r="J283" s="14">
        <f>F283-(G283+H283+I283)</f>
        <v/>
      </c>
      <c r="K283" s="14" t="n">
        <v>687.6799999999999</v>
      </c>
      <c r="L283" s="14" t="n">
        <v>687.6799999999999</v>
      </c>
      <c r="M283" s="14" t="n">
        <v>687.6799999999999</v>
      </c>
      <c r="N283" s="14" t="n">
        <v>687.6799999999999</v>
      </c>
      <c r="O283" s="14" t="n">
        <v>687.6799999999999</v>
      </c>
      <c r="P283" s="14" t="n">
        <v>687.6799999999999</v>
      </c>
      <c r="Q283" s="14" t="n">
        <v>687.6799999999999</v>
      </c>
      <c r="R283" s="14" t="n">
        <v>687.6799999999999</v>
      </c>
      <c r="S283" s="14" t="n">
        <v>687.6799999999999</v>
      </c>
      <c r="T283" s="14" t="n">
        <v>687.6799999999999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CANON-202605-006371</t>
        </is>
      </c>
      <c r="B284" s="15" t="inlineStr">
        <is>
          <t>2026-05-17</t>
        </is>
      </c>
      <c r="C284" s="15" t="inlineStr">
        <is>
          <t>Desmond Rourke</t>
        </is>
      </c>
      <c r="D284" s="15" t="inlineStr">
        <is>
          <t>VT</t>
        </is>
      </c>
      <c r="E284" s="16" t="n">
        <v>930000</v>
      </c>
      <c r="F284" s="16" t="n">
        <v>12977.6</v>
      </c>
      <c r="G284" s="16" t="n">
        <v>1622.2</v>
      </c>
      <c r="H284" s="16" t="n">
        <v>1622.2</v>
      </c>
      <c r="I284" s="16">
        <f>SUM(K284:T284)</f>
        <v/>
      </c>
      <c r="J284" s="16">
        <f>F284-(G284+H284+I284)</f>
        <v/>
      </c>
      <c r="K284" s="16" t="n">
        <v>973.3200000000001</v>
      </c>
      <c r="L284" s="16" t="n">
        <v>973.3200000000001</v>
      </c>
      <c r="M284" s="16" t="n">
        <v>973.3200000000001</v>
      </c>
      <c r="N284" s="16" t="n">
        <v>973.3200000000001</v>
      </c>
      <c r="O284" s="16" t="n">
        <v>973.3200000000001</v>
      </c>
      <c r="P284" s="16" t="n">
        <v>973.3200000000001</v>
      </c>
      <c r="Q284" s="16" t="n">
        <v>973.3200000000001</v>
      </c>
      <c r="R284" s="16" t="n">
        <v>973.3200000000001</v>
      </c>
      <c r="S284" s="16" t="n">
        <v>973.3200000000001</v>
      </c>
      <c r="T284" s="16" t="n">
        <v>973.3200000000001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CANON-202605-006372</t>
        </is>
      </c>
      <c r="B285" s="3" t="inlineStr">
        <is>
          <t>2026-05-18</t>
        </is>
      </c>
      <c r="C285" s="3" t="inlineStr">
        <is>
          <t>Wilhelmina Vasquez</t>
        </is>
      </c>
      <c r="D285" s="3" t="inlineStr">
        <is>
          <t>NH</t>
        </is>
      </c>
      <c r="E285" s="14" t="n">
        <v>515000</v>
      </c>
      <c r="F285" s="14" t="n">
        <v>5105.18</v>
      </c>
      <c r="G285" s="14" t="n">
        <v>638.15</v>
      </c>
      <c r="H285" s="14" t="n">
        <v>638.15</v>
      </c>
      <c r="I285" s="14">
        <f>SUM(K285:T285)</f>
        <v/>
      </c>
      <c r="J285" s="14">
        <f>F285-(G285+H285+I285)</f>
        <v/>
      </c>
      <c r="K285" s="14" t="n">
        <v>382.89</v>
      </c>
      <c r="L285" s="14" t="n">
        <v>382.89</v>
      </c>
      <c r="M285" s="14" t="n">
        <v>382.89</v>
      </c>
      <c r="N285" s="14" t="n">
        <v>382.89</v>
      </c>
      <c r="O285" s="14" t="n">
        <v>382.89</v>
      </c>
      <c r="P285" s="14" t="n">
        <v>382.89</v>
      </c>
      <c r="Q285" s="14" t="n">
        <v>382.89</v>
      </c>
      <c r="R285" s="14" t="n">
        <v>382.89</v>
      </c>
      <c r="S285" s="14" t="n">
        <v>382.89</v>
      </c>
      <c r="T285" s="14" t="n">
        <v>382.89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CANON-202605-006373</t>
        </is>
      </c>
      <c r="B286" s="15" t="inlineStr">
        <is>
          <t>2026-05-25</t>
        </is>
      </c>
      <c r="C286" s="15" t="inlineStr">
        <is>
          <t>Sunniva Nakashima</t>
        </is>
      </c>
      <c r="D286" s="15" t="inlineStr">
        <is>
          <t>HI</t>
        </is>
      </c>
      <c r="E286" s="16" t="n">
        <v>1020000</v>
      </c>
      <c r="F286" s="16" t="n">
        <v>10694.57</v>
      </c>
      <c r="G286" s="16" t="n">
        <v>1336.82</v>
      </c>
      <c r="H286" s="16" t="n">
        <v>1336.82</v>
      </c>
      <c r="I286" s="16">
        <f>SUM(K286:T286)</f>
        <v/>
      </c>
      <c r="J286" s="16">
        <f>F286-(G286+H286+I286)</f>
        <v/>
      </c>
      <c r="K286" s="16" t="n">
        <v>802.09</v>
      </c>
      <c r="L286" s="16" t="n">
        <v>802.09</v>
      </c>
      <c r="M286" s="16" t="n">
        <v>802.09</v>
      </c>
      <c r="N286" s="16" t="n">
        <v>802.09</v>
      </c>
      <c r="O286" s="16" t="n">
        <v>802.09</v>
      </c>
      <c r="P286" s="16" t="n">
        <v>802.09</v>
      </c>
      <c r="Q286" s="16" t="n">
        <v>802.09</v>
      </c>
      <c r="R286" s="16" t="n">
        <v>802.09</v>
      </c>
      <c r="S286" s="16" t="n">
        <v>802.09</v>
      </c>
      <c r="T286" s="16" t="n">
        <v>802.09</v>
      </c>
      <c r="U286" s="16" t="n">
        <v>350</v>
      </c>
      <c r="V286" s="16" t="n">
        <v>250</v>
      </c>
      <c r="W286" s="16">
        <f>U286+V286</f>
        <v/>
      </c>
    </row>
    <row r="287">
      <c r="A287" s="3" t="inlineStr">
        <is>
          <t>CANON-202605-006374</t>
        </is>
      </c>
      <c r="B287" s="3" t="inlineStr">
        <is>
          <t>2026-05-26</t>
        </is>
      </c>
      <c r="C287" s="3" t="inlineStr">
        <is>
          <t>Delphine Blackwood</t>
        </is>
      </c>
      <c r="D287" s="3" t="inlineStr">
        <is>
          <t>NH</t>
        </is>
      </c>
      <c r="E287" s="14" t="n">
        <v>595000</v>
      </c>
      <c r="F287" s="14" t="n">
        <v>7077.86</v>
      </c>
      <c r="G287" s="14" t="n">
        <v>884.73</v>
      </c>
      <c r="H287" s="14" t="n">
        <v>884.73</v>
      </c>
      <c r="I287" s="14">
        <f>SUM(K287:T287)</f>
        <v/>
      </c>
      <c r="J287" s="14">
        <f>F287-(G287+H287+I287)</f>
        <v/>
      </c>
      <c r="K287" s="14" t="n">
        <v>530.84</v>
      </c>
      <c r="L287" s="14" t="n">
        <v>530.84</v>
      </c>
      <c r="M287" s="14" t="n">
        <v>530.84</v>
      </c>
      <c r="N287" s="14" t="n">
        <v>530.84</v>
      </c>
      <c r="O287" s="14" t="n">
        <v>530.84</v>
      </c>
      <c r="P287" s="14" t="n">
        <v>530.84</v>
      </c>
      <c r="Q287" s="14" t="n">
        <v>530.84</v>
      </c>
      <c r="R287" s="14" t="n">
        <v>530.84</v>
      </c>
      <c r="S287" s="14" t="n">
        <v>530.84</v>
      </c>
      <c r="T287" s="14" t="n">
        <v>530.84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CANON-202605-006375</t>
        </is>
      </c>
      <c r="B288" s="15" t="inlineStr">
        <is>
          <t>2026-05-07</t>
        </is>
      </c>
      <c r="C288" s="15" t="inlineStr">
        <is>
          <t>Beatrix Merriweather</t>
        </is>
      </c>
      <c r="D288" s="15" t="inlineStr">
        <is>
          <t>MT</t>
        </is>
      </c>
      <c r="E288" s="16" t="n">
        <v>345000</v>
      </c>
      <c r="F288" s="16" t="n">
        <v>4140.39</v>
      </c>
      <c r="G288" s="16" t="n">
        <v>517.55</v>
      </c>
      <c r="H288" s="16" t="n">
        <v>517.55</v>
      </c>
      <c r="I288" s="16">
        <f>SUM(K288:T288)</f>
        <v/>
      </c>
      <c r="J288" s="16">
        <f>F288-(G288+H288+I288)</f>
        <v/>
      </c>
      <c r="K288" s="16" t="n">
        <v>310.53</v>
      </c>
      <c r="L288" s="16" t="n">
        <v>310.53</v>
      </c>
      <c r="M288" s="16" t="n">
        <v>310.53</v>
      </c>
      <c r="N288" s="16" t="n">
        <v>310.53</v>
      </c>
      <c r="O288" s="16" t="n">
        <v>310.53</v>
      </c>
      <c r="P288" s="16" t="n">
        <v>310.53</v>
      </c>
      <c r="Q288" s="16" t="n">
        <v>310.53</v>
      </c>
      <c r="R288" s="16" t="n">
        <v>310.53</v>
      </c>
      <c r="S288" s="16" t="n">
        <v>310.53</v>
      </c>
      <c r="T288" s="16" t="n">
        <v>310.53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CANON-202605-006378</t>
        </is>
      </c>
      <c r="B289" s="3" t="inlineStr">
        <is>
          <t>2026-05-31</t>
        </is>
      </c>
      <c r="C289" s="3" t="inlineStr">
        <is>
          <t>Aurelio Larsson</t>
        </is>
      </c>
      <c r="D289" s="3" t="inlineStr">
        <is>
          <t>WA</t>
        </is>
      </c>
      <c r="E289" s="14" t="n">
        <v>860000</v>
      </c>
      <c r="F289" s="14" t="n">
        <v>7869.37</v>
      </c>
      <c r="G289" s="14" t="n">
        <v>983.67</v>
      </c>
      <c r="H289" s="14" t="n">
        <v>983.67</v>
      </c>
      <c r="I289" s="14">
        <f>SUM(K289:T289)</f>
        <v/>
      </c>
      <c r="J289" s="14">
        <f>F289-(G289+H289+I289)</f>
        <v/>
      </c>
      <c r="K289" s="14" t="n">
        <v>590.2</v>
      </c>
      <c r="L289" s="14" t="n">
        <v>590.2</v>
      </c>
      <c r="M289" s="14" t="n">
        <v>590.2</v>
      </c>
      <c r="N289" s="14" t="n">
        <v>590.2</v>
      </c>
      <c r="O289" s="14" t="n">
        <v>590.2</v>
      </c>
      <c r="P289" s="14" t="n">
        <v>590.2</v>
      </c>
      <c r="Q289" s="14" t="n">
        <v>590.2</v>
      </c>
      <c r="R289" s="14" t="n">
        <v>590.2</v>
      </c>
      <c r="S289" s="14" t="n">
        <v>590.2</v>
      </c>
      <c r="T289" s="14" t="n">
        <v>590.2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CANON-202605-006380</t>
        </is>
      </c>
      <c r="B290" s="15" t="inlineStr">
        <is>
          <t>2026-05-07</t>
        </is>
      </c>
      <c r="C290" s="15" t="inlineStr">
        <is>
          <t>Ingrid Vandermeer</t>
        </is>
      </c>
      <c r="D290" s="15" t="inlineStr">
        <is>
          <t>NM</t>
        </is>
      </c>
      <c r="E290" s="16" t="n">
        <v>105000</v>
      </c>
      <c r="F290" s="16" t="n">
        <v>1813.19</v>
      </c>
      <c r="G290" s="16" t="n">
        <v>226.65</v>
      </c>
      <c r="H290" s="16" t="n">
        <v>226.65</v>
      </c>
      <c r="I290" s="16">
        <f>SUM(K290:T290)</f>
        <v/>
      </c>
      <c r="J290" s="16">
        <f>F290-(G290+H290+I290)</f>
        <v/>
      </c>
      <c r="K290" s="16" t="n">
        <v>135.99</v>
      </c>
      <c r="L290" s="16" t="n">
        <v>135.99</v>
      </c>
      <c r="M290" s="16" t="n">
        <v>135.99</v>
      </c>
      <c r="N290" s="16" t="n">
        <v>135.99</v>
      </c>
      <c r="O290" s="16" t="n">
        <v>135.99</v>
      </c>
      <c r="P290" s="16" t="n">
        <v>135.99</v>
      </c>
      <c r="Q290" s="16" t="n">
        <v>135.99</v>
      </c>
      <c r="R290" s="16" t="n">
        <v>135.99</v>
      </c>
      <c r="S290" s="16" t="n">
        <v>135.99</v>
      </c>
      <c r="T290" s="16" t="n">
        <v>135.99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CANON-202605-006381</t>
        </is>
      </c>
      <c r="B291" s="3" t="inlineStr">
        <is>
          <t>2026-05-31</t>
        </is>
      </c>
      <c r="C291" s="3" t="inlineStr">
        <is>
          <t>Mireille Montoya</t>
        </is>
      </c>
      <c r="D291" s="3" t="inlineStr">
        <is>
          <t>NJ</t>
        </is>
      </c>
      <c r="E291" s="14" t="n">
        <v>215000</v>
      </c>
      <c r="F291" s="14" t="n">
        <v>2639.52</v>
      </c>
      <c r="G291" s="14" t="n">
        <v>329.94</v>
      </c>
      <c r="H291" s="14" t="n">
        <v>329.94</v>
      </c>
      <c r="I291" s="14">
        <f>SUM(K291:T291)</f>
        <v/>
      </c>
      <c r="J291" s="14">
        <f>F291-(G291+H291+I291)</f>
        <v/>
      </c>
      <c r="K291" s="14" t="n">
        <v>197.96</v>
      </c>
      <c r="L291" s="14" t="n">
        <v>197.96</v>
      </c>
      <c r="M291" s="14" t="n">
        <v>197.96</v>
      </c>
      <c r="N291" s="14" t="n">
        <v>197.96</v>
      </c>
      <c r="O291" s="14" t="n">
        <v>197.96</v>
      </c>
      <c r="P291" s="14" t="n">
        <v>197.96</v>
      </c>
      <c r="Q291" s="14" t="n">
        <v>197.96</v>
      </c>
      <c r="R291" s="14" t="n">
        <v>197.96</v>
      </c>
      <c r="S291" s="14" t="n">
        <v>197.96</v>
      </c>
      <c r="T291" s="14" t="n">
        <v>197.96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CANON-202605-006382</t>
        </is>
      </c>
      <c r="B292" s="15" t="inlineStr">
        <is>
          <t>2026-05-13</t>
        </is>
      </c>
      <c r="C292" s="15" t="inlineStr">
        <is>
          <t>Emiliano Ashcombe</t>
        </is>
      </c>
      <c r="D292" s="15" t="inlineStr">
        <is>
          <t>MA</t>
        </is>
      </c>
      <c r="E292" s="16" t="n">
        <v>545000</v>
      </c>
      <c r="F292" s="16" t="n">
        <v>9490.450000000001</v>
      </c>
      <c r="G292" s="16" t="n">
        <v>1186.31</v>
      </c>
      <c r="H292" s="16" t="n">
        <v>1186.31</v>
      </c>
      <c r="I292" s="16">
        <f>SUM(K292:T292)</f>
        <v/>
      </c>
      <c r="J292" s="16">
        <f>F292-(G292+H292+I292)</f>
        <v/>
      </c>
      <c r="K292" s="16" t="n">
        <v>711.78</v>
      </c>
      <c r="L292" s="16" t="n">
        <v>711.78</v>
      </c>
      <c r="M292" s="16" t="n">
        <v>711.78</v>
      </c>
      <c r="N292" s="16" t="n">
        <v>711.78</v>
      </c>
      <c r="O292" s="16" t="n">
        <v>711.78</v>
      </c>
      <c r="P292" s="16" t="n">
        <v>711.78</v>
      </c>
      <c r="Q292" s="16" t="n">
        <v>711.78</v>
      </c>
      <c r="R292" s="16" t="n">
        <v>711.78</v>
      </c>
      <c r="S292" s="16" t="n">
        <v>711.78</v>
      </c>
      <c r="T292" s="16" t="n">
        <v>711.78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CANON-202605-006385</t>
        </is>
      </c>
      <c r="B293" s="3" t="inlineStr">
        <is>
          <t>2026-05-03</t>
        </is>
      </c>
      <c r="C293" s="3" t="inlineStr">
        <is>
          <t>Delphine Merriweather</t>
        </is>
      </c>
      <c r="D293" s="3" t="inlineStr">
        <is>
          <t>CA</t>
        </is>
      </c>
      <c r="E293" s="14" t="n">
        <v>320000</v>
      </c>
      <c r="F293" s="14" t="n">
        <v>4751.19</v>
      </c>
      <c r="G293" s="14" t="n">
        <v>593.9</v>
      </c>
      <c r="H293" s="14" t="n">
        <v>593.9</v>
      </c>
      <c r="I293" s="14">
        <f>SUM(K293:T293)</f>
        <v/>
      </c>
      <c r="J293" s="14">
        <f>F293-(G293+H293+I293)</f>
        <v/>
      </c>
      <c r="K293" s="14" t="n">
        <v>356.34</v>
      </c>
      <c r="L293" s="14" t="n">
        <v>356.34</v>
      </c>
      <c r="M293" s="14" t="n">
        <v>356.34</v>
      </c>
      <c r="N293" s="14" t="n">
        <v>356.34</v>
      </c>
      <c r="O293" s="14" t="n">
        <v>356.34</v>
      </c>
      <c r="P293" s="14" t="n">
        <v>356.34</v>
      </c>
      <c r="Q293" s="14" t="n">
        <v>356.34</v>
      </c>
      <c r="R293" s="14" t="n">
        <v>356.34</v>
      </c>
      <c r="S293" s="14" t="n">
        <v>356.34</v>
      </c>
      <c r="T293" s="14" t="n">
        <v>356.34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CANON-202605-006386</t>
        </is>
      </c>
      <c r="B294" s="15" t="inlineStr">
        <is>
          <t>2026-05-09</t>
        </is>
      </c>
      <c r="C294" s="15" t="inlineStr">
        <is>
          <t>Desmond Vasquez</t>
        </is>
      </c>
      <c r="D294" s="15" t="inlineStr">
        <is>
          <t>WY</t>
        </is>
      </c>
      <c r="E294" s="16" t="n">
        <v>370000</v>
      </c>
      <c r="F294" s="16" t="n">
        <v>4354.15</v>
      </c>
      <c r="G294" s="16" t="n">
        <v>544.27</v>
      </c>
      <c r="H294" s="16" t="n">
        <v>544.27</v>
      </c>
      <c r="I294" s="16">
        <f>SUM(K294:T294)</f>
        <v/>
      </c>
      <c r="J294" s="16">
        <f>F294-(G294+H294+I294)</f>
        <v/>
      </c>
      <c r="K294" s="16" t="n">
        <v>326.56</v>
      </c>
      <c r="L294" s="16" t="n">
        <v>326.56</v>
      </c>
      <c r="M294" s="16" t="n">
        <v>326.56</v>
      </c>
      <c r="N294" s="16" t="n">
        <v>326.56</v>
      </c>
      <c r="O294" s="16" t="n">
        <v>326.56</v>
      </c>
      <c r="P294" s="16" t="n">
        <v>326.56</v>
      </c>
      <c r="Q294" s="16" t="n">
        <v>326.56</v>
      </c>
      <c r="R294" s="16" t="n">
        <v>326.56</v>
      </c>
      <c r="S294" s="16" t="n">
        <v>326.56</v>
      </c>
      <c r="T294" s="16" t="n">
        <v>326.56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CANON-202605-006387</t>
        </is>
      </c>
      <c r="B295" s="3" t="inlineStr">
        <is>
          <t>2026-05-24</t>
        </is>
      </c>
      <c r="C295" s="3" t="inlineStr">
        <is>
          <t>Noor Fairweather</t>
        </is>
      </c>
      <c r="D295" s="3" t="inlineStr">
        <is>
          <t>NV</t>
        </is>
      </c>
      <c r="E295" s="14" t="n">
        <v>305000</v>
      </c>
      <c r="F295" s="14" t="n">
        <v>3924.67</v>
      </c>
      <c r="G295" s="14" t="n">
        <v>490.58</v>
      </c>
      <c r="H295" s="14" t="n">
        <v>490.58</v>
      </c>
      <c r="I295" s="14">
        <f>SUM(K295:T295)</f>
        <v/>
      </c>
      <c r="J295" s="14">
        <f>F295-(G295+H295+I295)</f>
        <v/>
      </c>
      <c r="K295" s="14" t="n">
        <v>294.35</v>
      </c>
      <c r="L295" s="14" t="n">
        <v>294.35</v>
      </c>
      <c r="M295" s="14" t="n">
        <v>294.35</v>
      </c>
      <c r="N295" s="14" t="n">
        <v>294.35</v>
      </c>
      <c r="O295" s="14" t="n">
        <v>294.35</v>
      </c>
      <c r="P295" s="14" t="n">
        <v>294.35</v>
      </c>
      <c r="Q295" s="14" t="n">
        <v>294.35</v>
      </c>
      <c r="R295" s="14" t="n">
        <v>294.35</v>
      </c>
      <c r="S295" s="14" t="n">
        <v>294.35</v>
      </c>
      <c r="T295" s="14" t="n">
        <v>294.35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CANON-202605-006388</t>
        </is>
      </c>
      <c r="B296" s="15" t="inlineStr">
        <is>
          <t>2026-05-25</t>
        </is>
      </c>
      <c r="C296" s="15" t="inlineStr">
        <is>
          <t>Fenwick Vasquez</t>
        </is>
      </c>
      <c r="D296" s="15" t="inlineStr">
        <is>
          <t>WV</t>
        </is>
      </c>
      <c r="E296" s="16" t="n">
        <v>1145000</v>
      </c>
      <c r="F296" s="16" t="n">
        <v>8485.9</v>
      </c>
      <c r="G296" s="16" t="n">
        <v>1060.74</v>
      </c>
      <c r="H296" s="16" t="n">
        <v>1060.74</v>
      </c>
      <c r="I296" s="16">
        <f>SUM(K296:T296)</f>
        <v/>
      </c>
      <c r="J296" s="16">
        <f>F296-(G296+H296+I296)</f>
        <v/>
      </c>
      <c r="K296" s="16" t="n">
        <v>636.4400000000001</v>
      </c>
      <c r="L296" s="16" t="n">
        <v>636.4400000000001</v>
      </c>
      <c r="M296" s="16" t="n">
        <v>636.4400000000001</v>
      </c>
      <c r="N296" s="16" t="n">
        <v>636.4400000000001</v>
      </c>
      <c r="O296" s="16" t="n">
        <v>636.4400000000001</v>
      </c>
      <c r="P296" s="16" t="n">
        <v>636.4400000000001</v>
      </c>
      <c r="Q296" s="16" t="n">
        <v>636.4400000000001</v>
      </c>
      <c r="R296" s="16" t="n">
        <v>636.4400000000001</v>
      </c>
      <c r="S296" s="16" t="n">
        <v>636.4400000000001</v>
      </c>
      <c r="T296" s="16" t="n">
        <v>636.4400000000001</v>
      </c>
      <c r="U296" s="16" t="n">
        <v>350</v>
      </c>
      <c r="V296" s="16" t="n">
        <v>250</v>
      </c>
      <c r="W296" s="16">
        <f>U296+V296</f>
        <v/>
      </c>
    </row>
    <row r="297">
      <c r="A297" s="3" t="inlineStr">
        <is>
          <t>CANON-202605-006389</t>
        </is>
      </c>
      <c r="B297" s="3" t="inlineStr">
        <is>
          <t>2026-05-23</t>
        </is>
      </c>
      <c r="C297" s="3" t="inlineStr">
        <is>
          <t>Ramona Montoya</t>
        </is>
      </c>
      <c r="D297" s="3" t="inlineStr">
        <is>
          <t>CO</t>
        </is>
      </c>
      <c r="E297" s="14" t="n">
        <v>1950000</v>
      </c>
      <c r="F297" s="14" t="n">
        <v>17300.03</v>
      </c>
      <c r="G297" s="14" t="n">
        <v>2162.5</v>
      </c>
      <c r="H297" s="14" t="n">
        <v>2162.5</v>
      </c>
      <c r="I297" s="14">
        <f>SUM(K297:T297)</f>
        <v/>
      </c>
      <c r="J297" s="14">
        <f>F297-(G297+H297+I297)</f>
        <v/>
      </c>
      <c r="K297" s="14" t="n">
        <v>1297.5</v>
      </c>
      <c r="L297" s="14" t="n">
        <v>1297.5</v>
      </c>
      <c r="M297" s="14" t="n">
        <v>1297.5</v>
      </c>
      <c r="N297" s="14" t="n">
        <v>1297.5</v>
      </c>
      <c r="O297" s="14" t="n">
        <v>1297.5</v>
      </c>
      <c r="P297" s="14" t="n">
        <v>1297.5</v>
      </c>
      <c r="Q297" s="14" t="n">
        <v>1297.5</v>
      </c>
      <c r="R297" s="14" t="n">
        <v>1297.5</v>
      </c>
      <c r="S297" s="14" t="n">
        <v>1297.5</v>
      </c>
      <c r="T297" s="14" t="n">
        <v>1297.5</v>
      </c>
      <c r="U297" s="14" t="n">
        <v>350</v>
      </c>
      <c r="V297" s="14" t="n">
        <v>250</v>
      </c>
      <c r="W297" s="14">
        <f>U297+V297</f>
        <v/>
      </c>
    </row>
    <row r="298">
      <c r="A298" s="15" t="inlineStr">
        <is>
          <t>CANON-202605-006390</t>
        </is>
      </c>
      <c r="B298" s="15" t="inlineStr">
        <is>
          <t>2026-05-22</t>
        </is>
      </c>
      <c r="C298" s="15" t="inlineStr">
        <is>
          <t>Cassius Bellandi</t>
        </is>
      </c>
      <c r="D298" s="15" t="inlineStr">
        <is>
          <t>SC</t>
        </is>
      </c>
      <c r="E298" s="16" t="n">
        <v>615000</v>
      </c>
      <c r="F298" s="16" t="n">
        <v>4808.64</v>
      </c>
      <c r="G298" s="16" t="n">
        <v>601.08</v>
      </c>
      <c r="H298" s="16" t="n">
        <v>601.08</v>
      </c>
      <c r="I298" s="16">
        <f>SUM(K298:T298)</f>
        <v/>
      </c>
      <c r="J298" s="16">
        <f>F298-(G298+H298+I298)</f>
        <v/>
      </c>
      <c r="K298" s="16" t="n">
        <v>360.65</v>
      </c>
      <c r="L298" s="16" t="n">
        <v>360.65</v>
      </c>
      <c r="M298" s="16" t="n">
        <v>360.65</v>
      </c>
      <c r="N298" s="16" t="n">
        <v>360.65</v>
      </c>
      <c r="O298" s="16" t="n">
        <v>360.65</v>
      </c>
      <c r="P298" s="16" t="n">
        <v>360.65</v>
      </c>
      <c r="Q298" s="16" t="n">
        <v>360.65</v>
      </c>
      <c r="R298" s="16" t="n">
        <v>360.65</v>
      </c>
      <c r="S298" s="16" t="n">
        <v>360.65</v>
      </c>
      <c r="T298" s="16" t="n">
        <v>360.65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CANON-202605-006391</t>
        </is>
      </c>
      <c r="B299" s="3" t="inlineStr">
        <is>
          <t>2026-05-31</t>
        </is>
      </c>
      <c r="C299" s="3" t="inlineStr">
        <is>
          <t>Emiliano Pennington</t>
        </is>
      </c>
      <c r="D299" s="3" t="inlineStr">
        <is>
          <t>PA</t>
        </is>
      </c>
      <c r="E299" s="14" t="n">
        <v>1140000</v>
      </c>
      <c r="F299" s="14" t="n">
        <v>6352.51</v>
      </c>
      <c r="G299" s="14" t="n">
        <v>794.0599999999999</v>
      </c>
      <c r="H299" s="14" t="n">
        <v>794.0599999999999</v>
      </c>
      <c r="I299" s="14">
        <f>SUM(K299:T299)</f>
        <v/>
      </c>
      <c r="J299" s="14">
        <f>F299-(G299+H299+I299)</f>
        <v/>
      </c>
      <c r="K299" s="14" t="n">
        <v>476.44</v>
      </c>
      <c r="L299" s="14" t="n">
        <v>476.44</v>
      </c>
      <c r="M299" s="14" t="n">
        <v>476.44</v>
      </c>
      <c r="N299" s="14" t="n">
        <v>476.44</v>
      </c>
      <c r="O299" s="14" t="n">
        <v>476.44</v>
      </c>
      <c r="P299" s="14" t="n">
        <v>476.44</v>
      </c>
      <c r="Q299" s="14" t="n">
        <v>476.44</v>
      </c>
      <c r="R299" s="14" t="n">
        <v>476.44</v>
      </c>
      <c r="S299" s="14" t="n">
        <v>476.44</v>
      </c>
      <c r="T299" s="14" t="n">
        <v>476.44</v>
      </c>
      <c r="U299" s="14" t="n">
        <v>350</v>
      </c>
      <c r="V299" s="14" t="n">
        <v>250</v>
      </c>
      <c r="W299" s="14">
        <f>U299+V299</f>
        <v/>
      </c>
    </row>
    <row r="300">
      <c r="A300" s="15" t="inlineStr">
        <is>
          <t>CANON-202605-006393</t>
        </is>
      </c>
      <c r="B300" s="15" t="inlineStr">
        <is>
          <t>2026-05-24</t>
        </is>
      </c>
      <c r="C300" s="15" t="inlineStr">
        <is>
          <t>Ottilie Montoya</t>
        </is>
      </c>
      <c r="D300" s="15" t="inlineStr">
        <is>
          <t>MN</t>
        </is>
      </c>
      <c r="E300" s="16" t="n">
        <v>230000</v>
      </c>
      <c r="F300" s="16" t="n">
        <v>4095.88</v>
      </c>
      <c r="G300" s="16" t="n">
        <v>511.99</v>
      </c>
      <c r="H300" s="16" t="n">
        <v>511.99</v>
      </c>
      <c r="I300" s="16">
        <f>SUM(K300:T300)</f>
        <v/>
      </c>
      <c r="J300" s="16">
        <f>F300-(G300+H300+I300)</f>
        <v/>
      </c>
      <c r="K300" s="16" t="n">
        <v>307.19</v>
      </c>
      <c r="L300" s="16" t="n">
        <v>307.19</v>
      </c>
      <c r="M300" s="16" t="n">
        <v>307.19</v>
      </c>
      <c r="N300" s="16" t="n">
        <v>307.19</v>
      </c>
      <c r="O300" s="16" t="n">
        <v>307.19</v>
      </c>
      <c r="P300" s="16" t="n">
        <v>307.19</v>
      </c>
      <c r="Q300" s="16" t="n">
        <v>307.19</v>
      </c>
      <c r="R300" s="16" t="n">
        <v>307.19</v>
      </c>
      <c r="S300" s="16" t="n">
        <v>307.19</v>
      </c>
      <c r="T300" s="16" t="n">
        <v>307.19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CANON-202605-006394</t>
        </is>
      </c>
      <c r="B301" s="3" t="inlineStr">
        <is>
          <t>2026-05-29</t>
        </is>
      </c>
      <c r="C301" s="3" t="inlineStr">
        <is>
          <t>Saoirse Montoya</t>
        </is>
      </c>
      <c r="D301" s="3" t="inlineStr">
        <is>
          <t>VA</t>
        </is>
      </c>
      <c r="E301" s="14" t="n">
        <v>680000</v>
      </c>
      <c r="F301" s="14" t="n">
        <v>7064.9</v>
      </c>
      <c r="G301" s="14" t="n">
        <v>883.11</v>
      </c>
      <c r="H301" s="14" t="n">
        <v>883.11</v>
      </c>
      <c r="I301" s="14">
        <f>SUM(K301:T301)</f>
        <v/>
      </c>
      <c r="J301" s="14">
        <f>F301-(G301+H301+I301)</f>
        <v/>
      </c>
      <c r="K301" s="14" t="n">
        <v>529.87</v>
      </c>
      <c r="L301" s="14" t="n">
        <v>529.87</v>
      </c>
      <c r="M301" s="14" t="n">
        <v>529.87</v>
      </c>
      <c r="N301" s="14" t="n">
        <v>529.87</v>
      </c>
      <c r="O301" s="14" t="n">
        <v>529.87</v>
      </c>
      <c r="P301" s="14" t="n">
        <v>529.87</v>
      </c>
      <c r="Q301" s="14" t="n">
        <v>529.87</v>
      </c>
      <c r="R301" s="14" t="n">
        <v>529.87</v>
      </c>
      <c r="S301" s="14" t="n">
        <v>529.87</v>
      </c>
      <c r="T301" s="14" t="n">
        <v>529.87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CANON-202605-006395</t>
        </is>
      </c>
      <c r="B302" s="15" t="inlineStr">
        <is>
          <t>2026-05-16</t>
        </is>
      </c>
      <c r="C302" s="15" t="inlineStr">
        <is>
          <t>Cassius Merriweather</t>
        </is>
      </c>
      <c r="D302" s="15" t="inlineStr">
        <is>
          <t>MS</t>
        </is>
      </c>
      <c r="E302" s="16" t="n">
        <v>255000</v>
      </c>
      <c r="F302" s="16" t="n">
        <v>3337.37</v>
      </c>
      <c r="G302" s="16" t="n">
        <v>417.17</v>
      </c>
      <c r="H302" s="16" t="n">
        <v>417.17</v>
      </c>
      <c r="I302" s="16">
        <f>SUM(K302:T302)</f>
        <v/>
      </c>
      <c r="J302" s="16">
        <f>F302-(G302+H302+I302)</f>
        <v/>
      </c>
      <c r="K302" s="16" t="n">
        <v>250.3</v>
      </c>
      <c r="L302" s="16" t="n">
        <v>250.3</v>
      </c>
      <c r="M302" s="16" t="n">
        <v>250.3</v>
      </c>
      <c r="N302" s="16" t="n">
        <v>250.3</v>
      </c>
      <c r="O302" s="16" t="n">
        <v>250.3</v>
      </c>
      <c r="P302" s="16" t="n">
        <v>250.3</v>
      </c>
      <c r="Q302" s="16" t="n">
        <v>250.3</v>
      </c>
      <c r="R302" s="16" t="n">
        <v>250.3</v>
      </c>
      <c r="S302" s="16" t="n">
        <v>250.3</v>
      </c>
      <c r="T302" s="16" t="n">
        <v>250.3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CANON-202605-006396</t>
        </is>
      </c>
      <c r="B303" s="3" t="inlineStr">
        <is>
          <t>2026-05-15</t>
        </is>
      </c>
      <c r="C303" s="3" t="inlineStr">
        <is>
          <t>Leopold Thistlewood</t>
        </is>
      </c>
      <c r="D303" s="3" t="inlineStr">
        <is>
          <t>AZ</t>
        </is>
      </c>
      <c r="E303" s="14" t="n">
        <v>635000</v>
      </c>
      <c r="F303" s="14" t="n">
        <v>7335.79</v>
      </c>
      <c r="G303" s="14" t="n">
        <v>916.97</v>
      </c>
      <c r="H303" s="14" t="n">
        <v>916.97</v>
      </c>
      <c r="I303" s="14">
        <f>SUM(K303:T303)</f>
        <v/>
      </c>
      <c r="J303" s="14">
        <f>F303-(G303+H303+I303)</f>
        <v/>
      </c>
      <c r="K303" s="14" t="n">
        <v>550.1799999999999</v>
      </c>
      <c r="L303" s="14" t="n">
        <v>550.1799999999999</v>
      </c>
      <c r="M303" s="14" t="n">
        <v>550.1799999999999</v>
      </c>
      <c r="N303" s="14" t="n">
        <v>550.1799999999999</v>
      </c>
      <c r="O303" s="14" t="n">
        <v>550.1799999999999</v>
      </c>
      <c r="P303" s="14" t="n">
        <v>550.1799999999999</v>
      </c>
      <c r="Q303" s="14" t="n">
        <v>550.1799999999999</v>
      </c>
      <c r="R303" s="14" t="n">
        <v>550.1799999999999</v>
      </c>
      <c r="S303" s="14" t="n">
        <v>550.1799999999999</v>
      </c>
      <c r="T303" s="14" t="n">
        <v>550.1799999999999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CANON-202605-006398</t>
        </is>
      </c>
      <c r="B304" s="15" t="inlineStr">
        <is>
          <t>2026-05-18</t>
        </is>
      </c>
      <c r="C304" s="15" t="inlineStr">
        <is>
          <t>Delphine Harrington</t>
        </is>
      </c>
      <c r="D304" s="15" t="inlineStr">
        <is>
          <t>MI</t>
        </is>
      </c>
      <c r="E304" s="16" t="n">
        <v>365000</v>
      </c>
      <c r="F304" s="16" t="n">
        <v>6222.19</v>
      </c>
      <c r="G304" s="16" t="n">
        <v>777.77</v>
      </c>
      <c r="H304" s="16" t="n">
        <v>777.77</v>
      </c>
      <c r="I304" s="16">
        <f>SUM(K304:T304)</f>
        <v/>
      </c>
      <c r="J304" s="16">
        <f>F304-(G304+H304+I304)</f>
        <v/>
      </c>
      <c r="K304" s="16" t="n">
        <v>466.66</v>
      </c>
      <c r="L304" s="16" t="n">
        <v>466.66</v>
      </c>
      <c r="M304" s="16" t="n">
        <v>466.66</v>
      </c>
      <c r="N304" s="16" t="n">
        <v>466.66</v>
      </c>
      <c r="O304" s="16" t="n">
        <v>466.66</v>
      </c>
      <c r="P304" s="16" t="n">
        <v>466.66</v>
      </c>
      <c r="Q304" s="16" t="n">
        <v>466.66</v>
      </c>
      <c r="R304" s="16" t="n">
        <v>466.66</v>
      </c>
      <c r="S304" s="16" t="n">
        <v>466.66</v>
      </c>
      <c r="T304" s="16" t="n">
        <v>466.66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CANON-202605-006399</t>
        </is>
      </c>
      <c r="B305" s="3" t="inlineStr">
        <is>
          <t>2026-05-13</t>
        </is>
      </c>
      <c r="C305" s="3" t="inlineStr">
        <is>
          <t>Delphine Fairweather</t>
        </is>
      </c>
      <c r="D305" s="3" t="inlineStr">
        <is>
          <t>LA</t>
        </is>
      </c>
      <c r="E305" s="14" t="n">
        <v>505000</v>
      </c>
      <c r="F305" s="14" t="n">
        <v>5824.34</v>
      </c>
      <c r="G305" s="14" t="n">
        <v>728.04</v>
      </c>
      <c r="H305" s="14" t="n">
        <v>728.04</v>
      </c>
      <c r="I305" s="14">
        <f>SUM(K305:T305)</f>
        <v/>
      </c>
      <c r="J305" s="14">
        <f>F305-(G305+H305+I305)</f>
        <v/>
      </c>
      <c r="K305" s="14" t="n">
        <v>436.83</v>
      </c>
      <c r="L305" s="14" t="n">
        <v>436.83</v>
      </c>
      <c r="M305" s="14" t="n">
        <v>436.83</v>
      </c>
      <c r="N305" s="14" t="n">
        <v>436.83</v>
      </c>
      <c r="O305" s="14" t="n">
        <v>436.83</v>
      </c>
      <c r="P305" s="14" t="n">
        <v>436.83</v>
      </c>
      <c r="Q305" s="14" t="n">
        <v>436.83</v>
      </c>
      <c r="R305" s="14" t="n">
        <v>436.83</v>
      </c>
      <c r="S305" s="14" t="n">
        <v>436.83</v>
      </c>
      <c r="T305" s="14" t="n">
        <v>436.83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CANON-202605-006403</t>
        </is>
      </c>
      <c r="B306" s="15" t="inlineStr">
        <is>
          <t>2026-05-29</t>
        </is>
      </c>
      <c r="C306" s="15" t="inlineStr">
        <is>
          <t>Mireille Montoya</t>
        </is>
      </c>
      <c r="D306" s="15" t="inlineStr">
        <is>
          <t>MI</t>
        </is>
      </c>
      <c r="E306" s="16" t="n">
        <v>620000</v>
      </c>
      <c r="F306" s="16" t="n">
        <v>9159.959999999999</v>
      </c>
      <c r="G306" s="16" t="n">
        <v>1144.99</v>
      </c>
      <c r="H306" s="16" t="n">
        <v>1144.99</v>
      </c>
      <c r="I306" s="16">
        <f>SUM(K306:T306)</f>
        <v/>
      </c>
      <c r="J306" s="16">
        <f>F306-(G306+H306+I306)</f>
        <v/>
      </c>
      <c r="K306" s="16" t="n">
        <v>687</v>
      </c>
      <c r="L306" s="16" t="n">
        <v>687</v>
      </c>
      <c r="M306" s="16" t="n">
        <v>687</v>
      </c>
      <c r="N306" s="16" t="n">
        <v>687</v>
      </c>
      <c r="O306" s="16" t="n">
        <v>687</v>
      </c>
      <c r="P306" s="16" t="n">
        <v>687</v>
      </c>
      <c r="Q306" s="16" t="n">
        <v>687</v>
      </c>
      <c r="R306" s="16" t="n">
        <v>687</v>
      </c>
      <c r="S306" s="16" t="n">
        <v>687</v>
      </c>
      <c r="T306" s="16" t="n">
        <v>687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CANON-202605-006404</t>
        </is>
      </c>
      <c r="B307" s="3" t="inlineStr">
        <is>
          <t>2026-05-18</t>
        </is>
      </c>
      <c r="C307" s="3" t="inlineStr">
        <is>
          <t>Saoirse Farkas</t>
        </is>
      </c>
      <c r="D307" s="3" t="inlineStr">
        <is>
          <t>ND</t>
        </is>
      </c>
      <c r="E307" s="14" t="n">
        <v>1135000</v>
      </c>
      <c r="F307" s="14" t="n">
        <v>6451.14</v>
      </c>
      <c r="G307" s="14" t="n">
        <v>806.39</v>
      </c>
      <c r="H307" s="14" t="n">
        <v>806.39</v>
      </c>
      <c r="I307" s="14">
        <f>SUM(K307:T307)</f>
        <v/>
      </c>
      <c r="J307" s="14">
        <f>F307-(G307+H307+I307)</f>
        <v/>
      </c>
      <c r="K307" s="14" t="n">
        <v>483.84</v>
      </c>
      <c r="L307" s="14" t="n">
        <v>483.84</v>
      </c>
      <c r="M307" s="14" t="n">
        <v>483.84</v>
      </c>
      <c r="N307" s="14" t="n">
        <v>483.84</v>
      </c>
      <c r="O307" s="14" t="n">
        <v>483.84</v>
      </c>
      <c r="P307" s="14" t="n">
        <v>483.84</v>
      </c>
      <c r="Q307" s="14" t="n">
        <v>483.84</v>
      </c>
      <c r="R307" s="14" t="n">
        <v>483.84</v>
      </c>
      <c r="S307" s="14" t="n">
        <v>483.84</v>
      </c>
      <c r="T307" s="14" t="n">
        <v>483.84</v>
      </c>
      <c r="U307" s="14" t="n">
        <v>350</v>
      </c>
      <c r="V307" s="14" t="n">
        <v>250</v>
      </c>
      <c r="W307" s="14">
        <f>U307+V307</f>
        <v/>
      </c>
    </row>
    <row r="308">
      <c r="A308" s="15" t="inlineStr">
        <is>
          <t>CANON-202605-006405</t>
        </is>
      </c>
      <c r="B308" s="15" t="inlineStr">
        <is>
          <t>2026-05-01</t>
        </is>
      </c>
      <c r="C308" s="15" t="inlineStr">
        <is>
          <t>Callum Pennington</t>
        </is>
      </c>
      <c r="D308" s="15" t="inlineStr">
        <is>
          <t>IL</t>
        </is>
      </c>
      <c r="E308" s="16" t="n">
        <v>1470000</v>
      </c>
      <c r="F308" s="16" t="n">
        <v>16124.12</v>
      </c>
      <c r="G308" s="16" t="n">
        <v>2015.52</v>
      </c>
      <c r="H308" s="16" t="n">
        <v>2015.52</v>
      </c>
      <c r="I308" s="16">
        <f>SUM(K308:T308)</f>
        <v/>
      </c>
      <c r="J308" s="16">
        <f>F308-(G308+H308+I308)</f>
        <v/>
      </c>
      <c r="K308" s="16" t="n">
        <v>1209.31</v>
      </c>
      <c r="L308" s="16" t="n">
        <v>1209.31</v>
      </c>
      <c r="M308" s="16" t="n">
        <v>1209.31</v>
      </c>
      <c r="N308" s="16" t="n">
        <v>1209.31</v>
      </c>
      <c r="O308" s="16" t="n">
        <v>1209.31</v>
      </c>
      <c r="P308" s="16" t="n">
        <v>1209.31</v>
      </c>
      <c r="Q308" s="16" t="n">
        <v>1209.31</v>
      </c>
      <c r="R308" s="16" t="n">
        <v>1209.31</v>
      </c>
      <c r="S308" s="16" t="n">
        <v>1209.31</v>
      </c>
      <c r="T308" s="16" t="n">
        <v>1209.31</v>
      </c>
      <c r="U308" s="16" t="n">
        <v>350</v>
      </c>
      <c r="V308" s="16" t="n">
        <v>250</v>
      </c>
      <c r="W308" s="16">
        <f>U308+V308</f>
        <v/>
      </c>
    </row>
    <row r="309">
      <c r="A309" s="3" t="inlineStr">
        <is>
          <t>CANON-202605-006407</t>
        </is>
      </c>
      <c r="B309" s="3" t="inlineStr">
        <is>
          <t>2026-05-11</t>
        </is>
      </c>
      <c r="C309" s="3" t="inlineStr">
        <is>
          <t>Callum Castellanos</t>
        </is>
      </c>
      <c r="D309" s="3" t="inlineStr">
        <is>
          <t>RI</t>
        </is>
      </c>
      <c r="E309" s="14" t="n">
        <v>910000</v>
      </c>
      <c r="F309" s="14" t="n">
        <v>11883.17</v>
      </c>
      <c r="G309" s="14" t="n">
        <v>1485.4</v>
      </c>
      <c r="H309" s="14" t="n">
        <v>1485.4</v>
      </c>
      <c r="I309" s="14">
        <f>SUM(K309:T309)</f>
        <v/>
      </c>
      <c r="J309" s="14">
        <f>F309-(G309+H309+I309)</f>
        <v/>
      </c>
      <c r="K309" s="14" t="n">
        <v>891.24</v>
      </c>
      <c r="L309" s="14" t="n">
        <v>891.24</v>
      </c>
      <c r="M309" s="14" t="n">
        <v>891.24</v>
      </c>
      <c r="N309" s="14" t="n">
        <v>891.24</v>
      </c>
      <c r="O309" s="14" t="n">
        <v>891.24</v>
      </c>
      <c r="P309" s="14" t="n">
        <v>891.24</v>
      </c>
      <c r="Q309" s="14" t="n">
        <v>891.24</v>
      </c>
      <c r="R309" s="14" t="n">
        <v>891.24</v>
      </c>
      <c r="S309" s="14" t="n">
        <v>891.24</v>
      </c>
      <c r="T309" s="14" t="n">
        <v>891.24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CANON-202605-006408</t>
        </is>
      </c>
      <c r="B310" s="15" t="inlineStr">
        <is>
          <t>2026-05-10</t>
        </is>
      </c>
      <c r="C310" s="15" t="inlineStr">
        <is>
          <t>Ottilie Vandermeer</t>
        </is>
      </c>
      <c r="D310" s="15" t="inlineStr">
        <is>
          <t>NY</t>
        </is>
      </c>
      <c r="E310" s="16" t="n">
        <v>1200000</v>
      </c>
      <c r="F310" s="16" t="n">
        <v>18019.31</v>
      </c>
      <c r="G310" s="16" t="n">
        <v>2252.41</v>
      </c>
      <c r="H310" s="16" t="n">
        <v>2252.41</v>
      </c>
      <c r="I310" s="16">
        <f>SUM(K310:T310)</f>
        <v/>
      </c>
      <c r="J310" s="16">
        <f>F310-(G310+H310+I310)</f>
        <v/>
      </c>
      <c r="K310" s="16" t="n">
        <v>1351.45</v>
      </c>
      <c r="L310" s="16" t="n">
        <v>1351.45</v>
      </c>
      <c r="M310" s="16" t="n">
        <v>1351.45</v>
      </c>
      <c r="N310" s="16" t="n">
        <v>1351.45</v>
      </c>
      <c r="O310" s="16" t="n">
        <v>1351.45</v>
      </c>
      <c r="P310" s="16" t="n">
        <v>1351.45</v>
      </c>
      <c r="Q310" s="16" t="n">
        <v>1351.45</v>
      </c>
      <c r="R310" s="16" t="n">
        <v>1351.45</v>
      </c>
      <c r="S310" s="16" t="n">
        <v>1351.45</v>
      </c>
      <c r="T310" s="16" t="n">
        <v>1351.45</v>
      </c>
      <c r="U310" s="16" t="n">
        <v>350</v>
      </c>
      <c r="V310" s="16" t="n">
        <v>250</v>
      </c>
      <c r="W310" s="16">
        <f>U310+V310</f>
        <v/>
      </c>
    </row>
    <row r="311">
      <c r="A311" s="3" t="inlineStr">
        <is>
          <t>CANON-202605-006409</t>
        </is>
      </c>
      <c r="B311" s="3" t="inlineStr">
        <is>
          <t>2026-05-23</t>
        </is>
      </c>
      <c r="C311" s="3" t="inlineStr">
        <is>
          <t>Anouk Harrington</t>
        </is>
      </c>
      <c r="D311" s="3" t="inlineStr">
        <is>
          <t>CO</t>
        </is>
      </c>
      <c r="E311" s="14" t="n">
        <v>400000</v>
      </c>
      <c r="F311" s="14" t="n">
        <v>4839.17</v>
      </c>
      <c r="G311" s="14" t="n">
        <v>604.9</v>
      </c>
      <c r="H311" s="14" t="n">
        <v>604.9</v>
      </c>
      <c r="I311" s="14">
        <f>SUM(K311:T311)</f>
        <v/>
      </c>
      <c r="J311" s="14">
        <f>F311-(G311+H311+I311)</f>
        <v/>
      </c>
      <c r="K311" s="14" t="n">
        <v>362.94</v>
      </c>
      <c r="L311" s="14" t="n">
        <v>362.94</v>
      </c>
      <c r="M311" s="14" t="n">
        <v>362.94</v>
      </c>
      <c r="N311" s="14" t="n">
        <v>362.94</v>
      </c>
      <c r="O311" s="14" t="n">
        <v>362.94</v>
      </c>
      <c r="P311" s="14" t="n">
        <v>362.94</v>
      </c>
      <c r="Q311" s="14" t="n">
        <v>362.94</v>
      </c>
      <c r="R311" s="14" t="n">
        <v>362.94</v>
      </c>
      <c r="S311" s="14" t="n">
        <v>362.94</v>
      </c>
      <c r="T311" s="14" t="n">
        <v>362.94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CANON-202605-006410</t>
        </is>
      </c>
      <c r="B312" s="15" t="inlineStr">
        <is>
          <t>2026-05-26</t>
        </is>
      </c>
      <c r="C312" s="15" t="inlineStr">
        <is>
          <t>Noor Farkas</t>
        </is>
      </c>
      <c r="D312" s="15" t="inlineStr">
        <is>
          <t>ND</t>
        </is>
      </c>
      <c r="E312" s="16" t="n">
        <v>865000</v>
      </c>
      <c r="F312" s="16" t="n">
        <v>8409.82</v>
      </c>
      <c r="G312" s="16" t="n">
        <v>1051.23</v>
      </c>
      <c r="H312" s="16" t="n">
        <v>1051.23</v>
      </c>
      <c r="I312" s="16">
        <f>SUM(K312:T312)</f>
        <v/>
      </c>
      <c r="J312" s="16">
        <f>F312-(G312+H312+I312)</f>
        <v/>
      </c>
      <c r="K312" s="16" t="n">
        <v>630.74</v>
      </c>
      <c r="L312" s="16" t="n">
        <v>630.74</v>
      </c>
      <c r="M312" s="16" t="n">
        <v>630.74</v>
      </c>
      <c r="N312" s="16" t="n">
        <v>630.74</v>
      </c>
      <c r="O312" s="16" t="n">
        <v>630.74</v>
      </c>
      <c r="P312" s="16" t="n">
        <v>630.74</v>
      </c>
      <c r="Q312" s="16" t="n">
        <v>630.74</v>
      </c>
      <c r="R312" s="16" t="n">
        <v>630.74</v>
      </c>
      <c r="S312" s="16" t="n">
        <v>630.74</v>
      </c>
      <c r="T312" s="16" t="n">
        <v>630.74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CANON-202605-006411</t>
        </is>
      </c>
      <c r="B313" s="3" t="inlineStr">
        <is>
          <t>2026-05-04</t>
        </is>
      </c>
      <c r="C313" s="3" t="inlineStr">
        <is>
          <t>Aurelio Fairweather</t>
        </is>
      </c>
      <c r="D313" s="3" t="inlineStr">
        <is>
          <t>FL</t>
        </is>
      </c>
      <c r="E313" s="14" t="n">
        <v>1950000</v>
      </c>
      <c r="F313" s="14" t="n">
        <v>15429.91</v>
      </c>
      <c r="G313" s="14" t="n">
        <v>1928.74</v>
      </c>
      <c r="H313" s="14" t="n">
        <v>1928.74</v>
      </c>
      <c r="I313" s="14">
        <f>SUM(K313:T313)</f>
        <v/>
      </c>
      <c r="J313" s="14">
        <f>F313-(G313+H313+I313)</f>
        <v/>
      </c>
      <c r="K313" s="14" t="n">
        <v>1157.24</v>
      </c>
      <c r="L313" s="14" t="n">
        <v>1157.24</v>
      </c>
      <c r="M313" s="14" t="n">
        <v>1157.24</v>
      </c>
      <c r="N313" s="14" t="n">
        <v>1157.24</v>
      </c>
      <c r="O313" s="14" t="n">
        <v>1157.24</v>
      </c>
      <c r="P313" s="14" t="n">
        <v>1157.24</v>
      </c>
      <c r="Q313" s="14" t="n">
        <v>1157.24</v>
      </c>
      <c r="R313" s="14" t="n">
        <v>1157.24</v>
      </c>
      <c r="S313" s="14" t="n">
        <v>1157.24</v>
      </c>
      <c r="T313" s="14" t="n">
        <v>1157.24</v>
      </c>
      <c r="U313" s="14" t="n">
        <v>350</v>
      </c>
      <c r="V313" s="14" t="n">
        <v>250</v>
      </c>
      <c r="W313" s="14">
        <f>U313+V313</f>
        <v/>
      </c>
    </row>
    <row r="314">
      <c r="A314" s="15" t="inlineStr">
        <is>
          <t>CANON-202605-006412</t>
        </is>
      </c>
      <c r="B314" s="15" t="inlineStr">
        <is>
          <t>2026-05-11</t>
        </is>
      </c>
      <c r="C314" s="15" t="inlineStr">
        <is>
          <t>Leopold Bellandi</t>
        </is>
      </c>
      <c r="D314" s="15" t="inlineStr">
        <is>
          <t>AZ</t>
        </is>
      </c>
      <c r="E314" s="16" t="n">
        <v>595000</v>
      </c>
      <c r="F314" s="16" t="n">
        <v>5728.07</v>
      </c>
      <c r="G314" s="16" t="n">
        <v>716.01</v>
      </c>
      <c r="H314" s="16" t="n">
        <v>716.01</v>
      </c>
      <c r="I314" s="16">
        <f>SUM(K314:T314)</f>
        <v/>
      </c>
      <c r="J314" s="16">
        <f>F314-(G314+H314+I314)</f>
        <v/>
      </c>
      <c r="K314" s="16" t="n">
        <v>429.61</v>
      </c>
      <c r="L314" s="16" t="n">
        <v>429.61</v>
      </c>
      <c r="M314" s="16" t="n">
        <v>429.61</v>
      </c>
      <c r="N314" s="16" t="n">
        <v>429.61</v>
      </c>
      <c r="O314" s="16" t="n">
        <v>429.61</v>
      </c>
      <c r="P314" s="16" t="n">
        <v>429.61</v>
      </c>
      <c r="Q314" s="16" t="n">
        <v>429.61</v>
      </c>
      <c r="R314" s="16" t="n">
        <v>429.61</v>
      </c>
      <c r="S314" s="16" t="n">
        <v>429.61</v>
      </c>
      <c r="T314" s="16" t="n">
        <v>429.61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CANON-202605-006413</t>
        </is>
      </c>
      <c r="B315" s="3" t="inlineStr">
        <is>
          <t>2026-05-24</t>
        </is>
      </c>
      <c r="C315" s="3" t="inlineStr">
        <is>
          <t>Everett Nakashima</t>
        </is>
      </c>
      <c r="D315" s="3" t="inlineStr">
        <is>
          <t>FL</t>
        </is>
      </c>
      <c r="E315" s="14" t="n">
        <v>1570000</v>
      </c>
      <c r="F315" s="14" t="n">
        <v>12423.06</v>
      </c>
      <c r="G315" s="14" t="n">
        <v>1552.88</v>
      </c>
      <c r="H315" s="14" t="n">
        <v>1552.88</v>
      </c>
      <c r="I315" s="14">
        <f>SUM(K315:T315)</f>
        <v/>
      </c>
      <c r="J315" s="14">
        <f>F315-(G315+H315+I315)</f>
        <v/>
      </c>
      <c r="K315" s="14" t="n">
        <v>931.73</v>
      </c>
      <c r="L315" s="14" t="n">
        <v>931.73</v>
      </c>
      <c r="M315" s="14" t="n">
        <v>931.73</v>
      </c>
      <c r="N315" s="14" t="n">
        <v>931.73</v>
      </c>
      <c r="O315" s="14" t="n">
        <v>931.73</v>
      </c>
      <c r="P315" s="14" t="n">
        <v>931.73</v>
      </c>
      <c r="Q315" s="14" t="n">
        <v>931.73</v>
      </c>
      <c r="R315" s="14" t="n">
        <v>931.73</v>
      </c>
      <c r="S315" s="14" t="n">
        <v>931.73</v>
      </c>
      <c r="T315" s="14" t="n">
        <v>931.73</v>
      </c>
      <c r="U315" s="14" t="n">
        <v>350</v>
      </c>
      <c r="V315" s="14" t="n">
        <v>250</v>
      </c>
      <c r="W315" s="14">
        <f>U315+V315</f>
        <v/>
      </c>
    </row>
    <row r="316">
      <c r="A316" s="15" t="inlineStr">
        <is>
          <t>CANON-202605-006415</t>
        </is>
      </c>
      <c r="B316" s="15" t="inlineStr">
        <is>
          <t>2026-05-02</t>
        </is>
      </c>
      <c r="C316" s="15" t="inlineStr">
        <is>
          <t>Saoirse Larsson</t>
        </is>
      </c>
      <c r="D316" s="15" t="inlineStr">
        <is>
          <t>NC</t>
        </is>
      </c>
      <c r="E316" s="16" t="n">
        <v>865000</v>
      </c>
      <c r="F316" s="16" t="n">
        <v>6272.48</v>
      </c>
      <c r="G316" s="16" t="n">
        <v>784.0599999999999</v>
      </c>
      <c r="H316" s="16" t="n">
        <v>784.0599999999999</v>
      </c>
      <c r="I316" s="16">
        <f>SUM(K316:T316)</f>
        <v/>
      </c>
      <c r="J316" s="16">
        <f>F316-(G316+H316+I316)</f>
        <v/>
      </c>
      <c r="K316" s="16" t="n">
        <v>470.44</v>
      </c>
      <c r="L316" s="16" t="n">
        <v>470.44</v>
      </c>
      <c r="M316" s="16" t="n">
        <v>470.44</v>
      </c>
      <c r="N316" s="16" t="n">
        <v>470.44</v>
      </c>
      <c r="O316" s="16" t="n">
        <v>470.44</v>
      </c>
      <c r="P316" s="16" t="n">
        <v>470.44</v>
      </c>
      <c r="Q316" s="16" t="n">
        <v>470.44</v>
      </c>
      <c r="R316" s="16" t="n">
        <v>470.44</v>
      </c>
      <c r="S316" s="16" t="n">
        <v>470.44</v>
      </c>
      <c r="T316" s="16" t="n">
        <v>470.44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CANON-202605-006416</t>
        </is>
      </c>
      <c r="B317" s="3" t="inlineStr">
        <is>
          <t>2026-05-28</t>
        </is>
      </c>
      <c r="C317" s="3" t="inlineStr">
        <is>
          <t>Fenwick Montoya</t>
        </is>
      </c>
      <c r="D317" s="3" t="inlineStr">
        <is>
          <t>PA</t>
        </is>
      </c>
      <c r="E317" s="14" t="n">
        <v>1375000</v>
      </c>
      <c r="F317" s="14" t="n">
        <v>16130.57</v>
      </c>
      <c r="G317" s="14" t="n">
        <v>2016.32</v>
      </c>
      <c r="H317" s="14" t="n">
        <v>2016.32</v>
      </c>
      <c r="I317" s="14">
        <f>SUM(K317:T317)</f>
        <v/>
      </c>
      <c r="J317" s="14">
        <f>F317-(G317+H317+I317)</f>
        <v/>
      </c>
      <c r="K317" s="14" t="n">
        <v>1209.79</v>
      </c>
      <c r="L317" s="14" t="n">
        <v>1209.79</v>
      </c>
      <c r="M317" s="14" t="n">
        <v>1209.79</v>
      </c>
      <c r="N317" s="14" t="n">
        <v>1209.79</v>
      </c>
      <c r="O317" s="14" t="n">
        <v>1209.79</v>
      </c>
      <c r="P317" s="14" t="n">
        <v>1209.79</v>
      </c>
      <c r="Q317" s="14" t="n">
        <v>1209.79</v>
      </c>
      <c r="R317" s="14" t="n">
        <v>1209.79</v>
      </c>
      <c r="S317" s="14" t="n">
        <v>1209.79</v>
      </c>
      <c r="T317" s="14" t="n">
        <v>1209.79</v>
      </c>
      <c r="U317" s="14" t="n">
        <v>350</v>
      </c>
      <c r="V317" s="14" t="n">
        <v>250</v>
      </c>
      <c r="W317" s="14">
        <f>U317+V317</f>
        <v/>
      </c>
    </row>
    <row r="318">
      <c r="A318" s="15" t="inlineStr">
        <is>
          <t>CANON-202605-006417</t>
        </is>
      </c>
      <c r="B318" s="15" t="inlineStr">
        <is>
          <t>2026-05-11</t>
        </is>
      </c>
      <c r="C318" s="15" t="inlineStr">
        <is>
          <t>Callum Okonkwo</t>
        </is>
      </c>
      <c r="D318" s="15" t="inlineStr">
        <is>
          <t>MA</t>
        </is>
      </c>
      <c r="E318" s="16" t="n">
        <v>695000</v>
      </c>
      <c r="F318" s="16" t="n">
        <v>8280.66</v>
      </c>
      <c r="G318" s="16" t="n">
        <v>1035.08</v>
      </c>
      <c r="H318" s="16" t="n">
        <v>1035.08</v>
      </c>
      <c r="I318" s="16">
        <f>SUM(K318:T318)</f>
        <v/>
      </c>
      <c r="J318" s="16">
        <f>F318-(G318+H318+I318)</f>
        <v/>
      </c>
      <c r="K318" s="16" t="n">
        <v>621.05</v>
      </c>
      <c r="L318" s="16" t="n">
        <v>621.05</v>
      </c>
      <c r="M318" s="16" t="n">
        <v>621.05</v>
      </c>
      <c r="N318" s="16" t="n">
        <v>621.05</v>
      </c>
      <c r="O318" s="16" t="n">
        <v>621.05</v>
      </c>
      <c r="P318" s="16" t="n">
        <v>621.05</v>
      </c>
      <c r="Q318" s="16" t="n">
        <v>621.05</v>
      </c>
      <c r="R318" s="16" t="n">
        <v>621.05</v>
      </c>
      <c r="S318" s="16" t="n">
        <v>621.05</v>
      </c>
      <c r="T318" s="16" t="n">
        <v>621.05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CANON-202605-006418</t>
        </is>
      </c>
      <c r="B319" s="3" t="inlineStr">
        <is>
          <t>2026-05-04</t>
        </is>
      </c>
      <c r="C319" s="3" t="inlineStr">
        <is>
          <t>Ramona Merriweather</t>
        </is>
      </c>
      <c r="D319" s="3" t="inlineStr">
        <is>
          <t>MA</t>
        </is>
      </c>
      <c r="E319" s="14" t="n">
        <v>665000</v>
      </c>
      <c r="F319" s="14" t="n">
        <v>5241.51</v>
      </c>
      <c r="G319" s="14" t="n">
        <v>655.1900000000001</v>
      </c>
      <c r="H319" s="14" t="n">
        <v>655.1900000000001</v>
      </c>
      <c r="I319" s="14">
        <f>SUM(K319:T319)</f>
        <v/>
      </c>
      <c r="J319" s="14">
        <f>F319-(G319+H319+I319)</f>
        <v/>
      </c>
      <c r="K319" s="14" t="n">
        <v>393.11</v>
      </c>
      <c r="L319" s="14" t="n">
        <v>393.11</v>
      </c>
      <c r="M319" s="14" t="n">
        <v>393.11</v>
      </c>
      <c r="N319" s="14" t="n">
        <v>393.11</v>
      </c>
      <c r="O319" s="14" t="n">
        <v>393.11</v>
      </c>
      <c r="P319" s="14" t="n">
        <v>393.11</v>
      </c>
      <c r="Q319" s="14" t="n">
        <v>393.11</v>
      </c>
      <c r="R319" s="14" t="n">
        <v>393.11</v>
      </c>
      <c r="S319" s="14" t="n">
        <v>393.11</v>
      </c>
      <c r="T319" s="14" t="n">
        <v>393.11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CANON-202605-006419</t>
        </is>
      </c>
      <c r="B320" s="15" t="inlineStr">
        <is>
          <t>2026-05-16</t>
        </is>
      </c>
      <c r="C320" s="15" t="inlineStr">
        <is>
          <t>Noor Montoya</t>
        </is>
      </c>
      <c r="D320" s="15" t="inlineStr">
        <is>
          <t>CO</t>
        </is>
      </c>
      <c r="E320" s="16" t="n">
        <v>255000</v>
      </c>
      <c r="F320" s="16" t="n">
        <v>3084.97</v>
      </c>
      <c r="G320" s="16" t="n">
        <v>385.62</v>
      </c>
      <c r="H320" s="16" t="n">
        <v>385.62</v>
      </c>
      <c r="I320" s="16">
        <f>SUM(K320:T320)</f>
        <v/>
      </c>
      <c r="J320" s="16">
        <f>F320-(G320+H320+I320)</f>
        <v/>
      </c>
      <c r="K320" s="16" t="n">
        <v>231.37</v>
      </c>
      <c r="L320" s="16" t="n">
        <v>231.37</v>
      </c>
      <c r="M320" s="16" t="n">
        <v>231.37</v>
      </c>
      <c r="N320" s="16" t="n">
        <v>231.37</v>
      </c>
      <c r="O320" s="16" t="n">
        <v>231.37</v>
      </c>
      <c r="P320" s="16" t="n">
        <v>231.37</v>
      </c>
      <c r="Q320" s="16" t="n">
        <v>231.37</v>
      </c>
      <c r="R320" s="16" t="n">
        <v>231.37</v>
      </c>
      <c r="S320" s="16" t="n">
        <v>231.37</v>
      </c>
      <c r="T320" s="16" t="n">
        <v>231.37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CANON-202605-006420</t>
        </is>
      </c>
      <c r="B321" s="3" t="inlineStr">
        <is>
          <t>2026-05-11</t>
        </is>
      </c>
      <c r="C321" s="3" t="inlineStr">
        <is>
          <t>Delphine Delacroix</t>
        </is>
      </c>
      <c r="D321" s="3" t="inlineStr">
        <is>
          <t>FL</t>
        </is>
      </c>
      <c r="E321" s="14" t="n">
        <v>810000</v>
      </c>
      <c r="F321" s="14" t="n">
        <v>10963.36</v>
      </c>
      <c r="G321" s="14" t="n">
        <v>1370.42</v>
      </c>
      <c r="H321" s="14" t="n">
        <v>1370.42</v>
      </c>
      <c r="I321" s="14">
        <f>SUM(K321:T321)</f>
        <v/>
      </c>
      <c r="J321" s="14">
        <f>F321-(G321+H321+I321)</f>
        <v/>
      </c>
      <c r="K321" s="14" t="n">
        <v>822.25</v>
      </c>
      <c r="L321" s="14" t="n">
        <v>822.25</v>
      </c>
      <c r="M321" s="14" t="n">
        <v>822.25</v>
      </c>
      <c r="N321" s="14" t="n">
        <v>822.25</v>
      </c>
      <c r="O321" s="14" t="n">
        <v>822.25</v>
      </c>
      <c r="P321" s="14" t="n">
        <v>822.25</v>
      </c>
      <c r="Q321" s="14" t="n">
        <v>822.25</v>
      </c>
      <c r="R321" s="14" t="n">
        <v>822.25</v>
      </c>
      <c r="S321" s="14" t="n">
        <v>822.25</v>
      </c>
      <c r="T321" s="14" t="n">
        <v>822.25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CANON-202605-006422</t>
        </is>
      </c>
      <c r="B322" s="15" t="inlineStr">
        <is>
          <t>2026-05-25</t>
        </is>
      </c>
      <c r="C322" s="15" t="inlineStr">
        <is>
          <t>Fitzgerald Whitlock</t>
        </is>
      </c>
      <c r="D322" s="15" t="inlineStr">
        <is>
          <t>MT</t>
        </is>
      </c>
      <c r="E322" s="16" t="n">
        <v>445000</v>
      </c>
      <c r="F322" s="16" t="n">
        <v>4551.57</v>
      </c>
      <c r="G322" s="16" t="n">
        <v>568.95</v>
      </c>
      <c r="H322" s="16" t="n">
        <v>568.95</v>
      </c>
      <c r="I322" s="16">
        <f>SUM(K322:T322)</f>
        <v/>
      </c>
      <c r="J322" s="16">
        <f>F322-(G322+H322+I322)</f>
        <v/>
      </c>
      <c r="K322" s="16" t="n">
        <v>341.37</v>
      </c>
      <c r="L322" s="16" t="n">
        <v>341.37</v>
      </c>
      <c r="M322" s="16" t="n">
        <v>341.37</v>
      </c>
      <c r="N322" s="16" t="n">
        <v>341.37</v>
      </c>
      <c r="O322" s="16" t="n">
        <v>341.37</v>
      </c>
      <c r="P322" s="16" t="n">
        <v>341.37</v>
      </c>
      <c r="Q322" s="16" t="n">
        <v>341.37</v>
      </c>
      <c r="R322" s="16" t="n">
        <v>341.37</v>
      </c>
      <c r="S322" s="16" t="n">
        <v>341.37</v>
      </c>
      <c r="T322" s="16" t="n">
        <v>341.37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CANON-202605-006426</t>
        </is>
      </c>
      <c r="B323" s="3" t="inlineStr">
        <is>
          <t>2026-05-10</t>
        </is>
      </c>
      <c r="C323" s="3" t="inlineStr">
        <is>
          <t>Cassius Ashcombe</t>
        </is>
      </c>
      <c r="D323" s="3" t="inlineStr">
        <is>
          <t>WY</t>
        </is>
      </c>
      <c r="E323" s="14" t="n">
        <v>345000</v>
      </c>
      <c r="F323" s="14" t="n">
        <v>4059.95</v>
      </c>
      <c r="G323" s="14" t="n">
        <v>507.49</v>
      </c>
      <c r="H323" s="14" t="n">
        <v>507.49</v>
      </c>
      <c r="I323" s="14">
        <f>SUM(K323:T323)</f>
        <v/>
      </c>
      <c r="J323" s="14">
        <f>F323-(G323+H323+I323)</f>
        <v/>
      </c>
      <c r="K323" s="14" t="n">
        <v>304.5</v>
      </c>
      <c r="L323" s="14" t="n">
        <v>304.5</v>
      </c>
      <c r="M323" s="14" t="n">
        <v>304.5</v>
      </c>
      <c r="N323" s="14" t="n">
        <v>304.5</v>
      </c>
      <c r="O323" s="14" t="n">
        <v>304.5</v>
      </c>
      <c r="P323" s="14" t="n">
        <v>304.5</v>
      </c>
      <c r="Q323" s="14" t="n">
        <v>304.5</v>
      </c>
      <c r="R323" s="14" t="n">
        <v>304.5</v>
      </c>
      <c r="S323" s="14" t="n">
        <v>304.5</v>
      </c>
      <c r="T323" s="14" t="n">
        <v>304.5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CANON-202605-006427</t>
        </is>
      </c>
      <c r="B324" s="15" t="inlineStr">
        <is>
          <t>2026-05-01</t>
        </is>
      </c>
      <c r="C324" s="15" t="inlineStr">
        <is>
          <t>Anouk Whitlock</t>
        </is>
      </c>
      <c r="D324" s="15" t="inlineStr">
        <is>
          <t>MA</t>
        </is>
      </c>
      <c r="E324" s="16" t="n">
        <v>1625000</v>
      </c>
      <c r="F324" s="16" t="n">
        <v>23829.25</v>
      </c>
      <c r="G324" s="16" t="n">
        <v>2978.66</v>
      </c>
      <c r="H324" s="16" t="n">
        <v>2978.66</v>
      </c>
      <c r="I324" s="16">
        <f>SUM(K324:T324)</f>
        <v/>
      </c>
      <c r="J324" s="16">
        <f>F324-(G324+H324+I324)</f>
        <v/>
      </c>
      <c r="K324" s="16" t="n">
        <v>1787.19</v>
      </c>
      <c r="L324" s="16" t="n">
        <v>1787.19</v>
      </c>
      <c r="M324" s="16" t="n">
        <v>1787.19</v>
      </c>
      <c r="N324" s="16" t="n">
        <v>1787.19</v>
      </c>
      <c r="O324" s="16" t="n">
        <v>1787.19</v>
      </c>
      <c r="P324" s="16" t="n">
        <v>1787.19</v>
      </c>
      <c r="Q324" s="16" t="n">
        <v>1787.19</v>
      </c>
      <c r="R324" s="16" t="n">
        <v>1787.19</v>
      </c>
      <c r="S324" s="16" t="n">
        <v>1787.19</v>
      </c>
      <c r="T324" s="16" t="n">
        <v>1787.19</v>
      </c>
      <c r="U324" s="16" t="n">
        <v>350</v>
      </c>
      <c r="V324" s="16" t="n">
        <v>250</v>
      </c>
      <c r="W324" s="16">
        <f>U324+V324</f>
        <v/>
      </c>
    </row>
    <row r="325">
      <c r="A325" s="3" t="inlineStr">
        <is>
          <t>CANON-202605-006428</t>
        </is>
      </c>
      <c r="B325" s="3" t="inlineStr">
        <is>
          <t>2026-05-25</t>
        </is>
      </c>
      <c r="C325" s="3" t="inlineStr">
        <is>
          <t>Saoirse Delacroix</t>
        </is>
      </c>
      <c r="D325" s="3" t="inlineStr">
        <is>
          <t>MS</t>
        </is>
      </c>
      <c r="E325" s="14" t="n">
        <v>370000</v>
      </c>
      <c r="F325" s="14" t="n">
        <v>4842.47</v>
      </c>
      <c r="G325" s="14" t="n">
        <v>605.3099999999999</v>
      </c>
      <c r="H325" s="14" t="n">
        <v>605.3099999999999</v>
      </c>
      <c r="I325" s="14">
        <f>SUM(K325:T325)</f>
        <v/>
      </c>
      <c r="J325" s="14">
        <f>F325-(G325+H325+I325)</f>
        <v/>
      </c>
      <c r="K325" s="14" t="n">
        <v>363.19</v>
      </c>
      <c r="L325" s="14" t="n">
        <v>363.19</v>
      </c>
      <c r="M325" s="14" t="n">
        <v>363.19</v>
      </c>
      <c r="N325" s="14" t="n">
        <v>363.19</v>
      </c>
      <c r="O325" s="14" t="n">
        <v>363.19</v>
      </c>
      <c r="P325" s="14" t="n">
        <v>363.19</v>
      </c>
      <c r="Q325" s="14" t="n">
        <v>363.19</v>
      </c>
      <c r="R325" s="14" t="n">
        <v>363.19</v>
      </c>
      <c r="S325" s="14" t="n">
        <v>363.19</v>
      </c>
      <c r="T325" s="14" t="n">
        <v>363.19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CANON-202605-006429</t>
        </is>
      </c>
      <c r="B326" s="15" t="inlineStr">
        <is>
          <t>2026-05-28</t>
        </is>
      </c>
      <c r="C326" s="15" t="inlineStr">
        <is>
          <t>Delphine Okonkwo</t>
        </is>
      </c>
      <c r="D326" s="15" t="inlineStr">
        <is>
          <t>NY</t>
        </is>
      </c>
      <c r="E326" s="16" t="n">
        <v>950000</v>
      </c>
      <c r="F326" s="16" t="n">
        <v>6776.01</v>
      </c>
      <c r="G326" s="16" t="n">
        <v>847</v>
      </c>
      <c r="H326" s="16" t="n">
        <v>847</v>
      </c>
      <c r="I326" s="16">
        <f>SUM(K326:T326)</f>
        <v/>
      </c>
      <c r="J326" s="16">
        <f>F326-(G326+H326+I326)</f>
        <v/>
      </c>
      <c r="K326" s="16" t="n">
        <v>508.2</v>
      </c>
      <c r="L326" s="16" t="n">
        <v>508.2</v>
      </c>
      <c r="M326" s="16" t="n">
        <v>508.2</v>
      </c>
      <c r="N326" s="16" t="n">
        <v>508.2</v>
      </c>
      <c r="O326" s="16" t="n">
        <v>508.2</v>
      </c>
      <c r="P326" s="16" t="n">
        <v>508.2</v>
      </c>
      <c r="Q326" s="16" t="n">
        <v>508.2</v>
      </c>
      <c r="R326" s="16" t="n">
        <v>508.2</v>
      </c>
      <c r="S326" s="16" t="n">
        <v>508.2</v>
      </c>
      <c r="T326" s="16" t="n">
        <v>508.2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CANON-202605-006430</t>
        </is>
      </c>
      <c r="B327" s="3" t="inlineStr">
        <is>
          <t>2026-05-08</t>
        </is>
      </c>
      <c r="C327" s="3" t="inlineStr">
        <is>
          <t>Sunniva Bellandi</t>
        </is>
      </c>
      <c r="D327" s="3" t="inlineStr">
        <is>
          <t>RI</t>
        </is>
      </c>
      <c r="E327" s="14" t="n">
        <v>800000</v>
      </c>
      <c r="F327" s="14" t="n">
        <v>6910.92</v>
      </c>
      <c r="G327" s="14" t="n">
        <v>863.87</v>
      </c>
      <c r="H327" s="14" t="n">
        <v>863.87</v>
      </c>
      <c r="I327" s="14">
        <f>SUM(K327:T327)</f>
        <v/>
      </c>
      <c r="J327" s="14">
        <f>F327-(G327+H327+I327)</f>
        <v/>
      </c>
      <c r="K327" s="14" t="n">
        <v>518.3200000000001</v>
      </c>
      <c r="L327" s="14" t="n">
        <v>518.3200000000001</v>
      </c>
      <c r="M327" s="14" t="n">
        <v>518.3200000000001</v>
      </c>
      <c r="N327" s="14" t="n">
        <v>518.3200000000001</v>
      </c>
      <c r="O327" s="14" t="n">
        <v>518.3200000000001</v>
      </c>
      <c r="P327" s="14" t="n">
        <v>518.3200000000001</v>
      </c>
      <c r="Q327" s="14" t="n">
        <v>518.3200000000001</v>
      </c>
      <c r="R327" s="14" t="n">
        <v>518.3200000000001</v>
      </c>
      <c r="S327" s="14" t="n">
        <v>518.3200000000001</v>
      </c>
      <c r="T327" s="14" t="n">
        <v>518.3200000000001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CANON-202605-006431</t>
        </is>
      </c>
      <c r="B328" s="15" t="inlineStr">
        <is>
          <t>2026-05-13</t>
        </is>
      </c>
      <c r="C328" s="15" t="inlineStr">
        <is>
          <t>Beatrix Montoya</t>
        </is>
      </c>
      <c r="D328" s="15" t="inlineStr">
        <is>
          <t>NY</t>
        </is>
      </c>
      <c r="E328" s="16" t="n">
        <v>765000</v>
      </c>
      <c r="F328" s="16" t="n">
        <v>9333.440000000001</v>
      </c>
      <c r="G328" s="16" t="n">
        <v>1166.68</v>
      </c>
      <c r="H328" s="16" t="n">
        <v>1166.68</v>
      </c>
      <c r="I328" s="16">
        <f>SUM(K328:T328)</f>
        <v/>
      </c>
      <c r="J328" s="16">
        <f>F328-(G328+H328+I328)</f>
        <v/>
      </c>
      <c r="K328" s="16" t="n">
        <v>700.01</v>
      </c>
      <c r="L328" s="16" t="n">
        <v>700.01</v>
      </c>
      <c r="M328" s="16" t="n">
        <v>700.01</v>
      </c>
      <c r="N328" s="16" t="n">
        <v>700.01</v>
      </c>
      <c r="O328" s="16" t="n">
        <v>700.01</v>
      </c>
      <c r="P328" s="16" t="n">
        <v>700.01</v>
      </c>
      <c r="Q328" s="16" t="n">
        <v>700.01</v>
      </c>
      <c r="R328" s="16" t="n">
        <v>700.01</v>
      </c>
      <c r="S328" s="16" t="n">
        <v>700.01</v>
      </c>
      <c r="T328" s="16" t="n">
        <v>700.01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CANON-202605-006433</t>
        </is>
      </c>
      <c r="B329" s="3" t="inlineStr">
        <is>
          <t>2026-05-08</t>
        </is>
      </c>
      <c r="C329" s="3" t="inlineStr">
        <is>
          <t>Everett Farkas</t>
        </is>
      </c>
      <c r="D329" s="3" t="inlineStr">
        <is>
          <t>MN</t>
        </is>
      </c>
      <c r="E329" s="14" t="n">
        <v>1695000</v>
      </c>
      <c r="F329" s="14" t="n">
        <v>26247.66</v>
      </c>
      <c r="G329" s="14" t="n">
        <v>3280.96</v>
      </c>
      <c r="H329" s="14" t="n">
        <v>3280.96</v>
      </c>
      <c r="I329" s="14">
        <f>SUM(K329:T329)</f>
        <v/>
      </c>
      <c r="J329" s="14">
        <f>F329-(G329+H329+I329)</f>
        <v/>
      </c>
      <c r="K329" s="14" t="n">
        <v>1968.57</v>
      </c>
      <c r="L329" s="14" t="n">
        <v>1968.57</v>
      </c>
      <c r="M329" s="14" t="n">
        <v>1968.57</v>
      </c>
      <c r="N329" s="14" t="n">
        <v>1968.57</v>
      </c>
      <c r="O329" s="14" t="n">
        <v>1968.57</v>
      </c>
      <c r="P329" s="14" t="n">
        <v>1968.57</v>
      </c>
      <c r="Q329" s="14" t="n">
        <v>1968.57</v>
      </c>
      <c r="R329" s="14" t="n">
        <v>1968.57</v>
      </c>
      <c r="S329" s="14" t="n">
        <v>1968.57</v>
      </c>
      <c r="T329" s="14" t="n">
        <v>1968.57</v>
      </c>
      <c r="U329" s="14" t="n">
        <v>350</v>
      </c>
      <c r="V329" s="14" t="n">
        <v>250</v>
      </c>
      <c r="W329" s="14">
        <f>U329+V329</f>
        <v/>
      </c>
    </row>
    <row r="330">
      <c r="A330" s="15" t="inlineStr">
        <is>
          <t>CANON-202605-006434</t>
        </is>
      </c>
      <c r="B330" s="15" t="inlineStr">
        <is>
          <t>2026-05-30</t>
        </is>
      </c>
      <c r="C330" s="15" t="inlineStr">
        <is>
          <t>Priya Harrington</t>
        </is>
      </c>
      <c r="D330" s="15" t="inlineStr">
        <is>
          <t>OH</t>
        </is>
      </c>
      <c r="E330" s="16" t="n">
        <v>365000</v>
      </c>
      <c r="F330" s="16" t="n">
        <v>3571.13</v>
      </c>
      <c r="G330" s="16" t="n">
        <v>446.39</v>
      </c>
      <c r="H330" s="16" t="n">
        <v>446.39</v>
      </c>
      <c r="I330" s="16">
        <f>SUM(K330:T330)</f>
        <v/>
      </c>
      <c r="J330" s="16">
        <f>F330-(G330+H330+I330)</f>
        <v/>
      </c>
      <c r="K330" s="16" t="n">
        <v>267.83</v>
      </c>
      <c r="L330" s="16" t="n">
        <v>267.83</v>
      </c>
      <c r="M330" s="16" t="n">
        <v>267.83</v>
      </c>
      <c r="N330" s="16" t="n">
        <v>267.83</v>
      </c>
      <c r="O330" s="16" t="n">
        <v>267.83</v>
      </c>
      <c r="P330" s="16" t="n">
        <v>267.83</v>
      </c>
      <c r="Q330" s="16" t="n">
        <v>267.83</v>
      </c>
      <c r="R330" s="16" t="n">
        <v>267.83</v>
      </c>
      <c r="S330" s="16" t="n">
        <v>267.83</v>
      </c>
      <c r="T330" s="16" t="n">
        <v>267.83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CANON-202605-006435</t>
        </is>
      </c>
      <c r="B331" s="3" t="inlineStr">
        <is>
          <t>2026-05-14</t>
        </is>
      </c>
      <c r="C331" s="3" t="inlineStr">
        <is>
          <t>Fitzgerald Okonkwo</t>
        </is>
      </c>
      <c r="D331" s="3" t="inlineStr">
        <is>
          <t>LA</t>
        </is>
      </c>
      <c r="E331" s="14" t="n">
        <v>365000</v>
      </c>
      <c r="F331" s="14" t="n">
        <v>7447.88</v>
      </c>
      <c r="G331" s="14" t="n">
        <v>930.99</v>
      </c>
      <c r="H331" s="14" t="n">
        <v>930.99</v>
      </c>
      <c r="I331" s="14">
        <f>SUM(K331:T331)</f>
        <v/>
      </c>
      <c r="J331" s="14">
        <f>F331-(G331+H331+I331)</f>
        <v/>
      </c>
      <c r="K331" s="14" t="n">
        <v>558.59</v>
      </c>
      <c r="L331" s="14" t="n">
        <v>558.59</v>
      </c>
      <c r="M331" s="14" t="n">
        <v>558.59</v>
      </c>
      <c r="N331" s="14" t="n">
        <v>558.59</v>
      </c>
      <c r="O331" s="14" t="n">
        <v>558.59</v>
      </c>
      <c r="P331" s="14" t="n">
        <v>558.59</v>
      </c>
      <c r="Q331" s="14" t="n">
        <v>558.59</v>
      </c>
      <c r="R331" s="14" t="n">
        <v>558.59</v>
      </c>
      <c r="S331" s="14" t="n">
        <v>558.59</v>
      </c>
      <c r="T331" s="14" t="n">
        <v>558.59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CANON-202605-006437</t>
        </is>
      </c>
      <c r="B332" s="15" t="inlineStr">
        <is>
          <t>2026-05-26</t>
        </is>
      </c>
      <c r="C332" s="15" t="inlineStr">
        <is>
          <t>Lorenzo Kingsford</t>
        </is>
      </c>
      <c r="D332" s="15" t="inlineStr">
        <is>
          <t>VA</t>
        </is>
      </c>
      <c r="E332" s="16" t="n">
        <v>440000</v>
      </c>
      <c r="F332" s="16" t="n">
        <v>5274.69</v>
      </c>
      <c r="G332" s="16" t="n">
        <v>659.34</v>
      </c>
      <c r="H332" s="16" t="n">
        <v>659.34</v>
      </c>
      <c r="I332" s="16">
        <f>SUM(K332:T332)</f>
        <v/>
      </c>
      <c r="J332" s="16">
        <f>F332-(G332+H332+I332)</f>
        <v/>
      </c>
      <c r="K332" s="16" t="n">
        <v>395.6</v>
      </c>
      <c r="L332" s="16" t="n">
        <v>395.6</v>
      </c>
      <c r="M332" s="16" t="n">
        <v>395.6</v>
      </c>
      <c r="N332" s="16" t="n">
        <v>395.6</v>
      </c>
      <c r="O332" s="16" t="n">
        <v>395.6</v>
      </c>
      <c r="P332" s="16" t="n">
        <v>395.6</v>
      </c>
      <c r="Q332" s="16" t="n">
        <v>395.6</v>
      </c>
      <c r="R332" s="16" t="n">
        <v>395.6</v>
      </c>
      <c r="S332" s="16" t="n">
        <v>395.6</v>
      </c>
      <c r="T332" s="16" t="n">
        <v>395.6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CANON-202605-006439</t>
        </is>
      </c>
      <c r="B333" s="3" t="inlineStr">
        <is>
          <t>2026-05-15</t>
        </is>
      </c>
      <c r="C333" s="3" t="inlineStr">
        <is>
          <t>Noor Underwood</t>
        </is>
      </c>
      <c r="D333" s="3" t="inlineStr">
        <is>
          <t>MA</t>
        </is>
      </c>
      <c r="E333" s="14" t="n">
        <v>750000</v>
      </c>
      <c r="F333" s="14" t="n">
        <v>8935.969999999999</v>
      </c>
      <c r="G333" s="14" t="n">
        <v>1117</v>
      </c>
      <c r="H333" s="14" t="n">
        <v>1117</v>
      </c>
      <c r="I333" s="14">
        <f>SUM(K333:T333)</f>
        <v/>
      </c>
      <c r="J333" s="14">
        <f>F333-(G333+H333+I333)</f>
        <v/>
      </c>
      <c r="K333" s="14" t="n">
        <v>670.2</v>
      </c>
      <c r="L333" s="14" t="n">
        <v>670.2</v>
      </c>
      <c r="M333" s="14" t="n">
        <v>670.2</v>
      </c>
      <c r="N333" s="14" t="n">
        <v>670.2</v>
      </c>
      <c r="O333" s="14" t="n">
        <v>670.2</v>
      </c>
      <c r="P333" s="14" t="n">
        <v>670.2</v>
      </c>
      <c r="Q333" s="14" t="n">
        <v>670.2</v>
      </c>
      <c r="R333" s="14" t="n">
        <v>670.2</v>
      </c>
      <c r="S333" s="14" t="n">
        <v>670.2</v>
      </c>
      <c r="T333" s="14" t="n">
        <v>670.2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CANON-202605-006440</t>
        </is>
      </c>
      <c r="B334" s="15" t="inlineStr">
        <is>
          <t>2026-05-08</t>
        </is>
      </c>
      <c r="C334" s="15" t="inlineStr">
        <is>
          <t>Horace Ashcombe</t>
        </is>
      </c>
      <c r="D334" s="15" t="inlineStr">
        <is>
          <t>MO</t>
        </is>
      </c>
      <c r="E334" s="16" t="n">
        <v>1255000</v>
      </c>
      <c r="F334" s="16" t="n">
        <v>15606.18</v>
      </c>
      <c r="G334" s="16" t="n">
        <v>1950.77</v>
      </c>
      <c r="H334" s="16" t="n">
        <v>1950.77</v>
      </c>
      <c r="I334" s="16">
        <f>SUM(K334:T334)</f>
        <v/>
      </c>
      <c r="J334" s="16">
        <f>F334-(G334+H334+I334)</f>
        <v/>
      </c>
      <c r="K334" s="16" t="n">
        <v>1170.46</v>
      </c>
      <c r="L334" s="16" t="n">
        <v>1170.46</v>
      </c>
      <c r="M334" s="16" t="n">
        <v>1170.46</v>
      </c>
      <c r="N334" s="16" t="n">
        <v>1170.46</v>
      </c>
      <c r="O334" s="16" t="n">
        <v>1170.46</v>
      </c>
      <c r="P334" s="16" t="n">
        <v>1170.46</v>
      </c>
      <c r="Q334" s="16" t="n">
        <v>1170.46</v>
      </c>
      <c r="R334" s="16" t="n">
        <v>1170.46</v>
      </c>
      <c r="S334" s="16" t="n">
        <v>1170.46</v>
      </c>
      <c r="T334" s="16" t="n">
        <v>1170.46</v>
      </c>
      <c r="U334" s="16" t="n">
        <v>350</v>
      </c>
      <c r="V334" s="16" t="n">
        <v>250</v>
      </c>
      <c r="W334" s="16">
        <f>U334+V334</f>
        <v/>
      </c>
    </row>
    <row r="335">
      <c r="A335" s="3" t="inlineStr">
        <is>
          <t>CANON-202605-006441</t>
        </is>
      </c>
      <c r="B335" s="3" t="inlineStr">
        <is>
          <t>2026-05-06</t>
        </is>
      </c>
      <c r="C335" s="3" t="inlineStr">
        <is>
          <t>Leopold Underwood</t>
        </is>
      </c>
      <c r="D335" s="3" t="inlineStr">
        <is>
          <t>IA</t>
        </is>
      </c>
      <c r="E335" s="14" t="n">
        <v>445000</v>
      </c>
      <c r="F335" s="14" t="n">
        <v>5383.58</v>
      </c>
      <c r="G335" s="14" t="n">
        <v>672.95</v>
      </c>
      <c r="H335" s="14" t="n">
        <v>672.95</v>
      </c>
      <c r="I335" s="14">
        <f>SUM(K335:T335)</f>
        <v/>
      </c>
      <c r="J335" s="14">
        <f>F335-(G335+H335+I335)</f>
        <v/>
      </c>
      <c r="K335" s="14" t="n">
        <v>403.77</v>
      </c>
      <c r="L335" s="14" t="n">
        <v>403.77</v>
      </c>
      <c r="M335" s="14" t="n">
        <v>403.77</v>
      </c>
      <c r="N335" s="14" t="n">
        <v>403.77</v>
      </c>
      <c r="O335" s="14" t="n">
        <v>403.77</v>
      </c>
      <c r="P335" s="14" t="n">
        <v>403.77</v>
      </c>
      <c r="Q335" s="14" t="n">
        <v>403.77</v>
      </c>
      <c r="R335" s="14" t="n">
        <v>403.77</v>
      </c>
      <c r="S335" s="14" t="n">
        <v>403.77</v>
      </c>
      <c r="T335" s="14" t="n">
        <v>403.77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CANON-202605-006442</t>
        </is>
      </c>
      <c r="B336" s="15" t="inlineStr">
        <is>
          <t>2026-05-11</t>
        </is>
      </c>
      <c r="C336" s="15" t="inlineStr">
        <is>
          <t>Fitzgerald Thistlewood</t>
        </is>
      </c>
      <c r="D336" s="15" t="inlineStr">
        <is>
          <t>LA</t>
        </is>
      </c>
      <c r="E336" s="16" t="n">
        <v>1950000</v>
      </c>
      <c r="F336" s="16" t="n">
        <v>19030.04</v>
      </c>
      <c r="G336" s="16" t="n">
        <v>2378.76</v>
      </c>
      <c r="H336" s="16" t="n">
        <v>2378.76</v>
      </c>
      <c r="I336" s="16">
        <f>SUM(K336:T336)</f>
        <v/>
      </c>
      <c r="J336" s="16">
        <f>F336-(G336+H336+I336)</f>
        <v/>
      </c>
      <c r="K336" s="16" t="n">
        <v>1427.25</v>
      </c>
      <c r="L336" s="16" t="n">
        <v>1427.25</v>
      </c>
      <c r="M336" s="16" t="n">
        <v>1427.25</v>
      </c>
      <c r="N336" s="16" t="n">
        <v>1427.25</v>
      </c>
      <c r="O336" s="16" t="n">
        <v>1427.25</v>
      </c>
      <c r="P336" s="16" t="n">
        <v>1427.25</v>
      </c>
      <c r="Q336" s="16" t="n">
        <v>1427.25</v>
      </c>
      <c r="R336" s="16" t="n">
        <v>1427.25</v>
      </c>
      <c r="S336" s="16" t="n">
        <v>1427.25</v>
      </c>
      <c r="T336" s="16" t="n">
        <v>1427.25</v>
      </c>
      <c r="U336" s="16" t="n">
        <v>350</v>
      </c>
      <c r="V336" s="16" t="n">
        <v>250</v>
      </c>
      <c r="W336" s="16">
        <f>U336+V336</f>
        <v/>
      </c>
    </row>
    <row r="337">
      <c r="A337" s="3" t="inlineStr">
        <is>
          <t>CANON-202605-006444</t>
        </is>
      </c>
      <c r="B337" s="3" t="inlineStr">
        <is>
          <t>2026-05-05</t>
        </is>
      </c>
      <c r="C337" s="3" t="inlineStr">
        <is>
          <t>Callum Harrington</t>
        </is>
      </c>
      <c r="D337" s="3" t="inlineStr">
        <is>
          <t>GA</t>
        </is>
      </c>
      <c r="E337" s="14" t="n">
        <v>650000</v>
      </c>
      <c r="F337" s="14" t="n">
        <v>6939.07</v>
      </c>
      <c r="G337" s="14" t="n">
        <v>867.38</v>
      </c>
      <c r="H337" s="14" t="n">
        <v>867.38</v>
      </c>
      <c r="I337" s="14">
        <f>SUM(K337:T337)</f>
        <v/>
      </c>
      <c r="J337" s="14">
        <f>F337-(G337+H337+I337)</f>
        <v/>
      </c>
      <c r="K337" s="14" t="n">
        <v>520.4299999999999</v>
      </c>
      <c r="L337" s="14" t="n">
        <v>520.4299999999999</v>
      </c>
      <c r="M337" s="14" t="n">
        <v>520.4299999999999</v>
      </c>
      <c r="N337" s="14" t="n">
        <v>520.4299999999999</v>
      </c>
      <c r="O337" s="14" t="n">
        <v>520.4299999999999</v>
      </c>
      <c r="P337" s="14" t="n">
        <v>520.4299999999999</v>
      </c>
      <c r="Q337" s="14" t="n">
        <v>520.4299999999999</v>
      </c>
      <c r="R337" s="14" t="n">
        <v>520.4299999999999</v>
      </c>
      <c r="S337" s="14" t="n">
        <v>520.4299999999999</v>
      </c>
      <c r="T337" s="14" t="n">
        <v>520.4299999999999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CANON-202605-006445</t>
        </is>
      </c>
      <c r="B338" s="15" t="inlineStr">
        <is>
          <t>2026-05-02</t>
        </is>
      </c>
      <c r="C338" s="15" t="inlineStr">
        <is>
          <t>Desmond Kingsford</t>
        </is>
      </c>
      <c r="D338" s="15" t="inlineStr">
        <is>
          <t>CT</t>
        </is>
      </c>
      <c r="E338" s="16" t="n">
        <v>585000</v>
      </c>
      <c r="F338" s="16" t="n">
        <v>3651.02</v>
      </c>
      <c r="G338" s="16" t="n">
        <v>456.38</v>
      </c>
      <c r="H338" s="16" t="n">
        <v>456.38</v>
      </c>
      <c r="I338" s="16">
        <f>SUM(K338:T338)</f>
        <v/>
      </c>
      <c r="J338" s="16">
        <f>F338-(G338+H338+I338)</f>
        <v/>
      </c>
      <c r="K338" s="16" t="n">
        <v>273.83</v>
      </c>
      <c r="L338" s="16" t="n">
        <v>273.83</v>
      </c>
      <c r="M338" s="16" t="n">
        <v>273.83</v>
      </c>
      <c r="N338" s="16" t="n">
        <v>273.83</v>
      </c>
      <c r="O338" s="16" t="n">
        <v>273.83</v>
      </c>
      <c r="P338" s="16" t="n">
        <v>273.83</v>
      </c>
      <c r="Q338" s="16" t="n">
        <v>273.83</v>
      </c>
      <c r="R338" s="16" t="n">
        <v>273.83</v>
      </c>
      <c r="S338" s="16" t="n">
        <v>273.83</v>
      </c>
      <c r="T338" s="16" t="n">
        <v>273.83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CANON-202605-006446</t>
        </is>
      </c>
      <c r="B339" s="3" t="inlineStr">
        <is>
          <t>2026-05-10</t>
        </is>
      </c>
      <c r="C339" s="3" t="inlineStr">
        <is>
          <t>Wilhelmina Harrington</t>
        </is>
      </c>
      <c r="D339" s="3" t="inlineStr">
        <is>
          <t>NJ</t>
        </is>
      </c>
      <c r="E339" s="14" t="n">
        <v>1335000</v>
      </c>
      <c r="F339" s="14" t="n">
        <v>9798.110000000001</v>
      </c>
      <c r="G339" s="14" t="n">
        <v>1224.76</v>
      </c>
      <c r="H339" s="14" t="n">
        <v>1224.76</v>
      </c>
      <c r="I339" s="14">
        <f>SUM(K339:T339)</f>
        <v/>
      </c>
      <c r="J339" s="14">
        <f>F339-(G339+H339+I339)</f>
        <v/>
      </c>
      <c r="K339" s="14" t="n">
        <v>734.86</v>
      </c>
      <c r="L339" s="14" t="n">
        <v>734.86</v>
      </c>
      <c r="M339" s="14" t="n">
        <v>734.86</v>
      </c>
      <c r="N339" s="14" t="n">
        <v>734.86</v>
      </c>
      <c r="O339" s="14" t="n">
        <v>734.86</v>
      </c>
      <c r="P339" s="14" t="n">
        <v>734.86</v>
      </c>
      <c r="Q339" s="14" t="n">
        <v>734.86</v>
      </c>
      <c r="R339" s="14" t="n">
        <v>734.86</v>
      </c>
      <c r="S339" s="14" t="n">
        <v>734.86</v>
      </c>
      <c r="T339" s="14" t="n">
        <v>734.86</v>
      </c>
      <c r="U339" s="14" t="n">
        <v>350</v>
      </c>
      <c r="V339" s="14" t="n">
        <v>250</v>
      </c>
      <c r="W339" s="14">
        <f>U339+V339</f>
        <v/>
      </c>
    </row>
    <row r="340">
      <c r="A340" s="15" t="inlineStr">
        <is>
          <t>CANON-202605-006449</t>
        </is>
      </c>
      <c r="B340" s="15" t="inlineStr">
        <is>
          <t>2026-05-09</t>
        </is>
      </c>
      <c r="C340" s="15" t="inlineStr">
        <is>
          <t>Saoirse Bellandi</t>
        </is>
      </c>
      <c r="D340" s="15" t="inlineStr">
        <is>
          <t>CA</t>
        </is>
      </c>
      <c r="E340" s="16" t="n">
        <v>875000</v>
      </c>
      <c r="F340" s="16" t="n">
        <v>11259.32</v>
      </c>
      <c r="G340" s="16" t="n">
        <v>1407.41</v>
      </c>
      <c r="H340" s="16" t="n">
        <v>1407.41</v>
      </c>
      <c r="I340" s="16">
        <f>SUM(K340:T340)</f>
        <v/>
      </c>
      <c r="J340" s="16">
        <f>F340-(G340+H340+I340)</f>
        <v/>
      </c>
      <c r="K340" s="16" t="n">
        <v>844.45</v>
      </c>
      <c r="L340" s="16" t="n">
        <v>844.45</v>
      </c>
      <c r="M340" s="16" t="n">
        <v>844.45</v>
      </c>
      <c r="N340" s="16" t="n">
        <v>844.45</v>
      </c>
      <c r="O340" s="16" t="n">
        <v>844.45</v>
      </c>
      <c r="P340" s="16" t="n">
        <v>844.45</v>
      </c>
      <c r="Q340" s="16" t="n">
        <v>844.45</v>
      </c>
      <c r="R340" s="16" t="n">
        <v>844.45</v>
      </c>
      <c r="S340" s="16" t="n">
        <v>844.45</v>
      </c>
      <c r="T340" s="16" t="n">
        <v>844.45</v>
      </c>
      <c r="U340" s="16" t="n">
        <v>350</v>
      </c>
      <c r="V340" s="16" t="n">
        <v>0</v>
      </c>
      <c r="W340" s="16">
        <f>U340+V340</f>
        <v/>
      </c>
    </row>
    <row r="341">
      <c r="A341" s="3" t="inlineStr">
        <is>
          <t>CANON-202605-006450</t>
        </is>
      </c>
      <c r="B341" s="3" t="inlineStr">
        <is>
          <t>2026-05-06</t>
        </is>
      </c>
      <c r="C341" s="3" t="inlineStr">
        <is>
          <t>Ottilie Harrington</t>
        </is>
      </c>
      <c r="D341" s="3" t="inlineStr">
        <is>
          <t>MI</t>
        </is>
      </c>
      <c r="E341" s="14" t="n">
        <v>1365000</v>
      </c>
      <c r="F341" s="14" t="n">
        <v>11789.76</v>
      </c>
      <c r="G341" s="14" t="n">
        <v>1473.72</v>
      </c>
      <c r="H341" s="14" t="n">
        <v>1473.72</v>
      </c>
      <c r="I341" s="14">
        <f>SUM(K341:T341)</f>
        <v/>
      </c>
      <c r="J341" s="14">
        <f>F341-(G341+H341+I341)</f>
        <v/>
      </c>
      <c r="K341" s="14" t="n">
        <v>884.23</v>
      </c>
      <c r="L341" s="14" t="n">
        <v>884.23</v>
      </c>
      <c r="M341" s="14" t="n">
        <v>884.23</v>
      </c>
      <c r="N341" s="14" t="n">
        <v>884.23</v>
      </c>
      <c r="O341" s="14" t="n">
        <v>884.23</v>
      </c>
      <c r="P341" s="14" t="n">
        <v>884.23</v>
      </c>
      <c r="Q341" s="14" t="n">
        <v>884.23</v>
      </c>
      <c r="R341" s="14" t="n">
        <v>884.23</v>
      </c>
      <c r="S341" s="14" t="n">
        <v>884.23</v>
      </c>
      <c r="T341" s="14" t="n">
        <v>884.23</v>
      </c>
      <c r="U341" s="14" t="n">
        <v>350</v>
      </c>
      <c r="V341" s="14" t="n">
        <v>250</v>
      </c>
      <c r="W341" s="14">
        <f>U341+V341</f>
        <v/>
      </c>
    </row>
    <row r="342">
      <c r="A342" s="15" t="inlineStr">
        <is>
          <t>CANON-202605-006451</t>
        </is>
      </c>
      <c r="B342" s="15" t="inlineStr">
        <is>
          <t>2026-05-13</t>
        </is>
      </c>
      <c r="C342" s="15" t="inlineStr">
        <is>
          <t>Desmond Farkas</t>
        </is>
      </c>
      <c r="D342" s="15" t="inlineStr">
        <is>
          <t>IL</t>
        </is>
      </c>
      <c r="E342" s="16" t="n">
        <v>365000</v>
      </c>
      <c r="F342" s="16" t="n">
        <v>5459.46</v>
      </c>
      <c r="G342" s="16" t="n">
        <v>682.4299999999999</v>
      </c>
      <c r="H342" s="16" t="n">
        <v>682.4299999999999</v>
      </c>
      <c r="I342" s="16">
        <f>SUM(K342:T342)</f>
        <v/>
      </c>
      <c r="J342" s="16">
        <f>F342-(G342+H342+I342)</f>
        <v/>
      </c>
      <c r="K342" s="16" t="n">
        <v>409.46</v>
      </c>
      <c r="L342" s="16" t="n">
        <v>409.46</v>
      </c>
      <c r="M342" s="16" t="n">
        <v>409.46</v>
      </c>
      <c r="N342" s="16" t="n">
        <v>409.46</v>
      </c>
      <c r="O342" s="16" t="n">
        <v>409.46</v>
      </c>
      <c r="P342" s="16" t="n">
        <v>409.46</v>
      </c>
      <c r="Q342" s="16" t="n">
        <v>409.46</v>
      </c>
      <c r="R342" s="16" t="n">
        <v>409.46</v>
      </c>
      <c r="S342" s="16" t="n">
        <v>409.46</v>
      </c>
      <c r="T342" s="16" t="n">
        <v>409.46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CANON-202605-006452</t>
        </is>
      </c>
      <c r="B343" s="3" t="inlineStr">
        <is>
          <t>2026-05-30</t>
        </is>
      </c>
      <c r="C343" s="3" t="inlineStr">
        <is>
          <t>Leopold Okonkwo</t>
        </is>
      </c>
      <c r="D343" s="3" t="inlineStr">
        <is>
          <t>FL</t>
        </is>
      </c>
      <c r="E343" s="14" t="n">
        <v>460000</v>
      </c>
      <c r="F343" s="14" t="n">
        <v>7183.97</v>
      </c>
      <c r="G343" s="14" t="n">
        <v>898</v>
      </c>
      <c r="H343" s="14" t="n">
        <v>898</v>
      </c>
      <c r="I343" s="14">
        <f>SUM(K343:T343)</f>
        <v/>
      </c>
      <c r="J343" s="14">
        <f>F343-(G343+H343+I343)</f>
        <v/>
      </c>
      <c r="K343" s="14" t="n">
        <v>538.8</v>
      </c>
      <c r="L343" s="14" t="n">
        <v>538.8</v>
      </c>
      <c r="M343" s="14" t="n">
        <v>538.8</v>
      </c>
      <c r="N343" s="14" t="n">
        <v>538.8</v>
      </c>
      <c r="O343" s="14" t="n">
        <v>538.8</v>
      </c>
      <c r="P343" s="14" t="n">
        <v>538.8</v>
      </c>
      <c r="Q343" s="14" t="n">
        <v>538.8</v>
      </c>
      <c r="R343" s="14" t="n">
        <v>538.8</v>
      </c>
      <c r="S343" s="14" t="n">
        <v>538.8</v>
      </c>
      <c r="T343" s="14" t="n">
        <v>538.8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CANON-202605-006453</t>
        </is>
      </c>
      <c r="B344" s="15" t="inlineStr">
        <is>
          <t>2026-05-02</t>
        </is>
      </c>
      <c r="C344" s="15" t="inlineStr">
        <is>
          <t>Everett Ashcombe</t>
        </is>
      </c>
      <c r="D344" s="15" t="inlineStr">
        <is>
          <t>PA</t>
        </is>
      </c>
      <c r="E344" s="16" t="n">
        <v>580000</v>
      </c>
      <c r="F344" s="16" t="n">
        <v>5528.39</v>
      </c>
      <c r="G344" s="16" t="n">
        <v>691.05</v>
      </c>
      <c r="H344" s="16" t="n">
        <v>691.05</v>
      </c>
      <c r="I344" s="16">
        <f>SUM(K344:T344)</f>
        <v/>
      </c>
      <c r="J344" s="16">
        <f>F344-(G344+H344+I344)</f>
        <v/>
      </c>
      <c r="K344" s="16" t="n">
        <v>414.63</v>
      </c>
      <c r="L344" s="16" t="n">
        <v>414.63</v>
      </c>
      <c r="M344" s="16" t="n">
        <v>414.63</v>
      </c>
      <c r="N344" s="16" t="n">
        <v>414.63</v>
      </c>
      <c r="O344" s="16" t="n">
        <v>414.63</v>
      </c>
      <c r="P344" s="16" t="n">
        <v>414.63</v>
      </c>
      <c r="Q344" s="16" t="n">
        <v>414.63</v>
      </c>
      <c r="R344" s="16" t="n">
        <v>414.63</v>
      </c>
      <c r="S344" s="16" t="n">
        <v>414.63</v>
      </c>
      <c r="T344" s="16" t="n">
        <v>414.63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CANON-202605-006454</t>
        </is>
      </c>
      <c r="B345" s="3" t="inlineStr">
        <is>
          <t>2026-05-03</t>
        </is>
      </c>
      <c r="C345" s="3" t="inlineStr">
        <is>
          <t>Ramona Nakashima</t>
        </is>
      </c>
      <c r="D345" s="3" t="inlineStr">
        <is>
          <t>CA</t>
        </is>
      </c>
      <c r="E345" s="14" t="n">
        <v>350000</v>
      </c>
      <c r="F345" s="14" t="n">
        <v>5196.61</v>
      </c>
      <c r="G345" s="14" t="n">
        <v>649.58</v>
      </c>
      <c r="H345" s="14" t="n">
        <v>649.58</v>
      </c>
      <c r="I345" s="14">
        <f>SUM(K345:T345)</f>
        <v/>
      </c>
      <c r="J345" s="14">
        <f>F345-(G345+H345+I345)</f>
        <v/>
      </c>
      <c r="K345" s="14" t="n">
        <v>389.75</v>
      </c>
      <c r="L345" s="14" t="n">
        <v>389.75</v>
      </c>
      <c r="M345" s="14" t="n">
        <v>389.75</v>
      </c>
      <c r="N345" s="14" t="n">
        <v>389.75</v>
      </c>
      <c r="O345" s="14" t="n">
        <v>389.75</v>
      </c>
      <c r="P345" s="14" t="n">
        <v>389.75</v>
      </c>
      <c r="Q345" s="14" t="n">
        <v>389.75</v>
      </c>
      <c r="R345" s="14" t="n">
        <v>389.75</v>
      </c>
      <c r="S345" s="14" t="n">
        <v>389.75</v>
      </c>
      <c r="T345" s="14" t="n">
        <v>389.75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CANON-202605-006455</t>
        </is>
      </c>
      <c r="B346" s="15" t="inlineStr">
        <is>
          <t>2026-05-09</t>
        </is>
      </c>
      <c r="C346" s="15" t="inlineStr">
        <is>
          <t>Ramona Delacroix</t>
        </is>
      </c>
      <c r="D346" s="15" t="inlineStr">
        <is>
          <t>ME</t>
        </is>
      </c>
      <c r="E346" s="16" t="n">
        <v>290000</v>
      </c>
      <c r="F346" s="16" t="n">
        <v>5281.73</v>
      </c>
      <c r="G346" s="16" t="n">
        <v>660.22</v>
      </c>
      <c r="H346" s="16" t="n">
        <v>660.22</v>
      </c>
      <c r="I346" s="16">
        <f>SUM(K346:T346)</f>
        <v/>
      </c>
      <c r="J346" s="16">
        <f>F346-(G346+H346+I346)</f>
        <v/>
      </c>
      <c r="K346" s="16" t="n">
        <v>396.13</v>
      </c>
      <c r="L346" s="16" t="n">
        <v>396.13</v>
      </c>
      <c r="M346" s="16" t="n">
        <v>396.13</v>
      </c>
      <c r="N346" s="16" t="n">
        <v>396.13</v>
      </c>
      <c r="O346" s="16" t="n">
        <v>396.13</v>
      </c>
      <c r="P346" s="16" t="n">
        <v>396.13</v>
      </c>
      <c r="Q346" s="16" t="n">
        <v>396.13</v>
      </c>
      <c r="R346" s="16" t="n">
        <v>396.13</v>
      </c>
      <c r="S346" s="16" t="n">
        <v>396.13</v>
      </c>
      <c r="T346" s="16" t="n">
        <v>396.13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CANON-202605-006456</t>
        </is>
      </c>
      <c r="B347" s="3" t="inlineStr">
        <is>
          <t>2026-05-29</t>
        </is>
      </c>
      <c r="C347" s="3" t="inlineStr">
        <is>
          <t>Noor Delacroix</t>
        </is>
      </c>
      <c r="D347" s="3" t="inlineStr">
        <is>
          <t>OH</t>
        </is>
      </c>
      <c r="E347" s="14" t="n">
        <v>1195000</v>
      </c>
      <c r="F347" s="14" t="n">
        <v>13396.84</v>
      </c>
      <c r="G347" s="14" t="n">
        <v>1674.61</v>
      </c>
      <c r="H347" s="14" t="n">
        <v>1674.61</v>
      </c>
      <c r="I347" s="14">
        <f>SUM(K347:T347)</f>
        <v/>
      </c>
      <c r="J347" s="14">
        <f>F347-(G347+H347+I347)</f>
        <v/>
      </c>
      <c r="K347" s="14" t="n">
        <v>1004.76</v>
      </c>
      <c r="L347" s="14" t="n">
        <v>1004.76</v>
      </c>
      <c r="M347" s="14" t="n">
        <v>1004.76</v>
      </c>
      <c r="N347" s="14" t="n">
        <v>1004.76</v>
      </c>
      <c r="O347" s="14" t="n">
        <v>1004.76</v>
      </c>
      <c r="P347" s="14" t="n">
        <v>1004.76</v>
      </c>
      <c r="Q347" s="14" t="n">
        <v>1004.76</v>
      </c>
      <c r="R347" s="14" t="n">
        <v>1004.76</v>
      </c>
      <c r="S347" s="14" t="n">
        <v>1004.76</v>
      </c>
      <c r="T347" s="14" t="n">
        <v>1004.76</v>
      </c>
      <c r="U347" s="14" t="n">
        <v>350</v>
      </c>
      <c r="V347" s="14" t="n">
        <v>250</v>
      </c>
      <c r="W347" s="14">
        <f>U347+V347</f>
        <v/>
      </c>
    </row>
    <row r="348">
      <c r="A348" s="15" t="inlineStr">
        <is>
          <t>CANON-202605-006457</t>
        </is>
      </c>
      <c r="B348" s="15" t="inlineStr">
        <is>
          <t>2026-05-22</t>
        </is>
      </c>
      <c r="C348" s="15" t="inlineStr">
        <is>
          <t>Cassius Larsson</t>
        </is>
      </c>
      <c r="D348" s="15" t="inlineStr">
        <is>
          <t>IL</t>
        </is>
      </c>
      <c r="E348" s="16" t="n">
        <v>945000</v>
      </c>
      <c r="F348" s="16" t="n">
        <v>12250.14</v>
      </c>
      <c r="G348" s="16" t="n">
        <v>1531.27</v>
      </c>
      <c r="H348" s="16" t="n">
        <v>1531.27</v>
      </c>
      <c r="I348" s="16">
        <f>SUM(K348:T348)</f>
        <v/>
      </c>
      <c r="J348" s="16">
        <f>F348-(G348+H348+I348)</f>
        <v/>
      </c>
      <c r="K348" s="16" t="n">
        <v>918.76</v>
      </c>
      <c r="L348" s="16" t="n">
        <v>918.76</v>
      </c>
      <c r="M348" s="16" t="n">
        <v>918.76</v>
      </c>
      <c r="N348" s="16" t="n">
        <v>918.76</v>
      </c>
      <c r="O348" s="16" t="n">
        <v>918.76</v>
      </c>
      <c r="P348" s="16" t="n">
        <v>918.76</v>
      </c>
      <c r="Q348" s="16" t="n">
        <v>918.76</v>
      </c>
      <c r="R348" s="16" t="n">
        <v>918.76</v>
      </c>
      <c r="S348" s="16" t="n">
        <v>918.76</v>
      </c>
      <c r="T348" s="16" t="n">
        <v>918.76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CANON-202605-006458</t>
        </is>
      </c>
      <c r="B349" s="3" t="inlineStr">
        <is>
          <t>2026-05-17</t>
        </is>
      </c>
      <c r="C349" s="3" t="inlineStr">
        <is>
          <t>Aurelio Chattopadhyay</t>
        </is>
      </c>
      <c r="D349" s="3" t="inlineStr">
        <is>
          <t>OR</t>
        </is>
      </c>
      <c r="E349" s="14" t="n">
        <v>200000</v>
      </c>
      <c r="F349" s="14" t="n">
        <v>3048.97</v>
      </c>
      <c r="G349" s="14" t="n">
        <v>381.12</v>
      </c>
      <c r="H349" s="14" t="n">
        <v>381.12</v>
      </c>
      <c r="I349" s="14">
        <f>SUM(K349:T349)</f>
        <v/>
      </c>
      <c r="J349" s="14">
        <f>F349-(G349+H349+I349)</f>
        <v/>
      </c>
      <c r="K349" s="14" t="n">
        <v>228.67</v>
      </c>
      <c r="L349" s="14" t="n">
        <v>228.67</v>
      </c>
      <c r="M349" s="14" t="n">
        <v>228.67</v>
      </c>
      <c r="N349" s="14" t="n">
        <v>228.67</v>
      </c>
      <c r="O349" s="14" t="n">
        <v>228.67</v>
      </c>
      <c r="P349" s="14" t="n">
        <v>228.67</v>
      </c>
      <c r="Q349" s="14" t="n">
        <v>228.67</v>
      </c>
      <c r="R349" s="14" t="n">
        <v>228.67</v>
      </c>
      <c r="S349" s="14" t="n">
        <v>228.67</v>
      </c>
      <c r="T349" s="14" t="n">
        <v>228.67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CANON-202605-006459</t>
        </is>
      </c>
      <c r="B350" s="15" t="inlineStr">
        <is>
          <t>2026-05-28</t>
        </is>
      </c>
      <c r="C350" s="15" t="inlineStr">
        <is>
          <t>Marisol Underwood</t>
        </is>
      </c>
      <c r="D350" s="15" t="inlineStr">
        <is>
          <t>TX</t>
        </is>
      </c>
      <c r="E350" s="16" t="n">
        <v>190000</v>
      </c>
      <c r="F350" s="16" t="n">
        <v>3364.32</v>
      </c>
      <c r="G350" s="16" t="n">
        <v>420.54</v>
      </c>
      <c r="H350" s="16" t="n">
        <v>420.54</v>
      </c>
      <c r="I350" s="16">
        <f>SUM(K350:T350)</f>
        <v/>
      </c>
      <c r="J350" s="16">
        <f>F350-(G350+H350+I350)</f>
        <v/>
      </c>
      <c r="K350" s="16" t="n">
        <v>252.32</v>
      </c>
      <c r="L350" s="16" t="n">
        <v>252.32</v>
      </c>
      <c r="M350" s="16" t="n">
        <v>252.32</v>
      </c>
      <c r="N350" s="16" t="n">
        <v>252.32</v>
      </c>
      <c r="O350" s="16" t="n">
        <v>252.32</v>
      </c>
      <c r="P350" s="16" t="n">
        <v>252.32</v>
      </c>
      <c r="Q350" s="16" t="n">
        <v>252.32</v>
      </c>
      <c r="R350" s="16" t="n">
        <v>252.32</v>
      </c>
      <c r="S350" s="16" t="n">
        <v>252.32</v>
      </c>
      <c r="T350" s="16" t="n">
        <v>252.32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CANON-202605-006460</t>
        </is>
      </c>
      <c r="B351" s="3" t="inlineStr">
        <is>
          <t>2026-05-19</t>
        </is>
      </c>
      <c r="C351" s="3" t="inlineStr">
        <is>
          <t>Ingrid Nakashima</t>
        </is>
      </c>
      <c r="D351" s="3" t="inlineStr">
        <is>
          <t>OR</t>
        </is>
      </c>
      <c r="E351" s="14" t="n">
        <v>1825000</v>
      </c>
      <c r="F351" s="14" t="n">
        <v>16632.63</v>
      </c>
      <c r="G351" s="14" t="n">
        <v>2079.08</v>
      </c>
      <c r="H351" s="14" t="n">
        <v>2079.08</v>
      </c>
      <c r="I351" s="14">
        <f>SUM(K351:T351)</f>
        <v/>
      </c>
      <c r="J351" s="14">
        <f>F351-(G351+H351+I351)</f>
        <v/>
      </c>
      <c r="K351" s="14" t="n">
        <v>1247.45</v>
      </c>
      <c r="L351" s="14" t="n">
        <v>1247.45</v>
      </c>
      <c r="M351" s="14" t="n">
        <v>1247.45</v>
      </c>
      <c r="N351" s="14" t="n">
        <v>1247.45</v>
      </c>
      <c r="O351" s="14" t="n">
        <v>1247.45</v>
      </c>
      <c r="P351" s="14" t="n">
        <v>1247.45</v>
      </c>
      <c r="Q351" s="14" t="n">
        <v>1247.45</v>
      </c>
      <c r="R351" s="14" t="n">
        <v>1247.45</v>
      </c>
      <c r="S351" s="14" t="n">
        <v>1247.45</v>
      </c>
      <c r="T351" s="14" t="n">
        <v>1247.45</v>
      </c>
      <c r="U351" s="14" t="n">
        <v>350</v>
      </c>
      <c r="V351" s="14" t="n">
        <v>250</v>
      </c>
      <c r="W351" s="14">
        <f>U351+V351</f>
        <v/>
      </c>
    </row>
    <row r="352">
      <c r="A352" s="15" t="inlineStr">
        <is>
          <t>CANON-202605-006463</t>
        </is>
      </c>
      <c r="B352" s="15" t="inlineStr">
        <is>
          <t>2026-05-31</t>
        </is>
      </c>
      <c r="C352" s="15" t="inlineStr">
        <is>
          <t>Saoirse Larsson</t>
        </is>
      </c>
      <c r="D352" s="15" t="inlineStr">
        <is>
          <t>CA</t>
        </is>
      </c>
      <c r="E352" s="16" t="n">
        <v>795000</v>
      </c>
      <c r="F352" s="16" t="n">
        <v>14951.39</v>
      </c>
      <c r="G352" s="16" t="n">
        <v>1868.92</v>
      </c>
      <c r="H352" s="16" t="n">
        <v>1868.92</v>
      </c>
      <c r="I352" s="16">
        <f>SUM(K352:T352)</f>
        <v/>
      </c>
      <c r="J352" s="16">
        <f>F352-(G352+H352+I352)</f>
        <v/>
      </c>
      <c r="K352" s="16" t="n">
        <v>1121.35</v>
      </c>
      <c r="L352" s="16" t="n">
        <v>1121.35</v>
      </c>
      <c r="M352" s="16" t="n">
        <v>1121.35</v>
      </c>
      <c r="N352" s="16" t="n">
        <v>1121.35</v>
      </c>
      <c r="O352" s="16" t="n">
        <v>1121.35</v>
      </c>
      <c r="P352" s="16" t="n">
        <v>1121.35</v>
      </c>
      <c r="Q352" s="16" t="n">
        <v>1121.35</v>
      </c>
      <c r="R352" s="16" t="n">
        <v>1121.35</v>
      </c>
      <c r="S352" s="16" t="n">
        <v>1121.35</v>
      </c>
      <c r="T352" s="16" t="n">
        <v>1121.35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CANON-202605-006466</t>
        </is>
      </c>
      <c r="B353" s="3" t="inlineStr">
        <is>
          <t>2026-05-30</t>
        </is>
      </c>
      <c r="C353" s="3" t="inlineStr">
        <is>
          <t>Callum Kingsford</t>
        </is>
      </c>
      <c r="D353" s="3" t="inlineStr">
        <is>
          <t>ID</t>
        </is>
      </c>
      <c r="E353" s="14" t="n">
        <v>425000</v>
      </c>
      <c r="F353" s="14" t="n">
        <v>4627.46</v>
      </c>
      <c r="G353" s="14" t="n">
        <v>578.4299999999999</v>
      </c>
      <c r="H353" s="14" t="n">
        <v>578.4299999999999</v>
      </c>
      <c r="I353" s="14">
        <f>SUM(K353:T353)</f>
        <v/>
      </c>
      <c r="J353" s="14">
        <f>F353-(G353+H353+I353)</f>
        <v/>
      </c>
      <c r="K353" s="14" t="n">
        <v>347.06</v>
      </c>
      <c r="L353" s="14" t="n">
        <v>347.06</v>
      </c>
      <c r="M353" s="14" t="n">
        <v>347.06</v>
      </c>
      <c r="N353" s="14" t="n">
        <v>347.06</v>
      </c>
      <c r="O353" s="14" t="n">
        <v>347.06</v>
      </c>
      <c r="P353" s="14" t="n">
        <v>347.06</v>
      </c>
      <c r="Q353" s="14" t="n">
        <v>347.06</v>
      </c>
      <c r="R353" s="14" t="n">
        <v>347.06</v>
      </c>
      <c r="S353" s="14" t="n">
        <v>347.06</v>
      </c>
      <c r="T353" s="14" t="n">
        <v>347.06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CANON-202605-006468</t>
        </is>
      </c>
      <c r="B354" s="15" t="inlineStr">
        <is>
          <t>2026-05-07</t>
        </is>
      </c>
      <c r="C354" s="15" t="inlineStr">
        <is>
          <t>Saoirse Farkas</t>
        </is>
      </c>
      <c r="D354" s="15" t="inlineStr">
        <is>
          <t>VT</t>
        </is>
      </c>
      <c r="E354" s="16" t="n">
        <v>1345000</v>
      </c>
      <c r="F354" s="16" t="n">
        <v>13234.32</v>
      </c>
      <c r="G354" s="16" t="n">
        <v>1654.29</v>
      </c>
      <c r="H354" s="16" t="n">
        <v>1654.29</v>
      </c>
      <c r="I354" s="16">
        <f>SUM(K354:T354)</f>
        <v/>
      </c>
      <c r="J354" s="16">
        <f>F354-(G354+H354+I354)</f>
        <v/>
      </c>
      <c r="K354" s="16" t="n">
        <v>992.5700000000001</v>
      </c>
      <c r="L354" s="16" t="n">
        <v>992.5700000000001</v>
      </c>
      <c r="M354" s="16" t="n">
        <v>992.5700000000001</v>
      </c>
      <c r="N354" s="16" t="n">
        <v>992.5700000000001</v>
      </c>
      <c r="O354" s="16" t="n">
        <v>992.5700000000001</v>
      </c>
      <c r="P354" s="16" t="n">
        <v>992.5700000000001</v>
      </c>
      <c r="Q354" s="16" t="n">
        <v>992.5700000000001</v>
      </c>
      <c r="R354" s="16" t="n">
        <v>992.5700000000001</v>
      </c>
      <c r="S354" s="16" t="n">
        <v>992.5700000000001</v>
      </c>
      <c r="T354" s="16" t="n">
        <v>992.5700000000001</v>
      </c>
      <c r="U354" s="16" t="n">
        <v>350</v>
      </c>
      <c r="V354" s="16" t="n">
        <v>250</v>
      </c>
      <c r="W354" s="16">
        <f>U354+V354</f>
        <v/>
      </c>
    </row>
    <row r="355">
      <c r="A355" s="3" t="inlineStr">
        <is>
          <t>CANON-202605-006470</t>
        </is>
      </c>
      <c r="B355" s="3" t="inlineStr">
        <is>
          <t>2026-05-24</t>
        </is>
      </c>
      <c r="C355" s="3" t="inlineStr">
        <is>
          <t>Emiliano Castellanos</t>
        </is>
      </c>
      <c r="D355" s="3" t="inlineStr">
        <is>
          <t>MD</t>
        </is>
      </c>
      <c r="E355" s="14" t="n">
        <v>335000</v>
      </c>
      <c r="F355" s="14" t="n">
        <v>3500.15</v>
      </c>
      <c r="G355" s="14" t="n">
        <v>437.52</v>
      </c>
      <c r="H355" s="14" t="n">
        <v>437.52</v>
      </c>
      <c r="I355" s="14">
        <f>SUM(K355:T355)</f>
        <v/>
      </c>
      <c r="J355" s="14">
        <f>F355-(G355+H355+I355)</f>
        <v/>
      </c>
      <c r="K355" s="14" t="n">
        <v>262.51</v>
      </c>
      <c r="L355" s="14" t="n">
        <v>262.51</v>
      </c>
      <c r="M355" s="14" t="n">
        <v>262.51</v>
      </c>
      <c r="N355" s="14" t="n">
        <v>262.51</v>
      </c>
      <c r="O355" s="14" t="n">
        <v>262.51</v>
      </c>
      <c r="P355" s="14" t="n">
        <v>262.51</v>
      </c>
      <c r="Q355" s="14" t="n">
        <v>262.51</v>
      </c>
      <c r="R355" s="14" t="n">
        <v>262.51</v>
      </c>
      <c r="S355" s="14" t="n">
        <v>262.51</v>
      </c>
      <c r="T355" s="14" t="n">
        <v>262.51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CANON-202605-006472</t>
        </is>
      </c>
      <c r="B356" s="15" t="inlineStr">
        <is>
          <t>2026-05-28</t>
        </is>
      </c>
      <c r="C356" s="15" t="inlineStr">
        <is>
          <t>Marisol Ashcombe</t>
        </is>
      </c>
      <c r="D356" s="15" t="inlineStr">
        <is>
          <t>IL</t>
        </is>
      </c>
      <c r="E356" s="16" t="n">
        <v>865000</v>
      </c>
      <c r="F356" s="16" t="n">
        <v>13455.71</v>
      </c>
      <c r="G356" s="16" t="n">
        <v>1681.96</v>
      </c>
      <c r="H356" s="16" t="n">
        <v>1681.96</v>
      </c>
      <c r="I356" s="16">
        <f>SUM(K356:T356)</f>
        <v/>
      </c>
      <c r="J356" s="16">
        <f>F356-(G356+H356+I356)</f>
        <v/>
      </c>
      <c r="K356" s="16" t="n">
        <v>1009.18</v>
      </c>
      <c r="L356" s="16" t="n">
        <v>1009.18</v>
      </c>
      <c r="M356" s="16" t="n">
        <v>1009.18</v>
      </c>
      <c r="N356" s="16" t="n">
        <v>1009.18</v>
      </c>
      <c r="O356" s="16" t="n">
        <v>1009.18</v>
      </c>
      <c r="P356" s="16" t="n">
        <v>1009.18</v>
      </c>
      <c r="Q356" s="16" t="n">
        <v>1009.18</v>
      </c>
      <c r="R356" s="16" t="n">
        <v>1009.18</v>
      </c>
      <c r="S356" s="16" t="n">
        <v>1009.18</v>
      </c>
      <c r="T356" s="16" t="n">
        <v>1009.18</v>
      </c>
      <c r="U356" s="16" t="n">
        <v>350</v>
      </c>
      <c r="V356" s="16" t="n">
        <v>0</v>
      </c>
      <c r="W356" s="16">
        <f>U356+V356</f>
        <v/>
      </c>
    </row>
    <row r="357">
      <c r="A357" s="3" t="inlineStr">
        <is>
          <t>CANON-202605-006474</t>
        </is>
      </c>
      <c r="B357" s="3" t="inlineStr">
        <is>
          <t>2026-05-08</t>
        </is>
      </c>
      <c r="C357" s="3" t="inlineStr">
        <is>
          <t>Marisol Vandermeer</t>
        </is>
      </c>
      <c r="D357" s="3" t="inlineStr">
        <is>
          <t>MI</t>
        </is>
      </c>
      <c r="E357" s="14" t="n">
        <v>1950000</v>
      </c>
      <c r="F357" s="14" t="n">
        <v>16842.51</v>
      </c>
      <c r="G357" s="14" t="n">
        <v>2105.31</v>
      </c>
      <c r="H357" s="14" t="n">
        <v>2105.31</v>
      </c>
      <c r="I357" s="14">
        <f>SUM(K357:T357)</f>
        <v/>
      </c>
      <c r="J357" s="14">
        <f>F357-(G357+H357+I357)</f>
        <v/>
      </c>
      <c r="K357" s="14" t="n">
        <v>1263.19</v>
      </c>
      <c r="L357" s="14" t="n">
        <v>1263.19</v>
      </c>
      <c r="M357" s="14" t="n">
        <v>1263.19</v>
      </c>
      <c r="N357" s="14" t="n">
        <v>1263.19</v>
      </c>
      <c r="O357" s="14" t="n">
        <v>1263.19</v>
      </c>
      <c r="P357" s="14" t="n">
        <v>1263.19</v>
      </c>
      <c r="Q357" s="14" t="n">
        <v>1263.19</v>
      </c>
      <c r="R357" s="14" t="n">
        <v>1263.19</v>
      </c>
      <c r="S357" s="14" t="n">
        <v>1263.19</v>
      </c>
      <c r="T357" s="14" t="n">
        <v>1263.19</v>
      </c>
      <c r="U357" s="14" t="n">
        <v>350</v>
      </c>
      <c r="V357" s="14" t="n">
        <v>250</v>
      </c>
      <c r="W357" s="14">
        <f>U357+V357</f>
        <v/>
      </c>
    </row>
    <row r="358">
      <c r="A358" s="15" t="inlineStr">
        <is>
          <t>CANON-202605-006475</t>
        </is>
      </c>
      <c r="B358" s="15" t="inlineStr">
        <is>
          <t>2026-05-18</t>
        </is>
      </c>
      <c r="C358" s="15" t="inlineStr">
        <is>
          <t>Priya Okonkwo</t>
        </is>
      </c>
      <c r="D358" s="15" t="inlineStr">
        <is>
          <t>TX</t>
        </is>
      </c>
      <c r="E358" s="16" t="n">
        <v>550000</v>
      </c>
      <c r="F358" s="16" t="n">
        <v>6028.8</v>
      </c>
      <c r="G358" s="16" t="n">
        <v>753.6</v>
      </c>
      <c r="H358" s="16" t="n">
        <v>753.6</v>
      </c>
      <c r="I358" s="16">
        <f>SUM(K358:T358)</f>
        <v/>
      </c>
      <c r="J358" s="16">
        <f>F358-(G358+H358+I358)</f>
        <v/>
      </c>
      <c r="K358" s="16" t="n">
        <v>452.16</v>
      </c>
      <c r="L358" s="16" t="n">
        <v>452.16</v>
      </c>
      <c r="M358" s="16" t="n">
        <v>452.16</v>
      </c>
      <c r="N358" s="16" t="n">
        <v>452.16</v>
      </c>
      <c r="O358" s="16" t="n">
        <v>452.16</v>
      </c>
      <c r="P358" s="16" t="n">
        <v>452.16</v>
      </c>
      <c r="Q358" s="16" t="n">
        <v>452.16</v>
      </c>
      <c r="R358" s="16" t="n">
        <v>452.16</v>
      </c>
      <c r="S358" s="16" t="n">
        <v>452.16</v>
      </c>
      <c r="T358" s="16" t="n">
        <v>452.16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CANON-202605-006476</t>
        </is>
      </c>
      <c r="B359" s="3" t="inlineStr">
        <is>
          <t>2026-05-19</t>
        </is>
      </c>
      <c r="C359" s="3" t="inlineStr">
        <is>
          <t>Horace Bellandi</t>
        </is>
      </c>
      <c r="D359" s="3" t="inlineStr">
        <is>
          <t>IN</t>
        </is>
      </c>
      <c r="E359" s="14" t="n">
        <v>380000</v>
      </c>
      <c r="F359" s="14" t="n">
        <v>5140.52</v>
      </c>
      <c r="G359" s="14" t="n">
        <v>642.5700000000001</v>
      </c>
      <c r="H359" s="14" t="n">
        <v>642.5700000000001</v>
      </c>
      <c r="I359" s="14">
        <f>SUM(K359:T359)</f>
        <v/>
      </c>
      <c r="J359" s="14">
        <f>F359-(G359+H359+I359)</f>
        <v/>
      </c>
      <c r="K359" s="14" t="n">
        <v>385.54</v>
      </c>
      <c r="L359" s="14" t="n">
        <v>385.54</v>
      </c>
      <c r="M359" s="14" t="n">
        <v>385.54</v>
      </c>
      <c r="N359" s="14" t="n">
        <v>385.54</v>
      </c>
      <c r="O359" s="14" t="n">
        <v>385.54</v>
      </c>
      <c r="P359" s="14" t="n">
        <v>385.54</v>
      </c>
      <c r="Q359" s="14" t="n">
        <v>385.54</v>
      </c>
      <c r="R359" s="14" t="n">
        <v>385.54</v>
      </c>
      <c r="S359" s="14" t="n">
        <v>385.54</v>
      </c>
      <c r="T359" s="14" t="n">
        <v>385.54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CANON-202605-006477</t>
        </is>
      </c>
      <c r="B360" s="15" t="inlineStr">
        <is>
          <t>2026-05-21</t>
        </is>
      </c>
      <c r="C360" s="15" t="inlineStr">
        <is>
          <t>Delphine Pennington</t>
        </is>
      </c>
      <c r="D360" s="15" t="inlineStr">
        <is>
          <t>WY</t>
        </is>
      </c>
      <c r="E360" s="16" t="n">
        <v>825000</v>
      </c>
      <c r="F360" s="16" t="n">
        <v>5566.25</v>
      </c>
      <c r="G360" s="16" t="n">
        <v>695.78</v>
      </c>
      <c r="H360" s="16" t="n">
        <v>695.78</v>
      </c>
      <c r="I360" s="16">
        <f>SUM(K360:T360)</f>
        <v/>
      </c>
      <c r="J360" s="16">
        <f>F360-(G360+H360+I360)</f>
        <v/>
      </c>
      <c r="K360" s="16" t="n">
        <v>417.47</v>
      </c>
      <c r="L360" s="16" t="n">
        <v>417.47</v>
      </c>
      <c r="M360" s="16" t="n">
        <v>417.47</v>
      </c>
      <c r="N360" s="16" t="n">
        <v>417.47</v>
      </c>
      <c r="O360" s="16" t="n">
        <v>417.47</v>
      </c>
      <c r="P360" s="16" t="n">
        <v>417.47</v>
      </c>
      <c r="Q360" s="16" t="n">
        <v>417.47</v>
      </c>
      <c r="R360" s="16" t="n">
        <v>417.47</v>
      </c>
      <c r="S360" s="16" t="n">
        <v>417.47</v>
      </c>
      <c r="T360" s="16" t="n">
        <v>417.47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CANON-202605-006478</t>
        </is>
      </c>
      <c r="B361" s="3" t="inlineStr">
        <is>
          <t>2026-05-09</t>
        </is>
      </c>
      <c r="C361" s="3" t="inlineStr">
        <is>
          <t>Thaddeus Underwood</t>
        </is>
      </c>
      <c r="D361" s="3" t="inlineStr">
        <is>
          <t>OR</t>
        </is>
      </c>
      <c r="E361" s="14" t="n">
        <v>290000</v>
      </c>
      <c r="F361" s="14" t="n">
        <v>3604.08</v>
      </c>
      <c r="G361" s="14" t="n">
        <v>450.51</v>
      </c>
      <c r="H361" s="14" t="n">
        <v>450.51</v>
      </c>
      <c r="I361" s="14">
        <f>SUM(K361:T361)</f>
        <v/>
      </c>
      <c r="J361" s="14">
        <f>F361-(G361+H361+I361)</f>
        <v/>
      </c>
      <c r="K361" s="14" t="n">
        <v>270.31</v>
      </c>
      <c r="L361" s="14" t="n">
        <v>270.31</v>
      </c>
      <c r="M361" s="14" t="n">
        <v>270.31</v>
      </c>
      <c r="N361" s="14" t="n">
        <v>270.31</v>
      </c>
      <c r="O361" s="14" t="n">
        <v>270.31</v>
      </c>
      <c r="P361" s="14" t="n">
        <v>270.31</v>
      </c>
      <c r="Q361" s="14" t="n">
        <v>270.31</v>
      </c>
      <c r="R361" s="14" t="n">
        <v>270.31</v>
      </c>
      <c r="S361" s="14" t="n">
        <v>270.31</v>
      </c>
      <c r="T361" s="14" t="n">
        <v>270.31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CANON-202605-006479</t>
        </is>
      </c>
      <c r="B362" s="15" t="inlineStr">
        <is>
          <t>2026-05-23</t>
        </is>
      </c>
      <c r="C362" s="15" t="inlineStr">
        <is>
          <t>Aurelio Blackwood</t>
        </is>
      </c>
      <c r="D362" s="15" t="inlineStr">
        <is>
          <t>IA</t>
        </is>
      </c>
      <c r="E362" s="16" t="n">
        <v>745000</v>
      </c>
      <c r="F362" s="16" t="n">
        <v>9373.48</v>
      </c>
      <c r="G362" s="16" t="n">
        <v>1171.68</v>
      </c>
      <c r="H362" s="16" t="n">
        <v>1171.68</v>
      </c>
      <c r="I362" s="16">
        <f>SUM(K362:T362)</f>
        <v/>
      </c>
      <c r="J362" s="16">
        <f>F362-(G362+H362+I362)</f>
        <v/>
      </c>
      <c r="K362" s="16" t="n">
        <v>703.01</v>
      </c>
      <c r="L362" s="16" t="n">
        <v>703.01</v>
      </c>
      <c r="M362" s="16" t="n">
        <v>703.01</v>
      </c>
      <c r="N362" s="16" t="n">
        <v>703.01</v>
      </c>
      <c r="O362" s="16" t="n">
        <v>703.01</v>
      </c>
      <c r="P362" s="16" t="n">
        <v>703.01</v>
      </c>
      <c r="Q362" s="16" t="n">
        <v>703.01</v>
      </c>
      <c r="R362" s="16" t="n">
        <v>703.01</v>
      </c>
      <c r="S362" s="16" t="n">
        <v>703.01</v>
      </c>
      <c r="T362" s="16" t="n">
        <v>703.01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CANON-202605-006480</t>
        </is>
      </c>
      <c r="B363" s="3" t="inlineStr">
        <is>
          <t>2026-05-27</t>
        </is>
      </c>
      <c r="C363" s="3" t="inlineStr">
        <is>
          <t>Callum Underwood</t>
        </is>
      </c>
      <c r="D363" s="3" t="inlineStr">
        <is>
          <t>NV</t>
        </is>
      </c>
      <c r="E363" s="14" t="n">
        <v>735000</v>
      </c>
      <c r="F363" s="14" t="n">
        <v>8196.790000000001</v>
      </c>
      <c r="G363" s="14" t="n">
        <v>1024.6</v>
      </c>
      <c r="H363" s="14" t="n">
        <v>1024.6</v>
      </c>
      <c r="I363" s="14">
        <f>SUM(K363:T363)</f>
        <v/>
      </c>
      <c r="J363" s="14">
        <f>F363-(G363+H363+I363)</f>
        <v/>
      </c>
      <c r="K363" s="14" t="n">
        <v>614.76</v>
      </c>
      <c r="L363" s="14" t="n">
        <v>614.76</v>
      </c>
      <c r="M363" s="14" t="n">
        <v>614.76</v>
      </c>
      <c r="N363" s="14" t="n">
        <v>614.76</v>
      </c>
      <c r="O363" s="14" t="n">
        <v>614.76</v>
      </c>
      <c r="P363" s="14" t="n">
        <v>614.76</v>
      </c>
      <c r="Q363" s="14" t="n">
        <v>614.76</v>
      </c>
      <c r="R363" s="14" t="n">
        <v>614.76</v>
      </c>
      <c r="S363" s="14" t="n">
        <v>614.76</v>
      </c>
      <c r="T363" s="14" t="n">
        <v>614.76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CANON-202605-006481</t>
        </is>
      </c>
      <c r="B364" s="15" t="inlineStr">
        <is>
          <t>2026-05-29</t>
        </is>
      </c>
      <c r="C364" s="15" t="inlineStr">
        <is>
          <t>Ingrid Pennington</t>
        </is>
      </c>
      <c r="D364" s="15" t="inlineStr">
        <is>
          <t>NV</t>
        </is>
      </c>
      <c r="E364" s="16" t="n">
        <v>715000</v>
      </c>
      <c r="F364" s="16" t="n">
        <v>7973.75</v>
      </c>
      <c r="G364" s="16" t="n">
        <v>996.72</v>
      </c>
      <c r="H364" s="16" t="n">
        <v>996.72</v>
      </c>
      <c r="I364" s="16">
        <f>SUM(K364:T364)</f>
        <v/>
      </c>
      <c r="J364" s="16">
        <f>F364-(G364+H364+I364)</f>
        <v/>
      </c>
      <c r="K364" s="16" t="n">
        <v>598.03</v>
      </c>
      <c r="L364" s="16" t="n">
        <v>598.03</v>
      </c>
      <c r="M364" s="16" t="n">
        <v>598.03</v>
      </c>
      <c r="N364" s="16" t="n">
        <v>598.03</v>
      </c>
      <c r="O364" s="16" t="n">
        <v>598.03</v>
      </c>
      <c r="P364" s="16" t="n">
        <v>598.03</v>
      </c>
      <c r="Q364" s="16" t="n">
        <v>598.03</v>
      </c>
      <c r="R364" s="16" t="n">
        <v>598.03</v>
      </c>
      <c r="S364" s="16" t="n">
        <v>598.03</v>
      </c>
      <c r="T364" s="16" t="n">
        <v>598.03</v>
      </c>
      <c r="U364" s="16" t="n">
        <v>350</v>
      </c>
      <c r="V364" s="16" t="n">
        <v>0</v>
      </c>
      <c r="W364" s="16">
        <f>U364+V364</f>
        <v/>
      </c>
    </row>
    <row r="365">
      <c r="A365" s="3" t="inlineStr">
        <is>
          <t>CANON-202605-006482</t>
        </is>
      </c>
      <c r="B365" s="3" t="inlineStr">
        <is>
          <t>2026-05-07</t>
        </is>
      </c>
      <c r="C365" s="3" t="inlineStr">
        <is>
          <t>Delphine Rourke</t>
        </is>
      </c>
      <c r="D365" s="3" t="inlineStr">
        <is>
          <t>ID</t>
        </is>
      </c>
      <c r="E365" s="14" t="n">
        <v>690000</v>
      </c>
      <c r="F365" s="14" t="n">
        <v>6511.1</v>
      </c>
      <c r="G365" s="14" t="n">
        <v>813.89</v>
      </c>
      <c r="H365" s="14" t="n">
        <v>813.89</v>
      </c>
      <c r="I365" s="14">
        <f>SUM(K365:T365)</f>
        <v/>
      </c>
      <c r="J365" s="14">
        <f>F365-(G365+H365+I365)</f>
        <v/>
      </c>
      <c r="K365" s="14" t="n">
        <v>488.33</v>
      </c>
      <c r="L365" s="14" t="n">
        <v>488.33</v>
      </c>
      <c r="M365" s="14" t="n">
        <v>488.33</v>
      </c>
      <c r="N365" s="14" t="n">
        <v>488.33</v>
      </c>
      <c r="O365" s="14" t="n">
        <v>488.33</v>
      </c>
      <c r="P365" s="14" t="n">
        <v>488.33</v>
      </c>
      <c r="Q365" s="14" t="n">
        <v>488.33</v>
      </c>
      <c r="R365" s="14" t="n">
        <v>488.33</v>
      </c>
      <c r="S365" s="14" t="n">
        <v>488.33</v>
      </c>
      <c r="T365" s="14" t="n">
        <v>488.33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CANON-202605-006483</t>
        </is>
      </c>
      <c r="B366" s="15" t="inlineStr">
        <is>
          <t>2026-05-02</t>
        </is>
      </c>
      <c r="C366" s="15" t="inlineStr">
        <is>
          <t>Horace Vandermeer</t>
        </is>
      </c>
      <c r="D366" s="15" t="inlineStr">
        <is>
          <t>TX</t>
        </is>
      </c>
      <c r="E366" s="16" t="n">
        <v>1410000</v>
      </c>
      <c r="F366" s="16" t="n">
        <v>9035.610000000001</v>
      </c>
      <c r="G366" s="16" t="n">
        <v>1129.45</v>
      </c>
      <c r="H366" s="16" t="n">
        <v>1129.45</v>
      </c>
      <c r="I366" s="16">
        <f>SUM(K366:T366)</f>
        <v/>
      </c>
      <c r="J366" s="16">
        <f>F366-(G366+H366+I366)</f>
        <v/>
      </c>
      <c r="K366" s="16" t="n">
        <v>677.67</v>
      </c>
      <c r="L366" s="16" t="n">
        <v>677.67</v>
      </c>
      <c r="M366" s="16" t="n">
        <v>677.67</v>
      </c>
      <c r="N366" s="16" t="n">
        <v>677.67</v>
      </c>
      <c r="O366" s="16" t="n">
        <v>677.67</v>
      </c>
      <c r="P366" s="16" t="n">
        <v>677.67</v>
      </c>
      <c r="Q366" s="16" t="n">
        <v>677.67</v>
      </c>
      <c r="R366" s="16" t="n">
        <v>677.67</v>
      </c>
      <c r="S366" s="16" t="n">
        <v>677.67</v>
      </c>
      <c r="T366" s="16" t="n">
        <v>677.67</v>
      </c>
      <c r="U366" s="16" t="n">
        <v>350</v>
      </c>
      <c r="V366" s="16" t="n">
        <v>250</v>
      </c>
      <c r="W366" s="16">
        <f>U366+V366</f>
        <v/>
      </c>
    </row>
    <row r="367">
      <c r="A367" s="3" t="inlineStr">
        <is>
          <t>CANON-202605-006484</t>
        </is>
      </c>
      <c r="B367" s="3" t="inlineStr">
        <is>
          <t>2026-05-20</t>
        </is>
      </c>
      <c r="C367" s="3" t="inlineStr">
        <is>
          <t>Fenwick Whitlock</t>
        </is>
      </c>
      <c r="D367" s="3" t="inlineStr">
        <is>
          <t>CA</t>
        </is>
      </c>
      <c r="E367" s="14" t="n">
        <v>1010000</v>
      </c>
      <c r="F367" s="14" t="n">
        <v>10997.01</v>
      </c>
      <c r="G367" s="14" t="n">
        <v>1374.63</v>
      </c>
      <c r="H367" s="14" t="n">
        <v>1374.63</v>
      </c>
      <c r="I367" s="14">
        <f>SUM(K367:T367)</f>
        <v/>
      </c>
      <c r="J367" s="14">
        <f>F367-(G367+H367+I367)</f>
        <v/>
      </c>
      <c r="K367" s="14" t="n">
        <v>824.78</v>
      </c>
      <c r="L367" s="14" t="n">
        <v>824.78</v>
      </c>
      <c r="M367" s="14" t="n">
        <v>824.78</v>
      </c>
      <c r="N367" s="14" t="n">
        <v>824.78</v>
      </c>
      <c r="O367" s="14" t="n">
        <v>824.78</v>
      </c>
      <c r="P367" s="14" t="n">
        <v>824.78</v>
      </c>
      <c r="Q367" s="14" t="n">
        <v>824.78</v>
      </c>
      <c r="R367" s="14" t="n">
        <v>824.78</v>
      </c>
      <c r="S367" s="14" t="n">
        <v>824.78</v>
      </c>
      <c r="T367" s="14" t="n">
        <v>824.78</v>
      </c>
      <c r="U367" s="14" t="n">
        <v>350</v>
      </c>
      <c r="V367" s="14" t="n">
        <v>250</v>
      </c>
      <c r="W367" s="14">
        <f>U367+V367</f>
        <v/>
      </c>
    </row>
    <row r="368">
      <c r="A368" s="15" t="inlineStr">
        <is>
          <t>CANON-202605-006485</t>
        </is>
      </c>
      <c r="B368" s="15" t="inlineStr">
        <is>
          <t>2026-05-01</t>
        </is>
      </c>
      <c r="C368" s="15" t="inlineStr">
        <is>
          <t>Callum Vandermeer</t>
        </is>
      </c>
      <c r="D368" s="15" t="inlineStr">
        <is>
          <t>PA</t>
        </is>
      </c>
      <c r="E368" s="16" t="n">
        <v>430000</v>
      </c>
      <c r="F368" s="16" t="n">
        <v>3026.68</v>
      </c>
      <c r="G368" s="16" t="n">
        <v>378.33</v>
      </c>
      <c r="H368" s="16" t="n">
        <v>378.33</v>
      </c>
      <c r="I368" s="16">
        <f>SUM(K368:T368)</f>
        <v/>
      </c>
      <c r="J368" s="16">
        <f>F368-(G368+H368+I368)</f>
        <v/>
      </c>
      <c r="K368" s="16" t="n">
        <v>227</v>
      </c>
      <c r="L368" s="16" t="n">
        <v>227</v>
      </c>
      <c r="M368" s="16" t="n">
        <v>227</v>
      </c>
      <c r="N368" s="16" t="n">
        <v>227</v>
      </c>
      <c r="O368" s="16" t="n">
        <v>227</v>
      </c>
      <c r="P368" s="16" t="n">
        <v>227</v>
      </c>
      <c r="Q368" s="16" t="n">
        <v>227</v>
      </c>
      <c r="R368" s="16" t="n">
        <v>227</v>
      </c>
      <c r="S368" s="16" t="n">
        <v>227</v>
      </c>
      <c r="T368" s="16" t="n">
        <v>227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CANON-202605-006487</t>
        </is>
      </c>
      <c r="B369" s="3" t="inlineStr">
        <is>
          <t>2026-05-20</t>
        </is>
      </c>
      <c r="C369" s="3" t="inlineStr">
        <is>
          <t>Callum Whitlock</t>
        </is>
      </c>
      <c r="D369" s="3" t="inlineStr">
        <is>
          <t>KS</t>
        </is>
      </c>
      <c r="E369" s="14" t="n">
        <v>320000</v>
      </c>
      <c r="F369" s="14" t="n">
        <v>3413.81</v>
      </c>
      <c r="G369" s="14" t="n">
        <v>426.73</v>
      </c>
      <c r="H369" s="14" t="n">
        <v>426.73</v>
      </c>
      <c r="I369" s="14">
        <f>SUM(K369:T369)</f>
        <v/>
      </c>
      <c r="J369" s="14">
        <f>F369-(G369+H369+I369)</f>
        <v/>
      </c>
      <c r="K369" s="14" t="n">
        <v>256.04</v>
      </c>
      <c r="L369" s="14" t="n">
        <v>256.04</v>
      </c>
      <c r="M369" s="14" t="n">
        <v>256.04</v>
      </c>
      <c r="N369" s="14" t="n">
        <v>256.04</v>
      </c>
      <c r="O369" s="14" t="n">
        <v>256.04</v>
      </c>
      <c r="P369" s="14" t="n">
        <v>256.04</v>
      </c>
      <c r="Q369" s="14" t="n">
        <v>256.04</v>
      </c>
      <c r="R369" s="14" t="n">
        <v>256.04</v>
      </c>
      <c r="S369" s="14" t="n">
        <v>256.04</v>
      </c>
      <c r="T369" s="14" t="n">
        <v>256.04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CANON-202605-006488</t>
        </is>
      </c>
      <c r="B370" s="15" t="inlineStr">
        <is>
          <t>2026-05-04</t>
        </is>
      </c>
      <c r="C370" s="15" t="inlineStr">
        <is>
          <t>Everett Vasquez</t>
        </is>
      </c>
      <c r="D370" s="15" t="inlineStr">
        <is>
          <t>VT</t>
        </is>
      </c>
      <c r="E370" s="16" t="n">
        <v>430000</v>
      </c>
      <c r="F370" s="16" t="n">
        <v>5769.61</v>
      </c>
      <c r="G370" s="16" t="n">
        <v>721.2</v>
      </c>
      <c r="H370" s="16" t="n">
        <v>721.2</v>
      </c>
      <c r="I370" s="16">
        <f>SUM(K370:T370)</f>
        <v/>
      </c>
      <c r="J370" s="16">
        <f>F370-(G370+H370+I370)</f>
        <v/>
      </c>
      <c r="K370" s="16" t="n">
        <v>432.72</v>
      </c>
      <c r="L370" s="16" t="n">
        <v>432.72</v>
      </c>
      <c r="M370" s="16" t="n">
        <v>432.72</v>
      </c>
      <c r="N370" s="16" t="n">
        <v>432.72</v>
      </c>
      <c r="O370" s="16" t="n">
        <v>432.72</v>
      </c>
      <c r="P370" s="16" t="n">
        <v>432.72</v>
      </c>
      <c r="Q370" s="16" t="n">
        <v>432.72</v>
      </c>
      <c r="R370" s="16" t="n">
        <v>432.72</v>
      </c>
      <c r="S370" s="16" t="n">
        <v>432.72</v>
      </c>
      <c r="T370" s="16" t="n">
        <v>432.72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CANON-202605-006489</t>
        </is>
      </c>
      <c r="B371" s="3" t="inlineStr">
        <is>
          <t>2026-05-17</t>
        </is>
      </c>
      <c r="C371" s="3" t="inlineStr">
        <is>
          <t>Fitzgerald Pennington</t>
        </is>
      </c>
      <c r="D371" s="3" t="inlineStr">
        <is>
          <t>NY</t>
        </is>
      </c>
      <c r="E371" s="14" t="n">
        <v>380000</v>
      </c>
      <c r="F371" s="14" t="n">
        <v>5349.48</v>
      </c>
      <c r="G371" s="14" t="n">
        <v>668.6799999999999</v>
      </c>
      <c r="H371" s="14" t="n">
        <v>668.6799999999999</v>
      </c>
      <c r="I371" s="14">
        <f>SUM(K371:T371)</f>
        <v/>
      </c>
      <c r="J371" s="14">
        <f>F371-(G371+H371+I371)</f>
        <v/>
      </c>
      <c r="K371" s="14" t="n">
        <v>401.21</v>
      </c>
      <c r="L371" s="14" t="n">
        <v>401.21</v>
      </c>
      <c r="M371" s="14" t="n">
        <v>401.21</v>
      </c>
      <c r="N371" s="14" t="n">
        <v>401.21</v>
      </c>
      <c r="O371" s="14" t="n">
        <v>401.21</v>
      </c>
      <c r="P371" s="14" t="n">
        <v>401.21</v>
      </c>
      <c r="Q371" s="14" t="n">
        <v>401.21</v>
      </c>
      <c r="R371" s="14" t="n">
        <v>401.21</v>
      </c>
      <c r="S371" s="14" t="n">
        <v>401.21</v>
      </c>
      <c r="T371" s="14" t="n">
        <v>401.21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CANON-202605-006490</t>
        </is>
      </c>
      <c r="B372" s="15" t="inlineStr">
        <is>
          <t>2026-05-21</t>
        </is>
      </c>
      <c r="C372" s="15" t="inlineStr">
        <is>
          <t>Delphine Bellandi</t>
        </is>
      </c>
      <c r="D372" s="15" t="inlineStr">
        <is>
          <t>MT</t>
        </is>
      </c>
      <c r="E372" s="16" t="n">
        <v>290000</v>
      </c>
      <c r="F372" s="16" t="n">
        <v>2966.19</v>
      </c>
      <c r="G372" s="16" t="n">
        <v>370.77</v>
      </c>
      <c r="H372" s="16" t="n">
        <v>370.77</v>
      </c>
      <c r="I372" s="16">
        <f>SUM(K372:T372)</f>
        <v/>
      </c>
      <c r="J372" s="16">
        <f>F372-(G372+H372+I372)</f>
        <v/>
      </c>
      <c r="K372" s="16" t="n">
        <v>222.46</v>
      </c>
      <c r="L372" s="16" t="n">
        <v>222.46</v>
      </c>
      <c r="M372" s="16" t="n">
        <v>222.46</v>
      </c>
      <c r="N372" s="16" t="n">
        <v>222.46</v>
      </c>
      <c r="O372" s="16" t="n">
        <v>222.46</v>
      </c>
      <c r="P372" s="16" t="n">
        <v>222.46</v>
      </c>
      <c r="Q372" s="16" t="n">
        <v>222.46</v>
      </c>
      <c r="R372" s="16" t="n">
        <v>222.46</v>
      </c>
      <c r="S372" s="16" t="n">
        <v>222.46</v>
      </c>
      <c r="T372" s="16" t="n">
        <v>222.46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CANON-202605-006491</t>
        </is>
      </c>
      <c r="B373" s="3" t="inlineStr">
        <is>
          <t>2026-05-26</t>
        </is>
      </c>
      <c r="C373" s="3" t="inlineStr">
        <is>
          <t>Ramona Blackwood</t>
        </is>
      </c>
      <c r="D373" s="3" t="inlineStr">
        <is>
          <t>AR</t>
        </is>
      </c>
      <c r="E373" s="14" t="n">
        <v>635000</v>
      </c>
      <c r="F373" s="14" t="n">
        <v>5525.58</v>
      </c>
      <c r="G373" s="14" t="n">
        <v>690.7</v>
      </c>
      <c r="H373" s="14" t="n">
        <v>690.7</v>
      </c>
      <c r="I373" s="14">
        <f>SUM(K373:T373)</f>
        <v/>
      </c>
      <c r="J373" s="14">
        <f>F373-(G373+H373+I373)</f>
        <v/>
      </c>
      <c r="K373" s="14" t="n">
        <v>414.42</v>
      </c>
      <c r="L373" s="14" t="n">
        <v>414.42</v>
      </c>
      <c r="M373" s="14" t="n">
        <v>414.42</v>
      </c>
      <c r="N373" s="14" t="n">
        <v>414.42</v>
      </c>
      <c r="O373" s="14" t="n">
        <v>414.42</v>
      </c>
      <c r="P373" s="14" t="n">
        <v>414.42</v>
      </c>
      <c r="Q373" s="14" t="n">
        <v>414.42</v>
      </c>
      <c r="R373" s="14" t="n">
        <v>414.42</v>
      </c>
      <c r="S373" s="14" t="n">
        <v>414.42</v>
      </c>
      <c r="T373" s="14" t="n">
        <v>414.42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CANON-202605-006492</t>
        </is>
      </c>
      <c r="B374" s="15" t="inlineStr">
        <is>
          <t>2026-05-21</t>
        </is>
      </c>
      <c r="C374" s="15" t="inlineStr">
        <is>
          <t>Callum Rourke</t>
        </is>
      </c>
      <c r="D374" s="15" t="inlineStr">
        <is>
          <t>CA</t>
        </is>
      </c>
      <c r="E374" s="16" t="n">
        <v>875000</v>
      </c>
      <c r="F374" s="16" t="n">
        <v>16455.93</v>
      </c>
      <c r="G374" s="16" t="n">
        <v>2056.99</v>
      </c>
      <c r="H374" s="16" t="n">
        <v>2056.99</v>
      </c>
      <c r="I374" s="16">
        <f>SUM(K374:T374)</f>
        <v/>
      </c>
      <c r="J374" s="16">
        <f>F374-(G374+H374+I374)</f>
        <v/>
      </c>
      <c r="K374" s="16" t="n">
        <v>1234.19</v>
      </c>
      <c r="L374" s="16" t="n">
        <v>1234.19</v>
      </c>
      <c r="M374" s="16" t="n">
        <v>1234.19</v>
      </c>
      <c r="N374" s="16" t="n">
        <v>1234.19</v>
      </c>
      <c r="O374" s="16" t="n">
        <v>1234.19</v>
      </c>
      <c r="P374" s="16" t="n">
        <v>1234.19</v>
      </c>
      <c r="Q374" s="16" t="n">
        <v>1234.19</v>
      </c>
      <c r="R374" s="16" t="n">
        <v>1234.19</v>
      </c>
      <c r="S374" s="16" t="n">
        <v>1234.19</v>
      </c>
      <c r="T374" s="16" t="n">
        <v>1234.19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CANON-202605-006493</t>
        </is>
      </c>
      <c r="B375" s="3" t="inlineStr">
        <is>
          <t>2026-05-16</t>
        </is>
      </c>
      <c r="C375" s="3" t="inlineStr">
        <is>
          <t>Thaddeus Merriweather</t>
        </is>
      </c>
      <c r="D375" s="3" t="inlineStr">
        <is>
          <t>MO</t>
        </is>
      </c>
      <c r="E375" s="14" t="n">
        <v>1105000</v>
      </c>
      <c r="F375" s="14" t="n">
        <v>6526.93</v>
      </c>
      <c r="G375" s="14" t="n">
        <v>815.87</v>
      </c>
      <c r="H375" s="14" t="n">
        <v>815.87</v>
      </c>
      <c r="I375" s="14">
        <f>SUM(K375:T375)</f>
        <v/>
      </c>
      <c r="J375" s="14">
        <f>F375-(G375+H375+I375)</f>
        <v/>
      </c>
      <c r="K375" s="14" t="n">
        <v>489.52</v>
      </c>
      <c r="L375" s="14" t="n">
        <v>489.52</v>
      </c>
      <c r="M375" s="14" t="n">
        <v>489.52</v>
      </c>
      <c r="N375" s="14" t="n">
        <v>489.52</v>
      </c>
      <c r="O375" s="14" t="n">
        <v>489.52</v>
      </c>
      <c r="P375" s="14" t="n">
        <v>489.52</v>
      </c>
      <c r="Q375" s="14" t="n">
        <v>489.52</v>
      </c>
      <c r="R375" s="14" t="n">
        <v>489.52</v>
      </c>
      <c r="S375" s="14" t="n">
        <v>489.52</v>
      </c>
      <c r="T375" s="14" t="n">
        <v>489.52</v>
      </c>
      <c r="U375" s="14" t="n">
        <v>350</v>
      </c>
      <c r="V375" s="14" t="n">
        <v>250</v>
      </c>
      <c r="W375" s="14">
        <f>U375+V375</f>
        <v/>
      </c>
    </row>
    <row r="376">
      <c r="A376" s="15" t="inlineStr">
        <is>
          <t>CANON-202605-006494</t>
        </is>
      </c>
      <c r="B376" s="15" t="inlineStr">
        <is>
          <t>2026-05-12</t>
        </is>
      </c>
      <c r="C376" s="15" t="inlineStr">
        <is>
          <t>Saoirse Pennington</t>
        </is>
      </c>
      <c r="D376" s="15" t="inlineStr">
        <is>
          <t>OH</t>
        </is>
      </c>
      <c r="E376" s="16" t="n">
        <v>500000</v>
      </c>
      <c r="F376" s="16" t="n">
        <v>6624.53</v>
      </c>
      <c r="G376" s="16" t="n">
        <v>828.0700000000001</v>
      </c>
      <c r="H376" s="16" t="n">
        <v>828.0700000000001</v>
      </c>
      <c r="I376" s="16">
        <f>SUM(K376:T376)</f>
        <v/>
      </c>
      <c r="J376" s="16">
        <f>F376-(G376+H376+I376)</f>
        <v/>
      </c>
      <c r="K376" s="16" t="n">
        <v>496.84</v>
      </c>
      <c r="L376" s="16" t="n">
        <v>496.84</v>
      </c>
      <c r="M376" s="16" t="n">
        <v>496.84</v>
      </c>
      <c r="N376" s="16" t="n">
        <v>496.84</v>
      </c>
      <c r="O376" s="16" t="n">
        <v>496.84</v>
      </c>
      <c r="P376" s="16" t="n">
        <v>496.84</v>
      </c>
      <c r="Q376" s="16" t="n">
        <v>496.84</v>
      </c>
      <c r="R376" s="16" t="n">
        <v>496.84</v>
      </c>
      <c r="S376" s="16" t="n">
        <v>496.84</v>
      </c>
      <c r="T376" s="16" t="n">
        <v>496.84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CANON-202605-006495</t>
        </is>
      </c>
      <c r="B377" s="3" t="inlineStr">
        <is>
          <t>2026-05-26</t>
        </is>
      </c>
      <c r="C377" s="3" t="inlineStr">
        <is>
          <t>Leopold Nakashima</t>
        </is>
      </c>
      <c r="D377" s="3" t="inlineStr">
        <is>
          <t>TX</t>
        </is>
      </c>
      <c r="E377" s="14" t="n">
        <v>190000</v>
      </c>
      <c r="F377" s="14" t="n">
        <v>2947.79</v>
      </c>
      <c r="G377" s="14" t="n">
        <v>368.47</v>
      </c>
      <c r="H377" s="14" t="n">
        <v>368.47</v>
      </c>
      <c r="I377" s="14">
        <f>SUM(K377:T377)</f>
        <v/>
      </c>
      <c r="J377" s="14">
        <f>F377-(G377+H377+I377)</f>
        <v/>
      </c>
      <c r="K377" s="14" t="n">
        <v>221.08</v>
      </c>
      <c r="L377" s="14" t="n">
        <v>221.08</v>
      </c>
      <c r="M377" s="14" t="n">
        <v>221.08</v>
      </c>
      <c r="N377" s="14" t="n">
        <v>221.08</v>
      </c>
      <c r="O377" s="14" t="n">
        <v>221.08</v>
      </c>
      <c r="P377" s="14" t="n">
        <v>221.08</v>
      </c>
      <c r="Q377" s="14" t="n">
        <v>221.08</v>
      </c>
      <c r="R377" s="14" t="n">
        <v>221.08</v>
      </c>
      <c r="S377" s="14" t="n">
        <v>221.08</v>
      </c>
      <c r="T377" s="14" t="n">
        <v>221.08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CANON-202605-006496</t>
        </is>
      </c>
      <c r="B378" s="15" t="inlineStr">
        <is>
          <t>2026-05-17</t>
        </is>
      </c>
      <c r="C378" s="15" t="inlineStr">
        <is>
          <t>Cassius Vandermeer</t>
        </is>
      </c>
      <c r="D378" s="15" t="inlineStr">
        <is>
          <t>AZ</t>
        </is>
      </c>
      <c r="E378" s="16" t="n">
        <v>980000</v>
      </c>
      <c r="F378" s="16" t="n">
        <v>9434.48</v>
      </c>
      <c r="G378" s="16" t="n">
        <v>1179.31</v>
      </c>
      <c r="H378" s="16" t="n">
        <v>1179.31</v>
      </c>
      <c r="I378" s="16">
        <f>SUM(K378:T378)</f>
        <v/>
      </c>
      <c r="J378" s="16">
        <f>F378-(G378+H378+I378)</f>
        <v/>
      </c>
      <c r="K378" s="16" t="n">
        <v>707.59</v>
      </c>
      <c r="L378" s="16" t="n">
        <v>707.59</v>
      </c>
      <c r="M378" s="16" t="n">
        <v>707.59</v>
      </c>
      <c r="N378" s="16" t="n">
        <v>707.59</v>
      </c>
      <c r="O378" s="16" t="n">
        <v>707.59</v>
      </c>
      <c r="P378" s="16" t="n">
        <v>707.59</v>
      </c>
      <c r="Q378" s="16" t="n">
        <v>707.59</v>
      </c>
      <c r="R378" s="16" t="n">
        <v>707.59</v>
      </c>
      <c r="S378" s="16" t="n">
        <v>707.59</v>
      </c>
      <c r="T378" s="16" t="n">
        <v>707.59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CANON-202605-006497</t>
        </is>
      </c>
      <c r="B379" s="3" t="inlineStr">
        <is>
          <t>2026-05-09</t>
        </is>
      </c>
      <c r="C379" s="3" t="inlineStr">
        <is>
          <t>Priya Farkas</t>
        </is>
      </c>
      <c r="D379" s="3" t="inlineStr">
        <is>
          <t>NV</t>
        </is>
      </c>
      <c r="E379" s="14" t="n">
        <v>255000</v>
      </c>
      <c r="F379" s="14" t="n">
        <v>3281.28</v>
      </c>
      <c r="G379" s="14" t="n">
        <v>410.16</v>
      </c>
      <c r="H379" s="14" t="n">
        <v>410.16</v>
      </c>
      <c r="I379" s="14">
        <f>SUM(K379:T379)</f>
        <v/>
      </c>
      <c r="J379" s="14">
        <f>F379-(G379+H379+I379)</f>
        <v/>
      </c>
      <c r="K379" s="14" t="n">
        <v>246.1</v>
      </c>
      <c r="L379" s="14" t="n">
        <v>246.1</v>
      </c>
      <c r="M379" s="14" t="n">
        <v>246.1</v>
      </c>
      <c r="N379" s="14" t="n">
        <v>246.1</v>
      </c>
      <c r="O379" s="14" t="n">
        <v>246.1</v>
      </c>
      <c r="P379" s="14" t="n">
        <v>246.1</v>
      </c>
      <c r="Q379" s="14" t="n">
        <v>246.1</v>
      </c>
      <c r="R379" s="14" t="n">
        <v>246.1</v>
      </c>
      <c r="S379" s="14" t="n">
        <v>246.1</v>
      </c>
      <c r="T379" s="14" t="n">
        <v>246.1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CANON-202605-006498</t>
        </is>
      </c>
      <c r="B380" s="15" t="inlineStr">
        <is>
          <t>2026-05-05</t>
        </is>
      </c>
      <c r="C380" s="15" t="inlineStr">
        <is>
          <t>Wilhelmina Whitlock</t>
        </is>
      </c>
      <c r="D380" s="15" t="inlineStr">
        <is>
          <t>WA</t>
        </is>
      </c>
      <c r="E380" s="16" t="n">
        <v>405000</v>
      </c>
      <c r="F380" s="16" t="n">
        <v>4276.07</v>
      </c>
      <c r="G380" s="16" t="n">
        <v>534.51</v>
      </c>
      <c r="H380" s="16" t="n">
        <v>534.51</v>
      </c>
      <c r="I380" s="16">
        <f>SUM(K380:T380)</f>
        <v/>
      </c>
      <c r="J380" s="16">
        <f>F380-(G380+H380+I380)</f>
        <v/>
      </c>
      <c r="K380" s="16" t="n">
        <v>320.71</v>
      </c>
      <c r="L380" s="16" t="n">
        <v>320.71</v>
      </c>
      <c r="M380" s="16" t="n">
        <v>320.71</v>
      </c>
      <c r="N380" s="16" t="n">
        <v>320.71</v>
      </c>
      <c r="O380" s="16" t="n">
        <v>320.71</v>
      </c>
      <c r="P380" s="16" t="n">
        <v>320.71</v>
      </c>
      <c r="Q380" s="16" t="n">
        <v>320.71</v>
      </c>
      <c r="R380" s="16" t="n">
        <v>320.71</v>
      </c>
      <c r="S380" s="16" t="n">
        <v>320.71</v>
      </c>
      <c r="T380" s="16" t="n">
        <v>320.71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CANON-202605-006499</t>
        </is>
      </c>
      <c r="B381" s="3" t="inlineStr">
        <is>
          <t>2026-05-31</t>
        </is>
      </c>
      <c r="C381" s="3" t="inlineStr">
        <is>
          <t>Delphine Vandermeer</t>
        </is>
      </c>
      <c r="D381" s="3" t="inlineStr">
        <is>
          <t>MS</t>
        </is>
      </c>
      <c r="E381" s="14" t="n">
        <v>525000</v>
      </c>
      <c r="F381" s="14" t="n">
        <v>3939.42</v>
      </c>
      <c r="G381" s="14" t="n">
        <v>492.43</v>
      </c>
      <c r="H381" s="14" t="n">
        <v>492.43</v>
      </c>
      <c r="I381" s="14">
        <f>SUM(K381:T381)</f>
        <v/>
      </c>
      <c r="J381" s="14">
        <f>F381-(G381+H381+I381)</f>
        <v/>
      </c>
      <c r="K381" s="14" t="n">
        <v>295.46</v>
      </c>
      <c r="L381" s="14" t="n">
        <v>295.46</v>
      </c>
      <c r="M381" s="14" t="n">
        <v>295.46</v>
      </c>
      <c r="N381" s="14" t="n">
        <v>295.46</v>
      </c>
      <c r="O381" s="14" t="n">
        <v>295.46</v>
      </c>
      <c r="P381" s="14" t="n">
        <v>295.46</v>
      </c>
      <c r="Q381" s="14" t="n">
        <v>295.46</v>
      </c>
      <c r="R381" s="14" t="n">
        <v>295.46</v>
      </c>
      <c r="S381" s="14" t="n">
        <v>295.46</v>
      </c>
      <c r="T381" s="14" t="n">
        <v>295.46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CANON-202605-006500</t>
        </is>
      </c>
      <c r="B382" s="15" t="inlineStr">
        <is>
          <t>2026-05-17</t>
        </is>
      </c>
      <c r="C382" s="15" t="inlineStr">
        <is>
          <t>Sunniva Okonkwo</t>
        </is>
      </c>
      <c r="D382" s="15" t="inlineStr">
        <is>
          <t>WI</t>
        </is>
      </c>
      <c r="E382" s="16" t="n">
        <v>300000</v>
      </c>
      <c r="F382" s="16" t="n">
        <v>3959.32</v>
      </c>
      <c r="G382" s="16" t="n">
        <v>494.92</v>
      </c>
      <c r="H382" s="16" t="n">
        <v>494.92</v>
      </c>
      <c r="I382" s="16">
        <f>SUM(K382:T382)</f>
        <v/>
      </c>
      <c r="J382" s="16">
        <f>F382-(G382+H382+I382)</f>
        <v/>
      </c>
      <c r="K382" s="16" t="n">
        <v>296.95</v>
      </c>
      <c r="L382" s="16" t="n">
        <v>296.95</v>
      </c>
      <c r="M382" s="16" t="n">
        <v>296.95</v>
      </c>
      <c r="N382" s="16" t="n">
        <v>296.95</v>
      </c>
      <c r="O382" s="16" t="n">
        <v>296.95</v>
      </c>
      <c r="P382" s="16" t="n">
        <v>296.95</v>
      </c>
      <c r="Q382" s="16" t="n">
        <v>296.95</v>
      </c>
      <c r="R382" s="16" t="n">
        <v>296.95</v>
      </c>
      <c r="S382" s="16" t="n">
        <v>296.95</v>
      </c>
      <c r="T382" s="16" t="n">
        <v>296.95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CANON-202605-006502</t>
        </is>
      </c>
      <c r="B383" s="3" t="inlineStr">
        <is>
          <t>2026-05-08</t>
        </is>
      </c>
      <c r="C383" s="3" t="inlineStr">
        <is>
          <t>Ramona Chattopadhyay</t>
        </is>
      </c>
      <c r="D383" s="3" t="inlineStr">
        <is>
          <t>WY</t>
        </is>
      </c>
      <c r="E383" s="14" t="n">
        <v>585000</v>
      </c>
      <c r="F383" s="14" t="n">
        <v>5966.37</v>
      </c>
      <c r="G383" s="14" t="n">
        <v>745.8</v>
      </c>
      <c r="H383" s="14" t="n">
        <v>745.8</v>
      </c>
      <c r="I383" s="14">
        <f>SUM(K383:T383)</f>
        <v/>
      </c>
      <c r="J383" s="14">
        <f>F383-(G383+H383+I383)</f>
        <v/>
      </c>
      <c r="K383" s="14" t="n">
        <v>447.48</v>
      </c>
      <c r="L383" s="14" t="n">
        <v>447.48</v>
      </c>
      <c r="M383" s="14" t="n">
        <v>447.48</v>
      </c>
      <c r="N383" s="14" t="n">
        <v>447.48</v>
      </c>
      <c r="O383" s="14" t="n">
        <v>447.48</v>
      </c>
      <c r="P383" s="14" t="n">
        <v>447.48</v>
      </c>
      <c r="Q383" s="14" t="n">
        <v>447.48</v>
      </c>
      <c r="R383" s="14" t="n">
        <v>447.48</v>
      </c>
      <c r="S383" s="14" t="n">
        <v>447.48</v>
      </c>
      <c r="T383" s="14" t="n">
        <v>447.48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CANON-202605-006503</t>
        </is>
      </c>
      <c r="B384" s="15" t="inlineStr">
        <is>
          <t>2026-05-04</t>
        </is>
      </c>
      <c r="C384" s="15" t="inlineStr">
        <is>
          <t>Callum Castellanos</t>
        </is>
      </c>
      <c r="D384" s="15" t="inlineStr">
        <is>
          <t>MS</t>
        </is>
      </c>
      <c r="E384" s="16" t="n">
        <v>470000</v>
      </c>
      <c r="F384" s="16" t="n">
        <v>6151.24</v>
      </c>
      <c r="G384" s="16" t="n">
        <v>768.9</v>
      </c>
      <c r="H384" s="16" t="n">
        <v>768.9</v>
      </c>
      <c r="I384" s="16">
        <f>SUM(K384:T384)</f>
        <v/>
      </c>
      <c r="J384" s="16">
        <f>F384-(G384+H384+I384)</f>
        <v/>
      </c>
      <c r="K384" s="16" t="n">
        <v>461.34</v>
      </c>
      <c r="L384" s="16" t="n">
        <v>461.34</v>
      </c>
      <c r="M384" s="16" t="n">
        <v>461.34</v>
      </c>
      <c r="N384" s="16" t="n">
        <v>461.34</v>
      </c>
      <c r="O384" s="16" t="n">
        <v>461.34</v>
      </c>
      <c r="P384" s="16" t="n">
        <v>461.34</v>
      </c>
      <c r="Q384" s="16" t="n">
        <v>461.34</v>
      </c>
      <c r="R384" s="16" t="n">
        <v>461.34</v>
      </c>
      <c r="S384" s="16" t="n">
        <v>461.34</v>
      </c>
      <c r="T384" s="16" t="n">
        <v>461.34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CANON-202605-006505</t>
        </is>
      </c>
      <c r="B385" s="3" t="inlineStr">
        <is>
          <t>2026-05-17</t>
        </is>
      </c>
      <c r="C385" s="3" t="inlineStr">
        <is>
          <t>Lorenzo Fairweather</t>
        </is>
      </c>
      <c r="D385" s="3" t="inlineStr">
        <is>
          <t>IL</t>
        </is>
      </c>
      <c r="E385" s="14" t="n">
        <v>285000</v>
      </c>
      <c r="F385" s="14" t="n">
        <v>4262.87</v>
      </c>
      <c r="G385" s="14" t="n">
        <v>532.86</v>
      </c>
      <c r="H385" s="14" t="n">
        <v>532.86</v>
      </c>
      <c r="I385" s="14">
        <f>SUM(K385:T385)</f>
        <v/>
      </c>
      <c r="J385" s="14">
        <f>F385-(G385+H385+I385)</f>
        <v/>
      </c>
      <c r="K385" s="14" t="n">
        <v>319.72</v>
      </c>
      <c r="L385" s="14" t="n">
        <v>319.72</v>
      </c>
      <c r="M385" s="14" t="n">
        <v>319.72</v>
      </c>
      <c r="N385" s="14" t="n">
        <v>319.72</v>
      </c>
      <c r="O385" s="14" t="n">
        <v>319.72</v>
      </c>
      <c r="P385" s="14" t="n">
        <v>319.72</v>
      </c>
      <c r="Q385" s="14" t="n">
        <v>319.72</v>
      </c>
      <c r="R385" s="14" t="n">
        <v>319.72</v>
      </c>
      <c r="S385" s="14" t="n">
        <v>319.72</v>
      </c>
      <c r="T385" s="14" t="n">
        <v>319.72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CANON-202605-006506</t>
        </is>
      </c>
      <c r="B386" s="15" t="inlineStr">
        <is>
          <t>2026-05-31</t>
        </is>
      </c>
      <c r="C386" s="15" t="inlineStr">
        <is>
          <t>Callum Thistlewood</t>
        </is>
      </c>
      <c r="D386" s="15" t="inlineStr">
        <is>
          <t>OH</t>
        </is>
      </c>
      <c r="E386" s="16" t="n">
        <v>840000</v>
      </c>
      <c r="F386" s="16" t="n">
        <v>11129.21</v>
      </c>
      <c r="G386" s="16" t="n">
        <v>1391.15</v>
      </c>
      <c r="H386" s="16" t="n">
        <v>1391.15</v>
      </c>
      <c r="I386" s="16">
        <f>SUM(K386:T386)</f>
        <v/>
      </c>
      <c r="J386" s="16">
        <f>F386-(G386+H386+I386)</f>
        <v/>
      </c>
      <c r="K386" s="16" t="n">
        <v>834.6900000000001</v>
      </c>
      <c r="L386" s="16" t="n">
        <v>834.6900000000001</v>
      </c>
      <c r="M386" s="16" t="n">
        <v>834.6900000000001</v>
      </c>
      <c r="N386" s="16" t="n">
        <v>834.6900000000001</v>
      </c>
      <c r="O386" s="16" t="n">
        <v>834.6900000000001</v>
      </c>
      <c r="P386" s="16" t="n">
        <v>834.6900000000001</v>
      </c>
      <c r="Q386" s="16" t="n">
        <v>834.6900000000001</v>
      </c>
      <c r="R386" s="16" t="n">
        <v>834.6900000000001</v>
      </c>
      <c r="S386" s="16" t="n">
        <v>834.6900000000001</v>
      </c>
      <c r="T386" s="16" t="n">
        <v>834.6900000000001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CANON-202605-006507</t>
        </is>
      </c>
      <c r="B387" s="3" t="inlineStr">
        <is>
          <t>2026-05-30</t>
        </is>
      </c>
      <c r="C387" s="3" t="inlineStr">
        <is>
          <t>Fenwick Fairweather</t>
        </is>
      </c>
      <c r="D387" s="3" t="inlineStr">
        <is>
          <t>MI</t>
        </is>
      </c>
      <c r="E387" s="14" t="n">
        <v>1415000</v>
      </c>
      <c r="F387" s="14" t="n">
        <v>17689.18</v>
      </c>
      <c r="G387" s="14" t="n">
        <v>2211.15</v>
      </c>
      <c r="H387" s="14" t="n">
        <v>2211.15</v>
      </c>
      <c r="I387" s="14">
        <f>SUM(K387:T387)</f>
        <v/>
      </c>
      <c r="J387" s="14">
        <f>F387-(G387+H387+I387)</f>
        <v/>
      </c>
      <c r="K387" s="14" t="n">
        <v>1326.69</v>
      </c>
      <c r="L387" s="14" t="n">
        <v>1326.69</v>
      </c>
      <c r="M387" s="14" t="n">
        <v>1326.69</v>
      </c>
      <c r="N387" s="14" t="n">
        <v>1326.69</v>
      </c>
      <c r="O387" s="14" t="n">
        <v>1326.69</v>
      </c>
      <c r="P387" s="14" t="n">
        <v>1326.69</v>
      </c>
      <c r="Q387" s="14" t="n">
        <v>1326.69</v>
      </c>
      <c r="R387" s="14" t="n">
        <v>1326.69</v>
      </c>
      <c r="S387" s="14" t="n">
        <v>1326.69</v>
      </c>
      <c r="T387" s="14" t="n">
        <v>1326.69</v>
      </c>
      <c r="U387" s="14" t="n">
        <v>350</v>
      </c>
      <c r="V387" s="14" t="n">
        <v>250</v>
      </c>
      <c r="W387" s="14">
        <f>U387+V387</f>
        <v/>
      </c>
    </row>
    <row r="388">
      <c r="A388" s="15" t="inlineStr">
        <is>
          <t>CANON-202605-006508</t>
        </is>
      </c>
      <c r="B388" s="15" t="inlineStr">
        <is>
          <t>2026-05-14</t>
        </is>
      </c>
      <c r="C388" s="15" t="inlineStr">
        <is>
          <t>Mireille Rourke</t>
        </is>
      </c>
      <c r="D388" s="15" t="inlineStr">
        <is>
          <t>IA</t>
        </is>
      </c>
      <c r="E388" s="16" t="n">
        <v>320000</v>
      </c>
      <c r="F388" s="16" t="n">
        <v>3871.33</v>
      </c>
      <c r="G388" s="16" t="n">
        <v>483.92</v>
      </c>
      <c r="H388" s="16" t="n">
        <v>483.92</v>
      </c>
      <c r="I388" s="16">
        <f>SUM(K388:T388)</f>
        <v/>
      </c>
      <c r="J388" s="16">
        <f>F388-(G388+H388+I388)</f>
        <v/>
      </c>
      <c r="K388" s="16" t="n">
        <v>290.35</v>
      </c>
      <c r="L388" s="16" t="n">
        <v>290.35</v>
      </c>
      <c r="M388" s="16" t="n">
        <v>290.35</v>
      </c>
      <c r="N388" s="16" t="n">
        <v>290.35</v>
      </c>
      <c r="O388" s="16" t="n">
        <v>290.35</v>
      </c>
      <c r="P388" s="16" t="n">
        <v>290.35</v>
      </c>
      <c r="Q388" s="16" t="n">
        <v>290.35</v>
      </c>
      <c r="R388" s="16" t="n">
        <v>290.35</v>
      </c>
      <c r="S388" s="16" t="n">
        <v>290.35</v>
      </c>
      <c r="T388" s="16" t="n">
        <v>290.35</v>
      </c>
      <c r="U388" s="16" t="n">
        <v>350</v>
      </c>
      <c r="V388" s="16" t="n">
        <v>0</v>
      </c>
      <c r="W388" s="16">
        <f>U388+V388</f>
        <v/>
      </c>
    </row>
    <row r="389">
      <c r="A389" s="3" t="inlineStr">
        <is>
          <t>CANON-202605-006509</t>
        </is>
      </c>
      <c r="B389" s="3" t="inlineStr">
        <is>
          <t>2026-05-06</t>
        </is>
      </c>
      <c r="C389" s="3" t="inlineStr">
        <is>
          <t>Ramona Bellandi</t>
        </is>
      </c>
      <c r="D389" s="3" t="inlineStr">
        <is>
          <t>WA</t>
        </is>
      </c>
      <c r="E389" s="14" t="n">
        <v>540000</v>
      </c>
      <c r="F389" s="14" t="n">
        <v>4941.24</v>
      </c>
      <c r="G389" s="14" t="n">
        <v>617.65</v>
      </c>
      <c r="H389" s="14" t="n">
        <v>617.65</v>
      </c>
      <c r="I389" s="14">
        <f>SUM(K389:T389)</f>
        <v/>
      </c>
      <c r="J389" s="14">
        <f>F389-(G389+H389+I389)</f>
        <v/>
      </c>
      <c r="K389" s="14" t="n">
        <v>370.59</v>
      </c>
      <c r="L389" s="14" t="n">
        <v>370.59</v>
      </c>
      <c r="M389" s="14" t="n">
        <v>370.59</v>
      </c>
      <c r="N389" s="14" t="n">
        <v>370.59</v>
      </c>
      <c r="O389" s="14" t="n">
        <v>370.59</v>
      </c>
      <c r="P389" s="14" t="n">
        <v>370.59</v>
      </c>
      <c r="Q389" s="14" t="n">
        <v>370.59</v>
      </c>
      <c r="R389" s="14" t="n">
        <v>370.59</v>
      </c>
      <c r="S389" s="14" t="n">
        <v>370.59</v>
      </c>
      <c r="T389" s="14" t="n">
        <v>370.59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CANON-202605-006510</t>
        </is>
      </c>
      <c r="B390" s="15" t="inlineStr">
        <is>
          <t>2026-05-14</t>
        </is>
      </c>
      <c r="C390" s="15" t="inlineStr">
        <is>
          <t>Cassius Merriweather</t>
        </is>
      </c>
      <c r="D390" s="15" t="inlineStr">
        <is>
          <t>UT</t>
        </is>
      </c>
      <c r="E390" s="16" t="n">
        <v>485000</v>
      </c>
      <c r="F390" s="16" t="n">
        <v>7201.01</v>
      </c>
      <c r="G390" s="16" t="n">
        <v>900.13</v>
      </c>
      <c r="H390" s="16" t="n">
        <v>900.13</v>
      </c>
      <c r="I390" s="16">
        <f>SUM(K390:T390)</f>
        <v/>
      </c>
      <c r="J390" s="16">
        <f>F390-(G390+H390+I390)</f>
        <v/>
      </c>
      <c r="K390" s="16" t="n">
        <v>540.08</v>
      </c>
      <c r="L390" s="16" t="n">
        <v>540.08</v>
      </c>
      <c r="M390" s="16" t="n">
        <v>540.08</v>
      </c>
      <c r="N390" s="16" t="n">
        <v>540.08</v>
      </c>
      <c r="O390" s="16" t="n">
        <v>540.08</v>
      </c>
      <c r="P390" s="16" t="n">
        <v>540.08</v>
      </c>
      <c r="Q390" s="16" t="n">
        <v>540.08</v>
      </c>
      <c r="R390" s="16" t="n">
        <v>540.08</v>
      </c>
      <c r="S390" s="16" t="n">
        <v>540.08</v>
      </c>
      <c r="T390" s="16" t="n">
        <v>540.08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CANON-202605-006511</t>
        </is>
      </c>
      <c r="B391" s="3" t="inlineStr">
        <is>
          <t>2026-05-04</t>
        </is>
      </c>
      <c r="C391" s="3" t="inlineStr">
        <is>
          <t>Aurelio Rourke</t>
        </is>
      </c>
      <c r="D391" s="3" t="inlineStr">
        <is>
          <t>IL</t>
        </is>
      </c>
      <c r="E391" s="14" t="n">
        <v>800000</v>
      </c>
      <c r="F391" s="14" t="n">
        <v>10370.49</v>
      </c>
      <c r="G391" s="14" t="n">
        <v>1296.31</v>
      </c>
      <c r="H391" s="14" t="n">
        <v>1296.31</v>
      </c>
      <c r="I391" s="14">
        <f>SUM(K391:T391)</f>
        <v/>
      </c>
      <c r="J391" s="14">
        <f>F391-(G391+H391+I391)</f>
        <v/>
      </c>
      <c r="K391" s="14" t="n">
        <v>777.79</v>
      </c>
      <c r="L391" s="14" t="n">
        <v>777.79</v>
      </c>
      <c r="M391" s="14" t="n">
        <v>777.79</v>
      </c>
      <c r="N391" s="14" t="n">
        <v>777.79</v>
      </c>
      <c r="O391" s="14" t="n">
        <v>777.79</v>
      </c>
      <c r="P391" s="14" t="n">
        <v>777.79</v>
      </c>
      <c r="Q391" s="14" t="n">
        <v>777.79</v>
      </c>
      <c r="R391" s="14" t="n">
        <v>777.79</v>
      </c>
      <c r="S391" s="14" t="n">
        <v>777.79</v>
      </c>
      <c r="T391" s="14" t="n">
        <v>777.79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CANON-202605-006512</t>
        </is>
      </c>
      <c r="B392" s="15" t="inlineStr">
        <is>
          <t>2026-05-02</t>
        </is>
      </c>
      <c r="C392" s="15" t="inlineStr">
        <is>
          <t>Delphine Nakashima</t>
        </is>
      </c>
      <c r="D392" s="15" t="inlineStr">
        <is>
          <t>IA</t>
        </is>
      </c>
      <c r="E392" s="16" t="n">
        <v>935000</v>
      </c>
      <c r="F392" s="16" t="n">
        <v>9803.35</v>
      </c>
      <c r="G392" s="16" t="n">
        <v>1225.42</v>
      </c>
      <c r="H392" s="16" t="n">
        <v>1225.42</v>
      </c>
      <c r="I392" s="16">
        <f>SUM(K392:T392)</f>
        <v/>
      </c>
      <c r="J392" s="16">
        <f>F392-(G392+H392+I392)</f>
        <v/>
      </c>
      <c r="K392" s="16" t="n">
        <v>735.25</v>
      </c>
      <c r="L392" s="16" t="n">
        <v>735.25</v>
      </c>
      <c r="M392" s="16" t="n">
        <v>735.25</v>
      </c>
      <c r="N392" s="16" t="n">
        <v>735.25</v>
      </c>
      <c r="O392" s="16" t="n">
        <v>735.25</v>
      </c>
      <c r="P392" s="16" t="n">
        <v>735.25</v>
      </c>
      <c r="Q392" s="16" t="n">
        <v>735.25</v>
      </c>
      <c r="R392" s="16" t="n">
        <v>735.25</v>
      </c>
      <c r="S392" s="16" t="n">
        <v>735.25</v>
      </c>
      <c r="T392" s="16" t="n">
        <v>735.25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CANON-202605-006513</t>
        </is>
      </c>
      <c r="B393" s="3" t="inlineStr">
        <is>
          <t>2026-05-22</t>
        </is>
      </c>
      <c r="C393" s="3" t="inlineStr">
        <is>
          <t>Mireille Vandermeer</t>
        </is>
      </c>
      <c r="D393" s="3" t="inlineStr">
        <is>
          <t>TX</t>
        </is>
      </c>
      <c r="E393" s="14" t="n">
        <v>525000</v>
      </c>
      <c r="F393" s="14" t="n">
        <v>6905.72</v>
      </c>
      <c r="G393" s="14" t="n">
        <v>863.22</v>
      </c>
      <c r="H393" s="14" t="n">
        <v>863.22</v>
      </c>
      <c r="I393" s="14">
        <f>SUM(K393:T393)</f>
        <v/>
      </c>
      <c r="J393" s="14">
        <f>F393-(G393+H393+I393)</f>
        <v/>
      </c>
      <c r="K393" s="14" t="n">
        <v>517.9299999999999</v>
      </c>
      <c r="L393" s="14" t="n">
        <v>517.9299999999999</v>
      </c>
      <c r="M393" s="14" t="n">
        <v>517.9299999999999</v>
      </c>
      <c r="N393" s="14" t="n">
        <v>517.9299999999999</v>
      </c>
      <c r="O393" s="14" t="n">
        <v>517.9299999999999</v>
      </c>
      <c r="P393" s="14" t="n">
        <v>517.9299999999999</v>
      </c>
      <c r="Q393" s="14" t="n">
        <v>517.9299999999999</v>
      </c>
      <c r="R393" s="14" t="n">
        <v>517.9299999999999</v>
      </c>
      <c r="S393" s="14" t="n">
        <v>517.9299999999999</v>
      </c>
      <c r="T393" s="14" t="n">
        <v>517.9299999999999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CANON-202605-006515</t>
        </is>
      </c>
      <c r="B394" s="15" t="inlineStr">
        <is>
          <t>2026-05-20</t>
        </is>
      </c>
      <c r="C394" s="15" t="inlineStr">
        <is>
          <t>Callum Montoya</t>
        </is>
      </c>
      <c r="D394" s="15" t="inlineStr">
        <is>
          <t>IA</t>
        </is>
      </c>
      <c r="E394" s="16" t="n">
        <v>505000</v>
      </c>
      <c r="F394" s="16" t="n">
        <v>5294.86</v>
      </c>
      <c r="G394" s="16" t="n">
        <v>661.86</v>
      </c>
      <c r="H394" s="16" t="n">
        <v>661.86</v>
      </c>
      <c r="I394" s="16">
        <f>SUM(K394:T394)</f>
        <v/>
      </c>
      <c r="J394" s="16">
        <f>F394-(G394+H394+I394)</f>
        <v/>
      </c>
      <c r="K394" s="16" t="n">
        <v>397.11</v>
      </c>
      <c r="L394" s="16" t="n">
        <v>397.11</v>
      </c>
      <c r="M394" s="16" t="n">
        <v>397.11</v>
      </c>
      <c r="N394" s="16" t="n">
        <v>397.11</v>
      </c>
      <c r="O394" s="16" t="n">
        <v>397.11</v>
      </c>
      <c r="P394" s="16" t="n">
        <v>397.11</v>
      </c>
      <c r="Q394" s="16" t="n">
        <v>397.11</v>
      </c>
      <c r="R394" s="16" t="n">
        <v>397.11</v>
      </c>
      <c r="S394" s="16" t="n">
        <v>397.11</v>
      </c>
      <c r="T394" s="16" t="n">
        <v>397.11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CANON-202605-006516</t>
        </is>
      </c>
      <c r="B395" s="3" t="inlineStr">
        <is>
          <t>2026-05-17</t>
        </is>
      </c>
      <c r="C395" s="3" t="inlineStr">
        <is>
          <t>Wilhelmina Underwood</t>
        </is>
      </c>
      <c r="D395" s="3" t="inlineStr">
        <is>
          <t>NH</t>
        </is>
      </c>
      <c r="E395" s="14" t="n">
        <v>445000</v>
      </c>
      <c r="F395" s="14" t="n">
        <v>5089.93</v>
      </c>
      <c r="G395" s="14" t="n">
        <v>636.24</v>
      </c>
      <c r="H395" s="14" t="n">
        <v>636.24</v>
      </c>
      <c r="I395" s="14">
        <f>SUM(K395:T395)</f>
        <v/>
      </c>
      <c r="J395" s="14">
        <f>F395-(G395+H395+I395)</f>
        <v/>
      </c>
      <c r="K395" s="14" t="n">
        <v>381.74</v>
      </c>
      <c r="L395" s="14" t="n">
        <v>381.74</v>
      </c>
      <c r="M395" s="14" t="n">
        <v>381.74</v>
      </c>
      <c r="N395" s="14" t="n">
        <v>381.74</v>
      </c>
      <c r="O395" s="14" t="n">
        <v>381.74</v>
      </c>
      <c r="P395" s="14" t="n">
        <v>381.74</v>
      </c>
      <c r="Q395" s="14" t="n">
        <v>381.74</v>
      </c>
      <c r="R395" s="14" t="n">
        <v>381.74</v>
      </c>
      <c r="S395" s="14" t="n">
        <v>381.74</v>
      </c>
      <c r="T395" s="14" t="n">
        <v>381.74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CANON-202605-006517</t>
        </is>
      </c>
      <c r="B396" s="15" t="inlineStr">
        <is>
          <t>2026-05-13</t>
        </is>
      </c>
      <c r="C396" s="15" t="inlineStr">
        <is>
          <t>Priya Harrington</t>
        </is>
      </c>
      <c r="D396" s="15" t="inlineStr">
        <is>
          <t>WY</t>
        </is>
      </c>
      <c r="E396" s="16" t="n">
        <v>690000</v>
      </c>
      <c r="F396" s="16" t="n">
        <v>7037.25</v>
      </c>
      <c r="G396" s="16" t="n">
        <v>879.66</v>
      </c>
      <c r="H396" s="16" t="n">
        <v>879.66</v>
      </c>
      <c r="I396" s="16">
        <f>SUM(K396:T396)</f>
        <v/>
      </c>
      <c r="J396" s="16">
        <f>F396-(G396+H396+I396)</f>
        <v/>
      </c>
      <c r="K396" s="16" t="n">
        <v>527.79</v>
      </c>
      <c r="L396" s="16" t="n">
        <v>527.79</v>
      </c>
      <c r="M396" s="16" t="n">
        <v>527.79</v>
      </c>
      <c r="N396" s="16" t="n">
        <v>527.79</v>
      </c>
      <c r="O396" s="16" t="n">
        <v>527.79</v>
      </c>
      <c r="P396" s="16" t="n">
        <v>527.79</v>
      </c>
      <c r="Q396" s="16" t="n">
        <v>527.79</v>
      </c>
      <c r="R396" s="16" t="n">
        <v>527.79</v>
      </c>
      <c r="S396" s="16" t="n">
        <v>527.79</v>
      </c>
      <c r="T396" s="16" t="n">
        <v>527.79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CANON-202605-006518</t>
        </is>
      </c>
      <c r="B397" s="3" t="inlineStr">
        <is>
          <t>2026-05-28</t>
        </is>
      </c>
      <c r="C397" s="3" t="inlineStr">
        <is>
          <t>Saoirse Castellanos</t>
        </is>
      </c>
      <c r="D397" s="3" t="inlineStr">
        <is>
          <t>SD</t>
        </is>
      </c>
      <c r="E397" s="14" t="n">
        <v>510000</v>
      </c>
      <c r="F397" s="14" t="n">
        <v>5395.9</v>
      </c>
      <c r="G397" s="14" t="n">
        <v>674.49</v>
      </c>
      <c r="H397" s="14" t="n">
        <v>674.49</v>
      </c>
      <c r="I397" s="14">
        <f>SUM(K397:T397)</f>
        <v/>
      </c>
      <c r="J397" s="14">
        <f>F397-(G397+H397+I397)</f>
        <v/>
      </c>
      <c r="K397" s="14" t="n">
        <v>404.69</v>
      </c>
      <c r="L397" s="14" t="n">
        <v>404.69</v>
      </c>
      <c r="M397" s="14" t="n">
        <v>404.69</v>
      </c>
      <c r="N397" s="14" t="n">
        <v>404.69</v>
      </c>
      <c r="O397" s="14" t="n">
        <v>404.69</v>
      </c>
      <c r="P397" s="14" t="n">
        <v>404.69</v>
      </c>
      <c r="Q397" s="14" t="n">
        <v>404.69</v>
      </c>
      <c r="R397" s="14" t="n">
        <v>404.69</v>
      </c>
      <c r="S397" s="14" t="n">
        <v>404.69</v>
      </c>
      <c r="T397" s="14" t="n">
        <v>404.69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CANON-202605-006520</t>
        </is>
      </c>
      <c r="B398" s="15" t="inlineStr">
        <is>
          <t>2026-05-15</t>
        </is>
      </c>
      <c r="C398" s="15" t="inlineStr">
        <is>
          <t>Leopold Nakashima</t>
        </is>
      </c>
      <c r="D398" s="15" t="inlineStr">
        <is>
          <t>OR</t>
        </is>
      </c>
      <c r="E398" s="16" t="n">
        <v>430000</v>
      </c>
      <c r="F398" s="16" t="n">
        <v>5343.98</v>
      </c>
      <c r="G398" s="16" t="n">
        <v>668</v>
      </c>
      <c r="H398" s="16" t="n">
        <v>668</v>
      </c>
      <c r="I398" s="16">
        <f>SUM(K398:T398)</f>
        <v/>
      </c>
      <c r="J398" s="16">
        <f>F398-(G398+H398+I398)</f>
        <v/>
      </c>
      <c r="K398" s="16" t="n">
        <v>400.8</v>
      </c>
      <c r="L398" s="16" t="n">
        <v>400.8</v>
      </c>
      <c r="M398" s="16" t="n">
        <v>400.8</v>
      </c>
      <c r="N398" s="16" t="n">
        <v>400.8</v>
      </c>
      <c r="O398" s="16" t="n">
        <v>400.8</v>
      </c>
      <c r="P398" s="16" t="n">
        <v>400.8</v>
      </c>
      <c r="Q398" s="16" t="n">
        <v>400.8</v>
      </c>
      <c r="R398" s="16" t="n">
        <v>400.8</v>
      </c>
      <c r="S398" s="16" t="n">
        <v>400.8</v>
      </c>
      <c r="T398" s="16" t="n">
        <v>400.8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CANON-202605-006522</t>
        </is>
      </c>
      <c r="B399" s="3" t="inlineStr">
        <is>
          <t>2026-05-15</t>
        </is>
      </c>
      <c r="C399" s="3" t="inlineStr">
        <is>
          <t>Everett Farkas</t>
        </is>
      </c>
      <c r="D399" s="3" t="inlineStr">
        <is>
          <t>WA</t>
        </is>
      </c>
      <c r="E399" s="14" t="n">
        <v>395000</v>
      </c>
      <c r="F399" s="14" t="n">
        <v>4170.49</v>
      </c>
      <c r="G399" s="14" t="n">
        <v>521.3099999999999</v>
      </c>
      <c r="H399" s="14" t="n">
        <v>521.3099999999999</v>
      </c>
      <c r="I399" s="14">
        <f>SUM(K399:T399)</f>
        <v/>
      </c>
      <c r="J399" s="14">
        <f>F399-(G399+H399+I399)</f>
        <v/>
      </c>
      <c r="K399" s="14" t="n">
        <v>312.79</v>
      </c>
      <c r="L399" s="14" t="n">
        <v>312.79</v>
      </c>
      <c r="M399" s="14" t="n">
        <v>312.79</v>
      </c>
      <c r="N399" s="14" t="n">
        <v>312.79</v>
      </c>
      <c r="O399" s="14" t="n">
        <v>312.79</v>
      </c>
      <c r="P399" s="14" t="n">
        <v>312.79</v>
      </c>
      <c r="Q399" s="14" t="n">
        <v>312.79</v>
      </c>
      <c r="R399" s="14" t="n">
        <v>312.79</v>
      </c>
      <c r="S399" s="14" t="n">
        <v>312.79</v>
      </c>
      <c r="T399" s="14" t="n">
        <v>312.79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CANON-202605-006523</t>
        </is>
      </c>
      <c r="B400" s="15" t="inlineStr">
        <is>
          <t>2026-05-08</t>
        </is>
      </c>
      <c r="C400" s="15" t="inlineStr">
        <is>
          <t>Everett Vandermeer</t>
        </is>
      </c>
      <c r="D400" s="15" t="inlineStr">
        <is>
          <t>NJ</t>
        </is>
      </c>
      <c r="E400" s="16" t="n">
        <v>615000</v>
      </c>
      <c r="F400" s="16" t="n">
        <v>5334.41</v>
      </c>
      <c r="G400" s="16" t="n">
        <v>666.8</v>
      </c>
      <c r="H400" s="16" t="n">
        <v>666.8</v>
      </c>
      <c r="I400" s="16">
        <f>SUM(K400:T400)</f>
        <v/>
      </c>
      <c r="J400" s="16">
        <f>F400-(G400+H400+I400)</f>
        <v/>
      </c>
      <c r="K400" s="16" t="n">
        <v>400.08</v>
      </c>
      <c r="L400" s="16" t="n">
        <v>400.08</v>
      </c>
      <c r="M400" s="16" t="n">
        <v>400.08</v>
      </c>
      <c r="N400" s="16" t="n">
        <v>400.08</v>
      </c>
      <c r="O400" s="16" t="n">
        <v>400.08</v>
      </c>
      <c r="P400" s="16" t="n">
        <v>400.08</v>
      </c>
      <c r="Q400" s="16" t="n">
        <v>400.08</v>
      </c>
      <c r="R400" s="16" t="n">
        <v>400.08</v>
      </c>
      <c r="S400" s="16" t="n">
        <v>400.08</v>
      </c>
      <c r="T400" s="16" t="n">
        <v>400.08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CANON-202605-006524</t>
        </is>
      </c>
      <c r="B401" s="3" t="inlineStr">
        <is>
          <t>2026-05-23</t>
        </is>
      </c>
      <c r="C401" s="3" t="inlineStr">
        <is>
          <t>Ingrid Montoya</t>
        </is>
      </c>
      <c r="D401" s="3" t="inlineStr">
        <is>
          <t>NY</t>
        </is>
      </c>
      <c r="E401" s="14" t="n">
        <v>1140000</v>
      </c>
      <c r="F401" s="14" t="n">
        <v>11768.86</v>
      </c>
      <c r="G401" s="14" t="n">
        <v>1471.11</v>
      </c>
      <c r="H401" s="14" t="n">
        <v>1471.11</v>
      </c>
      <c r="I401" s="14">
        <f>SUM(K401:T401)</f>
        <v/>
      </c>
      <c r="J401" s="14">
        <f>F401-(G401+H401+I401)</f>
        <v/>
      </c>
      <c r="K401" s="14" t="n">
        <v>882.66</v>
      </c>
      <c r="L401" s="14" t="n">
        <v>882.66</v>
      </c>
      <c r="M401" s="14" t="n">
        <v>882.66</v>
      </c>
      <c r="N401" s="14" t="n">
        <v>882.66</v>
      </c>
      <c r="O401" s="14" t="n">
        <v>882.66</v>
      </c>
      <c r="P401" s="14" t="n">
        <v>882.66</v>
      </c>
      <c r="Q401" s="14" t="n">
        <v>882.66</v>
      </c>
      <c r="R401" s="14" t="n">
        <v>882.66</v>
      </c>
      <c r="S401" s="14" t="n">
        <v>882.66</v>
      </c>
      <c r="T401" s="14" t="n">
        <v>882.66</v>
      </c>
      <c r="U401" s="14" t="n">
        <v>350</v>
      </c>
      <c r="V401" s="14" t="n">
        <v>250</v>
      </c>
      <c r="W401" s="14">
        <f>U401+V401</f>
        <v/>
      </c>
    </row>
    <row r="402">
      <c r="A402" s="15" t="inlineStr">
        <is>
          <t>CANON-202605-006525</t>
        </is>
      </c>
      <c r="B402" s="15" t="inlineStr">
        <is>
          <t>2026-05-21</t>
        </is>
      </c>
      <c r="C402" s="15" t="inlineStr">
        <is>
          <t>Delphine Blackwood</t>
        </is>
      </c>
      <c r="D402" s="15" t="inlineStr">
        <is>
          <t>NE</t>
        </is>
      </c>
      <c r="E402" s="16" t="n">
        <v>505000</v>
      </c>
      <c r="F402" s="16" t="n">
        <v>6257.56</v>
      </c>
      <c r="G402" s="16" t="n">
        <v>782.2</v>
      </c>
      <c r="H402" s="16" t="n">
        <v>782.2</v>
      </c>
      <c r="I402" s="16">
        <f>SUM(K402:T402)</f>
        <v/>
      </c>
      <c r="J402" s="16">
        <f>F402-(G402+H402+I402)</f>
        <v/>
      </c>
      <c r="K402" s="16" t="n">
        <v>469.32</v>
      </c>
      <c r="L402" s="16" t="n">
        <v>469.32</v>
      </c>
      <c r="M402" s="16" t="n">
        <v>469.32</v>
      </c>
      <c r="N402" s="16" t="n">
        <v>469.32</v>
      </c>
      <c r="O402" s="16" t="n">
        <v>469.32</v>
      </c>
      <c r="P402" s="16" t="n">
        <v>469.32</v>
      </c>
      <c r="Q402" s="16" t="n">
        <v>469.32</v>
      </c>
      <c r="R402" s="16" t="n">
        <v>469.32</v>
      </c>
      <c r="S402" s="16" t="n">
        <v>469.32</v>
      </c>
      <c r="T402" s="16" t="n">
        <v>469.32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CANON-202605-006526</t>
        </is>
      </c>
      <c r="B403" s="3" t="inlineStr">
        <is>
          <t>2026-05-09</t>
        </is>
      </c>
      <c r="C403" s="3" t="inlineStr">
        <is>
          <t>Beatrix Delacroix</t>
        </is>
      </c>
      <c r="D403" s="3" t="inlineStr">
        <is>
          <t>CA</t>
        </is>
      </c>
      <c r="E403" s="14" t="n">
        <v>140000</v>
      </c>
      <c r="F403" s="14" t="n">
        <v>2549.8</v>
      </c>
      <c r="G403" s="14" t="n">
        <v>318.73</v>
      </c>
      <c r="H403" s="14" t="n">
        <v>318.73</v>
      </c>
      <c r="I403" s="14">
        <f>SUM(K403:T403)</f>
        <v/>
      </c>
      <c r="J403" s="14">
        <f>F403-(G403+H403+I403)</f>
        <v/>
      </c>
      <c r="K403" s="14" t="n">
        <v>191.24</v>
      </c>
      <c r="L403" s="14" t="n">
        <v>191.24</v>
      </c>
      <c r="M403" s="14" t="n">
        <v>191.24</v>
      </c>
      <c r="N403" s="14" t="n">
        <v>191.24</v>
      </c>
      <c r="O403" s="14" t="n">
        <v>191.24</v>
      </c>
      <c r="P403" s="14" t="n">
        <v>191.24</v>
      </c>
      <c r="Q403" s="14" t="n">
        <v>191.24</v>
      </c>
      <c r="R403" s="14" t="n">
        <v>191.24</v>
      </c>
      <c r="S403" s="14" t="n">
        <v>191.24</v>
      </c>
      <c r="T403" s="14" t="n">
        <v>191.24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CANON-202605-006528</t>
        </is>
      </c>
      <c r="B404" s="15" t="inlineStr">
        <is>
          <t>2026-05-03</t>
        </is>
      </c>
      <c r="C404" s="15" t="inlineStr">
        <is>
          <t>Priya Montoya</t>
        </is>
      </c>
      <c r="D404" s="15" t="inlineStr">
        <is>
          <t>GA</t>
        </is>
      </c>
      <c r="E404" s="16" t="n">
        <v>455000</v>
      </c>
      <c r="F404" s="16" t="n">
        <v>5604.64</v>
      </c>
      <c r="G404" s="16" t="n">
        <v>700.58</v>
      </c>
      <c r="H404" s="16" t="n">
        <v>700.58</v>
      </c>
      <c r="I404" s="16">
        <f>SUM(K404:T404)</f>
        <v/>
      </c>
      <c r="J404" s="16">
        <f>F404-(G404+H404+I404)</f>
        <v/>
      </c>
      <c r="K404" s="16" t="n">
        <v>420.35</v>
      </c>
      <c r="L404" s="16" t="n">
        <v>420.35</v>
      </c>
      <c r="M404" s="16" t="n">
        <v>420.35</v>
      </c>
      <c r="N404" s="16" t="n">
        <v>420.35</v>
      </c>
      <c r="O404" s="16" t="n">
        <v>420.35</v>
      </c>
      <c r="P404" s="16" t="n">
        <v>420.35</v>
      </c>
      <c r="Q404" s="16" t="n">
        <v>420.35</v>
      </c>
      <c r="R404" s="16" t="n">
        <v>420.35</v>
      </c>
      <c r="S404" s="16" t="n">
        <v>420.35</v>
      </c>
      <c r="T404" s="16" t="n">
        <v>420.35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CANON-202605-006529</t>
        </is>
      </c>
      <c r="B405" s="3" t="inlineStr">
        <is>
          <t>2026-05-10</t>
        </is>
      </c>
      <c r="C405" s="3" t="inlineStr">
        <is>
          <t>Wilhelmina Whitlock</t>
        </is>
      </c>
      <c r="D405" s="3" t="inlineStr">
        <is>
          <t>MN</t>
        </is>
      </c>
      <c r="E405" s="14" t="n">
        <v>985000</v>
      </c>
      <c r="F405" s="14" t="n">
        <v>18113.01</v>
      </c>
      <c r="G405" s="14" t="n">
        <v>2264.13</v>
      </c>
      <c r="H405" s="14" t="n">
        <v>2264.13</v>
      </c>
      <c r="I405" s="14">
        <f>SUM(K405:T405)</f>
        <v/>
      </c>
      <c r="J405" s="14">
        <f>F405-(G405+H405+I405)</f>
        <v/>
      </c>
      <c r="K405" s="14" t="n">
        <v>1358.48</v>
      </c>
      <c r="L405" s="14" t="n">
        <v>1358.48</v>
      </c>
      <c r="M405" s="14" t="n">
        <v>1358.48</v>
      </c>
      <c r="N405" s="14" t="n">
        <v>1358.48</v>
      </c>
      <c r="O405" s="14" t="n">
        <v>1358.48</v>
      </c>
      <c r="P405" s="14" t="n">
        <v>1358.48</v>
      </c>
      <c r="Q405" s="14" t="n">
        <v>1358.48</v>
      </c>
      <c r="R405" s="14" t="n">
        <v>1358.48</v>
      </c>
      <c r="S405" s="14" t="n">
        <v>1358.48</v>
      </c>
      <c r="T405" s="14" t="n">
        <v>1358.48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CANON-202605-006531</t>
        </is>
      </c>
      <c r="B406" s="15" t="inlineStr">
        <is>
          <t>2026-05-26</t>
        </is>
      </c>
      <c r="C406" s="15" t="inlineStr">
        <is>
          <t>Desmond Thistlewood</t>
        </is>
      </c>
      <c r="D406" s="15" t="inlineStr">
        <is>
          <t>NY</t>
        </is>
      </c>
      <c r="E406" s="16" t="n">
        <v>1660000</v>
      </c>
      <c r="F406" s="16" t="n">
        <v>24926.71</v>
      </c>
      <c r="G406" s="16" t="n">
        <v>3115.84</v>
      </c>
      <c r="H406" s="16" t="n">
        <v>3115.84</v>
      </c>
      <c r="I406" s="16">
        <f>SUM(K406:T406)</f>
        <v/>
      </c>
      <c r="J406" s="16">
        <f>F406-(G406+H406+I406)</f>
        <v/>
      </c>
      <c r="K406" s="16" t="n">
        <v>1869.5</v>
      </c>
      <c r="L406" s="16" t="n">
        <v>1869.5</v>
      </c>
      <c r="M406" s="16" t="n">
        <v>1869.5</v>
      </c>
      <c r="N406" s="16" t="n">
        <v>1869.5</v>
      </c>
      <c r="O406" s="16" t="n">
        <v>1869.5</v>
      </c>
      <c r="P406" s="16" t="n">
        <v>1869.5</v>
      </c>
      <c r="Q406" s="16" t="n">
        <v>1869.5</v>
      </c>
      <c r="R406" s="16" t="n">
        <v>1869.5</v>
      </c>
      <c r="S406" s="16" t="n">
        <v>1869.5</v>
      </c>
      <c r="T406" s="16" t="n">
        <v>1869.5</v>
      </c>
      <c r="U406" s="16" t="n">
        <v>350</v>
      </c>
      <c r="V406" s="16" t="n">
        <v>250</v>
      </c>
      <c r="W406" s="16">
        <f>U406+V406</f>
        <v/>
      </c>
    </row>
    <row r="407">
      <c r="A407" s="3" t="inlineStr">
        <is>
          <t>CANON-202605-006532</t>
        </is>
      </c>
      <c r="B407" s="3" t="inlineStr">
        <is>
          <t>2026-05-04</t>
        </is>
      </c>
      <c r="C407" s="3" t="inlineStr">
        <is>
          <t>Fenwick Larsson</t>
        </is>
      </c>
      <c r="D407" s="3" t="inlineStr">
        <is>
          <t>ID</t>
        </is>
      </c>
      <c r="E407" s="14" t="n">
        <v>555000</v>
      </c>
      <c r="F407" s="14" t="n">
        <v>5237.19</v>
      </c>
      <c r="G407" s="14" t="n">
        <v>654.65</v>
      </c>
      <c r="H407" s="14" t="n">
        <v>654.65</v>
      </c>
      <c r="I407" s="14">
        <f>SUM(K407:T407)</f>
        <v/>
      </c>
      <c r="J407" s="14">
        <f>F407-(G407+H407+I407)</f>
        <v/>
      </c>
      <c r="K407" s="14" t="n">
        <v>392.79</v>
      </c>
      <c r="L407" s="14" t="n">
        <v>392.79</v>
      </c>
      <c r="M407" s="14" t="n">
        <v>392.79</v>
      </c>
      <c r="N407" s="14" t="n">
        <v>392.79</v>
      </c>
      <c r="O407" s="14" t="n">
        <v>392.79</v>
      </c>
      <c r="P407" s="14" t="n">
        <v>392.79</v>
      </c>
      <c r="Q407" s="14" t="n">
        <v>392.79</v>
      </c>
      <c r="R407" s="14" t="n">
        <v>392.79</v>
      </c>
      <c r="S407" s="14" t="n">
        <v>392.79</v>
      </c>
      <c r="T407" s="14" t="n">
        <v>392.79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CANON-202605-006533</t>
        </is>
      </c>
      <c r="B408" s="15" t="inlineStr">
        <is>
          <t>2026-05-23</t>
        </is>
      </c>
      <c r="C408" s="15" t="inlineStr">
        <is>
          <t>Cassius Merriweather</t>
        </is>
      </c>
      <c r="D408" s="15" t="inlineStr">
        <is>
          <t>AL</t>
        </is>
      </c>
      <c r="E408" s="16" t="n">
        <v>585000</v>
      </c>
      <c r="F408" s="16" t="n">
        <v>7081.57</v>
      </c>
      <c r="G408" s="16" t="n">
        <v>885.2</v>
      </c>
      <c r="H408" s="16" t="n">
        <v>885.2</v>
      </c>
      <c r="I408" s="16">
        <f>SUM(K408:T408)</f>
        <v/>
      </c>
      <c r="J408" s="16">
        <f>F408-(G408+H408+I408)</f>
        <v/>
      </c>
      <c r="K408" s="16" t="n">
        <v>531.12</v>
      </c>
      <c r="L408" s="16" t="n">
        <v>531.12</v>
      </c>
      <c r="M408" s="16" t="n">
        <v>531.12</v>
      </c>
      <c r="N408" s="16" t="n">
        <v>531.12</v>
      </c>
      <c r="O408" s="16" t="n">
        <v>531.12</v>
      </c>
      <c r="P408" s="16" t="n">
        <v>531.12</v>
      </c>
      <c r="Q408" s="16" t="n">
        <v>531.12</v>
      </c>
      <c r="R408" s="16" t="n">
        <v>531.12</v>
      </c>
      <c r="S408" s="16" t="n">
        <v>531.12</v>
      </c>
      <c r="T408" s="16" t="n">
        <v>531.12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CANON-202605-006534</t>
        </is>
      </c>
      <c r="B409" s="3" t="inlineStr">
        <is>
          <t>2026-05-26</t>
        </is>
      </c>
      <c r="C409" s="3" t="inlineStr">
        <is>
          <t>Fenwick Farkas</t>
        </is>
      </c>
      <c r="D409" s="3" t="inlineStr">
        <is>
          <t>LA</t>
        </is>
      </c>
      <c r="E409" s="14" t="n">
        <v>615000</v>
      </c>
      <c r="F409" s="14" t="n">
        <v>7093.01</v>
      </c>
      <c r="G409" s="14" t="n">
        <v>886.63</v>
      </c>
      <c r="H409" s="14" t="n">
        <v>886.63</v>
      </c>
      <c r="I409" s="14">
        <f>SUM(K409:T409)</f>
        <v/>
      </c>
      <c r="J409" s="14">
        <f>F409-(G409+H409+I409)</f>
        <v/>
      </c>
      <c r="K409" s="14" t="n">
        <v>531.98</v>
      </c>
      <c r="L409" s="14" t="n">
        <v>531.98</v>
      </c>
      <c r="M409" s="14" t="n">
        <v>531.98</v>
      </c>
      <c r="N409" s="14" t="n">
        <v>531.98</v>
      </c>
      <c r="O409" s="14" t="n">
        <v>531.98</v>
      </c>
      <c r="P409" s="14" t="n">
        <v>531.98</v>
      </c>
      <c r="Q409" s="14" t="n">
        <v>531.98</v>
      </c>
      <c r="R409" s="14" t="n">
        <v>531.98</v>
      </c>
      <c r="S409" s="14" t="n">
        <v>531.98</v>
      </c>
      <c r="T409" s="14" t="n">
        <v>531.98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CANON-202605-006535</t>
        </is>
      </c>
      <c r="B410" s="15" t="inlineStr">
        <is>
          <t>2026-05-29</t>
        </is>
      </c>
      <c r="C410" s="15" t="inlineStr">
        <is>
          <t>Everett Ashcombe</t>
        </is>
      </c>
      <c r="D410" s="15" t="inlineStr">
        <is>
          <t>MT</t>
        </is>
      </c>
      <c r="E410" s="16" t="n">
        <v>955000</v>
      </c>
      <c r="F410" s="16" t="n">
        <v>12372.77</v>
      </c>
      <c r="G410" s="16" t="n">
        <v>1546.6</v>
      </c>
      <c r="H410" s="16" t="n">
        <v>1546.6</v>
      </c>
      <c r="I410" s="16">
        <f>SUM(K410:T410)</f>
        <v/>
      </c>
      <c r="J410" s="16">
        <f>F410-(G410+H410+I410)</f>
        <v/>
      </c>
      <c r="K410" s="16" t="n">
        <v>927.96</v>
      </c>
      <c r="L410" s="16" t="n">
        <v>927.96</v>
      </c>
      <c r="M410" s="16" t="n">
        <v>927.96</v>
      </c>
      <c r="N410" s="16" t="n">
        <v>927.96</v>
      </c>
      <c r="O410" s="16" t="n">
        <v>927.96</v>
      </c>
      <c r="P410" s="16" t="n">
        <v>927.96</v>
      </c>
      <c r="Q410" s="16" t="n">
        <v>927.96</v>
      </c>
      <c r="R410" s="16" t="n">
        <v>927.96</v>
      </c>
      <c r="S410" s="16" t="n">
        <v>927.96</v>
      </c>
      <c r="T410" s="16" t="n">
        <v>927.96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CANON-202605-006536</t>
        </is>
      </c>
      <c r="B411" s="3" t="inlineStr">
        <is>
          <t>2026-05-11</t>
        </is>
      </c>
      <c r="C411" s="3" t="inlineStr">
        <is>
          <t>Ingrid Chattopadhyay</t>
        </is>
      </c>
      <c r="D411" s="3" t="inlineStr">
        <is>
          <t>NH</t>
        </is>
      </c>
      <c r="E411" s="14" t="n">
        <v>470000</v>
      </c>
      <c r="F411" s="14" t="n">
        <v>8243.01</v>
      </c>
      <c r="G411" s="14" t="n">
        <v>1030.38</v>
      </c>
      <c r="H411" s="14" t="n">
        <v>1030.38</v>
      </c>
      <c r="I411" s="14">
        <f>SUM(K411:T411)</f>
        <v/>
      </c>
      <c r="J411" s="14">
        <f>F411-(G411+H411+I411)</f>
        <v/>
      </c>
      <c r="K411" s="14" t="n">
        <v>618.23</v>
      </c>
      <c r="L411" s="14" t="n">
        <v>618.23</v>
      </c>
      <c r="M411" s="14" t="n">
        <v>618.23</v>
      </c>
      <c r="N411" s="14" t="n">
        <v>618.23</v>
      </c>
      <c r="O411" s="14" t="n">
        <v>618.23</v>
      </c>
      <c r="P411" s="14" t="n">
        <v>618.23</v>
      </c>
      <c r="Q411" s="14" t="n">
        <v>618.23</v>
      </c>
      <c r="R411" s="14" t="n">
        <v>618.23</v>
      </c>
      <c r="S411" s="14" t="n">
        <v>618.23</v>
      </c>
      <c r="T411" s="14" t="n">
        <v>618.23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CANON-202605-006538</t>
        </is>
      </c>
      <c r="B412" s="15" t="inlineStr">
        <is>
          <t>2026-05-26</t>
        </is>
      </c>
      <c r="C412" s="15" t="inlineStr">
        <is>
          <t>Callum Montoya</t>
        </is>
      </c>
      <c r="D412" s="15" t="inlineStr">
        <is>
          <t>OK</t>
        </is>
      </c>
      <c r="E412" s="16" t="n">
        <v>1000000</v>
      </c>
      <c r="F412" s="16" t="n">
        <v>14781.47</v>
      </c>
      <c r="G412" s="16" t="n">
        <v>1847.68</v>
      </c>
      <c r="H412" s="16" t="n">
        <v>1847.68</v>
      </c>
      <c r="I412" s="16">
        <f>SUM(K412:T412)</f>
        <v/>
      </c>
      <c r="J412" s="16">
        <f>F412-(G412+H412+I412)</f>
        <v/>
      </c>
      <c r="K412" s="16" t="n">
        <v>1108.61</v>
      </c>
      <c r="L412" s="16" t="n">
        <v>1108.61</v>
      </c>
      <c r="M412" s="16" t="n">
        <v>1108.61</v>
      </c>
      <c r="N412" s="16" t="n">
        <v>1108.61</v>
      </c>
      <c r="O412" s="16" t="n">
        <v>1108.61</v>
      </c>
      <c r="P412" s="16" t="n">
        <v>1108.61</v>
      </c>
      <c r="Q412" s="16" t="n">
        <v>1108.61</v>
      </c>
      <c r="R412" s="16" t="n">
        <v>1108.61</v>
      </c>
      <c r="S412" s="16" t="n">
        <v>1108.61</v>
      </c>
      <c r="T412" s="16" t="n">
        <v>1108.61</v>
      </c>
      <c r="U412" s="16" t="n">
        <v>350</v>
      </c>
      <c r="V412" s="16" t="n">
        <v>250</v>
      </c>
      <c r="W412" s="16">
        <f>U412+V412</f>
        <v/>
      </c>
    </row>
    <row r="413">
      <c r="A413" s="3" t="inlineStr">
        <is>
          <t>CANON-202605-006541</t>
        </is>
      </c>
      <c r="B413" s="3" t="inlineStr">
        <is>
          <t>2026-05-07</t>
        </is>
      </c>
      <c r="C413" s="3" t="inlineStr">
        <is>
          <t>Mireille Ashcombe</t>
        </is>
      </c>
      <c r="D413" s="3" t="inlineStr">
        <is>
          <t>VA</t>
        </is>
      </c>
      <c r="E413" s="14" t="n">
        <v>715000</v>
      </c>
      <c r="F413" s="14" t="n">
        <v>10857.08</v>
      </c>
      <c r="G413" s="14" t="n">
        <v>1357.13</v>
      </c>
      <c r="H413" s="14" t="n">
        <v>1357.13</v>
      </c>
      <c r="I413" s="14">
        <f>SUM(K413:T413)</f>
        <v/>
      </c>
      <c r="J413" s="14">
        <f>F413-(G413+H413+I413)</f>
        <v/>
      </c>
      <c r="K413" s="14" t="n">
        <v>814.28</v>
      </c>
      <c r="L413" s="14" t="n">
        <v>814.28</v>
      </c>
      <c r="M413" s="14" t="n">
        <v>814.28</v>
      </c>
      <c r="N413" s="14" t="n">
        <v>814.28</v>
      </c>
      <c r="O413" s="14" t="n">
        <v>814.28</v>
      </c>
      <c r="P413" s="14" t="n">
        <v>814.28</v>
      </c>
      <c r="Q413" s="14" t="n">
        <v>814.28</v>
      </c>
      <c r="R413" s="14" t="n">
        <v>814.28</v>
      </c>
      <c r="S413" s="14" t="n">
        <v>814.28</v>
      </c>
      <c r="T413" s="14" t="n">
        <v>814.28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CANON-202605-006542</t>
        </is>
      </c>
      <c r="B414" s="15" t="inlineStr">
        <is>
          <t>2026-05-05</t>
        </is>
      </c>
      <c r="C414" s="15" t="inlineStr">
        <is>
          <t>Delphine Okonkwo</t>
        </is>
      </c>
      <c r="D414" s="15" t="inlineStr">
        <is>
          <t>CA</t>
        </is>
      </c>
      <c r="E414" s="16" t="n">
        <v>250000</v>
      </c>
      <c r="F414" s="16" t="n">
        <v>3711.86</v>
      </c>
      <c r="G414" s="16" t="n">
        <v>463.98</v>
      </c>
      <c r="H414" s="16" t="n">
        <v>463.98</v>
      </c>
      <c r="I414" s="16">
        <f>SUM(K414:T414)</f>
        <v/>
      </c>
      <c r="J414" s="16">
        <f>F414-(G414+H414+I414)</f>
        <v/>
      </c>
      <c r="K414" s="16" t="n">
        <v>278.39</v>
      </c>
      <c r="L414" s="16" t="n">
        <v>278.39</v>
      </c>
      <c r="M414" s="16" t="n">
        <v>278.39</v>
      </c>
      <c r="N414" s="16" t="n">
        <v>278.39</v>
      </c>
      <c r="O414" s="16" t="n">
        <v>278.39</v>
      </c>
      <c r="P414" s="16" t="n">
        <v>278.39</v>
      </c>
      <c r="Q414" s="16" t="n">
        <v>278.39</v>
      </c>
      <c r="R414" s="16" t="n">
        <v>278.39</v>
      </c>
      <c r="S414" s="16" t="n">
        <v>278.39</v>
      </c>
      <c r="T414" s="16" t="n">
        <v>278.39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CANON-202605-006543</t>
        </is>
      </c>
      <c r="B415" s="3" t="inlineStr">
        <is>
          <t>2026-05-07</t>
        </is>
      </c>
      <c r="C415" s="3" t="inlineStr">
        <is>
          <t>Leopold Okonkwo</t>
        </is>
      </c>
      <c r="D415" s="3" t="inlineStr">
        <is>
          <t>WA</t>
        </is>
      </c>
      <c r="E415" s="14" t="n">
        <v>440000</v>
      </c>
      <c r="F415" s="14" t="n">
        <v>4645.6</v>
      </c>
      <c r="G415" s="14" t="n">
        <v>580.7</v>
      </c>
      <c r="H415" s="14" t="n">
        <v>580.7</v>
      </c>
      <c r="I415" s="14">
        <f>SUM(K415:T415)</f>
        <v/>
      </c>
      <c r="J415" s="14">
        <f>F415-(G415+H415+I415)</f>
        <v/>
      </c>
      <c r="K415" s="14" t="n">
        <v>348.42</v>
      </c>
      <c r="L415" s="14" t="n">
        <v>348.42</v>
      </c>
      <c r="M415" s="14" t="n">
        <v>348.42</v>
      </c>
      <c r="N415" s="14" t="n">
        <v>348.42</v>
      </c>
      <c r="O415" s="14" t="n">
        <v>348.42</v>
      </c>
      <c r="P415" s="14" t="n">
        <v>348.42</v>
      </c>
      <c r="Q415" s="14" t="n">
        <v>348.42</v>
      </c>
      <c r="R415" s="14" t="n">
        <v>348.42</v>
      </c>
      <c r="S415" s="14" t="n">
        <v>348.42</v>
      </c>
      <c r="T415" s="14" t="n">
        <v>348.42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CANON-202605-006544</t>
        </is>
      </c>
      <c r="B416" s="15" t="inlineStr">
        <is>
          <t>2026-05-14</t>
        </is>
      </c>
      <c r="C416" s="15" t="inlineStr">
        <is>
          <t>Mireille Bellandi</t>
        </is>
      </c>
      <c r="D416" s="15" t="inlineStr">
        <is>
          <t>CA</t>
        </is>
      </c>
      <c r="E416" s="16" t="n">
        <v>515000</v>
      </c>
      <c r="F416" s="16" t="n">
        <v>6626.91</v>
      </c>
      <c r="G416" s="16" t="n">
        <v>828.36</v>
      </c>
      <c r="H416" s="16" t="n">
        <v>828.36</v>
      </c>
      <c r="I416" s="16">
        <f>SUM(K416:T416)</f>
        <v/>
      </c>
      <c r="J416" s="16">
        <f>F416-(G416+H416+I416)</f>
        <v/>
      </c>
      <c r="K416" s="16" t="n">
        <v>497.02</v>
      </c>
      <c r="L416" s="16" t="n">
        <v>497.02</v>
      </c>
      <c r="M416" s="16" t="n">
        <v>497.02</v>
      </c>
      <c r="N416" s="16" t="n">
        <v>497.02</v>
      </c>
      <c r="O416" s="16" t="n">
        <v>497.02</v>
      </c>
      <c r="P416" s="16" t="n">
        <v>497.02</v>
      </c>
      <c r="Q416" s="16" t="n">
        <v>497.02</v>
      </c>
      <c r="R416" s="16" t="n">
        <v>497.02</v>
      </c>
      <c r="S416" s="16" t="n">
        <v>497.02</v>
      </c>
      <c r="T416" s="16" t="n">
        <v>497.02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CANON-202605-006545</t>
        </is>
      </c>
      <c r="B417" s="3" t="inlineStr">
        <is>
          <t>2026-05-18</t>
        </is>
      </c>
      <c r="C417" s="3" t="inlineStr">
        <is>
          <t>Priya Thistlewood</t>
        </is>
      </c>
      <c r="D417" s="3" t="inlineStr">
        <is>
          <t>VA</t>
        </is>
      </c>
      <c r="E417" s="14" t="n">
        <v>285000</v>
      </c>
      <c r="F417" s="14" t="n">
        <v>3416.56</v>
      </c>
      <c r="G417" s="14" t="n">
        <v>427.07</v>
      </c>
      <c r="H417" s="14" t="n">
        <v>427.07</v>
      </c>
      <c r="I417" s="14">
        <f>SUM(K417:T417)</f>
        <v/>
      </c>
      <c r="J417" s="14">
        <f>F417-(G417+H417+I417)</f>
        <v/>
      </c>
      <c r="K417" s="14" t="n">
        <v>256.24</v>
      </c>
      <c r="L417" s="14" t="n">
        <v>256.24</v>
      </c>
      <c r="M417" s="14" t="n">
        <v>256.24</v>
      </c>
      <c r="N417" s="14" t="n">
        <v>256.24</v>
      </c>
      <c r="O417" s="14" t="n">
        <v>256.24</v>
      </c>
      <c r="P417" s="14" t="n">
        <v>256.24</v>
      </c>
      <c r="Q417" s="14" t="n">
        <v>256.24</v>
      </c>
      <c r="R417" s="14" t="n">
        <v>256.24</v>
      </c>
      <c r="S417" s="14" t="n">
        <v>256.24</v>
      </c>
      <c r="T417" s="14" t="n">
        <v>256.24</v>
      </c>
      <c r="U417" s="14" t="n">
        <v>350</v>
      </c>
      <c r="V417" s="14" t="n">
        <v>0</v>
      </c>
      <c r="W417" s="14">
        <f>U417+V417</f>
        <v/>
      </c>
    </row>
    <row r="418">
      <c r="A418" s="15" t="inlineStr">
        <is>
          <t>CANON-202605-006546</t>
        </is>
      </c>
      <c r="B418" s="15" t="inlineStr">
        <is>
          <t>2026-05-02</t>
        </is>
      </c>
      <c r="C418" s="15" t="inlineStr">
        <is>
          <t>Ingrid Harrington</t>
        </is>
      </c>
      <c r="D418" s="15" t="inlineStr">
        <is>
          <t>MA</t>
        </is>
      </c>
      <c r="E418" s="16" t="n">
        <v>495000</v>
      </c>
      <c r="F418" s="16" t="n">
        <v>6805.09</v>
      </c>
      <c r="G418" s="16" t="n">
        <v>850.64</v>
      </c>
      <c r="H418" s="16" t="n">
        <v>850.64</v>
      </c>
      <c r="I418" s="16">
        <f>SUM(K418:T418)</f>
        <v/>
      </c>
      <c r="J418" s="16">
        <f>F418-(G418+H418+I418)</f>
        <v/>
      </c>
      <c r="K418" s="16" t="n">
        <v>510.38</v>
      </c>
      <c r="L418" s="16" t="n">
        <v>510.38</v>
      </c>
      <c r="M418" s="16" t="n">
        <v>510.38</v>
      </c>
      <c r="N418" s="16" t="n">
        <v>510.38</v>
      </c>
      <c r="O418" s="16" t="n">
        <v>510.38</v>
      </c>
      <c r="P418" s="16" t="n">
        <v>510.38</v>
      </c>
      <c r="Q418" s="16" t="n">
        <v>510.38</v>
      </c>
      <c r="R418" s="16" t="n">
        <v>510.38</v>
      </c>
      <c r="S418" s="16" t="n">
        <v>510.38</v>
      </c>
      <c r="T418" s="16" t="n">
        <v>510.38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CANON-202605-006547</t>
        </is>
      </c>
      <c r="B419" s="3" t="inlineStr">
        <is>
          <t>2026-05-16</t>
        </is>
      </c>
      <c r="C419" s="3" t="inlineStr">
        <is>
          <t>Beatrix Rourke</t>
        </is>
      </c>
      <c r="D419" s="3" t="inlineStr">
        <is>
          <t>FL</t>
        </is>
      </c>
      <c r="E419" s="14" t="n">
        <v>775000</v>
      </c>
      <c r="F419" s="14" t="n">
        <v>10489.64</v>
      </c>
      <c r="G419" s="14" t="n">
        <v>1311.2</v>
      </c>
      <c r="H419" s="14" t="n">
        <v>1311.2</v>
      </c>
      <c r="I419" s="14">
        <f>SUM(K419:T419)</f>
        <v/>
      </c>
      <c r="J419" s="14">
        <f>F419-(G419+H419+I419)</f>
        <v/>
      </c>
      <c r="K419" s="14" t="n">
        <v>786.72</v>
      </c>
      <c r="L419" s="14" t="n">
        <v>786.72</v>
      </c>
      <c r="M419" s="14" t="n">
        <v>786.72</v>
      </c>
      <c r="N419" s="14" t="n">
        <v>786.72</v>
      </c>
      <c r="O419" s="14" t="n">
        <v>786.72</v>
      </c>
      <c r="P419" s="14" t="n">
        <v>786.72</v>
      </c>
      <c r="Q419" s="14" t="n">
        <v>786.72</v>
      </c>
      <c r="R419" s="14" t="n">
        <v>786.72</v>
      </c>
      <c r="S419" s="14" t="n">
        <v>786.72</v>
      </c>
      <c r="T419" s="14" t="n">
        <v>786.72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CANON-202605-006548</t>
        </is>
      </c>
      <c r="B420" s="15" t="inlineStr">
        <is>
          <t>2026-05-02</t>
        </is>
      </c>
      <c r="C420" s="15" t="inlineStr">
        <is>
          <t>Thaddeus Ashcombe</t>
        </is>
      </c>
      <c r="D420" s="15" t="inlineStr">
        <is>
          <t>KS</t>
        </is>
      </c>
      <c r="E420" s="16" t="n">
        <v>620000</v>
      </c>
      <c r="F420" s="16" t="n">
        <v>5732.36</v>
      </c>
      <c r="G420" s="16" t="n">
        <v>716.54</v>
      </c>
      <c r="H420" s="16" t="n">
        <v>716.54</v>
      </c>
      <c r="I420" s="16">
        <f>SUM(K420:T420)</f>
        <v/>
      </c>
      <c r="J420" s="16">
        <f>F420-(G420+H420+I420)</f>
        <v/>
      </c>
      <c r="K420" s="16" t="n">
        <v>429.93</v>
      </c>
      <c r="L420" s="16" t="n">
        <v>429.93</v>
      </c>
      <c r="M420" s="16" t="n">
        <v>429.93</v>
      </c>
      <c r="N420" s="16" t="n">
        <v>429.93</v>
      </c>
      <c r="O420" s="16" t="n">
        <v>429.93</v>
      </c>
      <c r="P420" s="16" t="n">
        <v>429.93</v>
      </c>
      <c r="Q420" s="16" t="n">
        <v>429.93</v>
      </c>
      <c r="R420" s="16" t="n">
        <v>429.93</v>
      </c>
      <c r="S420" s="16" t="n">
        <v>429.93</v>
      </c>
      <c r="T420" s="16" t="n">
        <v>429.93</v>
      </c>
      <c r="U420" s="16" t="n">
        <v>350</v>
      </c>
      <c r="V420" s="16" t="n">
        <v>0</v>
      </c>
      <c r="W420" s="16">
        <f>U420+V420</f>
        <v/>
      </c>
    </row>
    <row r="421">
      <c r="A421" s="3" t="inlineStr">
        <is>
          <t>CANON-202605-006550</t>
        </is>
      </c>
      <c r="B421" s="3" t="inlineStr">
        <is>
          <t>2026-05-10</t>
        </is>
      </c>
      <c r="C421" s="3" t="inlineStr">
        <is>
          <t>Thaddeus Delacroix</t>
        </is>
      </c>
      <c r="D421" s="3" t="inlineStr">
        <is>
          <t>MO</t>
        </is>
      </c>
      <c r="E421" s="14" t="n">
        <v>215000</v>
      </c>
      <c r="F421" s="14" t="n">
        <v>3074.6</v>
      </c>
      <c r="G421" s="14" t="n">
        <v>384.32</v>
      </c>
      <c r="H421" s="14" t="n">
        <v>384.32</v>
      </c>
      <c r="I421" s="14">
        <f>SUM(K421:T421)</f>
        <v/>
      </c>
      <c r="J421" s="14">
        <f>F421-(G421+H421+I421)</f>
        <v/>
      </c>
      <c r="K421" s="14" t="n">
        <v>230.59</v>
      </c>
      <c r="L421" s="14" t="n">
        <v>230.59</v>
      </c>
      <c r="M421" s="14" t="n">
        <v>230.59</v>
      </c>
      <c r="N421" s="14" t="n">
        <v>230.59</v>
      </c>
      <c r="O421" s="14" t="n">
        <v>230.59</v>
      </c>
      <c r="P421" s="14" t="n">
        <v>230.59</v>
      </c>
      <c r="Q421" s="14" t="n">
        <v>230.59</v>
      </c>
      <c r="R421" s="14" t="n">
        <v>230.59</v>
      </c>
      <c r="S421" s="14" t="n">
        <v>230.59</v>
      </c>
      <c r="T421" s="14" t="n">
        <v>230.59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CANON-202605-006551</t>
        </is>
      </c>
      <c r="B422" s="15" t="inlineStr">
        <is>
          <t>2026-05-27</t>
        </is>
      </c>
      <c r="C422" s="15" t="inlineStr">
        <is>
          <t>Fitzgerald Larsson</t>
        </is>
      </c>
      <c r="D422" s="15" t="inlineStr">
        <is>
          <t>OR</t>
        </is>
      </c>
      <c r="E422" s="16" t="n">
        <v>1335000</v>
      </c>
      <c r="F422" s="16" t="n">
        <v>17697.29</v>
      </c>
      <c r="G422" s="16" t="n">
        <v>2212.16</v>
      </c>
      <c r="H422" s="16" t="n">
        <v>2212.16</v>
      </c>
      <c r="I422" s="16">
        <f>SUM(K422:T422)</f>
        <v/>
      </c>
      <c r="J422" s="16">
        <f>F422-(G422+H422+I422)</f>
        <v/>
      </c>
      <c r="K422" s="16" t="n">
        <v>1327.3</v>
      </c>
      <c r="L422" s="16" t="n">
        <v>1327.3</v>
      </c>
      <c r="M422" s="16" t="n">
        <v>1327.3</v>
      </c>
      <c r="N422" s="16" t="n">
        <v>1327.3</v>
      </c>
      <c r="O422" s="16" t="n">
        <v>1327.3</v>
      </c>
      <c r="P422" s="16" t="n">
        <v>1327.3</v>
      </c>
      <c r="Q422" s="16" t="n">
        <v>1327.3</v>
      </c>
      <c r="R422" s="16" t="n">
        <v>1327.3</v>
      </c>
      <c r="S422" s="16" t="n">
        <v>1327.3</v>
      </c>
      <c r="T422" s="16" t="n">
        <v>1327.3</v>
      </c>
      <c r="U422" s="16" t="n">
        <v>350</v>
      </c>
      <c r="V422" s="16" t="n">
        <v>250</v>
      </c>
      <c r="W422" s="16">
        <f>U422+V422</f>
        <v/>
      </c>
    </row>
    <row r="423">
      <c r="A423" s="3" t="inlineStr">
        <is>
          <t>CANON-202605-006552</t>
        </is>
      </c>
      <c r="B423" s="3" t="inlineStr">
        <is>
          <t>2026-05-10</t>
        </is>
      </c>
      <c r="C423" s="3" t="inlineStr">
        <is>
          <t>Priya Rourke</t>
        </is>
      </c>
      <c r="D423" s="3" t="inlineStr">
        <is>
          <t>NJ</t>
        </is>
      </c>
      <c r="E423" s="14" t="n">
        <v>1070000</v>
      </c>
      <c r="F423" s="14" t="n">
        <v>7853.16</v>
      </c>
      <c r="G423" s="14" t="n">
        <v>981.64</v>
      </c>
      <c r="H423" s="14" t="n">
        <v>981.64</v>
      </c>
      <c r="I423" s="14">
        <f>SUM(K423:T423)</f>
        <v/>
      </c>
      <c r="J423" s="14">
        <f>F423-(G423+H423+I423)</f>
        <v/>
      </c>
      <c r="K423" s="14" t="n">
        <v>588.99</v>
      </c>
      <c r="L423" s="14" t="n">
        <v>588.99</v>
      </c>
      <c r="M423" s="14" t="n">
        <v>588.99</v>
      </c>
      <c r="N423" s="14" t="n">
        <v>588.99</v>
      </c>
      <c r="O423" s="14" t="n">
        <v>588.99</v>
      </c>
      <c r="P423" s="14" t="n">
        <v>588.99</v>
      </c>
      <c r="Q423" s="14" t="n">
        <v>588.99</v>
      </c>
      <c r="R423" s="14" t="n">
        <v>588.99</v>
      </c>
      <c r="S423" s="14" t="n">
        <v>588.99</v>
      </c>
      <c r="T423" s="14" t="n">
        <v>588.99</v>
      </c>
      <c r="U423" s="14" t="n">
        <v>350</v>
      </c>
      <c r="V423" s="14" t="n">
        <v>250</v>
      </c>
      <c r="W423" s="14">
        <f>U423+V423</f>
        <v/>
      </c>
    </row>
    <row r="424">
      <c r="A424" s="15" t="inlineStr">
        <is>
          <t>CANON-202605-006554</t>
        </is>
      </c>
      <c r="B424" s="15" t="inlineStr">
        <is>
          <t>2026-05-05</t>
        </is>
      </c>
      <c r="C424" s="15" t="inlineStr">
        <is>
          <t>Desmond Montoya</t>
        </is>
      </c>
      <c r="D424" s="15" t="inlineStr">
        <is>
          <t>FL</t>
        </is>
      </c>
      <c r="E424" s="16" t="n">
        <v>1190000</v>
      </c>
      <c r="F424" s="16" t="n">
        <v>13628.71</v>
      </c>
      <c r="G424" s="16" t="n">
        <v>1703.59</v>
      </c>
      <c r="H424" s="16" t="n">
        <v>1703.59</v>
      </c>
      <c r="I424" s="16">
        <f>SUM(K424:T424)</f>
        <v/>
      </c>
      <c r="J424" s="16">
        <f>F424-(G424+H424+I424)</f>
        <v/>
      </c>
      <c r="K424" s="16" t="n">
        <v>1022.15</v>
      </c>
      <c r="L424" s="16" t="n">
        <v>1022.15</v>
      </c>
      <c r="M424" s="16" t="n">
        <v>1022.15</v>
      </c>
      <c r="N424" s="16" t="n">
        <v>1022.15</v>
      </c>
      <c r="O424" s="16" t="n">
        <v>1022.15</v>
      </c>
      <c r="P424" s="16" t="n">
        <v>1022.15</v>
      </c>
      <c r="Q424" s="16" t="n">
        <v>1022.15</v>
      </c>
      <c r="R424" s="16" t="n">
        <v>1022.15</v>
      </c>
      <c r="S424" s="16" t="n">
        <v>1022.15</v>
      </c>
      <c r="T424" s="16" t="n">
        <v>1022.15</v>
      </c>
      <c r="U424" s="16" t="n">
        <v>350</v>
      </c>
      <c r="V424" s="16" t="n">
        <v>250</v>
      </c>
      <c r="W424" s="16">
        <f>U424+V424</f>
        <v/>
      </c>
    </row>
    <row r="425">
      <c r="A425" s="3" t="inlineStr">
        <is>
          <t>CANON-202605-006555</t>
        </is>
      </c>
      <c r="B425" s="3" t="inlineStr">
        <is>
          <t>2026-05-27</t>
        </is>
      </c>
      <c r="C425" s="3" t="inlineStr">
        <is>
          <t>Leopold Vasquez</t>
        </is>
      </c>
      <c r="D425" s="3" t="inlineStr">
        <is>
          <t>MA</t>
        </is>
      </c>
      <c r="E425" s="14" t="n">
        <v>230000</v>
      </c>
      <c r="F425" s="14" t="n">
        <v>3878.67</v>
      </c>
      <c r="G425" s="14" t="n">
        <v>484.83</v>
      </c>
      <c r="H425" s="14" t="n">
        <v>484.83</v>
      </c>
      <c r="I425" s="14">
        <f>SUM(K425:T425)</f>
        <v/>
      </c>
      <c r="J425" s="14">
        <f>F425-(G425+H425+I425)</f>
        <v/>
      </c>
      <c r="K425" s="14" t="n">
        <v>290.9</v>
      </c>
      <c r="L425" s="14" t="n">
        <v>290.9</v>
      </c>
      <c r="M425" s="14" t="n">
        <v>290.9</v>
      </c>
      <c r="N425" s="14" t="n">
        <v>290.9</v>
      </c>
      <c r="O425" s="14" t="n">
        <v>290.9</v>
      </c>
      <c r="P425" s="14" t="n">
        <v>290.9</v>
      </c>
      <c r="Q425" s="14" t="n">
        <v>290.9</v>
      </c>
      <c r="R425" s="14" t="n">
        <v>290.9</v>
      </c>
      <c r="S425" s="14" t="n">
        <v>290.9</v>
      </c>
      <c r="T425" s="14" t="n">
        <v>290.9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CANON-202605-006556</t>
        </is>
      </c>
      <c r="B426" s="15" t="inlineStr">
        <is>
          <t>2026-05-03</t>
        </is>
      </c>
      <c r="C426" s="15" t="inlineStr">
        <is>
          <t>Desmond Kingsford</t>
        </is>
      </c>
      <c r="D426" s="15" t="inlineStr">
        <is>
          <t>ID</t>
        </is>
      </c>
      <c r="E426" s="16" t="n">
        <v>1950000</v>
      </c>
      <c r="F426" s="16" t="n">
        <v>22647.31</v>
      </c>
      <c r="G426" s="16" t="n">
        <v>2830.91</v>
      </c>
      <c r="H426" s="16" t="n">
        <v>2830.91</v>
      </c>
      <c r="I426" s="16">
        <f>SUM(K426:T426)</f>
        <v/>
      </c>
      <c r="J426" s="16">
        <f>F426-(G426+H426+I426)</f>
        <v/>
      </c>
      <c r="K426" s="16" t="n">
        <v>1698.55</v>
      </c>
      <c r="L426" s="16" t="n">
        <v>1698.55</v>
      </c>
      <c r="M426" s="16" t="n">
        <v>1698.55</v>
      </c>
      <c r="N426" s="16" t="n">
        <v>1698.55</v>
      </c>
      <c r="O426" s="16" t="n">
        <v>1698.55</v>
      </c>
      <c r="P426" s="16" t="n">
        <v>1698.55</v>
      </c>
      <c r="Q426" s="16" t="n">
        <v>1698.55</v>
      </c>
      <c r="R426" s="16" t="n">
        <v>1698.55</v>
      </c>
      <c r="S426" s="16" t="n">
        <v>1698.55</v>
      </c>
      <c r="T426" s="16" t="n">
        <v>1698.55</v>
      </c>
      <c r="U426" s="16" t="n">
        <v>350</v>
      </c>
      <c r="V426" s="16" t="n">
        <v>250</v>
      </c>
      <c r="W426" s="16">
        <f>U426+V426</f>
        <v/>
      </c>
    </row>
    <row r="427">
      <c r="A427" s="3" t="inlineStr">
        <is>
          <t>CANON-202605-006557</t>
        </is>
      </c>
      <c r="B427" s="3" t="inlineStr">
        <is>
          <t>2026-05-10</t>
        </is>
      </c>
      <c r="C427" s="3" t="inlineStr">
        <is>
          <t>Fenwick Underwood</t>
        </is>
      </c>
      <c r="D427" s="3" t="inlineStr">
        <is>
          <t>MO</t>
        </is>
      </c>
      <c r="E427" s="14" t="n">
        <v>390000</v>
      </c>
      <c r="F427" s="14" t="n">
        <v>4546.62</v>
      </c>
      <c r="G427" s="14" t="n">
        <v>568.33</v>
      </c>
      <c r="H427" s="14" t="n">
        <v>568.33</v>
      </c>
      <c r="I427" s="14">
        <f>SUM(K427:T427)</f>
        <v/>
      </c>
      <c r="J427" s="14">
        <f>F427-(G427+H427+I427)</f>
        <v/>
      </c>
      <c r="K427" s="14" t="n">
        <v>341</v>
      </c>
      <c r="L427" s="14" t="n">
        <v>341</v>
      </c>
      <c r="M427" s="14" t="n">
        <v>341</v>
      </c>
      <c r="N427" s="14" t="n">
        <v>341</v>
      </c>
      <c r="O427" s="14" t="n">
        <v>341</v>
      </c>
      <c r="P427" s="14" t="n">
        <v>341</v>
      </c>
      <c r="Q427" s="14" t="n">
        <v>341</v>
      </c>
      <c r="R427" s="14" t="n">
        <v>341</v>
      </c>
      <c r="S427" s="14" t="n">
        <v>341</v>
      </c>
      <c r="T427" s="14" t="n">
        <v>341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CANON-202605-006558</t>
        </is>
      </c>
      <c r="B428" s="15" t="inlineStr">
        <is>
          <t>2026-05-02</t>
        </is>
      </c>
      <c r="C428" s="15" t="inlineStr">
        <is>
          <t>Ramona Blackwood</t>
        </is>
      </c>
      <c r="D428" s="15" t="inlineStr">
        <is>
          <t>ME</t>
        </is>
      </c>
      <c r="E428" s="16" t="n">
        <v>1260000</v>
      </c>
      <c r="F428" s="16" t="n">
        <v>10975.24</v>
      </c>
      <c r="G428" s="16" t="n">
        <v>1371.9</v>
      </c>
      <c r="H428" s="16" t="n">
        <v>1371.9</v>
      </c>
      <c r="I428" s="16">
        <f>SUM(K428:T428)</f>
        <v/>
      </c>
      <c r="J428" s="16">
        <f>F428-(G428+H428+I428)</f>
        <v/>
      </c>
      <c r="K428" s="16" t="n">
        <v>823.14</v>
      </c>
      <c r="L428" s="16" t="n">
        <v>823.14</v>
      </c>
      <c r="M428" s="16" t="n">
        <v>823.14</v>
      </c>
      <c r="N428" s="16" t="n">
        <v>823.14</v>
      </c>
      <c r="O428" s="16" t="n">
        <v>823.14</v>
      </c>
      <c r="P428" s="16" t="n">
        <v>823.14</v>
      </c>
      <c r="Q428" s="16" t="n">
        <v>823.14</v>
      </c>
      <c r="R428" s="16" t="n">
        <v>823.14</v>
      </c>
      <c r="S428" s="16" t="n">
        <v>823.14</v>
      </c>
      <c r="T428" s="16" t="n">
        <v>823.14</v>
      </c>
      <c r="U428" s="16" t="n">
        <v>350</v>
      </c>
      <c r="V428" s="16" t="n">
        <v>250</v>
      </c>
      <c r="W428" s="16">
        <f>U428+V428</f>
        <v/>
      </c>
    </row>
    <row r="429">
      <c r="A429" s="3" t="inlineStr">
        <is>
          <t>CANON-202605-006559</t>
        </is>
      </c>
      <c r="B429" s="3" t="inlineStr">
        <is>
          <t>2026-05-19</t>
        </is>
      </c>
      <c r="C429" s="3" t="inlineStr">
        <is>
          <t>Priya Farkas</t>
        </is>
      </c>
      <c r="D429" s="3" t="inlineStr">
        <is>
          <t>AL</t>
        </is>
      </c>
      <c r="E429" s="14" t="n">
        <v>785000</v>
      </c>
      <c r="F429" s="14" t="n">
        <v>13888.46</v>
      </c>
      <c r="G429" s="14" t="n">
        <v>1736.06</v>
      </c>
      <c r="H429" s="14" t="n">
        <v>1736.06</v>
      </c>
      <c r="I429" s="14">
        <f>SUM(K429:T429)</f>
        <v/>
      </c>
      <c r="J429" s="14">
        <f>F429-(G429+H429+I429)</f>
        <v/>
      </c>
      <c r="K429" s="14" t="n">
        <v>1041.63</v>
      </c>
      <c r="L429" s="14" t="n">
        <v>1041.63</v>
      </c>
      <c r="M429" s="14" t="n">
        <v>1041.63</v>
      </c>
      <c r="N429" s="14" t="n">
        <v>1041.63</v>
      </c>
      <c r="O429" s="14" t="n">
        <v>1041.63</v>
      </c>
      <c r="P429" s="14" t="n">
        <v>1041.63</v>
      </c>
      <c r="Q429" s="14" t="n">
        <v>1041.63</v>
      </c>
      <c r="R429" s="14" t="n">
        <v>1041.63</v>
      </c>
      <c r="S429" s="14" t="n">
        <v>1041.63</v>
      </c>
      <c r="T429" s="14" t="n">
        <v>1041.63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CANON-202605-006560</t>
        </is>
      </c>
      <c r="B430" s="15" t="inlineStr">
        <is>
          <t>2026-05-02</t>
        </is>
      </c>
      <c r="C430" s="15" t="inlineStr">
        <is>
          <t>Ottilie Larsson</t>
        </is>
      </c>
      <c r="D430" s="15" t="inlineStr">
        <is>
          <t>WA</t>
        </is>
      </c>
      <c r="E430" s="16" t="n">
        <v>795000</v>
      </c>
      <c r="F430" s="16" t="n">
        <v>7274.59</v>
      </c>
      <c r="G430" s="16" t="n">
        <v>909.3200000000001</v>
      </c>
      <c r="H430" s="16" t="n">
        <v>909.3200000000001</v>
      </c>
      <c r="I430" s="16">
        <f>SUM(K430:T430)</f>
        <v/>
      </c>
      <c r="J430" s="16">
        <f>F430-(G430+H430+I430)</f>
        <v/>
      </c>
      <c r="K430" s="16" t="n">
        <v>545.59</v>
      </c>
      <c r="L430" s="16" t="n">
        <v>545.59</v>
      </c>
      <c r="M430" s="16" t="n">
        <v>545.59</v>
      </c>
      <c r="N430" s="16" t="n">
        <v>545.59</v>
      </c>
      <c r="O430" s="16" t="n">
        <v>545.59</v>
      </c>
      <c r="P430" s="16" t="n">
        <v>545.59</v>
      </c>
      <c r="Q430" s="16" t="n">
        <v>545.59</v>
      </c>
      <c r="R430" s="16" t="n">
        <v>545.59</v>
      </c>
      <c r="S430" s="16" t="n">
        <v>545.59</v>
      </c>
      <c r="T430" s="16" t="n">
        <v>545.59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CANON-202605-006561</t>
        </is>
      </c>
      <c r="B431" s="3" t="inlineStr">
        <is>
          <t>2026-05-12</t>
        </is>
      </c>
      <c r="C431" s="3" t="inlineStr">
        <is>
          <t>Anouk Fairweather</t>
        </is>
      </c>
      <c r="D431" s="3" t="inlineStr">
        <is>
          <t>CA</t>
        </is>
      </c>
      <c r="E431" s="14" t="n">
        <v>105000</v>
      </c>
      <c r="F431" s="14" t="n">
        <v>1912.36</v>
      </c>
      <c r="G431" s="14" t="n">
        <v>239.04</v>
      </c>
      <c r="H431" s="14" t="n">
        <v>239.04</v>
      </c>
      <c r="I431" s="14">
        <f>SUM(K431:T431)</f>
        <v/>
      </c>
      <c r="J431" s="14">
        <f>F431-(G431+H431+I431)</f>
        <v/>
      </c>
      <c r="K431" s="14" t="n">
        <v>143.43</v>
      </c>
      <c r="L431" s="14" t="n">
        <v>143.43</v>
      </c>
      <c r="M431" s="14" t="n">
        <v>143.43</v>
      </c>
      <c r="N431" s="14" t="n">
        <v>143.43</v>
      </c>
      <c r="O431" s="14" t="n">
        <v>143.43</v>
      </c>
      <c r="P431" s="14" t="n">
        <v>143.43</v>
      </c>
      <c r="Q431" s="14" t="n">
        <v>143.43</v>
      </c>
      <c r="R431" s="14" t="n">
        <v>143.43</v>
      </c>
      <c r="S431" s="14" t="n">
        <v>143.43</v>
      </c>
      <c r="T431" s="14" t="n">
        <v>143.43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CANON-202605-006563</t>
        </is>
      </c>
      <c r="B432" s="15" t="inlineStr">
        <is>
          <t>2026-05-24</t>
        </is>
      </c>
      <c r="C432" s="15" t="inlineStr">
        <is>
          <t>Everett Fairweather</t>
        </is>
      </c>
      <c r="D432" s="15" t="inlineStr">
        <is>
          <t>CO</t>
        </is>
      </c>
      <c r="E432" s="16" t="n">
        <v>500000</v>
      </c>
      <c r="F432" s="16" t="n">
        <v>5242.43</v>
      </c>
      <c r="G432" s="16" t="n">
        <v>655.3</v>
      </c>
      <c r="H432" s="16" t="n">
        <v>655.3</v>
      </c>
      <c r="I432" s="16">
        <f>SUM(K432:T432)</f>
        <v/>
      </c>
      <c r="J432" s="16">
        <f>F432-(G432+H432+I432)</f>
        <v/>
      </c>
      <c r="K432" s="16" t="n">
        <v>393.18</v>
      </c>
      <c r="L432" s="16" t="n">
        <v>393.18</v>
      </c>
      <c r="M432" s="16" t="n">
        <v>393.18</v>
      </c>
      <c r="N432" s="16" t="n">
        <v>393.18</v>
      </c>
      <c r="O432" s="16" t="n">
        <v>393.18</v>
      </c>
      <c r="P432" s="16" t="n">
        <v>393.18</v>
      </c>
      <c r="Q432" s="16" t="n">
        <v>393.18</v>
      </c>
      <c r="R432" s="16" t="n">
        <v>393.18</v>
      </c>
      <c r="S432" s="16" t="n">
        <v>393.18</v>
      </c>
      <c r="T432" s="16" t="n">
        <v>393.18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CANON-202605-006565</t>
        </is>
      </c>
      <c r="B433" s="3" t="inlineStr">
        <is>
          <t>2026-05-02</t>
        </is>
      </c>
      <c r="C433" s="3" t="inlineStr">
        <is>
          <t>Cassius Larsson</t>
        </is>
      </c>
      <c r="D433" s="3" t="inlineStr">
        <is>
          <t>VA</t>
        </is>
      </c>
      <c r="E433" s="14" t="n">
        <v>600000</v>
      </c>
      <c r="F433" s="14" t="n">
        <v>6233.73</v>
      </c>
      <c r="G433" s="14" t="n">
        <v>779.22</v>
      </c>
      <c r="H433" s="14" t="n">
        <v>779.22</v>
      </c>
      <c r="I433" s="14">
        <f>SUM(K433:T433)</f>
        <v/>
      </c>
      <c r="J433" s="14">
        <f>F433-(G433+H433+I433)</f>
        <v/>
      </c>
      <c r="K433" s="14" t="n">
        <v>467.53</v>
      </c>
      <c r="L433" s="14" t="n">
        <v>467.53</v>
      </c>
      <c r="M433" s="14" t="n">
        <v>467.53</v>
      </c>
      <c r="N433" s="14" t="n">
        <v>467.53</v>
      </c>
      <c r="O433" s="14" t="n">
        <v>467.53</v>
      </c>
      <c r="P433" s="14" t="n">
        <v>467.53</v>
      </c>
      <c r="Q433" s="14" t="n">
        <v>467.53</v>
      </c>
      <c r="R433" s="14" t="n">
        <v>467.53</v>
      </c>
      <c r="S433" s="14" t="n">
        <v>467.53</v>
      </c>
      <c r="T433" s="14" t="n">
        <v>467.53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CANON-202605-006566</t>
        </is>
      </c>
      <c r="B434" s="15" t="inlineStr">
        <is>
          <t>2026-05-01</t>
        </is>
      </c>
      <c r="C434" s="15" t="inlineStr">
        <is>
          <t>Aurelio Okonkwo</t>
        </is>
      </c>
      <c r="D434" s="15" t="inlineStr">
        <is>
          <t>CO</t>
        </is>
      </c>
      <c r="E434" s="16" t="n">
        <v>375000</v>
      </c>
      <c r="F434" s="16" t="n">
        <v>2903.5</v>
      </c>
      <c r="G434" s="16" t="n">
        <v>362.94</v>
      </c>
      <c r="H434" s="16" t="n">
        <v>362.94</v>
      </c>
      <c r="I434" s="16">
        <f>SUM(K434:T434)</f>
        <v/>
      </c>
      <c r="J434" s="16">
        <f>F434-(G434+H434+I434)</f>
        <v/>
      </c>
      <c r="K434" s="16" t="n">
        <v>217.76</v>
      </c>
      <c r="L434" s="16" t="n">
        <v>217.76</v>
      </c>
      <c r="M434" s="16" t="n">
        <v>217.76</v>
      </c>
      <c r="N434" s="16" t="n">
        <v>217.76</v>
      </c>
      <c r="O434" s="16" t="n">
        <v>217.76</v>
      </c>
      <c r="P434" s="16" t="n">
        <v>217.76</v>
      </c>
      <c r="Q434" s="16" t="n">
        <v>217.76</v>
      </c>
      <c r="R434" s="16" t="n">
        <v>217.76</v>
      </c>
      <c r="S434" s="16" t="n">
        <v>217.76</v>
      </c>
      <c r="T434" s="16" t="n">
        <v>217.76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CANON-202605-006567</t>
        </is>
      </c>
      <c r="B435" s="3" t="inlineStr">
        <is>
          <t>2026-05-19</t>
        </is>
      </c>
      <c r="C435" s="3" t="inlineStr">
        <is>
          <t>Priya Larsson</t>
        </is>
      </c>
      <c r="D435" s="3" t="inlineStr">
        <is>
          <t>WI</t>
        </is>
      </c>
      <c r="E435" s="14" t="n">
        <v>1165000</v>
      </c>
      <c r="F435" s="14" t="n">
        <v>11275.27</v>
      </c>
      <c r="G435" s="14" t="n">
        <v>1409.41</v>
      </c>
      <c r="H435" s="14" t="n">
        <v>1409.41</v>
      </c>
      <c r="I435" s="14">
        <f>SUM(K435:T435)</f>
        <v/>
      </c>
      <c r="J435" s="14">
        <f>F435-(G435+H435+I435)</f>
        <v/>
      </c>
      <c r="K435" s="14" t="n">
        <v>845.65</v>
      </c>
      <c r="L435" s="14" t="n">
        <v>845.65</v>
      </c>
      <c r="M435" s="14" t="n">
        <v>845.65</v>
      </c>
      <c r="N435" s="14" t="n">
        <v>845.65</v>
      </c>
      <c r="O435" s="14" t="n">
        <v>845.65</v>
      </c>
      <c r="P435" s="14" t="n">
        <v>845.65</v>
      </c>
      <c r="Q435" s="14" t="n">
        <v>845.65</v>
      </c>
      <c r="R435" s="14" t="n">
        <v>845.65</v>
      </c>
      <c r="S435" s="14" t="n">
        <v>845.65</v>
      </c>
      <c r="T435" s="14" t="n">
        <v>845.65</v>
      </c>
      <c r="U435" s="14" t="n">
        <v>350</v>
      </c>
      <c r="V435" s="14" t="n">
        <v>250</v>
      </c>
      <c r="W435" s="14">
        <f>U435+V435</f>
        <v/>
      </c>
    </row>
    <row r="436">
      <c r="A436" s="15" t="inlineStr">
        <is>
          <t>CANON-202605-006568</t>
        </is>
      </c>
      <c r="B436" s="15" t="inlineStr">
        <is>
          <t>2026-05-23</t>
        </is>
      </c>
      <c r="C436" s="15" t="inlineStr">
        <is>
          <t>Emiliano Pennington</t>
        </is>
      </c>
      <c r="D436" s="15" t="inlineStr">
        <is>
          <t>RI</t>
        </is>
      </c>
      <c r="E436" s="16" t="n">
        <v>1150000</v>
      </c>
      <c r="F436" s="16" t="n">
        <v>8779.280000000001</v>
      </c>
      <c r="G436" s="16" t="n">
        <v>1097.41</v>
      </c>
      <c r="H436" s="16" t="n">
        <v>1097.41</v>
      </c>
      <c r="I436" s="16">
        <f>SUM(K436:T436)</f>
        <v/>
      </c>
      <c r="J436" s="16">
        <f>F436-(G436+H436+I436)</f>
        <v/>
      </c>
      <c r="K436" s="16" t="n">
        <v>658.45</v>
      </c>
      <c r="L436" s="16" t="n">
        <v>658.45</v>
      </c>
      <c r="M436" s="16" t="n">
        <v>658.45</v>
      </c>
      <c r="N436" s="16" t="n">
        <v>658.45</v>
      </c>
      <c r="O436" s="16" t="n">
        <v>658.45</v>
      </c>
      <c r="P436" s="16" t="n">
        <v>658.45</v>
      </c>
      <c r="Q436" s="16" t="n">
        <v>658.45</v>
      </c>
      <c r="R436" s="16" t="n">
        <v>658.45</v>
      </c>
      <c r="S436" s="16" t="n">
        <v>658.45</v>
      </c>
      <c r="T436" s="16" t="n">
        <v>658.45</v>
      </c>
      <c r="U436" s="16" t="n">
        <v>350</v>
      </c>
      <c r="V436" s="16" t="n">
        <v>250</v>
      </c>
      <c r="W436" s="16">
        <f>U436+V436</f>
        <v/>
      </c>
    </row>
    <row r="437">
      <c r="A437" s="3" t="inlineStr">
        <is>
          <t>CANON-202605-006569</t>
        </is>
      </c>
      <c r="B437" s="3" t="inlineStr">
        <is>
          <t>2026-05-05</t>
        </is>
      </c>
      <c r="C437" s="3" t="inlineStr">
        <is>
          <t>Lorenzo Whitlock</t>
        </is>
      </c>
      <c r="D437" s="3" t="inlineStr">
        <is>
          <t>SC</t>
        </is>
      </c>
      <c r="E437" s="14" t="n">
        <v>860000</v>
      </c>
      <c r="F437" s="14" t="n">
        <v>10164.6</v>
      </c>
      <c r="G437" s="14" t="n">
        <v>1270.58</v>
      </c>
      <c r="H437" s="14" t="n">
        <v>1270.58</v>
      </c>
      <c r="I437" s="14">
        <f>SUM(K437:T437)</f>
        <v/>
      </c>
      <c r="J437" s="14">
        <f>F437-(G437+H437+I437)</f>
        <v/>
      </c>
      <c r="K437" s="14" t="n">
        <v>762.35</v>
      </c>
      <c r="L437" s="14" t="n">
        <v>762.35</v>
      </c>
      <c r="M437" s="14" t="n">
        <v>762.35</v>
      </c>
      <c r="N437" s="14" t="n">
        <v>762.35</v>
      </c>
      <c r="O437" s="14" t="n">
        <v>762.35</v>
      </c>
      <c r="P437" s="14" t="n">
        <v>762.35</v>
      </c>
      <c r="Q437" s="14" t="n">
        <v>762.35</v>
      </c>
      <c r="R437" s="14" t="n">
        <v>762.35</v>
      </c>
      <c r="S437" s="14" t="n">
        <v>762.35</v>
      </c>
      <c r="T437" s="14" t="n">
        <v>762.35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CANON-202605-006572</t>
        </is>
      </c>
      <c r="B438" s="15" t="inlineStr">
        <is>
          <t>2026-05-06</t>
        </is>
      </c>
      <c r="C438" s="15" t="inlineStr">
        <is>
          <t>Desmond Harrington</t>
        </is>
      </c>
      <c r="D438" s="15" t="inlineStr">
        <is>
          <t>TX</t>
        </is>
      </c>
      <c r="E438" s="16" t="n">
        <v>395000</v>
      </c>
      <c r="F438" s="16" t="n">
        <v>7660.37</v>
      </c>
      <c r="G438" s="16" t="n">
        <v>957.55</v>
      </c>
      <c r="H438" s="16" t="n">
        <v>957.55</v>
      </c>
      <c r="I438" s="16">
        <f>SUM(K438:T438)</f>
        <v/>
      </c>
      <c r="J438" s="16">
        <f>F438-(G438+H438+I438)</f>
        <v/>
      </c>
      <c r="K438" s="16" t="n">
        <v>574.53</v>
      </c>
      <c r="L438" s="16" t="n">
        <v>574.53</v>
      </c>
      <c r="M438" s="16" t="n">
        <v>574.53</v>
      </c>
      <c r="N438" s="16" t="n">
        <v>574.53</v>
      </c>
      <c r="O438" s="16" t="n">
        <v>574.53</v>
      </c>
      <c r="P438" s="16" t="n">
        <v>574.53</v>
      </c>
      <c r="Q438" s="16" t="n">
        <v>574.53</v>
      </c>
      <c r="R438" s="16" t="n">
        <v>574.53</v>
      </c>
      <c r="S438" s="16" t="n">
        <v>574.53</v>
      </c>
      <c r="T438" s="16" t="n">
        <v>574.53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CANON-202605-006573</t>
        </is>
      </c>
      <c r="B439" s="3" t="inlineStr">
        <is>
          <t>2026-05-10</t>
        </is>
      </c>
      <c r="C439" s="3" t="inlineStr">
        <is>
          <t>Saoirse Blackwood</t>
        </is>
      </c>
      <c r="D439" s="3" t="inlineStr">
        <is>
          <t>AZ</t>
        </is>
      </c>
      <c r="E439" s="14" t="n">
        <v>260000</v>
      </c>
      <c r="F439" s="14" t="n">
        <v>2888.11</v>
      </c>
      <c r="G439" s="14" t="n">
        <v>361.01</v>
      </c>
      <c r="H439" s="14" t="n">
        <v>361.01</v>
      </c>
      <c r="I439" s="14">
        <f>SUM(K439:T439)</f>
        <v/>
      </c>
      <c r="J439" s="14">
        <f>F439-(G439+H439+I439)</f>
        <v/>
      </c>
      <c r="K439" s="14" t="n">
        <v>216.61</v>
      </c>
      <c r="L439" s="14" t="n">
        <v>216.61</v>
      </c>
      <c r="M439" s="14" t="n">
        <v>216.61</v>
      </c>
      <c r="N439" s="14" t="n">
        <v>216.61</v>
      </c>
      <c r="O439" s="14" t="n">
        <v>216.61</v>
      </c>
      <c r="P439" s="14" t="n">
        <v>216.61</v>
      </c>
      <c r="Q439" s="14" t="n">
        <v>216.61</v>
      </c>
      <c r="R439" s="14" t="n">
        <v>216.61</v>
      </c>
      <c r="S439" s="14" t="n">
        <v>216.61</v>
      </c>
      <c r="T439" s="14" t="n">
        <v>216.61</v>
      </c>
      <c r="U439" s="14" t="n">
        <v>350</v>
      </c>
      <c r="V439" s="14" t="n">
        <v>0</v>
      </c>
      <c r="W439" s="14">
        <f>U439+V439</f>
        <v/>
      </c>
    </row>
    <row r="440">
      <c r="A440" s="15" t="inlineStr">
        <is>
          <t>CANON-202605-006577</t>
        </is>
      </c>
      <c r="B440" s="15" t="inlineStr">
        <is>
          <t>2026-05-14</t>
        </is>
      </c>
      <c r="C440" s="15" t="inlineStr">
        <is>
          <t>Ingrid Larsson</t>
        </is>
      </c>
      <c r="D440" s="15" t="inlineStr">
        <is>
          <t>TN</t>
        </is>
      </c>
      <c r="E440" s="16" t="n">
        <v>285000</v>
      </c>
      <c r="F440" s="16" t="n">
        <v>4710.05</v>
      </c>
      <c r="G440" s="16" t="n">
        <v>588.76</v>
      </c>
      <c r="H440" s="16" t="n">
        <v>588.76</v>
      </c>
      <c r="I440" s="16">
        <f>SUM(K440:T440)</f>
        <v/>
      </c>
      <c r="J440" s="16">
        <f>F440-(G440+H440+I440)</f>
        <v/>
      </c>
      <c r="K440" s="16" t="n">
        <v>353.25</v>
      </c>
      <c r="L440" s="16" t="n">
        <v>353.25</v>
      </c>
      <c r="M440" s="16" t="n">
        <v>353.25</v>
      </c>
      <c r="N440" s="16" t="n">
        <v>353.25</v>
      </c>
      <c r="O440" s="16" t="n">
        <v>353.25</v>
      </c>
      <c r="P440" s="16" t="n">
        <v>353.25</v>
      </c>
      <c r="Q440" s="16" t="n">
        <v>353.25</v>
      </c>
      <c r="R440" s="16" t="n">
        <v>353.25</v>
      </c>
      <c r="S440" s="16" t="n">
        <v>353.25</v>
      </c>
      <c r="T440" s="16" t="n">
        <v>353.25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CANON-202605-006578</t>
        </is>
      </c>
      <c r="B441" s="3" t="inlineStr">
        <is>
          <t>2026-05-25</t>
        </is>
      </c>
      <c r="C441" s="3" t="inlineStr">
        <is>
          <t>Ramona Farkas</t>
        </is>
      </c>
      <c r="D441" s="3" t="inlineStr">
        <is>
          <t>CT</t>
        </is>
      </c>
      <c r="E441" s="14" t="n">
        <v>415000</v>
      </c>
      <c r="F441" s="14" t="n">
        <v>7838.28</v>
      </c>
      <c r="G441" s="14" t="n">
        <v>979.78</v>
      </c>
      <c r="H441" s="14" t="n">
        <v>979.78</v>
      </c>
      <c r="I441" s="14">
        <f>SUM(K441:T441)</f>
        <v/>
      </c>
      <c r="J441" s="14">
        <f>F441-(G441+H441+I441)</f>
        <v/>
      </c>
      <c r="K441" s="14" t="n">
        <v>587.87</v>
      </c>
      <c r="L441" s="14" t="n">
        <v>587.87</v>
      </c>
      <c r="M441" s="14" t="n">
        <v>587.87</v>
      </c>
      <c r="N441" s="14" t="n">
        <v>587.87</v>
      </c>
      <c r="O441" s="14" t="n">
        <v>587.87</v>
      </c>
      <c r="P441" s="14" t="n">
        <v>587.87</v>
      </c>
      <c r="Q441" s="14" t="n">
        <v>587.87</v>
      </c>
      <c r="R441" s="14" t="n">
        <v>587.87</v>
      </c>
      <c r="S441" s="14" t="n">
        <v>587.87</v>
      </c>
      <c r="T441" s="14" t="n">
        <v>587.87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CANON-202605-006579</t>
        </is>
      </c>
      <c r="B442" s="15" t="inlineStr">
        <is>
          <t>2026-05-13</t>
        </is>
      </c>
      <c r="C442" s="15" t="inlineStr">
        <is>
          <t>Leopold Kingsford</t>
        </is>
      </c>
      <c r="D442" s="15" t="inlineStr">
        <is>
          <t>WV</t>
        </is>
      </c>
      <c r="E442" s="16" t="n">
        <v>455000</v>
      </c>
      <c r="F442" s="16" t="n">
        <v>6655.51</v>
      </c>
      <c r="G442" s="16" t="n">
        <v>831.9400000000001</v>
      </c>
      <c r="H442" s="16" t="n">
        <v>831.9400000000001</v>
      </c>
      <c r="I442" s="16">
        <f>SUM(K442:T442)</f>
        <v/>
      </c>
      <c r="J442" s="16">
        <f>F442-(G442+H442+I442)</f>
        <v/>
      </c>
      <c r="K442" s="16" t="n">
        <v>499.16</v>
      </c>
      <c r="L442" s="16" t="n">
        <v>499.16</v>
      </c>
      <c r="M442" s="16" t="n">
        <v>499.16</v>
      </c>
      <c r="N442" s="16" t="n">
        <v>499.16</v>
      </c>
      <c r="O442" s="16" t="n">
        <v>499.16</v>
      </c>
      <c r="P442" s="16" t="n">
        <v>499.16</v>
      </c>
      <c r="Q442" s="16" t="n">
        <v>499.16</v>
      </c>
      <c r="R442" s="16" t="n">
        <v>499.16</v>
      </c>
      <c r="S442" s="16" t="n">
        <v>499.16</v>
      </c>
      <c r="T442" s="16" t="n">
        <v>499.16</v>
      </c>
      <c r="U442" s="16" t="n">
        <v>350</v>
      </c>
      <c r="V442" s="16" t="n">
        <v>0</v>
      </c>
      <c r="W442" s="16">
        <f>U442+V442</f>
        <v/>
      </c>
    </row>
    <row r="443">
      <c r="A443" s="3" t="inlineStr">
        <is>
          <t>CANON-202605-006580</t>
        </is>
      </c>
      <c r="B443" s="3" t="inlineStr">
        <is>
          <t>2026-05-13</t>
        </is>
      </c>
      <c r="C443" s="3" t="inlineStr">
        <is>
          <t>Sunniva Pennington</t>
        </is>
      </c>
      <c r="D443" s="3" t="inlineStr">
        <is>
          <t>OH</t>
        </is>
      </c>
      <c r="E443" s="14" t="n">
        <v>965000</v>
      </c>
      <c r="F443" s="14" t="n">
        <v>12785.34</v>
      </c>
      <c r="G443" s="14" t="n">
        <v>1598.17</v>
      </c>
      <c r="H443" s="14" t="n">
        <v>1598.17</v>
      </c>
      <c r="I443" s="14">
        <f>SUM(K443:T443)</f>
        <v/>
      </c>
      <c r="J443" s="14">
        <f>F443-(G443+H443+I443)</f>
        <v/>
      </c>
      <c r="K443" s="14" t="n">
        <v>958.9</v>
      </c>
      <c r="L443" s="14" t="n">
        <v>958.9</v>
      </c>
      <c r="M443" s="14" t="n">
        <v>958.9</v>
      </c>
      <c r="N443" s="14" t="n">
        <v>958.9</v>
      </c>
      <c r="O443" s="14" t="n">
        <v>958.9</v>
      </c>
      <c r="P443" s="14" t="n">
        <v>958.9</v>
      </c>
      <c r="Q443" s="14" t="n">
        <v>958.9</v>
      </c>
      <c r="R443" s="14" t="n">
        <v>958.9</v>
      </c>
      <c r="S443" s="14" t="n">
        <v>958.9</v>
      </c>
      <c r="T443" s="14" t="n">
        <v>958.9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CANON-202605-006581</t>
        </is>
      </c>
      <c r="B444" s="15" t="inlineStr">
        <is>
          <t>2026-05-28</t>
        </is>
      </c>
      <c r="C444" s="15" t="inlineStr">
        <is>
          <t>Horace Farkas</t>
        </is>
      </c>
      <c r="D444" s="15" t="inlineStr">
        <is>
          <t>IN</t>
        </is>
      </c>
      <c r="E444" s="16" t="n">
        <v>1030000</v>
      </c>
      <c r="F444" s="16" t="n">
        <v>7059.64</v>
      </c>
      <c r="G444" s="16" t="n">
        <v>882.46</v>
      </c>
      <c r="H444" s="16" t="n">
        <v>882.46</v>
      </c>
      <c r="I444" s="16">
        <f>SUM(K444:T444)</f>
        <v/>
      </c>
      <c r="J444" s="16">
        <f>F444-(G444+H444+I444)</f>
        <v/>
      </c>
      <c r="K444" s="16" t="n">
        <v>529.47</v>
      </c>
      <c r="L444" s="16" t="n">
        <v>529.47</v>
      </c>
      <c r="M444" s="16" t="n">
        <v>529.47</v>
      </c>
      <c r="N444" s="16" t="n">
        <v>529.47</v>
      </c>
      <c r="O444" s="16" t="n">
        <v>529.47</v>
      </c>
      <c r="P444" s="16" t="n">
        <v>529.47</v>
      </c>
      <c r="Q444" s="16" t="n">
        <v>529.47</v>
      </c>
      <c r="R444" s="16" t="n">
        <v>529.47</v>
      </c>
      <c r="S444" s="16" t="n">
        <v>529.47</v>
      </c>
      <c r="T444" s="16" t="n">
        <v>529.47</v>
      </c>
      <c r="U444" s="16" t="n">
        <v>350</v>
      </c>
      <c r="V444" s="16" t="n">
        <v>250</v>
      </c>
      <c r="W444" s="16">
        <f>U444+V444</f>
        <v/>
      </c>
    </row>
    <row r="445">
      <c r="A445" s="3" t="inlineStr">
        <is>
          <t>CANON-202605-006582</t>
        </is>
      </c>
      <c r="B445" s="3" t="inlineStr">
        <is>
          <t>2026-05-02</t>
        </is>
      </c>
      <c r="C445" s="3" t="inlineStr">
        <is>
          <t>Anouk Larsson</t>
        </is>
      </c>
      <c r="D445" s="3" t="inlineStr">
        <is>
          <t>NC</t>
        </is>
      </c>
      <c r="E445" s="14" t="n">
        <v>1835000</v>
      </c>
      <c r="F445" s="14" t="n">
        <v>10521.31</v>
      </c>
      <c r="G445" s="14" t="n">
        <v>1315.16</v>
      </c>
      <c r="H445" s="14" t="n">
        <v>1315.16</v>
      </c>
      <c r="I445" s="14">
        <f>SUM(K445:T445)</f>
        <v/>
      </c>
      <c r="J445" s="14">
        <f>F445-(G445+H445+I445)</f>
        <v/>
      </c>
      <c r="K445" s="14" t="n">
        <v>789.1</v>
      </c>
      <c r="L445" s="14" t="n">
        <v>789.1</v>
      </c>
      <c r="M445" s="14" t="n">
        <v>789.1</v>
      </c>
      <c r="N445" s="14" t="n">
        <v>789.1</v>
      </c>
      <c r="O445" s="14" t="n">
        <v>789.1</v>
      </c>
      <c r="P445" s="14" t="n">
        <v>789.1</v>
      </c>
      <c r="Q445" s="14" t="n">
        <v>789.1</v>
      </c>
      <c r="R445" s="14" t="n">
        <v>789.1</v>
      </c>
      <c r="S445" s="14" t="n">
        <v>789.1</v>
      </c>
      <c r="T445" s="14" t="n">
        <v>789.1</v>
      </c>
      <c r="U445" s="14" t="n">
        <v>350</v>
      </c>
      <c r="V445" s="14" t="n">
        <v>250</v>
      </c>
      <c r="W445" s="14">
        <f>U445+V445</f>
        <v/>
      </c>
    </row>
    <row r="446">
      <c r="A446" s="15" t="inlineStr">
        <is>
          <t>CANON-202605-006583</t>
        </is>
      </c>
      <c r="B446" s="15" t="inlineStr">
        <is>
          <t>2026-05-12</t>
        </is>
      </c>
      <c r="C446" s="15" t="inlineStr">
        <is>
          <t>Fitzgerald Castellanos</t>
        </is>
      </c>
      <c r="D446" s="15" t="inlineStr">
        <is>
          <t>CO</t>
        </is>
      </c>
      <c r="E446" s="16" t="n">
        <v>350000</v>
      </c>
      <c r="F446" s="16" t="n">
        <v>4234.27</v>
      </c>
      <c r="G446" s="16" t="n">
        <v>529.28</v>
      </c>
      <c r="H446" s="16" t="n">
        <v>529.28</v>
      </c>
      <c r="I446" s="16">
        <f>SUM(K446:T446)</f>
        <v/>
      </c>
      <c r="J446" s="16">
        <f>F446-(G446+H446+I446)</f>
        <v/>
      </c>
      <c r="K446" s="16" t="n">
        <v>317.57</v>
      </c>
      <c r="L446" s="16" t="n">
        <v>317.57</v>
      </c>
      <c r="M446" s="16" t="n">
        <v>317.57</v>
      </c>
      <c r="N446" s="16" t="n">
        <v>317.57</v>
      </c>
      <c r="O446" s="16" t="n">
        <v>317.57</v>
      </c>
      <c r="P446" s="16" t="n">
        <v>317.57</v>
      </c>
      <c r="Q446" s="16" t="n">
        <v>317.57</v>
      </c>
      <c r="R446" s="16" t="n">
        <v>317.57</v>
      </c>
      <c r="S446" s="16" t="n">
        <v>317.57</v>
      </c>
      <c r="T446" s="16" t="n">
        <v>317.57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CANON-202605-006585</t>
        </is>
      </c>
      <c r="B447" s="3" t="inlineStr">
        <is>
          <t>2026-05-24</t>
        </is>
      </c>
      <c r="C447" s="3" t="inlineStr">
        <is>
          <t>Everett Kingsford</t>
        </is>
      </c>
      <c r="D447" s="3" t="inlineStr">
        <is>
          <t>MI</t>
        </is>
      </c>
      <c r="E447" s="14" t="n">
        <v>1950000</v>
      </c>
      <c r="F447" s="14" t="n">
        <v>35457.92</v>
      </c>
      <c r="G447" s="14" t="n">
        <v>4432.24</v>
      </c>
      <c r="H447" s="14" t="n">
        <v>4432.24</v>
      </c>
      <c r="I447" s="14">
        <f>SUM(K447:T447)</f>
        <v/>
      </c>
      <c r="J447" s="14">
        <f>F447-(G447+H447+I447)</f>
        <v/>
      </c>
      <c r="K447" s="14" t="n">
        <v>2659.34</v>
      </c>
      <c r="L447" s="14" t="n">
        <v>2659.34</v>
      </c>
      <c r="M447" s="14" t="n">
        <v>2659.34</v>
      </c>
      <c r="N447" s="14" t="n">
        <v>2659.34</v>
      </c>
      <c r="O447" s="14" t="n">
        <v>2659.34</v>
      </c>
      <c r="P447" s="14" t="n">
        <v>2659.34</v>
      </c>
      <c r="Q447" s="14" t="n">
        <v>2659.34</v>
      </c>
      <c r="R447" s="14" t="n">
        <v>2659.34</v>
      </c>
      <c r="S447" s="14" t="n">
        <v>2659.34</v>
      </c>
      <c r="T447" s="14" t="n">
        <v>2659.34</v>
      </c>
      <c r="U447" s="14" t="n">
        <v>350</v>
      </c>
      <c r="V447" s="14" t="n">
        <v>250</v>
      </c>
      <c r="W447" s="14">
        <f>U447+V447</f>
        <v/>
      </c>
    </row>
    <row r="448">
      <c r="A448" s="15" t="inlineStr">
        <is>
          <t>CANON-202605-006586</t>
        </is>
      </c>
      <c r="B448" s="15" t="inlineStr">
        <is>
          <t>2026-05-07</t>
        </is>
      </c>
      <c r="C448" s="15" t="inlineStr">
        <is>
          <t>Delphine Merriweather</t>
        </is>
      </c>
      <c r="D448" s="15" t="inlineStr">
        <is>
          <t>UT</t>
        </is>
      </c>
      <c r="E448" s="16" t="n">
        <v>375000</v>
      </c>
      <c r="F448" s="16" t="n">
        <v>5567.8</v>
      </c>
      <c r="G448" s="16" t="n">
        <v>695.98</v>
      </c>
      <c r="H448" s="16" t="n">
        <v>695.98</v>
      </c>
      <c r="I448" s="16">
        <f>SUM(K448:T448)</f>
        <v/>
      </c>
      <c r="J448" s="16">
        <f>F448-(G448+H448+I448)</f>
        <v/>
      </c>
      <c r="K448" s="16" t="n">
        <v>417.58</v>
      </c>
      <c r="L448" s="16" t="n">
        <v>417.58</v>
      </c>
      <c r="M448" s="16" t="n">
        <v>417.58</v>
      </c>
      <c r="N448" s="16" t="n">
        <v>417.58</v>
      </c>
      <c r="O448" s="16" t="n">
        <v>417.58</v>
      </c>
      <c r="P448" s="16" t="n">
        <v>417.58</v>
      </c>
      <c r="Q448" s="16" t="n">
        <v>417.58</v>
      </c>
      <c r="R448" s="16" t="n">
        <v>417.58</v>
      </c>
      <c r="S448" s="16" t="n">
        <v>417.58</v>
      </c>
      <c r="T448" s="16" t="n">
        <v>417.58</v>
      </c>
      <c r="U448" s="16" t="n">
        <v>350</v>
      </c>
      <c r="V448" s="16" t="n">
        <v>0</v>
      </c>
      <c r="W448" s="16">
        <f>U448+V448</f>
        <v/>
      </c>
    </row>
    <row r="449">
      <c r="A449" s="3" t="inlineStr">
        <is>
          <t>CANON-202605-006587</t>
        </is>
      </c>
      <c r="B449" s="3" t="inlineStr">
        <is>
          <t>2026-05-19</t>
        </is>
      </c>
      <c r="C449" s="3" t="inlineStr">
        <is>
          <t>Beatrix Delacroix</t>
        </is>
      </c>
      <c r="D449" s="3" t="inlineStr">
        <is>
          <t>RI</t>
        </is>
      </c>
      <c r="E449" s="14" t="n">
        <v>625000</v>
      </c>
      <c r="F449" s="14" t="n">
        <v>11928.37</v>
      </c>
      <c r="G449" s="14" t="n">
        <v>1491.05</v>
      </c>
      <c r="H449" s="14" t="n">
        <v>1491.05</v>
      </c>
      <c r="I449" s="14">
        <f>SUM(K449:T449)</f>
        <v/>
      </c>
      <c r="J449" s="14">
        <f>F449-(G449+H449+I449)</f>
        <v/>
      </c>
      <c r="K449" s="14" t="n">
        <v>894.63</v>
      </c>
      <c r="L449" s="14" t="n">
        <v>894.63</v>
      </c>
      <c r="M449" s="14" t="n">
        <v>894.63</v>
      </c>
      <c r="N449" s="14" t="n">
        <v>894.63</v>
      </c>
      <c r="O449" s="14" t="n">
        <v>894.63</v>
      </c>
      <c r="P449" s="14" t="n">
        <v>894.63</v>
      </c>
      <c r="Q449" s="14" t="n">
        <v>894.63</v>
      </c>
      <c r="R449" s="14" t="n">
        <v>894.63</v>
      </c>
      <c r="S449" s="14" t="n">
        <v>894.63</v>
      </c>
      <c r="T449" s="14" t="n">
        <v>894.63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CANON-202605-006589</t>
        </is>
      </c>
      <c r="B450" s="15" t="inlineStr">
        <is>
          <t>2026-05-28</t>
        </is>
      </c>
      <c r="C450" s="15" t="inlineStr">
        <is>
          <t>Ramona Farkas</t>
        </is>
      </c>
      <c r="D450" s="15" t="inlineStr">
        <is>
          <t>CA</t>
        </is>
      </c>
      <c r="E450" s="16" t="n">
        <v>870000</v>
      </c>
      <c r="F450" s="16" t="n">
        <v>7405.91</v>
      </c>
      <c r="G450" s="16" t="n">
        <v>925.74</v>
      </c>
      <c r="H450" s="16" t="n">
        <v>925.74</v>
      </c>
      <c r="I450" s="16">
        <f>SUM(K450:T450)</f>
        <v/>
      </c>
      <c r="J450" s="16">
        <f>F450-(G450+H450+I450)</f>
        <v/>
      </c>
      <c r="K450" s="16" t="n">
        <v>555.4400000000001</v>
      </c>
      <c r="L450" s="16" t="n">
        <v>555.4400000000001</v>
      </c>
      <c r="M450" s="16" t="n">
        <v>555.4400000000001</v>
      </c>
      <c r="N450" s="16" t="n">
        <v>555.4400000000001</v>
      </c>
      <c r="O450" s="16" t="n">
        <v>555.4400000000001</v>
      </c>
      <c r="P450" s="16" t="n">
        <v>555.4400000000001</v>
      </c>
      <c r="Q450" s="16" t="n">
        <v>555.4400000000001</v>
      </c>
      <c r="R450" s="16" t="n">
        <v>555.4400000000001</v>
      </c>
      <c r="S450" s="16" t="n">
        <v>555.4400000000001</v>
      </c>
      <c r="T450" s="16" t="n">
        <v>555.4400000000001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CANON-202605-006590</t>
        </is>
      </c>
      <c r="B451" s="3" t="inlineStr">
        <is>
          <t>2026-05-19</t>
        </is>
      </c>
      <c r="C451" s="3" t="inlineStr">
        <is>
          <t>Beatrix Delacroix</t>
        </is>
      </c>
      <c r="D451" s="3" t="inlineStr">
        <is>
          <t>RI</t>
        </is>
      </c>
      <c r="E451" s="14" t="n">
        <v>365000</v>
      </c>
      <c r="F451" s="14" t="n">
        <v>5499.61</v>
      </c>
      <c r="G451" s="14" t="n">
        <v>687.45</v>
      </c>
      <c r="H451" s="14" t="n">
        <v>687.45</v>
      </c>
      <c r="I451" s="14">
        <f>SUM(K451:T451)</f>
        <v/>
      </c>
      <c r="J451" s="14">
        <f>F451-(G451+H451+I451)</f>
        <v/>
      </c>
      <c r="K451" s="14" t="n">
        <v>412.47</v>
      </c>
      <c r="L451" s="14" t="n">
        <v>412.47</v>
      </c>
      <c r="M451" s="14" t="n">
        <v>412.47</v>
      </c>
      <c r="N451" s="14" t="n">
        <v>412.47</v>
      </c>
      <c r="O451" s="14" t="n">
        <v>412.47</v>
      </c>
      <c r="P451" s="14" t="n">
        <v>412.47</v>
      </c>
      <c r="Q451" s="14" t="n">
        <v>412.47</v>
      </c>
      <c r="R451" s="14" t="n">
        <v>412.47</v>
      </c>
      <c r="S451" s="14" t="n">
        <v>412.47</v>
      </c>
      <c r="T451" s="14" t="n">
        <v>412.47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CANON-202605-006591</t>
        </is>
      </c>
      <c r="B452" s="15" t="inlineStr">
        <is>
          <t>2026-05-23</t>
        </is>
      </c>
      <c r="C452" s="15" t="inlineStr">
        <is>
          <t>Fitzgerald Merriweather</t>
        </is>
      </c>
      <c r="D452" s="15" t="inlineStr">
        <is>
          <t>IA</t>
        </is>
      </c>
      <c r="E452" s="16" t="n">
        <v>940000</v>
      </c>
      <c r="F452" s="16" t="n">
        <v>9855.77</v>
      </c>
      <c r="G452" s="16" t="n">
        <v>1231.97</v>
      </c>
      <c r="H452" s="16" t="n">
        <v>1231.97</v>
      </c>
      <c r="I452" s="16">
        <f>SUM(K452:T452)</f>
        <v/>
      </c>
      <c r="J452" s="16">
        <f>F452-(G452+H452+I452)</f>
        <v/>
      </c>
      <c r="K452" s="16" t="n">
        <v>739.1799999999999</v>
      </c>
      <c r="L452" s="16" t="n">
        <v>739.1799999999999</v>
      </c>
      <c r="M452" s="16" t="n">
        <v>739.1799999999999</v>
      </c>
      <c r="N452" s="16" t="n">
        <v>739.1799999999999</v>
      </c>
      <c r="O452" s="16" t="n">
        <v>739.1799999999999</v>
      </c>
      <c r="P452" s="16" t="n">
        <v>739.1799999999999</v>
      </c>
      <c r="Q452" s="16" t="n">
        <v>739.1799999999999</v>
      </c>
      <c r="R452" s="16" t="n">
        <v>739.1799999999999</v>
      </c>
      <c r="S452" s="16" t="n">
        <v>739.1799999999999</v>
      </c>
      <c r="T452" s="16" t="n">
        <v>739.1799999999999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CANON-202605-006592</t>
        </is>
      </c>
      <c r="B453" s="3" t="inlineStr">
        <is>
          <t>2026-05-29</t>
        </is>
      </c>
      <c r="C453" s="3" t="inlineStr">
        <is>
          <t>Marisol Vasquez</t>
        </is>
      </c>
      <c r="D453" s="3" t="inlineStr">
        <is>
          <t>MA</t>
        </is>
      </c>
      <c r="E453" s="14" t="n">
        <v>460000</v>
      </c>
      <c r="F453" s="14" t="n">
        <v>6323.91</v>
      </c>
      <c r="G453" s="14" t="n">
        <v>790.49</v>
      </c>
      <c r="H453" s="14" t="n">
        <v>790.49</v>
      </c>
      <c r="I453" s="14">
        <f>SUM(K453:T453)</f>
        <v/>
      </c>
      <c r="J453" s="14">
        <f>F453-(G453+H453+I453)</f>
        <v/>
      </c>
      <c r="K453" s="14" t="n">
        <v>474.29</v>
      </c>
      <c r="L453" s="14" t="n">
        <v>474.29</v>
      </c>
      <c r="M453" s="14" t="n">
        <v>474.29</v>
      </c>
      <c r="N453" s="14" t="n">
        <v>474.29</v>
      </c>
      <c r="O453" s="14" t="n">
        <v>474.29</v>
      </c>
      <c r="P453" s="14" t="n">
        <v>474.29</v>
      </c>
      <c r="Q453" s="14" t="n">
        <v>474.29</v>
      </c>
      <c r="R453" s="14" t="n">
        <v>474.29</v>
      </c>
      <c r="S453" s="14" t="n">
        <v>474.29</v>
      </c>
      <c r="T453" s="14" t="n">
        <v>474.29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CANON-202605-006593</t>
        </is>
      </c>
      <c r="B454" s="15" t="inlineStr">
        <is>
          <t>2026-05-09</t>
        </is>
      </c>
      <c r="C454" s="15" t="inlineStr">
        <is>
          <t>Aurelio Harrington</t>
        </is>
      </c>
      <c r="D454" s="15" t="inlineStr">
        <is>
          <t>CA</t>
        </is>
      </c>
      <c r="E454" s="16" t="n">
        <v>365000</v>
      </c>
      <c r="F454" s="16" t="n">
        <v>5419.32</v>
      </c>
      <c r="G454" s="16" t="n">
        <v>677.41</v>
      </c>
      <c r="H454" s="16" t="n">
        <v>677.41</v>
      </c>
      <c r="I454" s="16">
        <f>SUM(K454:T454)</f>
        <v/>
      </c>
      <c r="J454" s="16">
        <f>F454-(G454+H454+I454)</f>
        <v/>
      </c>
      <c r="K454" s="16" t="n">
        <v>406.45</v>
      </c>
      <c r="L454" s="16" t="n">
        <v>406.45</v>
      </c>
      <c r="M454" s="16" t="n">
        <v>406.45</v>
      </c>
      <c r="N454" s="16" t="n">
        <v>406.45</v>
      </c>
      <c r="O454" s="16" t="n">
        <v>406.45</v>
      </c>
      <c r="P454" s="16" t="n">
        <v>406.45</v>
      </c>
      <c r="Q454" s="16" t="n">
        <v>406.45</v>
      </c>
      <c r="R454" s="16" t="n">
        <v>406.45</v>
      </c>
      <c r="S454" s="16" t="n">
        <v>406.45</v>
      </c>
      <c r="T454" s="16" t="n">
        <v>406.45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CANON-202605-006594</t>
        </is>
      </c>
      <c r="B455" s="3" t="inlineStr">
        <is>
          <t>2026-05-05</t>
        </is>
      </c>
      <c r="C455" s="3" t="inlineStr">
        <is>
          <t>Aurelio Thistlewood</t>
        </is>
      </c>
      <c r="D455" s="3" t="inlineStr">
        <is>
          <t>RI</t>
        </is>
      </c>
      <c r="E455" s="14" t="n">
        <v>300000</v>
      </c>
      <c r="F455" s="14" t="n">
        <v>4520.23</v>
      </c>
      <c r="G455" s="14" t="n">
        <v>565.03</v>
      </c>
      <c r="H455" s="14" t="n">
        <v>565.03</v>
      </c>
      <c r="I455" s="14">
        <f>SUM(K455:T455)</f>
        <v/>
      </c>
      <c r="J455" s="14">
        <f>F455-(G455+H455+I455)</f>
        <v/>
      </c>
      <c r="K455" s="14" t="n">
        <v>339.02</v>
      </c>
      <c r="L455" s="14" t="n">
        <v>339.02</v>
      </c>
      <c r="M455" s="14" t="n">
        <v>339.02</v>
      </c>
      <c r="N455" s="14" t="n">
        <v>339.02</v>
      </c>
      <c r="O455" s="14" t="n">
        <v>339.02</v>
      </c>
      <c r="P455" s="14" t="n">
        <v>339.02</v>
      </c>
      <c r="Q455" s="14" t="n">
        <v>339.02</v>
      </c>
      <c r="R455" s="14" t="n">
        <v>339.02</v>
      </c>
      <c r="S455" s="14" t="n">
        <v>339.02</v>
      </c>
      <c r="T455" s="14" t="n">
        <v>339.02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CANON-202605-006596</t>
        </is>
      </c>
      <c r="B456" s="15" t="inlineStr">
        <is>
          <t>2026-05-28</t>
        </is>
      </c>
      <c r="C456" s="15" t="inlineStr">
        <is>
          <t>Lorenzo Whitlock</t>
        </is>
      </c>
      <c r="D456" s="15" t="inlineStr">
        <is>
          <t>OK</t>
        </is>
      </c>
      <c r="E456" s="16" t="n">
        <v>1040000</v>
      </c>
      <c r="F456" s="16" t="n">
        <v>10568.75</v>
      </c>
      <c r="G456" s="16" t="n">
        <v>1321.09</v>
      </c>
      <c r="H456" s="16" t="n">
        <v>1321.09</v>
      </c>
      <c r="I456" s="16">
        <f>SUM(K456:T456)</f>
        <v/>
      </c>
      <c r="J456" s="16">
        <f>F456-(G456+H456+I456)</f>
        <v/>
      </c>
      <c r="K456" s="16" t="n">
        <v>792.66</v>
      </c>
      <c r="L456" s="16" t="n">
        <v>792.66</v>
      </c>
      <c r="M456" s="16" t="n">
        <v>792.66</v>
      </c>
      <c r="N456" s="16" t="n">
        <v>792.66</v>
      </c>
      <c r="O456" s="16" t="n">
        <v>792.66</v>
      </c>
      <c r="P456" s="16" t="n">
        <v>792.66</v>
      </c>
      <c r="Q456" s="16" t="n">
        <v>792.66</v>
      </c>
      <c r="R456" s="16" t="n">
        <v>792.66</v>
      </c>
      <c r="S456" s="16" t="n">
        <v>792.66</v>
      </c>
      <c r="T456" s="16" t="n">
        <v>792.66</v>
      </c>
      <c r="U456" s="16" t="n">
        <v>350</v>
      </c>
      <c r="V456" s="16" t="n">
        <v>250</v>
      </c>
      <c r="W456" s="16">
        <f>U456+V456</f>
        <v/>
      </c>
    </row>
    <row r="457">
      <c r="A457" s="3" t="inlineStr">
        <is>
          <t>CANON-202605-006597</t>
        </is>
      </c>
      <c r="B457" s="3" t="inlineStr">
        <is>
          <t>2026-05-17</t>
        </is>
      </c>
      <c r="C457" s="3" t="inlineStr">
        <is>
          <t>Wilhelmina Blackwood</t>
        </is>
      </c>
      <c r="D457" s="3" t="inlineStr">
        <is>
          <t>FL</t>
        </is>
      </c>
      <c r="E457" s="14" t="n">
        <v>855000</v>
      </c>
      <c r="F457" s="14" t="n">
        <v>11572.44</v>
      </c>
      <c r="G457" s="14" t="n">
        <v>1446.56</v>
      </c>
      <c r="H457" s="14" t="n">
        <v>1446.56</v>
      </c>
      <c r="I457" s="14">
        <f>SUM(K457:T457)</f>
        <v/>
      </c>
      <c r="J457" s="14">
        <f>F457-(G457+H457+I457)</f>
        <v/>
      </c>
      <c r="K457" s="14" t="n">
        <v>867.9299999999999</v>
      </c>
      <c r="L457" s="14" t="n">
        <v>867.9299999999999</v>
      </c>
      <c r="M457" s="14" t="n">
        <v>867.9299999999999</v>
      </c>
      <c r="N457" s="14" t="n">
        <v>867.9299999999999</v>
      </c>
      <c r="O457" s="14" t="n">
        <v>867.9299999999999</v>
      </c>
      <c r="P457" s="14" t="n">
        <v>867.9299999999999</v>
      </c>
      <c r="Q457" s="14" t="n">
        <v>867.9299999999999</v>
      </c>
      <c r="R457" s="14" t="n">
        <v>867.9299999999999</v>
      </c>
      <c r="S457" s="14" t="n">
        <v>867.9299999999999</v>
      </c>
      <c r="T457" s="14" t="n">
        <v>867.9299999999999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CANON-202605-006599</t>
        </is>
      </c>
      <c r="B458" s="15" t="inlineStr">
        <is>
          <t>2026-05-11</t>
        </is>
      </c>
      <c r="C458" s="15" t="inlineStr">
        <is>
          <t>Emiliano Ashcombe</t>
        </is>
      </c>
      <c r="D458" s="15" t="inlineStr">
        <is>
          <t>CA</t>
        </is>
      </c>
      <c r="E458" s="16" t="n">
        <v>960000</v>
      </c>
      <c r="F458" s="16" t="n">
        <v>12353.08</v>
      </c>
      <c r="G458" s="16" t="n">
        <v>1544.13</v>
      </c>
      <c r="H458" s="16" t="n">
        <v>1544.13</v>
      </c>
      <c r="I458" s="16">
        <f>SUM(K458:T458)</f>
        <v/>
      </c>
      <c r="J458" s="16">
        <f>F458-(G458+H458+I458)</f>
        <v/>
      </c>
      <c r="K458" s="16" t="n">
        <v>926.48</v>
      </c>
      <c r="L458" s="16" t="n">
        <v>926.48</v>
      </c>
      <c r="M458" s="16" t="n">
        <v>926.48</v>
      </c>
      <c r="N458" s="16" t="n">
        <v>926.48</v>
      </c>
      <c r="O458" s="16" t="n">
        <v>926.48</v>
      </c>
      <c r="P458" s="16" t="n">
        <v>926.48</v>
      </c>
      <c r="Q458" s="16" t="n">
        <v>926.48</v>
      </c>
      <c r="R458" s="16" t="n">
        <v>926.48</v>
      </c>
      <c r="S458" s="16" t="n">
        <v>926.48</v>
      </c>
      <c r="T458" s="16" t="n">
        <v>926.48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CANON-202605-006600</t>
        </is>
      </c>
      <c r="B459" s="3" t="inlineStr">
        <is>
          <t>2026-05-27</t>
        </is>
      </c>
      <c r="C459" s="3" t="inlineStr">
        <is>
          <t>Sunniva Blackwood</t>
        </is>
      </c>
      <c r="D459" s="3" t="inlineStr">
        <is>
          <t>IL</t>
        </is>
      </c>
      <c r="E459" s="14" t="n">
        <v>1020000</v>
      </c>
      <c r="F459" s="14" t="n">
        <v>11188.16</v>
      </c>
      <c r="G459" s="14" t="n">
        <v>1398.52</v>
      </c>
      <c r="H459" s="14" t="n">
        <v>1398.52</v>
      </c>
      <c r="I459" s="14">
        <f>SUM(K459:T459)</f>
        <v/>
      </c>
      <c r="J459" s="14">
        <f>F459-(G459+H459+I459)</f>
        <v/>
      </c>
      <c r="K459" s="14" t="n">
        <v>839.11</v>
      </c>
      <c r="L459" s="14" t="n">
        <v>839.11</v>
      </c>
      <c r="M459" s="14" t="n">
        <v>839.11</v>
      </c>
      <c r="N459" s="14" t="n">
        <v>839.11</v>
      </c>
      <c r="O459" s="14" t="n">
        <v>839.11</v>
      </c>
      <c r="P459" s="14" t="n">
        <v>839.11</v>
      </c>
      <c r="Q459" s="14" t="n">
        <v>839.11</v>
      </c>
      <c r="R459" s="14" t="n">
        <v>839.11</v>
      </c>
      <c r="S459" s="14" t="n">
        <v>839.11</v>
      </c>
      <c r="T459" s="14" t="n">
        <v>839.11</v>
      </c>
      <c r="U459" s="14" t="n">
        <v>350</v>
      </c>
      <c r="V459" s="14" t="n">
        <v>250</v>
      </c>
      <c r="W459" s="14">
        <f>U459+V459</f>
        <v/>
      </c>
    </row>
    <row r="460">
      <c r="A460" s="15" t="inlineStr">
        <is>
          <t>CANON-202605-006601</t>
        </is>
      </c>
      <c r="B460" s="15" t="inlineStr">
        <is>
          <t>2026-05-17</t>
        </is>
      </c>
      <c r="C460" s="15" t="inlineStr">
        <is>
          <t>Aurelio Farkas</t>
        </is>
      </c>
      <c r="D460" s="15" t="inlineStr">
        <is>
          <t>MA</t>
        </is>
      </c>
      <c r="E460" s="16" t="n">
        <v>500000</v>
      </c>
      <c r="F460" s="16" t="n">
        <v>7148.77</v>
      </c>
      <c r="G460" s="16" t="n">
        <v>893.6</v>
      </c>
      <c r="H460" s="16" t="n">
        <v>893.6</v>
      </c>
      <c r="I460" s="16">
        <f>SUM(K460:T460)</f>
        <v/>
      </c>
      <c r="J460" s="16">
        <f>F460-(G460+H460+I460)</f>
        <v/>
      </c>
      <c r="K460" s="16" t="n">
        <v>536.16</v>
      </c>
      <c r="L460" s="16" t="n">
        <v>536.16</v>
      </c>
      <c r="M460" s="16" t="n">
        <v>536.16</v>
      </c>
      <c r="N460" s="16" t="n">
        <v>536.16</v>
      </c>
      <c r="O460" s="16" t="n">
        <v>536.16</v>
      </c>
      <c r="P460" s="16" t="n">
        <v>536.16</v>
      </c>
      <c r="Q460" s="16" t="n">
        <v>536.16</v>
      </c>
      <c r="R460" s="16" t="n">
        <v>536.16</v>
      </c>
      <c r="S460" s="16" t="n">
        <v>536.16</v>
      </c>
      <c r="T460" s="16" t="n">
        <v>536.16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CANON-202605-006602</t>
        </is>
      </c>
      <c r="B461" s="3" t="inlineStr">
        <is>
          <t>2026-05-21</t>
        </is>
      </c>
      <c r="C461" s="3" t="inlineStr">
        <is>
          <t>Emiliano Underwood</t>
        </is>
      </c>
      <c r="D461" s="3" t="inlineStr">
        <is>
          <t>MA</t>
        </is>
      </c>
      <c r="E461" s="14" t="n">
        <v>1595000</v>
      </c>
      <c r="F461" s="14" t="n">
        <v>16080.16</v>
      </c>
      <c r="G461" s="14" t="n">
        <v>2010.02</v>
      </c>
      <c r="H461" s="14" t="n">
        <v>2010.02</v>
      </c>
      <c r="I461" s="14">
        <f>SUM(K461:T461)</f>
        <v/>
      </c>
      <c r="J461" s="14">
        <f>F461-(G461+H461+I461)</f>
        <v/>
      </c>
      <c r="K461" s="14" t="n">
        <v>1206.01</v>
      </c>
      <c r="L461" s="14" t="n">
        <v>1206.01</v>
      </c>
      <c r="M461" s="14" t="n">
        <v>1206.01</v>
      </c>
      <c r="N461" s="14" t="n">
        <v>1206.01</v>
      </c>
      <c r="O461" s="14" t="n">
        <v>1206.01</v>
      </c>
      <c r="P461" s="14" t="n">
        <v>1206.01</v>
      </c>
      <c r="Q461" s="14" t="n">
        <v>1206.01</v>
      </c>
      <c r="R461" s="14" t="n">
        <v>1206.01</v>
      </c>
      <c r="S461" s="14" t="n">
        <v>1206.01</v>
      </c>
      <c r="T461" s="14" t="n">
        <v>1206.01</v>
      </c>
      <c r="U461" s="14" t="n">
        <v>350</v>
      </c>
      <c r="V461" s="14" t="n">
        <v>250</v>
      </c>
      <c r="W461" s="14">
        <f>U461+V461</f>
        <v/>
      </c>
    </row>
    <row r="462">
      <c r="A462" s="15" t="inlineStr">
        <is>
          <t>CANON-202605-006603</t>
        </is>
      </c>
      <c r="B462" s="15" t="inlineStr">
        <is>
          <t>2026-05-04</t>
        </is>
      </c>
      <c r="C462" s="15" t="inlineStr">
        <is>
          <t>Fenwick Underwood</t>
        </is>
      </c>
      <c r="D462" s="15" t="inlineStr">
        <is>
          <t>WA</t>
        </is>
      </c>
      <c r="E462" s="16" t="n">
        <v>535000</v>
      </c>
      <c r="F462" s="16" t="n">
        <v>3238.55</v>
      </c>
      <c r="G462" s="16" t="n">
        <v>404.82</v>
      </c>
      <c r="H462" s="16" t="n">
        <v>404.82</v>
      </c>
      <c r="I462" s="16">
        <f>SUM(K462:T462)</f>
        <v/>
      </c>
      <c r="J462" s="16">
        <f>F462-(G462+H462+I462)</f>
        <v/>
      </c>
      <c r="K462" s="16" t="n">
        <v>242.89</v>
      </c>
      <c r="L462" s="16" t="n">
        <v>242.89</v>
      </c>
      <c r="M462" s="16" t="n">
        <v>242.89</v>
      </c>
      <c r="N462" s="16" t="n">
        <v>242.89</v>
      </c>
      <c r="O462" s="16" t="n">
        <v>242.89</v>
      </c>
      <c r="P462" s="16" t="n">
        <v>242.89</v>
      </c>
      <c r="Q462" s="16" t="n">
        <v>242.89</v>
      </c>
      <c r="R462" s="16" t="n">
        <v>242.89</v>
      </c>
      <c r="S462" s="16" t="n">
        <v>242.89</v>
      </c>
      <c r="T462" s="16" t="n">
        <v>242.89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CANON-202605-006604</t>
        </is>
      </c>
      <c r="B463" s="3" t="inlineStr">
        <is>
          <t>2026-05-13</t>
        </is>
      </c>
      <c r="C463" s="3" t="inlineStr">
        <is>
          <t>Priya Kingsford</t>
        </is>
      </c>
      <c r="D463" s="3" t="inlineStr">
        <is>
          <t>CA</t>
        </is>
      </c>
      <c r="E463" s="14" t="n">
        <v>1615000</v>
      </c>
      <c r="F463" s="14" t="n">
        <v>25577.21</v>
      </c>
      <c r="G463" s="14" t="n">
        <v>3197.15</v>
      </c>
      <c r="H463" s="14" t="n">
        <v>3197.15</v>
      </c>
      <c r="I463" s="14">
        <f>SUM(K463:T463)</f>
        <v/>
      </c>
      <c r="J463" s="14">
        <f>F463-(G463+H463+I463)</f>
        <v/>
      </c>
      <c r="K463" s="14" t="n">
        <v>1918.29</v>
      </c>
      <c r="L463" s="14" t="n">
        <v>1918.29</v>
      </c>
      <c r="M463" s="14" t="n">
        <v>1918.29</v>
      </c>
      <c r="N463" s="14" t="n">
        <v>1918.29</v>
      </c>
      <c r="O463" s="14" t="n">
        <v>1918.29</v>
      </c>
      <c r="P463" s="14" t="n">
        <v>1918.29</v>
      </c>
      <c r="Q463" s="14" t="n">
        <v>1918.29</v>
      </c>
      <c r="R463" s="14" t="n">
        <v>1918.29</v>
      </c>
      <c r="S463" s="14" t="n">
        <v>1918.29</v>
      </c>
      <c r="T463" s="14" t="n">
        <v>1918.29</v>
      </c>
      <c r="U463" s="14" t="n">
        <v>350</v>
      </c>
      <c r="V463" s="14" t="n">
        <v>250</v>
      </c>
      <c r="W463" s="14">
        <f>U463+V463</f>
        <v/>
      </c>
    </row>
    <row r="464">
      <c r="A464" s="15" t="inlineStr">
        <is>
          <t>CANON-202605-006605</t>
        </is>
      </c>
      <c r="B464" s="15" t="inlineStr">
        <is>
          <t>2026-05-31</t>
        </is>
      </c>
      <c r="C464" s="15" t="inlineStr">
        <is>
          <t>Priya Larsson</t>
        </is>
      </c>
      <c r="D464" s="15" t="inlineStr">
        <is>
          <t>MO</t>
        </is>
      </c>
      <c r="E464" s="16" t="n">
        <v>1320000</v>
      </c>
      <c r="F464" s="16" t="n">
        <v>11284.94</v>
      </c>
      <c r="G464" s="16" t="n">
        <v>1410.62</v>
      </c>
      <c r="H464" s="16" t="n">
        <v>1410.62</v>
      </c>
      <c r="I464" s="16">
        <f>SUM(K464:T464)</f>
        <v/>
      </c>
      <c r="J464" s="16">
        <f>F464-(G464+H464+I464)</f>
        <v/>
      </c>
      <c r="K464" s="16" t="n">
        <v>846.37</v>
      </c>
      <c r="L464" s="16" t="n">
        <v>846.37</v>
      </c>
      <c r="M464" s="16" t="n">
        <v>846.37</v>
      </c>
      <c r="N464" s="16" t="n">
        <v>846.37</v>
      </c>
      <c r="O464" s="16" t="n">
        <v>846.37</v>
      </c>
      <c r="P464" s="16" t="n">
        <v>846.37</v>
      </c>
      <c r="Q464" s="16" t="n">
        <v>846.37</v>
      </c>
      <c r="R464" s="16" t="n">
        <v>846.37</v>
      </c>
      <c r="S464" s="16" t="n">
        <v>846.37</v>
      </c>
      <c r="T464" s="16" t="n">
        <v>846.37</v>
      </c>
      <c r="U464" s="16" t="n">
        <v>350</v>
      </c>
      <c r="V464" s="16" t="n">
        <v>250</v>
      </c>
      <c r="W464" s="16">
        <f>U464+V464</f>
        <v/>
      </c>
    </row>
    <row r="465">
      <c r="A465" s="3" t="inlineStr">
        <is>
          <t>CANON-202605-006606</t>
        </is>
      </c>
      <c r="B465" s="3" t="inlineStr">
        <is>
          <t>2026-05-01</t>
        </is>
      </c>
      <c r="C465" s="3" t="inlineStr">
        <is>
          <t>Callum Chattopadhyay</t>
        </is>
      </c>
      <c r="D465" s="3" t="inlineStr">
        <is>
          <t>SC</t>
        </is>
      </c>
      <c r="E465" s="14" t="n">
        <v>1380000</v>
      </c>
      <c r="F465" s="14" t="n">
        <v>13801.32</v>
      </c>
      <c r="G465" s="14" t="n">
        <v>1725.16</v>
      </c>
      <c r="H465" s="14" t="n">
        <v>1725.16</v>
      </c>
      <c r="I465" s="14">
        <f>SUM(K465:T465)</f>
        <v/>
      </c>
      <c r="J465" s="14">
        <f>F465-(G465+H465+I465)</f>
        <v/>
      </c>
      <c r="K465" s="14" t="n">
        <v>1035.1</v>
      </c>
      <c r="L465" s="14" t="n">
        <v>1035.1</v>
      </c>
      <c r="M465" s="14" t="n">
        <v>1035.1</v>
      </c>
      <c r="N465" s="14" t="n">
        <v>1035.1</v>
      </c>
      <c r="O465" s="14" t="n">
        <v>1035.1</v>
      </c>
      <c r="P465" s="14" t="n">
        <v>1035.1</v>
      </c>
      <c r="Q465" s="14" t="n">
        <v>1035.1</v>
      </c>
      <c r="R465" s="14" t="n">
        <v>1035.1</v>
      </c>
      <c r="S465" s="14" t="n">
        <v>1035.1</v>
      </c>
      <c r="T465" s="14" t="n">
        <v>1035.1</v>
      </c>
      <c r="U465" s="14" t="n">
        <v>350</v>
      </c>
      <c r="V465" s="14" t="n">
        <v>250</v>
      </c>
      <c r="W465" s="14">
        <f>U465+V465</f>
        <v/>
      </c>
    </row>
    <row r="466">
      <c r="A466" s="15" t="inlineStr">
        <is>
          <t>CANON-202605-006607</t>
        </is>
      </c>
      <c r="B466" s="15" t="inlineStr">
        <is>
          <t>2026-05-15</t>
        </is>
      </c>
      <c r="C466" s="15" t="inlineStr">
        <is>
          <t>Ottilie Chattopadhyay</t>
        </is>
      </c>
      <c r="D466" s="15" t="inlineStr">
        <is>
          <t>GA</t>
        </is>
      </c>
      <c r="E466" s="16" t="n">
        <v>675000</v>
      </c>
      <c r="F466" s="16" t="n">
        <v>7205.97</v>
      </c>
      <c r="G466" s="16" t="n">
        <v>900.75</v>
      </c>
      <c r="H466" s="16" t="n">
        <v>900.75</v>
      </c>
      <c r="I466" s="16">
        <f>SUM(K466:T466)</f>
        <v/>
      </c>
      <c r="J466" s="16">
        <f>F466-(G466+H466+I466)</f>
        <v/>
      </c>
      <c r="K466" s="16" t="n">
        <v>540.45</v>
      </c>
      <c r="L466" s="16" t="n">
        <v>540.45</v>
      </c>
      <c r="M466" s="16" t="n">
        <v>540.45</v>
      </c>
      <c r="N466" s="16" t="n">
        <v>540.45</v>
      </c>
      <c r="O466" s="16" t="n">
        <v>540.45</v>
      </c>
      <c r="P466" s="16" t="n">
        <v>540.45</v>
      </c>
      <c r="Q466" s="16" t="n">
        <v>540.45</v>
      </c>
      <c r="R466" s="16" t="n">
        <v>540.45</v>
      </c>
      <c r="S466" s="16" t="n">
        <v>540.45</v>
      </c>
      <c r="T466" s="16" t="n">
        <v>540.45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CANON-202605-006608</t>
        </is>
      </c>
      <c r="B467" s="3" t="inlineStr">
        <is>
          <t>2026-05-23</t>
        </is>
      </c>
      <c r="C467" s="3" t="inlineStr">
        <is>
          <t>Ingrid Okonkwo</t>
        </is>
      </c>
      <c r="D467" s="3" t="inlineStr">
        <is>
          <t>NY</t>
        </is>
      </c>
      <c r="E467" s="14" t="n">
        <v>1950000</v>
      </c>
      <c r="F467" s="14" t="n">
        <v>29281.38</v>
      </c>
      <c r="G467" s="14" t="n">
        <v>3660.17</v>
      </c>
      <c r="H467" s="14" t="n">
        <v>3660.17</v>
      </c>
      <c r="I467" s="14">
        <f>SUM(K467:T467)</f>
        <v/>
      </c>
      <c r="J467" s="14">
        <f>F467-(G467+H467+I467)</f>
        <v/>
      </c>
      <c r="K467" s="14" t="n">
        <v>2196.1</v>
      </c>
      <c r="L467" s="14" t="n">
        <v>2196.1</v>
      </c>
      <c r="M467" s="14" t="n">
        <v>2196.1</v>
      </c>
      <c r="N467" s="14" t="n">
        <v>2196.1</v>
      </c>
      <c r="O467" s="14" t="n">
        <v>2196.1</v>
      </c>
      <c r="P467" s="14" t="n">
        <v>2196.1</v>
      </c>
      <c r="Q467" s="14" t="n">
        <v>2196.1</v>
      </c>
      <c r="R467" s="14" t="n">
        <v>2196.1</v>
      </c>
      <c r="S467" s="14" t="n">
        <v>2196.1</v>
      </c>
      <c r="T467" s="14" t="n">
        <v>2196.1</v>
      </c>
      <c r="U467" s="14" t="n">
        <v>350</v>
      </c>
      <c r="V467" s="14" t="n">
        <v>250</v>
      </c>
      <c r="W467" s="14">
        <f>U467+V467</f>
        <v/>
      </c>
    </row>
    <row r="468">
      <c r="A468" s="15" t="inlineStr">
        <is>
          <t>CANON-202605-006609</t>
        </is>
      </c>
      <c r="B468" s="15" t="inlineStr">
        <is>
          <t>2026-05-22</t>
        </is>
      </c>
      <c r="C468" s="15" t="inlineStr">
        <is>
          <t>Anouk Fairweather</t>
        </is>
      </c>
      <c r="D468" s="15" t="inlineStr">
        <is>
          <t>NM</t>
        </is>
      </c>
      <c r="E468" s="16" t="n">
        <v>940000</v>
      </c>
      <c r="F468" s="16" t="n">
        <v>11468.54</v>
      </c>
      <c r="G468" s="16" t="n">
        <v>1433.57</v>
      </c>
      <c r="H468" s="16" t="n">
        <v>1433.57</v>
      </c>
      <c r="I468" s="16">
        <f>SUM(K468:T468)</f>
        <v/>
      </c>
      <c r="J468" s="16">
        <f>F468-(G468+H468+I468)</f>
        <v/>
      </c>
      <c r="K468" s="16" t="n">
        <v>860.14</v>
      </c>
      <c r="L468" s="16" t="n">
        <v>860.14</v>
      </c>
      <c r="M468" s="16" t="n">
        <v>860.14</v>
      </c>
      <c r="N468" s="16" t="n">
        <v>860.14</v>
      </c>
      <c r="O468" s="16" t="n">
        <v>860.14</v>
      </c>
      <c r="P468" s="16" t="n">
        <v>860.14</v>
      </c>
      <c r="Q468" s="16" t="n">
        <v>860.14</v>
      </c>
      <c r="R468" s="16" t="n">
        <v>860.14</v>
      </c>
      <c r="S468" s="16" t="n">
        <v>860.14</v>
      </c>
      <c r="T468" s="16" t="n">
        <v>860.14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CANON-202605-006610</t>
        </is>
      </c>
      <c r="B469" s="3" t="inlineStr">
        <is>
          <t>2026-05-05</t>
        </is>
      </c>
      <c r="C469" s="3" t="inlineStr">
        <is>
          <t>Fitzgerald Rourke</t>
        </is>
      </c>
      <c r="D469" s="3" t="inlineStr">
        <is>
          <t>VA</t>
        </is>
      </c>
      <c r="E469" s="14" t="n">
        <v>365000</v>
      </c>
      <c r="F469" s="14" t="n">
        <v>4375.6</v>
      </c>
      <c r="G469" s="14" t="n">
        <v>546.95</v>
      </c>
      <c r="H469" s="14" t="n">
        <v>546.95</v>
      </c>
      <c r="I469" s="14">
        <f>SUM(K469:T469)</f>
        <v/>
      </c>
      <c r="J469" s="14">
        <f>F469-(G469+H469+I469)</f>
        <v/>
      </c>
      <c r="K469" s="14" t="n">
        <v>328.17</v>
      </c>
      <c r="L469" s="14" t="n">
        <v>328.17</v>
      </c>
      <c r="M469" s="14" t="n">
        <v>328.17</v>
      </c>
      <c r="N469" s="14" t="n">
        <v>328.17</v>
      </c>
      <c r="O469" s="14" t="n">
        <v>328.17</v>
      </c>
      <c r="P469" s="14" t="n">
        <v>328.17</v>
      </c>
      <c r="Q469" s="14" t="n">
        <v>328.17</v>
      </c>
      <c r="R469" s="14" t="n">
        <v>328.17</v>
      </c>
      <c r="S469" s="14" t="n">
        <v>328.17</v>
      </c>
      <c r="T469" s="14" t="n">
        <v>328.17</v>
      </c>
      <c r="U469" s="14" t="n">
        <v>350</v>
      </c>
      <c r="V469" s="14" t="n">
        <v>0</v>
      </c>
      <c r="W469" s="14">
        <f>U469+V469</f>
        <v/>
      </c>
    </row>
    <row r="470">
      <c r="A470" s="15" t="inlineStr">
        <is>
          <t>CANON-202605-006612</t>
        </is>
      </c>
      <c r="B470" s="15" t="inlineStr">
        <is>
          <t>2026-05-12</t>
        </is>
      </c>
      <c r="C470" s="15" t="inlineStr">
        <is>
          <t>Sunniva Okonkwo</t>
        </is>
      </c>
      <c r="D470" s="15" t="inlineStr">
        <is>
          <t>VT</t>
        </is>
      </c>
      <c r="E470" s="16" t="n">
        <v>1950000</v>
      </c>
      <c r="F470" s="16" t="n">
        <v>27908.81</v>
      </c>
      <c r="G470" s="16" t="n">
        <v>3488.6</v>
      </c>
      <c r="H470" s="16" t="n">
        <v>3488.6</v>
      </c>
      <c r="I470" s="16">
        <f>SUM(K470:T470)</f>
        <v/>
      </c>
      <c r="J470" s="16">
        <f>F470-(G470+H470+I470)</f>
        <v/>
      </c>
      <c r="K470" s="16" t="n">
        <v>2093.16</v>
      </c>
      <c r="L470" s="16" t="n">
        <v>2093.16</v>
      </c>
      <c r="M470" s="16" t="n">
        <v>2093.16</v>
      </c>
      <c r="N470" s="16" t="n">
        <v>2093.16</v>
      </c>
      <c r="O470" s="16" t="n">
        <v>2093.16</v>
      </c>
      <c r="P470" s="16" t="n">
        <v>2093.16</v>
      </c>
      <c r="Q470" s="16" t="n">
        <v>2093.16</v>
      </c>
      <c r="R470" s="16" t="n">
        <v>2093.16</v>
      </c>
      <c r="S470" s="16" t="n">
        <v>2093.16</v>
      </c>
      <c r="T470" s="16" t="n">
        <v>2093.16</v>
      </c>
      <c r="U470" s="16" t="n">
        <v>350</v>
      </c>
      <c r="V470" s="16" t="n">
        <v>250</v>
      </c>
      <c r="W470" s="16">
        <f>U470+V470</f>
        <v/>
      </c>
    </row>
    <row r="471">
      <c r="A471" s="3" t="inlineStr">
        <is>
          <t>CANON-202605-006613</t>
        </is>
      </c>
      <c r="B471" s="3" t="inlineStr">
        <is>
          <t>2026-05-20</t>
        </is>
      </c>
      <c r="C471" s="3" t="inlineStr">
        <is>
          <t>Ramona Castellanos</t>
        </is>
      </c>
      <c r="D471" s="3" t="inlineStr">
        <is>
          <t>IA</t>
        </is>
      </c>
      <c r="E471" s="14" t="n">
        <v>470000</v>
      </c>
      <c r="F471" s="14" t="n">
        <v>5686.03</v>
      </c>
      <c r="G471" s="14" t="n">
        <v>710.75</v>
      </c>
      <c r="H471" s="14" t="n">
        <v>710.75</v>
      </c>
      <c r="I471" s="14">
        <f>SUM(K471:T471)</f>
        <v/>
      </c>
      <c r="J471" s="14">
        <f>F471-(G471+H471+I471)</f>
        <v/>
      </c>
      <c r="K471" s="14" t="n">
        <v>426.45</v>
      </c>
      <c r="L471" s="14" t="n">
        <v>426.45</v>
      </c>
      <c r="M471" s="14" t="n">
        <v>426.45</v>
      </c>
      <c r="N471" s="14" t="n">
        <v>426.45</v>
      </c>
      <c r="O471" s="14" t="n">
        <v>426.45</v>
      </c>
      <c r="P471" s="14" t="n">
        <v>426.45</v>
      </c>
      <c r="Q471" s="14" t="n">
        <v>426.45</v>
      </c>
      <c r="R471" s="14" t="n">
        <v>426.45</v>
      </c>
      <c r="S471" s="14" t="n">
        <v>426.45</v>
      </c>
      <c r="T471" s="14" t="n">
        <v>426.45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CANON-202605-006615</t>
        </is>
      </c>
      <c r="B472" s="15" t="inlineStr">
        <is>
          <t>2026-05-08</t>
        </is>
      </c>
      <c r="C472" s="15" t="inlineStr">
        <is>
          <t>Delphine Vandermeer</t>
        </is>
      </c>
      <c r="D472" s="15" t="inlineStr">
        <is>
          <t>KS</t>
        </is>
      </c>
      <c r="E472" s="16" t="n">
        <v>1225000</v>
      </c>
      <c r="F472" s="16" t="n">
        <v>9583.58</v>
      </c>
      <c r="G472" s="16" t="n">
        <v>1197.95</v>
      </c>
      <c r="H472" s="16" t="n">
        <v>1197.95</v>
      </c>
      <c r="I472" s="16">
        <f>SUM(K472:T472)</f>
        <v/>
      </c>
      <c r="J472" s="16">
        <f>F472-(G472+H472+I472)</f>
        <v/>
      </c>
      <c r="K472" s="16" t="n">
        <v>718.77</v>
      </c>
      <c r="L472" s="16" t="n">
        <v>718.77</v>
      </c>
      <c r="M472" s="16" t="n">
        <v>718.77</v>
      </c>
      <c r="N472" s="16" t="n">
        <v>718.77</v>
      </c>
      <c r="O472" s="16" t="n">
        <v>718.77</v>
      </c>
      <c r="P472" s="16" t="n">
        <v>718.77</v>
      </c>
      <c r="Q472" s="16" t="n">
        <v>718.77</v>
      </c>
      <c r="R472" s="16" t="n">
        <v>718.77</v>
      </c>
      <c r="S472" s="16" t="n">
        <v>718.77</v>
      </c>
      <c r="T472" s="16" t="n">
        <v>718.77</v>
      </c>
      <c r="U472" s="16" t="n">
        <v>350</v>
      </c>
      <c r="V472" s="16" t="n">
        <v>250</v>
      </c>
      <c r="W472" s="16">
        <f>U472+V472</f>
        <v/>
      </c>
    </row>
    <row r="473">
      <c r="A473" s="3" t="inlineStr">
        <is>
          <t>CANON-202605-006617</t>
        </is>
      </c>
      <c r="B473" s="3" t="inlineStr">
        <is>
          <t>2026-05-26</t>
        </is>
      </c>
      <c r="C473" s="3" t="inlineStr">
        <is>
          <t>Noor Ashcombe</t>
        </is>
      </c>
      <c r="D473" s="3" t="inlineStr">
        <is>
          <t>DE</t>
        </is>
      </c>
      <c r="E473" s="14" t="n">
        <v>475000</v>
      </c>
      <c r="F473" s="14" t="n">
        <v>6530.13</v>
      </c>
      <c r="G473" s="14" t="n">
        <v>816.27</v>
      </c>
      <c r="H473" s="14" t="n">
        <v>816.27</v>
      </c>
      <c r="I473" s="14">
        <f>SUM(K473:T473)</f>
        <v/>
      </c>
      <c r="J473" s="14">
        <f>F473-(G473+H473+I473)</f>
        <v/>
      </c>
      <c r="K473" s="14" t="n">
        <v>489.76</v>
      </c>
      <c r="L473" s="14" t="n">
        <v>489.76</v>
      </c>
      <c r="M473" s="14" t="n">
        <v>489.76</v>
      </c>
      <c r="N473" s="14" t="n">
        <v>489.76</v>
      </c>
      <c r="O473" s="14" t="n">
        <v>489.76</v>
      </c>
      <c r="P473" s="14" t="n">
        <v>489.76</v>
      </c>
      <c r="Q473" s="14" t="n">
        <v>489.76</v>
      </c>
      <c r="R473" s="14" t="n">
        <v>489.76</v>
      </c>
      <c r="S473" s="14" t="n">
        <v>489.76</v>
      </c>
      <c r="T473" s="14" t="n">
        <v>489.76</v>
      </c>
      <c r="U473" s="14" t="n">
        <v>350</v>
      </c>
      <c r="V473" s="14" t="n">
        <v>0</v>
      </c>
      <c r="W473" s="14">
        <f>U473+V473</f>
        <v/>
      </c>
    </row>
    <row r="474">
      <c r="A474" s="15" t="inlineStr">
        <is>
          <t>CANON-202605-006618</t>
        </is>
      </c>
      <c r="B474" s="15" t="inlineStr">
        <is>
          <t>2026-05-10</t>
        </is>
      </c>
      <c r="C474" s="15" t="inlineStr">
        <is>
          <t>Leopold Thistlewood</t>
        </is>
      </c>
      <c r="D474" s="15" t="inlineStr">
        <is>
          <t>AR</t>
        </is>
      </c>
      <c r="E474" s="16" t="n">
        <v>925000</v>
      </c>
      <c r="F474" s="16" t="n">
        <v>8049.08</v>
      </c>
      <c r="G474" s="16" t="n">
        <v>1006.13</v>
      </c>
      <c r="H474" s="16" t="n">
        <v>1006.13</v>
      </c>
      <c r="I474" s="16">
        <f>SUM(K474:T474)</f>
        <v/>
      </c>
      <c r="J474" s="16">
        <f>F474-(G474+H474+I474)</f>
        <v/>
      </c>
      <c r="K474" s="16" t="n">
        <v>603.6799999999999</v>
      </c>
      <c r="L474" s="16" t="n">
        <v>603.6799999999999</v>
      </c>
      <c r="M474" s="16" t="n">
        <v>603.6799999999999</v>
      </c>
      <c r="N474" s="16" t="n">
        <v>603.6799999999999</v>
      </c>
      <c r="O474" s="16" t="n">
        <v>603.6799999999999</v>
      </c>
      <c r="P474" s="16" t="n">
        <v>603.6799999999999</v>
      </c>
      <c r="Q474" s="16" t="n">
        <v>603.6799999999999</v>
      </c>
      <c r="R474" s="16" t="n">
        <v>603.6799999999999</v>
      </c>
      <c r="S474" s="16" t="n">
        <v>603.6799999999999</v>
      </c>
      <c r="T474" s="16" t="n">
        <v>603.6799999999999</v>
      </c>
      <c r="U474" s="16" t="n">
        <v>350</v>
      </c>
      <c r="V474" s="16" t="n">
        <v>0</v>
      </c>
      <c r="W474" s="16">
        <f>U474+V474</f>
        <v/>
      </c>
    </row>
    <row r="475">
      <c r="A475" s="3" t="inlineStr">
        <is>
          <t>CANON-202605-006619</t>
        </is>
      </c>
      <c r="B475" s="3" t="inlineStr">
        <is>
          <t>2026-05-25</t>
        </is>
      </c>
      <c r="C475" s="3" t="inlineStr">
        <is>
          <t>Everett Bellandi</t>
        </is>
      </c>
      <c r="D475" s="3" t="inlineStr">
        <is>
          <t>TX</t>
        </is>
      </c>
      <c r="E475" s="14" t="n">
        <v>900000</v>
      </c>
      <c r="F475" s="14" t="n">
        <v>9865.309999999999</v>
      </c>
      <c r="G475" s="14" t="n">
        <v>1233.16</v>
      </c>
      <c r="H475" s="14" t="n">
        <v>1233.16</v>
      </c>
      <c r="I475" s="14">
        <f>SUM(K475:T475)</f>
        <v/>
      </c>
      <c r="J475" s="14">
        <f>F475-(G475+H475+I475)</f>
        <v/>
      </c>
      <c r="K475" s="14" t="n">
        <v>739.9</v>
      </c>
      <c r="L475" s="14" t="n">
        <v>739.9</v>
      </c>
      <c r="M475" s="14" t="n">
        <v>739.9</v>
      </c>
      <c r="N475" s="14" t="n">
        <v>739.9</v>
      </c>
      <c r="O475" s="14" t="n">
        <v>739.9</v>
      </c>
      <c r="P475" s="14" t="n">
        <v>739.9</v>
      </c>
      <c r="Q475" s="14" t="n">
        <v>739.9</v>
      </c>
      <c r="R475" s="14" t="n">
        <v>739.9</v>
      </c>
      <c r="S475" s="14" t="n">
        <v>739.9</v>
      </c>
      <c r="T475" s="14" t="n">
        <v>739.9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CANON-202605-006620</t>
        </is>
      </c>
      <c r="B476" s="15" t="inlineStr">
        <is>
          <t>2026-05-06</t>
        </is>
      </c>
      <c r="C476" s="15" t="inlineStr">
        <is>
          <t>Ottilie Vasquez</t>
        </is>
      </c>
      <c r="D476" s="15" t="inlineStr">
        <is>
          <t>PA</t>
        </is>
      </c>
      <c r="E476" s="16" t="n">
        <v>840000</v>
      </c>
      <c r="F476" s="16" t="n">
        <v>8006.63</v>
      </c>
      <c r="G476" s="16" t="n">
        <v>1000.83</v>
      </c>
      <c r="H476" s="16" t="n">
        <v>1000.83</v>
      </c>
      <c r="I476" s="16">
        <f>SUM(K476:T476)</f>
        <v/>
      </c>
      <c r="J476" s="16">
        <f>F476-(G476+H476+I476)</f>
        <v/>
      </c>
      <c r="K476" s="16" t="n">
        <v>600.5</v>
      </c>
      <c r="L476" s="16" t="n">
        <v>600.5</v>
      </c>
      <c r="M476" s="16" t="n">
        <v>600.5</v>
      </c>
      <c r="N476" s="16" t="n">
        <v>600.5</v>
      </c>
      <c r="O476" s="16" t="n">
        <v>600.5</v>
      </c>
      <c r="P476" s="16" t="n">
        <v>600.5</v>
      </c>
      <c r="Q476" s="16" t="n">
        <v>600.5</v>
      </c>
      <c r="R476" s="16" t="n">
        <v>600.5</v>
      </c>
      <c r="S476" s="16" t="n">
        <v>600.5</v>
      </c>
      <c r="T476" s="16" t="n">
        <v>600.5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CANON-202605-006621</t>
        </is>
      </c>
      <c r="B477" s="3" t="inlineStr">
        <is>
          <t>2026-05-15</t>
        </is>
      </c>
      <c r="C477" s="3" t="inlineStr">
        <is>
          <t>Delphine Ashcombe</t>
        </is>
      </c>
      <c r="D477" s="3" t="inlineStr">
        <is>
          <t>WY</t>
        </is>
      </c>
      <c r="E477" s="14" t="n">
        <v>945000</v>
      </c>
      <c r="F477" s="14" t="n">
        <v>5634.51</v>
      </c>
      <c r="G477" s="14" t="n">
        <v>704.3099999999999</v>
      </c>
      <c r="H477" s="14" t="n">
        <v>704.3099999999999</v>
      </c>
      <c r="I477" s="14">
        <f>SUM(K477:T477)</f>
        <v/>
      </c>
      <c r="J477" s="14">
        <f>F477-(G477+H477+I477)</f>
        <v/>
      </c>
      <c r="K477" s="14" t="n">
        <v>422.59</v>
      </c>
      <c r="L477" s="14" t="n">
        <v>422.59</v>
      </c>
      <c r="M477" s="14" t="n">
        <v>422.59</v>
      </c>
      <c r="N477" s="14" t="n">
        <v>422.59</v>
      </c>
      <c r="O477" s="14" t="n">
        <v>422.59</v>
      </c>
      <c r="P477" s="14" t="n">
        <v>422.59</v>
      </c>
      <c r="Q477" s="14" t="n">
        <v>422.59</v>
      </c>
      <c r="R477" s="14" t="n">
        <v>422.59</v>
      </c>
      <c r="S477" s="14" t="n">
        <v>422.59</v>
      </c>
      <c r="T477" s="14" t="n">
        <v>422.59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CANON-202605-006622</t>
        </is>
      </c>
      <c r="B478" s="15" t="inlineStr">
        <is>
          <t>2026-05-09</t>
        </is>
      </c>
      <c r="C478" s="15" t="inlineStr">
        <is>
          <t>Delphine Farkas</t>
        </is>
      </c>
      <c r="D478" s="15" t="inlineStr">
        <is>
          <t>OK</t>
        </is>
      </c>
      <c r="E478" s="16" t="n">
        <v>505000</v>
      </c>
      <c r="F478" s="16" t="n">
        <v>6065.02</v>
      </c>
      <c r="G478" s="16" t="n">
        <v>758.13</v>
      </c>
      <c r="H478" s="16" t="n">
        <v>758.13</v>
      </c>
      <c r="I478" s="16">
        <f>SUM(K478:T478)</f>
        <v/>
      </c>
      <c r="J478" s="16">
        <f>F478-(G478+H478+I478)</f>
        <v/>
      </c>
      <c r="K478" s="16" t="n">
        <v>454.88</v>
      </c>
      <c r="L478" s="16" t="n">
        <v>454.88</v>
      </c>
      <c r="M478" s="16" t="n">
        <v>454.88</v>
      </c>
      <c r="N478" s="16" t="n">
        <v>454.88</v>
      </c>
      <c r="O478" s="16" t="n">
        <v>454.88</v>
      </c>
      <c r="P478" s="16" t="n">
        <v>454.88</v>
      </c>
      <c r="Q478" s="16" t="n">
        <v>454.88</v>
      </c>
      <c r="R478" s="16" t="n">
        <v>454.88</v>
      </c>
      <c r="S478" s="16" t="n">
        <v>454.88</v>
      </c>
      <c r="T478" s="16" t="n">
        <v>454.88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CANON-202605-006626</t>
        </is>
      </c>
      <c r="B479" s="3" t="inlineStr">
        <is>
          <t>2026-05-26</t>
        </is>
      </c>
      <c r="C479" s="3" t="inlineStr">
        <is>
          <t>Ottilie Harrington</t>
        </is>
      </c>
      <c r="D479" s="3" t="inlineStr">
        <is>
          <t>ND</t>
        </is>
      </c>
      <c r="E479" s="14" t="n">
        <v>600000</v>
      </c>
      <c r="F479" s="14" t="n">
        <v>8525.74</v>
      </c>
      <c r="G479" s="14" t="n">
        <v>1065.72</v>
      </c>
      <c r="H479" s="14" t="n">
        <v>1065.72</v>
      </c>
      <c r="I479" s="14">
        <f>SUM(K479:T479)</f>
        <v/>
      </c>
      <c r="J479" s="14">
        <f>F479-(G479+H479+I479)</f>
        <v/>
      </c>
      <c r="K479" s="14" t="n">
        <v>639.4299999999999</v>
      </c>
      <c r="L479" s="14" t="n">
        <v>639.4299999999999</v>
      </c>
      <c r="M479" s="14" t="n">
        <v>639.4299999999999</v>
      </c>
      <c r="N479" s="14" t="n">
        <v>639.4299999999999</v>
      </c>
      <c r="O479" s="14" t="n">
        <v>639.4299999999999</v>
      </c>
      <c r="P479" s="14" t="n">
        <v>639.4299999999999</v>
      </c>
      <c r="Q479" s="14" t="n">
        <v>639.4299999999999</v>
      </c>
      <c r="R479" s="14" t="n">
        <v>639.4299999999999</v>
      </c>
      <c r="S479" s="14" t="n">
        <v>639.4299999999999</v>
      </c>
      <c r="T479" s="14" t="n">
        <v>639.4299999999999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CANON-202605-006627</t>
        </is>
      </c>
      <c r="B480" s="15" t="inlineStr">
        <is>
          <t>2026-05-06</t>
        </is>
      </c>
      <c r="C480" s="15" t="inlineStr">
        <is>
          <t>Leopold Kingsford</t>
        </is>
      </c>
      <c r="D480" s="15" t="inlineStr">
        <is>
          <t>RI</t>
        </is>
      </c>
      <c r="E480" s="16" t="n">
        <v>150000</v>
      </c>
      <c r="F480" s="16" t="n">
        <v>2772.4</v>
      </c>
      <c r="G480" s="16" t="n">
        <v>346.55</v>
      </c>
      <c r="H480" s="16" t="n">
        <v>346.55</v>
      </c>
      <c r="I480" s="16">
        <f>SUM(K480:T480)</f>
        <v/>
      </c>
      <c r="J480" s="16">
        <f>F480-(G480+H480+I480)</f>
        <v/>
      </c>
      <c r="K480" s="16" t="n">
        <v>207.93</v>
      </c>
      <c r="L480" s="16" t="n">
        <v>207.93</v>
      </c>
      <c r="M480" s="16" t="n">
        <v>207.93</v>
      </c>
      <c r="N480" s="16" t="n">
        <v>207.93</v>
      </c>
      <c r="O480" s="16" t="n">
        <v>207.93</v>
      </c>
      <c r="P480" s="16" t="n">
        <v>207.93</v>
      </c>
      <c r="Q480" s="16" t="n">
        <v>207.93</v>
      </c>
      <c r="R480" s="16" t="n">
        <v>207.93</v>
      </c>
      <c r="S480" s="16" t="n">
        <v>207.93</v>
      </c>
      <c r="T480" s="16" t="n">
        <v>207.93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CANON-202605-006628</t>
        </is>
      </c>
      <c r="B481" s="3" t="inlineStr">
        <is>
          <t>2026-05-12</t>
        </is>
      </c>
      <c r="C481" s="3" t="inlineStr">
        <is>
          <t>Aurelio Chattopadhyay</t>
        </is>
      </c>
      <c r="D481" s="3" t="inlineStr">
        <is>
          <t>MI</t>
        </is>
      </c>
      <c r="E481" s="14" t="n">
        <v>250000</v>
      </c>
      <c r="F481" s="14" t="n">
        <v>4261.77</v>
      </c>
      <c r="G481" s="14" t="n">
        <v>532.72</v>
      </c>
      <c r="H481" s="14" t="n">
        <v>532.72</v>
      </c>
      <c r="I481" s="14">
        <f>SUM(K481:T481)</f>
        <v/>
      </c>
      <c r="J481" s="14">
        <f>F481-(G481+H481+I481)</f>
        <v/>
      </c>
      <c r="K481" s="14" t="n">
        <v>319.63</v>
      </c>
      <c r="L481" s="14" t="n">
        <v>319.63</v>
      </c>
      <c r="M481" s="14" t="n">
        <v>319.63</v>
      </c>
      <c r="N481" s="14" t="n">
        <v>319.63</v>
      </c>
      <c r="O481" s="14" t="n">
        <v>319.63</v>
      </c>
      <c r="P481" s="14" t="n">
        <v>319.63</v>
      </c>
      <c r="Q481" s="14" t="n">
        <v>319.63</v>
      </c>
      <c r="R481" s="14" t="n">
        <v>319.63</v>
      </c>
      <c r="S481" s="14" t="n">
        <v>319.63</v>
      </c>
      <c r="T481" s="14" t="n">
        <v>319.63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CANON-202605-006629</t>
        </is>
      </c>
      <c r="B482" s="15" t="inlineStr">
        <is>
          <t>2026-05-03</t>
        </is>
      </c>
      <c r="C482" s="15" t="inlineStr">
        <is>
          <t>Wilhelmina Montoya</t>
        </is>
      </c>
      <c r="D482" s="15" t="inlineStr">
        <is>
          <t>AK</t>
        </is>
      </c>
      <c r="E482" s="16" t="n">
        <v>1950000</v>
      </c>
      <c r="F482" s="16" t="n">
        <v>17929.13</v>
      </c>
      <c r="G482" s="16" t="n">
        <v>2241.14</v>
      </c>
      <c r="H482" s="16" t="n">
        <v>2241.14</v>
      </c>
      <c r="I482" s="16">
        <f>SUM(K482:T482)</f>
        <v/>
      </c>
      <c r="J482" s="16">
        <f>F482-(G482+H482+I482)</f>
        <v/>
      </c>
      <c r="K482" s="16" t="n">
        <v>1344.68</v>
      </c>
      <c r="L482" s="16" t="n">
        <v>1344.68</v>
      </c>
      <c r="M482" s="16" t="n">
        <v>1344.68</v>
      </c>
      <c r="N482" s="16" t="n">
        <v>1344.68</v>
      </c>
      <c r="O482" s="16" t="n">
        <v>1344.68</v>
      </c>
      <c r="P482" s="16" t="n">
        <v>1344.68</v>
      </c>
      <c r="Q482" s="16" t="n">
        <v>1344.68</v>
      </c>
      <c r="R482" s="16" t="n">
        <v>1344.68</v>
      </c>
      <c r="S482" s="16" t="n">
        <v>1344.68</v>
      </c>
      <c r="T482" s="16" t="n">
        <v>1344.68</v>
      </c>
      <c r="U482" s="16" t="n">
        <v>350</v>
      </c>
      <c r="V482" s="16" t="n">
        <v>250</v>
      </c>
      <c r="W482" s="16">
        <f>U482+V482</f>
        <v/>
      </c>
    </row>
    <row r="483">
      <c r="A483" s="3" t="inlineStr">
        <is>
          <t>CANON-202605-006630</t>
        </is>
      </c>
      <c r="B483" s="3" t="inlineStr">
        <is>
          <t>2026-05-22</t>
        </is>
      </c>
      <c r="C483" s="3" t="inlineStr">
        <is>
          <t>Aurelio Whitlock</t>
        </is>
      </c>
      <c r="D483" s="3" t="inlineStr">
        <is>
          <t>VT</t>
        </is>
      </c>
      <c r="E483" s="14" t="n">
        <v>645000</v>
      </c>
      <c r="F483" s="14" t="n">
        <v>10962.26</v>
      </c>
      <c r="G483" s="14" t="n">
        <v>1370.28</v>
      </c>
      <c r="H483" s="14" t="n">
        <v>1370.28</v>
      </c>
      <c r="I483" s="14">
        <f>SUM(K483:T483)</f>
        <v/>
      </c>
      <c r="J483" s="14">
        <f>F483-(G483+H483+I483)</f>
        <v/>
      </c>
      <c r="K483" s="14" t="n">
        <v>822.17</v>
      </c>
      <c r="L483" s="14" t="n">
        <v>822.17</v>
      </c>
      <c r="M483" s="14" t="n">
        <v>822.17</v>
      </c>
      <c r="N483" s="14" t="n">
        <v>822.17</v>
      </c>
      <c r="O483" s="14" t="n">
        <v>822.17</v>
      </c>
      <c r="P483" s="14" t="n">
        <v>822.17</v>
      </c>
      <c r="Q483" s="14" t="n">
        <v>822.17</v>
      </c>
      <c r="R483" s="14" t="n">
        <v>822.17</v>
      </c>
      <c r="S483" s="14" t="n">
        <v>822.17</v>
      </c>
      <c r="T483" s="14" t="n">
        <v>822.17</v>
      </c>
      <c r="U483" s="14" t="n">
        <v>350</v>
      </c>
      <c r="V483" s="14" t="n">
        <v>0</v>
      </c>
      <c r="W483" s="14">
        <f>U483+V483</f>
        <v/>
      </c>
    </row>
    <row r="484">
      <c r="A484" s="15" t="inlineStr">
        <is>
          <t>CANON-202605-006631</t>
        </is>
      </c>
      <c r="B484" s="15" t="inlineStr">
        <is>
          <t>2026-05-25</t>
        </is>
      </c>
      <c r="C484" s="15" t="inlineStr">
        <is>
          <t>Saoirse Kingsford</t>
        </is>
      </c>
      <c r="D484" s="15" t="inlineStr">
        <is>
          <t>FL</t>
        </is>
      </c>
      <c r="E484" s="16" t="n">
        <v>515000</v>
      </c>
      <c r="F484" s="16" t="n">
        <v>8364.639999999999</v>
      </c>
      <c r="G484" s="16" t="n">
        <v>1045.58</v>
      </c>
      <c r="H484" s="16" t="n">
        <v>1045.58</v>
      </c>
      <c r="I484" s="16">
        <f>SUM(K484:T484)</f>
        <v/>
      </c>
      <c r="J484" s="16">
        <f>F484-(G484+H484+I484)</f>
        <v/>
      </c>
      <c r="K484" s="16" t="n">
        <v>627.35</v>
      </c>
      <c r="L484" s="16" t="n">
        <v>627.35</v>
      </c>
      <c r="M484" s="16" t="n">
        <v>627.35</v>
      </c>
      <c r="N484" s="16" t="n">
        <v>627.35</v>
      </c>
      <c r="O484" s="16" t="n">
        <v>627.35</v>
      </c>
      <c r="P484" s="16" t="n">
        <v>627.35</v>
      </c>
      <c r="Q484" s="16" t="n">
        <v>627.35</v>
      </c>
      <c r="R484" s="16" t="n">
        <v>627.35</v>
      </c>
      <c r="S484" s="16" t="n">
        <v>627.35</v>
      </c>
      <c r="T484" s="16" t="n">
        <v>627.35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CANON-202605-006632</t>
        </is>
      </c>
      <c r="B485" s="3" t="inlineStr">
        <is>
          <t>2026-05-30</t>
        </is>
      </c>
      <c r="C485" s="3" t="inlineStr">
        <is>
          <t>Noor Kingsford</t>
        </is>
      </c>
      <c r="D485" s="3" t="inlineStr">
        <is>
          <t>AL</t>
        </is>
      </c>
      <c r="E485" s="14" t="n">
        <v>750000</v>
      </c>
      <c r="F485" s="14" t="n">
        <v>13269.22</v>
      </c>
      <c r="G485" s="14" t="n">
        <v>1658.65</v>
      </c>
      <c r="H485" s="14" t="n">
        <v>1658.65</v>
      </c>
      <c r="I485" s="14">
        <f>SUM(K485:T485)</f>
        <v/>
      </c>
      <c r="J485" s="14">
        <f>F485-(G485+H485+I485)</f>
        <v/>
      </c>
      <c r="K485" s="14" t="n">
        <v>995.1900000000001</v>
      </c>
      <c r="L485" s="14" t="n">
        <v>995.1900000000001</v>
      </c>
      <c r="M485" s="14" t="n">
        <v>995.1900000000001</v>
      </c>
      <c r="N485" s="14" t="n">
        <v>995.1900000000001</v>
      </c>
      <c r="O485" s="14" t="n">
        <v>995.1900000000001</v>
      </c>
      <c r="P485" s="14" t="n">
        <v>995.1900000000001</v>
      </c>
      <c r="Q485" s="14" t="n">
        <v>995.1900000000001</v>
      </c>
      <c r="R485" s="14" t="n">
        <v>995.1900000000001</v>
      </c>
      <c r="S485" s="14" t="n">
        <v>995.1900000000001</v>
      </c>
      <c r="T485" s="14" t="n">
        <v>995.1900000000001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CANON-202605-006633</t>
        </is>
      </c>
      <c r="B486" s="15" t="inlineStr">
        <is>
          <t>2026-05-25</t>
        </is>
      </c>
      <c r="C486" s="15" t="inlineStr">
        <is>
          <t>Thaddeus Underwood</t>
        </is>
      </c>
      <c r="D486" s="15" t="inlineStr">
        <is>
          <t>FL</t>
        </is>
      </c>
      <c r="E486" s="16" t="n">
        <v>470000</v>
      </c>
      <c r="F486" s="16" t="n">
        <v>7340.14</v>
      </c>
      <c r="G486" s="16" t="n">
        <v>917.52</v>
      </c>
      <c r="H486" s="16" t="n">
        <v>917.52</v>
      </c>
      <c r="I486" s="16">
        <f>SUM(K486:T486)</f>
        <v/>
      </c>
      <c r="J486" s="16">
        <f>F486-(G486+H486+I486)</f>
        <v/>
      </c>
      <c r="K486" s="16" t="n">
        <v>550.51</v>
      </c>
      <c r="L486" s="16" t="n">
        <v>550.51</v>
      </c>
      <c r="M486" s="16" t="n">
        <v>550.51</v>
      </c>
      <c r="N486" s="16" t="n">
        <v>550.51</v>
      </c>
      <c r="O486" s="16" t="n">
        <v>550.51</v>
      </c>
      <c r="P486" s="16" t="n">
        <v>550.51</v>
      </c>
      <c r="Q486" s="16" t="n">
        <v>550.51</v>
      </c>
      <c r="R486" s="16" t="n">
        <v>550.51</v>
      </c>
      <c r="S486" s="16" t="n">
        <v>550.51</v>
      </c>
      <c r="T486" s="16" t="n">
        <v>550.51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CANON-202605-006634</t>
        </is>
      </c>
      <c r="B487" s="3" t="inlineStr">
        <is>
          <t>2026-05-31</t>
        </is>
      </c>
      <c r="C487" s="3" t="inlineStr">
        <is>
          <t>Priya Vandermeer</t>
        </is>
      </c>
      <c r="D487" s="3" t="inlineStr">
        <is>
          <t>WI</t>
        </is>
      </c>
      <c r="E487" s="14" t="n">
        <v>910000</v>
      </c>
      <c r="F487" s="14" t="n">
        <v>6885.7</v>
      </c>
      <c r="G487" s="14" t="n">
        <v>860.71</v>
      </c>
      <c r="H487" s="14" t="n">
        <v>860.71</v>
      </c>
      <c r="I487" s="14">
        <f>SUM(K487:T487)</f>
        <v/>
      </c>
      <c r="J487" s="14">
        <f>F487-(G487+H487+I487)</f>
        <v/>
      </c>
      <c r="K487" s="14" t="n">
        <v>516.4299999999999</v>
      </c>
      <c r="L487" s="14" t="n">
        <v>516.4299999999999</v>
      </c>
      <c r="M487" s="14" t="n">
        <v>516.4299999999999</v>
      </c>
      <c r="N487" s="14" t="n">
        <v>516.4299999999999</v>
      </c>
      <c r="O487" s="14" t="n">
        <v>516.4299999999999</v>
      </c>
      <c r="P487" s="14" t="n">
        <v>516.4299999999999</v>
      </c>
      <c r="Q487" s="14" t="n">
        <v>516.4299999999999</v>
      </c>
      <c r="R487" s="14" t="n">
        <v>516.4299999999999</v>
      </c>
      <c r="S487" s="14" t="n">
        <v>516.4299999999999</v>
      </c>
      <c r="T487" s="14" t="n">
        <v>516.4299999999999</v>
      </c>
      <c r="U487" s="14" t="n">
        <v>350</v>
      </c>
      <c r="V487" s="14" t="n">
        <v>0</v>
      </c>
      <c r="W487" s="14">
        <f>U487+V487</f>
        <v/>
      </c>
    </row>
    <row r="488">
      <c r="A488" s="15" t="inlineStr">
        <is>
          <t>CANON-202605-006635</t>
        </is>
      </c>
      <c r="B488" s="15" t="inlineStr">
        <is>
          <t>2026-05-17</t>
        </is>
      </c>
      <c r="C488" s="15" t="inlineStr">
        <is>
          <t>Mireille Montoya</t>
        </is>
      </c>
      <c r="D488" s="15" t="inlineStr">
        <is>
          <t>NC</t>
        </is>
      </c>
      <c r="E488" s="16" t="n">
        <v>1480000</v>
      </c>
      <c r="F488" s="16" t="n">
        <v>13727.11</v>
      </c>
      <c r="G488" s="16" t="n">
        <v>1715.89</v>
      </c>
      <c r="H488" s="16" t="n">
        <v>1715.89</v>
      </c>
      <c r="I488" s="16">
        <f>SUM(K488:T488)</f>
        <v/>
      </c>
      <c r="J488" s="16">
        <f>F488-(G488+H488+I488)</f>
        <v/>
      </c>
      <c r="K488" s="16" t="n">
        <v>1029.53</v>
      </c>
      <c r="L488" s="16" t="n">
        <v>1029.53</v>
      </c>
      <c r="M488" s="16" t="n">
        <v>1029.53</v>
      </c>
      <c r="N488" s="16" t="n">
        <v>1029.53</v>
      </c>
      <c r="O488" s="16" t="n">
        <v>1029.53</v>
      </c>
      <c r="P488" s="16" t="n">
        <v>1029.53</v>
      </c>
      <c r="Q488" s="16" t="n">
        <v>1029.53</v>
      </c>
      <c r="R488" s="16" t="n">
        <v>1029.53</v>
      </c>
      <c r="S488" s="16" t="n">
        <v>1029.53</v>
      </c>
      <c r="T488" s="16" t="n">
        <v>1029.53</v>
      </c>
      <c r="U488" s="16" t="n">
        <v>350</v>
      </c>
      <c r="V488" s="16" t="n">
        <v>250</v>
      </c>
      <c r="W488" s="16">
        <f>U488+V488</f>
        <v/>
      </c>
    </row>
    <row r="489">
      <c r="A489" s="3" t="inlineStr">
        <is>
          <t>CANON-202605-006637</t>
        </is>
      </c>
      <c r="B489" s="3" t="inlineStr">
        <is>
          <t>2026-05-01</t>
        </is>
      </c>
      <c r="C489" s="3" t="inlineStr">
        <is>
          <t>Sunniva Delacroix</t>
        </is>
      </c>
      <c r="D489" s="3" t="inlineStr">
        <is>
          <t>WA</t>
        </is>
      </c>
      <c r="E489" s="14" t="n">
        <v>500000</v>
      </c>
      <c r="F489" s="14" t="n">
        <v>4575.21</v>
      </c>
      <c r="G489" s="14" t="n">
        <v>571.9</v>
      </c>
      <c r="H489" s="14" t="n">
        <v>571.9</v>
      </c>
      <c r="I489" s="14">
        <f>SUM(K489:T489)</f>
        <v/>
      </c>
      <c r="J489" s="14">
        <f>F489-(G489+H489+I489)</f>
        <v/>
      </c>
      <c r="K489" s="14" t="n">
        <v>343.14</v>
      </c>
      <c r="L489" s="14" t="n">
        <v>343.14</v>
      </c>
      <c r="M489" s="14" t="n">
        <v>343.14</v>
      </c>
      <c r="N489" s="14" t="n">
        <v>343.14</v>
      </c>
      <c r="O489" s="14" t="n">
        <v>343.14</v>
      </c>
      <c r="P489" s="14" t="n">
        <v>343.14</v>
      </c>
      <c r="Q489" s="14" t="n">
        <v>343.14</v>
      </c>
      <c r="R489" s="14" t="n">
        <v>343.14</v>
      </c>
      <c r="S489" s="14" t="n">
        <v>343.14</v>
      </c>
      <c r="T489" s="14" t="n">
        <v>343.14</v>
      </c>
      <c r="U489" s="14" t="n">
        <v>350</v>
      </c>
      <c r="V489" s="14" t="n">
        <v>0</v>
      </c>
      <c r="W489" s="14">
        <f>U489+V489</f>
        <v/>
      </c>
    </row>
    <row r="490">
      <c r="A490" s="15" t="inlineStr">
        <is>
          <t>CANON-202605-006639</t>
        </is>
      </c>
      <c r="B490" s="15" t="inlineStr">
        <is>
          <t>2026-05-06</t>
        </is>
      </c>
      <c r="C490" s="15" t="inlineStr">
        <is>
          <t>Fitzgerald Montoya</t>
        </is>
      </c>
      <c r="D490" s="15" t="inlineStr">
        <is>
          <t>LA</t>
        </is>
      </c>
      <c r="E490" s="16" t="n">
        <v>1330000</v>
      </c>
      <c r="F490" s="16" t="n">
        <v>18879.21</v>
      </c>
      <c r="G490" s="16" t="n">
        <v>2359.9</v>
      </c>
      <c r="H490" s="16" t="n">
        <v>2359.9</v>
      </c>
      <c r="I490" s="16">
        <f>SUM(K490:T490)</f>
        <v/>
      </c>
      <c r="J490" s="16">
        <f>F490-(G490+H490+I490)</f>
        <v/>
      </c>
      <c r="K490" s="16" t="n">
        <v>1415.94</v>
      </c>
      <c r="L490" s="16" t="n">
        <v>1415.94</v>
      </c>
      <c r="M490" s="16" t="n">
        <v>1415.94</v>
      </c>
      <c r="N490" s="16" t="n">
        <v>1415.94</v>
      </c>
      <c r="O490" s="16" t="n">
        <v>1415.94</v>
      </c>
      <c r="P490" s="16" t="n">
        <v>1415.94</v>
      </c>
      <c r="Q490" s="16" t="n">
        <v>1415.94</v>
      </c>
      <c r="R490" s="16" t="n">
        <v>1415.94</v>
      </c>
      <c r="S490" s="16" t="n">
        <v>1415.94</v>
      </c>
      <c r="T490" s="16" t="n">
        <v>1415.94</v>
      </c>
      <c r="U490" s="16" t="n">
        <v>350</v>
      </c>
      <c r="V490" s="16" t="n">
        <v>250</v>
      </c>
      <c r="W490" s="16">
        <f>U490+V490</f>
        <v/>
      </c>
    </row>
    <row r="491">
      <c r="A491" s="3" t="inlineStr">
        <is>
          <t>CANON-202605-006640</t>
        </is>
      </c>
      <c r="B491" s="3" t="inlineStr">
        <is>
          <t>2026-05-25</t>
        </is>
      </c>
      <c r="C491" s="3" t="inlineStr">
        <is>
          <t>Wilhelmina Harrington</t>
        </is>
      </c>
      <c r="D491" s="3" t="inlineStr">
        <is>
          <t>VA</t>
        </is>
      </c>
      <c r="E491" s="14" t="n">
        <v>1025000</v>
      </c>
      <c r="F491" s="14" t="n">
        <v>9010.93</v>
      </c>
      <c r="G491" s="14" t="n">
        <v>1126.37</v>
      </c>
      <c r="H491" s="14" t="n">
        <v>1126.37</v>
      </c>
      <c r="I491" s="14">
        <f>SUM(K491:T491)</f>
        <v/>
      </c>
      <c r="J491" s="14">
        <f>F491-(G491+H491+I491)</f>
        <v/>
      </c>
      <c r="K491" s="14" t="n">
        <v>675.8200000000001</v>
      </c>
      <c r="L491" s="14" t="n">
        <v>675.8200000000001</v>
      </c>
      <c r="M491" s="14" t="n">
        <v>675.8200000000001</v>
      </c>
      <c r="N491" s="14" t="n">
        <v>675.8200000000001</v>
      </c>
      <c r="O491" s="14" t="n">
        <v>675.8200000000001</v>
      </c>
      <c r="P491" s="14" t="n">
        <v>675.8200000000001</v>
      </c>
      <c r="Q491" s="14" t="n">
        <v>675.8200000000001</v>
      </c>
      <c r="R491" s="14" t="n">
        <v>675.8200000000001</v>
      </c>
      <c r="S491" s="14" t="n">
        <v>675.8200000000001</v>
      </c>
      <c r="T491" s="14" t="n">
        <v>675.8200000000001</v>
      </c>
      <c r="U491" s="14" t="n">
        <v>350</v>
      </c>
      <c r="V491" s="14" t="n">
        <v>250</v>
      </c>
      <c r="W491" s="14">
        <f>U491+V491</f>
        <v/>
      </c>
    </row>
    <row r="492">
      <c r="A492" s="15" t="inlineStr">
        <is>
          <t>CANON-202605-006641</t>
        </is>
      </c>
      <c r="B492" s="15" t="inlineStr">
        <is>
          <t>2026-05-09</t>
        </is>
      </c>
      <c r="C492" s="15" t="inlineStr">
        <is>
          <t>Saoirse Castellanos</t>
        </is>
      </c>
      <c r="D492" s="15" t="inlineStr">
        <is>
          <t>CA</t>
        </is>
      </c>
      <c r="E492" s="16" t="n">
        <v>370000</v>
      </c>
      <c r="F492" s="16" t="n">
        <v>5493.56</v>
      </c>
      <c r="G492" s="16" t="n">
        <v>686.7</v>
      </c>
      <c r="H492" s="16" t="n">
        <v>686.7</v>
      </c>
      <c r="I492" s="16">
        <f>SUM(K492:T492)</f>
        <v/>
      </c>
      <c r="J492" s="16">
        <f>F492-(G492+H492+I492)</f>
        <v/>
      </c>
      <c r="K492" s="16" t="n">
        <v>412.02</v>
      </c>
      <c r="L492" s="16" t="n">
        <v>412.02</v>
      </c>
      <c r="M492" s="16" t="n">
        <v>412.02</v>
      </c>
      <c r="N492" s="16" t="n">
        <v>412.02</v>
      </c>
      <c r="O492" s="16" t="n">
        <v>412.02</v>
      </c>
      <c r="P492" s="16" t="n">
        <v>412.02</v>
      </c>
      <c r="Q492" s="16" t="n">
        <v>412.02</v>
      </c>
      <c r="R492" s="16" t="n">
        <v>412.02</v>
      </c>
      <c r="S492" s="16" t="n">
        <v>412.02</v>
      </c>
      <c r="T492" s="16" t="n">
        <v>412.02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CANON-202605-006643</t>
        </is>
      </c>
      <c r="B493" s="3" t="inlineStr">
        <is>
          <t>2026-05-01</t>
        </is>
      </c>
      <c r="C493" s="3" t="inlineStr">
        <is>
          <t>Fitzgerald Ashcombe</t>
        </is>
      </c>
      <c r="D493" s="3" t="inlineStr">
        <is>
          <t>VT</t>
        </is>
      </c>
      <c r="E493" s="14" t="n">
        <v>810000</v>
      </c>
      <c r="F493" s="14" t="n">
        <v>9419.219999999999</v>
      </c>
      <c r="G493" s="14" t="n">
        <v>1177.4</v>
      </c>
      <c r="H493" s="14" t="n">
        <v>1177.4</v>
      </c>
      <c r="I493" s="14">
        <f>SUM(K493:T493)</f>
        <v/>
      </c>
      <c r="J493" s="14">
        <f>F493-(G493+H493+I493)</f>
        <v/>
      </c>
      <c r="K493" s="14" t="n">
        <v>706.4400000000001</v>
      </c>
      <c r="L493" s="14" t="n">
        <v>706.4400000000001</v>
      </c>
      <c r="M493" s="14" t="n">
        <v>706.4400000000001</v>
      </c>
      <c r="N493" s="14" t="n">
        <v>706.4400000000001</v>
      </c>
      <c r="O493" s="14" t="n">
        <v>706.4400000000001</v>
      </c>
      <c r="P493" s="14" t="n">
        <v>706.4400000000001</v>
      </c>
      <c r="Q493" s="14" t="n">
        <v>706.4400000000001</v>
      </c>
      <c r="R493" s="14" t="n">
        <v>706.4400000000001</v>
      </c>
      <c r="S493" s="14" t="n">
        <v>706.4400000000001</v>
      </c>
      <c r="T493" s="14" t="n">
        <v>706.4400000000001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CANON-202605-006644</t>
        </is>
      </c>
      <c r="B494" s="15" t="inlineStr">
        <is>
          <t>2026-05-22</t>
        </is>
      </c>
      <c r="C494" s="15" t="inlineStr">
        <is>
          <t>Delphine Thistlewood</t>
        </is>
      </c>
      <c r="D494" s="15" t="inlineStr">
        <is>
          <t>OK</t>
        </is>
      </c>
      <c r="E494" s="16" t="n">
        <v>645000</v>
      </c>
      <c r="F494" s="16" t="n">
        <v>7746.41</v>
      </c>
      <c r="G494" s="16" t="n">
        <v>968.3</v>
      </c>
      <c r="H494" s="16" t="n">
        <v>968.3</v>
      </c>
      <c r="I494" s="16">
        <f>SUM(K494:T494)</f>
        <v/>
      </c>
      <c r="J494" s="16">
        <f>F494-(G494+H494+I494)</f>
        <v/>
      </c>
      <c r="K494" s="16" t="n">
        <v>580.98</v>
      </c>
      <c r="L494" s="16" t="n">
        <v>580.98</v>
      </c>
      <c r="M494" s="16" t="n">
        <v>580.98</v>
      </c>
      <c r="N494" s="16" t="n">
        <v>580.98</v>
      </c>
      <c r="O494" s="16" t="n">
        <v>580.98</v>
      </c>
      <c r="P494" s="16" t="n">
        <v>580.98</v>
      </c>
      <c r="Q494" s="16" t="n">
        <v>580.98</v>
      </c>
      <c r="R494" s="16" t="n">
        <v>580.98</v>
      </c>
      <c r="S494" s="16" t="n">
        <v>580.98</v>
      </c>
      <c r="T494" s="16" t="n">
        <v>580.98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CANON-202605-006645</t>
        </is>
      </c>
      <c r="B495" s="3" t="inlineStr">
        <is>
          <t>2026-05-22</t>
        </is>
      </c>
      <c r="C495" s="3" t="inlineStr">
        <is>
          <t>Horace Delacroix</t>
        </is>
      </c>
      <c r="D495" s="3" t="inlineStr">
        <is>
          <t>SC</t>
        </is>
      </c>
      <c r="E495" s="14" t="n">
        <v>820000</v>
      </c>
      <c r="F495" s="14" t="n">
        <v>9691.83</v>
      </c>
      <c r="G495" s="14" t="n">
        <v>1211.48</v>
      </c>
      <c r="H495" s="14" t="n">
        <v>1211.48</v>
      </c>
      <c r="I495" s="14">
        <f>SUM(K495:T495)</f>
        <v/>
      </c>
      <c r="J495" s="14">
        <f>F495-(G495+H495+I495)</f>
        <v/>
      </c>
      <c r="K495" s="14" t="n">
        <v>726.89</v>
      </c>
      <c r="L495" s="14" t="n">
        <v>726.89</v>
      </c>
      <c r="M495" s="14" t="n">
        <v>726.89</v>
      </c>
      <c r="N495" s="14" t="n">
        <v>726.89</v>
      </c>
      <c r="O495" s="14" t="n">
        <v>726.89</v>
      </c>
      <c r="P495" s="14" t="n">
        <v>726.89</v>
      </c>
      <c r="Q495" s="14" t="n">
        <v>726.89</v>
      </c>
      <c r="R495" s="14" t="n">
        <v>726.89</v>
      </c>
      <c r="S495" s="14" t="n">
        <v>726.89</v>
      </c>
      <c r="T495" s="14" t="n">
        <v>726.89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CANON-202605-006648</t>
        </is>
      </c>
      <c r="B496" s="15" t="inlineStr">
        <is>
          <t>2026-05-27</t>
        </is>
      </c>
      <c r="C496" s="15" t="inlineStr">
        <is>
          <t>Cassius Blackwood</t>
        </is>
      </c>
      <c r="D496" s="15" t="inlineStr">
        <is>
          <t>GA</t>
        </is>
      </c>
      <c r="E496" s="16" t="n">
        <v>480000</v>
      </c>
      <c r="F496" s="16" t="n">
        <v>5912.59</v>
      </c>
      <c r="G496" s="16" t="n">
        <v>739.0700000000001</v>
      </c>
      <c r="H496" s="16" t="n">
        <v>739.0700000000001</v>
      </c>
      <c r="I496" s="16">
        <f>SUM(K496:T496)</f>
        <v/>
      </c>
      <c r="J496" s="16">
        <f>F496-(G496+H496+I496)</f>
        <v/>
      </c>
      <c r="K496" s="16" t="n">
        <v>443.44</v>
      </c>
      <c r="L496" s="16" t="n">
        <v>443.44</v>
      </c>
      <c r="M496" s="16" t="n">
        <v>443.44</v>
      </c>
      <c r="N496" s="16" t="n">
        <v>443.44</v>
      </c>
      <c r="O496" s="16" t="n">
        <v>443.44</v>
      </c>
      <c r="P496" s="16" t="n">
        <v>443.44</v>
      </c>
      <c r="Q496" s="16" t="n">
        <v>443.44</v>
      </c>
      <c r="R496" s="16" t="n">
        <v>443.44</v>
      </c>
      <c r="S496" s="16" t="n">
        <v>443.44</v>
      </c>
      <c r="T496" s="16" t="n">
        <v>443.44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CANON-202605-006650</t>
        </is>
      </c>
      <c r="B497" s="3" t="inlineStr">
        <is>
          <t>2026-05-27</t>
        </is>
      </c>
      <c r="C497" s="3" t="inlineStr">
        <is>
          <t>Cassius Montoya</t>
        </is>
      </c>
      <c r="D497" s="3" t="inlineStr">
        <is>
          <t>IL</t>
        </is>
      </c>
      <c r="E497" s="14" t="n">
        <v>565000</v>
      </c>
      <c r="F497" s="14" t="n">
        <v>7324.15</v>
      </c>
      <c r="G497" s="14" t="n">
        <v>915.52</v>
      </c>
      <c r="H497" s="14" t="n">
        <v>915.52</v>
      </c>
      <c r="I497" s="14">
        <f>SUM(K497:T497)</f>
        <v/>
      </c>
      <c r="J497" s="14">
        <f>F497-(G497+H497+I497)</f>
        <v/>
      </c>
      <c r="K497" s="14" t="n">
        <v>549.3099999999999</v>
      </c>
      <c r="L497" s="14" t="n">
        <v>549.3099999999999</v>
      </c>
      <c r="M497" s="14" t="n">
        <v>549.3099999999999</v>
      </c>
      <c r="N497" s="14" t="n">
        <v>549.3099999999999</v>
      </c>
      <c r="O497" s="14" t="n">
        <v>549.3099999999999</v>
      </c>
      <c r="P497" s="14" t="n">
        <v>549.3099999999999</v>
      </c>
      <c r="Q497" s="14" t="n">
        <v>549.3099999999999</v>
      </c>
      <c r="R497" s="14" t="n">
        <v>549.3099999999999</v>
      </c>
      <c r="S497" s="14" t="n">
        <v>549.3099999999999</v>
      </c>
      <c r="T497" s="14" t="n">
        <v>549.3099999999999</v>
      </c>
      <c r="U497" s="14" t="n">
        <v>350</v>
      </c>
      <c r="V497" s="14" t="n">
        <v>0</v>
      </c>
      <c r="W497" s="14">
        <f>U497+V497</f>
        <v/>
      </c>
    </row>
    <row r="498">
      <c r="A498" s="15" t="inlineStr">
        <is>
          <t>CANON-202605-006651</t>
        </is>
      </c>
      <c r="B498" s="15" t="inlineStr">
        <is>
          <t>2026-05-24</t>
        </is>
      </c>
      <c r="C498" s="15" t="inlineStr">
        <is>
          <t>Sunniva Okonkwo</t>
        </is>
      </c>
      <c r="D498" s="15" t="inlineStr">
        <is>
          <t>SC</t>
        </is>
      </c>
      <c r="E498" s="16" t="n">
        <v>295000</v>
      </c>
      <c r="F498" s="16" t="n">
        <v>4023.11</v>
      </c>
      <c r="G498" s="16" t="n">
        <v>502.89</v>
      </c>
      <c r="H498" s="16" t="n">
        <v>502.89</v>
      </c>
      <c r="I498" s="16">
        <f>SUM(K498:T498)</f>
        <v/>
      </c>
      <c r="J498" s="16">
        <f>F498-(G498+H498+I498)</f>
        <v/>
      </c>
      <c r="K498" s="16" t="n">
        <v>301.73</v>
      </c>
      <c r="L498" s="16" t="n">
        <v>301.73</v>
      </c>
      <c r="M498" s="16" t="n">
        <v>301.73</v>
      </c>
      <c r="N498" s="16" t="n">
        <v>301.73</v>
      </c>
      <c r="O498" s="16" t="n">
        <v>301.73</v>
      </c>
      <c r="P498" s="16" t="n">
        <v>301.73</v>
      </c>
      <c r="Q498" s="16" t="n">
        <v>301.73</v>
      </c>
      <c r="R498" s="16" t="n">
        <v>301.73</v>
      </c>
      <c r="S498" s="16" t="n">
        <v>301.73</v>
      </c>
      <c r="T498" s="16" t="n">
        <v>301.73</v>
      </c>
      <c r="U498" s="16" t="n">
        <v>350</v>
      </c>
      <c r="V498" s="16" t="n">
        <v>0</v>
      </c>
      <c r="W498" s="16">
        <f>U498+V498</f>
        <v/>
      </c>
    </row>
    <row r="499">
      <c r="A499" s="3" t="inlineStr">
        <is>
          <t>CANON-202605-006654</t>
        </is>
      </c>
      <c r="B499" s="3" t="inlineStr">
        <is>
          <t>2026-05-15</t>
        </is>
      </c>
      <c r="C499" s="3" t="inlineStr">
        <is>
          <t>Callum Bellandi</t>
        </is>
      </c>
      <c r="D499" s="3" t="inlineStr">
        <is>
          <t>VT</t>
        </is>
      </c>
      <c r="E499" s="14" t="n">
        <v>630000</v>
      </c>
      <c r="F499" s="14" t="n">
        <v>4846.47</v>
      </c>
      <c r="G499" s="14" t="n">
        <v>605.8099999999999</v>
      </c>
      <c r="H499" s="14" t="n">
        <v>605.8099999999999</v>
      </c>
      <c r="I499" s="14">
        <f>SUM(K499:T499)</f>
        <v/>
      </c>
      <c r="J499" s="14">
        <f>F499-(G499+H499+I499)</f>
        <v/>
      </c>
      <c r="K499" s="14" t="n">
        <v>363.49</v>
      </c>
      <c r="L499" s="14" t="n">
        <v>363.49</v>
      </c>
      <c r="M499" s="14" t="n">
        <v>363.49</v>
      </c>
      <c r="N499" s="14" t="n">
        <v>363.49</v>
      </c>
      <c r="O499" s="14" t="n">
        <v>363.49</v>
      </c>
      <c r="P499" s="14" t="n">
        <v>363.49</v>
      </c>
      <c r="Q499" s="14" t="n">
        <v>363.49</v>
      </c>
      <c r="R499" s="14" t="n">
        <v>363.49</v>
      </c>
      <c r="S499" s="14" t="n">
        <v>363.49</v>
      </c>
      <c r="T499" s="14" t="n">
        <v>363.49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CANON-202605-006655</t>
        </is>
      </c>
      <c r="B500" s="15" t="inlineStr">
        <is>
          <t>2026-05-16</t>
        </is>
      </c>
      <c r="C500" s="15" t="inlineStr">
        <is>
          <t>Lorenzo Kingsford</t>
        </is>
      </c>
      <c r="D500" s="15" t="inlineStr">
        <is>
          <t>WA</t>
        </is>
      </c>
      <c r="E500" s="16" t="n">
        <v>1680000</v>
      </c>
      <c r="F500" s="16" t="n">
        <v>13007.69</v>
      </c>
      <c r="G500" s="16" t="n">
        <v>1625.96</v>
      </c>
      <c r="H500" s="16" t="n">
        <v>1625.96</v>
      </c>
      <c r="I500" s="16">
        <f>SUM(K500:T500)</f>
        <v/>
      </c>
      <c r="J500" s="16">
        <f>F500-(G500+H500+I500)</f>
        <v/>
      </c>
      <c r="K500" s="16" t="n">
        <v>975.58</v>
      </c>
      <c r="L500" s="16" t="n">
        <v>975.58</v>
      </c>
      <c r="M500" s="16" t="n">
        <v>975.58</v>
      </c>
      <c r="N500" s="16" t="n">
        <v>975.58</v>
      </c>
      <c r="O500" s="16" t="n">
        <v>975.58</v>
      </c>
      <c r="P500" s="16" t="n">
        <v>975.58</v>
      </c>
      <c r="Q500" s="16" t="n">
        <v>975.58</v>
      </c>
      <c r="R500" s="16" t="n">
        <v>975.58</v>
      </c>
      <c r="S500" s="16" t="n">
        <v>975.58</v>
      </c>
      <c r="T500" s="16" t="n">
        <v>975.58</v>
      </c>
      <c r="U500" s="16" t="n">
        <v>350</v>
      </c>
      <c r="V500" s="16" t="n">
        <v>250</v>
      </c>
      <c r="W500" s="16">
        <f>U500+V500</f>
        <v/>
      </c>
    </row>
    <row r="501">
      <c r="A501" s="3" t="inlineStr">
        <is>
          <t>CANON-202605-006656</t>
        </is>
      </c>
      <c r="B501" s="3" t="inlineStr">
        <is>
          <t>2026-05-16</t>
        </is>
      </c>
      <c r="C501" s="3" t="inlineStr">
        <is>
          <t>Everett Kingsford</t>
        </is>
      </c>
      <c r="D501" s="3" t="inlineStr">
        <is>
          <t>ME</t>
        </is>
      </c>
      <c r="E501" s="14" t="n">
        <v>565000</v>
      </c>
      <c r="F501" s="14" t="n">
        <v>5816.24</v>
      </c>
      <c r="G501" s="14" t="n">
        <v>727.03</v>
      </c>
      <c r="H501" s="14" t="n">
        <v>727.03</v>
      </c>
      <c r="I501" s="14">
        <f>SUM(K501:T501)</f>
        <v/>
      </c>
      <c r="J501" s="14">
        <f>F501-(G501+H501+I501)</f>
        <v/>
      </c>
      <c r="K501" s="14" t="n">
        <v>436.22</v>
      </c>
      <c r="L501" s="14" t="n">
        <v>436.22</v>
      </c>
      <c r="M501" s="14" t="n">
        <v>436.22</v>
      </c>
      <c r="N501" s="14" t="n">
        <v>436.22</v>
      </c>
      <c r="O501" s="14" t="n">
        <v>436.22</v>
      </c>
      <c r="P501" s="14" t="n">
        <v>436.22</v>
      </c>
      <c r="Q501" s="14" t="n">
        <v>436.22</v>
      </c>
      <c r="R501" s="14" t="n">
        <v>436.22</v>
      </c>
      <c r="S501" s="14" t="n">
        <v>436.22</v>
      </c>
      <c r="T501" s="14" t="n">
        <v>436.22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CANON-202605-006657</t>
        </is>
      </c>
      <c r="B502" s="15" t="inlineStr">
        <is>
          <t>2026-05-09</t>
        </is>
      </c>
      <c r="C502" s="15" t="inlineStr">
        <is>
          <t>Priya Montoya</t>
        </is>
      </c>
      <c r="D502" s="15" t="inlineStr">
        <is>
          <t>NY</t>
        </is>
      </c>
      <c r="E502" s="16" t="n">
        <v>540000</v>
      </c>
      <c r="F502" s="16" t="n">
        <v>6588.31</v>
      </c>
      <c r="G502" s="16" t="n">
        <v>823.54</v>
      </c>
      <c r="H502" s="16" t="n">
        <v>823.54</v>
      </c>
      <c r="I502" s="16">
        <f>SUM(K502:T502)</f>
        <v/>
      </c>
      <c r="J502" s="16">
        <f>F502-(G502+H502+I502)</f>
        <v/>
      </c>
      <c r="K502" s="16" t="n">
        <v>494.12</v>
      </c>
      <c r="L502" s="16" t="n">
        <v>494.12</v>
      </c>
      <c r="M502" s="16" t="n">
        <v>494.12</v>
      </c>
      <c r="N502" s="16" t="n">
        <v>494.12</v>
      </c>
      <c r="O502" s="16" t="n">
        <v>494.12</v>
      </c>
      <c r="P502" s="16" t="n">
        <v>494.12</v>
      </c>
      <c r="Q502" s="16" t="n">
        <v>494.12</v>
      </c>
      <c r="R502" s="16" t="n">
        <v>494.12</v>
      </c>
      <c r="S502" s="16" t="n">
        <v>494.12</v>
      </c>
      <c r="T502" s="16" t="n">
        <v>494.12</v>
      </c>
      <c r="U502" s="16" t="n">
        <v>350</v>
      </c>
      <c r="V502" s="16" t="n">
        <v>0</v>
      </c>
      <c r="W502" s="16">
        <f>U502+V502</f>
        <v/>
      </c>
    </row>
    <row r="503">
      <c r="A503" s="3" t="inlineStr">
        <is>
          <t>CANON-202605-006659</t>
        </is>
      </c>
      <c r="B503" s="3" t="inlineStr">
        <is>
          <t>2026-05-02</t>
        </is>
      </c>
      <c r="C503" s="3" t="inlineStr">
        <is>
          <t>Everett Ashcombe</t>
        </is>
      </c>
      <c r="D503" s="3" t="inlineStr">
        <is>
          <t>LA</t>
        </is>
      </c>
      <c r="E503" s="14" t="n">
        <v>515000</v>
      </c>
      <c r="F503" s="14" t="n">
        <v>5939.68</v>
      </c>
      <c r="G503" s="14" t="n">
        <v>742.46</v>
      </c>
      <c r="H503" s="14" t="n">
        <v>742.46</v>
      </c>
      <c r="I503" s="14">
        <f>SUM(K503:T503)</f>
        <v/>
      </c>
      <c r="J503" s="14">
        <f>F503-(G503+H503+I503)</f>
        <v/>
      </c>
      <c r="K503" s="14" t="n">
        <v>445.48</v>
      </c>
      <c r="L503" s="14" t="n">
        <v>445.48</v>
      </c>
      <c r="M503" s="14" t="n">
        <v>445.48</v>
      </c>
      <c r="N503" s="14" t="n">
        <v>445.48</v>
      </c>
      <c r="O503" s="14" t="n">
        <v>445.48</v>
      </c>
      <c r="P503" s="14" t="n">
        <v>445.48</v>
      </c>
      <c r="Q503" s="14" t="n">
        <v>445.48</v>
      </c>
      <c r="R503" s="14" t="n">
        <v>445.48</v>
      </c>
      <c r="S503" s="14" t="n">
        <v>445.48</v>
      </c>
      <c r="T503" s="14" t="n">
        <v>445.48</v>
      </c>
      <c r="U503" s="14" t="n">
        <v>350</v>
      </c>
      <c r="V503" s="14" t="n">
        <v>0</v>
      </c>
      <c r="W503" s="14">
        <f>U503+V503</f>
        <v/>
      </c>
    </row>
    <row r="504">
      <c r="A504" s="15" t="inlineStr">
        <is>
          <t>CANON-202605-006662</t>
        </is>
      </c>
      <c r="B504" s="15" t="inlineStr">
        <is>
          <t>2026-05-29</t>
        </is>
      </c>
      <c r="C504" s="15" t="inlineStr">
        <is>
          <t>Lorenzo Rourke</t>
        </is>
      </c>
      <c r="D504" s="15" t="inlineStr">
        <is>
          <t>IL</t>
        </is>
      </c>
      <c r="E504" s="16" t="n">
        <v>440000</v>
      </c>
      <c r="F504" s="16" t="n">
        <v>6581.27</v>
      </c>
      <c r="G504" s="16" t="n">
        <v>822.66</v>
      </c>
      <c r="H504" s="16" t="n">
        <v>822.66</v>
      </c>
      <c r="I504" s="16">
        <f>SUM(K504:T504)</f>
        <v/>
      </c>
      <c r="J504" s="16">
        <f>F504-(G504+H504+I504)</f>
        <v/>
      </c>
      <c r="K504" s="16" t="n">
        <v>493.6</v>
      </c>
      <c r="L504" s="16" t="n">
        <v>493.6</v>
      </c>
      <c r="M504" s="16" t="n">
        <v>493.6</v>
      </c>
      <c r="N504" s="16" t="n">
        <v>493.6</v>
      </c>
      <c r="O504" s="16" t="n">
        <v>493.6</v>
      </c>
      <c r="P504" s="16" t="n">
        <v>493.6</v>
      </c>
      <c r="Q504" s="16" t="n">
        <v>493.6</v>
      </c>
      <c r="R504" s="16" t="n">
        <v>493.6</v>
      </c>
      <c r="S504" s="16" t="n">
        <v>493.6</v>
      </c>
      <c r="T504" s="16" t="n">
        <v>493.6</v>
      </c>
      <c r="U504" s="16" t="n">
        <v>350</v>
      </c>
      <c r="V504" s="16" t="n">
        <v>0</v>
      </c>
      <c r="W504" s="16">
        <f>U504+V504</f>
        <v/>
      </c>
    </row>
    <row r="505">
      <c r="A505" s="3" t="inlineStr">
        <is>
          <t>CANON-202605-006663</t>
        </is>
      </c>
      <c r="B505" s="3" t="inlineStr">
        <is>
          <t>2026-05-06</t>
        </is>
      </c>
      <c r="C505" s="3" t="inlineStr">
        <is>
          <t>Fenwick Whitlock</t>
        </is>
      </c>
      <c r="D505" s="3" t="inlineStr">
        <is>
          <t>MS</t>
        </is>
      </c>
      <c r="E505" s="14" t="n">
        <v>565000</v>
      </c>
      <c r="F505" s="14" t="n">
        <v>6408.64</v>
      </c>
      <c r="G505" s="14" t="n">
        <v>801.08</v>
      </c>
      <c r="H505" s="14" t="n">
        <v>801.08</v>
      </c>
      <c r="I505" s="14">
        <f>SUM(K505:T505)</f>
        <v/>
      </c>
      <c r="J505" s="14">
        <f>F505-(G505+H505+I505)</f>
        <v/>
      </c>
      <c r="K505" s="14" t="n">
        <v>480.65</v>
      </c>
      <c r="L505" s="14" t="n">
        <v>480.65</v>
      </c>
      <c r="M505" s="14" t="n">
        <v>480.65</v>
      </c>
      <c r="N505" s="14" t="n">
        <v>480.65</v>
      </c>
      <c r="O505" s="14" t="n">
        <v>480.65</v>
      </c>
      <c r="P505" s="14" t="n">
        <v>480.65</v>
      </c>
      <c r="Q505" s="14" t="n">
        <v>480.65</v>
      </c>
      <c r="R505" s="14" t="n">
        <v>480.65</v>
      </c>
      <c r="S505" s="14" t="n">
        <v>480.65</v>
      </c>
      <c r="T505" s="14" t="n">
        <v>480.65</v>
      </c>
      <c r="U505" s="14" t="n">
        <v>350</v>
      </c>
      <c r="V505" s="14" t="n">
        <v>0</v>
      </c>
      <c r="W505" s="14">
        <f>U505+V505</f>
        <v/>
      </c>
    </row>
    <row r="506">
      <c r="A506" s="15" t="inlineStr">
        <is>
          <t>CANON-202605-006665</t>
        </is>
      </c>
      <c r="B506" s="15" t="inlineStr">
        <is>
          <t>2026-05-26</t>
        </is>
      </c>
      <c r="C506" s="15" t="inlineStr">
        <is>
          <t>Callum Whitlock</t>
        </is>
      </c>
      <c r="D506" s="15" t="inlineStr">
        <is>
          <t>NH</t>
        </is>
      </c>
      <c r="E506" s="16" t="n">
        <v>1950000</v>
      </c>
      <c r="F506" s="16" t="n">
        <v>16356.39</v>
      </c>
      <c r="G506" s="16" t="n">
        <v>2044.55</v>
      </c>
      <c r="H506" s="16" t="n">
        <v>2044.55</v>
      </c>
      <c r="I506" s="16">
        <f>SUM(K506:T506)</f>
        <v/>
      </c>
      <c r="J506" s="16">
        <f>F506-(G506+H506+I506)</f>
        <v/>
      </c>
      <c r="K506" s="16" t="n">
        <v>1226.73</v>
      </c>
      <c r="L506" s="16" t="n">
        <v>1226.73</v>
      </c>
      <c r="M506" s="16" t="n">
        <v>1226.73</v>
      </c>
      <c r="N506" s="16" t="n">
        <v>1226.73</v>
      </c>
      <c r="O506" s="16" t="n">
        <v>1226.73</v>
      </c>
      <c r="P506" s="16" t="n">
        <v>1226.73</v>
      </c>
      <c r="Q506" s="16" t="n">
        <v>1226.73</v>
      </c>
      <c r="R506" s="16" t="n">
        <v>1226.73</v>
      </c>
      <c r="S506" s="16" t="n">
        <v>1226.73</v>
      </c>
      <c r="T506" s="16" t="n">
        <v>1226.73</v>
      </c>
      <c r="U506" s="16" t="n">
        <v>350</v>
      </c>
      <c r="V506" s="16" t="n">
        <v>250</v>
      </c>
      <c r="W506" s="16">
        <f>U506+V506</f>
        <v/>
      </c>
    </row>
    <row r="507">
      <c r="A507" s="3" t="inlineStr">
        <is>
          <t>CANON-202605-006666</t>
        </is>
      </c>
      <c r="B507" s="3" t="inlineStr">
        <is>
          <t>2026-05-31</t>
        </is>
      </c>
      <c r="C507" s="3" t="inlineStr">
        <is>
          <t>Sunniva Vasquez</t>
        </is>
      </c>
      <c r="D507" s="3" t="inlineStr">
        <is>
          <t>WY</t>
        </is>
      </c>
      <c r="E507" s="14" t="n">
        <v>695000</v>
      </c>
      <c r="F507" s="14" t="n">
        <v>7088.25</v>
      </c>
      <c r="G507" s="14" t="n">
        <v>886.03</v>
      </c>
      <c r="H507" s="14" t="n">
        <v>886.03</v>
      </c>
      <c r="I507" s="14">
        <f>SUM(K507:T507)</f>
        <v/>
      </c>
      <c r="J507" s="14">
        <f>F507-(G507+H507+I507)</f>
        <v/>
      </c>
      <c r="K507" s="14" t="n">
        <v>531.62</v>
      </c>
      <c r="L507" s="14" t="n">
        <v>531.62</v>
      </c>
      <c r="M507" s="14" t="n">
        <v>531.62</v>
      </c>
      <c r="N507" s="14" t="n">
        <v>531.62</v>
      </c>
      <c r="O507" s="14" t="n">
        <v>531.62</v>
      </c>
      <c r="P507" s="14" t="n">
        <v>531.62</v>
      </c>
      <c r="Q507" s="14" t="n">
        <v>531.62</v>
      </c>
      <c r="R507" s="14" t="n">
        <v>531.62</v>
      </c>
      <c r="S507" s="14" t="n">
        <v>531.62</v>
      </c>
      <c r="T507" s="14" t="n">
        <v>531.62</v>
      </c>
      <c r="U507" s="14" t="n">
        <v>350</v>
      </c>
      <c r="V507" s="14" t="n">
        <v>0</v>
      </c>
      <c r="W507" s="14">
        <f>U507+V507</f>
        <v/>
      </c>
    </row>
    <row r="508">
      <c r="A508" s="15" t="inlineStr">
        <is>
          <t>CANON-202605-006667</t>
        </is>
      </c>
      <c r="B508" s="15" t="inlineStr">
        <is>
          <t>2026-05-17</t>
        </is>
      </c>
      <c r="C508" s="15" t="inlineStr">
        <is>
          <t>Fenwick Whitlock</t>
        </is>
      </c>
      <c r="D508" s="15" t="inlineStr">
        <is>
          <t>MI</t>
        </is>
      </c>
      <c r="E508" s="16" t="n">
        <v>160000</v>
      </c>
      <c r="F508" s="16" t="n">
        <v>3345.78</v>
      </c>
      <c r="G508" s="16" t="n">
        <v>418.22</v>
      </c>
      <c r="H508" s="16" t="n">
        <v>418.22</v>
      </c>
      <c r="I508" s="16">
        <f>SUM(K508:T508)</f>
        <v/>
      </c>
      <c r="J508" s="16">
        <f>F508-(G508+H508+I508)</f>
        <v/>
      </c>
      <c r="K508" s="16" t="n">
        <v>250.93</v>
      </c>
      <c r="L508" s="16" t="n">
        <v>250.93</v>
      </c>
      <c r="M508" s="16" t="n">
        <v>250.93</v>
      </c>
      <c r="N508" s="16" t="n">
        <v>250.93</v>
      </c>
      <c r="O508" s="16" t="n">
        <v>250.93</v>
      </c>
      <c r="P508" s="16" t="n">
        <v>250.93</v>
      </c>
      <c r="Q508" s="16" t="n">
        <v>250.93</v>
      </c>
      <c r="R508" s="16" t="n">
        <v>250.93</v>
      </c>
      <c r="S508" s="16" t="n">
        <v>250.93</v>
      </c>
      <c r="T508" s="16" t="n">
        <v>250.93</v>
      </c>
      <c r="U508" s="16" t="n">
        <v>350</v>
      </c>
      <c r="V508" s="16" t="n">
        <v>0</v>
      </c>
      <c r="W508" s="16">
        <f>U508+V508</f>
        <v/>
      </c>
    </row>
    <row r="509">
      <c r="A509" s="3" t="inlineStr">
        <is>
          <t>CANON-202605-006670</t>
        </is>
      </c>
      <c r="B509" s="3" t="inlineStr">
        <is>
          <t>2026-05-16</t>
        </is>
      </c>
      <c r="C509" s="3" t="inlineStr">
        <is>
          <t>Ottilie Delacroix</t>
        </is>
      </c>
      <c r="D509" s="3" t="inlineStr">
        <is>
          <t>WA</t>
        </is>
      </c>
      <c r="E509" s="14" t="n">
        <v>380000</v>
      </c>
      <c r="F509" s="14" t="n">
        <v>4012.11</v>
      </c>
      <c r="G509" s="14" t="n">
        <v>501.51</v>
      </c>
      <c r="H509" s="14" t="n">
        <v>501.51</v>
      </c>
      <c r="I509" s="14">
        <f>SUM(K509:T509)</f>
        <v/>
      </c>
      <c r="J509" s="14">
        <f>F509-(G509+H509+I509)</f>
        <v/>
      </c>
      <c r="K509" s="14" t="n">
        <v>300.91</v>
      </c>
      <c r="L509" s="14" t="n">
        <v>300.91</v>
      </c>
      <c r="M509" s="14" t="n">
        <v>300.91</v>
      </c>
      <c r="N509" s="14" t="n">
        <v>300.91</v>
      </c>
      <c r="O509" s="14" t="n">
        <v>300.91</v>
      </c>
      <c r="P509" s="14" t="n">
        <v>300.91</v>
      </c>
      <c r="Q509" s="14" t="n">
        <v>300.91</v>
      </c>
      <c r="R509" s="14" t="n">
        <v>300.91</v>
      </c>
      <c r="S509" s="14" t="n">
        <v>300.91</v>
      </c>
      <c r="T509" s="14" t="n">
        <v>300.91</v>
      </c>
      <c r="U509" s="14" t="n">
        <v>350</v>
      </c>
      <c r="V509" s="14" t="n">
        <v>0</v>
      </c>
      <c r="W509" s="14">
        <f>U509+V509</f>
        <v/>
      </c>
    </row>
    <row r="510">
      <c r="A510" s="15" t="inlineStr">
        <is>
          <t>CANON-202605-006671</t>
        </is>
      </c>
      <c r="B510" s="15" t="inlineStr">
        <is>
          <t>2026-05-27</t>
        </is>
      </c>
      <c r="C510" s="15" t="inlineStr">
        <is>
          <t>Ingrid Okonkwo</t>
        </is>
      </c>
      <c r="D510" s="15" t="inlineStr">
        <is>
          <t>OH</t>
        </is>
      </c>
      <c r="E510" s="16" t="n">
        <v>850000</v>
      </c>
      <c r="F510" s="16" t="n">
        <v>11261.7</v>
      </c>
      <c r="G510" s="16" t="n">
        <v>1407.71</v>
      </c>
      <c r="H510" s="16" t="n">
        <v>1407.71</v>
      </c>
      <c r="I510" s="16">
        <f>SUM(K510:T510)</f>
        <v/>
      </c>
      <c r="J510" s="16">
        <f>F510-(G510+H510+I510)</f>
        <v/>
      </c>
      <c r="K510" s="16" t="n">
        <v>844.63</v>
      </c>
      <c r="L510" s="16" t="n">
        <v>844.63</v>
      </c>
      <c r="M510" s="16" t="n">
        <v>844.63</v>
      </c>
      <c r="N510" s="16" t="n">
        <v>844.63</v>
      </c>
      <c r="O510" s="16" t="n">
        <v>844.63</v>
      </c>
      <c r="P510" s="16" t="n">
        <v>844.63</v>
      </c>
      <c r="Q510" s="16" t="n">
        <v>844.63</v>
      </c>
      <c r="R510" s="16" t="n">
        <v>844.63</v>
      </c>
      <c r="S510" s="16" t="n">
        <v>844.63</v>
      </c>
      <c r="T510" s="16" t="n">
        <v>844.63</v>
      </c>
      <c r="U510" s="16" t="n">
        <v>350</v>
      </c>
      <c r="V510" s="16" t="n">
        <v>0</v>
      </c>
      <c r="W510" s="16">
        <f>U510+V510</f>
        <v/>
      </c>
    </row>
    <row r="511">
      <c r="A511" s="3" t="inlineStr">
        <is>
          <t>CANON-202605-006672</t>
        </is>
      </c>
      <c r="B511" s="3" t="inlineStr">
        <is>
          <t>2026-05-01</t>
        </is>
      </c>
      <c r="C511" s="3" t="inlineStr">
        <is>
          <t>Sunniva Bellandi</t>
        </is>
      </c>
      <c r="D511" s="3" t="inlineStr">
        <is>
          <t>IN</t>
        </is>
      </c>
      <c r="E511" s="14" t="n">
        <v>750000</v>
      </c>
      <c r="F511" s="14" t="n">
        <v>5816.9</v>
      </c>
      <c r="G511" s="14" t="n">
        <v>727.11</v>
      </c>
      <c r="H511" s="14" t="n">
        <v>727.11</v>
      </c>
      <c r="I511" s="14">
        <f>SUM(K511:T511)</f>
        <v/>
      </c>
      <c r="J511" s="14">
        <f>F511-(G511+H511+I511)</f>
        <v/>
      </c>
      <c r="K511" s="14" t="n">
        <v>436.27</v>
      </c>
      <c r="L511" s="14" t="n">
        <v>436.27</v>
      </c>
      <c r="M511" s="14" t="n">
        <v>436.27</v>
      </c>
      <c r="N511" s="14" t="n">
        <v>436.27</v>
      </c>
      <c r="O511" s="14" t="n">
        <v>436.27</v>
      </c>
      <c r="P511" s="14" t="n">
        <v>436.27</v>
      </c>
      <c r="Q511" s="14" t="n">
        <v>436.27</v>
      </c>
      <c r="R511" s="14" t="n">
        <v>436.27</v>
      </c>
      <c r="S511" s="14" t="n">
        <v>436.27</v>
      </c>
      <c r="T511" s="14" t="n">
        <v>436.27</v>
      </c>
      <c r="U511" s="14" t="n">
        <v>350</v>
      </c>
      <c r="V511" s="14" t="n">
        <v>0</v>
      </c>
      <c r="W511" s="14">
        <f>U511+V511</f>
        <v/>
      </c>
    </row>
    <row r="512">
      <c r="A512" s="15" t="inlineStr">
        <is>
          <t>CANON-202605-006673</t>
        </is>
      </c>
      <c r="B512" s="15" t="inlineStr">
        <is>
          <t>2026-05-05</t>
        </is>
      </c>
      <c r="C512" s="15" t="inlineStr">
        <is>
          <t>Noor Delacroix</t>
        </is>
      </c>
      <c r="D512" s="15" t="inlineStr">
        <is>
          <t>LA</t>
        </is>
      </c>
      <c r="E512" s="16" t="n">
        <v>555000</v>
      </c>
      <c r="F512" s="16" t="n">
        <v>6401.01</v>
      </c>
      <c r="G512" s="16" t="n">
        <v>800.13</v>
      </c>
      <c r="H512" s="16" t="n">
        <v>800.13</v>
      </c>
      <c r="I512" s="16">
        <f>SUM(K512:T512)</f>
        <v/>
      </c>
      <c r="J512" s="16">
        <f>F512-(G512+H512+I512)</f>
        <v/>
      </c>
      <c r="K512" s="16" t="n">
        <v>480.08</v>
      </c>
      <c r="L512" s="16" t="n">
        <v>480.08</v>
      </c>
      <c r="M512" s="16" t="n">
        <v>480.08</v>
      </c>
      <c r="N512" s="16" t="n">
        <v>480.08</v>
      </c>
      <c r="O512" s="16" t="n">
        <v>480.08</v>
      </c>
      <c r="P512" s="16" t="n">
        <v>480.08</v>
      </c>
      <c r="Q512" s="16" t="n">
        <v>480.08</v>
      </c>
      <c r="R512" s="16" t="n">
        <v>480.08</v>
      </c>
      <c r="S512" s="16" t="n">
        <v>480.08</v>
      </c>
      <c r="T512" s="16" t="n">
        <v>480.08</v>
      </c>
      <c r="U512" s="16" t="n">
        <v>350</v>
      </c>
      <c r="V512" s="16" t="n">
        <v>0</v>
      </c>
      <c r="W512" s="16">
        <f>U512+V512</f>
        <v/>
      </c>
    </row>
    <row r="513">
      <c r="A513" s="3" t="inlineStr">
        <is>
          <t>CANON-202605-006674</t>
        </is>
      </c>
      <c r="B513" s="3" t="inlineStr">
        <is>
          <t>2026-05-31</t>
        </is>
      </c>
      <c r="C513" s="3" t="inlineStr">
        <is>
          <t>Mireille Fairweather</t>
        </is>
      </c>
      <c r="D513" s="3" t="inlineStr">
        <is>
          <t>KY</t>
        </is>
      </c>
      <c r="E513" s="14" t="n">
        <v>380000</v>
      </c>
      <c r="F513" s="14" t="n">
        <v>5600.24</v>
      </c>
      <c r="G513" s="14" t="n">
        <v>700.03</v>
      </c>
      <c r="H513" s="14" t="n">
        <v>700.03</v>
      </c>
      <c r="I513" s="14">
        <f>SUM(K513:T513)</f>
        <v/>
      </c>
      <c r="J513" s="14">
        <f>F513-(G513+H513+I513)</f>
        <v/>
      </c>
      <c r="K513" s="14" t="n">
        <v>420.02</v>
      </c>
      <c r="L513" s="14" t="n">
        <v>420.02</v>
      </c>
      <c r="M513" s="14" t="n">
        <v>420.02</v>
      </c>
      <c r="N513" s="14" t="n">
        <v>420.02</v>
      </c>
      <c r="O513" s="14" t="n">
        <v>420.02</v>
      </c>
      <c r="P513" s="14" t="n">
        <v>420.02</v>
      </c>
      <c r="Q513" s="14" t="n">
        <v>420.02</v>
      </c>
      <c r="R513" s="14" t="n">
        <v>420.02</v>
      </c>
      <c r="S513" s="14" t="n">
        <v>420.02</v>
      </c>
      <c r="T513" s="14" t="n">
        <v>420.02</v>
      </c>
      <c r="U513" s="14" t="n">
        <v>350</v>
      </c>
      <c r="V513" s="14" t="n">
        <v>0</v>
      </c>
      <c r="W513" s="14">
        <f>U513+V513</f>
        <v/>
      </c>
    </row>
    <row r="514">
      <c r="A514" s="15" t="inlineStr">
        <is>
          <t>CANON-202605-006676</t>
        </is>
      </c>
      <c r="B514" s="15" t="inlineStr">
        <is>
          <t>2026-05-08</t>
        </is>
      </c>
      <c r="C514" s="15" t="inlineStr">
        <is>
          <t>Fitzgerald Vandermeer</t>
        </is>
      </c>
      <c r="D514" s="15" t="inlineStr">
        <is>
          <t>WV</t>
        </is>
      </c>
      <c r="E514" s="16" t="n">
        <v>770000</v>
      </c>
      <c r="F514" s="16" t="n">
        <v>14266.68</v>
      </c>
      <c r="G514" s="16" t="n">
        <v>1783.34</v>
      </c>
      <c r="H514" s="16" t="n">
        <v>1783.34</v>
      </c>
      <c r="I514" s="16">
        <f>SUM(K514:T514)</f>
        <v/>
      </c>
      <c r="J514" s="16">
        <f>F514-(G514+H514+I514)</f>
        <v/>
      </c>
      <c r="K514" s="16" t="n">
        <v>1070</v>
      </c>
      <c r="L514" s="16" t="n">
        <v>1070</v>
      </c>
      <c r="M514" s="16" t="n">
        <v>1070</v>
      </c>
      <c r="N514" s="16" t="n">
        <v>1070</v>
      </c>
      <c r="O514" s="16" t="n">
        <v>1070</v>
      </c>
      <c r="P514" s="16" t="n">
        <v>1070</v>
      </c>
      <c r="Q514" s="16" t="n">
        <v>1070</v>
      </c>
      <c r="R514" s="16" t="n">
        <v>1070</v>
      </c>
      <c r="S514" s="16" t="n">
        <v>1070</v>
      </c>
      <c r="T514" s="16" t="n">
        <v>1070</v>
      </c>
      <c r="U514" s="16" t="n">
        <v>350</v>
      </c>
      <c r="V514" s="16" t="n">
        <v>0</v>
      </c>
      <c r="W514" s="16">
        <f>U514+V514</f>
        <v/>
      </c>
    </row>
    <row r="515">
      <c r="A515" s="3" t="inlineStr">
        <is>
          <t>CANON-202605-006677</t>
        </is>
      </c>
      <c r="B515" s="3" t="inlineStr">
        <is>
          <t>2026-05-12</t>
        </is>
      </c>
      <c r="C515" s="3" t="inlineStr">
        <is>
          <t>Noor Merriweather</t>
        </is>
      </c>
      <c r="D515" s="3" t="inlineStr">
        <is>
          <t>CT</t>
        </is>
      </c>
      <c r="E515" s="14" t="n">
        <v>625000</v>
      </c>
      <c r="F515" s="14" t="n">
        <v>9751.66</v>
      </c>
      <c r="G515" s="14" t="n">
        <v>1218.96</v>
      </c>
      <c r="H515" s="14" t="n">
        <v>1218.96</v>
      </c>
      <c r="I515" s="14">
        <f>SUM(K515:T515)</f>
        <v/>
      </c>
      <c r="J515" s="14">
        <f>F515-(G515+H515+I515)</f>
        <v/>
      </c>
      <c r="K515" s="14" t="n">
        <v>731.37</v>
      </c>
      <c r="L515" s="14" t="n">
        <v>731.37</v>
      </c>
      <c r="M515" s="14" t="n">
        <v>731.37</v>
      </c>
      <c r="N515" s="14" t="n">
        <v>731.37</v>
      </c>
      <c r="O515" s="14" t="n">
        <v>731.37</v>
      </c>
      <c r="P515" s="14" t="n">
        <v>731.37</v>
      </c>
      <c r="Q515" s="14" t="n">
        <v>731.37</v>
      </c>
      <c r="R515" s="14" t="n">
        <v>731.37</v>
      </c>
      <c r="S515" s="14" t="n">
        <v>731.37</v>
      </c>
      <c r="T515" s="14" t="n">
        <v>731.37</v>
      </c>
      <c r="U515" s="14" t="n">
        <v>350</v>
      </c>
      <c r="V515" s="14" t="n">
        <v>0</v>
      </c>
      <c r="W515" s="14">
        <f>U515+V515</f>
        <v/>
      </c>
    </row>
    <row r="516">
      <c r="A516" s="15" t="inlineStr">
        <is>
          <t>CANON-202605-006678</t>
        </is>
      </c>
      <c r="B516" s="15" t="inlineStr">
        <is>
          <t>2026-05-27</t>
        </is>
      </c>
      <c r="C516" s="15" t="inlineStr">
        <is>
          <t>Desmond Vasquez</t>
        </is>
      </c>
      <c r="D516" s="15" t="inlineStr">
        <is>
          <t>PA</t>
        </is>
      </c>
      <c r="E516" s="16" t="n">
        <v>1345000</v>
      </c>
      <c r="F516" s="16" t="n">
        <v>15778.63</v>
      </c>
      <c r="G516" s="16" t="n">
        <v>1972.33</v>
      </c>
      <c r="H516" s="16" t="n">
        <v>1972.33</v>
      </c>
      <c r="I516" s="16">
        <f>SUM(K516:T516)</f>
        <v/>
      </c>
      <c r="J516" s="16">
        <f>F516-(G516+H516+I516)</f>
        <v/>
      </c>
      <c r="K516" s="16" t="n">
        <v>1183.4</v>
      </c>
      <c r="L516" s="16" t="n">
        <v>1183.4</v>
      </c>
      <c r="M516" s="16" t="n">
        <v>1183.4</v>
      </c>
      <c r="N516" s="16" t="n">
        <v>1183.4</v>
      </c>
      <c r="O516" s="16" t="n">
        <v>1183.4</v>
      </c>
      <c r="P516" s="16" t="n">
        <v>1183.4</v>
      </c>
      <c r="Q516" s="16" t="n">
        <v>1183.4</v>
      </c>
      <c r="R516" s="16" t="n">
        <v>1183.4</v>
      </c>
      <c r="S516" s="16" t="n">
        <v>1183.4</v>
      </c>
      <c r="T516" s="16" t="n">
        <v>1183.4</v>
      </c>
      <c r="U516" s="16" t="n">
        <v>350</v>
      </c>
      <c r="V516" s="16" t="n">
        <v>250</v>
      </c>
      <c r="W516" s="16">
        <f>U516+V516</f>
        <v/>
      </c>
    </row>
    <row r="517">
      <c r="A517" s="3" t="inlineStr">
        <is>
          <t>CANON-202605-006679</t>
        </is>
      </c>
      <c r="B517" s="3" t="inlineStr">
        <is>
          <t>2026-05-03</t>
        </is>
      </c>
      <c r="C517" s="3" t="inlineStr">
        <is>
          <t>Noor Chattopadhyay</t>
        </is>
      </c>
      <c r="D517" s="3" t="inlineStr">
        <is>
          <t>NE</t>
        </is>
      </c>
      <c r="E517" s="14" t="n">
        <v>585000</v>
      </c>
      <c r="F517" s="14" t="n">
        <v>7248.86</v>
      </c>
      <c r="G517" s="14" t="n">
        <v>906.11</v>
      </c>
      <c r="H517" s="14" t="n">
        <v>906.11</v>
      </c>
      <c r="I517" s="14">
        <f>SUM(K517:T517)</f>
        <v/>
      </c>
      <c r="J517" s="14">
        <f>F517-(G517+H517+I517)</f>
        <v/>
      </c>
      <c r="K517" s="14" t="n">
        <v>543.66</v>
      </c>
      <c r="L517" s="14" t="n">
        <v>543.66</v>
      </c>
      <c r="M517" s="14" t="n">
        <v>543.66</v>
      </c>
      <c r="N517" s="14" t="n">
        <v>543.66</v>
      </c>
      <c r="O517" s="14" t="n">
        <v>543.66</v>
      </c>
      <c r="P517" s="14" t="n">
        <v>543.66</v>
      </c>
      <c r="Q517" s="14" t="n">
        <v>543.66</v>
      </c>
      <c r="R517" s="14" t="n">
        <v>543.66</v>
      </c>
      <c r="S517" s="14" t="n">
        <v>543.66</v>
      </c>
      <c r="T517" s="14" t="n">
        <v>543.66</v>
      </c>
      <c r="U517" s="14" t="n">
        <v>350</v>
      </c>
      <c r="V517" s="14" t="n">
        <v>0</v>
      </c>
      <c r="W517" s="14">
        <f>U517+V517</f>
        <v/>
      </c>
    </row>
    <row r="518">
      <c r="A518" s="15" t="inlineStr">
        <is>
          <t>CANON-202605-006680</t>
        </is>
      </c>
      <c r="B518" s="15" t="inlineStr">
        <is>
          <t>2026-05-20</t>
        </is>
      </c>
      <c r="C518" s="15" t="inlineStr">
        <is>
          <t>Fenwick Ashcombe</t>
        </is>
      </c>
      <c r="D518" s="15" t="inlineStr">
        <is>
          <t>WY</t>
        </is>
      </c>
      <c r="E518" s="16" t="n">
        <v>640000</v>
      </c>
      <c r="F518" s="16" t="n">
        <v>6527.31</v>
      </c>
      <c r="G518" s="16" t="n">
        <v>815.91</v>
      </c>
      <c r="H518" s="16" t="n">
        <v>815.91</v>
      </c>
      <c r="I518" s="16">
        <f>SUM(K518:T518)</f>
        <v/>
      </c>
      <c r="J518" s="16">
        <f>F518-(G518+H518+I518)</f>
        <v/>
      </c>
      <c r="K518" s="16" t="n">
        <v>489.55</v>
      </c>
      <c r="L518" s="16" t="n">
        <v>489.55</v>
      </c>
      <c r="M518" s="16" t="n">
        <v>489.55</v>
      </c>
      <c r="N518" s="16" t="n">
        <v>489.55</v>
      </c>
      <c r="O518" s="16" t="n">
        <v>489.55</v>
      </c>
      <c r="P518" s="16" t="n">
        <v>489.55</v>
      </c>
      <c r="Q518" s="16" t="n">
        <v>489.55</v>
      </c>
      <c r="R518" s="16" t="n">
        <v>489.55</v>
      </c>
      <c r="S518" s="16" t="n">
        <v>489.55</v>
      </c>
      <c r="T518" s="16" t="n">
        <v>489.55</v>
      </c>
      <c r="U518" s="16" t="n">
        <v>350</v>
      </c>
      <c r="V518" s="16" t="n">
        <v>0</v>
      </c>
      <c r="W518" s="16">
        <f>U518+V518</f>
        <v/>
      </c>
    </row>
    <row r="519">
      <c r="A519" s="3" t="inlineStr">
        <is>
          <t>CANON-202605-006681</t>
        </is>
      </c>
      <c r="B519" s="3" t="inlineStr">
        <is>
          <t>2026-05-24</t>
        </is>
      </c>
      <c r="C519" s="3" t="inlineStr">
        <is>
          <t>Callum Delacroix</t>
        </is>
      </c>
      <c r="D519" s="3" t="inlineStr">
        <is>
          <t>PA</t>
        </is>
      </c>
      <c r="E519" s="14" t="n">
        <v>1150000</v>
      </c>
      <c r="F519" s="14" t="n">
        <v>9275.07</v>
      </c>
      <c r="G519" s="14" t="n">
        <v>1159.38</v>
      </c>
      <c r="H519" s="14" t="n">
        <v>1159.38</v>
      </c>
      <c r="I519" s="14">
        <f>SUM(K519:T519)</f>
        <v/>
      </c>
      <c r="J519" s="14">
        <f>F519-(G519+H519+I519)</f>
        <v/>
      </c>
      <c r="K519" s="14" t="n">
        <v>695.63</v>
      </c>
      <c r="L519" s="14" t="n">
        <v>695.63</v>
      </c>
      <c r="M519" s="14" t="n">
        <v>695.63</v>
      </c>
      <c r="N519" s="14" t="n">
        <v>695.63</v>
      </c>
      <c r="O519" s="14" t="n">
        <v>695.63</v>
      </c>
      <c r="P519" s="14" t="n">
        <v>695.63</v>
      </c>
      <c r="Q519" s="14" t="n">
        <v>695.63</v>
      </c>
      <c r="R519" s="14" t="n">
        <v>695.63</v>
      </c>
      <c r="S519" s="14" t="n">
        <v>695.63</v>
      </c>
      <c r="T519" s="14" t="n">
        <v>695.63</v>
      </c>
      <c r="U519" s="14" t="n">
        <v>350</v>
      </c>
      <c r="V519" s="14" t="n">
        <v>250</v>
      </c>
      <c r="W519" s="14">
        <f>U519+V519</f>
        <v/>
      </c>
    </row>
    <row r="520">
      <c r="A520" s="15" t="inlineStr">
        <is>
          <t>CANON-202605-006682</t>
        </is>
      </c>
      <c r="B520" s="15" t="inlineStr">
        <is>
          <t>2026-05-24</t>
        </is>
      </c>
      <c r="C520" s="15" t="inlineStr">
        <is>
          <t>Horace Vandermeer</t>
        </is>
      </c>
      <c r="D520" s="15" t="inlineStr">
        <is>
          <t>OR</t>
        </is>
      </c>
      <c r="E520" s="16" t="n">
        <v>425000</v>
      </c>
      <c r="F520" s="16" t="n">
        <v>5281.84</v>
      </c>
      <c r="G520" s="16" t="n">
        <v>660.23</v>
      </c>
      <c r="H520" s="16" t="n">
        <v>660.23</v>
      </c>
      <c r="I520" s="16">
        <f>SUM(K520:T520)</f>
        <v/>
      </c>
      <c r="J520" s="16">
        <f>F520-(G520+H520+I520)</f>
        <v/>
      </c>
      <c r="K520" s="16" t="n">
        <v>396.14</v>
      </c>
      <c r="L520" s="16" t="n">
        <v>396.14</v>
      </c>
      <c r="M520" s="16" t="n">
        <v>396.14</v>
      </c>
      <c r="N520" s="16" t="n">
        <v>396.14</v>
      </c>
      <c r="O520" s="16" t="n">
        <v>396.14</v>
      </c>
      <c r="P520" s="16" t="n">
        <v>396.14</v>
      </c>
      <c r="Q520" s="16" t="n">
        <v>396.14</v>
      </c>
      <c r="R520" s="16" t="n">
        <v>396.14</v>
      </c>
      <c r="S520" s="16" t="n">
        <v>396.14</v>
      </c>
      <c r="T520" s="16" t="n">
        <v>396.14</v>
      </c>
      <c r="U520" s="16" t="n">
        <v>350</v>
      </c>
      <c r="V520" s="16" t="n">
        <v>0</v>
      </c>
      <c r="W520" s="16">
        <f>U520+V520</f>
        <v/>
      </c>
    </row>
    <row r="521">
      <c r="A521" s="3" t="inlineStr">
        <is>
          <t>CANON-202605-006683</t>
        </is>
      </c>
      <c r="B521" s="3" t="inlineStr">
        <is>
          <t>2026-05-17</t>
        </is>
      </c>
      <c r="C521" s="3" t="inlineStr">
        <is>
          <t>Aurelio Harrington</t>
        </is>
      </c>
      <c r="D521" s="3" t="inlineStr">
        <is>
          <t>MI</t>
        </is>
      </c>
      <c r="E521" s="14" t="n">
        <v>170000</v>
      </c>
      <c r="F521" s="14" t="n">
        <v>3554.88</v>
      </c>
      <c r="G521" s="14" t="n">
        <v>444.36</v>
      </c>
      <c r="H521" s="14" t="n">
        <v>444.36</v>
      </c>
      <c r="I521" s="14">
        <f>SUM(K521:T521)</f>
        <v/>
      </c>
      <c r="J521" s="14">
        <f>F521-(G521+H521+I521)</f>
        <v/>
      </c>
      <c r="K521" s="14" t="n">
        <v>266.62</v>
      </c>
      <c r="L521" s="14" t="n">
        <v>266.62</v>
      </c>
      <c r="M521" s="14" t="n">
        <v>266.62</v>
      </c>
      <c r="N521" s="14" t="n">
        <v>266.62</v>
      </c>
      <c r="O521" s="14" t="n">
        <v>266.62</v>
      </c>
      <c r="P521" s="14" t="n">
        <v>266.62</v>
      </c>
      <c r="Q521" s="14" t="n">
        <v>266.62</v>
      </c>
      <c r="R521" s="14" t="n">
        <v>266.62</v>
      </c>
      <c r="S521" s="14" t="n">
        <v>266.62</v>
      </c>
      <c r="T521" s="14" t="n">
        <v>266.62</v>
      </c>
      <c r="U521" s="14" t="n">
        <v>350</v>
      </c>
      <c r="V521" s="14" t="n">
        <v>0</v>
      </c>
      <c r="W521" s="14">
        <f>U521+V521</f>
        <v/>
      </c>
    </row>
    <row r="522">
      <c r="A522" s="15" t="inlineStr">
        <is>
          <t>CANON-202605-006684</t>
        </is>
      </c>
      <c r="B522" s="15" t="inlineStr">
        <is>
          <t>2026-05-07</t>
        </is>
      </c>
      <c r="C522" s="15" t="inlineStr">
        <is>
          <t>Everett Castellanos</t>
        </is>
      </c>
      <c r="D522" s="15" t="inlineStr">
        <is>
          <t>PA</t>
        </is>
      </c>
      <c r="E522" s="16" t="n">
        <v>505000</v>
      </c>
      <c r="F522" s="16" t="n">
        <v>2814.05</v>
      </c>
      <c r="G522" s="16" t="n">
        <v>351.76</v>
      </c>
      <c r="H522" s="16" t="n">
        <v>351.76</v>
      </c>
      <c r="I522" s="16">
        <f>SUM(K522:T522)</f>
        <v/>
      </c>
      <c r="J522" s="16">
        <f>F522-(G522+H522+I522)</f>
        <v/>
      </c>
      <c r="K522" s="16" t="n">
        <v>211.05</v>
      </c>
      <c r="L522" s="16" t="n">
        <v>211.05</v>
      </c>
      <c r="M522" s="16" t="n">
        <v>211.05</v>
      </c>
      <c r="N522" s="16" t="n">
        <v>211.05</v>
      </c>
      <c r="O522" s="16" t="n">
        <v>211.05</v>
      </c>
      <c r="P522" s="16" t="n">
        <v>211.05</v>
      </c>
      <c r="Q522" s="16" t="n">
        <v>211.05</v>
      </c>
      <c r="R522" s="16" t="n">
        <v>211.05</v>
      </c>
      <c r="S522" s="16" t="n">
        <v>211.05</v>
      </c>
      <c r="T522" s="16" t="n">
        <v>211.05</v>
      </c>
      <c r="U522" s="16" t="n">
        <v>350</v>
      </c>
      <c r="V522" s="16" t="n">
        <v>0</v>
      </c>
      <c r="W522" s="16">
        <f>U522+V522</f>
        <v/>
      </c>
    </row>
    <row r="523">
      <c r="A523" s="3" t="inlineStr">
        <is>
          <t>CANON-202605-006686</t>
        </is>
      </c>
      <c r="B523" s="3" t="inlineStr">
        <is>
          <t>2026-05-12</t>
        </is>
      </c>
      <c r="C523" s="3" t="inlineStr">
        <is>
          <t>Ingrid Whitlock</t>
        </is>
      </c>
      <c r="D523" s="3" t="inlineStr">
        <is>
          <t>OR</t>
        </is>
      </c>
      <c r="E523" s="14" t="n">
        <v>385000</v>
      </c>
      <c r="F523" s="14" t="n">
        <v>7336.58</v>
      </c>
      <c r="G523" s="14" t="n">
        <v>917.0700000000001</v>
      </c>
      <c r="H523" s="14" t="n">
        <v>917.0700000000001</v>
      </c>
      <c r="I523" s="14">
        <f>SUM(K523:T523)</f>
        <v/>
      </c>
      <c r="J523" s="14">
        <f>F523-(G523+H523+I523)</f>
        <v/>
      </c>
      <c r="K523" s="14" t="n">
        <v>550.24</v>
      </c>
      <c r="L523" s="14" t="n">
        <v>550.24</v>
      </c>
      <c r="M523" s="14" t="n">
        <v>550.24</v>
      </c>
      <c r="N523" s="14" t="n">
        <v>550.24</v>
      </c>
      <c r="O523" s="14" t="n">
        <v>550.24</v>
      </c>
      <c r="P523" s="14" t="n">
        <v>550.24</v>
      </c>
      <c r="Q523" s="14" t="n">
        <v>550.24</v>
      </c>
      <c r="R523" s="14" t="n">
        <v>550.24</v>
      </c>
      <c r="S523" s="14" t="n">
        <v>550.24</v>
      </c>
      <c r="T523" s="14" t="n">
        <v>550.24</v>
      </c>
      <c r="U523" s="14" t="n">
        <v>350</v>
      </c>
      <c r="V523" s="14" t="n">
        <v>0</v>
      </c>
      <c r="W523" s="14">
        <f>U523+V523</f>
        <v/>
      </c>
    </row>
    <row r="524">
      <c r="A524" s="15" t="inlineStr">
        <is>
          <t>CANON-202605-006687</t>
        </is>
      </c>
      <c r="B524" s="15" t="inlineStr">
        <is>
          <t>2026-05-20</t>
        </is>
      </c>
      <c r="C524" s="15" t="inlineStr">
        <is>
          <t>Desmond Ashcombe</t>
        </is>
      </c>
      <c r="D524" s="15" t="inlineStr">
        <is>
          <t>UT</t>
        </is>
      </c>
      <c r="E524" s="16" t="n">
        <v>720000</v>
      </c>
      <c r="F524" s="16" t="n">
        <v>9264.809999999999</v>
      </c>
      <c r="G524" s="16" t="n">
        <v>1158.1</v>
      </c>
      <c r="H524" s="16" t="n">
        <v>1158.1</v>
      </c>
      <c r="I524" s="16">
        <f>SUM(K524:T524)</f>
        <v/>
      </c>
      <c r="J524" s="16">
        <f>F524-(G524+H524+I524)</f>
        <v/>
      </c>
      <c r="K524" s="16" t="n">
        <v>694.86</v>
      </c>
      <c r="L524" s="16" t="n">
        <v>694.86</v>
      </c>
      <c r="M524" s="16" t="n">
        <v>694.86</v>
      </c>
      <c r="N524" s="16" t="n">
        <v>694.86</v>
      </c>
      <c r="O524" s="16" t="n">
        <v>694.86</v>
      </c>
      <c r="P524" s="16" t="n">
        <v>694.86</v>
      </c>
      <c r="Q524" s="16" t="n">
        <v>694.86</v>
      </c>
      <c r="R524" s="16" t="n">
        <v>694.86</v>
      </c>
      <c r="S524" s="16" t="n">
        <v>694.86</v>
      </c>
      <c r="T524" s="16" t="n">
        <v>694.86</v>
      </c>
      <c r="U524" s="16" t="n">
        <v>350</v>
      </c>
      <c r="V524" s="16" t="n">
        <v>0</v>
      </c>
      <c r="W524" s="16">
        <f>U524+V524</f>
        <v/>
      </c>
    </row>
    <row r="525">
      <c r="A525" s="3" t="inlineStr">
        <is>
          <t>CANON-202605-006691</t>
        </is>
      </c>
      <c r="B525" s="3" t="inlineStr">
        <is>
          <t>2026-05-17</t>
        </is>
      </c>
      <c r="C525" s="3" t="inlineStr">
        <is>
          <t>Everett Thistlewood</t>
        </is>
      </c>
      <c r="D525" s="3" t="inlineStr">
        <is>
          <t>WA</t>
        </is>
      </c>
      <c r="E525" s="14" t="n">
        <v>605000</v>
      </c>
      <c r="F525" s="14" t="n">
        <v>5536.01</v>
      </c>
      <c r="G525" s="14" t="n">
        <v>692</v>
      </c>
      <c r="H525" s="14" t="n">
        <v>692</v>
      </c>
      <c r="I525" s="14">
        <f>SUM(K525:T525)</f>
        <v/>
      </c>
      <c r="J525" s="14">
        <f>F525-(G525+H525+I525)</f>
        <v/>
      </c>
      <c r="K525" s="14" t="n">
        <v>415.2</v>
      </c>
      <c r="L525" s="14" t="n">
        <v>415.2</v>
      </c>
      <c r="M525" s="14" t="n">
        <v>415.2</v>
      </c>
      <c r="N525" s="14" t="n">
        <v>415.2</v>
      </c>
      <c r="O525" s="14" t="n">
        <v>415.2</v>
      </c>
      <c r="P525" s="14" t="n">
        <v>415.2</v>
      </c>
      <c r="Q525" s="14" t="n">
        <v>415.2</v>
      </c>
      <c r="R525" s="14" t="n">
        <v>415.2</v>
      </c>
      <c r="S525" s="14" t="n">
        <v>415.2</v>
      </c>
      <c r="T525" s="14" t="n">
        <v>415.2</v>
      </c>
      <c r="U525" s="14" t="n">
        <v>350</v>
      </c>
      <c r="V525" s="14" t="n">
        <v>0</v>
      </c>
      <c r="W525" s="14">
        <f>U525+V525</f>
        <v/>
      </c>
    </row>
    <row r="526">
      <c r="A526" s="15" t="inlineStr">
        <is>
          <t>CANON-202605-006692</t>
        </is>
      </c>
      <c r="B526" s="15" t="inlineStr">
        <is>
          <t>2026-05-04</t>
        </is>
      </c>
      <c r="C526" s="15" t="inlineStr">
        <is>
          <t>Ramona Kingsford</t>
        </is>
      </c>
      <c r="D526" s="15" t="inlineStr">
        <is>
          <t>FL</t>
        </is>
      </c>
      <c r="E526" s="16" t="n">
        <v>590000</v>
      </c>
      <c r="F526" s="16" t="n">
        <v>7985.66</v>
      </c>
      <c r="G526" s="16" t="n">
        <v>998.21</v>
      </c>
      <c r="H526" s="16" t="n">
        <v>998.21</v>
      </c>
      <c r="I526" s="16">
        <f>SUM(K526:T526)</f>
        <v/>
      </c>
      <c r="J526" s="16">
        <f>F526-(G526+H526+I526)</f>
        <v/>
      </c>
      <c r="K526" s="16" t="n">
        <v>598.92</v>
      </c>
      <c r="L526" s="16" t="n">
        <v>598.92</v>
      </c>
      <c r="M526" s="16" t="n">
        <v>598.92</v>
      </c>
      <c r="N526" s="16" t="n">
        <v>598.92</v>
      </c>
      <c r="O526" s="16" t="n">
        <v>598.92</v>
      </c>
      <c r="P526" s="16" t="n">
        <v>598.92</v>
      </c>
      <c r="Q526" s="16" t="n">
        <v>598.92</v>
      </c>
      <c r="R526" s="16" t="n">
        <v>598.92</v>
      </c>
      <c r="S526" s="16" t="n">
        <v>598.92</v>
      </c>
      <c r="T526" s="16" t="n">
        <v>598.92</v>
      </c>
      <c r="U526" s="16" t="n">
        <v>350</v>
      </c>
      <c r="V526" s="16" t="n">
        <v>0</v>
      </c>
      <c r="W526" s="16">
        <f>U526+V526</f>
        <v/>
      </c>
    </row>
    <row r="527">
      <c r="A527" s="3" t="inlineStr">
        <is>
          <t>CANON-202605-006693</t>
        </is>
      </c>
      <c r="B527" s="3" t="inlineStr">
        <is>
          <t>2026-05-19</t>
        </is>
      </c>
      <c r="C527" s="3" t="inlineStr">
        <is>
          <t>Thaddeus Thistlewood</t>
        </is>
      </c>
      <c r="D527" s="3" t="inlineStr">
        <is>
          <t>CO</t>
        </is>
      </c>
      <c r="E527" s="14" t="n">
        <v>1555000</v>
      </c>
      <c r="F527" s="14" t="n">
        <v>20066.43</v>
      </c>
      <c r="G527" s="14" t="n">
        <v>2508.3</v>
      </c>
      <c r="H527" s="14" t="n">
        <v>2508.3</v>
      </c>
      <c r="I527" s="14">
        <f>SUM(K527:T527)</f>
        <v/>
      </c>
      <c r="J527" s="14">
        <f>F527-(G527+H527+I527)</f>
        <v/>
      </c>
      <c r="K527" s="14" t="n">
        <v>1504.98</v>
      </c>
      <c r="L527" s="14" t="n">
        <v>1504.98</v>
      </c>
      <c r="M527" s="14" t="n">
        <v>1504.98</v>
      </c>
      <c r="N527" s="14" t="n">
        <v>1504.98</v>
      </c>
      <c r="O527" s="14" t="n">
        <v>1504.98</v>
      </c>
      <c r="P527" s="14" t="n">
        <v>1504.98</v>
      </c>
      <c r="Q527" s="14" t="n">
        <v>1504.98</v>
      </c>
      <c r="R527" s="14" t="n">
        <v>1504.98</v>
      </c>
      <c r="S527" s="14" t="n">
        <v>1504.98</v>
      </c>
      <c r="T527" s="14" t="n">
        <v>1504.98</v>
      </c>
      <c r="U527" s="14" t="n">
        <v>350</v>
      </c>
      <c r="V527" s="14" t="n">
        <v>250</v>
      </c>
      <c r="W527" s="14">
        <f>U527+V527</f>
        <v/>
      </c>
    </row>
    <row r="528">
      <c r="A528" s="15" t="inlineStr">
        <is>
          <t>CANON-202605-006695</t>
        </is>
      </c>
      <c r="B528" s="15" t="inlineStr">
        <is>
          <t>2026-05-08</t>
        </is>
      </c>
      <c r="C528" s="15" t="inlineStr">
        <is>
          <t>Ramona Harrington</t>
        </is>
      </c>
      <c r="D528" s="15" t="inlineStr">
        <is>
          <t>UT</t>
        </is>
      </c>
      <c r="E528" s="16" t="n">
        <v>350000</v>
      </c>
      <c r="F528" s="16" t="n">
        <v>3325.83</v>
      </c>
      <c r="G528" s="16" t="n">
        <v>415.73</v>
      </c>
      <c r="H528" s="16" t="n">
        <v>415.73</v>
      </c>
      <c r="I528" s="16">
        <f>SUM(K528:T528)</f>
        <v/>
      </c>
      <c r="J528" s="16">
        <f>F528-(G528+H528+I528)</f>
        <v/>
      </c>
      <c r="K528" s="16" t="n">
        <v>249.44</v>
      </c>
      <c r="L528" s="16" t="n">
        <v>249.44</v>
      </c>
      <c r="M528" s="16" t="n">
        <v>249.44</v>
      </c>
      <c r="N528" s="16" t="n">
        <v>249.44</v>
      </c>
      <c r="O528" s="16" t="n">
        <v>249.44</v>
      </c>
      <c r="P528" s="16" t="n">
        <v>249.44</v>
      </c>
      <c r="Q528" s="16" t="n">
        <v>249.44</v>
      </c>
      <c r="R528" s="16" t="n">
        <v>249.44</v>
      </c>
      <c r="S528" s="16" t="n">
        <v>249.44</v>
      </c>
      <c r="T528" s="16" t="n">
        <v>249.44</v>
      </c>
      <c r="U528" s="16" t="n">
        <v>350</v>
      </c>
      <c r="V528" s="16" t="n">
        <v>0</v>
      </c>
      <c r="W528" s="16">
        <f>U528+V528</f>
        <v/>
      </c>
    </row>
    <row r="529">
      <c r="A529" s="3" t="inlineStr">
        <is>
          <t>CANON-202605-006698</t>
        </is>
      </c>
      <c r="B529" s="3" t="inlineStr">
        <is>
          <t>2026-05-08</t>
        </is>
      </c>
      <c r="C529" s="3" t="inlineStr">
        <is>
          <t>Thaddeus Farkas</t>
        </is>
      </c>
      <c r="D529" s="3" t="inlineStr">
        <is>
          <t>WA</t>
        </is>
      </c>
      <c r="E529" s="14" t="n">
        <v>610000</v>
      </c>
      <c r="F529" s="14" t="n">
        <v>3692.55</v>
      </c>
      <c r="G529" s="14" t="n">
        <v>461.57</v>
      </c>
      <c r="H529" s="14" t="n">
        <v>461.57</v>
      </c>
      <c r="I529" s="14">
        <f>SUM(K529:T529)</f>
        <v/>
      </c>
      <c r="J529" s="14">
        <f>F529-(G529+H529+I529)</f>
        <v/>
      </c>
      <c r="K529" s="14" t="n">
        <v>276.94</v>
      </c>
      <c r="L529" s="14" t="n">
        <v>276.94</v>
      </c>
      <c r="M529" s="14" t="n">
        <v>276.94</v>
      </c>
      <c r="N529" s="14" t="n">
        <v>276.94</v>
      </c>
      <c r="O529" s="14" t="n">
        <v>276.94</v>
      </c>
      <c r="P529" s="14" t="n">
        <v>276.94</v>
      </c>
      <c r="Q529" s="14" t="n">
        <v>276.94</v>
      </c>
      <c r="R529" s="14" t="n">
        <v>276.94</v>
      </c>
      <c r="S529" s="14" t="n">
        <v>276.94</v>
      </c>
      <c r="T529" s="14" t="n">
        <v>276.94</v>
      </c>
      <c r="U529" s="14" t="n">
        <v>350</v>
      </c>
      <c r="V529" s="14" t="n">
        <v>0</v>
      </c>
      <c r="W529" s="14">
        <f>U529+V529</f>
        <v/>
      </c>
    </row>
    <row r="530">
      <c r="A530" s="15" t="inlineStr">
        <is>
          <t>CANON-202605-006701</t>
        </is>
      </c>
      <c r="B530" s="15" t="inlineStr">
        <is>
          <t>2026-05-23</t>
        </is>
      </c>
      <c r="C530" s="15" t="inlineStr">
        <is>
          <t>Beatrix Ashcombe</t>
        </is>
      </c>
      <c r="D530" s="15" t="inlineStr">
        <is>
          <t>UT</t>
        </is>
      </c>
      <c r="E530" s="16" t="n">
        <v>350000</v>
      </c>
      <c r="F530" s="16" t="n">
        <v>5196.61</v>
      </c>
      <c r="G530" s="16" t="n">
        <v>649.58</v>
      </c>
      <c r="H530" s="16" t="n">
        <v>649.58</v>
      </c>
      <c r="I530" s="16">
        <f>SUM(K530:T530)</f>
        <v/>
      </c>
      <c r="J530" s="16">
        <f>F530-(G530+H530+I530)</f>
        <v/>
      </c>
      <c r="K530" s="16" t="n">
        <v>389.75</v>
      </c>
      <c r="L530" s="16" t="n">
        <v>389.75</v>
      </c>
      <c r="M530" s="16" t="n">
        <v>389.75</v>
      </c>
      <c r="N530" s="16" t="n">
        <v>389.75</v>
      </c>
      <c r="O530" s="16" t="n">
        <v>389.75</v>
      </c>
      <c r="P530" s="16" t="n">
        <v>389.75</v>
      </c>
      <c r="Q530" s="16" t="n">
        <v>389.75</v>
      </c>
      <c r="R530" s="16" t="n">
        <v>389.75</v>
      </c>
      <c r="S530" s="16" t="n">
        <v>389.75</v>
      </c>
      <c r="T530" s="16" t="n">
        <v>389.75</v>
      </c>
      <c r="U530" s="16" t="n">
        <v>350</v>
      </c>
      <c r="V530" s="16" t="n">
        <v>0</v>
      </c>
      <c r="W530" s="16">
        <f>U530+V530</f>
        <v/>
      </c>
    </row>
    <row r="531">
      <c r="A531" s="3" t="inlineStr">
        <is>
          <t>CANON-202605-006702</t>
        </is>
      </c>
      <c r="B531" s="3" t="inlineStr">
        <is>
          <t>2026-05-13</t>
        </is>
      </c>
      <c r="C531" s="3" t="inlineStr">
        <is>
          <t>Marisol Montoya</t>
        </is>
      </c>
      <c r="D531" s="3" t="inlineStr">
        <is>
          <t>CA</t>
        </is>
      </c>
      <c r="E531" s="14" t="n">
        <v>1410000</v>
      </c>
      <c r="F531" s="14" t="n">
        <v>22330.57</v>
      </c>
      <c r="G531" s="14" t="n">
        <v>2791.32</v>
      </c>
      <c r="H531" s="14" t="n">
        <v>2791.32</v>
      </c>
      <c r="I531" s="14">
        <f>SUM(K531:T531)</f>
        <v/>
      </c>
      <c r="J531" s="14">
        <f>F531-(G531+H531+I531)</f>
        <v/>
      </c>
      <c r="K531" s="14" t="n">
        <v>1674.79</v>
      </c>
      <c r="L531" s="14" t="n">
        <v>1674.79</v>
      </c>
      <c r="M531" s="14" t="n">
        <v>1674.79</v>
      </c>
      <c r="N531" s="14" t="n">
        <v>1674.79</v>
      </c>
      <c r="O531" s="14" t="n">
        <v>1674.79</v>
      </c>
      <c r="P531" s="14" t="n">
        <v>1674.79</v>
      </c>
      <c r="Q531" s="14" t="n">
        <v>1674.79</v>
      </c>
      <c r="R531" s="14" t="n">
        <v>1674.79</v>
      </c>
      <c r="S531" s="14" t="n">
        <v>1674.79</v>
      </c>
      <c r="T531" s="14" t="n">
        <v>1674.79</v>
      </c>
      <c r="U531" s="14" t="n">
        <v>350</v>
      </c>
      <c r="V531" s="14" t="n">
        <v>250</v>
      </c>
      <c r="W531" s="14">
        <f>U531+V531</f>
        <v/>
      </c>
    </row>
    <row r="532">
      <c r="A532" s="15" t="inlineStr">
        <is>
          <t>CANON-202605-006706</t>
        </is>
      </c>
      <c r="B532" s="15" t="inlineStr">
        <is>
          <t>2026-05-19</t>
        </is>
      </c>
      <c r="C532" s="15" t="inlineStr">
        <is>
          <t>Lorenzo Rourke</t>
        </is>
      </c>
      <c r="D532" s="15" t="inlineStr">
        <is>
          <t>WI</t>
        </is>
      </c>
      <c r="E532" s="16" t="n">
        <v>1705000</v>
      </c>
      <c r="F532" s="16" t="n">
        <v>24002.28</v>
      </c>
      <c r="G532" s="16" t="n">
        <v>3000.28</v>
      </c>
      <c r="H532" s="16" t="n">
        <v>3000.28</v>
      </c>
      <c r="I532" s="16">
        <f>SUM(K532:T532)</f>
        <v/>
      </c>
      <c r="J532" s="16">
        <f>F532-(G532+H532+I532)</f>
        <v/>
      </c>
      <c r="K532" s="16" t="n">
        <v>1800.17</v>
      </c>
      <c r="L532" s="16" t="n">
        <v>1800.17</v>
      </c>
      <c r="M532" s="16" t="n">
        <v>1800.17</v>
      </c>
      <c r="N532" s="16" t="n">
        <v>1800.17</v>
      </c>
      <c r="O532" s="16" t="n">
        <v>1800.17</v>
      </c>
      <c r="P532" s="16" t="n">
        <v>1800.17</v>
      </c>
      <c r="Q532" s="16" t="n">
        <v>1800.17</v>
      </c>
      <c r="R532" s="16" t="n">
        <v>1800.17</v>
      </c>
      <c r="S532" s="16" t="n">
        <v>1800.17</v>
      </c>
      <c r="T532" s="16" t="n">
        <v>1800.17</v>
      </c>
      <c r="U532" s="16" t="n">
        <v>350</v>
      </c>
      <c r="V532" s="16" t="n">
        <v>250</v>
      </c>
      <c r="W532" s="16">
        <f>U532+V532</f>
        <v/>
      </c>
    </row>
    <row r="533">
      <c r="A533" s="3" t="inlineStr">
        <is>
          <t>CANON-202605-006707</t>
        </is>
      </c>
      <c r="B533" s="3" t="inlineStr">
        <is>
          <t>2026-05-03</t>
        </is>
      </c>
      <c r="C533" s="3" t="inlineStr">
        <is>
          <t>Emiliano Nakashima</t>
        </is>
      </c>
      <c r="D533" s="3" t="inlineStr">
        <is>
          <t>SD</t>
        </is>
      </c>
      <c r="E533" s="14" t="n">
        <v>1950000</v>
      </c>
      <c r="F533" s="14" t="n">
        <v>17457.3</v>
      </c>
      <c r="G533" s="14" t="n">
        <v>2182.16</v>
      </c>
      <c r="H533" s="14" t="n">
        <v>2182.16</v>
      </c>
      <c r="I533" s="14">
        <f>SUM(K533:T533)</f>
        <v/>
      </c>
      <c r="J533" s="14">
        <f>F533-(G533+H533+I533)</f>
        <v/>
      </c>
      <c r="K533" s="14" t="n">
        <v>1309.3</v>
      </c>
      <c r="L533" s="14" t="n">
        <v>1309.3</v>
      </c>
      <c r="M533" s="14" t="n">
        <v>1309.3</v>
      </c>
      <c r="N533" s="14" t="n">
        <v>1309.3</v>
      </c>
      <c r="O533" s="14" t="n">
        <v>1309.3</v>
      </c>
      <c r="P533" s="14" t="n">
        <v>1309.3</v>
      </c>
      <c r="Q533" s="14" t="n">
        <v>1309.3</v>
      </c>
      <c r="R533" s="14" t="n">
        <v>1309.3</v>
      </c>
      <c r="S533" s="14" t="n">
        <v>1309.3</v>
      </c>
      <c r="T533" s="14" t="n">
        <v>1309.3</v>
      </c>
      <c r="U533" s="14" t="n">
        <v>350</v>
      </c>
      <c r="V533" s="14" t="n">
        <v>250</v>
      </c>
      <c r="W533" s="14">
        <f>U533+V533</f>
        <v/>
      </c>
    </row>
    <row r="534">
      <c r="A534" s="15" t="inlineStr">
        <is>
          <t>CANON-202605-006708</t>
        </is>
      </c>
      <c r="B534" s="15" t="inlineStr">
        <is>
          <t>2026-05-07</t>
        </is>
      </c>
      <c r="C534" s="15" t="inlineStr">
        <is>
          <t>Everett Larsson</t>
        </is>
      </c>
      <c r="D534" s="15" t="inlineStr">
        <is>
          <t>TN</t>
        </is>
      </c>
      <c r="E534" s="16" t="n">
        <v>405000</v>
      </c>
      <c r="F534" s="16" t="n">
        <v>4365.15</v>
      </c>
      <c r="G534" s="16" t="n">
        <v>545.64</v>
      </c>
      <c r="H534" s="16" t="n">
        <v>545.64</v>
      </c>
      <c r="I534" s="16">
        <f>SUM(K534:T534)</f>
        <v/>
      </c>
      <c r="J534" s="16">
        <f>F534-(G534+H534+I534)</f>
        <v/>
      </c>
      <c r="K534" s="16" t="n">
        <v>327.39</v>
      </c>
      <c r="L534" s="16" t="n">
        <v>327.39</v>
      </c>
      <c r="M534" s="16" t="n">
        <v>327.39</v>
      </c>
      <c r="N534" s="16" t="n">
        <v>327.39</v>
      </c>
      <c r="O534" s="16" t="n">
        <v>327.39</v>
      </c>
      <c r="P534" s="16" t="n">
        <v>327.39</v>
      </c>
      <c r="Q534" s="16" t="n">
        <v>327.39</v>
      </c>
      <c r="R534" s="16" t="n">
        <v>327.39</v>
      </c>
      <c r="S534" s="16" t="n">
        <v>327.39</v>
      </c>
      <c r="T534" s="16" t="n">
        <v>327.39</v>
      </c>
      <c r="U534" s="16" t="n">
        <v>350</v>
      </c>
      <c r="V534" s="16" t="n">
        <v>0</v>
      </c>
      <c r="W534" s="16">
        <f>U534+V534</f>
        <v/>
      </c>
    </row>
    <row r="535">
      <c r="A535" s="3" t="inlineStr">
        <is>
          <t>CANON-202605-006710</t>
        </is>
      </c>
      <c r="B535" s="3" t="inlineStr">
        <is>
          <t>2026-05-01</t>
        </is>
      </c>
      <c r="C535" s="3" t="inlineStr">
        <is>
          <t>Wilhelmina Rourke</t>
        </is>
      </c>
      <c r="D535" s="3" t="inlineStr">
        <is>
          <t>SC</t>
        </is>
      </c>
      <c r="E535" s="14" t="n">
        <v>1950000</v>
      </c>
      <c r="F535" s="14" t="n">
        <v>13474.01</v>
      </c>
      <c r="G535" s="14" t="n">
        <v>1684.25</v>
      </c>
      <c r="H535" s="14" t="n">
        <v>1684.25</v>
      </c>
      <c r="I535" s="14">
        <f>SUM(K535:T535)</f>
        <v/>
      </c>
      <c r="J535" s="14">
        <f>F535-(G535+H535+I535)</f>
        <v/>
      </c>
      <c r="K535" s="14" t="n">
        <v>1010.55</v>
      </c>
      <c r="L535" s="14" t="n">
        <v>1010.55</v>
      </c>
      <c r="M535" s="14" t="n">
        <v>1010.55</v>
      </c>
      <c r="N535" s="14" t="n">
        <v>1010.55</v>
      </c>
      <c r="O535" s="14" t="n">
        <v>1010.55</v>
      </c>
      <c r="P535" s="14" t="n">
        <v>1010.55</v>
      </c>
      <c r="Q535" s="14" t="n">
        <v>1010.55</v>
      </c>
      <c r="R535" s="14" t="n">
        <v>1010.55</v>
      </c>
      <c r="S535" s="14" t="n">
        <v>1010.55</v>
      </c>
      <c r="T535" s="14" t="n">
        <v>1010.55</v>
      </c>
      <c r="U535" s="14" t="n">
        <v>350</v>
      </c>
      <c r="V535" s="14" t="n">
        <v>250</v>
      </c>
      <c r="W535" s="14">
        <f>U535+V535</f>
        <v/>
      </c>
    </row>
    <row r="536">
      <c r="A536" s="15" t="inlineStr">
        <is>
          <t>CANON-202605-006712</t>
        </is>
      </c>
      <c r="B536" s="15" t="inlineStr">
        <is>
          <t>2026-05-09</t>
        </is>
      </c>
      <c r="C536" s="15" t="inlineStr">
        <is>
          <t>Ramona Vasquez</t>
        </is>
      </c>
      <c r="D536" s="15" t="inlineStr">
        <is>
          <t>MI</t>
        </is>
      </c>
      <c r="E536" s="16" t="n">
        <v>1950000</v>
      </c>
      <c r="F536" s="16" t="n">
        <v>35457.92</v>
      </c>
      <c r="G536" s="16" t="n">
        <v>4432.24</v>
      </c>
      <c r="H536" s="16" t="n">
        <v>4432.24</v>
      </c>
      <c r="I536" s="16">
        <f>SUM(K536:T536)</f>
        <v/>
      </c>
      <c r="J536" s="16">
        <f>F536-(G536+H536+I536)</f>
        <v/>
      </c>
      <c r="K536" s="16" t="n">
        <v>2659.34</v>
      </c>
      <c r="L536" s="16" t="n">
        <v>2659.34</v>
      </c>
      <c r="M536" s="16" t="n">
        <v>2659.34</v>
      </c>
      <c r="N536" s="16" t="n">
        <v>2659.34</v>
      </c>
      <c r="O536" s="16" t="n">
        <v>2659.34</v>
      </c>
      <c r="P536" s="16" t="n">
        <v>2659.34</v>
      </c>
      <c r="Q536" s="16" t="n">
        <v>2659.34</v>
      </c>
      <c r="R536" s="16" t="n">
        <v>2659.34</v>
      </c>
      <c r="S536" s="16" t="n">
        <v>2659.34</v>
      </c>
      <c r="T536" s="16" t="n">
        <v>2659.34</v>
      </c>
      <c r="U536" s="16" t="n">
        <v>350</v>
      </c>
      <c r="V536" s="16" t="n">
        <v>250</v>
      </c>
      <c r="W536" s="16">
        <f>U536+V536</f>
        <v/>
      </c>
    </row>
    <row r="537">
      <c r="A537" s="3" t="inlineStr">
        <is>
          <t>CANON-202605-006714</t>
        </is>
      </c>
      <c r="B537" s="3" t="inlineStr">
        <is>
          <t>2026-05-28</t>
        </is>
      </c>
      <c r="C537" s="3" t="inlineStr">
        <is>
          <t>Ramona Harrington</t>
        </is>
      </c>
      <c r="D537" s="3" t="inlineStr">
        <is>
          <t>MD</t>
        </is>
      </c>
      <c r="E537" s="14" t="n">
        <v>1630000</v>
      </c>
      <c r="F537" s="14" t="n">
        <v>12489.09</v>
      </c>
      <c r="G537" s="14" t="n">
        <v>1561.14</v>
      </c>
      <c r="H537" s="14" t="n">
        <v>1561.14</v>
      </c>
      <c r="I537" s="14">
        <f>SUM(K537:T537)</f>
        <v/>
      </c>
      <c r="J537" s="14">
        <f>F537-(G537+H537+I537)</f>
        <v/>
      </c>
      <c r="K537" s="14" t="n">
        <v>936.6799999999999</v>
      </c>
      <c r="L537" s="14" t="n">
        <v>936.6799999999999</v>
      </c>
      <c r="M537" s="14" t="n">
        <v>936.6799999999999</v>
      </c>
      <c r="N537" s="14" t="n">
        <v>936.6799999999999</v>
      </c>
      <c r="O537" s="14" t="n">
        <v>936.6799999999999</v>
      </c>
      <c r="P537" s="14" t="n">
        <v>936.6799999999999</v>
      </c>
      <c r="Q537" s="14" t="n">
        <v>936.6799999999999</v>
      </c>
      <c r="R537" s="14" t="n">
        <v>936.6799999999999</v>
      </c>
      <c r="S537" s="14" t="n">
        <v>936.6799999999999</v>
      </c>
      <c r="T537" s="14" t="n">
        <v>936.6799999999999</v>
      </c>
      <c r="U537" s="14" t="n">
        <v>350</v>
      </c>
      <c r="V537" s="14" t="n">
        <v>250</v>
      </c>
      <c r="W537" s="14">
        <f>U537+V537</f>
        <v/>
      </c>
    </row>
    <row r="538">
      <c r="A538" s="15" t="inlineStr">
        <is>
          <t>CANON-202605-006716</t>
        </is>
      </c>
      <c r="B538" s="15" t="inlineStr">
        <is>
          <t>2026-05-17</t>
        </is>
      </c>
      <c r="C538" s="15" t="inlineStr">
        <is>
          <t>Priya Pennington</t>
        </is>
      </c>
      <c r="D538" s="15" t="inlineStr">
        <is>
          <t>WI</t>
        </is>
      </c>
      <c r="E538" s="16" t="n">
        <v>805000</v>
      </c>
      <c r="F538" s="16" t="n">
        <v>9207.620000000001</v>
      </c>
      <c r="G538" s="16" t="n">
        <v>1150.95</v>
      </c>
      <c r="H538" s="16" t="n">
        <v>1150.95</v>
      </c>
      <c r="I538" s="16">
        <f>SUM(K538:T538)</f>
        <v/>
      </c>
      <c r="J538" s="16">
        <f>F538-(G538+H538+I538)</f>
        <v/>
      </c>
      <c r="K538" s="16" t="n">
        <v>690.5700000000001</v>
      </c>
      <c r="L538" s="16" t="n">
        <v>690.5700000000001</v>
      </c>
      <c r="M538" s="16" t="n">
        <v>690.5700000000001</v>
      </c>
      <c r="N538" s="16" t="n">
        <v>690.5700000000001</v>
      </c>
      <c r="O538" s="16" t="n">
        <v>690.5700000000001</v>
      </c>
      <c r="P538" s="16" t="n">
        <v>690.5700000000001</v>
      </c>
      <c r="Q538" s="16" t="n">
        <v>690.5700000000001</v>
      </c>
      <c r="R538" s="16" t="n">
        <v>690.5700000000001</v>
      </c>
      <c r="S538" s="16" t="n">
        <v>690.5700000000001</v>
      </c>
      <c r="T538" s="16" t="n">
        <v>690.5700000000001</v>
      </c>
      <c r="U538" s="16" t="n">
        <v>350</v>
      </c>
      <c r="V538" s="16" t="n">
        <v>0</v>
      </c>
      <c r="W538" s="16">
        <f>U538+V538</f>
        <v/>
      </c>
    </row>
    <row r="539">
      <c r="A539" s="3" t="inlineStr">
        <is>
          <t>CANON-202605-006717</t>
        </is>
      </c>
      <c r="B539" s="3" t="inlineStr">
        <is>
          <t>2026-05-11</t>
        </is>
      </c>
      <c r="C539" s="3" t="inlineStr">
        <is>
          <t>Delphine Okonkwo</t>
        </is>
      </c>
      <c r="D539" s="3" t="inlineStr">
        <is>
          <t>AL</t>
        </is>
      </c>
      <c r="E539" s="14" t="n">
        <v>965000</v>
      </c>
      <c r="F539" s="14" t="n">
        <v>11681.57</v>
      </c>
      <c r="G539" s="14" t="n">
        <v>1460.2</v>
      </c>
      <c r="H539" s="14" t="n">
        <v>1460.2</v>
      </c>
      <c r="I539" s="14">
        <f>SUM(K539:T539)</f>
        <v/>
      </c>
      <c r="J539" s="14">
        <f>F539-(G539+H539+I539)</f>
        <v/>
      </c>
      <c r="K539" s="14" t="n">
        <v>876.12</v>
      </c>
      <c r="L539" s="14" t="n">
        <v>876.12</v>
      </c>
      <c r="M539" s="14" t="n">
        <v>876.12</v>
      </c>
      <c r="N539" s="14" t="n">
        <v>876.12</v>
      </c>
      <c r="O539" s="14" t="n">
        <v>876.12</v>
      </c>
      <c r="P539" s="14" t="n">
        <v>876.12</v>
      </c>
      <c r="Q539" s="14" t="n">
        <v>876.12</v>
      </c>
      <c r="R539" s="14" t="n">
        <v>876.12</v>
      </c>
      <c r="S539" s="14" t="n">
        <v>876.12</v>
      </c>
      <c r="T539" s="14" t="n">
        <v>876.12</v>
      </c>
      <c r="U539" s="14" t="n">
        <v>350</v>
      </c>
      <c r="V539" s="14" t="n">
        <v>0</v>
      </c>
      <c r="W539" s="14">
        <f>U539+V539</f>
        <v/>
      </c>
    </row>
    <row r="540">
      <c r="A540" s="15" t="inlineStr">
        <is>
          <t>CANON-202605-006719</t>
        </is>
      </c>
      <c r="B540" s="15" t="inlineStr">
        <is>
          <t>2026-05-09</t>
        </is>
      </c>
      <c r="C540" s="15" t="inlineStr">
        <is>
          <t>Priya Pennington</t>
        </is>
      </c>
      <c r="D540" s="15" t="inlineStr">
        <is>
          <t>LA</t>
        </is>
      </c>
      <c r="E540" s="16" t="n">
        <v>455000</v>
      </c>
      <c r="F540" s="16" t="n">
        <v>3875.2</v>
      </c>
      <c r="G540" s="16" t="n">
        <v>484.4</v>
      </c>
      <c r="H540" s="16" t="n">
        <v>484.4</v>
      </c>
      <c r="I540" s="16">
        <f>SUM(K540:T540)</f>
        <v/>
      </c>
      <c r="J540" s="16">
        <f>F540-(G540+H540+I540)</f>
        <v/>
      </c>
      <c r="K540" s="16" t="n">
        <v>290.64</v>
      </c>
      <c r="L540" s="16" t="n">
        <v>290.64</v>
      </c>
      <c r="M540" s="16" t="n">
        <v>290.64</v>
      </c>
      <c r="N540" s="16" t="n">
        <v>290.64</v>
      </c>
      <c r="O540" s="16" t="n">
        <v>290.64</v>
      </c>
      <c r="P540" s="16" t="n">
        <v>290.64</v>
      </c>
      <c r="Q540" s="16" t="n">
        <v>290.64</v>
      </c>
      <c r="R540" s="16" t="n">
        <v>290.64</v>
      </c>
      <c r="S540" s="16" t="n">
        <v>290.64</v>
      </c>
      <c r="T540" s="16" t="n">
        <v>290.64</v>
      </c>
      <c r="U540" s="16" t="n">
        <v>350</v>
      </c>
      <c r="V540" s="16" t="n">
        <v>0</v>
      </c>
      <c r="W540" s="16">
        <f>U540+V540</f>
        <v/>
      </c>
    </row>
    <row r="541">
      <c r="A541" s="3" t="inlineStr">
        <is>
          <t>CANON-202605-006720</t>
        </is>
      </c>
      <c r="B541" s="3" t="inlineStr">
        <is>
          <t>2026-05-12</t>
        </is>
      </c>
      <c r="C541" s="3" t="inlineStr">
        <is>
          <t>Saoirse Farkas</t>
        </is>
      </c>
      <c r="D541" s="3" t="inlineStr">
        <is>
          <t>TX</t>
        </is>
      </c>
      <c r="E541" s="14" t="n">
        <v>660000</v>
      </c>
      <c r="F541" s="14" t="n">
        <v>10573.59</v>
      </c>
      <c r="G541" s="14" t="n">
        <v>1321.7</v>
      </c>
      <c r="H541" s="14" t="n">
        <v>1321.7</v>
      </c>
      <c r="I541" s="14">
        <f>SUM(K541:T541)</f>
        <v/>
      </c>
      <c r="J541" s="14">
        <f>F541-(G541+H541+I541)</f>
        <v/>
      </c>
      <c r="K541" s="14" t="n">
        <v>793.02</v>
      </c>
      <c r="L541" s="14" t="n">
        <v>793.02</v>
      </c>
      <c r="M541" s="14" t="n">
        <v>793.02</v>
      </c>
      <c r="N541" s="14" t="n">
        <v>793.02</v>
      </c>
      <c r="O541" s="14" t="n">
        <v>793.02</v>
      </c>
      <c r="P541" s="14" t="n">
        <v>793.02</v>
      </c>
      <c r="Q541" s="14" t="n">
        <v>793.02</v>
      </c>
      <c r="R541" s="14" t="n">
        <v>793.02</v>
      </c>
      <c r="S541" s="14" t="n">
        <v>793.02</v>
      </c>
      <c r="T541" s="14" t="n">
        <v>793.02</v>
      </c>
      <c r="U541" s="14" t="n">
        <v>350</v>
      </c>
      <c r="V541" s="14" t="n">
        <v>0</v>
      </c>
      <c r="W541" s="14">
        <f>U541+V541</f>
        <v/>
      </c>
    </row>
    <row r="542">
      <c r="A542" s="15" t="inlineStr">
        <is>
          <t>CANON-202605-006723</t>
        </is>
      </c>
      <c r="B542" s="15" t="inlineStr">
        <is>
          <t>2026-05-13</t>
        </is>
      </c>
      <c r="C542" s="15" t="inlineStr">
        <is>
          <t>Beatrix Harrington</t>
        </is>
      </c>
      <c r="D542" s="15" t="inlineStr">
        <is>
          <t>NC</t>
        </is>
      </c>
      <c r="E542" s="16" t="n">
        <v>1295000</v>
      </c>
      <c r="F542" s="16" t="n">
        <v>12011.22</v>
      </c>
      <c r="G542" s="16" t="n">
        <v>1501.4</v>
      </c>
      <c r="H542" s="16" t="n">
        <v>1501.4</v>
      </c>
      <c r="I542" s="16">
        <f>SUM(K542:T542)</f>
        <v/>
      </c>
      <c r="J542" s="16">
        <f>F542-(G542+H542+I542)</f>
        <v/>
      </c>
      <c r="K542" s="16" t="n">
        <v>900.84</v>
      </c>
      <c r="L542" s="16" t="n">
        <v>900.84</v>
      </c>
      <c r="M542" s="16" t="n">
        <v>900.84</v>
      </c>
      <c r="N542" s="16" t="n">
        <v>900.84</v>
      </c>
      <c r="O542" s="16" t="n">
        <v>900.84</v>
      </c>
      <c r="P542" s="16" t="n">
        <v>900.84</v>
      </c>
      <c r="Q542" s="16" t="n">
        <v>900.84</v>
      </c>
      <c r="R542" s="16" t="n">
        <v>900.84</v>
      </c>
      <c r="S542" s="16" t="n">
        <v>900.84</v>
      </c>
      <c r="T542" s="16" t="n">
        <v>900.84</v>
      </c>
      <c r="U542" s="16" t="n">
        <v>350</v>
      </c>
      <c r="V542" s="16" t="n">
        <v>250</v>
      </c>
      <c r="W542" s="16">
        <f>U542+V542</f>
        <v/>
      </c>
    </row>
    <row r="543">
      <c r="A543" s="3" t="inlineStr">
        <is>
          <t>CANON-202605-006725</t>
        </is>
      </c>
      <c r="B543" s="3" t="inlineStr">
        <is>
          <t>2026-05-03</t>
        </is>
      </c>
      <c r="C543" s="3" t="inlineStr">
        <is>
          <t>Leopold Whitlock</t>
        </is>
      </c>
      <c r="D543" s="3" t="inlineStr">
        <is>
          <t>UT</t>
        </is>
      </c>
      <c r="E543" s="14" t="n">
        <v>900000</v>
      </c>
      <c r="F543" s="14" t="n">
        <v>16926.09</v>
      </c>
      <c r="G543" s="14" t="n">
        <v>2115.76</v>
      </c>
      <c r="H543" s="14" t="n">
        <v>2115.76</v>
      </c>
      <c r="I543" s="14">
        <f>SUM(K543:T543)</f>
        <v/>
      </c>
      <c r="J543" s="14">
        <f>F543-(G543+H543+I543)</f>
        <v/>
      </c>
      <c r="K543" s="14" t="n">
        <v>1269.46</v>
      </c>
      <c r="L543" s="14" t="n">
        <v>1269.46</v>
      </c>
      <c r="M543" s="14" t="n">
        <v>1269.46</v>
      </c>
      <c r="N543" s="14" t="n">
        <v>1269.46</v>
      </c>
      <c r="O543" s="14" t="n">
        <v>1269.46</v>
      </c>
      <c r="P543" s="14" t="n">
        <v>1269.46</v>
      </c>
      <c r="Q543" s="14" t="n">
        <v>1269.46</v>
      </c>
      <c r="R543" s="14" t="n">
        <v>1269.46</v>
      </c>
      <c r="S543" s="14" t="n">
        <v>1269.46</v>
      </c>
      <c r="T543" s="14" t="n">
        <v>1269.46</v>
      </c>
      <c r="U543" s="14" t="n">
        <v>350</v>
      </c>
      <c r="V543" s="14" t="n">
        <v>0</v>
      </c>
      <c r="W543" s="14">
        <f>U543+V543</f>
        <v/>
      </c>
    </row>
    <row r="544">
      <c r="A544" s="15" t="inlineStr">
        <is>
          <t>CANON-202605-006726</t>
        </is>
      </c>
      <c r="B544" s="15" t="inlineStr">
        <is>
          <t>2026-05-21</t>
        </is>
      </c>
      <c r="C544" s="15" t="inlineStr">
        <is>
          <t>Saoirse Castellanos</t>
        </is>
      </c>
      <c r="D544" s="15" t="inlineStr">
        <is>
          <t>AL</t>
        </is>
      </c>
      <c r="E544" s="16" t="n">
        <v>1405000</v>
      </c>
      <c r="F544" s="16" t="n">
        <v>14391.29</v>
      </c>
      <c r="G544" s="16" t="n">
        <v>1798.91</v>
      </c>
      <c r="H544" s="16" t="n">
        <v>1798.91</v>
      </c>
      <c r="I544" s="16">
        <f>SUM(K544:T544)</f>
        <v/>
      </c>
      <c r="J544" s="16">
        <f>F544-(G544+H544+I544)</f>
        <v/>
      </c>
      <c r="K544" s="16" t="n">
        <v>1079.35</v>
      </c>
      <c r="L544" s="16" t="n">
        <v>1079.35</v>
      </c>
      <c r="M544" s="16" t="n">
        <v>1079.35</v>
      </c>
      <c r="N544" s="16" t="n">
        <v>1079.35</v>
      </c>
      <c r="O544" s="16" t="n">
        <v>1079.35</v>
      </c>
      <c r="P544" s="16" t="n">
        <v>1079.35</v>
      </c>
      <c r="Q544" s="16" t="n">
        <v>1079.35</v>
      </c>
      <c r="R544" s="16" t="n">
        <v>1079.35</v>
      </c>
      <c r="S544" s="16" t="n">
        <v>1079.35</v>
      </c>
      <c r="T544" s="16" t="n">
        <v>1079.35</v>
      </c>
      <c r="U544" s="16" t="n">
        <v>350</v>
      </c>
      <c r="V544" s="16" t="n">
        <v>250</v>
      </c>
      <c r="W544" s="16">
        <f>U544+V544</f>
        <v/>
      </c>
    </row>
    <row r="545">
      <c r="A545" s="3" t="inlineStr">
        <is>
          <t>CANON-202605-006727</t>
        </is>
      </c>
      <c r="B545" s="3" t="inlineStr">
        <is>
          <t>2026-05-04</t>
        </is>
      </c>
      <c r="C545" s="3" t="inlineStr">
        <is>
          <t>Noor Whitlock</t>
        </is>
      </c>
      <c r="D545" s="3" t="inlineStr">
        <is>
          <t>CA</t>
        </is>
      </c>
      <c r="E545" s="14" t="n">
        <v>575000</v>
      </c>
      <c r="F545" s="14" t="n">
        <v>7398.98</v>
      </c>
      <c r="G545" s="14" t="n">
        <v>924.87</v>
      </c>
      <c r="H545" s="14" t="n">
        <v>924.87</v>
      </c>
      <c r="I545" s="14">
        <f>SUM(K545:T545)</f>
        <v/>
      </c>
      <c r="J545" s="14">
        <f>F545-(G545+H545+I545)</f>
        <v/>
      </c>
      <c r="K545" s="14" t="n">
        <v>554.92</v>
      </c>
      <c r="L545" s="14" t="n">
        <v>554.92</v>
      </c>
      <c r="M545" s="14" t="n">
        <v>554.92</v>
      </c>
      <c r="N545" s="14" t="n">
        <v>554.92</v>
      </c>
      <c r="O545" s="14" t="n">
        <v>554.92</v>
      </c>
      <c r="P545" s="14" t="n">
        <v>554.92</v>
      </c>
      <c r="Q545" s="14" t="n">
        <v>554.92</v>
      </c>
      <c r="R545" s="14" t="n">
        <v>554.92</v>
      </c>
      <c r="S545" s="14" t="n">
        <v>554.92</v>
      </c>
      <c r="T545" s="14" t="n">
        <v>554.92</v>
      </c>
      <c r="U545" s="14" t="n">
        <v>350</v>
      </c>
      <c r="V545" s="14" t="n">
        <v>0</v>
      </c>
      <c r="W545" s="14">
        <f>U545+V545</f>
        <v/>
      </c>
    </row>
    <row r="546">
      <c r="A546" s="15" t="inlineStr">
        <is>
          <t>CANON-202605-006728</t>
        </is>
      </c>
      <c r="B546" s="15" t="inlineStr">
        <is>
          <t>2026-05-23</t>
        </is>
      </c>
      <c r="C546" s="15" t="inlineStr">
        <is>
          <t>Leopold Okonkwo</t>
        </is>
      </c>
      <c r="D546" s="15" t="inlineStr">
        <is>
          <t>TX</t>
        </is>
      </c>
      <c r="E546" s="16" t="n">
        <v>450000</v>
      </c>
      <c r="F546" s="16" t="n">
        <v>5691.52</v>
      </c>
      <c r="G546" s="16" t="n">
        <v>711.4400000000001</v>
      </c>
      <c r="H546" s="16" t="n">
        <v>711.4400000000001</v>
      </c>
      <c r="I546" s="16">
        <f>SUM(K546:T546)</f>
        <v/>
      </c>
      <c r="J546" s="16">
        <f>F546-(G546+H546+I546)</f>
        <v/>
      </c>
      <c r="K546" s="16" t="n">
        <v>426.86</v>
      </c>
      <c r="L546" s="16" t="n">
        <v>426.86</v>
      </c>
      <c r="M546" s="16" t="n">
        <v>426.86</v>
      </c>
      <c r="N546" s="16" t="n">
        <v>426.86</v>
      </c>
      <c r="O546" s="16" t="n">
        <v>426.86</v>
      </c>
      <c r="P546" s="16" t="n">
        <v>426.86</v>
      </c>
      <c r="Q546" s="16" t="n">
        <v>426.86</v>
      </c>
      <c r="R546" s="16" t="n">
        <v>426.86</v>
      </c>
      <c r="S546" s="16" t="n">
        <v>426.86</v>
      </c>
      <c r="T546" s="16" t="n">
        <v>426.86</v>
      </c>
      <c r="U546" s="16" t="n">
        <v>350</v>
      </c>
      <c r="V546" s="16" t="n">
        <v>0</v>
      </c>
      <c r="W546" s="16">
        <f>U546+V546</f>
        <v/>
      </c>
    </row>
    <row r="547">
      <c r="A547" s="3" t="inlineStr">
        <is>
          <t>CANON-202605-006729</t>
        </is>
      </c>
      <c r="B547" s="3" t="inlineStr">
        <is>
          <t>2026-05-12</t>
        </is>
      </c>
      <c r="C547" s="3" t="inlineStr">
        <is>
          <t>Desmond Vasquez</t>
        </is>
      </c>
      <c r="D547" s="3" t="inlineStr">
        <is>
          <t>PA</t>
        </is>
      </c>
      <c r="E547" s="14" t="n">
        <v>735000</v>
      </c>
      <c r="F547" s="14" t="n">
        <v>10239.24</v>
      </c>
      <c r="G547" s="14" t="n">
        <v>1279.9</v>
      </c>
      <c r="H547" s="14" t="n">
        <v>1279.9</v>
      </c>
      <c r="I547" s="14">
        <f>SUM(K547:T547)</f>
        <v/>
      </c>
      <c r="J547" s="14">
        <f>F547-(G547+H547+I547)</f>
        <v/>
      </c>
      <c r="K547" s="14" t="n">
        <v>767.9400000000001</v>
      </c>
      <c r="L547" s="14" t="n">
        <v>767.9400000000001</v>
      </c>
      <c r="M547" s="14" t="n">
        <v>767.9400000000001</v>
      </c>
      <c r="N547" s="14" t="n">
        <v>767.9400000000001</v>
      </c>
      <c r="O547" s="14" t="n">
        <v>767.9400000000001</v>
      </c>
      <c r="P547" s="14" t="n">
        <v>767.9400000000001</v>
      </c>
      <c r="Q547" s="14" t="n">
        <v>767.9400000000001</v>
      </c>
      <c r="R547" s="14" t="n">
        <v>767.9400000000001</v>
      </c>
      <c r="S547" s="14" t="n">
        <v>767.9400000000001</v>
      </c>
      <c r="T547" s="14" t="n">
        <v>767.9400000000001</v>
      </c>
      <c r="U547" s="14" t="n">
        <v>350</v>
      </c>
      <c r="V547" s="14" t="n">
        <v>0</v>
      </c>
      <c r="W547" s="14">
        <f>U547+V547</f>
        <v/>
      </c>
    </row>
    <row r="548">
      <c r="A548" s="15" t="inlineStr">
        <is>
          <t>CANON-202605-006730</t>
        </is>
      </c>
      <c r="B548" s="15" t="inlineStr">
        <is>
          <t>2026-05-07</t>
        </is>
      </c>
      <c r="C548" s="15" t="inlineStr">
        <is>
          <t>Mireille Larsson</t>
        </is>
      </c>
      <c r="D548" s="15" t="inlineStr">
        <is>
          <t>VA</t>
        </is>
      </c>
      <c r="E548" s="16" t="n">
        <v>165000</v>
      </c>
      <c r="F548" s="16" t="n">
        <v>2426.36</v>
      </c>
      <c r="G548" s="16" t="n">
        <v>303.3</v>
      </c>
      <c r="H548" s="16" t="n">
        <v>303.3</v>
      </c>
      <c r="I548" s="16">
        <f>SUM(K548:T548)</f>
        <v/>
      </c>
      <c r="J548" s="16">
        <f>F548-(G548+H548+I548)</f>
        <v/>
      </c>
      <c r="K548" s="16" t="n">
        <v>181.98</v>
      </c>
      <c r="L548" s="16" t="n">
        <v>181.98</v>
      </c>
      <c r="M548" s="16" t="n">
        <v>181.98</v>
      </c>
      <c r="N548" s="16" t="n">
        <v>181.98</v>
      </c>
      <c r="O548" s="16" t="n">
        <v>181.98</v>
      </c>
      <c r="P548" s="16" t="n">
        <v>181.98</v>
      </c>
      <c r="Q548" s="16" t="n">
        <v>181.98</v>
      </c>
      <c r="R548" s="16" t="n">
        <v>181.98</v>
      </c>
      <c r="S548" s="16" t="n">
        <v>181.98</v>
      </c>
      <c r="T548" s="16" t="n">
        <v>181.98</v>
      </c>
      <c r="U548" s="16" t="n">
        <v>350</v>
      </c>
      <c r="V548" s="16" t="n">
        <v>0</v>
      </c>
      <c r="W548" s="16">
        <f>U548+V548</f>
        <v/>
      </c>
    </row>
    <row r="549">
      <c r="A549" s="3" t="inlineStr">
        <is>
          <t>CANON-202605-006731</t>
        </is>
      </c>
      <c r="B549" s="3" t="inlineStr">
        <is>
          <t>2026-05-29</t>
        </is>
      </c>
      <c r="C549" s="3" t="inlineStr">
        <is>
          <t>Aurelio Delacroix</t>
        </is>
      </c>
      <c r="D549" s="3" t="inlineStr">
        <is>
          <t>CT</t>
        </is>
      </c>
      <c r="E549" s="14" t="n">
        <v>1315000</v>
      </c>
      <c r="F549" s="14" t="n">
        <v>17277.89</v>
      </c>
      <c r="G549" s="14" t="n">
        <v>2159.74</v>
      </c>
      <c r="H549" s="14" t="n">
        <v>2159.74</v>
      </c>
      <c r="I549" s="14">
        <f>SUM(K549:T549)</f>
        <v/>
      </c>
      <c r="J549" s="14">
        <f>F549-(G549+H549+I549)</f>
        <v/>
      </c>
      <c r="K549" s="14" t="n">
        <v>1295.84</v>
      </c>
      <c r="L549" s="14" t="n">
        <v>1295.84</v>
      </c>
      <c r="M549" s="14" t="n">
        <v>1295.84</v>
      </c>
      <c r="N549" s="14" t="n">
        <v>1295.84</v>
      </c>
      <c r="O549" s="14" t="n">
        <v>1295.84</v>
      </c>
      <c r="P549" s="14" t="n">
        <v>1295.84</v>
      </c>
      <c r="Q549" s="14" t="n">
        <v>1295.84</v>
      </c>
      <c r="R549" s="14" t="n">
        <v>1295.84</v>
      </c>
      <c r="S549" s="14" t="n">
        <v>1295.84</v>
      </c>
      <c r="T549" s="14" t="n">
        <v>1295.84</v>
      </c>
      <c r="U549" s="14" t="n">
        <v>350</v>
      </c>
      <c r="V549" s="14" t="n">
        <v>250</v>
      </c>
      <c r="W549" s="14">
        <f>U549+V549</f>
        <v/>
      </c>
    </row>
    <row r="550">
      <c r="A550" s="15" t="inlineStr">
        <is>
          <t>CANON-202605-006732</t>
        </is>
      </c>
      <c r="B550" s="15" t="inlineStr">
        <is>
          <t>2026-05-20</t>
        </is>
      </c>
      <c r="C550" s="15" t="inlineStr">
        <is>
          <t>Emiliano Bellandi</t>
        </is>
      </c>
      <c r="D550" s="15" t="inlineStr">
        <is>
          <t>CT</t>
        </is>
      </c>
      <c r="E550" s="16" t="n">
        <v>585000</v>
      </c>
      <c r="F550" s="16" t="n">
        <v>4131.42</v>
      </c>
      <c r="G550" s="16" t="n">
        <v>516.4299999999999</v>
      </c>
      <c r="H550" s="16" t="n">
        <v>516.4299999999999</v>
      </c>
      <c r="I550" s="16">
        <f>SUM(K550:T550)</f>
        <v/>
      </c>
      <c r="J550" s="16">
        <f>F550-(G550+H550+I550)</f>
        <v/>
      </c>
      <c r="K550" s="16" t="n">
        <v>309.86</v>
      </c>
      <c r="L550" s="16" t="n">
        <v>309.86</v>
      </c>
      <c r="M550" s="16" t="n">
        <v>309.86</v>
      </c>
      <c r="N550" s="16" t="n">
        <v>309.86</v>
      </c>
      <c r="O550" s="16" t="n">
        <v>309.86</v>
      </c>
      <c r="P550" s="16" t="n">
        <v>309.86</v>
      </c>
      <c r="Q550" s="16" t="n">
        <v>309.86</v>
      </c>
      <c r="R550" s="16" t="n">
        <v>309.86</v>
      </c>
      <c r="S550" s="16" t="n">
        <v>309.86</v>
      </c>
      <c r="T550" s="16" t="n">
        <v>309.86</v>
      </c>
      <c r="U550" s="16" t="n">
        <v>350</v>
      </c>
      <c r="V550" s="16" t="n">
        <v>0</v>
      </c>
      <c r="W550" s="16">
        <f>U550+V550</f>
        <v/>
      </c>
    </row>
    <row r="551">
      <c r="A551" s="9" t="inlineStr">
        <is>
          <t>TOTAL</t>
        </is>
      </c>
      <c r="E551" s="10">
        <f>SUM(E5:E550)</f>
        <v/>
      </c>
      <c r="F551" s="10">
        <f>SUM(F5:F550)</f>
        <v/>
      </c>
      <c r="G551" s="10">
        <f>SUM(G5:G550)</f>
        <v/>
      </c>
      <c r="H551" s="10">
        <f>SUM(H5:H550)</f>
        <v/>
      </c>
      <c r="I551" s="10">
        <f>SUM(I5:I550)</f>
        <v/>
      </c>
      <c r="J551" s="10">
        <f>SUM(J5:J550)</f>
        <v/>
      </c>
      <c r="K551" s="10">
        <f>SUM(K5:K550)</f>
        <v/>
      </c>
      <c r="L551" s="10">
        <f>SUM(L5:L550)</f>
        <v/>
      </c>
      <c r="M551" s="10">
        <f>SUM(M5:M550)</f>
        <v/>
      </c>
      <c r="N551" s="10">
        <f>SUM(N5:N550)</f>
        <v/>
      </c>
      <c r="O551" s="10">
        <f>SUM(O5:O550)</f>
        <v/>
      </c>
      <c r="P551" s="10">
        <f>SUM(P5:P550)</f>
        <v/>
      </c>
      <c r="Q551" s="10">
        <f>SUM(Q5:Q550)</f>
        <v/>
      </c>
      <c r="R551" s="10">
        <f>SUM(R5:R550)</f>
        <v/>
      </c>
      <c r="S551" s="10">
        <f>SUM(S5:S550)</f>
        <v/>
      </c>
      <c r="T551" s="10">
        <f>SUM(T5:T550)</f>
        <v/>
      </c>
      <c r="U551" s="10">
        <f>SUM(U5:U550)</f>
        <v/>
      </c>
      <c r="V551" s="10">
        <f>SUM(V5:V550)</f>
        <v/>
      </c>
      <c r="W551" s="10">
        <f>SUM(W5:W550)</f>
        <v/>
      </c>
    </row>
    <row r="552">
      <c r="A552" s="5" t="inlineStr">
        <is>
          <t>Foot check: Premium − (B+T+M+Resid)</t>
        </is>
      </c>
      <c r="F552" s="17">
        <f>F551-(G551+H551+I551+J551)</f>
        <v/>
      </c>
    </row>
    <row r="553">
      <c r="A553" s="5" t="inlineStr">
        <is>
          <t>Foot check: Markets − Σ(10 syndicates)</t>
        </is>
      </c>
      <c r="I553" s="17">
        <f>I551-SUM(K551:T551)</f>
        <v/>
      </c>
    </row>
  </sheetData>
  <autoFilter ref="A4:W550"/>
  <mergeCells count="2">
    <mergeCell ref="A2:W2"/>
    <mergeCell ref="A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W6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2026-06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CANON-202606-006735</t>
        </is>
      </c>
      <c r="B5" s="3" t="inlineStr">
        <is>
          <t>2026-06-14</t>
        </is>
      </c>
      <c r="C5" s="3" t="inlineStr">
        <is>
          <t>Beatrix Larsson</t>
        </is>
      </c>
      <c r="D5" s="3" t="inlineStr">
        <is>
          <t>TX</t>
        </is>
      </c>
      <c r="E5" s="14" t="n">
        <v>1425000</v>
      </c>
      <c r="F5" s="14" t="n">
        <v>18917.98</v>
      </c>
      <c r="G5" s="14" t="n">
        <v>2364.75</v>
      </c>
      <c r="H5" s="14" t="n">
        <v>2364.75</v>
      </c>
      <c r="I5" s="14">
        <f>SUM(K5:T5)</f>
        <v/>
      </c>
      <c r="J5" s="14">
        <f>F5-(G5+H5+I5)</f>
        <v/>
      </c>
      <c r="K5" s="14" t="n">
        <v>1418.85</v>
      </c>
      <c r="L5" s="14" t="n">
        <v>1418.85</v>
      </c>
      <c r="M5" s="14" t="n">
        <v>1418.85</v>
      </c>
      <c r="N5" s="14" t="n">
        <v>1418.85</v>
      </c>
      <c r="O5" s="14" t="n">
        <v>1418.85</v>
      </c>
      <c r="P5" s="14" t="n">
        <v>1418.85</v>
      </c>
      <c r="Q5" s="14" t="n">
        <v>1418.85</v>
      </c>
      <c r="R5" s="14" t="n">
        <v>1418.85</v>
      </c>
      <c r="S5" s="14" t="n">
        <v>1418.85</v>
      </c>
      <c r="T5" s="14" t="n">
        <v>1418.85</v>
      </c>
      <c r="U5" s="14" t="n">
        <v>350</v>
      </c>
      <c r="V5" s="14" t="n">
        <v>250</v>
      </c>
      <c r="W5" s="14">
        <f>U5+V5</f>
        <v/>
      </c>
    </row>
    <row r="6">
      <c r="A6" s="15" t="inlineStr">
        <is>
          <t>CANON-202606-006736</t>
        </is>
      </c>
      <c r="B6" s="15" t="inlineStr">
        <is>
          <t>2026-06-28</t>
        </is>
      </c>
      <c r="C6" s="15" t="inlineStr">
        <is>
          <t>Desmond Nakashima</t>
        </is>
      </c>
      <c r="D6" s="15" t="inlineStr">
        <is>
          <t>OR</t>
        </is>
      </c>
      <c r="E6" s="16" t="n">
        <v>550000</v>
      </c>
      <c r="F6" s="16" t="n">
        <v>5829.44</v>
      </c>
      <c r="G6" s="16" t="n">
        <v>728.6799999999999</v>
      </c>
      <c r="H6" s="16" t="n">
        <v>728.6799999999999</v>
      </c>
      <c r="I6" s="16">
        <f>SUM(K6:T6)</f>
        <v/>
      </c>
      <c r="J6" s="16">
        <f>F6-(G6+H6+I6)</f>
        <v/>
      </c>
      <c r="K6" s="16" t="n">
        <v>437.21</v>
      </c>
      <c r="L6" s="16" t="n">
        <v>437.21</v>
      </c>
      <c r="M6" s="16" t="n">
        <v>437.21</v>
      </c>
      <c r="N6" s="16" t="n">
        <v>437.21</v>
      </c>
      <c r="O6" s="16" t="n">
        <v>437.21</v>
      </c>
      <c r="P6" s="16" t="n">
        <v>437.21</v>
      </c>
      <c r="Q6" s="16" t="n">
        <v>437.21</v>
      </c>
      <c r="R6" s="16" t="n">
        <v>437.21</v>
      </c>
      <c r="S6" s="16" t="n">
        <v>437.21</v>
      </c>
      <c r="T6" s="16" t="n">
        <v>437.21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CANON-202606-006737</t>
        </is>
      </c>
      <c r="B7" s="3" t="inlineStr">
        <is>
          <t>2026-06-14</t>
        </is>
      </c>
      <c r="C7" s="3" t="inlineStr">
        <is>
          <t>Marisol Blackwood</t>
        </is>
      </c>
      <c r="D7" s="3" t="inlineStr">
        <is>
          <t>SD</t>
        </is>
      </c>
      <c r="E7" s="14" t="n">
        <v>635000</v>
      </c>
      <c r="F7" s="14" t="n">
        <v>6611.23</v>
      </c>
      <c r="G7" s="14" t="n">
        <v>826.4</v>
      </c>
      <c r="H7" s="14" t="n">
        <v>826.4</v>
      </c>
      <c r="I7" s="14">
        <f>SUM(K7:T7)</f>
        <v/>
      </c>
      <c r="J7" s="14">
        <f>F7-(G7+H7+I7)</f>
        <v/>
      </c>
      <c r="K7" s="14" t="n">
        <v>495.84</v>
      </c>
      <c r="L7" s="14" t="n">
        <v>495.84</v>
      </c>
      <c r="M7" s="14" t="n">
        <v>495.84</v>
      </c>
      <c r="N7" s="14" t="n">
        <v>495.84</v>
      </c>
      <c r="O7" s="14" t="n">
        <v>495.84</v>
      </c>
      <c r="P7" s="14" t="n">
        <v>495.84</v>
      </c>
      <c r="Q7" s="14" t="n">
        <v>495.84</v>
      </c>
      <c r="R7" s="14" t="n">
        <v>495.84</v>
      </c>
      <c r="S7" s="14" t="n">
        <v>495.84</v>
      </c>
      <c r="T7" s="14" t="n">
        <v>495.84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CANON-202606-006738</t>
        </is>
      </c>
      <c r="B8" s="15" t="inlineStr">
        <is>
          <t>2026-06-18</t>
        </is>
      </c>
      <c r="C8" s="15" t="inlineStr">
        <is>
          <t>Emiliano Nakashima</t>
        </is>
      </c>
      <c r="D8" s="15" t="inlineStr">
        <is>
          <t>NC</t>
        </is>
      </c>
      <c r="E8" s="16" t="n">
        <v>435000</v>
      </c>
      <c r="F8" s="16" t="n">
        <v>8301.51</v>
      </c>
      <c r="G8" s="16" t="n">
        <v>1037.69</v>
      </c>
      <c r="H8" s="16" t="n">
        <v>1037.69</v>
      </c>
      <c r="I8" s="16">
        <f>SUM(K8:T8)</f>
        <v/>
      </c>
      <c r="J8" s="16">
        <f>F8-(G8+H8+I8)</f>
        <v/>
      </c>
      <c r="K8" s="16" t="n">
        <v>622.61</v>
      </c>
      <c r="L8" s="16" t="n">
        <v>622.61</v>
      </c>
      <c r="M8" s="16" t="n">
        <v>622.61</v>
      </c>
      <c r="N8" s="16" t="n">
        <v>622.61</v>
      </c>
      <c r="O8" s="16" t="n">
        <v>622.61</v>
      </c>
      <c r="P8" s="16" t="n">
        <v>622.61</v>
      </c>
      <c r="Q8" s="16" t="n">
        <v>622.61</v>
      </c>
      <c r="R8" s="16" t="n">
        <v>622.61</v>
      </c>
      <c r="S8" s="16" t="n">
        <v>622.61</v>
      </c>
      <c r="T8" s="16" t="n">
        <v>622.61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CANON-202606-006742</t>
        </is>
      </c>
      <c r="B9" s="3" t="inlineStr">
        <is>
          <t>2026-06-10</t>
        </is>
      </c>
      <c r="C9" s="3" t="inlineStr">
        <is>
          <t>Marisol Castellanos</t>
        </is>
      </c>
      <c r="D9" s="3" t="inlineStr">
        <is>
          <t>AZ</t>
        </is>
      </c>
      <c r="E9" s="14" t="n">
        <v>880000</v>
      </c>
      <c r="F9" s="14" t="n">
        <v>5514.99</v>
      </c>
      <c r="G9" s="14" t="n">
        <v>689.37</v>
      </c>
      <c r="H9" s="14" t="n">
        <v>689.37</v>
      </c>
      <c r="I9" s="14">
        <f>SUM(K9:T9)</f>
        <v/>
      </c>
      <c r="J9" s="14">
        <f>F9-(G9+H9+I9)</f>
        <v/>
      </c>
      <c r="K9" s="14" t="n">
        <v>413.62</v>
      </c>
      <c r="L9" s="14" t="n">
        <v>413.62</v>
      </c>
      <c r="M9" s="14" t="n">
        <v>413.62</v>
      </c>
      <c r="N9" s="14" t="n">
        <v>413.62</v>
      </c>
      <c r="O9" s="14" t="n">
        <v>413.62</v>
      </c>
      <c r="P9" s="14" t="n">
        <v>413.62</v>
      </c>
      <c r="Q9" s="14" t="n">
        <v>413.62</v>
      </c>
      <c r="R9" s="14" t="n">
        <v>413.62</v>
      </c>
      <c r="S9" s="14" t="n">
        <v>413.62</v>
      </c>
      <c r="T9" s="14" t="n">
        <v>413.62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CANON-202606-006743</t>
        </is>
      </c>
      <c r="B10" s="15" t="inlineStr">
        <is>
          <t>2026-06-18</t>
        </is>
      </c>
      <c r="C10" s="15" t="inlineStr">
        <is>
          <t>Ottilie Chattopadhyay</t>
        </is>
      </c>
      <c r="D10" s="15" t="inlineStr">
        <is>
          <t>NV</t>
        </is>
      </c>
      <c r="E10" s="16" t="n">
        <v>1250000</v>
      </c>
      <c r="F10" s="16" t="n">
        <v>16883.32</v>
      </c>
      <c r="G10" s="16" t="n">
        <v>2110.41</v>
      </c>
      <c r="H10" s="16" t="n">
        <v>2110.41</v>
      </c>
      <c r="I10" s="16">
        <f>SUM(K10:T10)</f>
        <v/>
      </c>
      <c r="J10" s="16">
        <f>F10-(G10+H10+I10)</f>
        <v/>
      </c>
      <c r="K10" s="16" t="n">
        <v>1266.25</v>
      </c>
      <c r="L10" s="16" t="n">
        <v>1266.25</v>
      </c>
      <c r="M10" s="16" t="n">
        <v>1266.25</v>
      </c>
      <c r="N10" s="16" t="n">
        <v>1266.25</v>
      </c>
      <c r="O10" s="16" t="n">
        <v>1266.25</v>
      </c>
      <c r="P10" s="16" t="n">
        <v>1266.25</v>
      </c>
      <c r="Q10" s="16" t="n">
        <v>1266.25</v>
      </c>
      <c r="R10" s="16" t="n">
        <v>1266.25</v>
      </c>
      <c r="S10" s="16" t="n">
        <v>1266.25</v>
      </c>
      <c r="T10" s="16" t="n">
        <v>1266.25</v>
      </c>
      <c r="U10" s="16" t="n">
        <v>350</v>
      </c>
      <c r="V10" s="16" t="n">
        <v>250</v>
      </c>
      <c r="W10" s="16">
        <f>U10+V10</f>
        <v/>
      </c>
    </row>
    <row r="11">
      <c r="A11" s="3" t="inlineStr">
        <is>
          <t>CANON-202606-006745</t>
        </is>
      </c>
      <c r="B11" s="3" t="inlineStr">
        <is>
          <t>2026-06-11</t>
        </is>
      </c>
      <c r="C11" s="3" t="inlineStr">
        <is>
          <t>Ramona Nakashima</t>
        </is>
      </c>
      <c r="D11" s="3" t="inlineStr">
        <is>
          <t>OR</t>
        </is>
      </c>
      <c r="E11" s="14" t="n">
        <v>780000</v>
      </c>
      <c r="F11" s="14" t="n">
        <v>8267.200000000001</v>
      </c>
      <c r="G11" s="14" t="n">
        <v>1033.4</v>
      </c>
      <c r="H11" s="14" t="n">
        <v>1033.4</v>
      </c>
      <c r="I11" s="14">
        <f>SUM(K11:T11)</f>
        <v/>
      </c>
      <c r="J11" s="14">
        <f>F11-(G11+H11+I11)</f>
        <v/>
      </c>
      <c r="K11" s="14" t="n">
        <v>620.04</v>
      </c>
      <c r="L11" s="14" t="n">
        <v>620.04</v>
      </c>
      <c r="M11" s="14" t="n">
        <v>620.04</v>
      </c>
      <c r="N11" s="14" t="n">
        <v>620.04</v>
      </c>
      <c r="O11" s="14" t="n">
        <v>620.04</v>
      </c>
      <c r="P11" s="14" t="n">
        <v>620.04</v>
      </c>
      <c r="Q11" s="14" t="n">
        <v>620.04</v>
      </c>
      <c r="R11" s="14" t="n">
        <v>620.04</v>
      </c>
      <c r="S11" s="14" t="n">
        <v>620.04</v>
      </c>
      <c r="T11" s="14" t="n">
        <v>620.04</v>
      </c>
      <c r="U11" s="14" t="n">
        <v>350</v>
      </c>
      <c r="V11" s="14" t="n">
        <v>0</v>
      </c>
      <c r="W11" s="14">
        <f>U11+V11</f>
        <v/>
      </c>
    </row>
    <row r="12">
      <c r="A12" s="15" t="inlineStr">
        <is>
          <t>CANON-202606-006748</t>
        </is>
      </c>
      <c r="B12" s="15" t="inlineStr">
        <is>
          <t>2026-06-24</t>
        </is>
      </c>
      <c r="C12" s="15" t="inlineStr">
        <is>
          <t>Ramona Whitlock</t>
        </is>
      </c>
      <c r="D12" s="15" t="inlineStr">
        <is>
          <t>DE</t>
        </is>
      </c>
      <c r="E12" s="16" t="n">
        <v>750000</v>
      </c>
      <c r="F12" s="16" t="n">
        <v>8793.4</v>
      </c>
      <c r="G12" s="16" t="n">
        <v>1099.17</v>
      </c>
      <c r="H12" s="16" t="n">
        <v>1099.17</v>
      </c>
      <c r="I12" s="16">
        <f>SUM(K12:T12)</f>
        <v/>
      </c>
      <c r="J12" s="16">
        <f>F12-(G12+H12+I12)</f>
        <v/>
      </c>
      <c r="K12" s="16" t="n">
        <v>659.5</v>
      </c>
      <c r="L12" s="16" t="n">
        <v>659.5</v>
      </c>
      <c r="M12" s="16" t="n">
        <v>659.5</v>
      </c>
      <c r="N12" s="16" t="n">
        <v>659.5</v>
      </c>
      <c r="O12" s="16" t="n">
        <v>659.5</v>
      </c>
      <c r="P12" s="16" t="n">
        <v>659.5</v>
      </c>
      <c r="Q12" s="16" t="n">
        <v>659.5</v>
      </c>
      <c r="R12" s="16" t="n">
        <v>659.5</v>
      </c>
      <c r="S12" s="16" t="n">
        <v>659.5</v>
      </c>
      <c r="T12" s="16" t="n">
        <v>659.5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CANON-202606-006749</t>
        </is>
      </c>
      <c r="B13" s="3" t="inlineStr">
        <is>
          <t>2026-06-29</t>
        </is>
      </c>
      <c r="C13" s="3" t="inlineStr">
        <is>
          <t>Sunniva Montoya</t>
        </is>
      </c>
      <c r="D13" s="3" t="inlineStr">
        <is>
          <t>MI</t>
        </is>
      </c>
      <c r="E13" s="14" t="n">
        <v>840000</v>
      </c>
      <c r="F13" s="14" t="n">
        <v>7139.48</v>
      </c>
      <c r="G13" s="14" t="n">
        <v>892.4299999999999</v>
      </c>
      <c r="H13" s="14" t="n">
        <v>892.4299999999999</v>
      </c>
      <c r="I13" s="14">
        <f>SUM(K13:T13)</f>
        <v/>
      </c>
      <c r="J13" s="14">
        <f>F13-(G13+H13+I13)</f>
        <v/>
      </c>
      <c r="K13" s="14" t="n">
        <v>535.46</v>
      </c>
      <c r="L13" s="14" t="n">
        <v>535.46</v>
      </c>
      <c r="M13" s="14" t="n">
        <v>535.46</v>
      </c>
      <c r="N13" s="14" t="n">
        <v>535.46</v>
      </c>
      <c r="O13" s="14" t="n">
        <v>535.46</v>
      </c>
      <c r="P13" s="14" t="n">
        <v>535.46</v>
      </c>
      <c r="Q13" s="14" t="n">
        <v>535.46</v>
      </c>
      <c r="R13" s="14" t="n">
        <v>535.46</v>
      </c>
      <c r="S13" s="14" t="n">
        <v>535.46</v>
      </c>
      <c r="T13" s="14" t="n">
        <v>535.46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CANON-202606-006750</t>
        </is>
      </c>
      <c r="B14" s="15" t="inlineStr">
        <is>
          <t>2026-06-18</t>
        </is>
      </c>
      <c r="C14" s="15" t="inlineStr">
        <is>
          <t>Mireille Bellandi</t>
        </is>
      </c>
      <c r="D14" s="15" t="inlineStr">
        <is>
          <t>NY</t>
        </is>
      </c>
      <c r="E14" s="16" t="n">
        <v>385000</v>
      </c>
      <c r="F14" s="16" t="n">
        <v>8177.88</v>
      </c>
      <c r="G14" s="16" t="n">
        <v>1022.24</v>
      </c>
      <c r="H14" s="16" t="n">
        <v>1022.24</v>
      </c>
      <c r="I14" s="16">
        <f>SUM(K14:T14)</f>
        <v/>
      </c>
      <c r="J14" s="16">
        <f>F14-(G14+H14+I14)</f>
        <v/>
      </c>
      <c r="K14" s="16" t="n">
        <v>613.34</v>
      </c>
      <c r="L14" s="16" t="n">
        <v>613.34</v>
      </c>
      <c r="M14" s="16" t="n">
        <v>613.34</v>
      </c>
      <c r="N14" s="16" t="n">
        <v>613.34</v>
      </c>
      <c r="O14" s="16" t="n">
        <v>613.34</v>
      </c>
      <c r="P14" s="16" t="n">
        <v>613.34</v>
      </c>
      <c r="Q14" s="16" t="n">
        <v>613.34</v>
      </c>
      <c r="R14" s="16" t="n">
        <v>613.34</v>
      </c>
      <c r="S14" s="16" t="n">
        <v>613.34</v>
      </c>
      <c r="T14" s="16" t="n">
        <v>613.34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CANON-202606-006751</t>
        </is>
      </c>
      <c r="B15" s="3" t="inlineStr">
        <is>
          <t>2026-06-28</t>
        </is>
      </c>
      <c r="C15" s="3" t="inlineStr">
        <is>
          <t>Everett Montoya</t>
        </is>
      </c>
      <c r="D15" s="3" t="inlineStr">
        <is>
          <t>MI</t>
        </is>
      </c>
      <c r="E15" s="14" t="n">
        <v>910000</v>
      </c>
      <c r="F15" s="14" t="n">
        <v>13229.95</v>
      </c>
      <c r="G15" s="14" t="n">
        <v>1653.74</v>
      </c>
      <c r="H15" s="14" t="n">
        <v>1653.74</v>
      </c>
      <c r="I15" s="14">
        <f>SUM(K15:T15)</f>
        <v/>
      </c>
      <c r="J15" s="14">
        <f>F15-(G15+H15+I15)</f>
        <v/>
      </c>
      <c r="K15" s="14" t="n">
        <v>992.25</v>
      </c>
      <c r="L15" s="14" t="n">
        <v>992.25</v>
      </c>
      <c r="M15" s="14" t="n">
        <v>992.25</v>
      </c>
      <c r="N15" s="14" t="n">
        <v>992.25</v>
      </c>
      <c r="O15" s="14" t="n">
        <v>992.25</v>
      </c>
      <c r="P15" s="14" t="n">
        <v>992.25</v>
      </c>
      <c r="Q15" s="14" t="n">
        <v>992.25</v>
      </c>
      <c r="R15" s="14" t="n">
        <v>992.25</v>
      </c>
      <c r="S15" s="14" t="n">
        <v>992.25</v>
      </c>
      <c r="T15" s="14" t="n">
        <v>992.25</v>
      </c>
      <c r="U15" s="14" t="n">
        <v>350</v>
      </c>
      <c r="V15" s="14" t="n">
        <v>0</v>
      </c>
      <c r="W15" s="14">
        <f>U15+V15</f>
        <v/>
      </c>
    </row>
    <row r="16">
      <c r="A16" s="15" t="inlineStr">
        <is>
          <t>CANON-202606-006753</t>
        </is>
      </c>
      <c r="B16" s="15" t="inlineStr">
        <is>
          <t>2026-06-07</t>
        </is>
      </c>
      <c r="C16" s="15" t="inlineStr">
        <is>
          <t>Cassius Merriweather</t>
        </is>
      </c>
      <c r="D16" s="15" t="inlineStr">
        <is>
          <t>TX</t>
        </is>
      </c>
      <c r="E16" s="16" t="n">
        <v>815000</v>
      </c>
      <c r="F16" s="16" t="n">
        <v>8791.049999999999</v>
      </c>
      <c r="G16" s="16" t="n">
        <v>1098.88</v>
      </c>
      <c r="H16" s="16" t="n">
        <v>1098.88</v>
      </c>
      <c r="I16" s="16">
        <f>SUM(K16:T16)</f>
        <v/>
      </c>
      <c r="J16" s="16">
        <f>F16-(G16+H16+I16)</f>
        <v/>
      </c>
      <c r="K16" s="16" t="n">
        <v>659.33</v>
      </c>
      <c r="L16" s="16" t="n">
        <v>659.33</v>
      </c>
      <c r="M16" s="16" t="n">
        <v>659.33</v>
      </c>
      <c r="N16" s="16" t="n">
        <v>659.33</v>
      </c>
      <c r="O16" s="16" t="n">
        <v>659.33</v>
      </c>
      <c r="P16" s="16" t="n">
        <v>659.33</v>
      </c>
      <c r="Q16" s="16" t="n">
        <v>659.33</v>
      </c>
      <c r="R16" s="16" t="n">
        <v>659.33</v>
      </c>
      <c r="S16" s="16" t="n">
        <v>659.33</v>
      </c>
      <c r="T16" s="16" t="n">
        <v>659.33</v>
      </c>
      <c r="U16" s="16" t="n">
        <v>350</v>
      </c>
      <c r="V16" s="16" t="n">
        <v>0</v>
      </c>
      <c r="W16" s="16">
        <f>U16+V16</f>
        <v/>
      </c>
    </row>
    <row r="17">
      <c r="A17" s="3" t="inlineStr">
        <is>
          <t>CANON-202606-006754</t>
        </is>
      </c>
      <c r="B17" s="3" t="inlineStr">
        <is>
          <t>2026-06-12</t>
        </is>
      </c>
      <c r="C17" s="3" t="inlineStr">
        <is>
          <t>Noor Thistlewood</t>
        </is>
      </c>
      <c r="D17" s="3" t="inlineStr">
        <is>
          <t>NY</t>
        </is>
      </c>
      <c r="E17" s="14" t="n">
        <v>440000</v>
      </c>
      <c r="F17" s="14" t="n">
        <v>9346.15</v>
      </c>
      <c r="G17" s="14" t="n">
        <v>1168.27</v>
      </c>
      <c r="H17" s="14" t="n">
        <v>1168.27</v>
      </c>
      <c r="I17" s="14">
        <f>SUM(K17:T17)</f>
        <v/>
      </c>
      <c r="J17" s="14">
        <f>F17-(G17+H17+I17)</f>
        <v/>
      </c>
      <c r="K17" s="14" t="n">
        <v>700.96</v>
      </c>
      <c r="L17" s="14" t="n">
        <v>700.96</v>
      </c>
      <c r="M17" s="14" t="n">
        <v>700.96</v>
      </c>
      <c r="N17" s="14" t="n">
        <v>700.96</v>
      </c>
      <c r="O17" s="14" t="n">
        <v>700.96</v>
      </c>
      <c r="P17" s="14" t="n">
        <v>700.96</v>
      </c>
      <c r="Q17" s="14" t="n">
        <v>700.96</v>
      </c>
      <c r="R17" s="14" t="n">
        <v>700.96</v>
      </c>
      <c r="S17" s="14" t="n">
        <v>700.96</v>
      </c>
      <c r="T17" s="14" t="n">
        <v>700.96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CANON-202606-006756</t>
        </is>
      </c>
      <c r="B18" s="15" t="inlineStr">
        <is>
          <t>2026-06-27</t>
        </is>
      </c>
      <c r="C18" s="15" t="inlineStr">
        <is>
          <t>Desmond Whitlock</t>
        </is>
      </c>
      <c r="D18" s="15" t="inlineStr">
        <is>
          <t>GA</t>
        </is>
      </c>
      <c r="E18" s="16" t="n">
        <v>575000</v>
      </c>
      <c r="F18" s="16" t="n">
        <v>6040.47</v>
      </c>
      <c r="G18" s="16" t="n">
        <v>755.0599999999999</v>
      </c>
      <c r="H18" s="16" t="n">
        <v>755.0599999999999</v>
      </c>
      <c r="I18" s="16">
        <f>SUM(K18:T18)</f>
        <v/>
      </c>
      <c r="J18" s="16">
        <f>F18-(G18+H18+I18)</f>
        <v/>
      </c>
      <c r="K18" s="16" t="n">
        <v>453.04</v>
      </c>
      <c r="L18" s="16" t="n">
        <v>453.04</v>
      </c>
      <c r="M18" s="16" t="n">
        <v>453.04</v>
      </c>
      <c r="N18" s="16" t="n">
        <v>453.04</v>
      </c>
      <c r="O18" s="16" t="n">
        <v>453.04</v>
      </c>
      <c r="P18" s="16" t="n">
        <v>453.04</v>
      </c>
      <c r="Q18" s="16" t="n">
        <v>453.04</v>
      </c>
      <c r="R18" s="16" t="n">
        <v>453.04</v>
      </c>
      <c r="S18" s="16" t="n">
        <v>453.04</v>
      </c>
      <c r="T18" s="16" t="n">
        <v>453.04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CANON-202606-006757</t>
        </is>
      </c>
      <c r="B19" s="3" t="inlineStr">
        <is>
          <t>2026-06-20</t>
        </is>
      </c>
      <c r="C19" s="3" t="inlineStr">
        <is>
          <t>Wilhelmina Ashcombe</t>
        </is>
      </c>
      <c r="D19" s="3" t="inlineStr">
        <is>
          <t>CO</t>
        </is>
      </c>
      <c r="E19" s="14" t="n">
        <v>415000</v>
      </c>
      <c r="F19" s="14" t="n">
        <v>4940.54</v>
      </c>
      <c r="G19" s="14" t="n">
        <v>617.5700000000001</v>
      </c>
      <c r="H19" s="14" t="n">
        <v>617.5700000000001</v>
      </c>
      <c r="I19" s="14">
        <f>SUM(K19:T19)</f>
        <v/>
      </c>
      <c r="J19" s="14">
        <f>F19-(G19+H19+I19)</f>
        <v/>
      </c>
      <c r="K19" s="14" t="n">
        <v>370.54</v>
      </c>
      <c r="L19" s="14" t="n">
        <v>370.54</v>
      </c>
      <c r="M19" s="14" t="n">
        <v>370.54</v>
      </c>
      <c r="N19" s="14" t="n">
        <v>370.54</v>
      </c>
      <c r="O19" s="14" t="n">
        <v>370.54</v>
      </c>
      <c r="P19" s="14" t="n">
        <v>370.54</v>
      </c>
      <c r="Q19" s="14" t="n">
        <v>370.54</v>
      </c>
      <c r="R19" s="14" t="n">
        <v>370.54</v>
      </c>
      <c r="S19" s="14" t="n">
        <v>370.54</v>
      </c>
      <c r="T19" s="14" t="n">
        <v>370.54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CANON-202606-006758</t>
        </is>
      </c>
      <c r="B20" s="15" t="inlineStr">
        <is>
          <t>2026-06-11</t>
        </is>
      </c>
      <c r="C20" s="15" t="inlineStr">
        <is>
          <t>Ottilie Bellandi</t>
        </is>
      </c>
      <c r="D20" s="15" t="inlineStr">
        <is>
          <t>CA</t>
        </is>
      </c>
      <c r="E20" s="16" t="n">
        <v>170000</v>
      </c>
      <c r="F20" s="16" t="n">
        <v>3046.79</v>
      </c>
      <c r="G20" s="16" t="n">
        <v>380.85</v>
      </c>
      <c r="H20" s="16" t="n">
        <v>380.85</v>
      </c>
      <c r="I20" s="16">
        <f>SUM(K20:T20)</f>
        <v/>
      </c>
      <c r="J20" s="16">
        <f>F20-(G20+H20+I20)</f>
        <v/>
      </c>
      <c r="K20" s="16" t="n">
        <v>228.51</v>
      </c>
      <c r="L20" s="16" t="n">
        <v>228.51</v>
      </c>
      <c r="M20" s="16" t="n">
        <v>228.51</v>
      </c>
      <c r="N20" s="16" t="n">
        <v>228.51</v>
      </c>
      <c r="O20" s="16" t="n">
        <v>228.51</v>
      </c>
      <c r="P20" s="16" t="n">
        <v>228.51</v>
      </c>
      <c r="Q20" s="16" t="n">
        <v>228.51</v>
      </c>
      <c r="R20" s="16" t="n">
        <v>228.51</v>
      </c>
      <c r="S20" s="16" t="n">
        <v>228.51</v>
      </c>
      <c r="T20" s="16" t="n">
        <v>228.51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CANON-202606-006761</t>
        </is>
      </c>
      <c r="B21" s="3" t="inlineStr">
        <is>
          <t>2026-06-16</t>
        </is>
      </c>
      <c r="C21" s="3" t="inlineStr">
        <is>
          <t>Fenwick Delacroix</t>
        </is>
      </c>
      <c r="D21" s="3" t="inlineStr">
        <is>
          <t>VA</t>
        </is>
      </c>
      <c r="E21" s="14" t="n">
        <v>250000</v>
      </c>
      <c r="F21" s="14" t="n">
        <v>2949.17</v>
      </c>
      <c r="G21" s="14" t="n">
        <v>368.65</v>
      </c>
      <c r="H21" s="14" t="n">
        <v>368.65</v>
      </c>
      <c r="I21" s="14">
        <f>SUM(K21:T21)</f>
        <v/>
      </c>
      <c r="J21" s="14">
        <f>F21-(G21+H21+I21)</f>
        <v/>
      </c>
      <c r="K21" s="14" t="n">
        <v>221.19</v>
      </c>
      <c r="L21" s="14" t="n">
        <v>221.19</v>
      </c>
      <c r="M21" s="14" t="n">
        <v>221.19</v>
      </c>
      <c r="N21" s="14" t="n">
        <v>221.19</v>
      </c>
      <c r="O21" s="14" t="n">
        <v>221.19</v>
      </c>
      <c r="P21" s="14" t="n">
        <v>221.19</v>
      </c>
      <c r="Q21" s="14" t="n">
        <v>221.19</v>
      </c>
      <c r="R21" s="14" t="n">
        <v>221.19</v>
      </c>
      <c r="S21" s="14" t="n">
        <v>221.19</v>
      </c>
      <c r="T21" s="14" t="n">
        <v>221.19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CANON-202606-006762</t>
        </is>
      </c>
      <c r="B22" s="15" t="inlineStr">
        <is>
          <t>2026-06-07</t>
        </is>
      </c>
      <c r="C22" s="15" t="inlineStr">
        <is>
          <t>Thaddeus Nakashima</t>
        </is>
      </c>
      <c r="D22" s="15" t="inlineStr">
        <is>
          <t>TN</t>
        </is>
      </c>
      <c r="E22" s="16" t="n">
        <v>555000</v>
      </c>
      <c r="F22" s="16" t="n">
        <v>5101.58</v>
      </c>
      <c r="G22" s="16" t="n">
        <v>637.7</v>
      </c>
      <c r="H22" s="16" t="n">
        <v>637.7</v>
      </c>
      <c r="I22" s="16">
        <f>SUM(K22:T22)</f>
        <v/>
      </c>
      <c r="J22" s="16">
        <f>F22-(G22+H22+I22)</f>
        <v/>
      </c>
      <c r="K22" s="16" t="n">
        <v>382.62</v>
      </c>
      <c r="L22" s="16" t="n">
        <v>382.62</v>
      </c>
      <c r="M22" s="16" t="n">
        <v>382.62</v>
      </c>
      <c r="N22" s="16" t="n">
        <v>382.62</v>
      </c>
      <c r="O22" s="16" t="n">
        <v>382.62</v>
      </c>
      <c r="P22" s="16" t="n">
        <v>382.62</v>
      </c>
      <c r="Q22" s="16" t="n">
        <v>382.62</v>
      </c>
      <c r="R22" s="16" t="n">
        <v>382.62</v>
      </c>
      <c r="S22" s="16" t="n">
        <v>382.62</v>
      </c>
      <c r="T22" s="16" t="n">
        <v>382.62</v>
      </c>
      <c r="U22" s="16" t="n">
        <v>350</v>
      </c>
      <c r="V22" s="16" t="n">
        <v>0</v>
      </c>
      <c r="W22" s="16">
        <f>U22+V22</f>
        <v/>
      </c>
    </row>
    <row r="23">
      <c r="A23" s="3" t="inlineStr">
        <is>
          <t>CANON-202606-006763</t>
        </is>
      </c>
      <c r="B23" s="3" t="inlineStr">
        <is>
          <t>2026-06-11</t>
        </is>
      </c>
      <c r="C23" s="3" t="inlineStr">
        <is>
          <t>Leopold Rourke</t>
        </is>
      </c>
      <c r="D23" s="3" t="inlineStr">
        <is>
          <t>CT</t>
        </is>
      </c>
      <c r="E23" s="14" t="n">
        <v>495000</v>
      </c>
      <c r="F23" s="14" t="n">
        <v>6000.07</v>
      </c>
      <c r="G23" s="14" t="n">
        <v>750.01</v>
      </c>
      <c r="H23" s="14" t="n">
        <v>750.01</v>
      </c>
      <c r="I23" s="14">
        <f>SUM(K23:T23)</f>
        <v/>
      </c>
      <c r="J23" s="14">
        <f>F23-(G23+H23+I23)</f>
        <v/>
      </c>
      <c r="K23" s="14" t="n">
        <v>450.01</v>
      </c>
      <c r="L23" s="14" t="n">
        <v>450.01</v>
      </c>
      <c r="M23" s="14" t="n">
        <v>450.01</v>
      </c>
      <c r="N23" s="14" t="n">
        <v>450.01</v>
      </c>
      <c r="O23" s="14" t="n">
        <v>450.01</v>
      </c>
      <c r="P23" s="14" t="n">
        <v>450.01</v>
      </c>
      <c r="Q23" s="14" t="n">
        <v>450.01</v>
      </c>
      <c r="R23" s="14" t="n">
        <v>450.01</v>
      </c>
      <c r="S23" s="14" t="n">
        <v>450.01</v>
      </c>
      <c r="T23" s="14" t="n">
        <v>450.01</v>
      </c>
      <c r="U23" s="14" t="n">
        <v>350</v>
      </c>
      <c r="V23" s="14" t="n">
        <v>0</v>
      </c>
      <c r="W23" s="14">
        <f>U23+V23</f>
        <v/>
      </c>
    </row>
    <row r="24">
      <c r="A24" s="15" t="inlineStr">
        <is>
          <t>CANON-202606-006765</t>
        </is>
      </c>
      <c r="B24" s="15" t="inlineStr">
        <is>
          <t>2026-06-06</t>
        </is>
      </c>
      <c r="C24" s="15" t="inlineStr">
        <is>
          <t>Noor Pennington</t>
        </is>
      </c>
      <c r="D24" s="15" t="inlineStr">
        <is>
          <t>AR</t>
        </is>
      </c>
      <c r="E24" s="16" t="n">
        <v>540000</v>
      </c>
      <c r="F24" s="16" t="n">
        <v>6989.7</v>
      </c>
      <c r="G24" s="16" t="n">
        <v>873.71</v>
      </c>
      <c r="H24" s="16" t="n">
        <v>873.71</v>
      </c>
      <c r="I24" s="16">
        <f>SUM(K24:T24)</f>
        <v/>
      </c>
      <c r="J24" s="16">
        <f>F24-(G24+H24+I24)</f>
        <v/>
      </c>
      <c r="K24" s="16" t="n">
        <v>524.23</v>
      </c>
      <c r="L24" s="16" t="n">
        <v>524.23</v>
      </c>
      <c r="M24" s="16" t="n">
        <v>524.23</v>
      </c>
      <c r="N24" s="16" t="n">
        <v>524.23</v>
      </c>
      <c r="O24" s="16" t="n">
        <v>524.23</v>
      </c>
      <c r="P24" s="16" t="n">
        <v>524.23</v>
      </c>
      <c r="Q24" s="16" t="n">
        <v>524.23</v>
      </c>
      <c r="R24" s="16" t="n">
        <v>524.23</v>
      </c>
      <c r="S24" s="16" t="n">
        <v>524.23</v>
      </c>
      <c r="T24" s="16" t="n">
        <v>524.23</v>
      </c>
      <c r="U24" s="16" t="n">
        <v>350</v>
      </c>
      <c r="V24" s="16" t="n">
        <v>0</v>
      </c>
      <c r="W24" s="16">
        <f>U24+V24</f>
        <v/>
      </c>
    </row>
    <row r="25">
      <c r="A25" s="3" t="inlineStr">
        <is>
          <t>CANON-202606-006766</t>
        </is>
      </c>
      <c r="B25" s="3" t="inlineStr">
        <is>
          <t>2026-06-30</t>
        </is>
      </c>
      <c r="C25" s="3" t="inlineStr">
        <is>
          <t>Saoirse Nakashima</t>
        </is>
      </c>
      <c r="D25" s="3" t="inlineStr">
        <is>
          <t>CO</t>
        </is>
      </c>
      <c r="E25" s="14" t="n">
        <v>790000</v>
      </c>
      <c r="F25" s="14" t="n">
        <v>8150.89</v>
      </c>
      <c r="G25" s="14" t="n">
        <v>1018.86</v>
      </c>
      <c r="H25" s="14" t="n">
        <v>1018.86</v>
      </c>
      <c r="I25" s="14">
        <f>SUM(K25:T25)</f>
        <v/>
      </c>
      <c r="J25" s="14">
        <f>F25-(G25+H25+I25)</f>
        <v/>
      </c>
      <c r="K25" s="14" t="n">
        <v>611.3200000000001</v>
      </c>
      <c r="L25" s="14" t="n">
        <v>611.3200000000001</v>
      </c>
      <c r="M25" s="14" t="n">
        <v>611.3200000000001</v>
      </c>
      <c r="N25" s="14" t="n">
        <v>611.3200000000001</v>
      </c>
      <c r="O25" s="14" t="n">
        <v>611.3200000000001</v>
      </c>
      <c r="P25" s="14" t="n">
        <v>611.3200000000001</v>
      </c>
      <c r="Q25" s="14" t="n">
        <v>611.3200000000001</v>
      </c>
      <c r="R25" s="14" t="n">
        <v>611.3200000000001</v>
      </c>
      <c r="S25" s="14" t="n">
        <v>611.3200000000001</v>
      </c>
      <c r="T25" s="14" t="n">
        <v>611.3200000000001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CANON-202606-006767</t>
        </is>
      </c>
      <c r="B26" s="15" t="inlineStr">
        <is>
          <t>2026-06-19</t>
        </is>
      </c>
      <c r="C26" s="15" t="inlineStr">
        <is>
          <t>Aurelio Blackwood</t>
        </is>
      </c>
      <c r="D26" s="15" t="inlineStr">
        <is>
          <t>KY</t>
        </is>
      </c>
      <c r="E26" s="16" t="n">
        <v>855000</v>
      </c>
      <c r="F26" s="16" t="n">
        <v>10746.24</v>
      </c>
      <c r="G26" s="16" t="n">
        <v>1343.28</v>
      </c>
      <c r="H26" s="16" t="n">
        <v>1343.28</v>
      </c>
      <c r="I26" s="16">
        <f>SUM(K26:T26)</f>
        <v/>
      </c>
      <c r="J26" s="16">
        <f>F26-(G26+H26+I26)</f>
        <v/>
      </c>
      <c r="K26" s="16" t="n">
        <v>805.97</v>
      </c>
      <c r="L26" s="16" t="n">
        <v>805.97</v>
      </c>
      <c r="M26" s="16" t="n">
        <v>805.97</v>
      </c>
      <c r="N26" s="16" t="n">
        <v>805.97</v>
      </c>
      <c r="O26" s="16" t="n">
        <v>805.97</v>
      </c>
      <c r="P26" s="16" t="n">
        <v>805.97</v>
      </c>
      <c r="Q26" s="16" t="n">
        <v>805.97</v>
      </c>
      <c r="R26" s="16" t="n">
        <v>805.97</v>
      </c>
      <c r="S26" s="16" t="n">
        <v>805.97</v>
      </c>
      <c r="T26" s="16" t="n">
        <v>805.97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CANON-202606-006768</t>
        </is>
      </c>
      <c r="B27" s="3" t="inlineStr">
        <is>
          <t>2026-06-11</t>
        </is>
      </c>
      <c r="C27" s="3" t="inlineStr">
        <is>
          <t>Noor Whitlock</t>
        </is>
      </c>
      <c r="D27" s="3" t="inlineStr">
        <is>
          <t>WV</t>
        </is>
      </c>
      <c r="E27" s="14" t="n">
        <v>865000</v>
      </c>
      <c r="F27" s="14" t="n">
        <v>10790.78</v>
      </c>
      <c r="G27" s="14" t="n">
        <v>1348.85</v>
      </c>
      <c r="H27" s="14" t="n">
        <v>1348.85</v>
      </c>
      <c r="I27" s="14">
        <f>SUM(K27:T27)</f>
        <v/>
      </c>
      <c r="J27" s="14">
        <f>F27-(G27+H27+I27)</f>
        <v/>
      </c>
      <c r="K27" s="14" t="n">
        <v>809.3099999999999</v>
      </c>
      <c r="L27" s="14" t="n">
        <v>809.3099999999999</v>
      </c>
      <c r="M27" s="14" t="n">
        <v>809.3099999999999</v>
      </c>
      <c r="N27" s="14" t="n">
        <v>809.3099999999999</v>
      </c>
      <c r="O27" s="14" t="n">
        <v>809.3099999999999</v>
      </c>
      <c r="P27" s="14" t="n">
        <v>809.3099999999999</v>
      </c>
      <c r="Q27" s="14" t="n">
        <v>809.3099999999999</v>
      </c>
      <c r="R27" s="14" t="n">
        <v>809.3099999999999</v>
      </c>
      <c r="S27" s="14" t="n">
        <v>809.3099999999999</v>
      </c>
      <c r="T27" s="14" t="n">
        <v>809.3099999999999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CANON-202606-006770</t>
        </is>
      </c>
      <c r="B28" s="15" t="inlineStr">
        <is>
          <t>2026-06-28</t>
        </is>
      </c>
      <c r="C28" s="15" t="inlineStr">
        <is>
          <t>Sunniva Rourke</t>
        </is>
      </c>
      <c r="D28" s="15" t="inlineStr">
        <is>
          <t>VT</t>
        </is>
      </c>
      <c r="E28" s="16" t="n">
        <v>650000</v>
      </c>
      <c r="F28" s="16" t="n">
        <v>7438.04</v>
      </c>
      <c r="G28" s="16" t="n">
        <v>929.75</v>
      </c>
      <c r="H28" s="16" t="n">
        <v>929.75</v>
      </c>
      <c r="I28" s="16">
        <f>SUM(K28:T28)</f>
        <v/>
      </c>
      <c r="J28" s="16">
        <f>F28-(G28+H28+I28)</f>
        <v/>
      </c>
      <c r="K28" s="16" t="n">
        <v>557.85</v>
      </c>
      <c r="L28" s="16" t="n">
        <v>557.85</v>
      </c>
      <c r="M28" s="16" t="n">
        <v>557.85</v>
      </c>
      <c r="N28" s="16" t="n">
        <v>557.85</v>
      </c>
      <c r="O28" s="16" t="n">
        <v>557.85</v>
      </c>
      <c r="P28" s="16" t="n">
        <v>557.85</v>
      </c>
      <c r="Q28" s="16" t="n">
        <v>557.85</v>
      </c>
      <c r="R28" s="16" t="n">
        <v>557.85</v>
      </c>
      <c r="S28" s="16" t="n">
        <v>557.85</v>
      </c>
      <c r="T28" s="16" t="n">
        <v>557.85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CANON-202606-006771</t>
        </is>
      </c>
      <c r="B29" s="3" t="inlineStr">
        <is>
          <t>2026-06-27</t>
        </is>
      </c>
      <c r="C29" s="3" t="inlineStr">
        <is>
          <t>Sunniva Thistlewood</t>
        </is>
      </c>
      <c r="D29" s="3" t="inlineStr">
        <is>
          <t>KS</t>
        </is>
      </c>
      <c r="E29" s="14" t="n">
        <v>450000</v>
      </c>
      <c r="F29" s="14" t="n">
        <v>4724.09</v>
      </c>
      <c r="G29" s="14" t="n">
        <v>590.51</v>
      </c>
      <c r="H29" s="14" t="n">
        <v>590.51</v>
      </c>
      <c r="I29" s="14">
        <f>SUM(K29:T29)</f>
        <v/>
      </c>
      <c r="J29" s="14">
        <f>F29-(G29+H29+I29)</f>
        <v/>
      </c>
      <c r="K29" s="14" t="n">
        <v>354.31</v>
      </c>
      <c r="L29" s="14" t="n">
        <v>354.31</v>
      </c>
      <c r="M29" s="14" t="n">
        <v>354.31</v>
      </c>
      <c r="N29" s="14" t="n">
        <v>354.31</v>
      </c>
      <c r="O29" s="14" t="n">
        <v>354.31</v>
      </c>
      <c r="P29" s="14" t="n">
        <v>354.31</v>
      </c>
      <c r="Q29" s="14" t="n">
        <v>354.31</v>
      </c>
      <c r="R29" s="14" t="n">
        <v>354.31</v>
      </c>
      <c r="S29" s="14" t="n">
        <v>354.31</v>
      </c>
      <c r="T29" s="14" t="n">
        <v>354.31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CANON-202606-006772</t>
        </is>
      </c>
      <c r="B30" s="15" t="inlineStr">
        <is>
          <t>2026-06-04</t>
        </is>
      </c>
      <c r="C30" s="15" t="inlineStr">
        <is>
          <t>Thaddeus Underwood</t>
        </is>
      </c>
      <c r="D30" s="15" t="inlineStr">
        <is>
          <t>VT</t>
        </is>
      </c>
      <c r="E30" s="16" t="n">
        <v>350000</v>
      </c>
      <c r="F30" s="16" t="n">
        <v>4621.27</v>
      </c>
      <c r="G30" s="16" t="n">
        <v>577.66</v>
      </c>
      <c r="H30" s="16" t="n">
        <v>577.66</v>
      </c>
      <c r="I30" s="16">
        <f>SUM(K30:T30)</f>
        <v/>
      </c>
      <c r="J30" s="16">
        <f>F30-(G30+H30+I30)</f>
        <v/>
      </c>
      <c r="K30" s="16" t="n">
        <v>346.6</v>
      </c>
      <c r="L30" s="16" t="n">
        <v>346.6</v>
      </c>
      <c r="M30" s="16" t="n">
        <v>346.6</v>
      </c>
      <c r="N30" s="16" t="n">
        <v>346.6</v>
      </c>
      <c r="O30" s="16" t="n">
        <v>346.6</v>
      </c>
      <c r="P30" s="16" t="n">
        <v>346.6</v>
      </c>
      <c r="Q30" s="16" t="n">
        <v>346.6</v>
      </c>
      <c r="R30" s="16" t="n">
        <v>346.6</v>
      </c>
      <c r="S30" s="16" t="n">
        <v>346.6</v>
      </c>
      <c r="T30" s="16" t="n">
        <v>346.6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CANON-202606-006773</t>
        </is>
      </c>
      <c r="B31" s="3" t="inlineStr">
        <is>
          <t>2026-06-08</t>
        </is>
      </c>
      <c r="C31" s="3" t="inlineStr">
        <is>
          <t>Everett Pennington</t>
        </is>
      </c>
      <c r="D31" s="3" t="inlineStr">
        <is>
          <t>MT</t>
        </is>
      </c>
      <c r="E31" s="14" t="n">
        <v>565000</v>
      </c>
      <c r="F31" s="14" t="n">
        <v>4928.52</v>
      </c>
      <c r="G31" s="14" t="n">
        <v>616.0700000000001</v>
      </c>
      <c r="H31" s="14" t="n">
        <v>616.0700000000001</v>
      </c>
      <c r="I31" s="14">
        <f>SUM(K31:T31)</f>
        <v/>
      </c>
      <c r="J31" s="14">
        <f>F31-(G31+H31+I31)</f>
        <v/>
      </c>
      <c r="K31" s="14" t="n">
        <v>369.64</v>
      </c>
      <c r="L31" s="14" t="n">
        <v>369.64</v>
      </c>
      <c r="M31" s="14" t="n">
        <v>369.64</v>
      </c>
      <c r="N31" s="14" t="n">
        <v>369.64</v>
      </c>
      <c r="O31" s="14" t="n">
        <v>369.64</v>
      </c>
      <c r="P31" s="14" t="n">
        <v>369.64</v>
      </c>
      <c r="Q31" s="14" t="n">
        <v>369.64</v>
      </c>
      <c r="R31" s="14" t="n">
        <v>369.64</v>
      </c>
      <c r="S31" s="14" t="n">
        <v>369.64</v>
      </c>
      <c r="T31" s="14" t="n">
        <v>369.64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CANON-202606-006775</t>
        </is>
      </c>
      <c r="B32" s="15" t="inlineStr">
        <is>
          <t>2026-06-15</t>
        </is>
      </c>
      <c r="C32" s="15" t="inlineStr">
        <is>
          <t>Fenwick Nakashima</t>
        </is>
      </c>
      <c r="D32" s="15" t="inlineStr">
        <is>
          <t>CA</t>
        </is>
      </c>
      <c r="E32" s="16" t="n">
        <v>365000</v>
      </c>
      <c r="F32" s="16" t="n">
        <v>5332.86</v>
      </c>
      <c r="G32" s="16" t="n">
        <v>666.61</v>
      </c>
      <c r="H32" s="16" t="n">
        <v>666.61</v>
      </c>
      <c r="I32" s="16">
        <f>SUM(K32:T32)</f>
        <v/>
      </c>
      <c r="J32" s="16">
        <f>F32-(G32+H32+I32)</f>
        <v/>
      </c>
      <c r="K32" s="16" t="n">
        <v>399.96</v>
      </c>
      <c r="L32" s="16" t="n">
        <v>399.96</v>
      </c>
      <c r="M32" s="16" t="n">
        <v>399.96</v>
      </c>
      <c r="N32" s="16" t="n">
        <v>399.96</v>
      </c>
      <c r="O32" s="16" t="n">
        <v>399.96</v>
      </c>
      <c r="P32" s="16" t="n">
        <v>399.96</v>
      </c>
      <c r="Q32" s="16" t="n">
        <v>399.96</v>
      </c>
      <c r="R32" s="16" t="n">
        <v>399.96</v>
      </c>
      <c r="S32" s="16" t="n">
        <v>399.96</v>
      </c>
      <c r="T32" s="16" t="n">
        <v>399.96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CANON-202606-006777</t>
        </is>
      </c>
      <c r="B33" s="3" t="inlineStr">
        <is>
          <t>2026-06-11</t>
        </is>
      </c>
      <c r="C33" s="3" t="inlineStr">
        <is>
          <t>Noor Merriweather</t>
        </is>
      </c>
      <c r="D33" s="3" t="inlineStr">
        <is>
          <t>PA</t>
        </is>
      </c>
      <c r="E33" s="14" t="n">
        <v>490000</v>
      </c>
      <c r="F33" s="14" t="n">
        <v>5303.09</v>
      </c>
      <c r="G33" s="14" t="n">
        <v>662.89</v>
      </c>
      <c r="H33" s="14" t="n">
        <v>662.89</v>
      </c>
      <c r="I33" s="14">
        <f>SUM(K33:T33)</f>
        <v/>
      </c>
      <c r="J33" s="14">
        <f>F33-(G33+H33+I33)</f>
        <v/>
      </c>
      <c r="K33" s="14" t="n">
        <v>397.73</v>
      </c>
      <c r="L33" s="14" t="n">
        <v>397.73</v>
      </c>
      <c r="M33" s="14" t="n">
        <v>397.73</v>
      </c>
      <c r="N33" s="14" t="n">
        <v>397.73</v>
      </c>
      <c r="O33" s="14" t="n">
        <v>397.73</v>
      </c>
      <c r="P33" s="14" t="n">
        <v>397.73</v>
      </c>
      <c r="Q33" s="14" t="n">
        <v>397.73</v>
      </c>
      <c r="R33" s="14" t="n">
        <v>397.73</v>
      </c>
      <c r="S33" s="14" t="n">
        <v>397.73</v>
      </c>
      <c r="T33" s="14" t="n">
        <v>397.73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CANON-202606-006778</t>
        </is>
      </c>
      <c r="B34" s="15" t="inlineStr">
        <is>
          <t>2026-06-03</t>
        </is>
      </c>
      <c r="C34" s="15" t="inlineStr">
        <is>
          <t>Lorenzo Blackwood</t>
        </is>
      </c>
      <c r="D34" s="15" t="inlineStr">
        <is>
          <t>WA</t>
        </is>
      </c>
      <c r="E34" s="16" t="n">
        <v>320000</v>
      </c>
      <c r="F34" s="16" t="n">
        <v>3324.72</v>
      </c>
      <c r="G34" s="16" t="n">
        <v>415.59</v>
      </c>
      <c r="H34" s="16" t="n">
        <v>415.59</v>
      </c>
      <c r="I34" s="16">
        <f>SUM(K34:T34)</f>
        <v/>
      </c>
      <c r="J34" s="16">
        <f>F34-(G34+H34+I34)</f>
        <v/>
      </c>
      <c r="K34" s="16" t="n">
        <v>249.35</v>
      </c>
      <c r="L34" s="16" t="n">
        <v>249.35</v>
      </c>
      <c r="M34" s="16" t="n">
        <v>249.35</v>
      </c>
      <c r="N34" s="16" t="n">
        <v>249.35</v>
      </c>
      <c r="O34" s="16" t="n">
        <v>249.35</v>
      </c>
      <c r="P34" s="16" t="n">
        <v>249.35</v>
      </c>
      <c r="Q34" s="16" t="n">
        <v>249.35</v>
      </c>
      <c r="R34" s="16" t="n">
        <v>249.35</v>
      </c>
      <c r="S34" s="16" t="n">
        <v>249.35</v>
      </c>
      <c r="T34" s="16" t="n">
        <v>249.35</v>
      </c>
      <c r="U34" s="16" t="n">
        <v>350</v>
      </c>
      <c r="V34" s="16" t="n">
        <v>0</v>
      </c>
      <c r="W34" s="16">
        <f>U34+V34</f>
        <v/>
      </c>
    </row>
    <row r="35">
      <c r="A35" s="3" t="inlineStr">
        <is>
          <t>CANON-202606-006779</t>
        </is>
      </c>
      <c r="B35" s="3" t="inlineStr">
        <is>
          <t>2026-06-14</t>
        </is>
      </c>
      <c r="C35" s="3" t="inlineStr">
        <is>
          <t>Thaddeus Vasquez</t>
        </is>
      </c>
      <c r="D35" s="3" t="inlineStr">
        <is>
          <t>NE</t>
        </is>
      </c>
      <c r="E35" s="14" t="n">
        <v>805000</v>
      </c>
      <c r="F35" s="14" t="n">
        <v>11778.93</v>
      </c>
      <c r="G35" s="14" t="n">
        <v>1472.37</v>
      </c>
      <c r="H35" s="14" t="n">
        <v>1472.37</v>
      </c>
      <c r="I35" s="14">
        <f>SUM(K35:T35)</f>
        <v/>
      </c>
      <c r="J35" s="14">
        <f>F35-(G35+H35+I35)</f>
        <v/>
      </c>
      <c r="K35" s="14" t="n">
        <v>883.42</v>
      </c>
      <c r="L35" s="14" t="n">
        <v>883.42</v>
      </c>
      <c r="M35" s="14" t="n">
        <v>883.42</v>
      </c>
      <c r="N35" s="14" t="n">
        <v>883.42</v>
      </c>
      <c r="O35" s="14" t="n">
        <v>883.42</v>
      </c>
      <c r="P35" s="14" t="n">
        <v>883.42</v>
      </c>
      <c r="Q35" s="14" t="n">
        <v>883.42</v>
      </c>
      <c r="R35" s="14" t="n">
        <v>883.42</v>
      </c>
      <c r="S35" s="14" t="n">
        <v>883.42</v>
      </c>
      <c r="T35" s="14" t="n">
        <v>883.42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CANON-202606-006781</t>
        </is>
      </c>
      <c r="B36" s="15" t="inlineStr">
        <is>
          <t>2026-06-06</t>
        </is>
      </c>
      <c r="C36" s="15" t="inlineStr">
        <is>
          <t>Mireille Thistlewood</t>
        </is>
      </c>
      <c r="D36" s="15" t="inlineStr">
        <is>
          <t>NM</t>
        </is>
      </c>
      <c r="E36" s="16" t="n">
        <v>690000</v>
      </c>
      <c r="F36" s="16" t="n">
        <v>5480.24</v>
      </c>
      <c r="G36" s="16" t="n">
        <v>685.03</v>
      </c>
      <c r="H36" s="16" t="n">
        <v>685.03</v>
      </c>
      <c r="I36" s="16">
        <f>SUM(K36:T36)</f>
        <v/>
      </c>
      <c r="J36" s="16">
        <f>F36-(G36+H36+I36)</f>
        <v/>
      </c>
      <c r="K36" s="16" t="n">
        <v>411.02</v>
      </c>
      <c r="L36" s="16" t="n">
        <v>411.02</v>
      </c>
      <c r="M36" s="16" t="n">
        <v>411.02</v>
      </c>
      <c r="N36" s="16" t="n">
        <v>411.02</v>
      </c>
      <c r="O36" s="16" t="n">
        <v>411.02</v>
      </c>
      <c r="P36" s="16" t="n">
        <v>411.02</v>
      </c>
      <c r="Q36" s="16" t="n">
        <v>411.02</v>
      </c>
      <c r="R36" s="16" t="n">
        <v>411.02</v>
      </c>
      <c r="S36" s="16" t="n">
        <v>411.02</v>
      </c>
      <c r="T36" s="16" t="n">
        <v>411.02</v>
      </c>
      <c r="U36" s="16" t="n">
        <v>350</v>
      </c>
      <c r="V36" s="16" t="n">
        <v>0</v>
      </c>
      <c r="W36" s="16">
        <f>U36+V36</f>
        <v/>
      </c>
    </row>
    <row r="37">
      <c r="A37" s="3" t="inlineStr">
        <is>
          <t>CANON-202606-006782</t>
        </is>
      </c>
      <c r="B37" s="3" t="inlineStr">
        <is>
          <t>2026-06-14</t>
        </is>
      </c>
      <c r="C37" s="3" t="inlineStr">
        <is>
          <t>Ottilie Pennington</t>
        </is>
      </c>
      <c r="D37" s="3" t="inlineStr">
        <is>
          <t>NC</t>
        </is>
      </c>
      <c r="E37" s="14" t="n">
        <v>535000</v>
      </c>
      <c r="F37" s="14" t="n">
        <v>5770.81</v>
      </c>
      <c r="G37" s="14" t="n">
        <v>721.35</v>
      </c>
      <c r="H37" s="14" t="n">
        <v>721.35</v>
      </c>
      <c r="I37" s="14">
        <f>SUM(K37:T37)</f>
        <v/>
      </c>
      <c r="J37" s="14">
        <f>F37-(G37+H37+I37)</f>
        <v/>
      </c>
      <c r="K37" s="14" t="n">
        <v>432.81</v>
      </c>
      <c r="L37" s="14" t="n">
        <v>432.81</v>
      </c>
      <c r="M37" s="14" t="n">
        <v>432.81</v>
      </c>
      <c r="N37" s="14" t="n">
        <v>432.81</v>
      </c>
      <c r="O37" s="14" t="n">
        <v>432.81</v>
      </c>
      <c r="P37" s="14" t="n">
        <v>432.81</v>
      </c>
      <c r="Q37" s="14" t="n">
        <v>432.81</v>
      </c>
      <c r="R37" s="14" t="n">
        <v>432.81</v>
      </c>
      <c r="S37" s="14" t="n">
        <v>432.81</v>
      </c>
      <c r="T37" s="14" t="n">
        <v>432.81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CANON-202606-006783</t>
        </is>
      </c>
      <c r="B38" s="15" t="inlineStr">
        <is>
          <t>2026-06-02</t>
        </is>
      </c>
      <c r="C38" s="15" t="inlineStr">
        <is>
          <t>Callum Okonkwo</t>
        </is>
      </c>
      <c r="D38" s="15" t="inlineStr">
        <is>
          <t>IL</t>
        </is>
      </c>
      <c r="E38" s="16" t="n">
        <v>805000</v>
      </c>
      <c r="F38" s="16" t="n">
        <v>6793.21</v>
      </c>
      <c r="G38" s="16" t="n">
        <v>849.15</v>
      </c>
      <c r="H38" s="16" t="n">
        <v>849.15</v>
      </c>
      <c r="I38" s="16">
        <f>SUM(K38:T38)</f>
        <v/>
      </c>
      <c r="J38" s="16">
        <f>F38-(G38+H38+I38)</f>
        <v/>
      </c>
      <c r="K38" s="16" t="n">
        <v>509.49</v>
      </c>
      <c r="L38" s="16" t="n">
        <v>509.49</v>
      </c>
      <c r="M38" s="16" t="n">
        <v>509.49</v>
      </c>
      <c r="N38" s="16" t="n">
        <v>509.49</v>
      </c>
      <c r="O38" s="16" t="n">
        <v>509.49</v>
      </c>
      <c r="P38" s="16" t="n">
        <v>509.49</v>
      </c>
      <c r="Q38" s="16" t="n">
        <v>509.49</v>
      </c>
      <c r="R38" s="16" t="n">
        <v>509.49</v>
      </c>
      <c r="S38" s="16" t="n">
        <v>509.49</v>
      </c>
      <c r="T38" s="16" t="n">
        <v>509.49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CANON-202606-006784</t>
        </is>
      </c>
      <c r="B39" s="3" t="inlineStr">
        <is>
          <t>2026-06-22</t>
        </is>
      </c>
      <c r="C39" s="3" t="inlineStr">
        <is>
          <t>Priya Thistlewood</t>
        </is>
      </c>
      <c r="D39" s="3" t="inlineStr">
        <is>
          <t>OR</t>
        </is>
      </c>
      <c r="E39" s="14" t="n">
        <v>305000</v>
      </c>
      <c r="F39" s="14" t="n">
        <v>3730.02</v>
      </c>
      <c r="G39" s="14" t="n">
        <v>466.25</v>
      </c>
      <c r="H39" s="14" t="n">
        <v>466.25</v>
      </c>
      <c r="I39" s="14">
        <f>SUM(K39:T39)</f>
        <v/>
      </c>
      <c r="J39" s="14">
        <f>F39-(G39+H39+I39)</f>
        <v/>
      </c>
      <c r="K39" s="14" t="n">
        <v>279.75</v>
      </c>
      <c r="L39" s="14" t="n">
        <v>279.75</v>
      </c>
      <c r="M39" s="14" t="n">
        <v>279.75</v>
      </c>
      <c r="N39" s="14" t="n">
        <v>279.75</v>
      </c>
      <c r="O39" s="14" t="n">
        <v>279.75</v>
      </c>
      <c r="P39" s="14" t="n">
        <v>279.75</v>
      </c>
      <c r="Q39" s="14" t="n">
        <v>279.75</v>
      </c>
      <c r="R39" s="14" t="n">
        <v>279.75</v>
      </c>
      <c r="S39" s="14" t="n">
        <v>279.75</v>
      </c>
      <c r="T39" s="14" t="n">
        <v>279.75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CANON-202606-006786</t>
        </is>
      </c>
      <c r="B40" s="15" t="inlineStr">
        <is>
          <t>2026-06-11</t>
        </is>
      </c>
      <c r="C40" s="15" t="inlineStr">
        <is>
          <t>Wilhelmina Bellandi</t>
        </is>
      </c>
      <c r="D40" s="15" t="inlineStr">
        <is>
          <t>TX</t>
        </is>
      </c>
      <c r="E40" s="16" t="n">
        <v>625000</v>
      </c>
      <c r="F40" s="16" t="n">
        <v>6741.6</v>
      </c>
      <c r="G40" s="16" t="n">
        <v>842.7</v>
      </c>
      <c r="H40" s="16" t="n">
        <v>842.7</v>
      </c>
      <c r="I40" s="16">
        <f>SUM(K40:T40)</f>
        <v/>
      </c>
      <c r="J40" s="16">
        <f>F40-(G40+H40+I40)</f>
        <v/>
      </c>
      <c r="K40" s="16" t="n">
        <v>505.62</v>
      </c>
      <c r="L40" s="16" t="n">
        <v>505.62</v>
      </c>
      <c r="M40" s="16" t="n">
        <v>505.62</v>
      </c>
      <c r="N40" s="16" t="n">
        <v>505.62</v>
      </c>
      <c r="O40" s="16" t="n">
        <v>505.62</v>
      </c>
      <c r="P40" s="16" t="n">
        <v>505.62</v>
      </c>
      <c r="Q40" s="16" t="n">
        <v>505.62</v>
      </c>
      <c r="R40" s="16" t="n">
        <v>505.62</v>
      </c>
      <c r="S40" s="16" t="n">
        <v>505.62</v>
      </c>
      <c r="T40" s="16" t="n">
        <v>505.62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CANON-202606-006788</t>
        </is>
      </c>
      <c r="B41" s="3" t="inlineStr">
        <is>
          <t>2026-06-12</t>
        </is>
      </c>
      <c r="C41" s="3" t="inlineStr">
        <is>
          <t>Anouk Rourke</t>
        </is>
      </c>
      <c r="D41" s="3" t="inlineStr">
        <is>
          <t>FL</t>
        </is>
      </c>
      <c r="E41" s="14" t="n">
        <v>590000</v>
      </c>
      <c r="F41" s="14" t="n">
        <v>7858.25</v>
      </c>
      <c r="G41" s="14" t="n">
        <v>982.28</v>
      </c>
      <c r="H41" s="14" t="n">
        <v>982.28</v>
      </c>
      <c r="I41" s="14">
        <f>SUM(K41:T41)</f>
        <v/>
      </c>
      <c r="J41" s="14">
        <f>F41-(G41+H41+I41)</f>
        <v/>
      </c>
      <c r="K41" s="14" t="n">
        <v>589.37</v>
      </c>
      <c r="L41" s="14" t="n">
        <v>589.37</v>
      </c>
      <c r="M41" s="14" t="n">
        <v>589.37</v>
      </c>
      <c r="N41" s="14" t="n">
        <v>589.37</v>
      </c>
      <c r="O41" s="14" t="n">
        <v>589.37</v>
      </c>
      <c r="P41" s="14" t="n">
        <v>589.37</v>
      </c>
      <c r="Q41" s="14" t="n">
        <v>589.37</v>
      </c>
      <c r="R41" s="14" t="n">
        <v>589.37</v>
      </c>
      <c r="S41" s="14" t="n">
        <v>589.37</v>
      </c>
      <c r="T41" s="14" t="n">
        <v>589.37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CANON-202606-006789</t>
        </is>
      </c>
      <c r="B42" s="15" t="inlineStr">
        <is>
          <t>2026-06-23</t>
        </is>
      </c>
      <c r="C42" s="15" t="inlineStr">
        <is>
          <t>Fitzgerald Thistlewood</t>
        </is>
      </c>
      <c r="D42" s="15" t="inlineStr">
        <is>
          <t>CO</t>
        </is>
      </c>
      <c r="E42" s="16" t="n">
        <v>620000</v>
      </c>
      <c r="F42" s="16" t="n">
        <v>6396.9</v>
      </c>
      <c r="G42" s="16" t="n">
        <v>799.61</v>
      </c>
      <c r="H42" s="16" t="n">
        <v>799.61</v>
      </c>
      <c r="I42" s="16">
        <f>SUM(K42:T42)</f>
        <v/>
      </c>
      <c r="J42" s="16">
        <f>F42-(G42+H42+I42)</f>
        <v/>
      </c>
      <c r="K42" s="16" t="n">
        <v>479.77</v>
      </c>
      <c r="L42" s="16" t="n">
        <v>479.77</v>
      </c>
      <c r="M42" s="16" t="n">
        <v>479.77</v>
      </c>
      <c r="N42" s="16" t="n">
        <v>479.77</v>
      </c>
      <c r="O42" s="16" t="n">
        <v>479.77</v>
      </c>
      <c r="P42" s="16" t="n">
        <v>479.77</v>
      </c>
      <c r="Q42" s="16" t="n">
        <v>479.77</v>
      </c>
      <c r="R42" s="16" t="n">
        <v>479.77</v>
      </c>
      <c r="S42" s="16" t="n">
        <v>479.77</v>
      </c>
      <c r="T42" s="16" t="n">
        <v>479.77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CANON-202606-006790</t>
        </is>
      </c>
      <c r="B43" s="3" t="inlineStr">
        <is>
          <t>2026-06-23</t>
        </is>
      </c>
      <c r="C43" s="3" t="inlineStr">
        <is>
          <t>Cassius Fairweather</t>
        </is>
      </c>
      <c r="D43" s="3" t="inlineStr">
        <is>
          <t>VA</t>
        </is>
      </c>
      <c r="E43" s="14" t="n">
        <v>585000</v>
      </c>
      <c r="F43" s="14" t="n">
        <v>5980.92</v>
      </c>
      <c r="G43" s="14" t="n">
        <v>747.62</v>
      </c>
      <c r="H43" s="14" t="n">
        <v>747.62</v>
      </c>
      <c r="I43" s="14">
        <f>SUM(K43:T43)</f>
        <v/>
      </c>
      <c r="J43" s="14">
        <f>F43-(G43+H43+I43)</f>
        <v/>
      </c>
      <c r="K43" s="14" t="n">
        <v>448.57</v>
      </c>
      <c r="L43" s="14" t="n">
        <v>448.57</v>
      </c>
      <c r="M43" s="14" t="n">
        <v>448.57</v>
      </c>
      <c r="N43" s="14" t="n">
        <v>448.57</v>
      </c>
      <c r="O43" s="14" t="n">
        <v>448.57</v>
      </c>
      <c r="P43" s="14" t="n">
        <v>448.57</v>
      </c>
      <c r="Q43" s="14" t="n">
        <v>448.57</v>
      </c>
      <c r="R43" s="14" t="n">
        <v>448.57</v>
      </c>
      <c r="S43" s="14" t="n">
        <v>448.57</v>
      </c>
      <c r="T43" s="14" t="n">
        <v>448.57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CANON-202606-006792</t>
        </is>
      </c>
      <c r="B44" s="15" t="inlineStr">
        <is>
          <t>2026-06-21</t>
        </is>
      </c>
      <c r="C44" s="15" t="inlineStr">
        <is>
          <t>Noor Whitlock</t>
        </is>
      </c>
      <c r="D44" s="15" t="inlineStr">
        <is>
          <t>TX</t>
        </is>
      </c>
      <c r="E44" s="16" t="n">
        <v>825000</v>
      </c>
      <c r="F44" s="16" t="n">
        <v>5886.98</v>
      </c>
      <c r="G44" s="16" t="n">
        <v>735.87</v>
      </c>
      <c r="H44" s="16" t="n">
        <v>735.87</v>
      </c>
      <c r="I44" s="16">
        <f>SUM(K44:T44)</f>
        <v/>
      </c>
      <c r="J44" s="16">
        <f>F44-(G44+H44+I44)</f>
        <v/>
      </c>
      <c r="K44" s="16" t="n">
        <v>441.52</v>
      </c>
      <c r="L44" s="16" t="n">
        <v>441.52</v>
      </c>
      <c r="M44" s="16" t="n">
        <v>441.52</v>
      </c>
      <c r="N44" s="16" t="n">
        <v>441.52</v>
      </c>
      <c r="O44" s="16" t="n">
        <v>441.52</v>
      </c>
      <c r="P44" s="16" t="n">
        <v>441.52</v>
      </c>
      <c r="Q44" s="16" t="n">
        <v>441.52</v>
      </c>
      <c r="R44" s="16" t="n">
        <v>441.52</v>
      </c>
      <c r="S44" s="16" t="n">
        <v>441.52</v>
      </c>
      <c r="T44" s="16" t="n">
        <v>441.52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CANON-202606-006793</t>
        </is>
      </c>
      <c r="B45" s="3" t="inlineStr">
        <is>
          <t>2026-06-11</t>
        </is>
      </c>
      <c r="C45" s="3" t="inlineStr">
        <is>
          <t>Noor Kingsford</t>
        </is>
      </c>
      <c r="D45" s="3" t="inlineStr">
        <is>
          <t>NC</t>
        </is>
      </c>
      <c r="E45" s="14" t="n">
        <v>670000</v>
      </c>
      <c r="F45" s="14" t="n">
        <v>10562.54</v>
      </c>
      <c r="G45" s="14" t="n">
        <v>1320.32</v>
      </c>
      <c r="H45" s="14" t="n">
        <v>1320.32</v>
      </c>
      <c r="I45" s="14">
        <f>SUM(K45:T45)</f>
        <v/>
      </c>
      <c r="J45" s="14">
        <f>F45-(G45+H45+I45)</f>
        <v/>
      </c>
      <c r="K45" s="14" t="n">
        <v>792.1900000000001</v>
      </c>
      <c r="L45" s="14" t="n">
        <v>792.1900000000001</v>
      </c>
      <c r="M45" s="14" t="n">
        <v>792.1900000000001</v>
      </c>
      <c r="N45" s="14" t="n">
        <v>792.1900000000001</v>
      </c>
      <c r="O45" s="14" t="n">
        <v>792.1900000000001</v>
      </c>
      <c r="P45" s="14" t="n">
        <v>792.1900000000001</v>
      </c>
      <c r="Q45" s="14" t="n">
        <v>792.1900000000001</v>
      </c>
      <c r="R45" s="14" t="n">
        <v>792.1900000000001</v>
      </c>
      <c r="S45" s="14" t="n">
        <v>792.1900000000001</v>
      </c>
      <c r="T45" s="14" t="n">
        <v>792.1900000000001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CANON-202606-006794</t>
        </is>
      </c>
      <c r="B46" s="15" t="inlineStr">
        <is>
          <t>2026-06-05</t>
        </is>
      </c>
      <c r="C46" s="15" t="inlineStr">
        <is>
          <t>Lorenzo Vandermeer</t>
        </is>
      </c>
      <c r="D46" s="15" t="inlineStr">
        <is>
          <t>CA</t>
        </is>
      </c>
      <c r="E46" s="16" t="n">
        <v>455000</v>
      </c>
      <c r="F46" s="16" t="n">
        <v>4254.6</v>
      </c>
      <c r="G46" s="16" t="n">
        <v>531.83</v>
      </c>
      <c r="H46" s="16" t="n">
        <v>531.83</v>
      </c>
      <c r="I46" s="16">
        <f>SUM(K46:T46)</f>
        <v/>
      </c>
      <c r="J46" s="16">
        <f>F46-(G46+H46+I46)</f>
        <v/>
      </c>
      <c r="K46" s="16" t="n">
        <v>319.1</v>
      </c>
      <c r="L46" s="16" t="n">
        <v>319.1</v>
      </c>
      <c r="M46" s="16" t="n">
        <v>319.1</v>
      </c>
      <c r="N46" s="16" t="n">
        <v>319.1</v>
      </c>
      <c r="O46" s="16" t="n">
        <v>319.1</v>
      </c>
      <c r="P46" s="16" t="n">
        <v>319.1</v>
      </c>
      <c r="Q46" s="16" t="n">
        <v>319.1</v>
      </c>
      <c r="R46" s="16" t="n">
        <v>319.1</v>
      </c>
      <c r="S46" s="16" t="n">
        <v>319.1</v>
      </c>
      <c r="T46" s="16" t="n">
        <v>319.1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CANON-202606-006795</t>
        </is>
      </c>
      <c r="B47" s="3" t="inlineStr">
        <is>
          <t>2026-06-26</t>
        </is>
      </c>
      <c r="C47" s="3" t="inlineStr">
        <is>
          <t>Saoirse Ashcombe</t>
        </is>
      </c>
      <c r="D47" s="3" t="inlineStr">
        <is>
          <t>KY</t>
        </is>
      </c>
      <c r="E47" s="14" t="n">
        <v>600000</v>
      </c>
      <c r="F47" s="14" t="n">
        <v>4988.81</v>
      </c>
      <c r="G47" s="14" t="n">
        <v>623.6</v>
      </c>
      <c r="H47" s="14" t="n">
        <v>623.6</v>
      </c>
      <c r="I47" s="14">
        <f>SUM(K47:T47)</f>
        <v/>
      </c>
      <c r="J47" s="14">
        <f>F47-(G47+H47+I47)</f>
        <v/>
      </c>
      <c r="K47" s="14" t="n">
        <v>374.16</v>
      </c>
      <c r="L47" s="14" t="n">
        <v>374.16</v>
      </c>
      <c r="M47" s="14" t="n">
        <v>374.16</v>
      </c>
      <c r="N47" s="14" t="n">
        <v>374.16</v>
      </c>
      <c r="O47" s="14" t="n">
        <v>374.16</v>
      </c>
      <c r="P47" s="14" t="n">
        <v>374.16</v>
      </c>
      <c r="Q47" s="14" t="n">
        <v>374.16</v>
      </c>
      <c r="R47" s="14" t="n">
        <v>374.16</v>
      </c>
      <c r="S47" s="14" t="n">
        <v>374.16</v>
      </c>
      <c r="T47" s="14" t="n">
        <v>374.16</v>
      </c>
      <c r="U47" s="14" t="n">
        <v>350</v>
      </c>
      <c r="V47" s="14" t="n">
        <v>0</v>
      </c>
      <c r="W47" s="14">
        <f>U47+V47</f>
        <v/>
      </c>
    </row>
    <row r="48">
      <c r="A48" s="15" t="inlineStr">
        <is>
          <t>CANON-202606-006796</t>
        </is>
      </c>
      <c r="B48" s="15" t="inlineStr">
        <is>
          <t>2026-06-27</t>
        </is>
      </c>
      <c r="C48" s="15" t="inlineStr">
        <is>
          <t>Horace Bellandi</t>
        </is>
      </c>
      <c r="D48" s="15" t="inlineStr">
        <is>
          <t>FL</t>
        </is>
      </c>
      <c r="E48" s="16" t="n">
        <v>885000</v>
      </c>
      <c r="F48" s="16" t="n">
        <v>11787.37</v>
      </c>
      <c r="G48" s="16" t="n">
        <v>1473.42</v>
      </c>
      <c r="H48" s="16" t="n">
        <v>1473.42</v>
      </c>
      <c r="I48" s="16">
        <f>SUM(K48:T48)</f>
        <v/>
      </c>
      <c r="J48" s="16">
        <f>F48-(G48+H48+I48)</f>
        <v/>
      </c>
      <c r="K48" s="16" t="n">
        <v>884.05</v>
      </c>
      <c r="L48" s="16" t="n">
        <v>884.05</v>
      </c>
      <c r="M48" s="16" t="n">
        <v>884.05</v>
      </c>
      <c r="N48" s="16" t="n">
        <v>884.05</v>
      </c>
      <c r="O48" s="16" t="n">
        <v>884.05</v>
      </c>
      <c r="P48" s="16" t="n">
        <v>884.05</v>
      </c>
      <c r="Q48" s="16" t="n">
        <v>884.05</v>
      </c>
      <c r="R48" s="16" t="n">
        <v>884.05</v>
      </c>
      <c r="S48" s="16" t="n">
        <v>884.05</v>
      </c>
      <c r="T48" s="16" t="n">
        <v>884.05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CANON-202606-006797</t>
        </is>
      </c>
      <c r="B49" s="3" t="inlineStr">
        <is>
          <t>2026-06-09</t>
        </is>
      </c>
      <c r="C49" s="3" t="inlineStr">
        <is>
          <t>Emiliano Bellandi</t>
        </is>
      </c>
      <c r="D49" s="3" t="inlineStr">
        <is>
          <t>KS</t>
        </is>
      </c>
      <c r="E49" s="14" t="n">
        <v>860000</v>
      </c>
      <c r="F49" s="14" t="n">
        <v>7824.48</v>
      </c>
      <c r="G49" s="14" t="n">
        <v>978.0599999999999</v>
      </c>
      <c r="H49" s="14" t="n">
        <v>978.0599999999999</v>
      </c>
      <c r="I49" s="14">
        <f>SUM(K49:T49)</f>
        <v/>
      </c>
      <c r="J49" s="14">
        <f>F49-(G49+H49+I49)</f>
        <v/>
      </c>
      <c r="K49" s="14" t="n">
        <v>586.84</v>
      </c>
      <c r="L49" s="14" t="n">
        <v>586.84</v>
      </c>
      <c r="M49" s="14" t="n">
        <v>586.84</v>
      </c>
      <c r="N49" s="14" t="n">
        <v>586.84</v>
      </c>
      <c r="O49" s="14" t="n">
        <v>586.84</v>
      </c>
      <c r="P49" s="14" t="n">
        <v>586.84</v>
      </c>
      <c r="Q49" s="14" t="n">
        <v>586.84</v>
      </c>
      <c r="R49" s="14" t="n">
        <v>586.84</v>
      </c>
      <c r="S49" s="14" t="n">
        <v>586.84</v>
      </c>
      <c r="T49" s="14" t="n">
        <v>586.84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CANON-202606-006799</t>
        </is>
      </c>
      <c r="B50" s="15" t="inlineStr">
        <is>
          <t>2026-06-01</t>
        </is>
      </c>
      <c r="C50" s="15" t="inlineStr">
        <is>
          <t>Emiliano Bellandi</t>
        </is>
      </c>
      <c r="D50" s="15" t="inlineStr">
        <is>
          <t>CT</t>
        </is>
      </c>
      <c r="E50" s="16" t="n">
        <v>860000</v>
      </c>
      <c r="F50" s="16" t="n">
        <v>9034.450000000001</v>
      </c>
      <c r="G50" s="16" t="n">
        <v>1129.31</v>
      </c>
      <c r="H50" s="16" t="n">
        <v>1129.31</v>
      </c>
      <c r="I50" s="16">
        <f>SUM(K50:T50)</f>
        <v/>
      </c>
      <c r="J50" s="16">
        <f>F50-(G50+H50+I50)</f>
        <v/>
      </c>
      <c r="K50" s="16" t="n">
        <v>677.58</v>
      </c>
      <c r="L50" s="16" t="n">
        <v>677.58</v>
      </c>
      <c r="M50" s="16" t="n">
        <v>677.58</v>
      </c>
      <c r="N50" s="16" t="n">
        <v>677.58</v>
      </c>
      <c r="O50" s="16" t="n">
        <v>677.58</v>
      </c>
      <c r="P50" s="16" t="n">
        <v>677.58</v>
      </c>
      <c r="Q50" s="16" t="n">
        <v>677.58</v>
      </c>
      <c r="R50" s="16" t="n">
        <v>677.58</v>
      </c>
      <c r="S50" s="16" t="n">
        <v>677.58</v>
      </c>
      <c r="T50" s="16" t="n">
        <v>677.58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CANON-202606-006801</t>
        </is>
      </c>
      <c r="B51" s="3" t="inlineStr">
        <is>
          <t>2026-06-09</t>
        </is>
      </c>
      <c r="C51" s="3" t="inlineStr">
        <is>
          <t>Ingrid Fairweather</t>
        </is>
      </c>
      <c r="D51" s="3" t="inlineStr">
        <is>
          <t>NY</t>
        </is>
      </c>
      <c r="E51" s="14" t="n">
        <v>415000</v>
      </c>
      <c r="F51" s="14" t="n">
        <v>3219.43</v>
      </c>
      <c r="G51" s="14" t="n">
        <v>402.43</v>
      </c>
      <c r="H51" s="14" t="n">
        <v>402.43</v>
      </c>
      <c r="I51" s="14">
        <f>SUM(K51:T51)</f>
        <v/>
      </c>
      <c r="J51" s="14">
        <f>F51-(G51+H51+I51)</f>
        <v/>
      </c>
      <c r="K51" s="14" t="n">
        <v>241.46</v>
      </c>
      <c r="L51" s="14" t="n">
        <v>241.46</v>
      </c>
      <c r="M51" s="14" t="n">
        <v>241.46</v>
      </c>
      <c r="N51" s="14" t="n">
        <v>241.46</v>
      </c>
      <c r="O51" s="14" t="n">
        <v>241.46</v>
      </c>
      <c r="P51" s="14" t="n">
        <v>241.46</v>
      </c>
      <c r="Q51" s="14" t="n">
        <v>241.46</v>
      </c>
      <c r="R51" s="14" t="n">
        <v>241.46</v>
      </c>
      <c r="S51" s="14" t="n">
        <v>241.46</v>
      </c>
      <c r="T51" s="14" t="n">
        <v>241.46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CANON-202606-006802</t>
        </is>
      </c>
      <c r="B52" s="15" t="inlineStr">
        <is>
          <t>2026-06-05</t>
        </is>
      </c>
      <c r="C52" s="15" t="inlineStr">
        <is>
          <t>Fitzgerald Blackwood</t>
        </is>
      </c>
      <c r="D52" s="15" t="inlineStr">
        <is>
          <t>GA</t>
        </is>
      </c>
      <c r="E52" s="16" t="n">
        <v>915000</v>
      </c>
      <c r="F52" s="16" t="n">
        <v>6358.87</v>
      </c>
      <c r="G52" s="16" t="n">
        <v>794.86</v>
      </c>
      <c r="H52" s="16" t="n">
        <v>794.86</v>
      </c>
      <c r="I52" s="16">
        <f>SUM(K52:T52)</f>
        <v/>
      </c>
      <c r="J52" s="16">
        <f>F52-(G52+H52+I52)</f>
        <v/>
      </c>
      <c r="K52" s="16" t="n">
        <v>476.92</v>
      </c>
      <c r="L52" s="16" t="n">
        <v>476.92</v>
      </c>
      <c r="M52" s="16" t="n">
        <v>476.92</v>
      </c>
      <c r="N52" s="16" t="n">
        <v>476.92</v>
      </c>
      <c r="O52" s="16" t="n">
        <v>476.92</v>
      </c>
      <c r="P52" s="16" t="n">
        <v>476.92</v>
      </c>
      <c r="Q52" s="16" t="n">
        <v>476.92</v>
      </c>
      <c r="R52" s="16" t="n">
        <v>476.92</v>
      </c>
      <c r="S52" s="16" t="n">
        <v>476.92</v>
      </c>
      <c r="T52" s="16" t="n">
        <v>476.92</v>
      </c>
      <c r="U52" s="16" t="n">
        <v>350</v>
      </c>
      <c r="V52" s="16" t="n">
        <v>0</v>
      </c>
      <c r="W52" s="16">
        <f>U52+V52</f>
        <v/>
      </c>
    </row>
    <row r="53">
      <c r="A53" s="3" t="inlineStr">
        <is>
          <t>CANON-202606-006805</t>
        </is>
      </c>
      <c r="B53" s="3" t="inlineStr">
        <is>
          <t>2026-06-04</t>
        </is>
      </c>
      <c r="C53" s="3" t="inlineStr">
        <is>
          <t>Desmond Farkas</t>
        </is>
      </c>
      <c r="D53" s="3" t="inlineStr">
        <is>
          <t>DE</t>
        </is>
      </c>
      <c r="E53" s="14" t="n">
        <v>810000</v>
      </c>
      <c r="F53" s="14" t="n">
        <v>9496.870000000001</v>
      </c>
      <c r="G53" s="14" t="n">
        <v>1187.11</v>
      </c>
      <c r="H53" s="14" t="n">
        <v>1187.11</v>
      </c>
      <c r="I53" s="14">
        <f>SUM(K53:T53)</f>
        <v/>
      </c>
      <c r="J53" s="14">
        <f>F53-(G53+H53+I53)</f>
        <v/>
      </c>
      <c r="K53" s="14" t="n">
        <v>712.27</v>
      </c>
      <c r="L53" s="14" t="n">
        <v>712.27</v>
      </c>
      <c r="M53" s="14" t="n">
        <v>712.27</v>
      </c>
      <c r="N53" s="14" t="n">
        <v>712.27</v>
      </c>
      <c r="O53" s="14" t="n">
        <v>712.27</v>
      </c>
      <c r="P53" s="14" t="n">
        <v>712.27</v>
      </c>
      <c r="Q53" s="14" t="n">
        <v>712.27</v>
      </c>
      <c r="R53" s="14" t="n">
        <v>712.27</v>
      </c>
      <c r="S53" s="14" t="n">
        <v>712.27</v>
      </c>
      <c r="T53" s="14" t="n">
        <v>712.27</v>
      </c>
      <c r="U53" s="14" t="n">
        <v>350</v>
      </c>
      <c r="V53" s="14" t="n">
        <v>0</v>
      </c>
      <c r="W53" s="14">
        <f>U53+V53</f>
        <v/>
      </c>
    </row>
    <row r="54">
      <c r="A54" s="15" t="inlineStr">
        <is>
          <t>CANON-202606-006806</t>
        </is>
      </c>
      <c r="B54" s="15" t="inlineStr">
        <is>
          <t>2026-06-03</t>
        </is>
      </c>
      <c r="C54" s="15" t="inlineStr">
        <is>
          <t>Anouk Rourke</t>
        </is>
      </c>
      <c r="D54" s="15" t="inlineStr">
        <is>
          <t>TN</t>
        </is>
      </c>
      <c r="E54" s="16" t="n">
        <v>455000</v>
      </c>
      <c r="F54" s="16" t="n">
        <v>4825.82</v>
      </c>
      <c r="G54" s="16" t="n">
        <v>603.23</v>
      </c>
      <c r="H54" s="16" t="n">
        <v>603.23</v>
      </c>
      <c r="I54" s="16">
        <f>SUM(K54:T54)</f>
        <v/>
      </c>
      <c r="J54" s="16">
        <f>F54-(G54+H54+I54)</f>
        <v/>
      </c>
      <c r="K54" s="16" t="n">
        <v>361.94</v>
      </c>
      <c r="L54" s="16" t="n">
        <v>361.94</v>
      </c>
      <c r="M54" s="16" t="n">
        <v>361.94</v>
      </c>
      <c r="N54" s="16" t="n">
        <v>361.94</v>
      </c>
      <c r="O54" s="16" t="n">
        <v>361.94</v>
      </c>
      <c r="P54" s="16" t="n">
        <v>361.94</v>
      </c>
      <c r="Q54" s="16" t="n">
        <v>361.94</v>
      </c>
      <c r="R54" s="16" t="n">
        <v>361.94</v>
      </c>
      <c r="S54" s="16" t="n">
        <v>361.94</v>
      </c>
      <c r="T54" s="16" t="n">
        <v>361.94</v>
      </c>
      <c r="U54" s="16" t="n">
        <v>350</v>
      </c>
      <c r="V54" s="16" t="n">
        <v>0</v>
      </c>
      <c r="W54" s="16">
        <f>U54+V54</f>
        <v/>
      </c>
    </row>
    <row r="55">
      <c r="A55" s="3" t="inlineStr">
        <is>
          <t>CANON-202606-006807</t>
        </is>
      </c>
      <c r="B55" s="3" t="inlineStr">
        <is>
          <t>2026-06-09</t>
        </is>
      </c>
      <c r="C55" s="3" t="inlineStr">
        <is>
          <t>Ramona Bellandi</t>
        </is>
      </c>
      <c r="D55" s="3" t="inlineStr">
        <is>
          <t>MO</t>
        </is>
      </c>
      <c r="E55" s="14" t="n">
        <v>405000</v>
      </c>
      <c r="F55" s="14" t="n">
        <v>7124.11</v>
      </c>
      <c r="G55" s="14" t="n">
        <v>890.51</v>
      </c>
      <c r="H55" s="14" t="n">
        <v>890.51</v>
      </c>
      <c r="I55" s="14">
        <f>SUM(K55:T55)</f>
        <v/>
      </c>
      <c r="J55" s="14">
        <f>F55-(G55+H55+I55)</f>
        <v/>
      </c>
      <c r="K55" s="14" t="n">
        <v>534.3099999999999</v>
      </c>
      <c r="L55" s="14" t="n">
        <v>534.3099999999999</v>
      </c>
      <c r="M55" s="14" t="n">
        <v>534.3099999999999</v>
      </c>
      <c r="N55" s="14" t="n">
        <v>534.3099999999999</v>
      </c>
      <c r="O55" s="14" t="n">
        <v>534.3099999999999</v>
      </c>
      <c r="P55" s="14" t="n">
        <v>534.3099999999999</v>
      </c>
      <c r="Q55" s="14" t="n">
        <v>534.3099999999999</v>
      </c>
      <c r="R55" s="14" t="n">
        <v>534.3099999999999</v>
      </c>
      <c r="S55" s="14" t="n">
        <v>534.3099999999999</v>
      </c>
      <c r="T55" s="14" t="n">
        <v>534.3099999999999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CANON-202606-006810</t>
        </is>
      </c>
      <c r="B56" s="15" t="inlineStr">
        <is>
          <t>2026-06-27</t>
        </is>
      </c>
      <c r="C56" s="15" t="inlineStr">
        <is>
          <t>Fitzgerald Vandermeer</t>
        </is>
      </c>
      <c r="D56" s="15" t="inlineStr">
        <is>
          <t>SC</t>
        </is>
      </c>
      <c r="E56" s="16" t="n">
        <v>830000</v>
      </c>
      <c r="F56" s="16" t="n">
        <v>6386.16</v>
      </c>
      <c r="G56" s="16" t="n">
        <v>798.27</v>
      </c>
      <c r="H56" s="16" t="n">
        <v>798.27</v>
      </c>
      <c r="I56" s="16">
        <f>SUM(K56:T56)</f>
        <v/>
      </c>
      <c r="J56" s="16">
        <f>F56-(G56+H56+I56)</f>
        <v/>
      </c>
      <c r="K56" s="16" t="n">
        <v>478.96</v>
      </c>
      <c r="L56" s="16" t="n">
        <v>478.96</v>
      </c>
      <c r="M56" s="16" t="n">
        <v>478.96</v>
      </c>
      <c r="N56" s="16" t="n">
        <v>478.96</v>
      </c>
      <c r="O56" s="16" t="n">
        <v>478.96</v>
      </c>
      <c r="P56" s="16" t="n">
        <v>478.96</v>
      </c>
      <c r="Q56" s="16" t="n">
        <v>478.96</v>
      </c>
      <c r="R56" s="16" t="n">
        <v>478.96</v>
      </c>
      <c r="S56" s="16" t="n">
        <v>478.96</v>
      </c>
      <c r="T56" s="16" t="n">
        <v>478.96</v>
      </c>
      <c r="U56" s="16" t="n">
        <v>350</v>
      </c>
      <c r="V56" s="16" t="n">
        <v>0</v>
      </c>
      <c r="W56" s="16">
        <f>U56+V56</f>
        <v/>
      </c>
    </row>
    <row r="57">
      <c r="A57" s="3" t="inlineStr">
        <is>
          <t>CANON-202606-006811</t>
        </is>
      </c>
      <c r="B57" s="3" t="inlineStr">
        <is>
          <t>2026-06-05</t>
        </is>
      </c>
      <c r="C57" s="3" t="inlineStr">
        <is>
          <t>Delphine Larsson</t>
        </is>
      </c>
      <c r="D57" s="3" t="inlineStr">
        <is>
          <t>FL</t>
        </is>
      </c>
      <c r="E57" s="14" t="n">
        <v>890000</v>
      </c>
      <c r="F57" s="14" t="n">
        <v>11853.96</v>
      </c>
      <c r="G57" s="14" t="n">
        <v>1481.74</v>
      </c>
      <c r="H57" s="14" t="n">
        <v>1481.74</v>
      </c>
      <c r="I57" s="14">
        <f>SUM(K57:T57)</f>
        <v/>
      </c>
      <c r="J57" s="14">
        <f>F57-(G57+H57+I57)</f>
        <v/>
      </c>
      <c r="K57" s="14" t="n">
        <v>889.05</v>
      </c>
      <c r="L57" s="14" t="n">
        <v>889.05</v>
      </c>
      <c r="M57" s="14" t="n">
        <v>889.05</v>
      </c>
      <c r="N57" s="14" t="n">
        <v>889.05</v>
      </c>
      <c r="O57" s="14" t="n">
        <v>889.05</v>
      </c>
      <c r="P57" s="14" t="n">
        <v>889.05</v>
      </c>
      <c r="Q57" s="14" t="n">
        <v>889.05</v>
      </c>
      <c r="R57" s="14" t="n">
        <v>889.05</v>
      </c>
      <c r="S57" s="14" t="n">
        <v>889.05</v>
      </c>
      <c r="T57" s="14" t="n">
        <v>889.05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CANON-202606-006814</t>
        </is>
      </c>
      <c r="B58" s="15" t="inlineStr">
        <is>
          <t>2026-06-21</t>
        </is>
      </c>
      <c r="C58" s="15" t="inlineStr">
        <is>
          <t>Fenwick Vasquez</t>
        </is>
      </c>
      <c r="D58" s="15" t="inlineStr">
        <is>
          <t>KY</t>
        </is>
      </c>
      <c r="E58" s="16" t="n">
        <v>410000</v>
      </c>
      <c r="F58" s="16" t="n">
        <v>5945.96</v>
      </c>
      <c r="G58" s="16" t="n">
        <v>743.25</v>
      </c>
      <c r="H58" s="16" t="n">
        <v>743.25</v>
      </c>
      <c r="I58" s="16">
        <f>SUM(K58:T58)</f>
        <v/>
      </c>
      <c r="J58" s="16">
        <f>F58-(G58+H58+I58)</f>
        <v/>
      </c>
      <c r="K58" s="16" t="n">
        <v>445.95</v>
      </c>
      <c r="L58" s="16" t="n">
        <v>445.95</v>
      </c>
      <c r="M58" s="16" t="n">
        <v>445.95</v>
      </c>
      <c r="N58" s="16" t="n">
        <v>445.95</v>
      </c>
      <c r="O58" s="16" t="n">
        <v>445.95</v>
      </c>
      <c r="P58" s="16" t="n">
        <v>445.95</v>
      </c>
      <c r="Q58" s="16" t="n">
        <v>445.95</v>
      </c>
      <c r="R58" s="16" t="n">
        <v>445.95</v>
      </c>
      <c r="S58" s="16" t="n">
        <v>445.95</v>
      </c>
      <c r="T58" s="16" t="n">
        <v>445.95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CANON-202606-006815</t>
        </is>
      </c>
      <c r="B59" s="3" t="inlineStr">
        <is>
          <t>2026-06-03</t>
        </is>
      </c>
      <c r="C59" s="3" t="inlineStr">
        <is>
          <t>Lorenzo Merriweather</t>
        </is>
      </c>
      <c r="D59" s="3" t="inlineStr">
        <is>
          <t>WI</t>
        </is>
      </c>
      <c r="E59" s="14" t="n">
        <v>465000</v>
      </c>
      <c r="F59" s="14" t="n">
        <v>6039.04</v>
      </c>
      <c r="G59" s="14" t="n">
        <v>754.88</v>
      </c>
      <c r="H59" s="14" t="n">
        <v>754.88</v>
      </c>
      <c r="I59" s="14">
        <f>SUM(K59:T59)</f>
        <v/>
      </c>
      <c r="J59" s="14">
        <f>F59-(G59+H59+I59)</f>
        <v/>
      </c>
      <c r="K59" s="14" t="n">
        <v>452.93</v>
      </c>
      <c r="L59" s="14" t="n">
        <v>452.93</v>
      </c>
      <c r="M59" s="14" t="n">
        <v>452.93</v>
      </c>
      <c r="N59" s="14" t="n">
        <v>452.93</v>
      </c>
      <c r="O59" s="14" t="n">
        <v>452.93</v>
      </c>
      <c r="P59" s="14" t="n">
        <v>452.93</v>
      </c>
      <c r="Q59" s="14" t="n">
        <v>452.93</v>
      </c>
      <c r="R59" s="14" t="n">
        <v>452.93</v>
      </c>
      <c r="S59" s="14" t="n">
        <v>452.93</v>
      </c>
      <c r="T59" s="14" t="n">
        <v>452.93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CANON-202606-006817</t>
        </is>
      </c>
      <c r="B60" s="15" t="inlineStr">
        <is>
          <t>2026-06-01</t>
        </is>
      </c>
      <c r="C60" s="15" t="inlineStr">
        <is>
          <t>Ingrid Montoya</t>
        </is>
      </c>
      <c r="D60" s="15" t="inlineStr">
        <is>
          <t>TX</t>
        </is>
      </c>
      <c r="E60" s="16" t="n">
        <v>740000</v>
      </c>
      <c r="F60" s="16" t="n">
        <v>9578.469999999999</v>
      </c>
      <c r="G60" s="16" t="n">
        <v>1197.31</v>
      </c>
      <c r="H60" s="16" t="n">
        <v>1197.31</v>
      </c>
      <c r="I60" s="16">
        <f>SUM(K60:T60)</f>
        <v/>
      </c>
      <c r="J60" s="16">
        <f>F60-(G60+H60+I60)</f>
        <v/>
      </c>
      <c r="K60" s="16" t="n">
        <v>718.39</v>
      </c>
      <c r="L60" s="16" t="n">
        <v>718.39</v>
      </c>
      <c r="M60" s="16" t="n">
        <v>718.39</v>
      </c>
      <c r="N60" s="16" t="n">
        <v>718.39</v>
      </c>
      <c r="O60" s="16" t="n">
        <v>718.39</v>
      </c>
      <c r="P60" s="16" t="n">
        <v>718.39</v>
      </c>
      <c r="Q60" s="16" t="n">
        <v>718.39</v>
      </c>
      <c r="R60" s="16" t="n">
        <v>718.39</v>
      </c>
      <c r="S60" s="16" t="n">
        <v>718.39</v>
      </c>
      <c r="T60" s="16" t="n">
        <v>718.39</v>
      </c>
      <c r="U60" s="16" t="n">
        <v>350</v>
      </c>
      <c r="V60" s="16" t="n">
        <v>0</v>
      </c>
      <c r="W60" s="16">
        <f>U60+V60</f>
        <v/>
      </c>
    </row>
    <row r="61">
      <c r="A61" s="3" t="inlineStr">
        <is>
          <t>CANON-202606-006818</t>
        </is>
      </c>
      <c r="B61" s="3" t="inlineStr">
        <is>
          <t>2026-06-02</t>
        </is>
      </c>
      <c r="C61" s="3" t="inlineStr">
        <is>
          <t>Cassius Vandermeer</t>
        </is>
      </c>
      <c r="D61" s="3" t="inlineStr">
        <is>
          <t>MA</t>
        </is>
      </c>
      <c r="E61" s="14" t="n">
        <v>575000</v>
      </c>
      <c r="F61" s="14" t="n">
        <v>6741.6</v>
      </c>
      <c r="G61" s="14" t="n">
        <v>842.7</v>
      </c>
      <c r="H61" s="14" t="n">
        <v>842.7</v>
      </c>
      <c r="I61" s="14">
        <f>SUM(K61:T61)</f>
        <v/>
      </c>
      <c r="J61" s="14">
        <f>F61-(G61+H61+I61)</f>
        <v/>
      </c>
      <c r="K61" s="14" t="n">
        <v>505.62</v>
      </c>
      <c r="L61" s="14" t="n">
        <v>505.62</v>
      </c>
      <c r="M61" s="14" t="n">
        <v>505.62</v>
      </c>
      <c r="N61" s="14" t="n">
        <v>505.62</v>
      </c>
      <c r="O61" s="14" t="n">
        <v>505.62</v>
      </c>
      <c r="P61" s="14" t="n">
        <v>505.62</v>
      </c>
      <c r="Q61" s="14" t="n">
        <v>505.62</v>
      </c>
      <c r="R61" s="14" t="n">
        <v>505.62</v>
      </c>
      <c r="S61" s="14" t="n">
        <v>505.62</v>
      </c>
      <c r="T61" s="14" t="n">
        <v>505.62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CANON-202606-006820</t>
        </is>
      </c>
      <c r="B62" s="15" t="inlineStr">
        <is>
          <t>2026-06-05</t>
        </is>
      </c>
      <c r="C62" s="15" t="inlineStr">
        <is>
          <t>Leopold Castellanos</t>
        </is>
      </c>
      <c r="D62" s="15" t="inlineStr">
        <is>
          <t>FL</t>
        </is>
      </c>
      <c r="E62" s="16" t="n">
        <v>900000</v>
      </c>
      <c r="F62" s="16" t="n">
        <v>11987.15</v>
      </c>
      <c r="G62" s="16" t="n">
        <v>1498.39</v>
      </c>
      <c r="H62" s="16" t="n">
        <v>1498.39</v>
      </c>
      <c r="I62" s="16">
        <f>SUM(K62:T62)</f>
        <v/>
      </c>
      <c r="J62" s="16">
        <f>F62-(G62+H62+I62)</f>
        <v/>
      </c>
      <c r="K62" s="16" t="n">
        <v>899.04</v>
      </c>
      <c r="L62" s="16" t="n">
        <v>899.04</v>
      </c>
      <c r="M62" s="16" t="n">
        <v>899.04</v>
      </c>
      <c r="N62" s="16" t="n">
        <v>899.04</v>
      </c>
      <c r="O62" s="16" t="n">
        <v>899.04</v>
      </c>
      <c r="P62" s="16" t="n">
        <v>899.04</v>
      </c>
      <c r="Q62" s="16" t="n">
        <v>899.04</v>
      </c>
      <c r="R62" s="16" t="n">
        <v>899.04</v>
      </c>
      <c r="S62" s="16" t="n">
        <v>899.04</v>
      </c>
      <c r="T62" s="16" t="n">
        <v>899.04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CANON-202606-006821</t>
        </is>
      </c>
      <c r="B63" s="3" t="inlineStr">
        <is>
          <t>2026-06-08</t>
        </is>
      </c>
      <c r="C63" s="3" t="inlineStr">
        <is>
          <t>Beatrix Castellanos</t>
        </is>
      </c>
      <c r="D63" s="3" t="inlineStr">
        <is>
          <t>MA</t>
        </is>
      </c>
      <c r="E63" s="14" t="n">
        <v>1265000</v>
      </c>
      <c r="F63" s="14" t="n">
        <v>8670.74</v>
      </c>
      <c r="G63" s="14" t="n">
        <v>1083.84</v>
      </c>
      <c r="H63" s="14" t="n">
        <v>1083.84</v>
      </c>
      <c r="I63" s="14">
        <f>SUM(K63:T63)</f>
        <v/>
      </c>
      <c r="J63" s="14">
        <f>F63-(G63+H63+I63)</f>
        <v/>
      </c>
      <c r="K63" s="14" t="n">
        <v>650.3099999999999</v>
      </c>
      <c r="L63" s="14" t="n">
        <v>650.3099999999999</v>
      </c>
      <c r="M63" s="14" t="n">
        <v>650.3099999999999</v>
      </c>
      <c r="N63" s="14" t="n">
        <v>650.3099999999999</v>
      </c>
      <c r="O63" s="14" t="n">
        <v>650.3099999999999</v>
      </c>
      <c r="P63" s="14" t="n">
        <v>650.3099999999999</v>
      </c>
      <c r="Q63" s="14" t="n">
        <v>650.3099999999999</v>
      </c>
      <c r="R63" s="14" t="n">
        <v>650.3099999999999</v>
      </c>
      <c r="S63" s="14" t="n">
        <v>650.3099999999999</v>
      </c>
      <c r="T63" s="14" t="n">
        <v>650.3099999999999</v>
      </c>
      <c r="U63" s="14" t="n">
        <v>350</v>
      </c>
      <c r="V63" s="14" t="n">
        <v>250</v>
      </c>
      <c r="W63" s="14">
        <f>U63+V63</f>
        <v/>
      </c>
    </row>
    <row r="64">
      <c r="A64" s="15" t="inlineStr">
        <is>
          <t>CANON-202606-006822</t>
        </is>
      </c>
      <c r="B64" s="15" t="inlineStr">
        <is>
          <t>2026-06-29</t>
        </is>
      </c>
      <c r="C64" s="15" t="inlineStr">
        <is>
          <t>Cassius Chattopadhyay</t>
        </is>
      </c>
      <c r="D64" s="15" t="inlineStr">
        <is>
          <t>WA</t>
        </is>
      </c>
      <c r="E64" s="16" t="n">
        <v>1080000</v>
      </c>
      <c r="F64" s="16" t="n">
        <v>11968.97</v>
      </c>
      <c r="G64" s="16" t="n">
        <v>1496.12</v>
      </c>
      <c r="H64" s="16" t="n">
        <v>1496.12</v>
      </c>
      <c r="I64" s="16">
        <f>SUM(K64:T64)</f>
        <v/>
      </c>
      <c r="J64" s="16">
        <f>F64-(G64+H64+I64)</f>
        <v/>
      </c>
      <c r="K64" s="16" t="n">
        <v>897.67</v>
      </c>
      <c r="L64" s="16" t="n">
        <v>897.67</v>
      </c>
      <c r="M64" s="16" t="n">
        <v>897.67</v>
      </c>
      <c r="N64" s="16" t="n">
        <v>897.67</v>
      </c>
      <c r="O64" s="16" t="n">
        <v>897.67</v>
      </c>
      <c r="P64" s="16" t="n">
        <v>897.67</v>
      </c>
      <c r="Q64" s="16" t="n">
        <v>897.67</v>
      </c>
      <c r="R64" s="16" t="n">
        <v>897.67</v>
      </c>
      <c r="S64" s="16" t="n">
        <v>897.67</v>
      </c>
      <c r="T64" s="16" t="n">
        <v>897.67</v>
      </c>
      <c r="U64" s="16" t="n">
        <v>350</v>
      </c>
      <c r="V64" s="16" t="n">
        <v>250</v>
      </c>
      <c r="W64" s="16">
        <f>U64+V64</f>
        <v/>
      </c>
    </row>
    <row r="65">
      <c r="A65" s="3" t="inlineStr">
        <is>
          <t>CANON-202606-006823</t>
        </is>
      </c>
      <c r="B65" s="3" t="inlineStr">
        <is>
          <t>2026-06-25</t>
        </is>
      </c>
      <c r="C65" s="3" t="inlineStr">
        <is>
          <t>Horace Chattopadhyay</t>
        </is>
      </c>
      <c r="D65" s="3" t="inlineStr">
        <is>
          <t>PA</t>
        </is>
      </c>
      <c r="E65" s="14" t="n">
        <v>300000</v>
      </c>
      <c r="F65" s="14" t="n">
        <v>3246.79</v>
      </c>
      <c r="G65" s="14" t="n">
        <v>405.85</v>
      </c>
      <c r="H65" s="14" t="n">
        <v>405.85</v>
      </c>
      <c r="I65" s="14">
        <f>SUM(K65:T65)</f>
        <v/>
      </c>
      <c r="J65" s="14">
        <f>F65-(G65+H65+I65)</f>
        <v/>
      </c>
      <c r="K65" s="14" t="n">
        <v>243.51</v>
      </c>
      <c r="L65" s="14" t="n">
        <v>243.51</v>
      </c>
      <c r="M65" s="14" t="n">
        <v>243.51</v>
      </c>
      <c r="N65" s="14" t="n">
        <v>243.51</v>
      </c>
      <c r="O65" s="14" t="n">
        <v>243.51</v>
      </c>
      <c r="P65" s="14" t="n">
        <v>243.51</v>
      </c>
      <c r="Q65" s="14" t="n">
        <v>243.51</v>
      </c>
      <c r="R65" s="14" t="n">
        <v>243.51</v>
      </c>
      <c r="S65" s="14" t="n">
        <v>243.51</v>
      </c>
      <c r="T65" s="14" t="n">
        <v>243.51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CANON-202606-006824</t>
        </is>
      </c>
      <c r="B66" s="15" t="inlineStr">
        <is>
          <t>2026-06-19</t>
        </is>
      </c>
      <c r="C66" s="15" t="inlineStr">
        <is>
          <t>Horace Chattopadhyay</t>
        </is>
      </c>
      <c r="D66" s="15" t="inlineStr">
        <is>
          <t>CA</t>
        </is>
      </c>
      <c r="E66" s="16" t="n">
        <v>650000</v>
      </c>
      <c r="F66" s="16" t="n">
        <v>8230.620000000001</v>
      </c>
      <c r="G66" s="16" t="n">
        <v>1028.83</v>
      </c>
      <c r="H66" s="16" t="n">
        <v>1028.83</v>
      </c>
      <c r="I66" s="16">
        <f>SUM(K66:T66)</f>
        <v/>
      </c>
      <c r="J66" s="16">
        <f>F66-(G66+H66+I66)</f>
        <v/>
      </c>
      <c r="K66" s="16" t="n">
        <v>617.3</v>
      </c>
      <c r="L66" s="16" t="n">
        <v>617.3</v>
      </c>
      <c r="M66" s="16" t="n">
        <v>617.3</v>
      </c>
      <c r="N66" s="16" t="n">
        <v>617.3</v>
      </c>
      <c r="O66" s="16" t="n">
        <v>617.3</v>
      </c>
      <c r="P66" s="16" t="n">
        <v>617.3</v>
      </c>
      <c r="Q66" s="16" t="n">
        <v>617.3</v>
      </c>
      <c r="R66" s="16" t="n">
        <v>617.3</v>
      </c>
      <c r="S66" s="16" t="n">
        <v>617.3</v>
      </c>
      <c r="T66" s="16" t="n">
        <v>617.3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CANON-202606-006825</t>
        </is>
      </c>
      <c r="B67" s="3" t="inlineStr">
        <is>
          <t>2026-06-23</t>
        </is>
      </c>
      <c r="C67" s="3" t="inlineStr">
        <is>
          <t>Beatrix Vandermeer</t>
        </is>
      </c>
      <c r="D67" s="3" t="inlineStr">
        <is>
          <t>WY</t>
        </is>
      </c>
      <c r="E67" s="14" t="n">
        <v>635000</v>
      </c>
      <c r="F67" s="14" t="n">
        <v>7647.58</v>
      </c>
      <c r="G67" s="14" t="n">
        <v>955.95</v>
      </c>
      <c r="H67" s="14" t="n">
        <v>955.95</v>
      </c>
      <c r="I67" s="14">
        <f>SUM(K67:T67)</f>
        <v/>
      </c>
      <c r="J67" s="14">
        <f>F67-(G67+H67+I67)</f>
        <v/>
      </c>
      <c r="K67" s="14" t="n">
        <v>573.5700000000001</v>
      </c>
      <c r="L67" s="14" t="n">
        <v>573.5700000000001</v>
      </c>
      <c r="M67" s="14" t="n">
        <v>573.5700000000001</v>
      </c>
      <c r="N67" s="14" t="n">
        <v>573.5700000000001</v>
      </c>
      <c r="O67" s="14" t="n">
        <v>573.5700000000001</v>
      </c>
      <c r="P67" s="14" t="n">
        <v>573.5700000000001</v>
      </c>
      <c r="Q67" s="14" t="n">
        <v>573.5700000000001</v>
      </c>
      <c r="R67" s="14" t="n">
        <v>573.5700000000001</v>
      </c>
      <c r="S67" s="14" t="n">
        <v>573.5700000000001</v>
      </c>
      <c r="T67" s="14" t="n">
        <v>573.5700000000001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CANON-202606-006826</t>
        </is>
      </c>
      <c r="B68" s="15" t="inlineStr">
        <is>
          <t>2026-06-06</t>
        </is>
      </c>
      <c r="C68" s="15" t="inlineStr">
        <is>
          <t>Marisol Nakashima</t>
        </is>
      </c>
      <c r="D68" s="15" t="inlineStr">
        <is>
          <t>CA</t>
        </is>
      </c>
      <c r="E68" s="16" t="n">
        <v>440000</v>
      </c>
      <c r="F68" s="16" t="n">
        <v>6428.65</v>
      </c>
      <c r="G68" s="16" t="n">
        <v>803.58</v>
      </c>
      <c r="H68" s="16" t="n">
        <v>803.58</v>
      </c>
      <c r="I68" s="16">
        <f>SUM(K68:T68)</f>
        <v/>
      </c>
      <c r="J68" s="16">
        <f>F68-(G68+H68+I68)</f>
        <v/>
      </c>
      <c r="K68" s="16" t="n">
        <v>482.15</v>
      </c>
      <c r="L68" s="16" t="n">
        <v>482.15</v>
      </c>
      <c r="M68" s="16" t="n">
        <v>482.15</v>
      </c>
      <c r="N68" s="16" t="n">
        <v>482.15</v>
      </c>
      <c r="O68" s="16" t="n">
        <v>482.15</v>
      </c>
      <c r="P68" s="16" t="n">
        <v>482.15</v>
      </c>
      <c r="Q68" s="16" t="n">
        <v>482.15</v>
      </c>
      <c r="R68" s="16" t="n">
        <v>482.15</v>
      </c>
      <c r="S68" s="16" t="n">
        <v>482.15</v>
      </c>
      <c r="T68" s="16" t="n">
        <v>482.15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CANON-202606-006828</t>
        </is>
      </c>
      <c r="B69" s="3" t="inlineStr">
        <is>
          <t>2026-06-16</t>
        </is>
      </c>
      <c r="C69" s="3" t="inlineStr">
        <is>
          <t>Delphine Farkas</t>
        </is>
      </c>
      <c r="D69" s="3" t="inlineStr">
        <is>
          <t>NY</t>
        </is>
      </c>
      <c r="E69" s="14" t="n">
        <v>725000</v>
      </c>
      <c r="F69" s="14" t="n">
        <v>8704.290000000001</v>
      </c>
      <c r="G69" s="14" t="n">
        <v>1088.04</v>
      </c>
      <c r="H69" s="14" t="n">
        <v>1088.04</v>
      </c>
      <c r="I69" s="14">
        <f>SUM(K69:T69)</f>
        <v/>
      </c>
      <c r="J69" s="14">
        <f>F69-(G69+H69+I69)</f>
        <v/>
      </c>
      <c r="K69" s="14" t="n">
        <v>652.8200000000001</v>
      </c>
      <c r="L69" s="14" t="n">
        <v>652.8200000000001</v>
      </c>
      <c r="M69" s="14" t="n">
        <v>652.8200000000001</v>
      </c>
      <c r="N69" s="14" t="n">
        <v>652.8200000000001</v>
      </c>
      <c r="O69" s="14" t="n">
        <v>652.8200000000001</v>
      </c>
      <c r="P69" s="14" t="n">
        <v>652.8200000000001</v>
      </c>
      <c r="Q69" s="14" t="n">
        <v>652.8200000000001</v>
      </c>
      <c r="R69" s="14" t="n">
        <v>652.8200000000001</v>
      </c>
      <c r="S69" s="14" t="n">
        <v>652.8200000000001</v>
      </c>
      <c r="T69" s="14" t="n">
        <v>652.8200000000001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CANON-202606-006829</t>
        </is>
      </c>
      <c r="B70" s="15" t="inlineStr">
        <is>
          <t>2026-06-03</t>
        </is>
      </c>
      <c r="C70" s="15" t="inlineStr">
        <is>
          <t>Lorenzo Underwood</t>
        </is>
      </c>
      <c r="D70" s="15" t="inlineStr">
        <is>
          <t>MI</t>
        </is>
      </c>
      <c r="E70" s="16" t="n">
        <v>1485000</v>
      </c>
      <c r="F70" s="16" t="n">
        <v>26571.75</v>
      </c>
      <c r="G70" s="16" t="n">
        <v>3321.47</v>
      </c>
      <c r="H70" s="16" t="n">
        <v>3321.47</v>
      </c>
      <c r="I70" s="16">
        <f>SUM(K70:T70)</f>
        <v/>
      </c>
      <c r="J70" s="16">
        <f>F70-(G70+H70+I70)</f>
        <v/>
      </c>
      <c r="K70" s="16" t="n">
        <v>1992.88</v>
      </c>
      <c r="L70" s="16" t="n">
        <v>1992.88</v>
      </c>
      <c r="M70" s="16" t="n">
        <v>1992.88</v>
      </c>
      <c r="N70" s="16" t="n">
        <v>1992.88</v>
      </c>
      <c r="O70" s="16" t="n">
        <v>1992.88</v>
      </c>
      <c r="P70" s="16" t="n">
        <v>1992.88</v>
      </c>
      <c r="Q70" s="16" t="n">
        <v>1992.88</v>
      </c>
      <c r="R70" s="16" t="n">
        <v>1992.88</v>
      </c>
      <c r="S70" s="16" t="n">
        <v>1992.88</v>
      </c>
      <c r="T70" s="16" t="n">
        <v>1992.88</v>
      </c>
      <c r="U70" s="16" t="n">
        <v>350</v>
      </c>
      <c r="V70" s="16" t="n">
        <v>250</v>
      </c>
      <c r="W70" s="16">
        <f>U70+V70</f>
        <v/>
      </c>
    </row>
    <row r="71">
      <c r="A71" s="3" t="inlineStr">
        <is>
          <t>CANON-202606-006831</t>
        </is>
      </c>
      <c r="B71" s="3" t="inlineStr">
        <is>
          <t>2026-06-16</t>
        </is>
      </c>
      <c r="C71" s="3" t="inlineStr">
        <is>
          <t>Beatrix Whitlock</t>
        </is>
      </c>
      <c r="D71" s="3" t="inlineStr">
        <is>
          <t>MI</t>
        </is>
      </c>
      <c r="E71" s="14" t="n">
        <v>765000</v>
      </c>
      <c r="F71" s="14" t="n">
        <v>11121.89</v>
      </c>
      <c r="G71" s="14" t="n">
        <v>1390.24</v>
      </c>
      <c r="H71" s="14" t="n">
        <v>1390.24</v>
      </c>
      <c r="I71" s="14">
        <f>SUM(K71:T71)</f>
        <v/>
      </c>
      <c r="J71" s="14">
        <f>F71-(G71+H71+I71)</f>
        <v/>
      </c>
      <c r="K71" s="14" t="n">
        <v>834.14</v>
      </c>
      <c r="L71" s="14" t="n">
        <v>834.14</v>
      </c>
      <c r="M71" s="14" t="n">
        <v>834.14</v>
      </c>
      <c r="N71" s="14" t="n">
        <v>834.14</v>
      </c>
      <c r="O71" s="14" t="n">
        <v>834.14</v>
      </c>
      <c r="P71" s="14" t="n">
        <v>834.14</v>
      </c>
      <c r="Q71" s="14" t="n">
        <v>834.14</v>
      </c>
      <c r="R71" s="14" t="n">
        <v>834.14</v>
      </c>
      <c r="S71" s="14" t="n">
        <v>834.14</v>
      </c>
      <c r="T71" s="14" t="n">
        <v>834.14</v>
      </c>
      <c r="U71" s="14" t="n">
        <v>350</v>
      </c>
      <c r="V71" s="14" t="n">
        <v>0</v>
      </c>
      <c r="W71" s="14">
        <f>U71+V71</f>
        <v/>
      </c>
    </row>
    <row r="72">
      <c r="A72" s="15" t="inlineStr">
        <is>
          <t>CANON-202606-006835</t>
        </is>
      </c>
      <c r="B72" s="15" t="inlineStr">
        <is>
          <t>2026-06-17</t>
        </is>
      </c>
      <c r="C72" s="15" t="inlineStr">
        <is>
          <t>Delphine Pennington</t>
        </is>
      </c>
      <c r="D72" s="15" t="inlineStr">
        <is>
          <t>OK</t>
        </is>
      </c>
      <c r="E72" s="16" t="n">
        <v>860000</v>
      </c>
      <c r="F72" s="16" t="n">
        <v>10163.76</v>
      </c>
      <c r="G72" s="16" t="n">
        <v>1270.47</v>
      </c>
      <c r="H72" s="16" t="n">
        <v>1270.47</v>
      </c>
      <c r="I72" s="16">
        <f>SUM(K72:T72)</f>
        <v/>
      </c>
      <c r="J72" s="16">
        <f>F72-(G72+H72+I72)</f>
        <v/>
      </c>
      <c r="K72" s="16" t="n">
        <v>762.28</v>
      </c>
      <c r="L72" s="16" t="n">
        <v>762.28</v>
      </c>
      <c r="M72" s="16" t="n">
        <v>762.28</v>
      </c>
      <c r="N72" s="16" t="n">
        <v>762.28</v>
      </c>
      <c r="O72" s="16" t="n">
        <v>762.28</v>
      </c>
      <c r="P72" s="16" t="n">
        <v>762.28</v>
      </c>
      <c r="Q72" s="16" t="n">
        <v>762.28</v>
      </c>
      <c r="R72" s="16" t="n">
        <v>762.28</v>
      </c>
      <c r="S72" s="16" t="n">
        <v>762.28</v>
      </c>
      <c r="T72" s="16" t="n">
        <v>762.28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CANON-202606-006839</t>
        </is>
      </c>
      <c r="B73" s="3" t="inlineStr">
        <is>
          <t>2026-06-02</t>
        </is>
      </c>
      <c r="C73" s="3" t="inlineStr">
        <is>
          <t>Horace Ashcombe</t>
        </is>
      </c>
      <c r="D73" s="3" t="inlineStr">
        <is>
          <t>IL</t>
        </is>
      </c>
      <c r="E73" s="14" t="n">
        <v>330000</v>
      </c>
      <c r="F73" s="14" t="n">
        <v>4857.2</v>
      </c>
      <c r="G73" s="14" t="n">
        <v>607.15</v>
      </c>
      <c r="H73" s="14" t="n">
        <v>607.15</v>
      </c>
      <c r="I73" s="14">
        <f>SUM(K73:T73)</f>
        <v/>
      </c>
      <c r="J73" s="14">
        <f>F73-(G73+H73+I73)</f>
        <v/>
      </c>
      <c r="K73" s="14" t="n">
        <v>364.29</v>
      </c>
      <c r="L73" s="14" t="n">
        <v>364.29</v>
      </c>
      <c r="M73" s="14" t="n">
        <v>364.29</v>
      </c>
      <c r="N73" s="14" t="n">
        <v>364.29</v>
      </c>
      <c r="O73" s="14" t="n">
        <v>364.29</v>
      </c>
      <c r="P73" s="14" t="n">
        <v>364.29</v>
      </c>
      <c r="Q73" s="14" t="n">
        <v>364.29</v>
      </c>
      <c r="R73" s="14" t="n">
        <v>364.29</v>
      </c>
      <c r="S73" s="14" t="n">
        <v>364.29</v>
      </c>
      <c r="T73" s="14" t="n">
        <v>364.29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CANON-202606-006843</t>
        </is>
      </c>
      <c r="B74" s="15" t="inlineStr">
        <is>
          <t>2026-06-16</t>
        </is>
      </c>
      <c r="C74" s="15" t="inlineStr">
        <is>
          <t>Horace Kingsford</t>
        </is>
      </c>
      <c r="D74" s="15" t="inlineStr">
        <is>
          <t>WV</t>
        </is>
      </c>
      <c r="E74" s="16" t="n">
        <v>530000</v>
      </c>
      <c r="F74" s="16" t="n">
        <v>4373.89</v>
      </c>
      <c r="G74" s="16" t="n">
        <v>546.74</v>
      </c>
      <c r="H74" s="16" t="n">
        <v>546.74</v>
      </c>
      <c r="I74" s="16">
        <f>SUM(K74:T74)</f>
        <v/>
      </c>
      <c r="J74" s="16">
        <f>F74-(G74+H74+I74)</f>
        <v/>
      </c>
      <c r="K74" s="16" t="n">
        <v>328.04</v>
      </c>
      <c r="L74" s="16" t="n">
        <v>328.04</v>
      </c>
      <c r="M74" s="16" t="n">
        <v>328.04</v>
      </c>
      <c r="N74" s="16" t="n">
        <v>328.04</v>
      </c>
      <c r="O74" s="16" t="n">
        <v>328.04</v>
      </c>
      <c r="P74" s="16" t="n">
        <v>328.04</v>
      </c>
      <c r="Q74" s="16" t="n">
        <v>328.04</v>
      </c>
      <c r="R74" s="16" t="n">
        <v>328.04</v>
      </c>
      <c r="S74" s="16" t="n">
        <v>328.04</v>
      </c>
      <c r="T74" s="16" t="n">
        <v>328.04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CANON-202606-006844</t>
        </is>
      </c>
      <c r="B75" s="3" t="inlineStr">
        <is>
          <t>2026-06-30</t>
        </is>
      </c>
      <c r="C75" s="3" t="inlineStr">
        <is>
          <t>Delphine Larsson</t>
        </is>
      </c>
      <c r="D75" s="3" t="inlineStr">
        <is>
          <t>TX</t>
        </is>
      </c>
      <c r="E75" s="14" t="n">
        <v>295000</v>
      </c>
      <c r="F75" s="14" t="n">
        <v>3671.58</v>
      </c>
      <c r="G75" s="14" t="n">
        <v>458.95</v>
      </c>
      <c r="H75" s="14" t="n">
        <v>458.95</v>
      </c>
      <c r="I75" s="14">
        <f>SUM(K75:T75)</f>
        <v/>
      </c>
      <c r="J75" s="14">
        <f>F75-(G75+H75+I75)</f>
        <v/>
      </c>
      <c r="K75" s="14" t="n">
        <v>275.37</v>
      </c>
      <c r="L75" s="14" t="n">
        <v>275.37</v>
      </c>
      <c r="M75" s="14" t="n">
        <v>275.37</v>
      </c>
      <c r="N75" s="14" t="n">
        <v>275.37</v>
      </c>
      <c r="O75" s="14" t="n">
        <v>275.37</v>
      </c>
      <c r="P75" s="14" t="n">
        <v>275.37</v>
      </c>
      <c r="Q75" s="14" t="n">
        <v>275.37</v>
      </c>
      <c r="R75" s="14" t="n">
        <v>275.37</v>
      </c>
      <c r="S75" s="14" t="n">
        <v>275.37</v>
      </c>
      <c r="T75" s="14" t="n">
        <v>275.37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CANON-202606-006847</t>
        </is>
      </c>
      <c r="B76" s="15" t="inlineStr">
        <is>
          <t>2026-06-25</t>
        </is>
      </c>
      <c r="C76" s="15" t="inlineStr">
        <is>
          <t>Everett Bellandi</t>
        </is>
      </c>
      <c r="D76" s="15" t="inlineStr">
        <is>
          <t>NE</t>
        </is>
      </c>
      <c r="E76" s="16" t="n">
        <v>205000</v>
      </c>
      <c r="F76" s="16" t="n">
        <v>3538</v>
      </c>
      <c r="G76" s="16" t="n">
        <v>442.25</v>
      </c>
      <c r="H76" s="16" t="n">
        <v>442.25</v>
      </c>
      <c r="I76" s="16">
        <f>SUM(K76:T76)</f>
        <v/>
      </c>
      <c r="J76" s="16">
        <f>F76-(G76+H76+I76)</f>
        <v/>
      </c>
      <c r="K76" s="16" t="n">
        <v>265.35</v>
      </c>
      <c r="L76" s="16" t="n">
        <v>265.35</v>
      </c>
      <c r="M76" s="16" t="n">
        <v>265.35</v>
      </c>
      <c r="N76" s="16" t="n">
        <v>265.35</v>
      </c>
      <c r="O76" s="16" t="n">
        <v>265.35</v>
      </c>
      <c r="P76" s="16" t="n">
        <v>265.35</v>
      </c>
      <c r="Q76" s="16" t="n">
        <v>265.35</v>
      </c>
      <c r="R76" s="16" t="n">
        <v>265.35</v>
      </c>
      <c r="S76" s="16" t="n">
        <v>265.35</v>
      </c>
      <c r="T76" s="16" t="n">
        <v>265.35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CANON-202606-006848</t>
        </is>
      </c>
      <c r="B77" s="3" t="inlineStr">
        <is>
          <t>2026-06-03</t>
        </is>
      </c>
      <c r="C77" s="3" t="inlineStr">
        <is>
          <t>Callum Whitlock</t>
        </is>
      </c>
      <c r="D77" s="3" t="inlineStr">
        <is>
          <t>VA</t>
        </is>
      </c>
      <c r="E77" s="14" t="n">
        <v>450000</v>
      </c>
      <c r="F77" s="14" t="n">
        <v>5308.51</v>
      </c>
      <c r="G77" s="14" t="n">
        <v>663.5599999999999</v>
      </c>
      <c r="H77" s="14" t="n">
        <v>663.5599999999999</v>
      </c>
      <c r="I77" s="14">
        <f>SUM(K77:T77)</f>
        <v/>
      </c>
      <c r="J77" s="14">
        <f>F77-(G77+H77+I77)</f>
        <v/>
      </c>
      <c r="K77" s="14" t="n">
        <v>398.14</v>
      </c>
      <c r="L77" s="14" t="n">
        <v>398.14</v>
      </c>
      <c r="M77" s="14" t="n">
        <v>398.14</v>
      </c>
      <c r="N77" s="14" t="n">
        <v>398.14</v>
      </c>
      <c r="O77" s="14" t="n">
        <v>398.14</v>
      </c>
      <c r="P77" s="14" t="n">
        <v>398.14</v>
      </c>
      <c r="Q77" s="14" t="n">
        <v>398.14</v>
      </c>
      <c r="R77" s="14" t="n">
        <v>398.14</v>
      </c>
      <c r="S77" s="14" t="n">
        <v>398.14</v>
      </c>
      <c r="T77" s="14" t="n">
        <v>398.14</v>
      </c>
      <c r="U77" s="14" t="n">
        <v>350</v>
      </c>
      <c r="V77" s="14" t="n">
        <v>0</v>
      </c>
      <c r="W77" s="14">
        <f>U77+V77</f>
        <v/>
      </c>
    </row>
    <row r="78">
      <c r="A78" s="15" t="inlineStr">
        <is>
          <t>CANON-202606-006849</t>
        </is>
      </c>
      <c r="B78" s="15" t="inlineStr">
        <is>
          <t>2026-06-29</t>
        </is>
      </c>
      <c r="C78" s="15" t="inlineStr">
        <is>
          <t>Mireille Kingsford</t>
        </is>
      </c>
      <c r="D78" s="15" t="inlineStr">
        <is>
          <t>NM</t>
        </is>
      </c>
      <c r="E78" s="16" t="n">
        <v>470000</v>
      </c>
      <c r="F78" s="16" t="n">
        <v>6510.9</v>
      </c>
      <c r="G78" s="16" t="n">
        <v>813.86</v>
      </c>
      <c r="H78" s="16" t="n">
        <v>813.86</v>
      </c>
      <c r="I78" s="16">
        <f>SUM(K78:T78)</f>
        <v/>
      </c>
      <c r="J78" s="16">
        <f>F78-(G78+H78+I78)</f>
        <v/>
      </c>
      <c r="K78" s="16" t="n">
        <v>488.32</v>
      </c>
      <c r="L78" s="16" t="n">
        <v>488.32</v>
      </c>
      <c r="M78" s="16" t="n">
        <v>488.32</v>
      </c>
      <c r="N78" s="16" t="n">
        <v>488.32</v>
      </c>
      <c r="O78" s="16" t="n">
        <v>488.32</v>
      </c>
      <c r="P78" s="16" t="n">
        <v>488.32</v>
      </c>
      <c r="Q78" s="16" t="n">
        <v>488.32</v>
      </c>
      <c r="R78" s="16" t="n">
        <v>488.32</v>
      </c>
      <c r="S78" s="16" t="n">
        <v>488.32</v>
      </c>
      <c r="T78" s="16" t="n">
        <v>488.32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CANON-202606-006850</t>
        </is>
      </c>
      <c r="B79" s="3" t="inlineStr">
        <is>
          <t>2026-06-15</t>
        </is>
      </c>
      <c r="C79" s="3" t="inlineStr">
        <is>
          <t>Fitzgerald Fairweather</t>
        </is>
      </c>
      <c r="D79" s="3" t="inlineStr">
        <is>
          <t>IL</t>
        </is>
      </c>
      <c r="E79" s="14" t="n">
        <v>620000</v>
      </c>
      <c r="F79" s="14" t="n">
        <v>11559.16</v>
      </c>
      <c r="G79" s="14" t="n">
        <v>1444.89</v>
      </c>
      <c r="H79" s="14" t="n">
        <v>1444.89</v>
      </c>
      <c r="I79" s="14">
        <f>SUM(K79:T79)</f>
        <v/>
      </c>
      <c r="J79" s="14">
        <f>F79-(G79+H79+I79)</f>
        <v/>
      </c>
      <c r="K79" s="14" t="n">
        <v>866.9400000000001</v>
      </c>
      <c r="L79" s="14" t="n">
        <v>866.9400000000001</v>
      </c>
      <c r="M79" s="14" t="n">
        <v>866.9400000000001</v>
      </c>
      <c r="N79" s="14" t="n">
        <v>866.9400000000001</v>
      </c>
      <c r="O79" s="14" t="n">
        <v>866.9400000000001</v>
      </c>
      <c r="P79" s="14" t="n">
        <v>866.9400000000001</v>
      </c>
      <c r="Q79" s="14" t="n">
        <v>866.9400000000001</v>
      </c>
      <c r="R79" s="14" t="n">
        <v>866.9400000000001</v>
      </c>
      <c r="S79" s="14" t="n">
        <v>866.9400000000001</v>
      </c>
      <c r="T79" s="14" t="n">
        <v>866.9400000000001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CANON-202606-006851</t>
        </is>
      </c>
      <c r="B80" s="15" t="inlineStr">
        <is>
          <t>2026-06-06</t>
        </is>
      </c>
      <c r="C80" s="15" t="inlineStr">
        <is>
          <t>Beatrix Bellandi</t>
        </is>
      </c>
      <c r="D80" s="15" t="inlineStr">
        <is>
          <t>CT</t>
        </is>
      </c>
      <c r="E80" s="16" t="n">
        <v>685000</v>
      </c>
      <c r="F80" s="16" t="n">
        <v>7196.05</v>
      </c>
      <c r="G80" s="16" t="n">
        <v>899.51</v>
      </c>
      <c r="H80" s="16" t="n">
        <v>899.51</v>
      </c>
      <c r="I80" s="16">
        <f>SUM(K80:T80)</f>
        <v/>
      </c>
      <c r="J80" s="16">
        <f>F80-(G80+H80+I80)</f>
        <v/>
      </c>
      <c r="K80" s="16" t="n">
        <v>539.7</v>
      </c>
      <c r="L80" s="16" t="n">
        <v>539.7</v>
      </c>
      <c r="M80" s="16" t="n">
        <v>539.7</v>
      </c>
      <c r="N80" s="16" t="n">
        <v>539.7</v>
      </c>
      <c r="O80" s="16" t="n">
        <v>539.7</v>
      </c>
      <c r="P80" s="16" t="n">
        <v>539.7</v>
      </c>
      <c r="Q80" s="16" t="n">
        <v>539.7</v>
      </c>
      <c r="R80" s="16" t="n">
        <v>539.7</v>
      </c>
      <c r="S80" s="16" t="n">
        <v>539.7</v>
      </c>
      <c r="T80" s="16" t="n">
        <v>539.7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CANON-202606-006852</t>
        </is>
      </c>
      <c r="B81" s="3" t="inlineStr">
        <is>
          <t>2026-06-18</t>
        </is>
      </c>
      <c r="C81" s="3" t="inlineStr">
        <is>
          <t>Leopold Bellandi</t>
        </is>
      </c>
      <c r="D81" s="3" t="inlineStr">
        <is>
          <t>VA</t>
        </is>
      </c>
      <c r="E81" s="14" t="n">
        <v>1195000</v>
      </c>
      <c r="F81" s="14" t="n">
        <v>10337.82</v>
      </c>
      <c r="G81" s="14" t="n">
        <v>1292.23</v>
      </c>
      <c r="H81" s="14" t="n">
        <v>1292.23</v>
      </c>
      <c r="I81" s="14">
        <f>SUM(K81:T81)</f>
        <v/>
      </c>
      <c r="J81" s="14">
        <f>F81-(G81+H81+I81)</f>
        <v/>
      </c>
      <c r="K81" s="14" t="n">
        <v>775.34</v>
      </c>
      <c r="L81" s="14" t="n">
        <v>775.34</v>
      </c>
      <c r="M81" s="14" t="n">
        <v>775.34</v>
      </c>
      <c r="N81" s="14" t="n">
        <v>775.34</v>
      </c>
      <c r="O81" s="14" t="n">
        <v>775.34</v>
      </c>
      <c r="P81" s="14" t="n">
        <v>775.34</v>
      </c>
      <c r="Q81" s="14" t="n">
        <v>775.34</v>
      </c>
      <c r="R81" s="14" t="n">
        <v>775.34</v>
      </c>
      <c r="S81" s="14" t="n">
        <v>775.34</v>
      </c>
      <c r="T81" s="14" t="n">
        <v>775.34</v>
      </c>
      <c r="U81" s="14" t="n">
        <v>350</v>
      </c>
      <c r="V81" s="14" t="n">
        <v>250</v>
      </c>
      <c r="W81" s="14">
        <f>U81+V81</f>
        <v/>
      </c>
    </row>
    <row r="82">
      <c r="A82" s="15" t="inlineStr">
        <is>
          <t>CANON-202606-006853</t>
        </is>
      </c>
      <c r="B82" s="15" t="inlineStr">
        <is>
          <t>2026-06-27</t>
        </is>
      </c>
      <c r="C82" s="15" t="inlineStr">
        <is>
          <t>Everett Delacroix</t>
        </is>
      </c>
      <c r="D82" s="15" t="inlineStr">
        <is>
          <t>MD</t>
        </is>
      </c>
      <c r="E82" s="16" t="n">
        <v>355000</v>
      </c>
      <c r="F82" s="16" t="n">
        <v>3649.94</v>
      </c>
      <c r="G82" s="16" t="n">
        <v>456.24</v>
      </c>
      <c r="H82" s="16" t="n">
        <v>456.24</v>
      </c>
      <c r="I82" s="16">
        <f>SUM(K82:T82)</f>
        <v/>
      </c>
      <c r="J82" s="16">
        <f>F82-(G82+H82+I82)</f>
        <v/>
      </c>
      <c r="K82" s="16" t="n">
        <v>273.75</v>
      </c>
      <c r="L82" s="16" t="n">
        <v>273.75</v>
      </c>
      <c r="M82" s="16" t="n">
        <v>273.75</v>
      </c>
      <c r="N82" s="16" t="n">
        <v>273.75</v>
      </c>
      <c r="O82" s="16" t="n">
        <v>273.75</v>
      </c>
      <c r="P82" s="16" t="n">
        <v>273.75</v>
      </c>
      <c r="Q82" s="16" t="n">
        <v>273.75</v>
      </c>
      <c r="R82" s="16" t="n">
        <v>273.75</v>
      </c>
      <c r="S82" s="16" t="n">
        <v>273.75</v>
      </c>
      <c r="T82" s="16" t="n">
        <v>273.75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CANON-202606-006855</t>
        </is>
      </c>
      <c r="B83" s="3" t="inlineStr">
        <is>
          <t>2026-06-12</t>
        </is>
      </c>
      <c r="C83" s="3" t="inlineStr">
        <is>
          <t>Beatrix Pennington</t>
        </is>
      </c>
      <c r="D83" s="3" t="inlineStr">
        <is>
          <t>FL</t>
        </is>
      </c>
      <c r="E83" s="14" t="n">
        <v>710000</v>
      </c>
      <c r="F83" s="14" t="n">
        <v>9456.540000000001</v>
      </c>
      <c r="G83" s="14" t="n">
        <v>1182.07</v>
      </c>
      <c r="H83" s="14" t="n">
        <v>1182.07</v>
      </c>
      <c r="I83" s="14">
        <f>SUM(K83:T83)</f>
        <v/>
      </c>
      <c r="J83" s="14">
        <f>F83-(G83+H83+I83)</f>
        <v/>
      </c>
      <c r="K83" s="14" t="n">
        <v>709.24</v>
      </c>
      <c r="L83" s="14" t="n">
        <v>709.24</v>
      </c>
      <c r="M83" s="14" t="n">
        <v>709.24</v>
      </c>
      <c r="N83" s="14" t="n">
        <v>709.24</v>
      </c>
      <c r="O83" s="14" t="n">
        <v>709.24</v>
      </c>
      <c r="P83" s="14" t="n">
        <v>709.24</v>
      </c>
      <c r="Q83" s="14" t="n">
        <v>709.24</v>
      </c>
      <c r="R83" s="14" t="n">
        <v>709.24</v>
      </c>
      <c r="S83" s="14" t="n">
        <v>709.24</v>
      </c>
      <c r="T83" s="14" t="n">
        <v>709.24</v>
      </c>
      <c r="U83" s="14" t="n">
        <v>350</v>
      </c>
      <c r="V83" s="14" t="n">
        <v>0</v>
      </c>
      <c r="W83" s="14">
        <f>U83+V83</f>
        <v/>
      </c>
    </row>
    <row r="84">
      <c r="A84" s="15" t="inlineStr">
        <is>
          <t>CANON-202606-006858</t>
        </is>
      </c>
      <c r="B84" s="15" t="inlineStr">
        <is>
          <t>2026-06-05</t>
        </is>
      </c>
      <c r="C84" s="15" t="inlineStr">
        <is>
          <t>Anouk Chattopadhyay</t>
        </is>
      </c>
      <c r="D84" s="15" t="inlineStr">
        <is>
          <t>OH</t>
        </is>
      </c>
      <c r="E84" s="16" t="n">
        <v>575000</v>
      </c>
      <c r="F84" s="16" t="n">
        <v>7496.66</v>
      </c>
      <c r="G84" s="16" t="n">
        <v>937.08</v>
      </c>
      <c r="H84" s="16" t="n">
        <v>937.08</v>
      </c>
      <c r="I84" s="16">
        <f>SUM(K84:T84)</f>
        <v/>
      </c>
      <c r="J84" s="16">
        <f>F84-(G84+H84+I84)</f>
        <v/>
      </c>
      <c r="K84" s="16" t="n">
        <v>562.25</v>
      </c>
      <c r="L84" s="16" t="n">
        <v>562.25</v>
      </c>
      <c r="M84" s="16" t="n">
        <v>562.25</v>
      </c>
      <c r="N84" s="16" t="n">
        <v>562.25</v>
      </c>
      <c r="O84" s="16" t="n">
        <v>562.25</v>
      </c>
      <c r="P84" s="16" t="n">
        <v>562.25</v>
      </c>
      <c r="Q84" s="16" t="n">
        <v>562.25</v>
      </c>
      <c r="R84" s="16" t="n">
        <v>562.25</v>
      </c>
      <c r="S84" s="16" t="n">
        <v>562.25</v>
      </c>
      <c r="T84" s="16" t="n">
        <v>562.25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CANON-202606-006859</t>
        </is>
      </c>
      <c r="B85" s="3" t="inlineStr">
        <is>
          <t>2026-06-25</t>
        </is>
      </c>
      <c r="C85" s="3" t="inlineStr">
        <is>
          <t>Sunniva Fairweather</t>
        </is>
      </c>
      <c r="D85" s="3" t="inlineStr">
        <is>
          <t>KS</t>
        </is>
      </c>
      <c r="E85" s="14" t="n">
        <v>830000</v>
      </c>
      <c r="F85" s="14" t="n">
        <v>7551.54</v>
      </c>
      <c r="G85" s="14" t="n">
        <v>943.9400000000001</v>
      </c>
      <c r="H85" s="14" t="n">
        <v>943.9400000000001</v>
      </c>
      <c r="I85" s="14">
        <f>SUM(K85:T85)</f>
        <v/>
      </c>
      <c r="J85" s="14">
        <f>F85-(G85+H85+I85)</f>
        <v/>
      </c>
      <c r="K85" s="14" t="n">
        <v>566.37</v>
      </c>
      <c r="L85" s="14" t="n">
        <v>566.37</v>
      </c>
      <c r="M85" s="14" t="n">
        <v>566.37</v>
      </c>
      <c r="N85" s="14" t="n">
        <v>566.37</v>
      </c>
      <c r="O85" s="14" t="n">
        <v>566.37</v>
      </c>
      <c r="P85" s="14" t="n">
        <v>566.37</v>
      </c>
      <c r="Q85" s="14" t="n">
        <v>566.37</v>
      </c>
      <c r="R85" s="14" t="n">
        <v>566.37</v>
      </c>
      <c r="S85" s="14" t="n">
        <v>566.37</v>
      </c>
      <c r="T85" s="14" t="n">
        <v>566.37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CANON-202606-006860</t>
        </is>
      </c>
      <c r="B86" s="15" t="inlineStr">
        <is>
          <t>2026-06-03</t>
        </is>
      </c>
      <c r="C86" s="15" t="inlineStr">
        <is>
          <t>Desmond Delacroix</t>
        </is>
      </c>
      <c r="D86" s="15" t="inlineStr">
        <is>
          <t>PA</t>
        </is>
      </c>
      <c r="E86" s="16" t="n">
        <v>450000</v>
      </c>
      <c r="F86" s="16" t="n">
        <v>4870.19</v>
      </c>
      <c r="G86" s="16" t="n">
        <v>608.77</v>
      </c>
      <c r="H86" s="16" t="n">
        <v>608.77</v>
      </c>
      <c r="I86" s="16">
        <f>SUM(K86:T86)</f>
        <v/>
      </c>
      <c r="J86" s="16">
        <f>F86-(G86+H86+I86)</f>
        <v/>
      </c>
      <c r="K86" s="16" t="n">
        <v>365.26</v>
      </c>
      <c r="L86" s="16" t="n">
        <v>365.26</v>
      </c>
      <c r="M86" s="16" t="n">
        <v>365.26</v>
      </c>
      <c r="N86" s="16" t="n">
        <v>365.26</v>
      </c>
      <c r="O86" s="16" t="n">
        <v>365.26</v>
      </c>
      <c r="P86" s="16" t="n">
        <v>365.26</v>
      </c>
      <c r="Q86" s="16" t="n">
        <v>365.26</v>
      </c>
      <c r="R86" s="16" t="n">
        <v>365.26</v>
      </c>
      <c r="S86" s="16" t="n">
        <v>365.26</v>
      </c>
      <c r="T86" s="16" t="n">
        <v>365.26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CANON-202606-006862</t>
        </is>
      </c>
      <c r="B87" s="3" t="inlineStr">
        <is>
          <t>2026-06-24</t>
        </is>
      </c>
      <c r="C87" s="3" t="inlineStr">
        <is>
          <t>Marisol Delacroix</t>
        </is>
      </c>
      <c r="D87" s="3" t="inlineStr">
        <is>
          <t>OK</t>
        </is>
      </c>
      <c r="E87" s="14" t="n">
        <v>255000</v>
      </c>
      <c r="F87" s="14" t="n">
        <v>3477.32</v>
      </c>
      <c r="G87" s="14" t="n">
        <v>434.67</v>
      </c>
      <c r="H87" s="14" t="n">
        <v>434.67</v>
      </c>
      <c r="I87" s="14">
        <f>SUM(K87:T87)</f>
        <v/>
      </c>
      <c r="J87" s="14">
        <f>F87-(G87+H87+I87)</f>
        <v/>
      </c>
      <c r="K87" s="14" t="n">
        <v>260.8</v>
      </c>
      <c r="L87" s="14" t="n">
        <v>260.8</v>
      </c>
      <c r="M87" s="14" t="n">
        <v>260.8</v>
      </c>
      <c r="N87" s="14" t="n">
        <v>260.8</v>
      </c>
      <c r="O87" s="14" t="n">
        <v>260.8</v>
      </c>
      <c r="P87" s="14" t="n">
        <v>260.8</v>
      </c>
      <c r="Q87" s="14" t="n">
        <v>260.8</v>
      </c>
      <c r="R87" s="14" t="n">
        <v>260.8</v>
      </c>
      <c r="S87" s="14" t="n">
        <v>260.8</v>
      </c>
      <c r="T87" s="14" t="n">
        <v>260.8</v>
      </c>
      <c r="U87" s="14" t="n">
        <v>350</v>
      </c>
      <c r="V87" s="14" t="n">
        <v>0</v>
      </c>
      <c r="W87" s="14">
        <f>U87+V87</f>
        <v/>
      </c>
    </row>
    <row r="88">
      <c r="A88" s="15" t="inlineStr">
        <is>
          <t>CANON-202606-006863</t>
        </is>
      </c>
      <c r="B88" s="15" t="inlineStr">
        <is>
          <t>2026-06-16</t>
        </is>
      </c>
      <c r="C88" s="15" t="inlineStr">
        <is>
          <t>Everett Pennington</t>
        </is>
      </c>
      <c r="D88" s="15" t="inlineStr">
        <is>
          <t>WA</t>
        </is>
      </c>
      <c r="E88" s="16" t="n">
        <v>1345000</v>
      </c>
      <c r="F88" s="16" t="n">
        <v>10247.75</v>
      </c>
      <c r="G88" s="16" t="n">
        <v>1280.97</v>
      </c>
      <c r="H88" s="16" t="n">
        <v>1280.97</v>
      </c>
      <c r="I88" s="16">
        <f>SUM(K88:T88)</f>
        <v/>
      </c>
      <c r="J88" s="16">
        <f>F88-(G88+H88+I88)</f>
        <v/>
      </c>
      <c r="K88" s="16" t="n">
        <v>768.58</v>
      </c>
      <c r="L88" s="16" t="n">
        <v>768.58</v>
      </c>
      <c r="M88" s="16" t="n">
        <v>768.58</v>
      </c>
      <c r="N88" s="16" t="n">
        <v>768.58</v>
      </c>
      <c r="O88" s="16" t="n">
        <v>768.58</v>
      </c>
      <c r="P88" s="16" t="n">
        <v>768.58</v>
      </c>
      <c r="Q88" s="16" t="n">
        <v>768.58</v>
      </c>
      <c r="R88" s="16" t="n">
        <v>768.58</v>
      </c>
      <c r="S88" s="16" t="n">
        <v>768.58</v>
      </c>
      <c r="T88" s="16" t="n">
        <v>768.58</v>
      </c>
      <c r="U88" s="16" t="n">
        <v>350</v>
      </c>
      <c r="V88" s="16" t="n">
        <v>250</v>
      </c>
      <c r="W88" s="16">
        <f>U88+V88</f>
        <v/>
      </c>
    </row>
    <row r="89">
      <c r="A89" s="3" t="inlineStr">
        <is>
          <t>CANON-202606-006864</t>
        </is>
      </c>
      <c r="B89" s="3" t="inlineStr">
        <is>
          <t>2026-06-20</t>
        </is>
      </c>
      <c r="C89" s="3" t="inlineStr">
        <is>
          <t>Lorenzo Thistlewood</t>
        </is>
      </c>
      <c r="D89" s="3" t="inlineStr">
        <is>
          <t>ND</t>
        </is>
      </c>
      <c r="E89" s="14" t="n">
        <v>195000</v>
      </c>
      <c r="F89" s="14" t="n">
        <v>2640.55</v>
      </c>
      <c r="G89" s="14" t="n">
        <v>330.07</v>
      </c>
      <c r="H89" s="14" t="n">
        <v>330.07</v>
      </c>
      <c r="I89" s="14">
        <f>SUM(K89:T89)</f>
        <v/>
      </c>
      <c r="J89" s="14">
        <f>F89-(G89+H89+I89)</f>
        <v/>
      </c>
      <c r="K89" s="14" t="n">
        <v>198.04</v>
      </c>
      <c r="L89" s="14" t="n">
        <v>198.04</v>
      </c>
      <c r="M89" s="14" t="n">
        <v>198.04</v>
      </c>
      <c r="N89" s="14" t="n">
        <v>198.04</v>
      </c>
      <c r="O89" s="14" t="n">
        <v>198.04</v>
      </c>
      <c r="P89" s="14" t="n">
        <v>198.04</v>
      </c>
      <c r="Q89" s="14" t="n">
        <v>198.04</v>
      </c>
      <c r="R89" s="14" t="n">
        <v>198.04</v>
      </c>
      <c r="S89" s="14" t="n">
        <v>198.04</v>
      </c>
      <c r="T89" s="14" t="n">
        <v>198.04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CANON-202606-006865</t>
        </is>
      </c>
      <c r="B90" s="15" t="inlineStr">
        <is>
          <t>2026-06-15</t>
        </is>
      </c>
      <c r="C90" s="15" t="inlineStr">
        <is>
          <t>Sunniva Harrington</t>
        </is>
      </c>
      <c r="D90" s="15" t="inlineStr">
        <is>
          <t>AZ</t>
        </is>
      </c>
      <c r="E90" s="16" t="n">
        <v>545000</v>
      </c>
      <c r="F90" s="16" t="n">
        <v>7545.95</v>
      </c>
      <c r="G90" s="16" t="n">
        <v>943.24</v>
      </c>
      <c r="H90" s="16" t="n">
        <v>943.24</v>
      </c>
      <c r="I90" s="16">
        <f>SUM(K90:T90)</f>
        <v/>
      </c>
      <c r="J90" s="16">
        <f>F90-(G90+H90+I90)</f>
        <v/>
      </c>
      <c r="K90" s="16" t="n">
        <v>565.95</v>
      </c>
      <c r="L90" s="16" t="n">
        <v>565.95</v>
      </c>
      <c r="M90" s="16" t="n">
        <v>565.95</v>
      </c>
      <c r="N90" s="16" t="n">
        <v>565.95</v>
      </c>
      <c r="O90" s="16" t="n">
        <v>565.95</v>
      </c>
      <c r="P90" s="16" t="n">
        <v>565.95</v>
      </c>
      <c r="Q90" s="16" t="n">
        <v>565.95</v>
      </c>
      <c r="R90" s="16" t="n">
        <v>565.95</v>
      </c>
      <c r="S90" s="16" t="n">
        <v>565.95</v>
      </c>
      <c r="T90" s="16" t="n">
        <v>565.95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CANON-202606-006866</t>
        </is>
      </c>
      <c r="B91" s="3" t="inlineStr">
        <is>
          <t>2026-06-11</t>
        </is>
      </c>
      <c r="C91" s="3" t="inlineStr">
        <is>
          <t>Ottilie Harrington</t>
        </is>
      </c>
      <c r="D91" s="3" t="inlineStr">
        <is>
          <t>NY</t>
        </is>
      </c>
      <c r="E91" s="14" t="n">
        <v>620000</v>
      </c>
      <c r="F91" s="14" t="n">
        <v>7443.67</v>
      </c>
      <c r="G91" s="14" t="n">
        <v>930.46</v>
      </c>
      <c r="H91" s="14" t="n">
        <v>930.46</v>
      </c>
      <c r="I91" s="14">
        <f>SUM(K91:T91)</f>
        <v/>
      </c>
      <c r="J91" s="14">
        <f>F91-(G91+H91+I91)</f>
        <v/>
      </c>
      <c r="K91" s="14" t="n">
        <v>558.28</v>
      </c>
      <c r="L91" s="14" t="n">
        <v>558.28</v>
      </c>
      <c r="M91" s="14" t="n">
        <v>558.28</v>
      </c>
      <c r="N91" s="14" t="n">
        <v>558.28</v>
      </c>
      <c r="O91" s="14" t="n">
        <v>558.28</v>
      </c>
      <c r="P91" s="14" t="n">
        <v>558.28</v>
      </c>
      <c r="Q91" s="14" t="n">
        <v>558.28</v>
      </c>
      <c r="R91" s="14" t="n">
        <v>558.28</v>
      </c>
      <c r="S91" s="14" t="n">
        <v>558.28</v>
      </c>
      <c r="T91" s="14" t="n">
        <v>558.28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CANON-202606-006867</t>
        </is>
      </c>
      <c r="B92" s="15" t="inlineStr">
        <is>
          <t>2026-06-21</t>
        </is>
      </c>
      <c r="C92" s="15" t="inlineStr">
        <is>
          <t>Thaddeus Nakashima</t>
        </is>
      </c>
      <c r="D92" s="15" t="inlineStr">
        <is>
          <t>MI</t>
        </is>
      </c>
      <c r="E92" s="16" t="n">
        <v>455000</v>
      </c>
      <c r="F92" s="16" t="n">
        <v>7632.67</v>
      </c>
      <c r="G92" s="16" t="n">
        <v>954.08</v>
      </c>
      <c r="H92" s="16" t="n">
        <v>954.08</v>
      </c>
      <c r="I92" s="16">
        <f>SUM(K92:T92)</f>
        <v/>
      </c>
      <c r="J92" s="16">
        <f>F92-(G92+H92+I92)</f>
        <v/>
      </c>
      <c r="K92" s="16" t="n">
        <v>572.45</v>
      </c>
      <c r="L92" s="16" t="n">
        <v>572.45</v>
      </c>
      <c r="M92" s="16" t="n">
        <v>572.45</v>
      </c>
      <c r="N92" s="16" t="n">
        <v>572.45</v>
      </c>
      <c r="O92" s="16" t="n">
        <v>572.45</v>
      </c>
      <c r="P92" s="16" t="n">
        <v>572.45</v>
      </c>
      <c r="Q92" s="16" t="n">
        <v>572.45</v>
      </c>
      <c r="R92" s="16" t="n">
        <v>572.45</v>
      </c>
      <c r="S92" s="16" t="n">
        <v>572.45</v>
      </c>
      <c r="T92" s="16" t="n">
        <v>572.45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CANON-202606-006868</t>
        </is>
      </c>
      <c r="B93" s="3" t="inlineStr">
        <is>
          <t>2026-06-02</t>
        </is>
      </c>
      <c r="C93" s="3" t="inlineStr">
        <is>
          <t>Ramona Nakashima</t>
        </is>
      </c>
      <c r="D93" s="3" t="inlineStr">
        <is>
          <t>PA</t>
        </is>
      </c>
      <c r="E93" s="14" t="n">
        <v>535000</v>
      </c>
      <c r="F93" s="14" t="n">
        <v>5018.1</v>
      </c>
      <c r="G93" s="14" t="n">
        <v>627.26</v>
      </c>
      <c r="H93" s="14" t="n">
        <v>627.26</v>
      </c>
      <c r="I93" s="14">
        <f>SUM(K93:T93)</f>
        <v/>
      </c>
      <c r="J93" s="14">
        <f>F93-(G93+H93+I93)</f>
        <v/>
      </c>
      <c r="K93" s="14" t="n">
        <v>376.36</v>
      </c>
      <c r="L93" s="14" t="n">
        <v>376.36</v>
      </c>
      <c r="M93" s="14" t="n">
        <v>376.36</v>
      </c>
      <c r="N93" s="14" t="n">
        <v>376.36</v>
      </c>
      <c r="O93" s="14" t="n">
        <v>376.36</v>
      </c>
      <c r="P93" s="14" t="n">
        <v>376.36</v>
      </c>
      <c r="Q93" s="14" t="n">
        <v>376.36</v>
      </c>
      <c r="R93" s="14" t="n">
        <v>376.36</v>
      </c>
      <c r="S93" s="14" t="n">
        <v>376.36</v>
      </c>
      <c r="T93" s="14" t="n">
        <v>376.36</v>
      </c>
      <c r="U93" s="14" t="n">
        <v>350</v>
      </c>
      <c r="V93" s="14" t="n">
        <v>0</v>
      </c>
      <c r="W93" s="14">
        <f>U93+V93</f>
        <v/>
      </c>
    </row>
    <row r="94">
      <c r="A94" s="15" t="inlineStr">
        <is>
          <t>CANON-202606-006869</t>
        </is>
      </c>
      <c r="B94" s="15" t="inlineStr">
        <is>
          <t>2026-06-10</t>
        </is>
      </c>
      <c r="C94" s="15" t="inlineStr">
        <is>
          <t>Mireille Merriweather</t>
        </is>
      </c>
      <c r="D94" s="15" t="inlineStr">
        <is>
          <t>IL</t>
        </is>
      </c>
      <c r="E94" s="16" t="n">
        <v>1725000</v>
      </c>
      <c r="F94" s="16" t="n">
        <v>18619.27</v>
      </c>
      <c r="G94" s="16" t="n">
        <v>2327.41</v>
      </c>
      <c r="H94" s="16" t="n">
        <v>2327.41</v>
      </c>
      <c r="I94" s="16">
        <f>SUM(K94:T94)</f>
        <v/>
      </c>
      <c r="J94" s="16">
        <f>F94-(G94+H94+I94)</f>
        <v/>
      </c>
      <c r="K94" s="16" t="n">
        <v>1396.45</v>
      </c>
      <c r="L94" s="16" t="n">
        <v>1396.45</v>
      </c>
      <c r="M94" s="16" t="n">
        <v>1396.45</v>
      </c>
      <c r="N94" s="16" t="n">
        <v>1396.45</v>
      </c>
      <c r="O94" s="16" t="n">
        <v>1396.45</v>
      </c>
      <c r="P94" s="16" t="n">
        <v>1396.45</v>
      </c>
      <c r="Q94" s="16" t="n">
        <v>1396.45</v>
      </c>
      <c r="R94" s="16" t="n">
        <v>1396.45</v>
      </c>
      <c r="S94" s="16" t="n">
        <v>1396.45</v>
      </c>
      <c r="T94" s="16" t="n">
        <v>1396.45</v>
      </c>
      <c r="U94" s="16" t="n">
        <v>350</v>
      </c>
      <c r="V94" s="16" t="n">
        <v>250</v>
      </c>
      <c r="W94" s="16">
        <f>U94+V94</f>
        <v/>
      </c>
    </row>
    <row r="95">
      <c r="A95" s="3" t="inlineStr">
        <is>
          <t>CANON-202606-006870</t>
        </is>
      </c>
      <c r="B95" s="3" t="inlineStr">
        <is>
          <t>2026-06-02</t>
        </is>
      </c>
      <c r="C95" s="3" t="inlineStr">
        <is>
          <t>Ramona Okonkwo</t>
        </is>
      </c>
      <c r="D95" s="3" t="inlineStr">
        <is>
          <t>CT</t>
        </is>
      </c>
      <c r="E95" s="14" t="n">
        <v>735000</v>
      </c>
      <c r="F95" s="14" t="n">
        <v>7721.31</v>
      </c>
      <c r="G95" s="14" t="n">
        <v>965.16</v>
      </c>
      <c r="H95" s="14" t="n">
        <v>965.16</v>
      </c>
      <c r="I95" s="14">
        <f>SUM(K95:T95)</f>
        <v/>
      </c>
      <c r="J95" s="14">
        <f>F95-(G95+H95+I95)</f>
        <v/>
      </c>
      <c r="K95" s="14" t="n">
        <v>579.1</v>
      </c>
      <c r="L95" s="14" t="n">
        <v>579.1</v>
      </c>
      <c r="M95" s="14" t="n">
        <v>579.1</v>
      </c>
      <c r="N95" s="14" t="n">
        <v>579.1</v>
      </c>
      <c r="O95" s="14" t="n">
        <v>579.1</v>
      </c>
      <c r="P95" s="14" t="n">
        <v>579.1</v>
      </c>
      <c r="Q95" s="14" t="n">
        <v>579.1</v>
      </c>
      <c r="R95" s="14" t="n">
        <v>579.1</v>
      </c>
      <c r="S95" s="14" t="n">
        <v>579.1</v>
      </c>
      <c r="T95" s="14" t="n">
        <v>579.1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CANON-202606-006872</t>
        </is>
      </c>
      <c r="B96" s="15" t="inlineStr">
        <is>
          <t>2026-06-04</t>
        </is>
      </c>
      <c r="C96" s="15" t="inlineStr">
        <is>
          <t>Fitzgerald Chattopadhyay</t>
        </is>
      </c>
      <c r="D96" s="15" t="inlineStr">
        <is>
          <t>NE</t>
        </is>
      </c>
      <c r="E96" s="16" t="n">
        <v>970000</v>
      </c>
      <c r="F96" s="16" t="n">
        <v>11827.7</v>
      </c>
      <c r="G96" s="16" t="n">
        <v>1478.46</v>
      </c>
      <c r="H96" s="16" t="n">
        <v>1478.46</v>
      </c>
      <c r="I96" s="16">
        <f>SUM(K96:T96)</f>
        <v/>
      </c>
      <c r="J96" s="16">
        <f>F96-(G96+H96+I96)</f>
        <v/>
      </c>
      <c r="K96" s="16" t="n">
        <v>887.08</v>
      </c>
      <c r="L96" s="16" t="n">
        <v>887.08</v>
      </c>
      <c r="M96" s="16" t="n">
        <v>887.08</v>
      </c>
      <c r="N96" s="16" t="n">
        <v>887.08</v>
      </c>
      <c r="O96" s="16" t="n">
        <v>887.08</v>
      </c>
      <c r="P96" s="16" t="n">
        <v>887.08</v>
      </c>
      <c r="Q96" s="16" t="n">
        <v>887.08</v>
      </c>
      <c r="R96" s="16" t="n">
        <v>887.08</v>
      </c>
      <c r="S96" s="16" t="n">
        <v>887.08</v>
      </c>
      <c r="T96" s="16" t="n">
        <v>887.08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CANON-202606-006873</t>
        </is>
      </c>
      <c r="B97" s="3" t="inlineStr">
        <is>
          <t>2026-06-26</t>
        </is>
      </c>
      <c r="C97" s="3" t="inlineStr">
        <is>
          <t>Marisol Underwood</t>
        </is>
      </c>
      <c r="D97" s="3" t="inlineStr">
        <is>
          <t>OK</t>
        </is>
      </c>
      <c r="E97" s="14" t="n">
        <v>400000</v>
      </c>
      <c r="F97" s="14" t="n">
        <v>5454.61</v>
      </c>
      <c r="G97" s="14" t="n">
        <v>681.83</v>
      </c>
      <c r="H97" s="14" t="n">
        <v>681.83</v>
      </c>
      <c r="I97" s="14">
        <f>SUM(K97:T97)</f>
        <v/>
      </c>
      <c r="J97" s="14">
        <f>F97-(G97+H97+I97)</f>
        <v/>
      </c>
      <c r="K97" s="14" t="n">
        <v>409.1</v>
      </c>
      <c r="L97" s="14" t="n">
        <v>409.1</v>
      </c>
      <c r="M97" s="14" t="n">
        <v>409.1</v>
      </c>
      <c r="N97" s="14" t="n">
        <v>409.1</v>
      </c>
      <c r="O97" s="14" t="n">
        <v>409.1</v>
      </c>
      <c r="P97" s="14" t="n">
        <v>409.1</v>
      </c>
      <c r="Q97" s="14" t="n">
        <v>409.1</v>
      </c>
      <c r="R97" s="14" t="n">
        <v>409.1</v>
      </c>
      <c r="S97" s="14" t="n">
        <v>409.1</v>
      </c>
      <c r="T97" s="14" t="n">
        <v>409.1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CANON-202606-006874</t>
        </is>
      </c>
      <c r="B98" s="15" t="inlineStr">
        <is>
          <t>2026-06-23</t>
        </is>
      </c>
      <c r="C98" s="15" t="inlineStr">
        <is>
          <t>Saoirse Harrington</t>
        </is>
      </c>
      <c r="D98" s="15" t="inlineStr">
        <is>
          <t>NY</t>
        </is>
      </c>
      <c r="E98" s="16" t="n">
        <v>170000</v>
      </c>
      <c r="F98" s="16" t="n">
        <v>4458.81</v>
      </c>
      <c r="G98" s="16" t="n">
        <v>557.35</v>
      </c>
      <c r="H98" s="16" t="n">
        <v>557.35</v>
      </c>
      <c r="I98" s="16">
        <f>SUM(K98:T98)</f>
        <v/>
      </c>
      <c r="J98" s="16">
        <f>F98-(G98+H98+I98)</f>
        <v/>
      </c>
      <c r="K98" s="16" t="n">
        <v>334.41</v>
      </c>
      <c r="L98" s="16" t="n">
        <v>334.41</v>
      </c>
      <c r="M98" s="16" t="n">
        <v>334.41</v>
      </c>
      <c r="N98" s="16" t="n">
        <v>334.41</v>
      </c>
      <c r="O98" s="16" t="n">
        <v>334.41</v>
      </c>
      <c r="P98" s="16" t="n">
        <v>334.41</v>
      </c>
      <c r="Q98" s="16" t="n">
        <v>334.41</v>
      </c>
      <c r="R98" s="16" t="n">
        <v>334.41</v>
      </c>
      <c r="S98" s="16" t="n">
        <v>334.41</v>
      </c>
      <c r="T98" s="16" t="n">
        <v>334.41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CANON-202606-006875</t>
        </is>
      </c>
      <c r="B99" s="3" t="inlineStr">
        <is>
          <t>2026-06-15</t>
        </is>
      </c>
      <c r="C99" s="3" t="inlineStr">
        <is>
          <t>Fitzgerald Fairweather</t>
        </is>
      </c>
      <c r="D99" s="3" t="inlineStr">
        <is>
          <t>NY</t>
        </is>
      </c>
      <c r="E99" s="14" t="n">
        <v>610000</v>
      </c>
      <c r="F99" s="14" t="n">
        <v>7323.61</v>
      </c>
      <c r="G99" s="14" t="n">
        <v>915.45</v>
      </c>
      <c r="H99" s="14" t="n">
        <v>915.45</v>
      </c>
      <c r="I99" s="14">
        <f>SUM(K99:T99)</f>
        <v/>
      </c>
      <c r="J99" s="14">
        <f>F99-(G99+H99+I99)</f>
        <v/>
      </c>
      <c r="K99" s="14" t="n">
        <v>549.27</v>
      </c>
      <c r="L99" s="14" t="n">
        <v>549.27</v>
      </c>
      <c r="M99" s="14" t="n">
        <v>549.27</v>
      </c>
      <c r="N99" s="14" t="n">
        <v>549.27</v>
      </c>
      <c r="O99" s="14" t="n">
        <v>549.27</v>
      </c>
      <c r="P99" s="14" t="n">
        <v>549.27</v>
      </c>
      <c r="Q99" s="14" t="n">
        <v>549.27</v>
      </c>
      <c r="R99" s="14" t="n">
        <v>549.27</v>
      </c>
      <c r="S99" s="14" t="n">
        <v>549.27</v>
      </c>
      <c r="T99" s="14" t="n">
        <v>549.27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CANON-202606-006876</t>
        </is>
      </c>
      <c r="B100" s="15" t="inlineStr">
        <is>
          <t>2026-06-05</t>
        </is>
      </c>
      <c r="C100" s="15" t="inlineStr">
        <is>
          <t>Sunniva Rourke</t>
        </is>
      </c>
      <c r="D100" s="15" t="inlineStr">
        <is>
          <t>NY</t>
        </is>
      </c>
      <c r="E100" s="16" t="n">
        <v>970000</v>
      </c>
      <c r="F100" s="16" t="n">
        <v>17020.69</v>
      </c>
      <c r="G100" s="16" t="n">
        <v>2127.59</v>
      </c>
      <c r="H100" s="16" t="n">
        <v>2127.59</v>
      </c>
      <c r="I100" s="16">
        <f>SUM(K100:T100)</f>
        <v/>
      </c>
      <c r="J100" s="16">
        <f>F100-(G100+H100+I100)</f>
        <v/>
      </c>
      <c r="K100" s="16" t="n">
        <v>1276.55</v>
      </c>
      <c r="L100" s="16" t="n">
        <v>1276.55</v>
      </c>
      <c r="M100" s="16" t="n">
        <v>1276.55</v>
      </c>
      <c r="N100" s="16" t="n">
        <v>1276.55</v>
      </c>
      <c r="O100" s="16" t="n">
        <v>1276.55</v>
      </c>
      <c r="P100" s="16" t="n">
        <v>1276.55</v>
      </c>
      <c r="Q100" s="16" t="n">
        <v>1276.55</v>
      </c>
      <c r="R100" s="16" t="n">
        <v>1276.55</v>
      </c>
      <c r="S100" s="16" t="n">
        <v>1276.55</v>
      </c>
      <c r="T100" s="16" t="n">
        <v>1276.55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CANON-202606-006877</t>
        </is>
      </c>
      <c r="B101" s="3" t="inlineStr">
        <is>
          <t>2026-06-19</t>
        </is>
      </c>
      <c r="C101" s="3" t="inlineStr">
        <is>
          <t>Priya Nakashima</t>
        </is>
      </c>
      <c r="D101" s="3" t="inlineStr">
        <is>
          <t>FL</t>
        </is>
      </c>
      <c r="E101" s="14" t="n">
        <v>275000</v>
      </c>
      <c r="F101" s="14" t="n">
        <v>4226.24</v>
      </c>
      <c r="G101" s="14" t="n">
        <v>528.28</v>
      </c>
      <c r="H101" s="14" t="n">
        <v>528.28</v>
      </c>
      <c r="I101" s="14">
        <f>SUM(K101:T101)</f>
        <v/>
      </c>
      <c r="J101" s="14">
        <f>F101-(G101+H101+I101)</f>
        <v/>
      </c>
      <c r="K101" s="14" t="n">
        <v>316.97</v>
      </c>
      <c r="L101" s="14" t="n">
        <v>316.97</v>
      </c>
      <c r="M101" s="14" t="n">
        <v>316.97</v>
      </c>
      <c r="N101" s="14" t="n">
        <v>316.97</v>
      </c>
      <c r="O101" s="14" t="n">
        <v>316.97</v>
      </c>
      <c r="P101" s="14" t="n">
        <v>316.97</v>
      </c>
      <c r="Q101" s="14" t="n">
        <v>316.97</v>
      </c>
      <c r="R101" s="14" t="n">
        <v>316.97</v>
      </c>
      <c r="S101" s="14" t="n">
        <v>316.97</v>
      </c>
      <c r="T101" s="14" t="n">
        <v>316.97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CANON-202606-006878</t>
        </is>
      </c>
      <c r="B102" s="15" t="inlineStr">
        <is>
          <t>2026-06-18</t>
        </is>
      </c>
      <c r="C102" s="15" t="inlineStr">
        <is>
          <t>Priya Bellandi</t>
        </is>
      </c>
      <c r="D102" s="15" t="inlineStr">
        <is>
          <t>NE</t>
        </is>
      </c>
      <c r="E102" s="16" t="n">
        <v>1245000</v>
      </c>
      <c r="F102" s="16" t="n">
        <v>8875</v>
      </c>
      <c r="G102" s="16" t="n">
        <v>1109.38</v>
      </c>
      <c r="H102" s="16" t="n">
        <v>1109.38</v>
      </c>
      <c r="I102" s="16">
        <f>SUM(K102:T102)</f>
        <v/>
      </c>
      <c r="J102" s="16">
        <f>F102-(G102+H102+I102)</f>
        <v/>
      </c>
      <c r="K102" s="16" t="n">
        <v>665.62</v>
      </c>
      <c r="L102" s="16" t="n">
        <v>665.62</v>
      </c>
      <c r="M102" s="16" t="n">
        <v>665.62</v>
      </c>
      <c r="N102" s="16" t="n">
        <v>665.62</v>
      </c>
      <c r="O102" s="16" t="n">
        <v>665.62</v>
      </c>
      <c r="P102" s="16" t="n">
        <v>665.62</v>
      </c>
      <c r="Q102" s="16" t="n">
        <v>665.62</v>
      </c>
      <c r="R102" s="16" t="n">
        <v>665.62</v>
      </c>
      <c r="S102" s="16" t="n">
        <v>665.62</v>
      </c>
      <c r="T102" s="16" t="n">
        <v>665.62</v>
      </c>
      <c r="U102" s="16" t="n">
        <v>350</v>
      </c>
      <c r="V102" s="16" t="n">
        <v>250</v>
      </c>
      <c r="W102" s="16">
        <f>U102+V102</f>
        <v/>
      </c>
    </row>
    <row r="103">
      <c r="A103" s="3" t="inlineStr">
        <is>
          <t>CANON-202606-006880</t>
        </is>
      </c>
      <c r="B103" s="3" t="inlineStr">
        <is>
          <t>2026-06-20</t>
        </is>
      </c>
      <c r="C103" s="3" t="inlineStr">
        <is>
          <t>Emiliano Nakashima</t>
        </is>
      </c>
      <c r="D103" s="3" t="inlineStr">
        <is>
          <t>IN</t>
        </is>
      </c>
      <c r="E103" s="14" t="n">
        <v>745000</v>
      </c>
      <c r="F103" s="14" t="n">
        <v>8595.01</v>
      </c>
      <c r="G103" s="14" t="n">
        <v>1074.38</v>
      </c>
      <c r="H103" s="14" t="n">
        <v>1074.38</v>
      </c>
      <c r="I103" s="14">
        <f>SUM(K103:T103)</f>
        <v/>
      </c>
      <c r="J103" s="14">
        <f>F103-(G103+H103+I103)</f>
        <v/>
      </c>
      <c r="K103" s="14" t="n">
        <v>644.63</v>
      </c>
      <c r="L103" s="14" t="n">
        <v>644.63</v>
      </c>
      <c r="M103" s="14" t="n">
        <v>644.63</v>
      </c>
      <c r="N103" s="14" t="n">
        <v>644.63</v>
      </c>
      <c r="O103" s="14" t="n">
        <v>644.63</v>
      </c>
      <c r="P103" s="14" t="n">
        <v>644.63</v>
      </c>
      <c r="Q103" s="14" t="n">
        <v>644.63</v>
      </c>
      <c r="R103" s="14" t="n">
        <v>644.63</v>
      </c>
      <c r="S103" s="14" t="n">
        <v>644.63</v>
      </c>
      <c r="T103" s="14" t="n">
        <v>644.63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CANON-202606-006881</t>
        </is>
      </c>
      <c r="B104" s="15" t="inlineStr">
        <is>
          <t>2026-06-28</t>
        </is>
      </c>
      <c r="C104" s="15" t="inlineStr">
        <is>
          <t>Mireille Delacroix</t>
        </is>
      </c>
      <c r="D104" s="15" t="inlineStr">
        <is>
          <t>NM</t>
        </is>
      </c>
      <c r="E104" s="16" t="n">
        <v>285000</v>
      </c>
      <c r="F104" s="16" t="n">
        <v>3948.1</v>
      </c>
      <c r="G104" s="16" t="n">
        <v>493.51</v>
      </c>
      <c r="H104" s="16" t="n">
        <v>493.51</v>
      </c>
      <c r="I104" s="16">
        <f>SUM(K104:T104)</f>
        <v/>
      </c>
      <c r="J104" s="16">
        <f>F104-(G104+H104+I104)</f>
        <v/>
      </c>
      <c r="K104" s="16" t="n">
        <v>296.11</v>
      </c>
      <c r="L104" s="16" t="n">
        <v>296.11</v>
      </c>
      <c r="M104" s="16" t="n">
        <v>296.11</v>
      </c>
      <c r="N104" s="16" t="n">
        <v>296.11</v>
      </c>
      <c r="O104" s="16" t="n">
        <v>296.11</v>
      </c>
      <c r="P104" s="16" t="n">
        <v>296.11</v>
      </c>
      <c r="Q104" s="16" t="n">
        <v>296.11</v>
      </c>
      <c r="R104" s="16" t="n">
        <v>296.11</v>
      </c>
      <c r="S104" s="16" t="n">
        <v>296.11</v>
      </c>
      <c r="T104" s="16" t="n">
        <v>296.11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CANON-202606-006884</t>
        </is>
      </c>
      <c r="B105" s="3" t="inlineStr">
        <is>
          <t>2026-06-23</t>
        </is>
      </c>
      <c r="C105" s="3" t="inlineStr">
        <is>
          <t>Thaddeus Blackwood</t>
        </is>
      </c>
      <c r="D105" s="3" t="inlineStr">
        <is>
          <t>WA</t>
        </is>
      </c>
      <c r="E105" s="14" t="n">
        <v>805000</v>
      </c>
      <c r="F105" s="14" t="n">
        <v>7248.58</v>
      </c>
      <c r="G105" s="14" t="n">
        <v>906.0700000000001</v>
      </c>
      <c r="H105" s="14" t="n">
        <v>906.0700000000001</v>
      </c>
      <c r="I105" s="14">
        <f>SUM(K105:T105)</f>
        <v/>
      </c>
      <c r="J105" s="14">
        <f>F105-(G105+H105+I105)</f>
        <v/>
      </c>
      <c r="K105" s="14" t="n">
        <v>543.64</v>
      </c>
      <c r="L105" s="14" t="n">
        <v>543.64</v>
      </c>
      <c r="M105" s="14" t="n">
        <v>543.64</v>
      </c>
      <c r="N105" s="14" t="n">
        <v>543.64</v>
      </c>
      <c r="O105" s="14" t="n">
        <v>543.64</v>
      </c>
      <c r="P105" s="14" t="n">
        <v>543.64</v>
      </c>
      <c r="Q105" s="14" t="n">
        <v>543.64</v>
      </c>
      <c r="R105" s="14" t="n">
        <v>543.64</v>
      </c>
      <c r="S105" s="14" t="n">
        <v>543.64</v>
      </c>
      <c r="T105" s="14" t="n">
        <v>543.64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CANON-202606-006886</t>
        </is>
      </c>
      <c r="B106" s="15" t="inlineStr">
        <is>
          <t>2026-06-02</t>
        </is>
      </c>
      <c r="C106" s="15" t="inlineStr">
        <is>
          <t>Desmond Larsson</t>
        </is>
      </c>
      <c r="D106" s="15" t="inlineStr">
        <is>
          <t>IL</t>
        </is>
      </c>
      <c r="E106" s="16" t="n">
        <v>1045000</v>
      </c>
      <c r="F106" s="16" t="n">
        <v>11279.5</v>
      </c>
      <c r="G106" s="16" t="n">
        <v>1409.94</v>
      </c>
      <c r="H106" s="16" t="n">
        <v>1409.94</v>
      </c>
      <c r="I106" s="16">
        <f>SUM(K106:T106)</f>
        <v/>
      </c>
      <c r="J106" s="16">
        <f>F106-(G106+H106+I106)</f>
        <v/>
      </c>
      <c r="K106" s="16" t="n">
        <v>845.96</v>
      </c>
      <c r="L106" s="16" t="n">
        <v>845.96</v>
      </c>
      <c r="M106" s="16" t="n">
        <v>845.96</v>
      </c>
      <c r="N106" s="16" t="n">
        <v>845.96</v>
      </c>
      <c r="O106" s="16" t="n">
        <v>845.96</v>
      </c>
      <c r="P106" s="16" t="n">
        <v>845.96</v>
      </c>
      <c r="Q106" s="16" t="n">
        <v>845.96</v>
      </c>
      <c r="R106" s="16" t="n">
        <v>845.96</v>
      </c>
      <c r="S106" s="16" t="n">
        <v>845.96</v>
      </c>
      <c r="T106" s="16" t="n">
        <v>845.96</v>
      </c>
      <c r="U106" s="16" t="n">
        <v>350</v>
      </c>
      <c r="V106" s="16" t="n">
        <v>250</v>
      </c>
      <c r="W106" s="16">
        <f>U106+V106</f>
        <v/>
      </c>
    </row>
    <row r="107">
      <c r="A107" s="3" t="inlineStr">
        <is>
          <t>CANON-202606-006887</t>
        </is>
      </c>
      <c r="B107" s="3" t="inlineStr">
        <is>
          <t>2026-06-04</t>
        </is>
      </c>
      <c r="C107" s="3" t="inlineStr">
        <is>
          <t>Saoirse Larsson</t>
        </is>
      </c>
      <c r="D107" s="3" t="inlineStr">
        <is>
          <t>MN</t>
        </is>
      </c>
      <c r="E107" s="14" t="n">
        <v>820000</v>
      </c>
      <c r="F107" s="14" t="n">
        <v>10152.51</v>
      </c>
      <c r="G107" s="14" t="n">
        <v>1269.06</v>
      </c>
      <c r="H107" s="14" t="n">
        <v>1269.06</v>
      </c>
      <c r="I107" s="14">
        <f>SUM(K107:T107)</f>
        <v/>
      </c>
      <c r="J107" s="14">
        <f>F107-(G107+H107+I107)</f>
        <v/>
      </c>
      <c r="K107" s="14" t="n">
        <v>761.4400000000001</v>
      </c>
      <c r="L107" s="14" t="n">
        <v>761.4400000000001</v>
      </c>
      <c r="M107" s="14" t="n">
        <v>761.4400000000001</v>
      </c>
      <c r="N107" s="14" t="n">
        <v>761.4400000000001</v>
      </c>
      <c r="O107" s="14" t="n">
        <v>761.4400000000001</v>
      </c>
      <c r="P107" s="14" t="n">
        <v>761.4400000000001</v>
      </c>
      <c r="Q107" s="14" t="n">
        <v>761.4400000000001</v>
      </c>
      <c r="R107" s="14" t="n">
        <v>761.4400000000001</v>
      </c>
      <c r="S107" s="14" t="n">
        <v>761.4400000000001</v>
      </c>
      <c r="T107" s="14" t="n">
        <v>761.4400000000001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CANON-202606-006888</t>
        </is>
      </c>
      <c r="B108" s="15" t="inlineStr">
        <is>
          <t>2026-06-17</t>
        </is>
      </c>
      <c r="C108" s="15" t="inlineStr">
        <is>
          <t>Cassius Castellanos</t>
        </is>
      </c>
      <c r="D108" s="15" t="inlineStr">
        <is>
          <t>AK</t>
        </is>
      </c>
      <c r="E108" s="16" t="n">
        <v>845000</v>
      </c>
      <c r="F108" s="16" t="n">
        <v>9035.389999999999</v>
      </c>
      <c r="G108" s="16" t="n">
        <v>1129.42</v>
      </c>
      <c r="H108" s="16" t="n">
        <v>1129.42</v>
      </c>
      <c r="I108" s="16">
        <f>SUM(K108:T108)</f>
        <v/>
      </c>
      <c r="J108" s="16">
        <f>F108-(G108+H108+I108)</f>
        <v/>
      </c>
      <c r="K108" s="16" t="n">
        <v>677.65</v>
      </c>
      <c r="L108" s="16" t="n">
        <v>677.65</v>
      </c>
      <c r="M108" s="16" t="n">
        <v>677.65</v>
      </c>
      <c r="N108" s="16" t="n">
        <v>677.65</v>
      </c>
      <c r="O108" s="16" t="n">
        <v>677.65</v>
      </c>
      <c r="P108" s="16" t="n">
        <v>677.65</v>
      </c>
      <c r="Q108" s="16" t="n">
        <v>677.65</v>
      </c>
      <c r="R108" s="16" t="n">
        <v>677.65</v>
      </c>
      <c r="S108" s="16" t="n">
        <v>677.65</v>
      </c>
      <c r="T108" s="16" t="n">
        <v>677.65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CANON-202606-006889</t>
        </is>
      </c>
      <c r="B109" s="3" t="inlineStr">
        <is>
          <t>2026-06-03</t>
        </is>
      </c>
      <c r="C109" s="3" t="inlineStr">
        <is>
          <t>Delphine Merriweather</t>
        </is>
      </c>
      <c r="D109" s="3" t="inlineStr">
        <is>
          <t>IN</t>
        </is>
      </c>
      <c r="E109" s="14" t="n">
        <v>780000</v>
      </c>
      <c r="F109" s="14" t="n">
        <v>13152.1</v>
      </c>
      <c r="G109" s="14" t="n">
        <v>1644.01</v>
      </c>
      <c r="H109" s="14" t="n">
        <v>1644.01</v>
      </c>
      <c r="I109" s="14">
        <f>SUM(K109:T109)</f>
        <v/>
      </c>
      <c r="J109" s="14">
        <f>F109-(G109+H109+I109)</f>
        <v/>
      </c>
      <c r="K109" s="14" t="n">
        <v>986.41</v>
      </c>
      <c r="L109" s="14" t="n">
        <v>986.41</v>
      </c>
      <c r="M109" s="14" t="n">
        <v>986.41</v>
      </c>
      <c r="N109" s="14" t="n">
        <v>986.41</v>
      </c>
      <c r="O109" s="14" t="n">
        <v>986.41</v>
      </c>
      <c r="P109" s="14" t="n">
        <v>986.41</v>
      </c>
      <c r="Q109" s="14" t="n">
        <v>986.41</v>
      </c>
      <c r="R109" s="14" t="n">
        <v>986.41</v>
      </c>
      <c r="S109" s="14" t="n">
        <v>986.41</v>
      </c>
      <c r="T109" s="14" t="n">
        <v>986.41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CANON-202606-006890</t>
        </is>
      </c>
      <c r="B110" s="15" t="inlineStr">
        <is>
          <t>2026-06-22</t>
        </is>
      </c>
      <c r="C110" s="15" t="inlineStr">
        <is>
          <t>Lorenzo Castellanos</t>
        </is>
      </c>
      <c r="D110" s="15" t="inlineStr">
        <is>
          <t>CO</t>
        </is>
      </c>
      <c r="E110" s="16" t="n">
        <v>1575000</v>
      </c>
      <c r="F110" s="16" t="n">
        <v>9500.120000000001</v>
      </c>
      <c r="G110" s="16" t="n">
        <v>1187.52</v>
      </c>
      <c r="H110" s="16" t="n">
        <v>1187.52</v>
      </c>
      <c r="I110" s="16">
        <f>SUM(K110:T110)</f>
        <v/>
      </c>
      <c r="J110" s="16">
        <f>F110-(G110+H110+I110)</f>
        <v/>
      </c>
      <c r="K110" s="16" t="n">
        <v>712.51</v>
      </c>
      <c r="L110" s="16" t="n">
        <v>712.51</v>
      </c>
      <c r="M110" s="16" t="n">
        <v>712.51</v>
      </c>
      <c r="N110" s="16" t="n">
        <v>712.51</v>
      </c>
      <c r="O110" s="16" t="n">
        <v>712.51</v>
      </c>
      <c r="P110" s="16" t="n">
        <v>712.51</v>
      </c>
      <c r="Q110" s="16" t="n">
        <v>712.51</v>
      </c>
      <c r="R110" s="16" t="n">
        <v>712.51</v>
      </c>
      <c r="S110" s="16" t="n">
        <v>712.51</v>
      </c>
      <c r="T110" s="16" t="n">
        <v>712.51</v>
      </c>
      <c r="U110" s="16" t="n">
        <v>350</v>
      </c>
      <c r="V110" s="16" t="n">
        <v>250</v>
      </c>
      <c r="W110" s="16">
        <f>U110+V110</f>
        <v/>
      </c>
    </row>
    <row r="111">
      <c r="A111" s="3" t="inlineStr">
        <is>
          <t>CANON-202606-006891</t>
        </is>
      </c>
      <c r="B111" s="3" t="inlineStr">
        <is>
          <t>2026-06-03</t>
        </is>
      </c>
      <c r="C111" s="3" t="inlineStr">
        <is>
          <t>Fitzgerald Merriweather</t>
        </is>
      </c>
      <c r="D111" s="3" t="inlineStr">
        <is>
          <t>MI</t>
        </is>
      </c>
      <c r="E111" s="14" t="n">
        <v>215000</v>
      </c>
      <c r="F111" s="14" t="n">
        <v>2741.05</v>
      </c>
      <c r="G111" s="14" t="n">
        <v>342.63</v>
      </c>
      <c r="H111" s="14" t="n">
        <v>342.63</v>
      </c>
      <c r="I111" s="14">
        <f>SUM(K111:T111)</f>
        <v/>
      </c>
      <c r="J111" s="14">
        <f>F111-(G111+H111+I111)</f>
        <v/>
      </c>
      <c r="K111" s="14" t="n">
        <v>205.58</v>
      </c>
      <c r="L111" s="14" t="n">
        <v>205.58</v>
      </c>
      <c r="M111" s="14" t="n">
        <v>205.58</v>
      </c>
      <c r="N111" s="14" t="n">
        <v>205.58</v>
      </c>
      <c r="O111" s="14" t="n">
        <v>205.58</v>
      </c>
      <c r="P111" s="14" t="n">
        <v>205.58</v>
      </c>
      <c r="Q111" s="14" t="n">
        <v>205.58</v>
      </c>
      <c r="R111" s="14" t="n">
        <v>205.58</v>
      </c>
      <c r="S111" s="14" t="n">
        <v>205.58</v>
      </c>
      <c r="T111" s="14" t="n">
        <v>205.58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CANON-202606-006892</t>
        </is>
      </c>
      <c r="B112" s="15" t="inlineStr">
        <is>
          <t>2026-06-29</t>
        </is>
      </c>
      <c r="C112" s="15" t="inlineStr">
        <is>
          <t>Sunniva Chattopadhyay</t>
        </is>
      </c>
      <c r="D112" s="15" t="inlineStr">
        <is>
          <t>CA</t>
        </is>
      </c>
      <c r="E112" s="16" t="n">
        <v>645000</v>
      </c>
      <c r="F112" s="16" t="n">
        <v>8167.31</v>
      </c>
      <c r="G112" s="16" t="n">
        <v>1020.91</v>
      </c>
      <c r="H112" s="16" t="n">
        <v>1020.91</v>
      </c>
      <c r="I112" s="16">
        <f>SUM(K112:T112)</f>
        <v/>
      </c>
      <c r="J112" s="16">
        <f>F112-(G112+H112+I112)</f>
        <v/>
      </c>
      <c r="K112" s="16" t="n">
        <v>612.55</v>
      </c>
      <c r="L112" s="16" t="n">
        <v>612.55</v>
      </c>
      <c r="M112" s="16" t="n">
        <v>612.55</v>
      </c>
      <c r="N112" s="16" t="n">
        <v>612.55</v>
      </c>
      <c r="O112" s="16" t="n">
        <v>612.55</v>
      </c>
      <c r="P112" s="16" t="n">
        <v>612.55</v>
      </c>
      <c r="Q112" s="16" t="n">
        <v>612.55</v>
      </c>
      <c r="R112" s="16" t="n">
        <v>612.55</v>
      </c>
      <c r="S112" s="16" t="n">
        <v>612.55</v>
      </c>
      <c r="T112" s="16" t="n">
        <v>612.55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CANON-202606-006893</t>
        </is>
      </c>
      <c r="B113" s="3" t="inlineStr">
        <is>
          <t>2026-06-20</t>
        </is>
      </c>
      <c r="C113" s="3" t="inlineStr">
        <is>
          <t>Desmond Chattopadhyay</t>
        </is>
      </c>
      <c r="D113" s="3" t="inlineStr">
        <is>
          <t>WA</t>
        </is>
      </c>
      <c r="E113" s="14" t="n">
        <v>790000</v>
      </c>
      <c r="F113" s="14" t="n">
        <v>4158.66</v>
      </c>
      <c r="G113" s="14" t="n">
        <v>519.83</v>
      </c>
      <c r="H113" s="14" t="n">
        <v>519.83</v>
      </c>
      <c r="I113" s="14">
        <f>SUM(K113:T113)</f>
        <v/>
      </c>
      <c r="J113" s="14">
        <f>F113-(G113+H113+I113)</f>
        <v/>
      </c>
      <c r="K113" s="14" t="n">
        <v>311.9</v>
      </c>
      <c r="L113" s="14" t="n">
        <v>311.9</v>
      </c>
      <c r="M113" s="14" t="n">
        <v>311.9</v>
      </c>
      <c r="N113" s="14" t="n">
        <v>311.9</v>
      </c>
      <c r="O113" s="14" t="n">
        <v>311.9</v>
      </c>
      <c r="P113" s="14" t="n">
        <v>311.9</v>
      </c>
      <c r="Q113" s="14" t="n">
        <v>311.9</v>
      </c>
      <c r="R113" s="14" t="n">
        <v>311.9</v>
      </c>
      <c r="S113" s="14" t="n">
        <v>311.9</v>
      </c>
      <c r="T113" s="14" t="n">
        <v>311.9</v>
      </c>
      <c r="U113" s="14" t="n">
        <v>350</v>
      </c>
      <c r="V113" s="14" t="n">
        <v>0</v>
      </c>
      <c r="W113" s="14">
        <f>U113+V113</f>
        <v/>
      </c>
    </row>
    <row r="114">
      <c r="A114" s="15" t="inlineStr">
        <is>
          <t>CANON-202606-006895</t>
        </is>
      </c>
      <c r="B114" s="15" t="inlineStr">
        <is>
          <t>2026-06-24</t>
        </is>
      </c>
      <c r="C114" s="15" t="inlineStr">
        <is>
          <t>Sunniva Larsson</t>
        </is>
      </c>
      <c r="D114" s="15" t="inlineStr">
        <is>
          <t>VT</t>
        </is>
      </c>
      <c r="E114" s="16" t="n">
        <v>420000</v>
      </c>
      <c r="F114" s="16" t="n">
        <v>5545.52</v>
      </c>
      <c r="G114" s="16" t="n">
        <v>693.1900000000001</v>
      </c>
      <c r="H114" s="16" t="n">
        <v>693.1900000000001</v>
      </c>
      <c r="I114" s="16">
        <f>SUM(K114:T114)</f>
        <v/>
      </c>
      <c r="J114" s="16">
        <f>F114-(G114+H114+I114)</f>
        <v/>
      </c>
      <c r="K114" s="16" t="n">
        <v>415.91</v>
      </c>
      <c r="L114" s="16" t="n">
        <v>415.91</v>
      </c>
      <c r="M114" s="16" t="n">
        <v>415.91</v>
      </c>
      <c r="N114" s="16" t="n">
        <v>415.91</v>
      </c>
      <c r="O114" s="16" t="n">
        <v>415.91</v>
      </c>
      <c r="P114" s="16" t="n">
        <v>415.91</v>
      </c>
      <c r="Q114" s="16" t="n">
        <v>415.91</v>
      </c>
      <c r="R114" s="16" t="n">
        <v>415.91</v>
      </c>
      <c r="S114" s="16" t="n">
        <v>415.91</v>
      </c>
      <c r="T114" s="16" t="n">
        <v>415.91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CANON-202606-006898</t>
        </is>
      </c>
      <c r="B115" s="3" t="inlineStr">
        <is>
          <t>2026-06-01</t>
        </is>
      </c>
      <c r="C115" s="3" t="inlineStr">
        <is>
          <t>Ramona Harrington</t>
        </is>
      </c>
      <c r="D115" s="3" t="inlineStr">
        <is>
          <t>FL</t>
        </is>
      </c>
      <c r="E115" s="14" t="n">
        <v>435000</v>
      </c>
      <c r="F115" s="14" t="n">
        <v>6685.15</v>
      </c>
      <c r="G115" s="14" t="n">
        <v>835.64</v>
      </c>
      <c r="H115" s="14" t="n">
        <v>835.64</v>
      </c>
      <c r="I115" s="14">
        <f>SUM(K115:T115)</f>
        <v/>
      </c>
      <c r="J115" s="14">
        <f>F115-(G115+H115+I115)</f>
        <v/>
      </c>
      <c r="K115" s="14" t="n">
        <v>501.39</v>
      </c>
      <c r="L115" s="14" t="n">
        <v>501.39</v>
      </c>
      <c r="M115" s="14" t="n">
        <v>501.39</v>
      </c>
      <c r="N115" s="14" t="n">
        <v>501.39</v>
      </c>
      <c r="O115" s="14" t="n">
        <v>501.39</v>
      </c>
      <c r="P115" s="14" t="n">
        <v>501.39</v>
      </c>
      <c r="Q115" s="14" t="n">
        <v>501.39</v>
      </c>
      <c r="R115" s="14" t="n">
        <v>501.39</v>
      </c>
      <c r="S115" s="14" t="n">
        <v>501.39</v>
      </c>
      <c r="T115" s="14" t="n">
        <v>501.39</v>
      </c>
      <c r="U115" s="14" t="n">
        <v>350</v>
      </c>
      <c r="V115" s="14" t="n">
        <v>0</v>
      </c>
      <c r="W115" s="14">
        <f>U115+V115</f>
        <v/>
      </c>
    </row>
    <row r="116">
      <c r="A116" s="15" t="inlineStr">
        <is>
          <t>CANON-202606-006899</t>
        </is>
      </c>
      <c r="B116" s="15" t="inlineStr">
        <is>
          <t>2026-06-09</t>
        </is>
      </c>
      <c r="C116" s="15" t="inlineStr">
        <is>
          <t>Ottilie Blackwood</t>
        </is>
      </c>
      <c r="D116" s="15" t="inlineStr">
        <is>
          <t>TX</t>
        </is>
      </c>
      <c r="E116" s="16" t="n">
        <v>695000</v>
      </c>
      <c r="F116" s="16" t="n">
        <v>7496.66</v>
      </c>
      <c r="G116" s="16" t="n">
        <v>937.08</v>
      </c>
      <c r="H116" s="16" t="n">
        <v>937.08</v>
      </c>
      <c r="I116" s="16">
        <f>SUM(K116:T116)</f>
        <v/>
      </c>
      <c r="J116" s="16">
        <f>F116-(G116+H116+I116)</f>
        <v/>
      </c>
      <c r="K116" s="16" t="n">
        <v>562.25</v>
      </c>
      <c r="L116" s="16" t="n">
        <v>562.25</v>
      </c>
      <c r="M116" s="16" t="n">
        <v>562.25</v>
      </c>
      <c r="N116" s="16" t="n">
        <v>562.25</v>
      </c>
      <c r="O116" s="16" t="n">
        <v>562.25</v>
      </c>
      <c r="P116" s="16" t="n">
        <v>562.25</v>
      </c>
      <c r="Q116" s="16" t="n">
        <v>562.25</v>
      </c>
      <c r="R116" s="16" t="n">
        <v>562.25</v>
      </c>
      <c r="S116" s="16" t="n">
        <v>562.25</v>
      </c>
      <c r="T116" s="16" t="n">
        <v>562.25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CANON-202606-006900</t>
        </is>
      </c>
      <c r="B117" s="3" t="inlineStr">
        <is>
          <t>2026-06-19</t>
        </is>
      </c>
      <c r="C117" s="3" t="inlineStr">
        <is>
          <t>Horace Bellandi</t>
        </is>
      </c>
      <c r="D117" s="3" t="inlineStr">
        <is>
          <t>CA</t>
        </is>
      </c>
      <c r="E117" s="14" t="n">
        <v>715000</v>
      </c>
      <c r="F117" s="14" t="n">
        <v>9053.68</v>
      </c>
      <c r="G117" s="14" t="n">
        <v>1131.71</v>
      </c>
      <c r="H117" s="14" t="n">
        <v>1131.71</v>
      </c>
      <c r="I117" s="14">
        <f>SUM(K117:T117)</f>
        <v/>
      </c>
      <c r="J117" s="14">
        <f>F117-(G117+H117+I117)</f>
        <v/>
      </c>
      <c r="K117" s="14" t="n">
        <v>679.03</v>
      </c>
      <c r="L117" s="14" t="n">
        <v>679.03</v>
      </c>
      <c r="M117" s="14" t="n">
        <v>679.03</v>
      </c>
      <c r="N117" s="14" t="n">
        <v>679.03</v>
      </c>
      <c r="O117" s="14" t="n">
        <v>679.03</v>
      </c>
      <c r="P117" s="14" t="n">
        <v>679.03</v>
      </c>
      <c r="Q117" s="14" t="n">
        <v>679.03</v>
      </c>
      <c r="R117" s="14" t="n">
        <v>679.03</v>
      </c>
      <c r="S117" s="14" t="n">
        <v>679.03</v>
      </c>
      <c r="T117" s="14" t="n">
        <v>679.03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CANON-202606-006903</t>
        </is>
      </c>
      <c r="B118" s="15" t="inlineStr">
        <is>
          <t>2026-06-22</t>
        </is>
      </c>
      <c r="C118" s="15" t="inlineStr">
        <is>
          <t>Wilhelmina Nakashima</t>
        </is>
      </c>
      <c r="D118" s="15" t="inlineStr">
        <is>
          <t>IL</t>
        </is>
      </c>
      <c r="E118" s="16" t="n">
        <v>675000</v>
      </c>
      <c r="F118" s="16" t="n">
        <v>8610.49</v>
      </c>
      <c r="G118" s="16" t="n">
        <v>1076.31</v>
      </c>
      <c r="H118" s="16" t="n">
        <v>1076.31</v>
      </c>
      <c r="I118" s="16">
        <f>SUM(K118:T118)</f>
        <v/>
      </c>
      <c r="J118" s="16">
        <f>F118-(G118+H118+I118)</f>
        <v/>
      </c>
      <c r="K118" s="16" t="n">
        <v>645.79</v>
      </c>
      <c r="L118" s="16" t="n">
        <v>645.79</v>
      </c>
      <c r="M118" s="16" t="n">
        <v>645.79</v>
      </c>
      <c r="N118" s="16" t="n">
        <v>645.79</v>
      </c>
      <c r="O118" s="16" t="n">
        <v>645.79</v>
      </c>
      <c r="P118" s="16" t="n">
        <v>645.79</v>
      </c>
      <c r="Q118" s="16" t="n">
        <v>645.79</v>
      </c>
      <c r="R118" s="16" t="n">
        <v>645.79</v>
      </c>
      <c r="S118" s="16" t="n">
        <v>645.79</v>
      </c>
      <c r="T118" s="16" t="n">
        <v>645.79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CANON-202606-006904</t>
        </is>
      </c>
      <c r="B119" s="3" t="inlineStr">
        <is>
          <t>2026-06-24</t>
        </is>
      </c>
      <c r="C119" s="3" t="inlineStr">
        <is>
          <t>Saoirse Vasquez</t>
        </is>
      </c>
      <c r="D119" s="3" t="inlineStr">
        <is>
          <t>CT</t>
        </is>
      </c>
      <c r="E119" s="14" t="n">
        <v>820000</v>
      </c>
      <c r="F119" s="14" t="n">
        <v>8614.25</v>
      </c>
      <c r="G119" s="14" t="n">
        <v>1076.78</v>
      </c>
      <c r="H119" s="14" t="n">
        <v>1076.78</v>
      </c>
      <c r="I119" s="14">
        <f>SUM(K119:T119)</f>
        <v/>
      </c>
      <c r="J119" s="14">
        <f>F119-(G119+H119+I119)</f>
        <v/>
      </c>
      <c r="K119" s="14" t="n">
        <v>646.0700000000001</v>
      </c>
      <c r="L119" s="14" t="n">
        <v>646.0700000000001</v>
      </c>
      <c r="M119" s="14" t="n">
        <v>646.0700000000001</v>
      </c>
      <c r="N119" s="14" t="n">
        <v>646.0700000000001</v>
      </c>
      <c r="O119" s="14" t="n">
        <v>646.0700000000001</v>
      </c>
      <c r="P119" s="14" t="n">
        <v>646.0700000000001</v>
      </c>
      <c r="Q119" s="14" t="n">
        <v>646.0700000000001</v>
      </c>
      <c r="R119" s="14" t="n">
        <v>646.0700000000001</v>
      </c>
      <c r="S119" s="14" t="n">
        <v>646.0700000000001</v>
      </c>
      <c r="T119" s="14" t="n">
        <v>646.0700000000001</v>
      </c>
      <c r="U119" s="14" t="n">
        <v>350</v>
      </c>
      <c r="V119" s="14" t="n">
        <v>0</v>
      </c>
      <c r="W119" s="14">
        <f>U119+V119</f>
        <v/>
      </c>
    </row>
    <row r="120">
      <c r="A120" s="15" t="inlineStr">
        <is>
          <t>CANON-202606-006905</t>
        </is>
      </c>
      <c r="B120" s="15" t="inlineStr">
        <is>
          <t>2026-06-21</t>
        </is>
      </c>
      <c r="C120" s="15" t="inlineStr">
        <is>
          <t>Ottilie Whitlock</t>
        </is>
      </c>
      <c r="D120" s="15" t="inlineStr">
        <is>
          <t>HI</t>
        </is>
      </c>
      <c r="E120" s="16" t="n">
        <v>830000</v>
      </c>
      <c r="F120" s="16" t="n">
        <v>10120.61</v>
      </c>
      <c r="G120" s="16" t="n">
        <v>1265.08</v>
      </c>
      <c r="H120" s="16" t="n">
        <v>1265.08</v>
      </c>
      <c r="I120" s="16">
        <f>SUM(K120:T120)</f>
        <v/>
      </c>
      <c r="J120" s="16">
        <f>F120-(G120+H120+I120)</f>
        <v/>
      </c>
      <c r="K120" s="16" t="n">
        <v>759.05</v>
      </c>
      <c r="L120" s="16" t="n">
        <v>759.05</v>
      </c>
      <c r="M120" s="16" t="n">
        <v>759.05</v>
      </c>
      <c r="N120" s="16" t="n">
        <v>759.05</v>
      </c>
      <c r="O120" s="16" t="n">
        <v>759.05</v>
      </c>
      <c r="P120" s="16" t="n">
        <v>759.05</v>
      </c>
      <c r="Q120" s="16" t="n">
        <v>759.05</v>
      </c>
      <c r="R120" s="16" t="n">
        <v>759.05</v>
      </c>
      <c r="S120" s="16" t="n">
        <v>759.05</v>
      </c>
      <c r="T120" s="16" t="n">
        <v>759.05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CANON-202606-006907</t>
        </is>
      </c>
      <c r="B121" s="3" t="inlineStr">
        <is>
          <t>2026-06-17</t>
        </is>
      </c>
      <c r="C121" s="3" t="inlineStr">
        <is>
          <t>Lorenzo Underwood</t>
        </is>
      </c>
      <c r="D121" s="3" t="inlineStr">
        <is>
          <t>MD</t>
        </is>
      </c>
      <c r="E121" s="14" t="n">
        <v>345000</v>
      </c>
      <c r="F121" s="14" t="n">
        <v>3547.12</v>
      </c>
      <c r="G121" s="14" t="n">
        <v>443.39</v>
      </c>
      <c r="H121" s="14" t="n">
        <v>443.39</v>
      </c>
      <c r="I121" s="14">
        <f>SUM(K121:T121)</f>
        <v/>
      </c>
      <c r="J121" s="14">
        <f>F121-(G121+H121+I121)</f>
        <v/>
      </c>
      <c r="K121" s="14" t="n">
        <v>266.03</v>
      </c>
      <c r="L121" s="14" t="n">
        <v>266.03</v>
      </c>
      <c r="M121" s="14" t="n">
        <v>266.03</v>
      </c>
      <c r="N121" s="14" t="n">
        <v>266.03</v>
      </c>
      <c r="O121" s="14" t="n">
        <v>266.03</v>
      </c>
      <c r="P121" s="14" t="n">
        <v>266.03</v>
      </c>
      <c r="Q121" s="14" t="n">
        <v>266.03</v>
      </c>
      <c r="R121" s="14" t="n">
        <v>266.03</v>
      </c>
      <c r="S121" s="14" t="n">
        <v>266.03</v>
      </c>
      <c r="T121" s="14" t="n">
        <v>266.03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CANON-202606-006909</t>
        </is>
      </c>
      <c r="B122" s="15" t="inlineStr">
        <is>
          <t>2026-06-24</t>
        </is>
      </c>
      <c r="C122" s="15" t="inlineStr">
        <is>
          <t>Horace Larsson</t>
        </is>
      </c>
      <c r="D122" s="15" t="inlineStr">
        <is>
          <t>MO</t>
        </is>
      </c>
      <c r="E122" s="16" t="n">
        <v>385000</v>
      </c>
      <c r="F122" s="16" t="n">
        <v>4416.72</v>
      </c>
      <c r="G122" s="16" t="n">
        <v>552.09</v>
      </c>
      <c r="H122" s="16" t="n">
        <v>552.09</v>
      </c>
      <c r="I122" s="16">
        <f>SUM(K122:T122)</f>
        <v/>
      </c>
      <c r="J122" s="16">
        <f>F122-(G122+H122+I122)</f>
        <v/>
      </c>
      <c r="K122" s="16" t="n">
        <v>331.25</v>
      </c>
      <c r="L122" s="16" t="n">
        <v>331.25</v>
      </c>
      <c r="M122" s="16" t="n">
        <v>331.25</v>
      </c>
      <c r="N122" s="16" t="n">
        <v>331.25</v>
      </c>
      <c r="O122" s="16" t="n">
        <v>331.25</v>
      </c>
      <c r="P122" s="16" t="n">
        <v>331.25</v>
      </c>
      <c r="Q122" s="16" t="n">
        <v>331.25</v>
      </c>
      <c r="R122" s="16" t="n">
        <v>331.25</v>
      </c>
      <c r="S122" s="16" t="n">
        <v>331.25</v>
      </c>
      <c r="T122" s="16" t="n">
        <v>331.25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CANON-202606-006910</t>
        </is>
      </c>
      <c r="B123" s="3" t="inlineStr">
        <is>
          <t>2026-06-16</t>
        </is>
      </c>
      <c r="C123" s="3" t="inlineStr">
        <is>
          <t>Ingrid Delacroix</t>
        </is>
      </c>
      <c r="D123" s="3" t="inlineStr">
        <is>
          <t>MI</t>
        </is>
      </c>
      <c r="E123" s="14" t="n">
        <v>840000</v>
      </c>
      <c r="F123" s="14" t="n">
        <v>12212.27</v>
      </c>
      <c r="G123" s="14" t="n">
        <v>1526.53</v>
      </c>
      <c r="H123" s="14" t="n">
        <v>1526.53</v>
      </c>
      <c r="I123" s="14">
        <f>SUM(K123:T123)</f>
        <v/>
      </c>
      <c r="J123" s="14">
        <f>F123-(G123+H123+I123)</f>
        <v/>
      </c>
      <c r="K123" s="14" t="n">
        <v>915.92</v>
      </c>
      <c r="L123" s="14" t="n">
        <v>915.92</v>
      </c>
      <c r="M123" s="14" t="n">
        <v>915.92</v>
      </c>
      <c r="N123" s="14" t="n">
        <v>915.92</v>
      </c>
      <c r="O123" s="14" t="n">
        <v>915.92</v>
      </c>
      <c r="P123" s="14" t="n">
        <v>915.92</v>
      </c>
      <c r="Q123" s="14" t="n">
        <v>915.92</v>
      </c>
      <c r="R123" s="14" t="n">
        <v>915.92</v>
      </c>
      <c r="S123" s="14" t="n">
        <v>915.92</v>
      </c>
      <c r="T123" s="14" t="n">
        <v>915.92</v>
      </c>
      <c r="U123" s="14" t="n">
        <v>350</v>
      </c>
      <c r="V123" s="14" t="n">
        <v>0</v>
      </c>
      <c r="W123" s="14">
        <f>U123+V123</f>
        <v/>
      </c>
    </row>
    <row r="124">
      <c r="A124" s="15" t="inlineStr">
        <is>
          <t>CANON-202606-006911</t>
        </is>
      </c>
      <c r="B124" s="15" t="inlineStr">
        <is>
          <t>2026-06-22</t>
        </is>
      </c>
      <c r="C124" s="15" t="inlineStr">
        <is>
          <t>Beatrix Nakashima</t>
        </is>
      </c>
      <c r="D124" s="15" t="inlineStr">
        <is>
          <t>OH</t>
        </is>
      </c>
      <c r="E124" s="16" t="n">
        <v>175000</v>
      </c>
      <c r="F124" s="16" t="n">
        <v>3229.33</v>
      </c>
      <c r="G124" s="16" t="n">
        <v>403.67</v>
      </c>
      <c r="H124" s="16" t="n">
        <v>403.67</v>
      </c>
      <c r="I124" s="16">
        <f>SUM(K124:T124)</f>
        <v/>
      </c>
      <c r="J124" s="16">
        <f>F124-(G124+H124+I124)</f>
        <v/>
      </c>
      <c r="K124" s="16" t="n">
        <v>242.2</v>
      </c>
      <c r="L124" s="16" t="n">
        <v>242.2</v>
      </c>
      <c r="M124" s="16" t="n">
        <v>242.2</v>
      </c>
      <c r="N124" s="16" t="n">
        <v>242.2</v>
      </c>
      <c r="O124" s="16" t="n">
        <v>242.2</v>
      </c>
      <c r="P124" s="16" t="n">
        <v>242.2</v>
      </c>
      <c r="Q124" s="16" t="n">
        <v>242.2</v>
      </c>
      <c r="R124" s="16" t="n">
        <v>242.2</v>
      </c>
      <c r="S124" s="16" t="n">
        <v>242.2</v>
      </c>
      <c r="T124" s="16" t="n">
        <v>242.2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CANON-202606-006912</t>
        </is>
      </c>
      <c r="B125" s="3" t="inlineStr">
        <is>
          <t>2026-06-05</t>
        </is>
      </c>
      <c r="C125" s="3" t="inlineStr">
        <is>
          <t>Ottilie Chattopadhyay</t>
        </is>
      </c>
      <c r="D125" s="3" t="inlineStr">
        <is>
          <t>MN</t>
        </is>
      </c>
      <c r="E125" s="14" t="n">
        <v>885000</v>
      </c>
      <c r="F125" s="14" t="n">
        <v>10957.27</v>
      </c>
      <c r="G125" s="14" t="n">
        <v>1369.66</v>
      </c>
      <c r="H125" s="14" t="n">
        <v>1369.66</v>
      </c>
      <c r="I125" s="14">
        <f>SUM(K125:T125)</f>
        <v/>
      </c>
      <c r="J125" s="14">
        <f>F125-(G125+H125+I125)</f>
        <v/>
      </c>
      <c r="K125" s="14" t="n">
        <v>821.8</v>
      </c>
      <c r="L125" s="14" t="n">
        <v>821.8</v>
      </c>
      <c r="M125" s="14" t="n">
        <v>821.8</v>
      </c>
      <c r="N125" s="14" t="n">
        <v>821.8</v>
      </c>
      <c r="O125" s="14" t="n">
        <v>821.8</v>
      </c>
      <c r="P125" s="14" t="n">
        <v>821.8</v>
      </c>
      <c r="Q125" s="14" t="n">
        <v>821.8</v>
      </c>
      <c r="R125" s="14" t="n">
        <v>821.8</v>
      </c>
      <c r="S125" s="14" t="n">
        <v>821.8</v>
      </c>
      <c r="T125" s="14" t="n">
        <v>821.8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CANON-202606-006913</t>
        </is>
      </c>
      <c r="B126" s="15" t="inlineStr">
        <is>
          <t>2026-06-07</t>
        </is>
      </c>
      <c r="C126" s="15" t="inlineStr">
        <is>
          <t>Marisol Nakashima</t>
        </is>
      </c>
      <c r="D126" s="15" t="inlineStr">
        <is>
          <t>RI</t>
        </is>
      </c>
      <c r="E126" s="16" t="n">
        <v>345000</v>
      </c>
      <c r="F126" s="16" t="n">
        <v>5115.32</v>
      </c>
      <c r="G126" s="16" t="n">
        <v>639.41</v>
      </c>
      <c r="H126" s="16" t="n">
        <v>639.41</v>
      </c>
      <c r="I126" s="16">
        <f>SUM(K126:T126)</f>
        <v/>
      </c>
      <c r="J126" s="16">
        <f>F126-(G126+H126+I126)</f>
        <v/>
      </c>
      <c r="K126" s="16" t="n">
        <v>383.65</v>
      </c>
      <c r="L126" s="16" t="n">
        <v>383.65</v>
      </c>
      <c r="M126" s="16" t="n">
        <v>383.65</v>
      </c>
      <c r="N126" s="16" t="n">
        <v>383.65</v>
      </c>
      <c r="O126" s="16" t="n">
        <v>383.65</v>
      </c>
      <c r="P126" s="16" t="n">
        <v>383.65</v>
      </c>
      <c r="Q126" s="16" t="n">
        <v>383.65</v>
      </c>
      <c r="R126" s="16" t="n">
        <v>383.65</v>
      </c>
      <c r="S126" s="16" t="n">
        <v>383.65</v>
      </c>
      <c r="T126" s="16" t="n">
        <v>383.65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CANON-202606-006915</t>
        </is>
      </c>
      <c r="B127" s="3" t="inlineStr">
        <is>
          <t>2026-06-09</t>
        </is>
      </c>
      <c r="C127" s="3" t="inlineStr">
        <is>
          <t>Wilhelmina Farkas</t>
        </is>
      </c>
      <c r="D127" s="3" t="inlineStr">
        <is>
          <t>WA</t>
        </is>
      </c>
      <c r="E127" s="14" t="n">
        <v>450000</v>
      </c>
      <c r="F127" s="14" t="n">
        <v>7168.91</v>
      </c>
      <c r="G127" s="14" t="n">
        <v>896.11</v>
      </c>
      <c r="H127" s="14" t="n">
        <v>896.11</v>
      </c>
      <c r="I127" s="14">
        <f>SUM(K127:T127)</f>
        <v/>
      </c>
      <c r="J127" s="14">
        <f>F127-(G127+H127+I127)</f>
        <v/>
      </c>
      <c r="K127" s="14" t="n">
        <v>537.67</v>
      </c>
      <c r="L127" s="14" t="n">
        <v>537.67</v>
      </c>
      <c r="M127" s="14" t="n">
        <v>537.67</v>
      </c>
      <c r="N127" s="14" t="n">
        <v>537.67</v>
      </c>
      <c r="O127" s="14" t="n">
        <v>537.67</v>
      </c>
      <c r="P127" s="14" t="n">
        <v>537.67</v>
      </c>
      <c r="Q127" s="14" t="n">
        <v>537.67</v>
      </c>
      <c r="R127" s="14" t="n">
        <v>537.67</v>
      </c>
      <c r="S127" s="14" t="n">
        <v>537.67</v>
      </c>
      <c r="T127" s="14" t="n">
        <v>537.67</v>
      </c>
      <c r="U127" s="14" t="n">
        <v>350</v>
      </c>
      <c r="V127" s="14" t="n">
        <v>0</v>
      </c>
      <c r="W127" s="14">
        <f>U127+V127</f>
        <v/>
      </c>
    </row>
    <row r="128">
      <c r="A128" s="15" t="inlineStr">
        <is>
          <t>CANON-202606-006916</t>
        </is>
      </c>
      <c r="B128" s="15" t="inlineStr">
        <is>
          <t>2026-06-10</t>
        </is>
      </c>
      <c r="C128" s="15" t="inlineStr">
        <is>
          <t>Fitzgerald Delacroix</t>
        </is>
      </c>
      <c r="D128" s="15" t="inlineStr">
        <is>
          <t>CT</t>
        </is>
      </c>
      <c r="E128" s="16" t="n">
        <v>335000</v>
      </c>
      <c r="F128" s="16" t="n">
        <v>4060.65</v>
      </c>
      <c r="G128" s="16" t="n">
        <v>507.58</v>
      </c>
      <c r="H128" s="16" t="n">
        <v>507.58</v>
      </c>
      <c r="I128" s="16">
        <f>SUM(K128:T128)</f>
        <v/>
      </c>
      <c r="J128" s="16">
        <f>F128-(G128+H128+I128)</f>
        <v/>
      </c>
      <c r="K128" s="16" t="n">
        <v>304.55</v>
      </c>
      <c r="L128" s="16" t="n">
        <v>304.55</v>
      </c>
      <c r="M128" s="16" t="n">
        <v>304.55</v>
      </c>
      <c r="N128" s="16" t="n">
        <v>304.55</v>
      </c>
      <c r="O128" s="16" t="n">
        <v>304.55</v>
      </c>
      <c r="P128" s="16" t="n">
        <v>304.55</v>
      </c>
      <c r="Q128" s="16" t="n">
        <v>304.55</v>
      </c>
      <c r="R128" s="16" t="n">
        <v>304.55</v>
      </c>
      <c r="S128" s="16" t="n">
        <v>304.55</v>
      </c>
      <c r="T128" s="16" t="n">
        <v>304.55</v>
      </c>
      <c r="U128" s="16" t="n">
        <v>350</v>
      </c>
      <c r="V128" s="16" t="n">
        <v>0</v>
      </c>
      <c r="W128" s="16">
        <f>U128+V128</f>
        <v/>
      </c>
    </row>
    <row r="129">
      <c r="A129" s="3" t="inlineStr">
        <is>
          <t>CANON-202606-006917</t>
        </is>
      </c>
      <c r="B129" s="3" t="inlineStr">
        <is>
          <t>2026-06-20</t>
        </is>
      </c>
      <c r="C129" s="3" t="inlineStr">
        <is>
          <t>Thaddeus Fairweather</t>
        </is>
      </c>
      <c r="D129" s="3" t="inlineStr">
        <is>
          <t>TX</t>
        </is>
      </c>
      <c r="E129" s="14" t="n">
        <v>395000</v>
      </c>
      <c r="F129" s="14" t="n">
        <v>4916.19</v>
      </c>
      <c r="G129" s="14" t="n">
        <v>614.52</v>
      </c>
      <c r="H129" s="14" t="n">
        <v>614.52</v>
      </c>
      <c r="I129" s="14">
        <f>SUM(K129:T129)</f>
        <v/>
      </c>
      <c r="J129" s="14">
        <f>F129-(G129+H129+I129)</f>
        <v/>
      </c>
      <c r="K129" s="14" t="n">
        <v>368.71</v>
      </c>
      <c r="L129" s="14" t="n">
        <v>368.71</v>
      </c>
      <c r="M129" s="14" t="n">
        <v>368.71</v>
      </c>
      <c r="N129" s="14" t="n">
        <v>368.71</v>
      </c>
      <c r="O129" s="14" t="n">
        <v>368.71</v>
      </c>
      <c r="P129" s="14" t="n">
        <v>368.71</v>
      </c>
      <c r="Q129" s="14" t="n">
        <v>368.71</v>
      </c>
      <c r="R129" s="14" t="n">
        <v>368.71</v>
      </c>
      <c r="S129" s="14" t="n">
        <v>368.71</v>
      </c>
      <c r="T129" s="14" t="n">
        <v>368.71</v>
      </c>
      <c r="U129" s="14" t="n">
        <v>350</v>
      </c>
      <c r="V129" s="14" t="n">
        <v>0</v>
      </c>
      <c r="W129" s="14">
        <f>U129+V129</f>
        <v/>
      </c>
    </row>
    <row r="130">
      <c r="A130" s="15" t="inlineStr">
        <is>
          <t>CANON-202606-006921</t>
        </is>
      </c>
      <c r="B130" s="15" t="inlineStr">
        <is>
          <t>2026-06-29</t>
        </is>
      </c>
      <c r="C130" s="15" t="inlineStr">
        <is>
          <t>Everett Larsson</t>
        </is>
      </c>
      <c r="D130" s="15" t="inlineStr">
        <is>
          <t>VA</t>
        </is>
      </c>
      <c r="E130" s="16" t="n">
        <v>730000</v>
      </c>
      <c r="F130" s="16" t="n">
        <v>7463.36</v>
      </c>
      <c r="G130" s="16" t="n">
        <v>932.92</v>
      </c>
      <c r="H130" s="16" t="n">
        <v>932.92</v>
      </c>
      <c r="I130" s="16">
        <f>SUM(K130:T130)</f>
        <v/>
      </c>
      <c r="J130" s="16">
        <f>F130-(G130+H130+I130)</f>
        <v/>
      </c>
      <c r="K130" s="16" t="n">
        <v>559.75</v>
      </c>
      <c r="L130" s="16" t="n">
        <v>559.75</v>
      </c>
      <c r="M130" s="16" t="n">
        <v>559.75</v>
      </c>
      <c r="N130" s="16" t="n">
        <v>559.75</v>
      </c>
      <c r="O130" s="16" t="n">
        <v>559.75</v>
      </c>
      <c r="P130" s="16" t="n">
        <v>559.75</v>
      </c>
      <c r="Q130" s="16" t="n">
        <v>559.75</v>
      </c>
      <c r="R130" s="16" t="n">
        <v>559.75</v>
      </c>
      <c r="S130" s="16" t="n">
        <v>559.75</v>
      </c>
      <c r="T130" s="16" t="n">
        <v>559.75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CANON-202606-006923</t>
        </is>
      </c>
      <c r="B131" s="3" t="inlineStr">
        <is>
          <t>2026-06-05</t>
        </is>
      </c>
      <c r="C131" s="3" t="inlineStr">
        <is>
          <t>Mireille Kingsford</t>
        </is>
      </c>
      <c r="D131" s="3" t="inlineStr">
        <is>
          <t>SC</t>
        </is>
      </c>
      <c r="E131" s="14" t="n">
        <v>915000</v>
      </c>
      <c r="F131" s="14" t="n">
        <v>6221.55</v>
      </c>
      <c r="G131" s="14" t="n">
        <v>777.6900000000001</v>
      </c>
      <c r="H131" s="14" t="n">
        <v>777.6900000000001</v>
      </c>
      <c r="I131" s="14">
        <f>SUM(K131:T131)</f>
        <v/>
      </c>
      <c r="J131" s="14">
        <f>F131-(G131+H131+I131)</f>
        <v/>
      </c>
      <c r="K131" s="14" t="n">
        <v>466.62</v>
      </c>
      <c r="L131" s="14" t="n">
        <v>466.62</v>
      </c>
      <c r="M131" s="14" t="n">
        <v>466.62</v>
      </c>
      <c r="N131" s="14" t="n">
        <v>466.62</v>
      </c>
      <c r="O131" s="14" t="n">
        <v>466.62</v>
      </c>
      <c r="P131" s="14" t="n">
        <v>466.62</v>
      </c>
      <c r="Q131" s="14" t="n">
        <v>466.62</v>
      </c>
      <c r="R131" s="14" t="n">
        <v>466.62</v>
      </c>
      <c r="S131" s="14" t="n">
        <v>466.62</v>
      </c>
      <c r="T131" s="14" t="n">
        <v>466.62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CANON-202606-006924</t>
        </is>
      </c>
      <c r="B132" s="15" t="inlineStr">
        <is>
          <t>2026-06-26</t>
        </is>
      </c>
      <c r="C132" s="15" t="inlineStr">
        <is>
          <t>Marisol Farkas</t>
        </is>
      </c>
      <c r="D132" s="15" t="inlineStr">
        <is>
          <t>GA</t>
        </is>
      </c>
      <c r="E132" s="16" t="n">
        <v>220000</v>
      </c>
      <c r="F132" s="16" t="n">
        <v>3271.15</v>
      </c>
      <c r="G132" s="16" t="n">
        <v>408.89</v>
      </c>
      <c r="H132" s="16" t="n">
        <v>408.89</v>
      </c>
      <c r="I132" s="16">
        <f>SUM(K132:T132)</f>
        <v/>
      </c>
      <c r="J132" s="16">
        <f>F132-(G132+H132+I132)</f>
        <v/>
      </c>
      <c r="K132" s="16" t="n">
        <v>245.34</v>
      </c>
      <c r="L132" s="16" t="n">
        <v>245.34</v>
      </c>
      <c r="M132" s="16" t="n">
        <v>245.34</v>
      </c>
      <c r="N132" s="16" t="n">
        <v>245.34</v>
      </c>
      <c r="O132" s="16" t="n">
        <v>245.34</v>
      </c>
      <c r="P132" s="16" t="n">
        <v>245.34</v>
      </c>
      <c r="Q132" s="16" t="n">
        <v>245.34</v>
      </c>
      <c r="R132" s="16" t="n">
        <v>245.34</v>
      </c>
      <c r="S132" s="16" t="n">
        <v>245.34</v>
      </c>
      <c r="T132" s="16" t="n">
        <v>245.34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CANON-202606-006925</t>
        </is>
      </c>
      <c r="B133" s="3" t="inlineStr">
        <is>
          <t>2026-06-26</t>
        </is>
      </c>
      <c r="C133" s="3" t="inlineStr">
        <is>
          <t>Sunniva Chattopadhyay</t>
        </is>
      </c>
      <c r="D133" s="3" t="inlineStr">
        <is>
          <t>OH</t>
        </is>
      </c>
      <c r="E133" s="14" t="n">
        <v>905000</v>
      </c>
      <c r="F133" s="14" t="n">
        <v>7805.56</v>
      </c>
      <c r="G133" s="14" t="n">
        <v>975.7</v>
      </c>
      <c r="H133" s="14" t="n">
        <v>975.7</v>
      </c>
      <c r="I133" s="14">
        <f>SUM(K133:T133)</f>
        <v/>
      </c>
      <c r="J133" s="14">
        <f>F133-(G133+H133+I133)</f>
        <v/>
      </c>
      <c r="K133" s="14" t="n">
        <v>585.42</v>
      </c>
      <c r="L133" s="14" t="n">
        <v>585.42</v>
      </c>
      <c r="M133" s="14" t="n">
        <v>585.42</v>
      </c>
      <c r="N133" s="14" t="n">
        <v>585.42</v>
      </c>
      <c r="O133" s="14" t="n">
        <v>585.42</v>
      </c>
      <c r="P133" s="14" t="n">
        <v>585.42</v>
      </c>
      <c r="Q133" s="14" t="n">
        <v>585.42</v>
      </c>
      <c r="R133" s="14" t="n">
        <v>585.42</v>
      </c>
      <c r="S133" s="14" t="n">
        <v>585.42</v>
      </c>
      <c r="T133" s="14" t="n">
        <v>585.42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CANON-202606-006926</t>
        </is>
      </c>
      <c r="B134" s="15" t="inlineStr">
        <is>
          <t>2026-06-09</t>
        </is>
      </c>
      <c r="C134" s="15" t="inlineStr">
        <is>
          <t>Cassius Whitlock</t>
        </is>
      </c>
      <c r="D134" s="15" t="inlineStr">
        <is>
          <t>TX</t>
        </is>
      </c>
      <c r="E134" s="16" t="n">
        <v>1215000</v>
      </c>
      <c r="F134" s="16" t="n">
        <v>11089.42</v>
      </c>
      <c r="G134" s="16" t="n">
        <v>1386.18</v>
      </c>
      <c r="H134" s="16" t="n">
        <v>1386.18</v>
      </c>
      <c r="I134" s="16">
        <f>SUM(K134:T134)</f>
        <v/>
      </c>
      <c r="J134" s="16">
        <f>F134-(G134+H134+I134)</f>
        <v/>
      </c>
      <c r="K134" s="16" t="n">
        <v>831.71</v>
      </c>
      <c r="L134" s="16" t="n">
        <v>831.71</v>
      </c>
      <c r="M134" s="16" t="n">
        <v>831.71</v>
      </c>
      <c r="N134" s="16" t="n">
        <v>831.71</v>
      </c>
      <c r="O134" s="16" t="n">
        <v>831.71</v>
      </c>
      <c r="P134" s="16" t="n">
        <v>831.71</v>
      </c>
      <c r="Q134" s="16" t="n">
        <v>831.71</v>
      </c>
      <c r="R134" s="16" t="n">
        <v>831.71</v>
      </c>
      <c r="S134" s="16" t="n">
        <v>831.71</v>
      </c>
      <c r="T134" s="16" t="n">
        <v>831.71</v>
      </c>
      <c r="U134" s="16" t="n">
        <v>350</v>
      </c>
      <c r="V134" s="16" t="n">
        <v>250</v>
      </c>
      <c r="W134" s="16">
        <f>U134+V134</f>
        <v/>
      </c>
    </row>
    <row r="135">
      <c r="A135" s="3" t="inlineStr">
        <is>
          <t>CANON-202606-006927</t>
        </is>
      </c>
      <c r="B135" s="3" t="inlineStr">
        <is>
          <t>2026-06-07</t>
        </is>
      </c>
      <c r="C135" s="3" t="inlineStr">
        <is>
          <t>Lorenzo Rourke</t>
        </is>
      </c>
      <c r="D135" s="3" t="inlineStr">
        <is>
          <t>CO</t>
        </is>
      </c>
      <c r="E135" s="14" t="n">
        <v>1250000</v>
      </c>
      <c r="F135" s="14" t="n">
        <v>10912.83</v>
      </c>
      <c r="G135" s="14" t="n">
        <v>1364.1</v>
      </c>
      <c r="H135" s="14" t="n">
        <v>1364.1</v>
      </c>
      <c r="I135" s="14">
        <f>SUM(K135:T135)</f>
        <v/>
      </c>
      <c r="J135" s="14">
        <f>F135-(G135+H135+I135)</f>
        <v/>
      </c>
      <c r="K135" s="14" t="n">
        <v>818.46</v>
      </c>
      <c r="L135" s="14" t="n">
        <v>818.46</v>
      </c>
      <c r="M135" s="14" t="n">
        <v>818.46</v>
      </c>
      <c r="N135" s="14" t="n">
        <v>818.46</v>
      </c>
      <c r="O135" s="14" t="n">
        <v>818.46</v>
      </c>
      <c r="P135" s="14" t="n">
        <v>818.46</v>
      </c>
      <c r="Q135" s="14" t="n">
        <v>818.46</v>
      </c>
      <c r="R135" s="14" t="n">
        <v>818.46</v>
      </c>
      <c r="S135" s="14" t="n">
        <v>818.46</v>
      </c>
      <c r="T135" s="14" t="n">
        <v>818.46</v>
      </c>
      <c r="U135" s="14" t="n">
        <v>350</v>
      </c>
      <c r="V135" s="14" t="n">
        <v>250</v>
      </c>
      <c r="W135" s="14">
        <f>U135+V135</f>
        <v/>
      </c>
    </row>
    <row r="136">
      <c r="A136" s="15" t="inlineStr">
        <is>
          <t>CANON-202606-006928</t>
        </is>
      </c>
      <c r="B136" s="15" t="inlineStr">
        <is>
          <t>2026-06-17</t>
        </is>
      </c>
      <c r="C136" s="15" t="inlineStr">
        <is>
          <t>Fenwick Vasquez</t>
        </is>
      </c>
      <c r="D136" s="15" t="inlineStr">
        <is>
          <t>FL</t>
        </is>
      </c>
      <c r="E136" s="16" t="n">
        <v>745000</v>
      </c>
      <c r="F136" s="16" t="n">
        <v>9922.709999999999</v>
      </c>
      <c r="G136" s="16" t="n">
        <v>1240.34</v>
      </c>
      <c r="H136" s="16" t="n">
        <v>1240.34</v>
      </c>
      <c r="I136" s="16">
        <f>SUM(K136:T136)</f>
        <v/>
      </c>
      <c r="J136" s="16">
        <f>F136-(G136+H136+I136)</f>
        <v/>
      </c>
      <c r="K136" s="16" t="n">
        <v>744.2</v>
      </c>
      <c r="L136" s="16" t="n">
        <v>744.2</v>
      </c>
      <c r="M136" s="16" t="n">
        <v>744.2</v>
      </c>
      <c r="N136" s="16" t="n">
        <v>744.2</v>
      </c>
      <c r="O136" s="16" t="n">
        <v>744.2</v>
      </c>
      <c r="P136" s="16" t="n">
        <v>744.2</v>
      </c>
      <c r="Q136" s="16" t="n">
        <v>744.2</v>
      </c>
      <c r="R136" s="16" t="n">
        <v>744.2</v>
      </c>
      <c r="S136" s="16" t="n">
        <v>744.2</v>
      </c>
      <c r="T136" s="16" t="n">
        <v>744.2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CANON-202606-006929</t>
        </is>
      </c>
      <c r="B137" s="3" t="inlineStr">
        <is>
          <t>2026-06-22</t>
        </is>
      </c>
      <c r="C137" s="3" t="inlineStr">
        <is>
          <t>Wilhelmina Chattopadhyay</t>
        </is>
      </c>
      <c r="D137" s="3" t="inlineStr">
        <is>
          <t>CA</t>
        </is>
      </c>
      <c r="E137" s="14" t="n">
        <v>850000</v>
      </c>
      <c r="F137" s="14" t="n">
        <v>10763.11</v>
      </c>
      <c r="G137" s="14" t="n">
        <v>1345.39</v>
      </c>
      <c r="H137" s="14" t="n">
        <v>1345.39</v>
      </c>
      <c r="I137" s="14">
        <f>SUM(K137:T137)</f>
        <v/>
      </c>
      <c r="J137" s="14">
        <f>F137-(G137+H137+I137)</f>
        <v/>
      </c>
      <c r="K137" s="14" t="n">
        <v>807.23</v>
      </c>
      <c r="L137" s="14" t="n">
        <v>807.23</v>
      </c>
      <c r="M137" s="14" t="n">
        <v>807.23</v>
      </c>
      <c r="N137" s="14" t="n">
        <v>807.23</v>
      </c>
      <c r="O137" s="14" t="n">
        <v>807.23</v>
      </c>
      <c r="P137" s="14" t="n">
        <v>807.23</v>
      </c>
      <c r="Q137" s="14" t="n">
        <v>807.23</v>
      </c>
      <c r="R137" s="14" t="n">
        <v>807.23</v>
      </c>
      <c r="S137" s="14" t="n">
        <v>807.23</v>
      </c>
      <c r="T137" s="14" t="n">
        <v>807.23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CANON-202606-006931</t>
        </is>
      </c>
      <c r="B138" s="15" t="inlineStr">
        <is>
          <t>2026-06-18</t>
        </is>
      </c>
      <c r="C138" s="15" t="inlineStr">
        <is>
          <t>Sunniva Merriweather</t>
        </is>
      </c>
      <c r="D138" s="15" t="inlineStr">
        <is>
          <t>NH</t>
        </is>
      </c>
      <c r="E138" s="16" t="n">
        <v>935000</v>
      </c>
      <c r="F138" s="16" t="n">
        <v>9120.74</v>
      </c>
      <c r="G138" s="16" t="n">
        <v>1140.09</v>
      </c>
      <c r="H138" s="16" t="n">
        <v>1140.09</v>
      </c>
      <c r="I138" s="16">
        <f>SUM(K138:T138)</f>
        <v/>
      </c>
      <c r="J138" s="16">
        <f>F138-(G138+H138+I138)</f>
        <v/>
      </c>
      <c r="K138" s="16" t="n">
        <v>684.0599999999999</v>
      </c>
      <c r="L138" s="16" t="n">
        <v>684.0599999999999</v>
      </c>
      <c r="M138" s="16" t="n">
        <v>684.0599999999999</v>
      </c>
      <c r="N138" s="16" t="n">
        <v>684.0599999999999</v>
      </c>
      <c r="O138" s="16" t="n">
        <v>684.0599999999999</v>
      </c>
      <c r="P138" s="16" t="n">
        <v>684.0599999999999</v>
      </c>
      <c r="Q138" s="16" t="n">
        <v>684.0599999999999</v>
      </c>
      <c r="R138" s="16" t="n">
        <v>684.0599999999999</v>
      </c>
      <c r="S138" s="16" t="n">
        <v>684.0599999999999</v>
      </c>
      <c r="T138" s="16" t="n">
        <v>684.0599999999999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CANON-202606-006932</t>
        </is>
      </c>
      <c r="B139" s="3" t="inlineStr">
        <is>
          <t>2026-06-30</t>
        </is>
      </c>
      <c r="C139" s="3" t="inlineStr">
        <is>
          <t>Fenwick Vandermeer</t>
        </is>
      </c>
      <c r="D139" s="3" t="inlineStr">
        <is>
          <t>ND</t>
        </is>
      </c>
      <c r="E139" s="14" t="n">
        <v>1950000</v>
      </c>
      <c r="F139" s="14" t="n">
        <v>22961.32</v>
      </c>
      <c r="G139" s="14" t="n">
        <v>2870.16</v>
      </c>
      <c r="H139" s="14" t="n">
        <v>2870.16</v>
      </c>
      <c r="I139" s="14">
        <f>SUM(K139:T139)</f>
        <v/>
      </c>
      <c r="J139" s="14">
        <f>F139-(G139+H139+I139)</f>
        <v/>
      </c>
      <c r="K139" s="14" t="n">
        <v>1722.1</v>
      </c>
      <c r="L139" s="14" t="n">
        <v>1722.1</v>
      </c>
      <c r="M139" s="14" t="n">
        <v>1722.1</v>
      </c>
      <c r="N139" s="14" t="n">
        <v>1722.1</v>
      </c>
      <c r="O139" s="14" t="n">
        <v>1722.1</v>
      </c>
      <c r="P139" s="14" t="n">
        <v>1722.1</v>
      </c>
      <c r="Q139" s="14" t="n">
        <v>1722.1</v>
      </c>
      <c r="R139" s="14" t="n">
        <v>1722.1</v>
      </c>
      <c r="S139" s="14" t="n">
        <v>1722.1</v>
      </c>
      <c r="T139" s="14" t="n">
        <v>1722.1</v>
      </c>
      <c r="U139" s="14" t="n">
        <v>350</v>
      </c>
      <c r="V139" s="14" t="n">
        <v>250</v>
      </c>
      <c r="W139" s="14">
        <f>U139+V139</f>
        <v/>
      </c>
    </row>
    <row r="140">
      <c r="A140" s="15" t="inlineStr">
        <is>
          <t>CANON-202606-006933</t>
        </is>
      </c>
      <c r="B140" s="15" t="inlineStr">
        <is>
          <t>2026-06-09</t>
        </is>
      </c>
      <c r="C140" s="15" t="inlineStr">
        <is>
          <t>Ottilie Merriweather</t>
        </is>
      </c>
      <c r="D140" s="15" t="inlineStr">
        <is>
          <t>IN</t>
        </is>
      </c>
      <c r="E140" s="16" t="n">
        <v>500000</v>
      </c>
      <c r="F140" s="16" t="n">
        <v>5768.47</v>
      </c>
      <c r="G140" s="16" t="n">
        <v>721.0599999999999</v>
      </c>
      <c r="H140" s="16" t="n">
        <v>721.0599999999999</v>
      </c>
      <c r="I140" s="16">
        <f>SUM(K140:T140)</f>
        <v/>
      </c>
      <c r="J140" s="16">
        <f>F140-(G140+H140+I140)</f>
        <v/>
      </c>
      <c r="K140" s="16" t="n">
        <v>432.64</v>
      </c>
      <c r="L140" s="16" t="n">
        <v>432.64</v>
      </c>
      <c r="M140" s="16" t="n">
        <v>432.64</v>
      </c>
      <c r="N140" s="16" t="n">
        <v>432.64</v>
      </c>
      <c r="O140" s="16" t="n">
        <v>432.64</v>
      </c>
      <c r="P140" s="16" t="n">
        <v>432.64</v>
      </c>
      <c r="Q140" s="16" t="n">
        <v>432.64</v>
      </c>
      <c r="R140" s="16" t="n">
        <v>432.64</v>
      </c>
      <c r="S140" s="16" t="n">
        <v>432.64</v>
      </c>
      <c r="T140" s="16" t="n">
        <v>432.64</v>
      </c>
      <c r="U140" s="16" t="n">
        <v>350</v>
      </c>
      <c r="V140" s="16" t="n">
        <v>0</v>
      </c>
      <c r="W140" s="16">
        <f>U140+V140</f>
        <v/>
      </c>
    </row>
    <row r="141">
      <c r="A141" s="3" t="inlineStr">
        <is>
          <t>CANON-202606-006934</t>
        </is>
      </c>
      <c r="B141" s="3" t="inlineStr">
        <is>
          <t>2026-06-08</t>
        </is>
      </c>
      <c r="C141" s="3" t="inlineStr">
        <is>
          <t>Thaddeus Ashcombe</t>
        </is>
      </c>
      <c r="D141" s="3" t="inlineStr">
        <is>
          <t>MN</t>
        </is>
      </c>
      <c r="E141" s="14" t="n">
        <v>485000</v>
      </c>
      <c r="F141" s="14" t="n">
        <v>6928.65</v>
      </c>
      <c r="G141" s="14" t="n">
        <v>866.08</v>
      </c>
      <c r="H141" s="14" t="n">
        <v>866.08</v>
      </c>
      <c r="I141" s="14">
        <f>SUM(K141:T141)</f>
        <v/>
      </c>
      <c r="J141" s="14">
        <f>F141-(G141+H141+I141)</f>
        <v/>
      </c>
      <c r="K141" s="14" t="n">
        <v>519.65</v>
      </c>
      <c r="L141" s="14" t="n">
        <v>519.65</v>
      </c>
      <c r="M141" s="14" t="n">
        <v>519.65</v>
      </c>
      <c r="N141" s="14" t="n">
        <v>519.65</v>
      </c>
      <c r="O141" s="14" t="n">
        <v>519.65</v>
      </c>
      <c r="P141" s="14" t="n">
        <v>519.65</v>
      </c>
      <c r="Q141" s="14" t="n">
        <v>519.65</v>
      </c>
      <c r="R141" s="14" t="n">
        <v>519.65</v>
      </c>
      <c r="S141" s="14" t="n">
        <v>519.65</v>
      </c>
      <c r="T141" s="14" t="n">
        <v>519.65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CANON-202606-006935</t>
        </is>
      </c>
      <c r="B142" s="15" t="inlineStr">
        <is>
          <t>2026-06-07</t>
        </is>
      </c>
      <c r="C142" s="15" t="inlineStr">
        <is>
          <t>Beatrix Vasquez</t>
        </is>
      </c>
      <c r="D142" s="15" t="inlineStr">
        <is>
          <t>WV</t>
        </is>
      </c>
      <c r="E142" s="16" t="n">
        <v>400000</v>
      </c>
      <c r="F142" s="16" t="n">
        <v>5757.64</v>
      </c>
      <c r="G142" s="16" t="n">
        <v>719.71</v>
      </c>
      <c r="H142" s="16" t="n">
        <v>719.71</v>
      </c>
      <c r="I142" s="16">
        <f>SUM(K142:T142)</f>
        <v/>
      </c>
      <c r="J142" s="16">
        <f>F142-(G142+H142+I142)</f>
        <v/>
      </c>
      <c r="K142" s="16" t="n">
        <v>431.82</v>
      </c>
      <c r="L142" s="16" t="n">
        <v>431.82</v>
      </c>
      <c r="M142" s="16" t="n">
        <v>431.82</v>
      </c>
      <c r="N142" s="16" t="n">
        <v>431.82</v>
      </c>
      <c r="O142" s="16" t="n">
        <v>431.82</v>
      </c>
      <c r="P142" s="16" t="n">
        <v>431.82</v>
      </c>
      <c r="Q142" s="16" t="n">
        <v>431.82</v>
      </c>
      <c r="R142" s="16" t="n">
        <v>431.82</v>
      </c>
      <c r="S142" s="16" t="n">
        <v>431.82</v>
      </c>
      <c r="T142" s="16" t="n">
        <v>431.82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CANON-202606-006936</t>
        </is>
      </c>
      <c r="B143" s="3" t="inlineStr">
        <is>
          <t>2026-06-24</t>
        </is>
      </c>
      <c r="C143" s="3" t="inlineStr">
        <is>
          <t>Ingrid Whitlock</t>
        </is>
      </c>
      <c r="D143" s="3" t="inlineStr">
        <is>
          <t>NJ</t>
        </is>
      </c>
      <c r="E143" s="14" t="n">
        <v>485000</v>
      </c>
      <c r="F143" s="14" t="n">
        <v>4776.57</v>
      </c>
      <c r="G143" s="14" t="n">
        <v>597.0700000000001</v>
      </c>
      <c r="H143" s="14" t="n">
        <v>597.0700000000001</v>
      </c>
      <c r="I143" s="14">
        <f>SUM(K143:T143)</f>
        <v/>
      </c>
      <c r="J143" s="14">
        <f>F143-(G143+H143+I143)</f>
        <v/>
      </c>
      <c r="K143" s="14" t="n">
        <v>358.24</v>
      </c>
      <c r="L143" s="14" t="n">
        <v>358.24</v>
      </c>
      <c r="M143" s="14" t="n">
        <v>358.24</v>
      </c>
      <c r="N143" s="14" t="n">
        <v>358.24</v>
      </c>
      <c r="O143" s="14" t="n">
        <v>358.24</v>
      </c>
      <c r="P143" s="14" t="n">
        <v>358.24</v>
      </c>
      <c r="Q143" s="14" t="n">
        <v>358.24</v>
      </c>
      <c r="R143" s="14" t="n">
        <v>358.24</v>
      </c>
      <c r="S143" s="14" t="n">
        <v>358.24</v>
      </c>
      <c r="T143" s="14" t="n">
        <v>358.24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CANON-202606-006937</t>
        </is>
      </c>
      <c r="B144" s="15" t="inlineStr">
        <is>
          <t>2026-06-15</t>
        </is>
      </c>
      <c r="C144" s="15" t="inlineStr">
        <is>
          <t>Noor Thistlewood</t>
        </is>
      </c>
      <c r="D144" s="15" t="inlineStr">
        <is>
          <t>AZ</t>
        </is>
      </c>
      <c r="E144" s="16" t="n">
        <v>155000</v>
      </c>
      <c r="F144" s="16" t="n">
        <v>2078.32</v>
      </c>
      <c r="G144" s="16" t="n">
        <v>259.79</v>
      </c>
      <c r="H144" s="16" t="n">
        <v>259.79</v>
      </c>
      <c r="I144" s="16">
        <f>SUM(K144:T144)</f>
        <v/>
      </c>
      <c r="J144" s="16">
        <f>F144-(G144+H144+I144)</f>
        <v/>
      </c>
      <c r="K144" s="16" t="n">
        <v>155.87</v>
      </c>
      <c r="L144" s="16" t="n">
        <v>155.87</v>
      </c>
      <c r="M144" s="16" t="n">
        <v>155.87</v>
      </c>
      <c r="N144" s="16" t="n">
        <v>155.87</v>
      </c>
      <c r="O144" s="16" t="n">
        <v>155.87</v>
      </c>
      <c r="P144" s="16" t="n">
        <v>155.87</v>
      </c>
      <c r="Q144" s="16" t="n">
        <v>155.87</v>
      </c>
      <c r="R144" s="16" t="n">
        <v>155.87</v>
      </c>
      <c r="S144" s="16" t="n">
        <v>155.87</v>
      </c>
      <c r="T144" s="16" t="n">
        <v>155.87</v>
      </c>
      <c r="U144" s="16" t="n">
        <v>350</v>
      </c>
      <c r="V144" s="16" t="n">
        <v>0</v>
      </c>
      <c r="W144" s="16">
        <f>U144+V144</f>
        <v/>
      </c>
    </row>
    <row r="145">
      <c r="A145" s="3" t="inlineStr">
        <is>
          <t>CANON-202606-006938</t>
        </is>
      </c>
      <c r="B145" s="3" t="inlineStr">
        <is>
          <t>2026-06-17</t>
        </is>
      </c>
      <c r="C145" s="3" t="inlineStr">
        <is>
          <t>Marisol Whitlock</t>
        </is>
      </c>
      <c r="D145" s="3" t="inlineStr">
        <is>
          <t>IL</t>
        </is>
      </c>
      <c r="E145" s="14" t="n">
        <v>495000</v>
      </c>
      <c r="F145" s="14" t="n">
        <v>4662.92</v>
      </c>
      <c r="G145" s="14" t="n">
        <v>582.87</v>
      </c>
      <c r="H145" s="14" t="n">
        <v>582.87</v>
      </c>
      <c r="I145" s="14">
        <f>SUM(K145:T145)</f>
        <v/>
      </c>
      <c r="J145" s="14">
        <f>F145-(G145+H145+I145)</f>
        <v/>
      </c>
      <c r="K145" s="14" t="n">
        <v>349.72</v>
      </c>
      <c r="L145" s="14" t="n">
        <v>349.72</v>
      </c>
      <c r="M145" s="14" t="n">
        <v>349.72</v>
      </c>
      <c r="N145" s="14" t="n">
        <v>349.72</v>
      </c>
      <c r="O145" s="14" t="n">
        <v>349.72</v>
      </c>
      <c r="P145" s="14" t="n">
        <v>349.72</v>
      </c>
      <c r="Q145" s="14" t="n">
        <v>349.72</v>
      </c>
      <c r="R145" s="14" t="n">
        <v>349.72</v>
      </c>
      <c r="S145" s="14" t="n">
        <v>349.72</v>
      </c>
      <c r="T145" s="14" t="n">
        <v>349.72</v>
      </c>
      <c r="U145" s="14" t="n">
        <v>350</v>
      </c>
      <c r="V145" s="14" t="n">
        <v>0</v>
      </c>
      <c r="W145" s="14">
        <f>U145+V145</f>
        <v/>
      </c>
    </row>
    <row r="146">
      <c r="A146" s="15" t="inlineStr">
        <is>
          <t>CANON-202606-006939</t>
        </is>
      </c>
      <c r="B146" s="15" t="inlineStr">
        <is>
          <t>2026-06-14</t>
        </is>
      </c>
      <c r="C146" s="15" t="inlineStr">
        <is>
          <t>Ottilie Kingsford</t>
        </is>
      </c>
      <c r="D146" s="15" t="inlineStr">
        <is>
          <t>TX</t>
        </is>
      </c>
      <c r="E146" s="16" t="n">
        <v>295000</v>
      </c>
      <c r="F146" s="16" t="n">
        <v>3671.58</v>
      </c>
      <c r="G146" s="16" t="n">
        <v>458.95</v>
      </c>
      <c r="H146" s="16" t="n">
        <v>458.95</v>
      </c>
      <c r="I146" s="16">
        <f>SUM(K146:T146)</f>
        <v/>
      </c>
      <c r="J146" s="16">
        <f>F146-(G146+H146+I146)</f>
        <v/>
      </c>
      <c r="K146" s="16" t="n">
        <v>275.37</v>
      </c>
      <c r="L146" s="16" t="n">
        <v>275.37</v>
      </c>
      <c r="M146" s="16" t="n">
        <v>275.37</v>
      </c>
      <c r="N146" s="16" t="n">
        <v>275.37</v>
      </c>
      <c r="O146" s="16" t="n">
        <v>275.37</v>
      </c>
      <c r="P146" s="16" t="n">
        <v>275.37</v>
      </c>
      <c r="Q146" s="16" t="n">
        <v>275.37</v>
      </c>
      <c r="R146" s="16" t="n">
        <v>275.37</v>
      </c>
      <c r="S146" s="16" t="n">
        <v>275.37</v>
      </c>
      <c r="T146" s="16" t="n">
        <v>275.37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CANON-202606-006940</t>
        </is>
      </c>
      <c r="B147" s="3" t="inlineStr">
        <is>
          <t>2026-06-27</t>
        </is>
      </c>
      <c r="C147" s="3" t="inlineStr">
        <is>
          <t>Marisol Vasquez</t>
        </is>
      </c>
      <c r="D147" s="3" t="inlineStr">
        <is>
          <t>FL</t>
        </is>
      </c>
      <c r="E147" s="14" t="n">
        <v>755000</v>
      </c>
      <c r="F147" s="14" t="n">
        <v>14697.08</v>
      </c>
      <c r="G147" s="14" t="n">
        <v>1837.13</v>
      </c>
      <c r="H147" s="14" t="n">
        <v>1837.13</v>
      </c>
      <c r="I147" s="14">
        <f>SUM(K147:T147)</f>
        <v/>
      </c>
      <c r="J147" s="14">
        <f>F147-(G147+H147+I147)</f>
        <v/>
      </c>
      <c r="K147" s="14" t="n">
        <v>1102.28</v>
      </c>
      <c r="L147" s="14" t="n">
        <v>1102.28</v>
      </c>
      <c r="M147" s="14" t="n">
        <v>1102.28</v>
      </c>
      <c r="N147" s="14" t="n">
        <v>1102.28</v>
      </c>
      <c r="O147" s="14" t="n">
        <v>1102.28</v>
      </c>
      <c r="P147" s="14" t="n">
        <v>1102.28</v>
      </c>
      <c r="Q147" s="14" t="n">
        <v>1102.28</v>
      </c>
      <c r="R147" s="14" t="n">
        <v>1102.28</v>
      </c>
      <c r="S147" s="14" t="n">
        <v>1102.28</v>
      </c>
      <c r="T147" s="14" t="n">
        <v>1102.28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CANON-202606-006942</t>
        </is>
      </c>
      <c r="B148" s="15" t="inlineStr">
        <is>
          <t>2026-06-16</t>
        </is>
      </c>
      <c r="C148" s="15" t="inlineStr">
        <is>
          <t>Wilhelmina Blackwood</t>
        </is>
      </c>
      <c r="D148" s="15" t="inlineStr">
        <is>
          <t>AK</t>
        </is>
      </c>
      <c r="E148" s="16" t="n">
        <v>755000</v>
      </c>
      <c r="F148" s="16" t="n">
        <v>8073.04</v>
      </c>
      <c r="G148" s="16" t="n">
        <v>1009.13</v>
      </c>
      <c r="H148" s="16" t="n">
        <v>1009.13</v>
      </c>
      <c r="I148" s="16">
        <f>SUM(K148:T148)</f>
        <v/>
      </c>
      <c r="J148" s="16">
        <f>F148-(G148+H148+I148)</f>
        <v/>
      </c>
      <c r="K148" s="16" t="n">
        <v>605.48</v>
      </c>
      <c r="L148" s="16" t="n">
        <v>605.48</v>
      </c>
      <c r="M148" s="16" t="n">
        <v>605.48</v>
      </c>
      <c r="N148" s="16" t="n">
        <v>605.48</v>
      </c>
      <c r="O148" s="16" t="n">
        <v>605.48</v>
      </c>
      <c r="P148" s="16" t="n">
        <v>605.48</v>
      </c>
      <c r="Q148" s="16" t="n">
        <v>605.48</v>
      </c>
      <c r="R148" s="16" t="n">
        <v>605.48</v>
      </c>
      <c r="S148" s="16" t="n">
        <v>605.48</v>
      </c>
      <c r="T148" s="16" t="n">
        <v>605.48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CANON-202606-006943</t>
        </is>
      </c>
      <c r="B149" s="3" t="inlineStr">
        <is>
          <t>2026-06-21</t>
        </is>
      </c>
      <c r="C149" s="3" t="inlineStr">
        <is>
          <t>Anouk Thistlewood</t>
        </is>
      </c>
      <c r="D149" s="3" t="inlineStr">
        <is>
          <t>CA</t>
        </is>
      </c>
      <c r="E149" s="14" t="n">
        <v>450000</v>
      </c>
      <c r="F149" s="14" t="n">
        <v>6574.76</v>
      </c>
      <c r="G149" s="14" t="n">
        <v>821.85</v>
      </c>
      <c r="H149" s="14" t="n">
        <v>821.85</v>
      </c>
      <c r="I149" s="14">
        <f>SUM(K149:T149)</f>
        <v/>
      </c>
      <c r="J149" s="14">
        <f>F149-(G149+H149+I149)</f>
        <v/>
      </c>
      <c r="K149" s="14" t="n">
        <v>493.11</v>
      </c>
      <c r="L149" s="14" t="n">
        <v>493.11</v>
      </c>
      <c r="M149" s="14" t="n">
        <v>493.11</v>
      </c>
      <c r="N149" s="14" t="n">
        <v>493.11</v>
      </c>
      <c r="O149" s="14" t="n">
        <v>493.11</v>
      </c>
      <c r="P149" s="14" t="n">
        <v>493.11</v>
      </c>
      <c r="Q149" s="14" t="n">
        <v>493.11</v>
      </c>
      <c r="R149" s="14" t="n">
        <v>493.11</v>
      </c>
      <c r="S149" s="14" t="n">
        <v>493.11</v>
      </c>
      <c r="T149" s="14" t="n">
        <v>493.11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CANON-202606-006944</t>
        </is>
      </c>
      <c r="B150" s="15" t="inlineStr">
        <is>
          <t>2026-06-06</t>
        </is>
      </c>
      <c r="C150" s="15" t="inlineStr">
        <is>
          <t>Ramona Merriweather</t>
        </is>
      </c>
      <c r="D150" s="15" t="inlineStr">
        <is>
          <t>CA</t>
        </is>
      </c>
      <c r="E150" s="16" t="n">
        <v>560000</v>
      </c>
      <c r="F150" s="16" t="n">
        <v>7091</v>
      </c>
      <c r="G150" s="16" t="n">
        <v>886.38</v>
      </c>
      <c r="H150" s="16" t="n">
        <v>886.38</v>
      </c>
      <c r="I150" s="16">
        <f>SUM(K150:T150)</f>
        <v/>
      </c>
      <c r="J150" s="16">
        <f>F150-(G150+H150+I150)</f>
        <v/>
      </c>
      <c r="K150" s="16" t="n">
        <v>531.8200000000001</v>
      </c>
      <c r="L150" s="16" t="n">
        <v>531.8200000000001</v>
      </c>
      <c r="M150" s="16" t="n">
        <v>531.8200000000001</v>
      </c>
      <c r="N150" s="16" t="n">
        <v>531.8200000000001</v>
      </c>
      <c r="O150" s="16" t="n">
        <v>531.8200000000001</v>
      </c>
      <c r="P150" s="16" t="n">
        <v>531.8200000000001</v>
      </c>
      <c r="Q150" s="16" t="n">
        <v>531.8200000000001</v>
      </c>
      <c r="R150" s="16" t="n">
        <v>531.8200000000001</v>
      </c>
      <c r="S150" s="16" t="n">
        <v>531.8200000000001</v>
      </c>
      <c r="T150" s="16" t="n">
        <v>531.8200000000001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CANON-202606-006945</t>
        </is>
      </c>
      <c r="B151" s="3" t="inlineStr">
        <is>
          <t>2026-06-11</t>
        </is>
      </c>
      <c r="C151" s="3" t="inlineStr">
        <is>
          <t>Leopold Pennington</t>
        </is>
      </c>
      <c r="D151" s="3" t="inlineStr">
        <is>
          <t>PA</t>
        </is>
      </c>
      <c r="E151" s="14" t="n">
        <v>695000</v>
      </c>
      <c r="F151" s="14" t="n">
        <v>9527.530000000001</v>
      </c>
      <c r="G151" s="14" t="n">
        <v>1190.94</v>
      </c>
      <c r="H151" s="14" t="n">
        <v>1190.94</v>
      </c>
      <c r="I151" s="14">
        <f>SUM(K151:T151)</f>
        <v/>
      </c>
      <c r="J151" s="14">
        <f>F151-(G151+H151+I151)</f>
        <v/>
      </c>
      <c r="K151" s="14" t="n">
        <v>714.5599999999999</v>
      </c>
      <c r="L151" s="14" t="n">
        <v>714.5599999999999</v>
      </c>
      <c r="M151" s="14" t="n">
        <v>714.5599999999999</v>
      </c>
      <c r="N151" s="14" t="n">
        <v>714.5599999999999</v>
      </c>
      <c r="O151" s="14" t="n">
        <v>714.5599999999999</v>
      </c>
      <c r="P151" s="14" t="n">
        <v>714.5599999999999</v>
      </c>
      <c r="Q151" s="14" t="n">
        <v>714.5599999999999</v>
      </c>
      <c r="R151" s="14" t="n">
        <v>714.5599999999999</v>
      </c>
      <c r="S151" s="14" t="n">
        <v>714.5599999999999</v>
      </c>
      <c r="T151" s="14" t="n">
        <v>714.5599999999999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CANON-202606-006946</t>
        </is>
      </c>
      <c r="B152" s="15" t="inlineStr">
        <is>
          <t>2026-06-29</t>
        </is>
      </c>
      <c r="C152" s="15" t="inlineStr">
        <is>
          <t>Ottilie Vasquez</t>
        </is>
      </c>
      <c r="D152" s="15" t="inlineStr">
        <is>
          <t>NJ</t>
        </is>
      </c>
      <c r="E152" s="16" t="n">
        <v>600000</v>
      </c>
      <c r="F152" s="16" t="n">
        <v>3387.92</v>
      </c>
      <c r="G152" s="16" t="n">
        <v>423.49</v>
      </c>
      <c r="H152" s="16" t="n">
        <v>423.49</v>
      </c>
      <c r="I152" s="16">
        <f>SUM(K152:T152)</f>
        <v/>
      </c>
      <c r="J152" s="16">
        <f>F152-(G152+H152+I152)</f>
        <v/>
      </c>
      <c r="K152" s="16" t="n">
        <v>254.09</v>
      </c>
      <c r="L152" s="16" t="n">
        <v>254.09</v>
      </c>
      <c r="M152" s="16" t="n">
        <v>254.09</v>
      </c>
      <c r="N152" s="16" t="n">
        <v>254.09</v>
      </c>
      <c r="O152" s="16" t="n">
        <v>254.09</v>
      </c>
      <c r="P152" s="16" t="n">
        <v>254.09</v>
      </c>
      <c r="Q152" s="16" t="n">
        <v>254.09</v>
      </c>
      <c r="R152" s="16" t="n">
        <v>254.09</v>
      </c>
      <c r="S152" s="16" t="n">
        <v>254.09</v>
      </c>
      <c r="T152" s="16" t="n">
        <v>254.09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CANON-202606-006950</t>
        </is>
      </c>
      <c r="B153" s="3" t="inlineStr">
        <is>
          <t>2026-06-15</t>
        </is>
      </c>
      <c r="C153" s="3" t="inlineStr">
        <is>
          <t>Anouk Farkas</t>
        </is>
      </c>
      <c r="D153" s="3" t="inlineStr">
        <is>
          <t>CA</t>
        </is>
      </c>
      <c r="E153" s="14" t="n">
        <v>1600000</v>
      </c>
      <c r="F153" s="14" t="n">
        <v>10597.53</v>
      </c>
      <c r="G153" s="14" t="n">
        <v>1324.69</v>
      </c>
      <c r="H153" s="14" t="n">
        <v>1324.69</v>
      </c>
      <c r="I153" s="14">
        <f>SUM(K153:T153)</f>
        <v/>
      </c>
      <c r="J153" s="14">
        <f>F153-(G153+H153+I153)</f>
        <v/>
      </c>
      <c r="K153" s="14" t="n">
        <v>794.8099999999999</v>
      </c>
      <c r="L153" s="14" t="n">
        <v>794.8099999999999</v>
      </c>
      <c r="M153" s="14" t="n">
        <v>794.8099999999999</v>
      </c>
      <c r="N153" s="14" t="n">
        <v>794.8099999999999</v>
      </c>
      <c r="O153" s="14" t="n">
        <v>794.8099999999999</v>
      </c>
      <c r="P153" s="14" t="n">
        <v>794.8099999999999</v>
      </c>
      <c r="Q153" s="14" t="n">
        <v>794.8099999999999</v>
      </c>
      <c r="R153" s="14" t="n">
        <v>794.8099999999999</v>
      </c>
      <c r="S153" s="14" t="n">
        <v>794.8099999999999</v>
      </c>
      <c r="T153" s="14" t="n">
        <v>794.8099999999999</v>
      </c>
      <c r="U153" s="14" t="n">
        <v>350</v>
      </c>
      <c r="V153" s="14" t="n">
        <v>250</v>
      </c>
      <c r="W153" s="14">
        <f>U153+V153</f>
        <v/>
      </c>
    </row>
    <row r="154">
      <c r="A154" s="15" t="inlineStr">
        <is>
          <t>CANON-202606-006952</t>
        </is>
      </c>
      <c r="B154" s="15" t="inlineStr">
        <is>
          <t>2026-06-03</t>
        </is>
      </c>
      <c r="C154" s="15" t="inlineStr">
        <is>
          <t>Anouk Larsson</t>
        </is>
      </c>
      <c r="D154" s="15" t="inlineStr">
        <is>
          <t>MO</t>
        </is>
      </c>
      <c r="E154" s="16" t="n">
        <v>180000</v>
      </c>
      <c r="F154" s="16" t="n">
        <v>2533.02</v>
      </c>
      <c r="G154" s="16" t="n">
        <v>316.63</v>
      </c>
      <c r="H154" s="16" t="n">
        <v>316.63</v>
      </c>
      <c r="I154" s="16">
        <f>SUM(K154:T154)</f>
        <v/>
      </c>
      <c r="J154" s="16">
        <f>F154-(G154+H154+I154)</f>
        <v/>
      </c>
      <c r="K154" s="16" t="n">
        <v>189.98</v>
      </c>
      <c r="L154" s="16" t="n">
        <v>189.98</v>
      </c>
      <c r="M154" s="16" t="n">
        <v>189.98</v>
      </c>
      <c r="N154" s="16" t="n">
        <v>189.98</v>
      </c>
      <c r="O154" s="16" t="n">
        <v>189.98</v>
      </c>
      <c r="P154" s="16" t="n">
        <v>189.98</v>
      </c>
      <c r="Q154" s="16" t="n">
        <v>189.98</v>
      </c>
      <c r="R154" s="16" t="n">
        <v>189.98</v>
      </c>
      <c r="S154" s="16" t="n">
        <v>189.98</v>
      </c>
      <c r="T154" s="16" t="n">
        <v>189.98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CANON-202606-006953</t>
        </is>
      </c>
      <c r="B155" s="3" t="inlineStr">
        <is>
          <t>2026-06-29</t>
        </is>
      </c>
      <c r="C155" s="3" t="inlineStr">
        <is>
          <t>Desmond Ashcombe</t>
        </is>
      </c>
      <c r="D155" s="3" t="inlineStr">
        <is>
          <t>MI</t>
        </is>
      </c>
      <c r="E155" s="14" t="n">
        <v>1950000</v>
      </c>
      <c r="F155" s="14" t="n">
        <v>34892.2</v>
      </c>
      <c r="G155" s="14" t="n">
        <v>4361.52</v>
      </c>
      <c r="H155" s="14" t="n">
        <v>4361.52</v>
      </c>
      <c r="I155" s="14">
        <f>SUM(K155:T155)</f>
        <v/>
      </c>
      <c r="J155" s="14">
        <f>F155-(G155+H155+I155)</f>
        <v/>
      </c>
      <c r="K155" s="14" t="n">
        <v>2616.91</v>
      </c>
      <c r="L155" s="14" t="n">
        <v>2616.91</v>
      </c>
      <c r="M155" s="14" t="n">
        <v>2616.91</v>
      </c>
      <c r="N155" s="14" t="n">
        <v>2616.91</v>
      </c>
      <c r="O155" s="14" t="n">
        <v>2616.91</v>
      </c>
      <c r="P155" s="14" t="n">
        <v>2616.91</v>
      </c>
      <c r="Q155" s="14" t="n">
        <v>2616.91</v>
      </c>
      <c r="R155" s="14" t="n">
        <v>2616.91</v>
      </c>
      <c r="S155" s="14" t="n">
        <v>2616.91</v>
      </c>
      <c r="T155" s="14" t="n">
        <v>2616.91</v>
      </c>
      <c r="U155" s="14" t="n">
        <v>350</v>
      </c>
      <c r="V155" s="14" t="n">
        <v>250</v>
      </c>
      <c r="W155" s="14">
        <f>U155+V155</f>
        <v/>
      </c>
    </row>
    <row r="156">
      <c r="A156" s="15" t="inlineStr">
        <is>
          <t>CANON-202606-006954</t>
        </is>
      </c>
      <c r="B156" s="15" t="inlineStr">
        <is>
          <t>2026-06-20</t>
        </is>
      </c>
      <c r="C156" s="15" t="inlineStr">
        <is>
          <t>Horace Underwood</t>
        </is>
      </c>
      <c r="D156" s="15" t="inlineStr">
        <is>
          <t>WY</t>
        </is>
      </c>
      <c r="E156" s="16" t="n">
        <v>1325000</v>
      </c>
      <c r="F156" s="16" t="n">
        <v>11252.12</v>
      </c>
      <c r="G156" s="16" t="n">
        <v>1406.52</v>
      </c>
      <c r="H156" s="16" t="n">
        <v>1406.52</v>
      </c>
      <c r="I156" s="16">
        <f>SUM(K156:T156)</f>
        <v/>
      </c>
      <c r="J156" s="16">
        <f>F156-(G156+H156+I156)</f>
        <v/>
      </c>
      <c r="K156" s="16" t="n">
        <v>843.91</v>
      </c>
      <c r="L156" s="16" t="n">
        <v>843.91</v>
      </c>
      <c r="M156" s="16" t="n">
        <v>843.91</v>
      </c>
      <c r="N156" s="16" t="n">
        <v>843.91</v>
      </c>
      <c r="O156" s="16" t="n">
        <v>843.91</v>
      </c>
      <c r="P156" s="16" t="n">
        <v>843.91</v>
      </c>
      <c r="Q156" s="16" t="n">
        <v>843.91</v>
      </c>
      <c r="R156" s="16" t="n">
        <v>843.91</v>
      </c>
      <c r="S156" s="16" t="n">
        <v>843.91</v>
      </c>
      <c r="T156" s="16" t="n">
        <v>843.91</v>
      </c>
      <c r="U156" s="16" t="n">
        <v>350</v>
      </c>
      <c r="V156" s="16" t="n">
        <v>250</v>
      </c>
      <c r="W156" s="16">
        <f>U156+V156</f>
        <v/>
      </c>
    </row>
    <row r="157">
      <c r="A157" s="3" t="inlineStr">
        <is>
          <t>CANON-202606-006955</t>
        </is>
      </c>
      <c r="B157" s="3" t="inlineStr">
        <is>
          <t>2026-06-25</t>
        </is>
      </c>
      <c r="C157" s="3" t="inlineStr">
        <is>
          <t>Ottilie Ashcombe</t>
        </is>
      </c>
      <c r="D157" s="3" t="inlineStr">
        <is>
          <t>IN</t>
        </is>
      </c>
      <c r="E157" s="14" t="n">
        <v>535000</v>
      </c>
      <c r="F157" s="14" t="n">
        <v>6172.26</v>
      </c>
      <c r="G157" s="14" t="n">
        <v>771.53</v>
      </c>
      <c r="H157" s="14" t="n">
        <v>771.53</v>
      </c>
      <c r="I157" s="14">
        <f>SUM(K157:T157)</f>
        <v/>
      </c>
      <c r="J157" s="14">
        <f>F157-(G157+H157+I157)</f>
        <v/>
      </c>
      <c r="K157" s="14" t="n">
        <v>462.92</v>
      </c>
      <c r="L157" s="14" t="n">
        <v>462.92</v>
      </c>
      <c r="M157" s="14" t="n">
        <v>462.92</v>
      </c>
      <c r="N157" s="14" t="n">
        <v>462.92</v>
      </c>
      <c r="O157" s="14" t="n">
        <v>462.92</v>
      </c>
      <c r="P157" s="14" t="n">
        <v>462.92</v>
      </c>
      <c r="Q157" s="14" t="n">
        <v>462.92</v>
      </c>
      <c r="R157" s="14" t="n">
        <v>462.92</v>
      </c>
      <c r="S157" s="14" t="n">
        <v>462.92</v>
      </c>
      <c r="T157" s="14" t="n">
        <v>462.92</v>
      </c>
      <c r="U157" s="14" t="n">
        <v>350</v>
      </c>
      <c r="V157" s="14" t="n">
        <v>0</v>
      </c>
      <c r="W157" s="14">
        <f>U157+V157</f>
        <v/>
      </c>
    </row>
    <row r="158">
      <c r="A158" s="15" t="inlineStr">
        <is>
          <t>CANON-202606-006957</t>
        </is>
      </c>
      <c r="B158" s="15" t="inlineStr">
        <is>
          <t>2026-06-24</t>
        </is>
      </c>
      <c r="C158" s="15" t="inlineStr">
        <is>
          <t>Callum Okonkwo</t>
        </is>
      </c>
      <c r="D158" s="15" t="inlineStr">
        <is>
          <t>NY</t>
        </is>
      </c>
      <c r="E158" s="16" t="n">
        <v>1615000</v>
      </c>
      <c r="F158" s="16" t="n">
        <v>11335.43</v>
      </c>
      <c r="G158" s="16" t="n">
        <v>1416.93</v>
      </c>
      <c r="H158" s="16" t="n">
        <v>1416.93</v>
      </c>
      <c r="I158" s="16">
        <f>SUM(K158:T158)</f>
        <v/>
      </c>
      <c r="J158" s="16">
        <f>F158-(G158+H158+I158)</f>
        <v/>
      </c>
      <c r="K158" s="16" t="n">
        <v>850.16</v>
      </c>
      <c r="L158" s="16" t="n">
        <v>850.16</v>
      </c>
      <c r="M158" s="16" t="n">
        <v>850.16</v>
      </c>
      <c r="N158" s="16" t="n">
        <v>850.16</v>
      </c>
      <c r="O158" s="16" t="n">
        <v>850.16</v>
      </c>
      <c r="P158" s="16" t="n">
        <v>850.16</v>
      </c>
      <c r="Q158" s="16" t="n">
        <v>850.16</v>
      </c>
      <c r="R158" s="16" t="n">
        <v>850.16</v>
      </c>
      <c r="S158" s="16" t="n">
        <v>850.16</v>
      </c>
      <c r="T158" s="16" t="n">
        <v>850.16</v>
      </c>
      <c r="U158" s="16" t="n">
        <v>350</v>
      </c>
      <c r="V158" s="16" t="n">
        <v>250</v>
      </c>
      <c r="W158" s="16">
        <f>U158+V158</f>
        <v/>
      </c>
    </row>
    <row r="159">
      <c r="A159" s="3" t="inlineStr">
        <is>
          <t>CANON-202606-006959</t>
        </is>
      </c>
      <c r="B159" s="3" t="inlineStr">
        <is>
          <t>2026-06-16</t>
        </is>
      </c>
      <c r="C159" s="3" t="inlineStr">
        <is>
          <t>Fitzgerald Vandermeer</t>
        </is>
      </c>
      <c r="D159" s="3" t="inlineStr">
        <is>
          <t>VA</t>
        </is>
      </c>
      <c r="E159" s="14" t="n">
        <v>410000</v>
      </c>
      <c r="F159" s="14" t="n">
        <v>4836.64</v>
      </c>
      <c r="G159" s="14" t="n">
        <v>604.58</v>
      </c>
      <c r="H159" s="14" t="n">
        <v>604.58</v>
      </c>
      <c r="I159" s="14">
        <f>SUM(K159:T159)</f>
        <v/>
      </c>
      <c r="J159" s="14">
        <f>F159-(G159+H159+I159)</f>
        <v/>
      </c>
      <c r="K159" s="14" t="n">
        <v>362.75</v>
      </c>
      <c r="L159" s="14" t="n">
        <v>362.75</v>
      </c>
      <c r="M159" s="14" t="n">
        <v>362.75</v>
      </c>
      <c r="N159" s="14" t="n">
        <v>362.75</v>
      </c>
      <c r="O159" s="14" t="n">
        <v>362.75</v>
      </c>
      <c r="P159" s="14" t="n">
        <v>362.75</v>
      </c>
      <c r="Q159" s="14" t="n">
        <v>362.75</v>
      </c>
      <c r="R159" s="14" t="n">
        <v>362.75</v>
      </c>
      <c r="S159" s="14" t="n">
        <v>362.75</v>
      </c>
      <c r="T159" s="14" t="n">
        <v>362.75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CANON-202606-006960</t>
        </is>
      </c>
      <c r="B160" s="15" t="inlineStr">
        <is>
          <t>2026-06-08</t>
        </is>
      </c>
      <c r="C160" s="15" t="inlineStr">
        <is>
          <t>Marisol Harrington</t>
        </is>
      </c>
      <c r="D160" s="15" t="inlineStr">
        <is>
          <t>KY</t>
        </is>
      </c>
      <c r="E160" s="16" t="n">
        <v>1120000</v>
      </c>
      <c r="F160" s="16" t="n">
        <v>17325.46</v>
      </c>
      <c r="G160" s="16" t="n">
        <v>2165.68</v>
      </c>
      <c r="H160" s="16" t="n">
        <v>2165.68</v>
      </c>
      <c r="I160" s="16">
        <f>SUM(K160:T160)</f>
        <v/>
      </c>
      <c r="J160" s="16">
        <f>F160-(G160+H160+I160)</f>
        <v/>
      </c>
      <c r="K160" s="16" t="n">
        <v>1299.41</v>
      </c>
      <c r="L160" s="16" t="n">
        <v>1299.41</v>
      </c>
      <c r="M160" s="16" t="n">
        <v>1299.41</v>
      </c>
      <c r="N160" s="16" t="n">
        <v>1299.41</v>
      </c>
      <c r="O160" s="16" t="n">
        <v>1299.41</v>
      </c>
      <c r="P160" s="16" t="n">
        <v>1299.41</v>
      </c>
      <c r="Q160" s="16" t="n">
        <v>1299.41</v>
      </c>
      <c r="R160" s="16" t="n">
        <v>1299.41</v>
      </c>
      <c r="S160" s="16" t="n">
        <v>1299.41</v>
      </c>
      <c r="T160" s="16" t="n">
        <v>1299.41</v>
      </c>
      <c r="U160" s="16" t="n">
        <v>350</v>
      </c>
      <c r="V160" s="16" t="n">
        <v>250</v>
      </c>
      <c r="W160" s="16">
        <f>U160+V160</f>
        <v/>
      </c>
    </row>
    <row r="161">
      <c r="A161" s="3" t="inlineStr">
        <is>
          <t>CANON-202606-006961</t>
        </is>
      </c>
      <c r="B161" s="3" t="inlineStr">
        <is>
          <t>2026-06-05</t>
        </is>
      </c>
      <c r="C161" s="3" t="inlineStr">
        <is>
          <t>Wilhelmina Bellandi</t>
        </is>
      </c>
      <c r="D161" s="3" t="inlineStr">
        <is>
          <t>SC</t>
        </is>
      </c>
      <c r="E161" s="14" t="n">
        <v>855000</v>
      </c>
      <c r="F161" s="14" t="n">
        <v>14533.94</v>
      </c>
      <c r="G161" s="14" t="n">
        <v>1816.74</v>
      </c>
      <c r="H161" s="14" t="n">
        <v>1816.74</v>
      </c>
      <c r="I161" s="14">
        <f>SUM(K161:T161)</f>
        <v/>
      </c>
      <c r="J161" s="14">
        <f>F161-(G161+H161+I161)</f>
        <v/>
      </c>
      <c r="K161" s="14" t="n">
        <v>1090.05</v>
      </c>
      <c r="L161" s="14" t="n">
        <v>1090.05</v>
      </c>
      <c r="M161" s="14" t="n">
        <v>1090.05</v>
      </c>
      <c r="N161" s="14" t="n">
        <v>1090.05</v>
      </c>
      <c r="O161" s="14" t="n">
        <v>1090.05</v>
      </c>
      <c r="P161" s="14" t="n">
        <v>1090.05</v>
      </c>
      <c r="Q161" s="14" t="n">
        <v>1090.05</v>
      </c>
      <c r="R161" s="14" t="n">
        <v>1090.05</v>
      </c>
      <c r="S161" s="14" t="n">
        <v>1090.05</v>
      </c>
      <c r="T161" s="14" t="n">
        <v>1090.05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CANON-202606-006962</t>
        </is>
      </c>
      <c r="B162" s="15" t="inlineStr">
        <is>
          <t>2026-06-14</t>
        </is>
      </c>
      <c r="C162" s="15" t="inlineStr">
        <is>
          <t>Anouk Chattopadhyay</t>
        </is>
      </c>
      <c r="D162" s="15" t="inlineStr">
        <is>
          <t>MN</t>
        </is>
      </c>
      <c r="E162" s="16" t="n">
        <v>230000</v>
      </c>
      <c r="F162" s="16" t="n">
        <v>4030.53</v>
      </c>
      <c r="G162" s="16" t="n">
        <v>503.82</v>
      </c>
      <c r="H162" s="16" t="n">
        <v>503.82</v>
      </c>
      <c r="I162" s="16">
        <f>SUM(K162:T162)</f>
        <v/>
      </c>
      <c r="J162" s="16">
        <f>F162-(G162+H162+I162)</f>
        <v/>
      </c>
      <c r="K162" s="16" t="n">
        <v>302.29</v>
      </c>
      <c r="L162" s="16" t="n">
        <v>302.29</v>
      </c>
      <c r="M162" s="16" t="n">
        <v>302.29</v>
      </c>
      <c r="N162" s="16" t="n">
        <v>302.29</v>
      </c>
      <c r="O162" s="16" t="n">
        <v>302.29</v>
      </c>
      <c r="P162" s="16" t="n">
        <v>302.29</v>
      </c>
      <c r="Q162" s="16" t="n">
        <v>302.29</v>
      </c>
      <c r="R162" s="16" t="n">
        <v>302.29</v>
      </c>
      <c r="S162" s="16" t="n">
        <v>302.29</v>
      </c>
      <c r="T162" s="16" t="n">
        <v>302.29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CANON-202606-006963</t>
        </is>
      </c>
      <c r="B163" s="3" t="inlineStr">
        <is>
          <t>2026-06-23</t>
        </is>
      </c>
      <c r="C163" s="3" t="inlineStr">
        <is>
          <t>Cassius Kingsford</t>
        </is>
      </c>
      <c r="D163" s="3" t="inlineStr">
        <is>
          <t>AL</t>
        </is>
      </c>
      <c r="E163" s="14" t="n">
        <v>600000</v>
      </c>
      <c r="F163" s="14" t="n">
        <v>10446.01</v>
      </c>
      <c r="G163" s="14" t="n">
        <v>1305.75</v>
      </c>
      <c r="H163" s="14" t="n">
        <v>1305.75</v>
      </c>
      <c r="I163" s="14">
        <f>SUM(K163:T163)</f>
        <v/>
      </c>
      <c r="J163" s="14">
        <f>F163-(G163+H163+I163)</f>
        <v/>
      </c>
      <c r="K163" s="14" t="n">
        <v>783.45</v>
      </c>
      <c r="L163" s="14" t="n">
        <v>783.45</v>
      </c>
      <c r="M163" s="14" t="n">
        <v>783.45</v>
      </c>
      <c r="N163" s="14" t="n">
        <v>783.45</v>
      </c>
      <c r="O163" s="14" t="n">
        <v>783.45</v>
      </c>
      <c r="P163" s="14" t="n">
        <v>783.45</v>
      </c>
      <c r="Q163" s="14" t="n">
        <v>783.45</v>
      </c>
      <c r="R163" s="14" t="n">
        <v>783.45</v>
      </c>
      <c r="S163" s="14" t="n">
        <v>783.45</v>
      </c>
      <c r="T163" s="14" t="n">
        <v>783.45</v>
      </c>
      <c r="U163" s="14" t="n">
        <v>350</v>
      </c>
      <c r="V163" s="14" t="n">
        <v>0</v>
      </c>
      <c r="W163" s="14">
        <f>U163+V163</f>
        <v/>
      </c>
    </row>
    <row r="164">
      <c r="A164" s="15" t="inlineStr">
        <is>
          <t>CANON-202606-006964</t>
        </is>
      </c>
      <c r="B164" s="15" t="inlineStr">
        <is>
          <t>2026-06-13</t>
        </is>
      </c>
      <c r="C164" s="15" t="inlineStr">
        <is>
          <t>Priya Fairweather</t>
        </is>
      </c>
      <c r="D164" s="15" t="inlineStr">
        <is>
          <t>DE</t>
        </is>
      </c>
      <c r="E164" s="16" t="n">
        <v>560000</v>
      </c>
      <c r="F164" s="16" t="n">
        <v>6565.74</v>
      </c>
      <c r="G164" s="16" t="n">
        <v>820.72</v>
      </c>
      <c r="H164" s="16" t="n">
        <v>820.72</v>
      </c>
      <c r="I164" s="16">
        <f>SUM(K164:T164)</f>
        <v/>
      </c>
      <c r="J164" s="16">
        <f>F164-(G164+H164+I164)</f>
        <v/>
      </c>
      <c r="K164" s="16" t="n">
        <v>492.43</v>
      </c>
      <c r="L164" s="16" t="n">
        <v>492.43</v>
      </c>
      <c r="M164" s="16" t="n">
        <v>492.43</v>
      </c>
      <c r="N164" s="16" t="n">
        <v>492.43</v>
      </c>
      <c r="O164" s="16" t="n">
        <v>492.43</v>
      </c>
      <c r="P164" s="16" t="n">
        <v>492.43</v>
      </c>
      <c r="Q164" s="16" t="n">
        <v>492.43</v>
      </c>
      <c r="R164" s="16" t="n">
        <v>492.43</v>
      </c>
      <c r="S164" s="16" t="n">
        <v>492.43</v>
      </c>
      <c r="T164" s="16" t="n">
        <v>492.43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CANON-202606-006967</t>
        </is>
      </c>
      <c r="B165" s="3" t="inlineStr">
        <is>
          <t>2026-06-30</t>
        </is>
      </c>
      <c r="C165" s="3" t="inlineStr">
        <is>
          <t>Fenwick Blackwood</t>
        </is>
      </c>
      <c r="D165" s="3" t="inlineStr">
        <is>
          <t>WV</t>
        </is>
      </c>
      <c r="E165" s="14" t="n">
        <v>1865000</v>
      </c>
      <c r="F165" s="14" t="n">
        <v>13601.48</v>
      </c>
      <c r="G165" s="14" t="n">
        <v>1700.18</v>
      </c>
      <c r="H165" s="14" t="n">
        <v>1700.18</v>
      </c>
      <c r="I165" s="14">
        <f>SUM(K165:T165)</f>
        <v/>
      </c>
      <c r="J165" s="14">
        <f>F165-(G165+H165+I165)</f>
        <v/>
      </c>
      <c r="K165" s="14" t="n">
        <v>1020.11</v>
      </c>
      <c r="L165" s="14" t="n">
        <v>1020.11</v>
      </c>
      <c r="M165" s="14" t="n">
        <v>1020.11</v>
      </c>
      <c r="N165" s="14" t="n">
        <v>1020.11</v>
      </c>
      <c r="O165" s="14" t="n">
        <v>1020.11</v>
      </c>
      <c r="P165" s="14" t="n">
        <v>1020.11</v>
      </c>
      <c r="Q165" s="14" t="n">
        <v>1020.11</v>
      </c>
      <c r="R165" s="14" t="n">
        <v>1020.11</v>
      </c>
      <c r="S165" s="14" t="n">
        <v>1020.11</v>
      </c>
      <c r="T165" s="14" t="n">
        <v>1020.11</v>
      </c>
      <c r="U165" s="14" t="n">
        <v>350</v>
      </c>
      <c r="V165" s="14" t="n">
        <v>250</v>
      </c>
      <c r="W165" s="14">
        <f>U165+V165</f>
        <v/>
      </c>
    </row>
    <row r="166">
      <c r="A166" s="15" t="inlineStr">
        <is>
          <t>CANON-202606-006968</t>
        </is>
      </c>
      <c r="B166" s="15" t="inlineStr">
        <is>
          <t>2026-06-22</t>
        </is>
      </c>
      <c r="C166" s="15" t="inlineStr">
        <is>
          <t>Saoirse Merriweather</t>
        </is>
      </c>
      <c r="D166" s="15" t="inlineStr">
        <is>
          <t>IL</t>
        </is>
      </c>
      <c r="E166" s="16" t="n">
        <v>950000</v>
      </c>
      <c r="F166" s="16" t="n">
        <v>12118.47</v>
      </c>
      <c r="G166" s="16" t="n">
        <v>1514.81</v>
      </c>
      <c r="H166" s="16" t="n">
        <v>1514.81</v>
      </c>
      <c r="I166" s="16">
        <f>SUM(K166:T166)</f>
        <v/>
      </c>
      <c r="J166" s="16">
        <f>F166-(G166+H166+I166)</f>
        <v/>
      </c>
      <c r="K166" s="16" t="n">
        <v>908.89</v>
      </c>
      <c r="L166" s="16" t="n">
        <v>908.89</v>
      </c>
      <c r="M166" s="16" t="n">
        <v>908.89</v>
      </c>
      <c r="N166" s="16" t="n">
        <v>908.89</v>
      </c>
      <c r="O166" s="16" t="n">
        <v>908.89</v>
      </c>
      <c r="P166" s="16" t="n">
        <v>908.89</v>
      </c>
      <c r="Q166" s="16" t="n">
        <v>908.89</v>
      </c>
      <c r="R166" s="16" t="n">
        <v>908.89</v>
      </c>
      <c r="S166" s="16" t="n">
        <v>908.89</v>
      </c>
      <c r="T166" s="16" t="n">
        <v>908.89</v>
      </c>
      <c r="U166" s="16" t="n">
        <v>350</v>
      </c>
      <c r="V166" s="16" t="n">
        <v>0</v>
      </c>
      <c r="W166" s="16">
        <f>U166+V166</f>
        <v/>
      </c>
    </row>
    <row r="167">
      <c r="A167" s="3" t="inlineStr">
        <is>
          <t>CANON-202606-006969</t>
        </is>
      </c>
      <c r="B167" s="3" t="inlineStr">
        <is>
          <t>2026-06-27</t>
        </is>
      </c>
      <c r="C167" s="3" t="inlineStr">
        <is>
          <t>Horace Fairweather</t>
        </is>
      </c>
      <c r="D167" s="3" t="inlineStr">
        <is>
          <t>PA</t>
        </is>
      </c>
      <c r="E167" s="14" t="n">
        <v>505000</v>
      </c>
      <c r="F167" s="14" t="n">
        <v>4736.71</v>
      </c>
      <c r="G167" s="14" t="n">
        <v>592.09</v>
      </c>
      <c r="H167" s="14" t="n">
        <v>592.09</v>
      </c>
      <c r="I167" s="14">
        <f>SUM(K167:T167)</f>
        <v/>
      </c>
      <c r="J167" s="14">
        <f>F167-(G167+H167+I167)</f>
        <v/>
      </c>
      <c r="K167" s="14" t="n">
        <v>355.25</v>
      </c>
      <c r="L167" s="14" t="n">
        <v>355.25</v>
      </c>
      <c r="M167" s="14" t="n">
        <v>355.25</v>
      </c>
      <c r="N167" s="14" t="n">
        <v>355.25</v>
      </c>
      <c r="O167" s="14" t="n">
        <v>355.25</v>
      </c>
      <c r="P167" s="14" t="n">
        <v>355.25</v>
      </c>
      <c r="Q167" s="14" t="n">
        <v>355.25</v>
      </c>
      <c r="R167" s="14" t="n">
        <v>355.25</v>
      </c>
      <c r="S167" s="14" t="n">
        <v>355.25</v>
      </c>
      <c r="T167" s="14" t="n">
        <v>355.25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CANON-202606-006972</t>
        </is>
      </c>
      <c r="B168" s="15" t="inlineStr">
        <is>
          <t>2026-06-05</t>
        </is>
      </c>
      <c r="C168" s="15" t="inlineStr">
        <is>
          <t>Saoirse Castellanos</t>
        </is>
      </c>
      <c r="D168" s="15" t="inlineStr">
        <is>
          <t>OH</t>
        </is>
      </c>
      <c r="E168" s="16" t="n">
        <v>625000</v>
      </c>
      <c r="F168" s="16" t="n">
        <v>11909.41</v>
      </c>
      <c r="G168" s="16" t="n">
        <v>1488.68</v>
      </c>
      <c r="H168" s="16" t="n">
        <v>1488.68</v>
      </c>
      <c r="I168" s="16">
        <f>SUM(K168:T168)</f>
        <v/>
      </c>
      <c r="J168" s="16">
        <f>F168-(G168+H168+I168)</f>
        <v/>
      </c>
      <c r="K168" s="16" t="n">
        <v>893.21</v>
      </c>
      <c r="L168" s="16" t="n">
        <v>893.21</v>
      </c>
      <c r="M168" s="16" t="n">
        <v>893.21</v>
      </c>
      <c r="N168" s="16" t="n">
        <v>893.21</v>
      </c>
      <c r="O168" s="16" t="n">
        <v>893.21</v>
      </c>
      <c r="P168" s="16" t="n">
        <v>893.21</v>
      </c>
      <c r="Q168" s="16" t="n">
        <v>893.21</v>
      </c>
      <c r="R168" s="16" t="n">
        <v>893.21</v>
      </c>
      <c r="S168" s="16" t="n">
        <v>893.21</v>
      </c>
      <c r="T168" s="16" t="n">
        <v>893.21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CANON-202606-006973</t>
        </is>
      </c>
      <c r="B169" s="3" t="inlineStr">
        <is>
          <t>2026-06-16</t>
        </is>
      </c>
      <c r="C169" s="3" t="inlineStr">
        <is>
          <t>Noor Harrington</t>
        </is>
      </c>
      <c r="D169" s="3" t="inlineStr">
        <is>
          <t>LA</t>
        </is>
      </c>
      <c r="E169" s="14" t="n">
        <v>1165000</v>
      </c>
      <c r="F169" s="14" t="n">
        <v>7729.77</v>
      </c>
      <c r="G169" s="14" t="n">
        <v>966.22</v>
      </c>
      <c r="H169" s="14" t="n">
        <v>966.22</v>
      </c>
      <c r="I169" s="14">
        <f>SUM(K169:T169)</f>
        <v/>
      </c>
      <c r="J169" s="14">
        <f>F169-(G169+H169+I169)</f>
        <v/>
      </c>
      <c r="K169" s="14" t="n">
        <v>579.73</v>
      </c>
      <c r="L169" s="14" t="n">
        <v>579.73</v>
      </c>
      <c r="M169" s="14" t="n">
        <v>579.73</v>
      </c>
      <c r="N169" s="14" t="n">
        <v>579.73</v>
      </c>
      <c r="O169" s="14" t="n">
        <v>579.73</v>
      </c>
      <c r="P169" s="14" t="n">
        <v>579.73</v>
      </c>
      <c r="Q169" s="14" t="n">
        <v>579.73</v>
      </c>
      <c r="R169" s="14" t="n">
        <v>579.73</v>
      </c>
      <c r="S169" s="14" t="n">
        <v>579.73</v>
      </c>
      <c r="T169" s="14" t="n">
        <v>579.73</v>
      </c>
      <c r="U169" s="14" t="n">
        <v>350</v>
      </c>
      <c r="V169" s="14" t="n">
        <v>250</v>
      </c>
      <c r="W169" s="14">
        <f>U169+V169</f>
        <v/>
      </c>
    </row>
    <row r="170">
      <c r="A170" s="15" t="inlineStr">
        <is>
          <t>CANON-202606-006975</t>
        </is>
      </c>
      <c r="B170" s="15" t="inlineStr">
        <is>
          <t>2026-06-25</t>
        </is>
      </c>
      <c r="C170" s="15" t="inlineStr">
        <is>
          <t>Noor Rourke</t>
        </is>
      </c>
      <c r="D170" s="15" t="inlineStr">
        <is>
          <t>IL</t>
        </is>
      </c>
      <c r="E170" s="16" t="n">
        <v>650000</v>
      </c>
      <c r="F170" s="16" t="n">
        <v>8291.59</v>
      </c>
      <c r="G170" s="16" t="n">
        <v>1036.45</v>
      </c>
      <c r="H170" s="16" t="n">
        <v>1036.45</v>
      </c>
      <c r="I170" s="16">
        <f>SUM(K170:T170)</f>
        <v/>
      </c>
      <c r="J170" s="16">
        <f>F170-(G170+H170+I170)</f>
        <v/>
      </c>
      <c r="K170" s="16" t="n">
        <v>621.87</v>
      </c>
      <c r="L170" s="16" t="n">
        <v>621.87</v>
      </c>
      <c r="M170" s="16" t="n">
        <v>621.87</v>
      </c>
      <c r="N170" s="16" t="n">
        <v>621.87</v>
      </c>
      <c r="O170" s="16" t="n">
        <v>621.87</v>
      </c>
      <c r="P170" s="16" t="n">
        <v>621.87</v>
      </c>
      <c r="Q170" s="16" t="n">
        <v>621.87</v>
      </c>
      <c r="R170" s="16" t="n">
        <v>621.87</v>
      </c>
      <c r="S170" s="16" t="n">
        <v>621.87</v>
      </c>
      <c r="T170" s="16" t="n">
        <v>621.87</v>
      </c>
      <c r="U170" s="16" t="n">
        <v>350</v>
      </c>
      <c r="V170" s="16" t="n">
        <v>0</v>
      </c>
      <c r="W170" s="16">
        <f>U170+V170</f>
        <v/>
      </c>
    </row>
    <row r="171">
      <c r="A171" s="3" t="inlineStr">
        <is>
          <t>CANON-202606-006977</t>
        </is>
      </c>
      <c r="B171" s="3" t="inlineStr">
        <is>
          <t>2026-06-20</t>
        </is>
      </c>
      <c r="C171" s="3" t="inlineStr">
        <is>
          <t>Leopold Nakashima</t>
        </is>
      </c>
      <c r="D171" s="3" t="inlineStr">
        <is>
          <t>OH</t>
        </is>
      </c>
      <c r="E171" s="14" t="n">
        <v>505000</v>
      </c>
      <c r="F171" s="14" t="n">
        <v>9622.809999999999</v>
      </c>
      <c r="G171" s="14" t="n">
        <v>1202.85</v>
      </c>
      <c r="H171" s="14" t="n">
        <v>1202.85</v>
      </c>
      <c r="I171" s="14">
        <f>SUM(K171:T171)</f>
        <v/>
      </c>
      <c r="J171" s="14">
        <f>F171-(G171+H171+I171)</f>
        <v/>
      </c>
      <c r="K171" s="14" t="n">
        <v>721.71</v>
      </c>
      <c r="L171" s="14" t="n">
        <v>721.71</v>
      </c>
      <c r="M171" s="14" t="n">
        <v>721.71</v>
      </c>
      <c r="N171" s="14" t="n">
        <v>721.71</v>
      </c>
      <c r="O171" s="14" t="n">
        <v>721.71</v>
      </c>
      <c r="P171" s="14" t="n">
        <v>721.71</v>
      </c>
      <c r="Q171" s="14" t="n">
        <v>721.71</v>
      </c>
      <c r="R171" s="14" t="n">
        <v>721.71</v>
      </c>
      <c r="S171" s="14" t="n">
        <v>721.71</v>
      </c>
      <c r="T171" s="14" t="n">
        <v>721.71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CANON-202606-006979</t>
        </is>
      </c>
      <c r="B172" s="15" t="inlineStr">
        <is>
          <t>2026-06-15</t>
        </is>
      </c>
      <c r="C172" s="15" t="inlineStr">
        <is>
          <t>Aurelio Harrington</t>
        </is>
      </c>
      <c r="D172" s="15" t="inlineStr">
        <is>
          <t>NH</t>
        </is>
      </c>
      <c r="E172" s="16" t="n">
        <v>545000</v>
      </c>
      <c r="F172" s="16" t="n">
        <v>5316.37</v>
      </c>
      <c r="G172" s="16" t="n">
        <v>664.55</v>
      </c>
      <c r="H172" s="16" t="n">
        <v>664.55</v>
      </c>
      <c r="I172" s="16">
        <f>SUM(K172:T172)</f>
        <v/>
      </c>
      <c r="J172" s="16">
        <f>F172-(G172+H172+I172)</f>
        <v/>
      </c>
      <c r="K172" s="16" t="n">
        <v>398.73</v>
      </c>
      <c r="L172" s="16" t="n">
        <v>398.73</v>
      </c>
      <c r="M172" s="16" t="n">
        <v>398.73</v>
      </c>
      <c r="N172" s="16" t="n">
        <v>398.73</v>
      </c>
      <c r="O172" s="16" t="n">
        <v>398.73</v>
      </c>
      <c r="P172" s="16" t="n">
        <v>398.73</v>
      </c>
      <c r="Q172" s="16" t="n">
        <v>398.73</v>
      </c>
      <c r="R172" s="16" t="n">
        <v>398.73</v>
      </c>
      <c r="S172" s="16" t="n">
        <v>398.73</v>
      </c>
      <c r="T172" s="16" t="n">
        <v>398.73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CANON-202606-006981</t>
        </is>
      </c>
      <c r="B173" s="3" t="inlineStr">
        <is>
          <t>2026-06-26</t>
        </is>
      </c>
      <c r="C173" s="3" t="inlineStr">
        <is>
          <t>Lorenzo Larsson</t>
        </is>
      </c>
      <c r="D173" s="3" t="inlineStr">
        <is>
          <t>FL</t>
        </is>
      </c>
      <c r="E173" s="14" t="n">
        <v>740000</v>
      </c>
      <c r="F173" s="14" t="n">
        <v>9856.110000000001</v>
      </c>
      <c r="G173" s="14" t="n">
        <v>1232.01</v>
      </c>
      <c r="H173" s="14" t="n">
        <v>1232.01</v>
      </c>
      <c r="I173" s="14">
        <f>SUM(K173:T173)</f>
        <v/>
      </c>
      <c r="J173" s="14">
        <f>F173-(G173+H173+I173)</f>
        <v/>
      </c>
      <c r="K173" s="14" t="n">
        <v>739.21</v>
      </c>
      <c r="L173" s="14" t="n">
        <v>739.21</v>
      </c>
      <c r="M173" s="14" t="n">
        <v>739.21</v>
      </c>
      <c r="N173" s="14" t="n">
        <v>739.21</v>
      </c>
      <c r="O173" s="14" t="n">
        <v>739.21</v>
      </c>
      <c r="P173" s="14" t="n">
        <v>739.21</v>
      </c>
      <c r="Q173" s="14" t="n">
        <v>739.21</v>
      </c>
      <c r="R173" s="14" t="n">
        <v>739.21</v>
      </c>
      <c r="S173" s="14" t="n">
        <v>739.21</v>
      </c>
      <c r="T173" s="14" t="n">
        <v>739.21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CANON-202606-006982</t>
        </is>
      </c>
      <c r="B174" s="15" t="inlineStr">
        <is>
          <t>2026-06-15</t>
        </is>
      </c>
      <c r="C174" s="15" t="inlineStr">
        <is>
          <t>Priya Delacroix</t>
        </is>
      </c>
      <c r="D174" s="15" t="inlineStr">
        <is>
          <t>TX</t>
        </is>
      </c>
      <c r="E174" s="16" t="n">
        <v>1950000</v>
      </c>
      <c r="F174" s="16" t="n">
        <v>25887.76</v>
      </c>
      <c r="G174" s="16" t="n">
        <v>3235.97</v>
      </c>
      <c r="H174" s="16" t="n">
        <v>3235.97</v>
      </c>
      <c r="I174" s="16">
        <f>SUM(K174:T174)</f>
        <v/>
      </c>
      <c r="J174" s="16">
        <f>F174-(G174+H174+I174)</f>
        <v/>
      </c>
      <c r="K174" s="16" t="n">
        <v>1941.58</v>
      </c>
      <c r="L174" s="16" t="n">
        <v>1941.58</v>
      </c>
      <c r="M174" s="16" t="n">
        <v>1941.58</v>
      </c>
      <c r="N174" s="16" t="n">
        <v>1941.58</v>
      </c>
      <c r="O174" s="16" t="n">
        <v>1941.58</v>
      </c>
      <c r="P174" s="16" t="n">
        <v>1941.58</v>
      </c>
      <c r="Q174" s="16" t="n">
        <v>1941.58</v>
      </c>
      <c r="R174" s="16" t="n">
        <v>1941.58</v>
      </c>
      <c r="S174" s="16" t="n">
        <v>1941.58</v>
      </c>
      <c r="T174" s="16" t="n">
        <v>1941.58</v>
      </c>
      <c r="U174" s="16" t="n">
        <v>350</v>
      </c>
      <c r="V174" s="16" t="n">
        <v>250</v>
      </c>
      <c r="W174" s="16">
        <f>U174+V174</f>
        <v/>
      </c>
    </row>
    <row r="175">
      <c r="A175" s="3" t="inlineStr">
        <is>
          <t>CANON-202606-006983</t>
        </is>
      </c>
      <c r="B175" s="3" t="inlineStr">
        <is>
          <t>2026-06-13</t>
        </is>
      </c>
      <c r="C175" s="3" t="inlineStr">
        <is>
          <t>Fenwick Ashcombe</t>
        </is>
      </c>
      <c r="D175" s="3" t="inlineStr">
        <is>
          <t>MO</t>
        </is>
      </c>
      <c r="E175" s="14" t="n">
        <v>170000</v>
      </c>
      <c r="F175" s="14" t="n">
        <v>2392.29</v>
      </c>
      <c r="G175" s="14" t="n">
        <v>299.04</v>
      </c>
      <c r="H175" s="14" t="n">
        <v>299.04</v>
      </c>
      <c r="I175" s="14">
        <f>SUM(K175:T175)</f>
        <v/>
      </c>
      <c r="J175" s="14">
        <f>F175-(G175+H175+I175)</f>
        <v/>
      </c>
      <c r="K175" s="14" t="n">
        <v>179.42</v>
      </c>
      <c r="L175" s="14" t="n">
        <v>179.42</v>
      </c>
      <c r="M175" s="14" t="n">
        <v>179.42</v>
      </c>
      <c r="N175" s="14" t="n">
        <v>179.42</v>
      </c>
      <c r="O175" s="14" t="n">
        <v>179.42</v>
      </c>
      <c r="P175" s="14" t="n">
        <v>179.42</v>
      </c>
      <c r="Q175" s="14" t="n">
        <v>179.42</v>
      </c>
      <c r="R175" s="14" t="n">
        <v>179.42</v>
      </c>
      <c r="S175" s="14" t="n">
        <v>179.42</v>
      </c>
      <c r="T175" s="14" t="n">
        <v>179.42</v>
      </c>
      <c r="U175" s="14" t="n">
        <v>350</v>
      </c>
      <c r="V175" s="14" t="n">
        <v>0</v>
      </c>
      <c r="W175" s="14">
        <f>U175+V175</f>
        <v/>
      </c>
    </row>
    <row r="176">
      <c r="A176" s="15" t="inlineStr">
        <is>
          <t>CANON-202606-006984</t>
        </is>
      </c>
      <c r="B176" s="15" t="inlineStr">
        <is>
          <t>2026-06-27</t>
        </is>
      </c>
      <c r="C176" s="15" t="inlineStr">
        <is>
          <t>Delphine Rourke</t>
        </is>
      </c>
      <c r="D176" s="15" t="inlineStr">
        <is>
          <t>MO</t>
        </is>
      </c>
      <c r="E176" s="16" t="n">
        <v>610000</v>
      </c>
      <c r="F176" s="16" t="n">
        <v>8864.030000000001</v>
      </c>
      <c r="G176" s="16" t="n">
        <v>1108</v>
      </c>
      <c r="H176" s="16" t="n">
        <v>1108</v>
      </c>
      <c r="I176" s="16">
        <f>SUM(K176:T176)</f>
        <v/>
      </c>
      <c r="J176" s="16">
        <f>F176-(G176+H176+I176)</f>
        <v/>
      </c>
      <c r="K176" s="16" t="n">
        <v>664.8</v>
      </c>
      <c r="L176" s="16" t="n">
        <v>664.8</v>
      </c>
      <c r="M176" s="16" t="n">
        <v>664.8</v>
      </c>
      <c r="N176" s="16" t="n">
        <v>664.8</v>
      </c>
      <c r="O176" s="16" t="n">
        <v>664.8</v>
      </c>
      <c r="P176" s="16" t="n">
        <v>664.8</v>
      </c>
      <c r="Q176" s="16" t="n">
        <v>664.8</v>
      </c>
      <c r="R176" s="16" t="n">
        <v>664.8</v>
      </c>
      <c r="S176" s="16" t="n">
        <v>664.8</v>
      </c>
      <c r="T176" s="16" t="n">
        <v>664.8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CANON-202606-006986</t>
        </is>
      </c>
      <c r="B177" s="3" t="inlineStr">
        <is>
          <t>2026-06-15</t>
        </is>
      </c>
      <c r="C177" s="3" t="inlineStr">
        <is>
          <t>Mireille Vasquez</t>
        </is>
      </c>
      <c r="D177" s="3" t="inlineStr">
        <is>
          <t>WA</t>
        </is>
      </c>
      <c r="E177" s="14" t="n">
        <v>665000</v>
      </c>
      <c r="F177" s="14" t="n">
        <v>5987.95</v>
      </c>
      <c r="G177" s="14" t="n">
        <v>748.49</v>
      </c>
      <c r="H177" s="14" t="n">
        <v>748.49</v>
      </c>
      <c r="I177" s="14">
        <f>SUM(K177:T177)</f>
        <v/>
      </c>
      <c r="J177" s="14">
        <f>F177-(G177+H177+I177)</f>
        <v/>
      </c>
      <c r="K177" s="14" t="n">
        <v>449.1</v>
      </c>
      <c r="L177" s="14" t="n">
        <v>449.1</v>
      </c>
      <c r="M177" s="14" t="n">
        <v>449.1</v>
      </c>
      <c r="N177" s="14" t="n">
        <v>449.1</v>
      </c>
      <c r="O177" s="14" t="n">
        <v>449.1</v>
      </c>
      <c r="P177" s="14" t="n">
        <v>449.1</v>
      </c>
      <c r="Q177" s="14" t="n">
        <v>449.1</v>
      </c>
      <c r="R177" s="14" t="n">
        <v>449.1</v>
      </c>
      <c r="S177" s="14" t="n">
        <v>449.1</v>
      </c>
      <c r="T177" s="14" t="n">
        <v>449.1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CANON-202606-006987</t>
        </is>
      </c>
      <c r="B178" s="15" t="inlineStr">
        <is>
          <t>2026-06-20</t>
        </is>
      </c>
      <c r="C178" s="15" t="inlineStr">
        <is>
          <t>Leopold Bellandi</t>
        </is>
      </c>
      <c r="D178" s="15" t="inlineStr">
        <is>
          <t>FL</t>
        </is>
      </c>
      <c r="E178" s="16" t="n">
        <v>540000</v>
      </c>
      <c r="F178" s="16" t="n">
        <v>7192.29</v>
      </c>
      <c r="G178" s="16" t="n">
        <v>899.04</v>
      </c>
      <c r="H178" s="16" t="n">
        <v>899.04</v>
      </c>
      <c r="I178" s="16">
        <f>SUM(K178:T178)</f>
        <v/>
      </c>
      <c r="J178" s="16">
        <f>F178-(G178+H178+I178)</f>
        <v/>
      </c>
      <c r="K178" s="16" t="n">
        <v>539.42</v>
      </c>
      <c r="L178" s="16" t="n">
        <v>539.42</v>
      </c>
      <c r="M178" s="16" t="n">
        <v>539.42</v>
      </c>
      <c r="N178" s="16" t="n">
        <v>539.42</v>
      </c>
      <c r="O178" s="16" t="n">
        <v>539.42</v>
      </c>
      <c r="P178" s="16" t="n">
        <v>539.42</v>
      </c>
      <c r="Q178" s="16" t="n">
        <v>539.42</v>
      </c>
      <c r="R178" s="16" t="n">
        <v>539.42</v>
      </c>
      <c r="S178" s="16" t="n">
        <v>539.42</v>
      </c>
      <c r="T178" s="16" t="n">
        <v>539.42</v>
      </c>
      <c r="U178" s="16" t="n">
        <v>350</v>
      </c>
      <c r="V178" s="16" t="n">
        <v>0</v>
      </c>
      <c r="W178" s="16">
        <f>U178+V178</f>
        <v/>
      </c>
    </row>
    <row r="179">
      <c r="A179" s="3" t="inlineStr">
        <is>
          <t>CANON-202606-006988</t>
        </is>
      </c>
      <c r="B179" s="3" t="inlineStr">
        <is>
          <t>2026-06-05</t>
        </is>
      </c>
      <c r="C179" s="3" t="inlineStr">
        <is>
          <t>Everett Kingsford</t>
        </is>
      </c>
      <c r="D179" s="3" t="inlineStr">
        <is>
          <t>WA</t>
        </is>
      </c>
      <c r="E179" s="14" t="n">
        <v>270000</v>
      </c>
      <c r="F179" s="14" t="n">
        <v>1795.35</v>
      </c>
      <c r="G179" s="14" t="n">
        <v>224.42</v>
      </c>
      <c r="H179" s="14" t="n">
        <v>224.42</v>
      </c>
      <c r="I179" s="14">
        <f>SUM(K179:T179)</f>
        <v/>
      </c>
      <c r="J179" s="14">
        <f>F179-(G179+H179+I179)</f>
        <v/>
      </c>
      <c r="K179" s="14" t="n">
        <v>134.65</v>
      </c>
      <c r="L179" s="14" t="n">
        <v>134.65</v>
      </c>
      <c r="M179" s="14" t="n">
        <v>134.65</v>
      </c>
      <c r="N179" s="14" t="n">
        <v>134.65</v>
      </c>
      <c r="O179" s="14" t="n">
        <v>134.65</v>
      </c>
      <c r="P179" s="14" t="n">
        <v>134.65</v>
      </c>
      <c r="Q179" s="14" t="n">
        <v>134.65</v>
      </c>
      <c r="R179" s="14" t="n">
        <v>134.65</v>
      </c>
      <c r="S179" s="14" t="n">
        <v>134.65</v>
      </c>
      <c r="T179" s="14" t="n">
        <v>134.65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CANON-202606-006990</t>
        </is>
      </c>
      <c r="B180" s="15" t="inlineStr">
        <is>
          <t>2026-06-17</t>
        </is>
      </c>
      <c r="C180" s="15" t="inlineStr">
        <is>
          <t>Everett Larsson</t>
        </is>
      </c>
      <c r="D180" s="15" t="inlineStr">
        <is>
          <t>NM</t>
        </is>
      </c>
      <c r="E180" s="16" t="n">
        <v>165000</v>
      </c>
      <c r="F180" s="16" t="n">
        <v>2803.84</v>
      </c>
      <c r="G180" s="16" t="n">
        <v>350.48</v>
      </c>
      <c r="H180" s="16" t="n">
        <v>350.48</v>
      </c>
      <c r="I180" s="16">
        <f>SUM(K180:T180)</f>
        <v/>
      </c>
      <c r="J180" s="16">
        <f>F180-(G180+H180+I180)</f>
        <v/>
      </c>
      <c r="K180" s="16" t="n">
        <v>210.29</v>
      </c>
      <c r="L180" s="16" t="n">
        <v>210.29</v>
      </c>
      <c r="M180" s="16" t="n">
        <v>210.29</v>
      </c>
      <c r="N180" s="16" t="n">
        <v>210.29</v>
      </c>
      <c r="O180" s="16" t="n">
        <v>210.29</v>
      </c>
      <c r="P180" s="16" t="n">
        <v>210.29</v>
      </c>
      <c r="Q180" s="16" t="n">
        <v>210.29</v>
      </c>
      <c r="R180" s="16" t="n">
        <v>210.29</v>
      </c>
      <c r="S180" s="16" t="n">
        <v>210.29</v>
      </c>
      <c r="T180" s="16" t="n">
        <v>210.29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CANON-202606-006994</t>
        </is>
      </c>
      <c r="B181" s="3" t="inlineStr">
        <is>
          <t>2026-06-19</t>
        </is>
      </c>
      <c r="C181" s="3" t="inlineStr">
        <is>
          <t>Sunniva Merriweather</t>
        </is>
      </c>
      <c r="D181" s="3" t="inlineStr">
        <is>
          <t>ME</t>
        </is>
      </c>
      <c r="E181" s="14" t="n">
        <v>305000</v>
      </c>
      <c r="F181" s="14" t="n">
        <v>3564.98</v>
      </c>
      <c r="G181" s="14" t="n">
        <v>445.62</v>
      </c>
      <c r="H181" s="14" t="n">
        <v>445.62</v>
      </c>
      <c r="I181" s="14">
        <f>SUM(K181:T181)</f>
        <v/>
      </c>
      <c r="J181" s="14">
        <f>F181-(G181+H181+I181)</f>
        <v/>
      </c>
      <c r="K181" s="14" t="n">
        <v>267.37</v>
      </c>
      <c r="L181" s="14" t="n">
        <v>267.37</v>
      </c>
      <c r="M181" s="14" t="n">
        <v>267.37</v>
      </c>
      <c r="N181" s="14" t="n">
        <v>267.37</v>
      </c>
      <c r="O181" s="14" t="n">
        <v>267.37</v>
      </c>
      <c r="P181" s="14" t="n">
        <v>267.37</v>
      </c>
      <c r="Q181" s="14" t="n">
        <v>267.37</v>
      </c>
      <c r="R181" s="14" t="n">
        <v>267.37</v>
      </c>
      <c r="S181" s="14" t="n">
        <v>267.37</v>
      </c>
      <c r="T181" s="14" t="n">
        <v>267.37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CANON-202606-006995</t>
        </is>
      </c>
      <c r="B182" s="15" t="inlineStr">
        <is>
          <t>2026-06-08</t>
        </is>
      </c>
      <c r="C182" s="15" t="inlineStr">
        <is>
          <t>Anouk Bellandi</t>
        </is>
      </c>
      <c r="D182" s="15" t="inlineStr">
        <is>
          <t>FL</t>
        </is>
      </c>
      <c r="E182" s="16" t="n">
        <v>460000</v>
      </c>
      <c r="F182" s="16" t="n">
        <v>7069.35</v>
      </c>
      <c r="G182" s="16" t="n">
        <v>883.67</v>
      </c>
      <c r="H182" s="16" t="n">
        <v>883.67</v>
      </c>
      <c r="I182" s="16">
        <f>SUM(K182:T182)</f>
        <v/>
      </c>
      <c r="J182" s="16">
        <f>F182-(G182+H182+I182)</f>
        <v/>
      </c>
      <c r="K182" s="16" t="n">
        <v>530.2</v>
      </c>
      <c r="L182" s="16" t="n">
        <v>530.2</v>
      </c>
      <c r="M182" s="16" t="n">
        <v>530.2</v>
      </c>
      <c r="N182" s="16" t="n">
        <v>530.2</v>
      </c>
      <c r="O182" s="16" t="n">
        <v>530.2</v>
      </c>
      <c r="P182" s="16" t="n">
        <v>530.2</v>
      </c>
      <c r="Q182" s="16" t="n">
        <v>530.2</v>
      </c>
      <c r="R182" s="16" t="n">
        <v>530.2</v>
      </c>
      <c r="S182" s="16" t="n">
        <v>530.2</v>
      </c>
      <c r="T182" s="16" t="n">
        <v>530.2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CANON-202606-006996</t>
        </is>
      </c>
      <c r="B183" s="3" t="inlineStr">
        <is>
          <t>2026-06-10</t>
        </is>
      </c>
      <c r="C183" s="3" t="inlineStr">
        <is>
          <t>Aurelio Farkas</t>
        </is>
      </c>
      <c r="D183" s="3" t="inlineStr">
        <is>
          <t>NV</t>
        </is>
      </c>
      <c r="E183" s="14" t="n">
        <v>390000</v>
      </c>
      <c r="F183" s="14" t="n">
        <v>4938.37</v>
      </c>
      <c r="G183" s="14" t="n">
        <v>617.3</v>
      </c>
      <c r="H183" s="14" t="n">
        <v>617.3</v>
      </c>
      <c r="I183" s="14">
        <f>SUM(K183:T183)</f>
        <v/>
      </c>
      <c r="J183" s="14">
        <f>F183-(G183+H183+I183)</f>
        <v/>
      </c>
      <c r="K183" s="14" t="n">
        <v>370.38</v>
      </c>
      <c r="L183" s="14" t="n">
        <v>370.38</v>
      </c>
      <c r="M183" s="14" t="n">
        <v>370.38</v>
      </c>
      <c r="N183" s="14" t="n">
        <v>370.38</v>
      </c>
      <c r="O183" s="14" t="n">
        <v>370.38</v>
      </c>
      <c r="P183" s="14" t="n">
        <v>370.38</v>
      </c>
      <c r="Q183" s="14" t="n">
        <v>370.38</v>
      </c>
      <c r="R183" s="14" t="n">
        <v>370.38</v>
      </c>
      <c r="S183" s="14" t="n">
        <v>370.38</v>
      </c>
      <c r="T183" s="14" t="n">
        <v>370.38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CANON-202606-006997</t>
        </is>
      </c>
      <c r="B184" s="15" t="inlineStr">
        <is>
          <t>2026-06-28</t>
        </is>
      </c>
      <c r="C184" s="15" t="inlineStr">
        <is>
          <t>Cassius Larsson</t>
        </is>
      </c>
      <c r="D184" s="15" t="inlineStr">
        <is>
          <t>PA</t>
        </is>
      </c>
      <c r="E184" s="16" t="n">
        <v>1030000</v>
      </c>
      <c r="F184" s="16" t="n">
        <v>8174.7</v>
      </c>
      <c r="G184" s="16" t="n">
        <v>1021.84</v>
      </c>
      <c r="H184" s="16" t="n">
        <v>1021.84</v>
      </c>
      <c r="I184" s="16">
        <f>SUM(K184:T184)</f>
        <v/>
      </c>
      <c r="J184" s="16">
        <f>F184-(G184+H184+I184)</f>
        <v/>
      </c>
      <c r="K184" s="16" t="n">
        <v>613.1</v>
      </c>
      <c r="L184" s="16" t="n">
        <v>613.1</v>
      </c>
      <c r="M184" s="16" t="n">
        <v>613.1</v>
      </c>
      <c r="N184" s="16" t="n">
        <v>613.1</v>
      </c>
      <c r="O184" s="16" t="n">
        <v>613.1</v>
      </c>
      <c r="P184" s="16" t="n">
        <v>613.1</v>
      </c>
      <c r="Q184" s="16" t="n">
        <v>613.1</v>
      </c>
      <c r="R184" s="16" t="n">
        <v>613.1</v>
      </c>
      <c r="S184" s="16" t="n">
        <v>613.1</v>
      </c>
      <c r="T184" s="16" t="n">
        <v>613.1</v>
      </c>
      <c r="U184" s="16" t="n">
        <v>350</v>
      </c>
      <c r="V184" s="16" t="n">
        <v>250</v>
      </c>
      <c r="W184" s="16">
        <f>U184+V184</f>
        <v/>
      </c>
    </row>
    <row r="185">
      <c r="A185" s="3" t="inlineStr">
        <is>
          <t>CANON-202606-006998</t>
        </is>
      </c>
      <c r="B185" s="3" t="inlineStr">
        <is>
          <t>2026-06-21</t>
        </is>
      </c>
      <c r="C185" s="3" t="inlineStr">
        <is>
          <t>Lorenzo Larsson</t>
        </is>
      </c>
      <c r="D185" s="3" t="inlineStr">
        <is>
          <t>TX</t>
        </is>
      </c>
      <c r="E185" s="14" t="n">
        <v>445000</v>
      </c>
      <c r="F185" s="14" t="n">
        <v>3544.63</v>
      </c>
      <c r="G185" s="14" t="n">
        <v>443.08</v>
      </c>
      <c r="H185" s="14" t="n">
        <v>443.08</v>
      </c>
      <c r="I185" s="14">
        <f>SUM(K185:T185)</f>
        <v/>
      </c>
      <c r="J185" s="14">
        <f>F185-(G185+H185+I185)</f>
        <v/>
      </c>
      <c r="K185" s="14" t="n">
        <v>265.85</v>
      </c>
      <c r="L185" s="14" t="n">
        <v>265.85</v>
      </c>
      <c r="M185" s="14" t="n">
        <v>265.85</v>
      </c>
      <c r="N185" s="14" t="n">
        <v>265.85</v>
      </c>
      <c r="O185" s="14" t="n">
        <v>265.85</v>
      </c>
      <c r="P185" s="14" t="n">
        <v>265.85</v>
      </c>
      <c r="Q185" s="14" t="n">
        <v>265.85</v>
      </c>
      <c r="R185" s="14" t="n">
        <v>265.85</v>
      </c>
      <c r="S185" s="14" t="n">
        <v>265.85</v>
      </c>
      <c r="T185" s="14" t="n">
        <v>265.85</v>
      </c>
      <c r="U185" s="14" t="n">
        <v>350</v>
      </c>
      <c r="V185" s="14" t="n">
        <v>0</v>
      </c>
      <c r="W185" s="14">
        <f>U185+V185</f>
        <v/>
      </c>
    </row>
    <row r="186">
      <c r="A186" s="15" t="inlineStr">
        <is>
          <t>CANON-202606-006999</t>
        </is>
      </c>
      <c r="B186" s="15" t="inlineStr">
        <is>
          <t>2026-06-24</t>
        </is>
      </c>
      <c r="C186" s="15" t="inlineStr">
        <is>
          <t>Fenwick Blackwood</t>
        </is>
      </c>
      <c r="D186" s="15" t="inlineStr">
        <is>
          <t>TX</t>
        </is>
      </c>
      <c r="E186" s="16" t="n">
        <v>730000</v>
      </c>
      <c r="F186" s="16" t="n">
        <v>11508.44</v>
      </c>
      <c r="G186" s="16" t="n">
        <v>1438.56</v>
      </c>
      <c r="H186" s="16" t="n">
        <v>1438.56</v>
      </c>
      <c r="I186" s="16">
        <f>SUM(K186:T186)</f>
        <v/>
      </c>
      <c r="J186" s="16">
        <f>F186-(G186+H186+I186)</f>
        <v/>
      </c>
      <c r="K186" s="16" t="n">
        <v>863.13</v>
      </c>
      <c r="L186" s="16" t="n">
        <v>863.13</v>
      </c>
      <c r="M186" s="16" t="n">
        <v>863.13</v>
      </c>
      <c r="N186" s="16" t="n">
        <v>863.13</v>
      </c>
      <c r="O186" s="16" t="n">
        <v>863.13</v>
      </c>
      <c r="P186" s="16" t="n">
        <v>863.13</v>
      </c>
      <c r="Q186" s="16" t="n">
        <v>863.13</v>
      </c>
      <c r="R186" s="16" t="n">
        <v>863.13</v>
      </c>
      <c r="S186" s="16" t="n">
        <v>863.13</v>
      </c>
      <c r="T186" s="16" t="n">
        <v>863.13</v>
      </c>
      <c r="U186" s="16" t="n">
        <v>350</v>
      </c>
      <c r="V186" s="16" t="n">
        <v>0</v>
      </c>
      <c r="W186" s="16">
        <f>U186+V186</f>
        <v/>
      </c>
    </row>
    <row r="187">
      <c r="A187" s="3" t="inlineStr">
        <is>
          <t>CANON-202606-007000</t>
        </is>
      </c>
      <c r="B187" s="3" t="inlineStr">
        <is>
          <t>2026-06-12</t>
        </is>
      </c>
      <c r="C187" s="3" t="inlineStr">
        <is>
          <t>Priya Rourke</t>
        </is>
      </c>
      <c r="D187" s="3" t="inlineStr">
        <is>
          <t>NH</t>
        </is>
      </c>
      <c r="E187" s="14" t="n">
        <v>305000</v>
      </c>
      <c r="F187" s="14" t="n">
        <v>3432.94</v>
      </c>
      <c r="G187" s="14" t="n">
        <v>429.12</v>
      </c>
      <c r="H187" s="14" t="n">
        <v>429.12</v>
      </c>
      <c r="I187" s="14">
        <f>SUM(K187:T187)</f>
        <v/>
      </c>
      <c r="J187" s="14">
        <f>F187-(G187+H187+I187)</f>
        <v/>
      </c>
      <c r="K187" s="14" t="n">
        <v>257.47</v>
      </c>
      <c r="L187" s="14" t="n">
        <v>257.47</v>
      </c>
      <c r="M187" s="14" t="n">
        <v>257.47</v>
      </c>
      <c r="N187" s="14" t="n">
        <v>257.47</v>
      </c>
      <c r="O187" s="14" t="n">
        <v>257.47</v>
      </c>
      <c r="P187" s="14" t="n">
        <v>257.47</v>
      </c>
      <c r="Q187" s="14" t="n">
        <v>257.47</v>
      </c>
      <c r="R187" s="14" t="n">
        <v>257.47</v>
      </c>
      <c r="S187" s="14" t="n">
        <v>257.47</v>
      </c>
      <c r="T187" s="14" t="n">
        <v>257.47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CANON-202606-007002</t>
        </is>
      </c>
      <c r="B188" s="15" t="inlineStr">
        <is>
          <t>2026-06-04</t>
        </is>
      </c>
      <c r="C188" s="15" t="inlineStr">
        <is>
          <t>Ottilie Thistlewood</t>
        </is>
      </c>
      <c r="D188" s="15" t="inlineStr">
        <is>
          <t>NC</t>
        </is>
      </c>
      <c r="E188" s="16" t="n">
        <v>740000</v>
      </c>
      <c r="F188" s="16" t="n">
        <v>5280.44</v>
      </c>
      <c r="G188" s="16" t="n">
        <v>660.05</v>
      </c>
      <c r="H188" s="16" t="n">
        <v>660.05</v>
      </c>
      <c r="I188" s="16">
        <f>SUM(K188:T188)</f>
        <v/>
      </c>
      <c r="J188" s="16">
        <f>F188-(G188+H188+I188)</f>
        <v/>
      </c>
      <c r="K188" s="16" t="n">
        <v>396.03</v>
      </c>
      <c r="L188" s="16" t="n">
        <v>396.03</v>
      </c>
      <c r="M188" s="16" t="n">
        <v>396.03</v>
      </c>
      <c r="N188" s="16" t="n">
        <v>396.03</v>
      </c>
      <c r="O188" s="16" t="n">
        <v>396.03</v>
      </c>
      <c r="P188" s="16" t="n">
        <v>396.03</v>
      </c>
      <c r="Q188" s="16" t="n">
        <v>396.03</v>
      </c>
      <c r="R188" s="16" t="n">
        <v>396.03</v>
      </c>
      <c r="S188" s="16" t="n">
        <v>396.03</v>
      </c>
      <c r="T188" s="16" t="n">
        <v>396.03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CANON-202606-007003</t>
        </is>
      </c>
      <c r="B189" s="3" t="inlineStr">
        <is>
          <t>2026-06-22</t>
        </is>
      </c>
      <c r="C189" s="3" t="inlineStr">
        <is>
          <t>Anouk Rourke</t>
        </is>
      </c>
      <c r="D189" s="3" t="inlineStr">
        <is>
          <t>MI</t>
        </is>
      </c>
      <c r="E189" s="14" t="n">
        <v>890000</v>
      </c>
      <c r="F189" s="14" t="n">
        <v>8559.77</v>
      </c>
      <c r="G189" s="14" t="n">
        <v>1069.97</v>
      </c>
      <c r="H189" s="14" t="n">
        <v>1069.97</v>
      </c>
      <c r="I189" s="14">
        <f>SUM(K189:T189)</f>
        <v/>
      </c>
      <c r="J189" s="14">
        <f>F189-(G189+H189+I189)</f>
        <v/>
      </c>
      <c r="K189" s="14" t="n">
        <v>641.98</v>
      </c>
      <c r="L189" s="14" t="n">
        <v>641.98</v>
      </c>
      <c r="M189" s="14" t="n">
        <v>641.98</v>
      </c>
      <c r="N189" s="14" t="n">
        <v>641.98</v>
      </c>
      <c r="O189" s="14" t="n">
        <v>641.98</v>
      </c>
      <c r="P189" s="14" t="n">
        <v>641.98</v>
      </c>
      <c r="Q189" s="14" t="n">
        <v>641.98</v>
      </c>
      <c r="R189" s="14" t="n">
        <v>641.98</v>
      </c>
      <c r="S189" s="14" t="n">
        <v>641.98</v>
      </c>
      <c r="T189" s="14" t="n">
        <v>641.98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CANON-202606-007005</t>
        </is>
      </c>
      <c r="B190" s="15" t="inlineStr">
        <is>
          <t>2026-06-03</t>
        </is>
      </c>
      <c r="C190" s="15" t="inlineStr">
        <is>
          <t>Saoirse Kingsford</t>
        </is>
      </c>
      <c r="D190" s="15" t="inlineStr">
        <is>
          <t>SD</t>
        </is>
      </c>
      <c r="E190" s="16" t="n">
        <v>740000</v>
      </c>
      <c r="F190" s="16" t="n">
        <v>7704.42</v>
      </c>
      <c r="G190" s="16" t="n">
        <v>963.05</v>
      </c>
      <c r="H190" s="16" t="n">
        <v>963.05</v>
      </c>
      <c r="I190" s="16">
        <f>SUM(K190:T190)</f>
        <v/>
      </c>
      <c r="J190" s="16">
        <f>F190-(G190+H190+I190)</f>
        <v/>
      </c>
      <c r="K190" s="16" t="n">
        <v>577.83</v>
      </c>
      <c r="L190" s="16" t="n">
        <v>577.83</v>
      </c>
      <c r="M190" s="16" t="n">
        <v>577.83</v>
      </c>
      <c r="N190" s="16" t="n">
        <v>577.83</v>
      </c>
      <c r="O190" s="16" t="n">
        <v>577.83</v>
      </c>
      <c r="P190" s="16" t="n">
        <v>577.83</v>
      </c>
      <c r="Q190" s="16" t="n">
        <v>577.83</v>
      </c>
      <c r="R190" s="16" t="n">
        <v>577.83</v>
      </c>
      <c r="S190" s="16" t="n">
        <v>577.83</v>
      </c>
      <c r="T190" s="16" t="n">
        <v>577.83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CANON-202606-007009</t>
        </is>
      </c>
      <c r="B191" s="3" t="inlineStr">
        <is>
          <t>2026-06-25</t>
        </is>
      </c>
      <c r="C191" s="3" t="inlineStr">
        <is>
          <t>Ingrid Merriweather</t>
        </is>
      </c>
      <c r="D191" s="3" t="inlineStr">
        <is>
          <t>MA</t>
        </is>
      </c>
      <c r="E191" s="14" t="n">
        <v>770000</v>
      </c>
      <c r="F191" s="14" t="n">
        <v>13194.6</v>
      </c>
      <c r="G191" s="14" t="n">
        <v>1649.33</v>
      </c>
      <c r="H191" s="14" t="n">
        <v>1649.33</v>
      </c>
      <c r="I191" s="14">
        <f>SUM(K191:T191)</f>
        <v/>
      </c>
      <c r="J191" s="14">
        <f>F191-(G191+H191+I191)</f>
        <v/>
      </c>
      <c r="K191" s="14" t="n">
        <v>989.6</v>
      </c>
      <c r="L191" s="14" t="n">
        <v>989.6</v>
      </c>
      <c r="M191" s="14" t="n">
        <v>989.6</v>
      </c>
      <c r="N191" s="14" t="n">
        <v>989.6</v>
      </c>
      <c r="O191" s="14" t="n">
        <v>989.6</v>
      </c>
      <c r="P191" s="14" t="n">
        <v>989.6</v>
      </c>
      <c r="Q191" s="14" t="n">
        <v>989.6</v>
      </c>
      <c r="R191" s="14" t="n">
        <v>989.6</v>
      </c>
      <c r="S191" s="14" t="n">
        <v>989.6</v>
      </c>
      <c r="T191" s="14" t="n">
        <v>989.6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CANON-202606-007010</t>
        </is>
      </c>
      <c r="B192" s="15" t="inlineStr">
        <is>
          <t>2026-06-22</t>
        </is>
      </c>
      <c r="C192" s="15" t="inlineStr">
        <is>
          <t>Aurelio Whitlock</t>
        </is>
      </c>
      <c r="D192" s="15" t="inlineStr">
        <is>
          <t>NH</t>
        </is>
      </c>
      <c r="E192" s="16" t="n">
        <v>1285000</v>
      </c>
      <c r="F192" s="16" t="n">
        <v>10606.48</v>
      </c>
      <c r="G192" s="16" t="n">
        <v>1325.81</v>
      </c>
      <c r="H192" s="16" t="n">
        <v>1325.81</v>
      </c>
      <c r="I192" s="16">
        <f>SUM(K192:T192)</f>
        <v/>
      </c>
      <c r="J192" s="16">
        <f>F192-(G192+H192+I192)</f>
        <v/>
      </c>
      <c r="K192" s="16" t="n">
        <v>795.49</v>
      </c>
      <c r="L192" s="16" t="n">
        <v>795.49</v>
      </c>
      <c r="M192" s="16" t="n">
        <v>795.49</v>
      </c>
      <c r="N192" s="16" t="n">
        <v>795.49</v>
      </c>
      <c r="O192" s="16" t="n">
        <v>795.49</v>
      </c>
      <c r="P192" s="16" t="n">
        <v>795.49</v>
      </c>
      <c r="Q192" s="16" t="n">
        <v>795.49</v>
      </c>
      <c r="R192" s="16" t="n">
        <v>795.49</v>
      </c>
      <c r="S192" s="16" t="n">
        <v>795.49</v>
      </c>
      <c r="T192" s="16" t="n">
        <v>795.49</v>
      </c>
      <c r="U192" s="16" t="n">
        <v>350</v>
      </c>
      <c r="V192" s="16" t="n">
        <v>250</v>
      </c>
      <c r="W192" s="16">
        <f>U192+V192</f>
        <v/>
      </c>
    </row>
    <row r="193">
      <c r="A193" s="3" t="inlineStr">
        <is>
          <t>CANON-202606-007011</t>
        </is>
      </c>
      <c r="B193" s="3" t="inlineStr">
        <is>
          <t>2026-06-15</t>
        </is>
      </c>
      <c r="C193" s="3" t="inlineStr">
        <is>
          <t>Priya Delacroix</t>
        </is>
      </c>
      <c r="D193" s="3" t="inlineStr">
        <is>
          <t>TX</t>
        </is>
      </c>
      <c r="E193" s="14" t="n">
        <v>570000</v>
      </c>
      <c r="F193" s="14" t="n">
        <v>6148.34</v>
      </c>
      <c r="G193" s="14" t="n">
        <v>768.54</v>
      </c>
      <c r="H193" s="14" t="n">
        <v>768.54</v>
      </c>
      <c r="I193" s="14">
        <f>SUM(K193:T193)</f>
        <v/>
      </c>
      <c r="J193" s="14">
        <f>F193-(G193+H193+I193)</f>
        <v/>
      </c>
      <c r="K193" s="14" t="n">
        <v>461.13</v>
      </c>
      <c r="L193" s="14" t="n">
        <v>461.13</v>
      </c>
      <c r="M193" s="14" t="n">
        <v>461.13</v>
      </c>
      <c r="N193" s="14" t="n">
        <v>461.13</v>
      </c>
      <c r="O193" s="14" t="n">
        <v>461.13</v>
      </c>
      <c r="P193" s="14" t="n">
        <v>461.13</v>
      </c>
      <c r="Q193" s="14" t="n">
        <v>461.13</v>
      </c>
      <c r="R193" s="14" t="n">
        <v>461.13</v>
      </c>
      <c r="S193" s="14" t="n">
        <v>461.13</v>
      </c>
      <c r="T193" s="14" t="n">
        <v>461.13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CANON-202606-007012</t>
        </is>
      </c>
      <c r="B194" s="15" t="inlineStr">
        <is>
          <t>2026-06-07</t>
        </is>
      </c>
      <c r="C194" s="15" t="inlineStr">
        <is>
          <t>Emiliano Nakashima</t>
        </is>
      </c>
      <c r="D194" s="15" t="inlineStr">
        <is>
          <t>GA</t>
        </is>
      </c>
      <c r="E194" s="16" t="n">
        <v>450000</v>
      </c>
      <c r="F194" s="16" t="n">
        <v>5454.61</v>
      </c>
      <c r="G194" s="16" t="n">
        <v>681.83</v>
      </c>
      <c r="H194" s="16" t="n">
        <v>681.83</v>
      </c>
      <c r="I194" s="16">
        <f>SUM(K194:T194)</f>
        <v/>
      </c>
      <c r="J194" s="16">
        <f>F194-(G194+H194+I194)</f>
        <v/>
      </c>
      <c r="K194" s="16" t="n">
        <v>409.1</v>
      </c>
      <c r="L194" s="16" t="n">
        <v>409.1</v>
      </c>
      <c r="M194" s="16" t="n">
        <v>409.1</v>
      </c>
      <c r="N194" s="16" t="n">
        <v>409.1</v>
      </c>
      <c r="O194" s="16" t="n">
        <v>409.1</v>
      </c>
      <c r="P194" s="16" t="n">
        <v>409.1</v>
      </c>
      <c r="Q194" s="16" t="n">
        <v>409.1</v>
      </c>
      <c r="R194" s="16" t="n">
        <v>409.1</v>
      </c>
      <c r="S194" s="16" t="n">
        <v>409.1</v>
      </c>
      <c r="T194" s="16" t="n">
        <v>409.1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CANON-202606-007015</t>
        </is>
      </c>
      <c r="B195" s="3" t="inlineStr">
        <is>
          <t>2026-06-23</t>
        </is>
      </c>
      <c r="C195" s="3" t="inlineStr">
        <is>
          <t>Anouk Thistlewood</t>
        </is>
      </c>
      <c r="D195" s="3" t="inlineStr">
        <is>
          <t>TX</t>
        </is>
      </c>
      <c r="E195" s="14" t="n">
        <v>280000</v>
      </c>
      <c r="F195" s="14" t="n">
        <v>3484.89</v>
      </c>
      <c r="G195" s="14" t="n">
        <v>435.61</v>
      </c>
      <c r="H195" s="14" t="n">
        <v>435.61</v>
      </c>
      <c r="I195" s="14">
        <f>SUM(K195:T195)</f>
        <v/>
      </c>
      <c r="J195" s="14">
        <f>F195-(G195+H195+I195)</f>
        <v/>
      </c>
      <c r="K195" s="14" t="n">
        <v>261.37</v>
      </c>
      <c r="L195" s="14" t="n">
        <v>261.37</v>
      </c>
      <c r="M195" s="14" t="n">
        <v>261.37</v>
      </c>
      <c r="N195" s="14" t="n">
        <v>261.37</v>
      </c>
      <c r="O195" s="14" t="n">
        <v>261.37</v>
      </c>
      <c r="P195" s="14" t="n">
        <v>261.37</v>
      </c>
      <c r="Q195" s="14" t="n">
        <v>261.37</v>
      </c>
      <c r="R195" s="14" t="n">
        <v>261.37</v>
      </c>
      <c r="S195" s="14" t="n">
        <v>261.37</v>
      </c>
      <c r="T195" s="14" t="n">
        <v>261.37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CANON-202606-007016</t>
        </is>
      </c>
      <c r="B196" s="15" t="inlineStr">
        <is>
          <t>2026-06-27</t>
        </is>
      </c>
      <c r="C196" s="15" t="inlineStr">
        <is>
          <t>Marisol Vandermeer</t>
        </is>
      </c>
      <c r="D196" s="15" t="inlineStr">
        <is>
          <t>FL</t>
        </is>
      </c>
      <c r="E196" s="16" t="n">
        <v>795000</v>
      </c>
      <c r="F196" s="16" t="n">
        <v>15475.73</v>
      </c>
      <c r="G196" s="16" t="n">
        <v>1934.47</v>
      </c>
      <c r="H196" s="16" t="n">
        <v>1934.47</v>
      </c>
      <c r="I196" s="16">
        <f>SUM(K196:T196)</f>
        <v/>
      </c>
      <c r="J196" s="16">
        <f>F196-(G196+H196+I196)</f>
        <v/>
      </c>
      <c r="K196" s="16" t="n">
        <v>1160.68</v>
      </c>
      <c r="L196" s="16" t="n">
        <v>1160.68</v>
      </c>
      <c r="M196" s="16" t="n">
        <v>1160.68</v>
      </c>
      <c r="N196" s="16" t="n">
        <v>1160.68</v>
      </c>
      <c r="O196" s="16" t="n">
        <v>1160.68</v>
      </c>
      <c r="P196" s="16" t="n">
        <v>1160.68</v>
      </c>
      <c r="Q196" s="16" t="n">
        <v>1160.68</v>
      </c>
      <c r="R196" s="16" t="n">
        <v>1160.68</v>
      </c>
      <c r="S196" s="16" t="n">
        <v>1160.68</v>
      </c>
      <c r="T196" s="16" t="n">
        <v>1160.68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CANON-202606-007017</t>
        </is>
      </c>
      <c r="B197" s="3" t="inlineStr">
        <is>
          <t>2026-06-04</t>
        </is>
      </c>
      <c r="C197" s="3" t="inlineStr">
        <is>
          <t>Mireille Fairweather</t>
        </is>
      </c>
      <c r="D197" s="3" t="inlineStr">
        <is>
          <t>NJ</t>
        </is>
      </c>
      <c r="E197" s="14" t="n">
        <v>1260000</v>
      </c>
      <c r="F197" s="14" t="n">
        <v>9100.110000000001</v>
      </c>
      <c r="G197" s="14" t="n">
        <v>1137.51</v>
      </c>
      <c r="H197" s="14" t="n">
        <v>1137.51</v>
      </c>
      <c r="I197" s="14">
        <f>SUM(K197:T197)</f>
        <v/>
      </c>
      <c r="J197" s="14">
        <f>F197-(G197+H197+I197)</f>
        <v/>
      </c>
      <c r="K197" s="14" t="n">
        <v>682.51</v>
      </c>
      <c r="L197" s="14" t="n">
        <v>682.51</v>
      </c>
      <c r="M197" s="14" t="n">
        <v>682.51</v>
      </c>
      <c r="N197" s="14" t="n">
        <v>682.51</v>
      </c>
      <c r="O197" s="14" t="n">
        <v>682.51</v>
      </c>
      <c r="P197" s="14" t="n">
        <v>682.51</v>
      </c>
      <c r="Q197" s="14" t="n">
        <v>682.51</v>
      </c>
      <c r="R197" s="14" t="n">
        <v>682.51</v>
      </c>
      <c r="S197" s="14" t="n">
        <v>682.51</v>
      </c>
      <c r="T197" s="14" t="n">
        <v>682.51</v>
      </c>
      <c r="U197" s="14" t="n">
        <v>350</v>
      </c>
      <c r="V197" s="14" t="n">
        <v>250</v>
      </c>
      <c r="W197" s="14">
        <f>U197+V197</f>
        <v/>
      </c>
    </row>
    <row r="198">
      <c r="A198" s="15" t="inlineStr">
        <is>
          <t>CANON-202606-007018</t>
        </is>
      </c>
      <c r="B198" s="15" t="inlineStr">
        <is>
          <t>2026-06-28</t>
        </is>
      </c>
      <c r="C198" s="15" t="inlineStr">
        <is>
          <t>Thaddeus Vasquez</t>
        </is>
      </c>
      <c r="D198" s="15" t="inlineStr">
        <is>
          <t>VT</t>
        </is>
      </c>
      <c r="E198" s="16" t="n">
        <v>365000</v>
      </c>
      <c r="F198" s="16" t="n">
        <v>4819.33</v>
      </c>
      <c r="G198" s="16" t="n">
        <v>602.42</v>
      </c>
      <c r="H198" s="16" t="n">
        <v>602.42</v>
      </c>
      <c r="I198" s="16">
        <f>SUM(K198:T198)</f>
        <v/>
      </c>
      <c r="J198" s="16">
        <f>F198-(G198+H198+I198)</f>
        <v/>
      </c>
      <c r="K198" s="16" t="n">
        <v>361.45</v>
      </c>
      <c r="L198" s="16" t="n">
        <v>361.45</v>
      </c>
      <c r="M198" s="16" t="n">
        <v>361.45</v>
      </c>
      <c r="N198" s="16" t="n">
        <v>361.45</v>
      </c>
      <c r="O198" s="16" t="n">
        <v>361.45</v>
      </c>
      <c r="P198" s="16" t="n">
        <v>361.45</v>
      </c>
      <c r="Q198" s="16" t="n">
        <v>361.45</v>
      </c>
      <c r="R198" s="16" t="n">
        <v>361.45</v>
      </c>
      <c r="S198" s="16" t="n">
        <v>361.45</v>
      </c>
      <c r="T198" s="16" t="n">
        <v>361.45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CANON-202606-007019</t>
        </is>
      </c>
      <c r="B199" s="3" t="inlineStr">
        <is>
          <t>2026-06-01</t>
        </is>
      </c>
      <c r="C199" s="3" t="inlineStr">
        <is>
          <t>Delphine Castellanos</t>
        </is>
      </c>
      <c r="D199" s="3" t="inlineStr">
        <is>
          <t>MA</t>
        </is>
      </c>
      <c r="E199" s="14" t="n">
        <v>890000</v>
      </c>
      <c r="F199" s="14" t="n">
        <v>15250.91</v>
      </c>
      <c r="G199" s="14" t="n">
        <v>1906.36</v>
      </c>
      <c r="H199" s="14" t="n">
        <v>1906.36</v>
      </c>
      <c r="I199" s="14">
        <f>SUM(K199:T199)</f>
        <v/>
      </c>
      <c r="J199" s="14">
        <f>F199-(G199+H199+I199)</f>
        <v/>
      </c>
      <c r="K199" s="14" t="n">
        <v>1143.82</v>
      </c>
      <c r="L199" s="14" t="n">
        <v>1143.82</v>
      </c>
      <c r="M199" s="14" t="n">
        <v>1143.82</v>
      </c>
      <c r="N199" s="14" t="n">
        <v>1143.82</v>
      </c>
      <c r="O199" s="14" t="n">
        <v>1143.82</v>
      </c>
      <c r="P199" s="14" t="n">
        <v>1143.82</v>
      </c>
      <c r="Q199" s="14" t="n">
        <v>1143.82</v>
      </c>
      <c r="R199" s="14" t="n">
        <v>1143.82</v>
      </c>
      <c r="S199" s="14" t="n">
        <v>1143.82</v>
      </c>
      <c r="T199" s="14" t="n">
        <v>1143.82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CANON-202606-007021</t>
        </is>
      </c>
      <c r="B200" s="15" t="inlineStr">
        <is>
          <t>2026-06-17</t>
        </is>
      </c>
      <c r="C200" s="15" t="inlineStr">
        <is>
          <t>Anouk Vasquez</t>
        </is>
      </c>
      <c r="D200" s="15" t="inlineStr">
        <is>
          <t>CO</t>
        </is>
      </c>
      <c r="E200" s="16" t="n">
        <v>155000</v>
      </c>
      <c r="F200" s="16" t="n">
        <v>2263.52</v>
      </c>
      <c r="G200" s="16" t="n">
        <v>282.94</v>
      </c>
      <c r="H200" s="16" t="n">
        <v>282.94</v>
      </c>
      <c r="I200" s="16">
        <f>SUM(K200:T200)</f>
        <v/>
      </c>
      <c r="J200" s="16">
        <f>F200-(G200+H200+I200)</f>
        <v/>
      </c>
      <c r="K200" s="16" t="n">
        <v>169.76</v>
      </c>
      <c r="L200" s="16" t="n">
        <v>169.76</v>
      </c>
      <c r="M200" s="16" t="n">
        <v>169.76</v>
      </c>
      <c r="N200" s="16" t="n">
        <v>169.76</v>
      </c>
      <c r="O200" s="16" t="n">
        <v>169.76</v>
      </c>
      <c r="P200" s="16" t="n">
        <v>169.76</v>
      </c>
      <c r="Q200" s="16" t="n">
        <v>169.76</v>
      </c>
      <c r="R200" s="16" t="n">
        <v>169.76</v>
      </c>
      <c r="S200" s="16" t="n">
        <v>169.76</v>
      </c>
      <c r="T200" s="16" t="n">
        <v>169.76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CANON-202606-007023</t>
        </is>
      </c>
      <c r="B201" s="3" t="inlineStr">
        <is>
          <t>2026-06-12</t>
        </is>
      </c>
      <c r="C201" s="3" t="inlineStr">
        <is>
          <t>Priya Farkas</t>
        </is>
      </c>
      <c r="D201" s="3" t="inlineStr">
        <is>
          <t>CA</t>
        </is>
      </c>
      <c r="E201" s="14" t="n">
        <v>575000</v>
      </c>
      <c r="F201" s="14" t="n">
        <v>7280.93</v>
      </c>
      <c r="G201" s="14" t="n">
        <v>910.12</v>
      </c>
      <c r="H201" s="14" t="n">
        <v>910.12</v>
      </c>
      <c r="I201" s="14">
        <f>SUM(K201:T201)</f>
        <v/>
      </c>
      <c r="J201" s="14">
        <f>F201-(G201+H201+I201)</f>
        <v/>
      </c>
      <c r="K201" s="14" t="n">
        <v>546.0700000000001</v>
      </c>
      <c r="L201" s="14" t="n">
        <v>546.0700000000001</v>
      </c>
      <c r="M201" s="14" t="n">
        <v>546.0700000000001</v>
      </c>
      <c r="N201" s="14" t="n">
        <v>546.0700000000001</v>
      </c>
      <c r="O201" s="14" t="n">
        <v>546.0700000000001</v>
      </c>
      <c r="P201" s="14" t="n">
        <v>546.0700000000001</v>
      </c>
      <c r="Q201" s="14" t="n">
        <v>546.0700000000001</v>
      </c>
      <c r="R201" s="14" t="n">
        <v>546.0700000000001</v>
      </c>
      <c r="S201" s="14" t="n">
        <v>546.0700000000001</v>
      </c>
      <c r="T201" s="14" t="n">
        <v>546.0700000000001</v>
      </c>
      <c r="U201" s="14" t="n">
        <v>350</v>
      </c>
      <c r="V201" s="14" t="n">
        <v>0</v>
      </c>
      <c r="W201" s="14">
        <f>U201+V201</f>
        <v/>
      </c>
    </row>
    <row r="202">
      <c r="A202" s="15" t="inlineStr">
        <is>
          <t>CANON-202606-007024</t>
        </is>
      </c>
      <c r="B202" s="15" t="inlineStr">
        <is>
          <t>2026-06-20</t>
        </is>
      </c>
      <c r="C202" s="15" t="inlineStr">
        <is>
          <t>Fenwick Harrington</t>
        </is>
      </c>
      <c r="D202" s="15" t="inlineStr">
        <is>
          <t>OR</t>
        </is>
      </c>
      <c r="E202" s="16" t="n">
        <v>315000</v>
      </c>
      <c r="F202" s="16" t="n">
        <v>3852.32</v>
      </c>
      <c r="G202" s="16" t="n">
        <v>481.54</v>
      </c>
      <c r="H202" s="16" t="n">
        <v>481.54</v>
      </c>
      <c r="I202" s="16">
        <f>SUM(K202:T202)</f>
        <v/>
      </c>
      <c r="J202" s="16">
        <f>F202-(G202+H202+I202)</f>
        <v/>
      </c>
      <c r="K202" s="16" t="n">
        <v>288.92</v>
      </c>
      <c r="L202" s="16" t="n">
        <v>288.92</v>
      </c>
      <c r="M202" s="16" t="n">
        <v>288.92</v>
      </c>
      <c r="N202" s="16" t="n">
        <v>288.92</v>
      </c>
      <c r="O202" s="16" t="n">
        <v>288.92</v>
      </c>
      <c r="P202" s="16" t="n">
        <v>288.92</v>
      </c>
      <c r="Q202" s="16" t="n">
        <v>288.92</v>
      </c>
      <c r="R202" s="16" t="n">
        <v>288.92</v>
      </c>
      <c r="S202" s="16" t="n">
        <v>288.92</v>
      </c>
      <c r="T202" s="16" t="n">
        <v>288.92</v>
      </c>
      <c r="U202" s="16" t="n">
        <v>350</v>
      </c>
      <c r="V202" s="16" t="n">
        <v>0</v>
      </c>
      <c r="W202" s="16">
        <f>U202+V202</f>
        <v/>
      </c>
    </row>
    <row r="203">
      <c r="A203" s="3" t="inlineStr">
        <is>
          <t>CANON-202606-007026</t>
        </is>
      </c>
      <c r="B203" s="3" t="inlineStr">
        <is>
          <t>2026-06-25</t>
        </is>
      </c>
      <c r="C203" s="3" t="inlineStr">
        <is>
          <t>Everett Montoya</t>
        </is>
      </c>
      <c r="D203" s="3" t="inlineStr">
        <is>
          <t>IL</t>
        </is>
      </c>
      <c r="E203" s="14" t="n">
        <v>320000</v>
      </c>
      <c r="F203" s="14" t="n">
        <v>4710.01</v>
      </c>
      <c r="G203" s="14" t="n">
        <v>588.75</v>
      </c>
      <c r="H203" s="14" t="n">
        <v>588.75</v>
      </c>
      <c r="I203" s="14">
        <f>SUM(K203:T203)</f>
        <v/>
      </c>
      <c r="J203" s="14">
        <f>F203-(G203+H203+I203)</f>
        <v/>
      </c>
      <c r="K203" s="14" t="n">
        <v>353.25</v>
      </c>
      <c r="L203" s="14" t="n">
        <v>353.25</v>
      </c>
      <c r="M203" s="14" t="n">
        <v>353.25</v>
      </c>
      <c r="N203" s="14" t="n">
        <v>353.25</v>
      </c>
      <c r="O203" s="14" t="n">
        <v>353.25</v>
      </c>
      <c r="P203" s="14" t="n">
        <v>353.25</v>
      </c>
      <c r="Q203" s="14" t="n">
        <v>353.25</v>
      </c>
      <c r="R203" s="14" t="n">
        <v>353.25</v>
      </c>
      <c r="S203" s="14" t="n">
        <v>353.25</v>
      </c>
      <c r="T203" s="14" t="n">
        <v>353.25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CANON-202606-007027</t>
        </is>
      </c>
      <c r="B204" s="15" t="inlineStr">
        <is>
          <t>2026-06-19</t>
        </is>
      </c>
      <c r="C204" s="15" t="inlineStr">
        <is>
          <t>Lorenzo Blackwood</t>
        </is>
      </c>
      <c r="D204" s="15" t="inlineStr">
        <is>
          <t>WA</t>
        </is>
      </c>
      <c r="E204" s="16" t="n">
        <v>785000</v>
      </c>
      <c r="F204" s="16" t="n">
        <v>10330.86</v>
      </c>
      <c r="G204" s="16" t="n">
        <v>1291.36</v>
      </c>
      <c r="H204" s="16" t="n">
        <v>1291.36</v>
      </c>
      <c r="I204" s="16">
        <f>SUM(K204:T204)</f>
        <v/>
      </c>
      <c r="J204" s="16">
        <f>F204-(G204+H204+I204)</f>
        <v/>
      </c>
      <c r="K204" s="16" t="n">
        <v>774.8099999999999</v>
      </c>
      <c r="L204" s="16" t="n">
        <v>774.8099999999999</v>
      </c>
      <c r="M204" s="16" t="n">
        <v>774.8099999999999</v>
      </c>
      <c r="N204" s="16" t="n">
        <v>774.8099999999999</v>
      </c>
      <c r="O204" s="16" t="n">
        <v>774.8099999999999</v>
      </c>
      <c r="P204" s="16" t="n">
        <v>774.8099999999999</v>
      </c>
      <c r="Q204" s="16" t="n">
        <v>774.8099999999999</v>
      </c>
      <c r="R204" s="16" t="n">
        <v>774.8099999999999</v>
      </c>
      <c r="S204" s="16" t="n">
        <v>774.8099999999999</v>
      </c>
      <c r="T204" s="16" t="n">
        <v>774.8099999999999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CANON-202606-007029</t>
        </is>
      </c>
      <c r="B205" s="3" t="inlineStr">
        <is>
          <t>2026-06-16</t>
        </is>
      </c>
      <c r="C205" s="3" t="inlineStr">
        <is>
          <t>Sunniva Farkas</t>
        </is>
      </c>
      <c r="D205" s="3" t="inlineStr">
        <is>
          <t>MS</t>
        </is>
      </c>
      <c r="E205" s="14" t="n">
        <v>755000</v>
      </c>
      <c r="F205" s="14" t="n">
        <v>5574.86</v>
      </c>
      <c r="G205" s="14" t="n">
        <v>696.86</v>
      </c>
      <c r="H205" s="14" t="n">
        <v>696.86</v>
      </c>
      <c r="I205" s="14">
        <f>SUM(K205:T205)</f>
        <v/>
      </c>
      <c r="J205" s="14">
        <f>F205-(G205+H205+I205)</f>
        <v/>
      </c>
      <c r="K205" s="14" t="n">
        <v>418.11</v>
      </c>
      <c r="L205" s="14" t="n">
        <v>418.11</v>
      </c>
      <c r="M205" s="14" t="n">
        <v>418.11</v>
      </c>
      <c r="N205" s="14" t="n">
        <v>418.11</v>
      </c>
      <c r="O205" s="14" t="n">
        <v>418.11</v>
      </c>
      <c r="P205" s="14" t="n">
        <v>418.11</v>
      </c>
      <c r="Q205" s="14" t="n">
        <v>418.11</v>
      </c>
      <c r="R205" s="14" t="n">
        <v>418.11</v>
      </c>
      <c r="S205" s="14" t="n">
        <v>418.11</v>
      </c>
      <c r="T205" s="14" t="n">
        <v>418.11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CANON-202606-007030</t>
        </is>
      </c>
      <c r="B206" s="15" t="inlineStr">
        <is>
          <t>2026-06-05</t>
        </is>
      </c>
      <c r="C206" s="15" t="inlineStr">
        <is>
          <t>Ramona Delacroix</t>
        </is>
      </c>
      <c r="D206" s="15" t="inlineStr">
        <is>
          <t>ME</t>
        </is>
      </c>
      <c r="E206" s="16" t="n">
        <v>390000</v>
      </c>
      <c r="F206" s="16" t="n">
        <v>6989.7</v>
      </c>
      <c r="G206" s="16" t="n">
        <v>873.71</v>
      </c>
      <c r="H206" s="16" t="n">
        <v>873.71</v>
      </c>
      <c r="I206" s="16">
        <f>SUM(K206:T206)</f>
        <v/>
      </c>
      <c r="J206" s="16">
        <f>F206-(G206+H206+I206)</f>
        <v/>
      </c>
      <c r="K206" s="16" t="n">
        <v>524.23</v>
      </c>
      <c r="L206" s="16" t="n">
        <v>524.23</v>
      </c>
      <c r="M206" s="16" t="n">
        <v>524.23</v>
      </c>
      <c r="N206" s="16" t="n">
        <v>524.23</v>
      </c>
      <c r="O206" s="16" t="n">
        <v>524.23</v>
      </c>
      <c r="P206" s="16" t="n">
        <v>524.23</v>
      </c>
      <c r="Q206" s="16" t="n">
        <v>524.23</v>
      </c>
      <c r="R206" s="16" t="n">
        <v>524.23</v>
      </c>
      <c r="S206" s="16" t="n">
        <v>524.23</v>
      </c>
      <c r="T206" s="16" t="n">
        <v>524.23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CANON-202606-007033</t>
        </is>
      </c>
      <c r="B207" s="3" t="inlineStr">
        <is>
          <t>2026-06-02</t>
        </is>
      </c>
      <c r="C207" s="3" t="inlineStr">
        <is>
          <t>Sunniva Rourke</t>
        </is>
      </c>
      <c r="D207" s="3" t="inlineStr">
        <is>
          <t>NE</t>
        </is>
      </c>
      <c r="E207" s="14" t="n">
        <v>490000</v>
      </c>
      <c r="F207" s="14" t="n">
        <v>6894.02</v>
      </c>
      <c r="G207" s="14" t="n">
        <v>861.75</v>
      </c>
      <c r="H207" s="14" t="n">
        <v>861.75</v>
      </c>
      <c r="I207" s="14">
        <f>SUM(K207:T207)</f>
        <v/>
      </c>
      <c r="J207" s="14">
        <f>F207-(G207+H207+I207)</f>
        <v/>
      </c>
      <c r="K207" s="14" t="n">
        <v>517.05</v>
      </c>
      <c r="L207" s="14" t="n">
        <v>517.05</v>
      </c>
      <c r="M207" s="14" t="n">
        <v>517.05</v>
      </c>
      <c r="N207" s="14" t="n">
        <v>517.05</v>
      </c>
      <c r="O207" s="14" t="n">
        <v>517.05</v>
      </c>
      <c r="P207" s="14" t="n">
        <v>517.05</v>
      </c>
      <c r="Q207" s="14" t="n">
        <v>517.05</v>
      </c>
      <c r="R207" s="14" t="n">
        <v>517.05</v>
      </c>
      <c r="S207" s="14" t="n">
        <v>517.05</v>
      </c>
      <c r="T207" s="14" t="n">
        <v>517.05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CANON-202606-007035</t>
        </is>
      </c>
      <c r="B208" s="15" t="inlineStr">
        <is>
          <t>2026-06-09</t>
        </is>
      </c>
      <c r="C208" s="15" t="inlineStr">
        <is>
          <t>Horace Nakashima</t>
        </is>
      </c>
      <c r="D208" s="15" t="inlineStr">
        <is>
          <t>NM</t>
        </is>
      </c>
      <c r="E208" s="16" t="n">
        <v>1010000</v>
      </c>
      <c r="F208" s="16" t="n">
        <v>7089.03</v>
      </c>
      <c r="G208" s="16" t="n">
        <v>886.13</v>
      </c>
      <c r="H208" s="16" t="n">
        <v>886.13</v>
      </c>
      <c r="I208" s="16">
        <f>SUM(K208:T208)</f>
        <v/>
      </c>
      <c r="J208" s="16">
        <f>F208-(G208+H208+I208)</f>
        <v/>
      </c>
      <c r="K208" s="16" t="n">
        <v>531.6799999999999</v>
      </c>
      <c r="L208" s="16" t="n">
        <v>531.6799999999999</v>
      </c>
      <c r="M208" s="16" t="n">
        <v>531.6799999999999</v>
      </c>
      <c r="N208" s="16" t="n">
        <v>531.6799999999999</v>
      </c>
      <c r="O208" s="16" t="n">
        <v>531.6799999999999</v>
      </c>
      <c r="P208" s="16" t="n">
        <v>531.6799999999999</v>
      </c>
      <c r="Q208" s="16" t="n">
        <v>531.6799999999999</v>
      </c>
      <c r="R208" s="16" t="n">
        <v>531.6799999999999</v>
      </c>
      <c r="S208" s="16" t="n">
        <v>531.6799999999999</v>
      </c>
      <c r="T208" s="16" t="n">
        <v>531.6799999999999</v>
      </c>
      <c r="U208" s="16" t="n">
        <v>350</v>
      </c>
      <c r="V208" s="16" t="n">
        <v>250</v>
      </c>
      <c r="W208" s="16">
        <f>U208+V208</f>
        <v/>
      </c>
    </row>
    <row r="209">
      <c r="A209" s="3" t="inlineStr">
        <is>
          <t>CANON-202606-007036</t>
        </is>
      </c>
      <c r="B209" s="3" t="inlineStr">
        <is>
          <t>2026-06-16</t>
        </is>
      </c>
      <c r="C209" s="3" t="inlineStr">
        <is>
          <t>Wilhelmina Whitlock</t>
        </is>
      </c>
      <c r="D209" s="3" t="inlineStr">
        <is>
          <t>WI</t>
        </is>
      </c>
      <c r="E209" s="14" t="n">
        <v>335000</v>
      </c>
      <c r="F209" s="14" t="n">
        <v>4350.7</v>
      </c>
      <c r="G209" s="14" t="n">
        <v>543.84</v>
      </c>
      <c r="H209" s="14" t="n">
        <v>543.84</v>
      </c>
      <c r="I209" s="14">
        <f>SUM(K209:T209)</f>
        <v/>
      </c>
      <c r="J209" s="14">
        <f>F209-(G209+H209+I209)</f>
        <v/>
      </c>
      <c r="K209" s="14" t="n">
        <v>326.3</v>
      </c>
      <c r="L209" s="14" t="n">
        <v>326.3</v>
      </c>
      <c r="M209" s="14" t="n">
        <v>326.3</v>
      </c>
      <c r="N209" s="14" t="n">
        <v>326.3</v>
      </c>
      <c r="O209" s="14" t="n">
        <v>326.3</v>
      </c>
      <c r="P209" s="14" t="n">
        <v>326.3</v>
      </c>
      <c r="Q209" s="14" t="n">
        <v>326.3</v>
      </c>
      <c r="R209" s="14" t="n">
        <v>326.3</v>
      </c>
      <c r="S209" s="14" t="n">
        <v>326.3</v>
      </c>
      <c r="T209" s="14" t="n">
        <v>326.3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CANON-202606-007037</t>
        </is>
      </c>
      <c r="B210" s="15" t="inlineStr">
        <is>
          <t>2026-06-21</t>
        </is>
      </c>
      <c r="C210" s="15" t="inlineStr">
        <is>
          <t>Beatrix Farkas</t>
        </is>
      </c>
      <c r="D210" s="15" t="inlineStr">
        <is>
          <t>DE</t>
        </is>
      </c>
      <c r="E210" s="16" t="n">
        <v>665000</v>
      </c>
      <c r="F210" s="16" t="n">
        <v>7796.81</v>
      </c>
      <c r="G210" s="16" t="n">
        <v>974.6</v>
      </c>
      <c r="H210" s="16" t="n">
        <v>974.6</v>
      </c>
      <c r="I210" s="16">
        <f>SUM(K210:T210)</f>
        <v/>
      </c>
      <c r="J210" s="16">
        <f>F210-(G210+H210+I210)</f>
        <v/>
      </c>
      <c r="K210" s="16" t="n">
        <v>584.76</v>
      </c>
      <c r="L210" s="16" t="n">
        <v>584.76</v>
      </c>
      <c r="M210" s="16" t="n">
        <v>584.76</v>
      </c>
      <c r="N210" s="16" t="n">
        <v>584.76</v>
      </c>
      <c r="O210" s="16" t="n">
        <v>584.76</v>
      </c>
      <c r="P210" s="16" t="n">
        <v>584.76</v>
      </c>
      <c r="Q210" s="16" t="n">
        <v>584.76</v>
      </c>
      <c r="R210" s="16" t="n">
        <v>584.76</v>
      </c>
      <c r="S210" s="16" t="n">
        <v>584.76</v>
      </c>
      <c r="T210" s="16" t="n">
        <v>584.76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CANON-202606-007038</t>
        </is>
      </c>
      <c r="B211" s="3" t="inlineStr">
        <is>
          <t>2026-06-13</t>
        </is>
      </c>
      <c r="C211" s="3" t="inlineStr">
        <is>
          <t>Priya Underwood</t>
        </is>
      </c>
      <c r="D211" s="3" t="inlineStr">
        <is>
          <t>CO</t>
        </is>
      </c>
      <c r="E211" s="14" t="n">
        <v>550000</v>
      </c>
      <c r="F211" s="14" t="n">
        <v>5674.67</v>
      </c>
      <c r="G211" s="14" t="n">
        <v>709.33</v>
      </c>
      <c r="H211" s="14" t="n">
        <v>709.33</v>
      </c>
      <c r="I211" s="14">
        <f>SUM(K211:T211)</f>
        <v/>
      </c>
      <c r="J211" s="14">
        <f>F211-(G211+H211+I211)</f>
        <v/>
      </c>
      <c r="K211" s="14" t="n">
        <v>425.6</v>
      </c>
      <c r="L211" s="14" t="n">
        <v>425.6</v>
      </c>
      <c r="M211" s="14" t="n">
        <v>425.6</v>
      </c>
      <c r="N211" s="14" t="n">
        <v>425.6</v>
      </c>
      <c r="O211" s="14" t="n">
        <v>425.6</v>
      </c>
      <c r="P211" s="14" t="n">
        <v>425.6</v>
      </c>
      <c r="Q211" s="14" t="n">
        <v>425.6</v>
      </c>
      <c r="R211" s="14" t="n">
        <v>425.6</v>
      </c>
      <c r="S211" s="14" t="n">
        <v>425.6</v>
      </c>
      <c r="T211" s="14" t="n">
        <v>425.6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CANON-202606-007039</t>
        </is>
      </c>
      <c r="B212" s="15" t="inlineStr">
        <is>
          <t>2026-06-20</t>
        </is>
      </c>
      <c r="C212" s="15" t="inlineStr">
        <is>
          <t>Noor Whitlock</t>
        </is>
      </c>
      <c r="D212" s="15" t="inlineStr">
        <is>
          <t>MO</t>
        </is>
      </c>
      <c r="E212" s="16" t="n">
        <v>900000</v>
      </c>
      <c r="F212" s="16" t="n">
        <v>13078.08</v>
      </c>
      <c r="G212" s="16" t="n">
        <v>1634.76</v>
      </c>
      <c r="H212" s="16" t="n">
        <v>1634.76</v>
      </c>
      <c r="I212" s="16">
        <f>SUM(K212:T212)</f>
        <v/>
      </c>
      <c r="J212" s="16">
        <f>F212-(G212+H212+I212)</f>
        <v/>
      </c>
      <c r="K212" s="16" t="n">
        <v>980.86</v>
      </c>
      <c r="L212" s="16" t="n">
        <v>980.86</v>
      </c>
      <c r="M212" s="16" t="n">
        <v>980.86</v>
      </c>
      <c r="N212" s="16" t="n">
        <v>980.86</v>
      </c>
      <c r="O212" s="16" t="n">
        <v>980.86</v>
      </c>
      <c r="P212" s="16" t="n">
        <v>980.86</v>
      </c>
      <c r="Q212" s="16" t="n">
        <v>980.86</v>
      </c>
      <c r="R212" s="16" t="n">
        <v>980.86</v>
      </c>
      <c r="S212" s="16" t="n">
        <v>980.86</v>
      </c>
      <c r="T212" s="16" t="n">
        <v>980.86</v>
      </c>
      <c r="U212" s="16" t="n">
        <v>350</v>
      </c>
      <c r="V212" s="16" t="n">
        <v>0</v>
      </c>
      <c r="W212" s="16">
        <f>U212+V212</f>
        <v/>
      </c>
    </row>
    <row r="213">
      <c r="A213" s="3" t="inlineStr">
        <is>
          <t>CANON-202606-007040</t>
        </is>
      </c>
      <c r="B213" s="3" t="inlineStr">
        <is>
          <t>2026-06-01</t>
        </is>
      </c>
      <c r="C213" s="3" t="inlineStr">
        <is>
          <t>Saoirse Kingsford</t>
        </is>
      </c>
      <c r="D213" s="3" t="inlineStr">
        <is>
          <t>PA</t>
        </is>
      </c>
      <c r="E213" s="14" t="n">
        <v>665000</v>
      </c>
      <c r="F213" s="14" t="n">
        <v>9116.27</v>
      </c>
      <c r="G213" s="14" t="n">
        <v>1139.53</v>
      </c>
      <c r="H213" s="14" t="n">
        <v>1139.53</v>
      </c>
      <c r="I213" s="14">
        <f>SUM(K213:T213)</f>
        <v/>
      </c>
      <c r="J213" s="14">
        <f>F213-(G213+H213+I213)</f>
        <v/>
      </c>
      <c r="K213" s="14" t="n">
        <v>683.72</v>
      </c>
      <c r="L213" s="14" t="n">
        <v>683.72</v>
      </c>
      <c r="M213" s="14" t="n">
        <v>683.72</v>
      </c>
      <c r="N213" s="14" t="n">
        <v>683.72</v>
      </c>
      <c r="O213" s="14" t="n">
        <v>683.72</v>
      </c>
      <c r="P213" s="14" t="n">
        <v>683.72</v>
      </c>
      <c r="Q213" s="14" t="n">
        <v>683.72</v>
      </c>
      <c r="R213" s="14" t="n">
        <v>683.72</v>
      </c>
      <c r="S213" s="14" t="n">
        <v>683.72</v>
      </c>
      <c r="T213" s="14" t="n">
        <v>683.72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CANON-202606-007041</t>
        </is>
      </c>
      <c r="B214" s="15" t="inlineStr">
        <is>
          <t>2026-06-14</t>
        </is>
      </c>
      <c r="C214" s="15" t="inlineStr">
        <is>
          <t>Mireille Montoya</t>
        </is>
      </c>
      <c r="D214" s="15" t="inlineStr">
        <is>
          <t>IN</t>
        </is>
      </c>
      <c r="E214" s="16" t="n">
        <v>375000</v>
      </c>
      <c r="F214" s="16" t="n">
        <v>4991.94</v>
      </c>
      <c r="G214" s="16" t="n">
        <v>623.99</v>
      </c>
      <c r="H214" s="16" t="n">
        <v>623.99</v>
      </c>
      <c r="I214" s="16">
        <f>SUM(K214:T214)</f>
        <v/>
      </c>
      <c r="J214" s="16">
        <f>F214-(G214+H214+I214)</f>
        <v/>
      </c>
      <c r="K214" s="16" t="n">
        <v>374.4</v>
      </c>
      <c r="L214" s="16" t="n">
        <v>374.4</v>
      </c>
      <c r="M214" s="16" t="n">
        <v>374.4</v>
      </c>
      <c r="N214" s="16" t="n">
        <v>374.4</v>
      </c>
      <c r="O214" s="16" t="n">
        <v>374.4</v>
      </c>
      <c r="P214" s="16" t="n">
        <v>374.4</v>
      </c>
      <c r="Q214" s="16" t="n">
        <v>374.4</v>
      </c>
      <c r="R214" s="16" t="n">
        <v>374.4</v>
      </c>
      <c r="S214" s="16" t="n">
        <v>374.4</v>
      </c>
      <c r="T214" s="16" t="n">
        <v>374.4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CANON-202606-007042</t>
        </is>
      </c>
      <c r="B215" s="3" t="inlineStr">
        <is>
          <t>2026-06-01</t>
        </is>
      </c>
      <c r="C215" s="3" t="inlineStr">
        <is>
          <t>Ottilie Castellanos</t>
        </is>
      </c>
      <c r="D215" s="3" t="inlineStr">
        <is>
          <t>NV</t>
        </is>
      </c>
      <c r="E215" s="14" t="n">
        <v>370000</v>
      </c>
      <c r="F215" s="14" t="n">
        <v>7183.85</v>
      </c>
      <c r="G215" s="14" t="n">
        <v>897.98</v>
      </c>
      <c r="H215" s="14" t="n">
        <v>897.98</v>
      </c>
      <c r="I215" s="14">
        <f>SUM(K215:T215)</f>
        <v/>
      </c>
      <c r="J215" s="14">
        <f>F215-(G215+H215+I215)</f>
        <v/>
      </c>
      <c r="K215" s="14" t="n">
        <v>538.79</v>
      </c>
      <c r="L215" s="14" t="n">
        <v>538.79</v>
      </c>
      <c r="M215" s="14" t="n">
        <v>538.79</v>
      </c>
      <c r="N215" s="14" t="n">
        <v>538.79</v>
      </c>
      <c r="O215" s="14" t="n">
        <v>538.79</v>
      </c>
      <c r="P215" s="14" t="n">
        <v>538.79</v>
      </c>
      <c r="Q215" s="14" t="n">
        <v>538.79</v>
      </c>
      <c r="R215" s="14" t="n">
        <v>538.79</v>
      </c>
      <c r="S215" s="14" t="n">
        <v>538.79</v>
      </c>
      <c r="T215" s="14" t="n">
        <v>538.79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CANON-202606-007044</t>
        </is>
      </c>
      <c r="B216" s="15" t="inlineStr">
        <is>
          <t>2026-06-18</t>
        </is>
      </c>
      <c r="C216" s="15" t="inlineStr">
        <is>
          <t>Leopold Nakashima</t>
        </is>
      </c>
      <c r="D216" s="15" t="inlineStr">
        <is>
          <t>LA</t>
        </is>
      </c>
      <c r="E216" s="16" t="n">
        <v>335000</v>
      </c>
      <c r="F216" s="16" t="n">
        <v>4386.95</v>
      </c>
      <c r="G216" s="16" t="n">
        <v>548.37</v>
      </c>
      <c r="H216" s="16" t="n">
        <v>548.37</v>
      </c>
      <c r="I216" s="16">
        <f>SUM(K216:T216)</f>
        <v/>
      </c>
      <c r="J216" s="16">
        <f>F216-(G216+H216+I216)</f>
        <v/>
      </c>
      <c r="K216" s="16" t="n">
        <v>329.02</v>
      </c>
      <c r="L216" s="16" t="n">
        <v>329.02</v>
      </c>
      <c r="M216" s="16" t="n">
        <v>329.02</v>
      </c>
      <c r="N216" s="16" t="n">
        <v>329.02</v>
      </c>
      <c r="O216" s="16" t="n">
        <v>329.02</v>
      </c>
      <c r="P216" s="16" t="n">
        <v>329.02</v>
      </c>
      <c r="Q216" s="16" t="n">
        <v>329.02</v>
      </c>
      <c r="R216" s="16" t="n">
        <v>329.02</v>
      </c>
      <c r="S216" s="16" t="n">
        <v>329.02</v>
      </c>
      <c r="T216" s="16" t="n">
        <v>329.02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CANON-202606-007045</t>
        </is>
      </c>
      <c r="B217" s="3" t="inlineStr">
        <is>
          <t>2026-06-21</t>
        </is>
      </c>
      <c r="C217" s="3" t="inlineStr">
        <is>
          <t>Sunniva Underwood</t>
        </is>
      </c>
      <c r="D217" s="3" t="inlineStr">
        <is>
          <t>TN</t>
        </is>
      </c>
      <c r="E217" s="14" t="n">
        <v>480000</v>
      </c>
      <c r="F217" s="14" t="n">
        <v>5973.41</v>
      </c>
      <c r="G217" s="14" t="n">
        <v>746.6799999999999</v>
      </c>
      <c r="H217" s="14" t="n">
        <v>746.6799999999999</v>
      </c>
      <c r="I217" s="14">
        <f>SUM(K217:T217)</f>
        <v/>
      </c>
      <c r="J217" s="14">
        <f>F217-(G217+H217+I217)</f>
        <v/>
      </c>
      <c r="K217" s="14" t="n">
        <v>448.01</v>
      </c>
      <c r="L217" s="14" t="n">
        <v>448.01</v>
      </c>
      <c r="M217" s="14" t="n">
        <v>448.01</v>
      </c>
      <c r="N217" s="14" t="n">
        <v>448.01</v>
      </c>
      <c r="O217" s="14" t="n">
        <v>448.01</v>
      </c>
      <c r="P217" s="14" t="n">
        <v>448.01</v>
      </c>
      <c r="Q217" s="14" t="n">
        <v>448.01</v>
      </c>
      <c r="R217" s="14" t="n">
        <v>448.01</v>
      </c>
      <c r="S217" s="14" t="n">
        <v>448.01</v>
      </c>
      <c r="T217" s="14" t="n">
        <v>448.01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CANON-202606-007046</t>
        </is>
      </c>
      <c r="B218" s="15" t="inlineStr">
        <is>
          <t>2026-06-04</t>
        </is>
      </c>
      <c r="C218" s="15" t="inlineStr">
        <is>
          <t>Leopold Ashcombe</t>
        </is>
      </c>
      <c r="D218" s="15" t="inlineStr">
        <is>
          <t>FL</t>
        </is>
      </c>
      <c r="E218" s="16" t="n">
        <v>485000</v>
      </c>
      <c r="F218" s="16" t="n">
        <v>11428.78</v>
      </c>
      <c r="G218" s="16" t="n">
        <v>1428.6</v>
      </c>
      <c r="H218" s="16" t="n">
        <v>1428.6</v>
      </c>
      <c r="I218" s="16">
        <f>SUM(K218:T218)</f>
        <v/>
      </c>
      <c r="J218" s="16">
        <f>F218-(G218+H218+I218)</f>
        <v/>
      </c>
      <c r="K218" s="16" t="n">
        <v>857.16</v>
      </c>
      <c r="L218" s="16" t="n">
        <v>857.16</v>
      </c>
      <c r="M218" s="16" t="n">
        <v>857.16</v>
      </c>
      <c r="N218" s="16" t="n">
        <v>857.16</v>
      </c>
      <c r="O218" s="16" t="n">
        <v>857.16</v>
      </c>
      <c r="P218" s="16" t="n">
        <v>857.16</v>
      </c>
      <c r="Q218" s="16" t="n">
        <v>857.16</v>
      </c>
      <c r="R218" s="16" t="n">
        <v>857.16</v>
      </c>
      <c r="S218" s="16" t="n">
        <v>857.16</v>
      </c>
      <c r="T218" s="16" t="n">
        <v>857.16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CANON-202606-007049</t>
        </is>
      </c>
      <c r="B219" s="3" t="inlineStr">
        <is>
          <t>2026-06-30</t>
        </is>
      </c>
      <c r="C219" s="3" t="inlineStr">
        <is>
          <t>Cassius Farkas</t>
        </is>
      </c>
      <c r="D219" s="3" t="inlineStr">
        <is>
          <t>CO</t>
        </is>
      </c>
      <c r="E219" s="14" t="n">
        <v>1295000</v>
      </c>
      <c r="F219" s="14" t="n">
        <v>16444.65</v>
      </c>
      <c r="G219" s="14" t="n">
        <v>2055.58</v>
      </c>
      <c r="H219" s="14" t="n">
        <v>2055.58</v>
      </c>
      <c r="I219" s="14">
        <f>SUM(K219:T219)</f>
        <v/>
      </c>
      <c r="J219" s="14">
        <f>F219-(G219+H219+I219)</f>
        <v/>
      </c>
      <c r="K219" s="14" t="n">
        <v>1233.35</v>
      </c>
      <c r="L219" s="14" t="n">
        <v>1233.35</v>
      </c>
      <c r="M219" s="14" t="n">
        <v>1233.35</v>
      </c>
      <c r="N219" s="14" t="n">
        <v>1233.35</v>
      </c>
      <c r="O219" s="14" t="n">
        <v>1233.35</v>
      </c>
      <c r="P219" s="14" t="n">
        <v>1233.35</v>
      </c>
      <c r="Q219" s="14" t="n">
        <v>1233.35</v>
      </c>
      <c r="R219" s="14" t="n">
        <v>1233.35</v>
      </c>
      <c r="S219" s="14" t="n">
        <v>1233.35</v>
      </c>
      <c r="T219" s="14" t="n">
        <v>1233.35</v>
      </c>
      <c r="U219" s="14" t="n">
        <v>350</v>
      </c>
      <c r="V219" s="14" t="n">
        <v>250</v>
      </c>
      <c r="W219" s="14">
        <f>U219+V219</f>
        <v/>
      </c>
    </row>
    <row r="220">
      <c r="A220" s="15" t="inlineStr">
        <is>
          <t>CANON-202606-007050</t>
        </is>
      </c>
      <c r="B220" s="15" t="inlineStr">
        <is>
          <t>2026-06-22</t>
        </is>
      </c>
      <c r="C220" s="15" t="inlineStr">
        <is>
          <t>Ingrid Farkas</t>
        </is>
      </c>
      <c r="D220" s="15" t="inlineStr">
        <is>
          <t>SD</t>
        </is>
      </c>
      <c r="E220" s="16" t="n">
        <v>610000</v>
      </c>
      <c r="F220" s="16" t="n">
        <v>4201.39</v>
      </c>
      <c r="G220" s="16" t="n">
        <v>525.17</v>
      </c>
      <c r="H220" s="16" t="n">
        <v>525.17</v>
      </c>
      <c r="I220" s="16">
        <f>SUM(K220:T220)</f>
        <v/>
      </c>
      <c r="J220" s="16">
        <f>F220-(G220+H220+I220)</f>
        <v/>
      </c>
      <c r="K220" s="16" t="n">
        <v>315.1</v>
      </c>
      <c r="L220" s="16" t="n">
        <v>315.1</v>
      </c>
      <c r="M220" s="16" t="n">
        <v>315.1</v>
      </c>
      <c r="N220" s="16" t="n">
        <v>315.1</v>
      </c>
      <c r="O220" s="16" t="n">
        <v>315.1</v>
      </c>
      <c r="P220" s="16" t="n">
        <v>315.1</v>
      </c>
      <c r="Q220" s="16" t="n">
        <v>315.1</v>
      </c>
      <c r="R220" s="16" t="n">
        <v>315.1</v>
      </c>
      <c r="S220" s="16" t="n">
        <v>315.1</v>
      </c>
      <c r="T220" s="16" t="n">
        <v>315.1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CANON-202606-007051</t>
        </is>
      </c>
      <c r="B221" s="3" t="inlineStr">
        <is>
          <t>2026-06-15</t>
        </is>
      </c>
      <c r="C221" s="3" t="inlineStr">
        <is>
          <t>Noor Fairweather</t>
        </is>
      </c>
      <c r="D221" s="3" t="inlineStr">
        <is>
          <t>CO</t>
        </is>
      </c>
      <c r="E221" s="14" t="n">
        <v>375000</v>
      </c>
      <c r="F221" s="14" t="n">
        <v>4464.34</v>
      </c>
      <c r="G221" s="14" t="n">
        <v>558.04</v>
      </c>
      <c r="H221" s="14" t="n">
        <v>558.04</v>
      </c>
      <c r="I221" s="14">
        <f>SUM(K221:T221)</f>
        <v/>
      </c>
      <c r="J221" s="14">
        <f>F221-(G221+H221+I221)</f>
        <v/>
      </c>
      <c r="K221" s="14" t="n">
        <v>334.83</v>
      </c>
      <c r="L221" s="14" t="n">
        <v>334.83</v>
      </c>
      <c r="M221" s="14" t="n">
        <v>334.83</v>
      </c>
      <c r="N221" s="14" t="n">
        <v>334.83</v>
      </c>
      <c r="O221" s="14" t="n">
        <v>334.83</v>
      </c>
      <c r="P221" s="14" t="n">
        <v>334.83</v>
      </c>
      <c r="Q221" s="14" t="n">
        <v>334.83</v>
      </c>
      <c r="R221" s="14" t="n">
        <v>334.83</v>
      </c>
      <c r="S221" s="14" t="n">
        <v>334.83</v>
      </c>
      <c r="T221" s="14" t="n">
        <v>334.83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CANON-202606-007052</t>
        </is>
      </c>
      <c r="B222" s="15" t="inlineStr">
        <is>
          <t>2026-06-23</t>
        </is>
      </c>
      <c r="C222" s="15" t="inlineStr">
        <is>
          <t>Noor Underwood</t>
        </is>
      </c>
      <c r="D222" s="15" t="inlineStr">
        <is>
          <t>TX</t>
        </is>
      </c>
      <c r="E222" s="16" t="n">
        <v>1795000</v>
      </c>
      <c r="F222" s="16" t="n">
        <v>23830.01</v>
      </c>
      <c r="G222" s="16" t="n">
        <v>2978.75</v>
      </c>
      <c r="H222" s="16" t="n">
        <v>2978.75</v>
      </c>
      <c r="I222" s="16">
        <f>SUM(K222:T222)</f>
        <v/>
      </c>
      <c r="J222" s="16">
        <f>F222-(G222+H222+I222)</f>
        <v/>
      </c>
      <c r="K222" s="16" t="n">
        <v>1787.25</v>
      </c>
      <c r="L222" s="16" t="n">
        <v>1787.25</v>
      </c>
      <c r="M222" s="16" t="n">
        <v>1787.25</v>
      </c>
      <c r="N222" s="16" t="n">
        <v>1787.25</v>
      </c>
      <c r="O222" s="16" t="n">
        <v>1787.25</v>
      </c>
      <c r="P222" s="16" t="n">
        <v>1787.25</v>
      </c>
      <c r="Q222" s="16" t="n">
        <v>1787.25</v>
      </c>
      <c r="R222" s="16" t="n">
        <v>1787.25</v>
      </c>
      <c r="S222" s="16" t="n">
        <v>1787.25</v>
      </c>
      <c r="T222" s="16" t="n">
        <v>1787.25</v>
      </c>
      <c r="U222" s="16" t="n">
        <v>350</v>
      </c>
      <c r="V222" s="16" t="n">
        <v>250</v>
      </c>
      <c r="W222" s="16">
        <f>U222+V222</f>
        <v/>
      </c>
    </row>
    <row r="223">
      <c r="A223" s="3" t="inlineStr">
        <is>
          <t>CANON-202606-007053</t>
        </is>
      </c>
      <c r="B223" s="3" t="inlineStr">
        <is>
          <t>2026-06-20</t>
        </is>
      </c>
      <c r="C223" s="3" t="inlineStr">
        <is>
          <t>Cassius Thistlewood</t>
        </is>
      </c>
      <c r="D223" s="3" t="inlineStr">
        <is>
          <t>UT</t>
        </is>
      </c>
      <c r="E223" s="14" t="n">
        <v>765000</v>
      </c>
      <c r="F223" s="14" t="n">
        <v>9686.799999999999</v>
      </c>
      <c r="G223" s="14" t="n">
        <v>1210.85</v>
      </c>
      <c r="H223" s="14" t="n">
        <v>1210.85</v>
      </c>
      <c r="I223" s="14">
        <f>SUM(K223:T223)</f>
        <v/>
      </c>
      <c r="J223" s="14">
        <f>F223-(G223+H223+I223)</f>
        <v/>
      </c>
      <c r="K223" s="14" t="n">
        <v>726.51</v>
      </c>
      <c r="L223" s="14" t="n">
        <v>726.51</v>
      </c>
      <c r="M223" s="14" t="n">
        <v>726.51</v>
      </c>
      <c r="N223" s="14" t="n">
        <v>726.51</v>
      </c>
      <c r="O223" s="14" t="n">
        <v>726.51</v>
      </c>
      <c r="P223" s="14" t="n">
        <v>726.51</v>
      </c>
      <c r="Q223" s="14" t="n">
        <v>726.51</v>
      </c>
      <c r="R223" s="14" t="n">
        <v>726.51</v>
      </c>
      <c r="S223" s="14" t="n">
        <v>726.51</v>
      </c>
      <c r="T223" s="14" t="n">
        <v>726.51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CANON-202606-007055</t>
        </is>
      </c>
      <c r="B224" s="15" t="inlineStr">
        <is>
          <t>2026-06-08</t>
        </is>
      </c>
      <c r="C224" s="15" t="inlineStr">
        <is>
          <t>Delphine Castellanos</t>
        </is>
      </c>
      <c r="D224" s="15" t="inlineStr">
        <is>
          <t>OK</t>
        </is>
      </c>
      <c r="E224" s="16" t="n">
        <v>1815000</v>
      </c>
      <c r="F224" s="16" t="n">
        <v>26400.32</v>
      </c>
      <c r="G224" s="16" t="n">
        <v>3300.04</v>
      </c>
      <c r="H224" s="16" t="n">
        <v>3300.04</v>
      </c>
      <c r="I224" s="16">
        <f>SUM(K224:T224)</f>
        <v/>
      </c>
      <c r="J224" s="16">
        <f>F224-(G224+H224+I224)</f>
        <v/>
      </c>
      <c r="K224" s="16" t="n">
        <v>1980.02</v>
      </c>
      <c r="L224" s="16" t="n">
        <v>1980.02</v>
      </c>
      <c r="M224" s="16" t="n">
        <v>1980.02</v>
      </c>
      <c r="N224" s="16" t="n">
        <v>1980.02</v>
      </c>
      <c r="O224" s="16" t="n">
        <v>1980.02</v>
      </c>
      <c r="P224" s="16" t="n">
        <v>1980.02</v>
      </c>
      <c r="Q224" s="16" t="n">
        <v>1980.02</v>
      </c>
      <c r="R224" s="16" t="n">
        <v>1980.02</v>
      </c>
      <c r="S224" s="16" t="n">
        <v>1980.02</v>
      </c>
      <c r="T224" s="16" t="n">
        <v>1980.02</v>
      </c>
      <c r="U224" s="16" t="n">
        <v>350</v>
      </c>
      <c r="V224" s="16" t="n">
        <v>250</v>
      </c>
      <c r="W224" s="16">
        <f>U224+V224</f>
        <v/>
      </c>
    </row>
    <row r="225">
      <c r="A225" s="3" t="inlineStr">
        <is>
          <t>CANON-202606-007058</t>
        </is>
      </c>
      <c r="B225" s="3" t="inlineStr">
        <is>
          <t>2026-06-24</t>
        </is>
      </c>
      <c r="C225" s="3" t="inlineStr">
        <is>
          <t>Fitzgerald Okonkwo</t>
        </is>
      </c>
      <c r="D225" s="3" t="inlineStr">
        <is>
          <t>IA</t>
        </is>
      </c>
      <c r="E225" s="14" t="n">
        <v>550000</v>
      </c>
      <c r="F225" s="14" t="n">
        <v>5674.67</v>
      </c>
      <c r="G225" s="14" t="n">
        <v>709.33</v>
      </c>
      <c r="H225" s="14" t="n">
        <v>709.33</v>
      </c>
      <c r="I225" s="14">
        <f>SUM(K225:T225)</f>
        <v/>
      </c>
      <c r="J225" s="14">
        <f>F225-(G225+H225+I225)</f>
        <v/>
      </c>
      <c r="K225" s="14" t="n">
        <v>425.6</v>
      </c>
      <c r="L225" s="14" t="n">
        <v>425.6</v>
      </c>
      <c r="M225" s="14" t="n">
        <v>425.6</v>
      </c>
      <c r="N225" s="14" t="n">
        <v>425.6</v>
      </c>
      <c r="O225" s="14" t="n">
        <v>425.6</v>
      </c>
      <c r="P225" s="14" t="n">
        <v>425.6</v>
      </c>
      <c r="Q225" s="14" t="n">
        <v>425.6</v>
      </c>
      <c r="R225" s="14" t="n">
        <v>425.6</v>
      </c>
      <c r="S225" s="14" t="n">
        <v>425.6</v>
      </c>
      <c r="T225" s="14" t="n">
        <v>425.6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CANON-202606-007059</t>
        </is>
      </c>
      <c r="B226" s="15" t="inlineStr">
        <is>
          <t>2026-06-26</t>
        </is>
      </c>
      <c r="C226" s="15" t="inlineStr">
        <is>
          <t>Delphine Merriweather</t>
        </is>
      </c>
      <c r="D226" s="15" t="inlineStr">
        <is>
          <t>NY</t>
        </is>
      </c>
      <c r="E226" s="16" t="n">
        <v>190000</v>
      </c>
      <c r="F226" s="16" t="n">
        <v>4983.38</v>
      </c>
      <c r="G226" s="16" t="n">
        <v>622.92</v>
      </c>
      <c r="H226" s="16" t="n">
        <v>622.92</v>
      </c>
      <c r="I226" s="16">
        <f>SUM(K226:T226)</f>
        <v/>
      </c>
      <c r="J226" s="16">
        <f>F226-(G226+H226+I226)</f>
        <v/>
      </c>
      <c r="K226" s="16" t="n">
        <v>373.75</v>
      </c>
      <c r="L226" s="16" t="n">
        <v>373.75</v>
      </c>
      <c r="M226" s="16" t="n">
        <v>373.75</v>
      </c>
      <c r="N226" s="16" t="n">
        <v>373.75</v>
      </c>
      <c r="O226" s="16" t="n">
        <v>373.75</v>
      </c>
      <c r="P226" s="16" t="n">
        <v>373.75</v>
      </c>
      <c r="Q226" s="16" t="n">
        <v>373.75</v>
      </c>
      <c r="R226" s="16" t="n">
        <v>373.75</v>
      </c>
      <c r="S226" s="16" t="n">
        <v>373.75</v>
      </c>
      <c r="T226" s="16" t="n">
        <v>373.75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CANON-202606-007061</t>
        </is>
      </c>
      <c r="B227" s="3" t="inlineStr">
        <is>
          <t>2026-06-02</t>
        </is>
      </c>
      <c r="C227" s="3" t="inlineStr">
        <is>
          <t>Wilhelmina Rourke</t>
        </is>
      </c>
      <c r="D227" s="3" t="inlineStr">
        <is>
          <t>OK</t>
        </is>
      </c>
      <c r="E227" s="14" t="n">
        <v>560000</v>
      </c>
      <c r="F227" s="14" t="n">
        <v>6618.26</v>
      </c>
      <c r="G227" s="14" t="n">
        <v>827.28</v>
      </c>
      <c r="H227" s="14" t="n">
        <v>827.28</v>
      </c>
      <c r="I227" s="14">
        <f>SUM(K227:T227)</f>
        <v/>
      </c>
      <c r="J227" s="14">
        <f>F227-(G227+H227+I227)</f>
        <v/>
      </c>
      <c r="K227" s="14" t="n">
        <v>496.37</v>
      </c>
      <c r="L227" s="14" t="n">
        <v>496.37</v>
      </c>
      <c r="M227" s="14" t="n">
        <v>496.37</v>
      </c>
      <c r="N227" s="14" t="n">
        <v>496.37</v>
      </c>
      <c r="O227" s="14" t="n">
        <v>496.37</v>
      </c>
      <c r="P227" s="14" t="n">
        <v>496.37</v>
      </c>
      <c r="Q227" s="14" t="n">
        <v>496.37</v>
      </c>
      <c r="R227" s="14" t="n">
        <v>496.37</v>
      </c>
      <c r="S227" s="14" t="n">
        <v>496.37</v>
      </c>
      <c r="T227" s="14" t="n">
        <v>496.37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CANON-202606-007062</t>
        </is>
      </c>
      <c r="B228" s="15" t="inlineStr">
        <is>
          <t>2026-06-17</t>
        </is>
      </c>
      <c r="C228" s="15" t="inlineStr">
        <is>
          <t>Fitzgerald Okonkwo</t>
        </is>
      </c>
      <c r="D228" s="15" t="inlineStr">
        <is>
          <t>AZ</t>
        </is>
      </c>
      <c r="E228" s="16" t="n">
        <v>1285000</v>
      </c>
      <c r="F228" s="16" t="n">
        <v>10300.52</v>
      </c>
      <c r="G228" s="16" t="n">
        <v>1287.57</v>
      </c>
      <c r="H228" s="16" t="n">
        <v>1287.57</v>
      </c>
      <c r="I228" s="16">
        <f>SUM(K228:T228)</f>
        <v/>
      </c>
      <c r="J228" s="16">
        <f>F228-(G228+H228+I228)</f>
        <v/>
      </c>
      <c r="K228" s="16" t="n">
        <v>772.54</v>
      </c>
      <c r="L228" s="16" t="n">
        <v>772.54</v>
      </c>
      <c r="M228" s="16" t="n">
        <v>772.54</v>
      </c>
      <c r="N228" s="16" t="n">
        <v>772.54</v>
      </c>
      <c r="O228" s="16" t="n">
        <v>772.54</v>
      </c>
      <c r="P228" s="16" t="n">
        <v>772.54</v>
      </c>
      <c r="Q228" s="16" t="n">
        <v>772.54</v>
      </c>
      <c r="R228" s="16" t="n">
        <v>772.54</v>
      </c>
      <c r="S228" s="16" t="n">
        <v>772.54</v>
      </c>
      <c r="T228" s="16" t="n">
        <v>772.54</v>
      </c>
      <c r="U228" s="16" t="n">
        <v>350</v>
      </c>
      <c r="V228" s="16" t="n">
        <v>250</v>
      </c>
      <c r="W228" s="16">
        <f>U228+V228</f>
        <v/>
      </c>
    </row>
    <row r="229">
      <c r="A229" s="3" t="inlineStr">
        <is>
          <t>CANON-202606-007063</t>
        </is>
      </c>
      <c r="B229" s="3" t="inlineStr">
        <is>
          <t>2026-06-16</t>
        </is>
      </c>
      <c r="C229" s="3" t="inlineStr">
        <is>
          <t>Ottilie Rourke</t>
        </is>
      </c>
      <c r="D229" s="3" t="inlineStr">
        <is>
          <t>DE</t>
        </is>
      </c>
      <c r="E229" s="14" t="n">
        <v>755000</v>
      </c>
      <c r="F229" s="14" t="n">
        <v>8852.02</v>
      </c>
      <c r="G229" s="14" t="n">
        <v>1106.5</v>
      </c>
      <c r="H229" s="14" t="n">
        <v>1106.5</v>
      </c>
      <c r="I229" s="14">
        <f>SUM(K229:T229)</f>
        <v/>
      </c>
      <c r="J229" s="14">
        <f>F229-(G229+H229+I229)</f>
        <v/>
      </c>
      <c r="K229" s="14" t="n">
        <v>663.9</v>
      </c>
      <c r="L229" s="14" t="n">
        <v>663.9</v>
      </c>
      <c r="M229" s="14" t="n">
        <v>663.9</v>
      </c>
      <c r="N229" s="14" t="n">
        <v>663.9</v>
      </c>
      <c r="O229" s="14" t="n">
        <v>663.9</v>
      </c>
      <c r="P229" s="14" t="n">
        <v>663.9</v>
      </c>
      <c r="Q229" s="14" t="n">
        <v>663.9</v>
      </c>
      <c r="R229" s="14" t="n">
        <v>663.9</v>
      </c>
      <c r="S229" s="14" t="n">
        <v>663.9</v>
      </c>
      <c r="T229" s="14" t="n">
        <v>663.9</v>
      </c>
      <c r="U229" s="14" t="n">
        <v>350</v>
      </c>
      <c r="V229" s="14" t="n">
        <v>0</v>
      </c>
      <c r="W229" s="14">
        <f>U229+V229</f>
        <v/>
      </c>
    </row>
    <row r="230">
      <c r="A230" s="15" t="inlineStr">
        <is>
          <t>CANON-202606-007064</t>
        </is>
      </c>
      <c r="B230" s="15" t="inlineStr">
        <is>
          <t>2026-06-24</t>
        </is>
      </c>
      <c r="C230" s="15" t="inlineStr">
        <is>
          <t>Mireille Pennington</t>
        </is>
      </c>
      <c r="D230" s="15" t="inlineStr">
        <is>
          <t>IN</t>
        </is>
      </c>
      <c r="E230" s="16" t="n">
        <v>1950000</v>
      </c>
      <c r="F230" s="16" t="n">
        <v>27688.64</v>
      </c>
      <c r="G230" s="16" t="n">
        <v>3461.08</v>
      </c>
      <c r="H230" s="16" t="n">
        <v>3461.08</v>
      </c>
      <c r="I230" s="16">
        <f>SUM(K230:T230)</f>
        <v/>
      </c>
      <c r="J230" s="16">
        <f>F230-(G230+H230+I230)</f>
        <v/>
      </c>
      <c r="K230" s="16" t="n">
        <v>2076.65</v>
      </c>
      <c r="L230" s="16" t="n">
        <v>2076.65</v>
      </c>
      <c r="M230" s="16" t="n">
        <v>2076.65</v>
      </c>
      <c r="N230" s="16" t="n">
        <v>2076.65</v>
      </c>
      <c r="O230" s="16" t="n">
        <v>2076.65</v>
      </c>
      <c r="P230" s="16" t="n">
        <v>2076.65</v>
      </c>
      <c r="Q230" s="16" t="n">
        <v>2076.65</v>
      </c>
      <c r="R230" s="16" t="n">
        <v>2076.65</v>
      </c>
      <c r="S230" s="16" t="n">
        <v>2076.65</v>
      </c>
      <c r="T230" s="16" t="n">
        <v>2076.65</v>
      </c>
      <c r="U230" s="16" t="n">
        <v>350</v>
      </c>
      <c r="V230" s="16" t="n">
        <v>250</v>
      </c>
      <c r="W230" s="16">
        <f>U230+V230</f>
        <v/>
      </c>
    </row>
    <row r="231">
      <c r="A231" s="3" t="inlineStr">
        <is>
          <t>CANON-202606-007065</t>
        </is>
      </c>
      <c r="B231" s="3" t="inlineStr">
        <is>
          <t>2026-06-14</t>
        </is>
      </c>
      <c r="C231" s="3" t="inlineStr">
        <is>
          <t>Emiliano Rourke</t>
        </is>
      </c>
      <c r="D231" s="3" t="inlineStr">
        <is>
          <t>DE</t>
        </is>
      </c>
      <c r="E231" s="14" t="n">
        <v>305000</v>
      </c>
      <c r="F231" s="14" t="n">
        <v>4126.13</v>
      </c>
      <c r="G231" s="14" t="n">
        <v>515.77</v>
      </c>
      <c r="H231" s="14" t="n">
        <v>515.77</v>
      </c>
      <c r="I231" s="14">
        <f>SUM(K231:T231)</f>
        <v/>
      </c>
      <c r="J231" s="14">
        <f>F231-(G231+H231+I231)</f>
        <v/>
      </c>
      <c r="K231" s="14" t="n">
        <v>309.46</v>
      </c>
      <c r="L231" s="14" t="n">
        <v>309.46</v>
      </c>
      <c r="M231" s="14" t="n">
        <v>309.46</v>
      </c>
      <c r="N231" s="14" t="n">
        <v>309.46</v>
      </c>
      <c r="O231" s="14" t="n">
        <v>309.46</v>
      </c>
      <c r="P231" s="14" t="n">
        <v>309.46</v>
      </c>
      <c r="Q231" s="14" t="n">
        <v>309.46</v>
      </c>
      <c r="R231" s="14" t="n">
        <v>309.46</v>
      </c>
      <c r="S231" s="14" t="n">
        <v>309.46</v>
      </c>
      <c r="T231" s="14" t="n">
        <v>309.46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CANON-202606-007068</t>
        </is>
      </c>
      <c r="B232" s="15" t="inlineStr">
        <is>
          <t>2026-06-22</t>
        </is>
      </c>
      <c r="C232" s="15" t="inlineStr">
        <is>
          <t>Callum Thistlewood</t>
        </is>
      </c>
      <c r="D232" s="15" t="inlineStr">
        <is>
          <t>PA</t>
        </is>
      </c>
      <c r="E232" s="16" t="n">
        <v>995000</v>
      </c>
      <c r="F232" s="16" t="n">
        <v>9332.719999999999</v>
      </c>
      <c r="G232" s="16" t="n">
        <v>1166.59</v>
      </c>
      <c r="H232" s="16" t="n">
        <v>1166.59</v>
      </c>
      <c r="I232" s="16">
        <f>SUM(K232:T232)</f>
        <v/>
      </c>
      <c r="J232" s="16">
        <f>F232-(G232+H232+I232)</f>
        <v/>
      </c>
      <c r="K232" s="16" t="n">
        <v>699.95</v>
      </c>
      <c r="L232" s="16" t="n">
        <v>699.95</v>
      </c>
      <c r="M232" s="16" t="n">
        <v>699.95</v>
      </c>
      <c r="N232" s="16" t="n">
        <v>699.95</v>
      </c>
      <c r="O232" s="16" t="n">
        <v>699.95</v>
      </c>
      <c r="P232" s="16" t="n">
        <v>699.95</v>
      </c>
      <c r="Q232" s="16" t="n">
        <v>699.95</v>
      </c>
      <c r="R232" s="16" t="n">
        <v>699.95</v>
      </c>
      <c r="S232" s="16" t="n">
        <v>699.95</v>
      </c>
      <c r="T232" s="16" t="n">
        <v>699.95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CANON-202606-007069</t>
        </is>
      </c>
      <c r="B233" s="3" t="inlineStr">
        <is>
          <t>2026-06-03</t>
        </is>
      </c>
      <c r="C233" s="3" t="inlineStr">
        <is>
          <t>Emiliano Rourke</t>
        </is>
      </c>
      <c r="D233" s="3" t="inlineStr">
        <is>
          <t>PA</t>
        </is>
      </c>
      <c r="E233" s="14" t="n">
        <v>1135000</v>
      </c>
      <c r="F233" s="14" t="n">
        <v>6223.74</v>
      </c>
      <c r="G233" s="14" t="n">
        <v>777.97</v>
      </c>
      <c r="H233" s="14" t="n">
        <v>777.97</v>
      </c>
      <c r="I233" s="14">
        <f>SUM(K233:T233)</f>
        <v/>
      </c>
      <c r="J233" s="14">
        <f>F233-(G233+H233+I233)</f>
        <v/>
      </c>
      <c r="K233" s="14" t="n">
        <v>466.78</v>
      </c>
      <c r="L233" s="14" t="n">
        <v>466.78</v>
      </c>
      <c r="M233" s="14" t="n">
        <v>466.78</v>
      </c>
      <c r="N233" s="14" t="n">
        <v>466.78</v>
      </c>
      <c r="O233" s="14" t="n">
        <v>466.78</v>
      </c>
      <c r="P233" s="14" t="n">
        <v>466.78</v>
      </c>
      <c r="Q233" s="14" t="n">
        <v>466.78</v>
      </c>
      <c r="R233" s="14" t="n">
        <v>466.78</v>
      </c>
      <c r="S233" s="14" t="n">
        <v>466.78</v>
      </c>
      <c r="T233" s="14" t="n">
        <v>466.78</v>
      </c>
      <c r="U233" s="14" t="n">
        <v>350</v>
      </c>
      <c r="V233" s="14" t="n">
        <v>250</v>
      </c>
      <c r="W233" s="14">
        <f>U233+V233</f>
        <v/>
      </c>
    </row>
    <row r="234">
      <c r="A234" s="15" t="inlineStr">
        <is>
          <t>CANON-202606-007071</t>
        </is>
      </c>
      <c r="B234" s="15" t="inlineStr">
        <is>
          <t>2026-06-12</t>
        </is>
      </c>
      <c r="C234" s="15" t="inlineStr">
        <is>
          <t>Noor Rourke</t>
        </is>
      </c>
      <c r="D234" s="15" t="inlineStr">
        <is>
          <t>MI</t>
        </is>
      </c>
      <c r="E234" s="16" t="n">
        <v>490000</v>
      </c>
      <c r="F234" s="16" t="n">
        <v>8219.799999999999</v>
      </c>
      <c r="G234" s="16" t="n">
        <v>1027.47</v>
      </c>
      <c r="H234" s="16" t="n">
        <v>1027.47</v>
      </c>
      <c r="I234" s="16">
        <f>SUM(K234:T234)</f>
        <v/>
      </c>
      <c r="J234" s="16">
        <f>F234-(G234+H234+I234)</f>
        <v/>
      </c>
      <c r="K234" s="16" t="n">
        <v>616.48</v>
      </c>
      <c r="L234" s="16" t="n">
        <v>616.48</v>
      </c>
      <c r="M234" s="16" t="n">
        <v>616.48</v>
      </c>
      <c r="N234" s="16" t="n">
        <v>616.48</v>
      </c>
      <c r="O234" s="16" t="n">
        <v>616.48</v>
      </c>
      <c r="P234" s="16" t="n">
        <v>616.48</v>
      </c>
      <c r="Q234" s="16" t="n">
        <v>616.48</v>
      </c>
      <c r="R234" s="16" t="n">
        <v>616.48</v>
      </c>
      <c r="S234" s="16" t="n">
        <v>616.48</v>
      </c>
      <c r="T234" s="16" t="n">
        <v>616.48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CANON-202606-007072</t>
        </is>
      </c>
      <c r="B235" s="3" t="inlineStr">
        <is>
          <t>2026-06-01</t>
        </is>
      </c>
      <c r="C235" s="3" t="inlineStr">
        <is>
          <t>Anouk Okonkwo</t>
        </is>
      </c>
      <c r="D235" s="3" t="inlineStr">
        <is>
          <t>OH</t>
        </is>
      </c>
      <c r="E235" s="14" t="n">
        <v>775000</v>
      </c>
      <c r="F235" s="14" t="n">
        <v>14767.68</v>
      </c>
      <c r="G235" s="14" t="n">
        <v>1845.96</v>
      </c>
      <c r="H235" s="14" t="n">
        <v>1845.96</v>
      </c>
      <c r="I235" s="14">
        <f>SUM(K235:T235)</f>
        <v/>
      </c>
      <c r="J235" s="14">
        <f>F235-(G235+H235+I235)</f>
        <v/>
      </c>
      <c r="K235" s="14" t="n">
        <v>1107.58</v>
      </c>
      <c r="L235" s="14" t="n">
        <v>1107.58</v>
      </c>
      <c r="M235" s="14" t="n">
        <v>1107.58</v>
      </c>
      <c r="N235" s="14" t="n">
        <v>1107.58</v>
      </c>
      <c r="O235" s="14" t="n">
        <v>1107.58</v>
      </c>
      <c r="P235" s="14" t="n">
        <v>1107.58</v>
      </c>
      <c r="Q235" s="14" t="n">
        <v>1107.58</v>
      </c>
      <c r="R235" s="14" t="n">
        <v>1107.58</v>
      </c>
      <c r="S235" s="14" t="n">
        <v>1107.58</v>
      </c>
      <c r="T235" s="14" t="n">
        <v>1107.58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CANON-202606-007073</t>
        </is>
      </c>
      <c r="B236" s="15" t="inlineStr">
        <is>
          <t>2026-06-28</t>
        </is>
      </c>
      <c r="C236" s="15" t="inlineStr">
        <is>
          <t>Everett Okonkwo</t>
        </is>
      </c>
      <c r="D236" s="15" t="inlineStr">
        <is>
          <t>NM</t>
        </is>
      </c>
      <c r="E236" s="16" t="n">
        <v>245000</v>
      </c>
      <c r="F236" s="16" t="n">
        <v>6425.93</v>
      </c>
      <c r="G236" s="16" t="n">
        <v>803.24</v>
      </c>
      <c r="H236" s="16" t="n">
        <v>803.24</v>
      </c>
      <c r="I236" s="16">
        <f>SUM(K236:T236)</f>
        <v/>
      </c>
      <c r="J236" s="16">
        <f>F236-(G236+H236+I236)</f>
        <v/>
      </c>
      <c r="K236" s="16" t="n">
        <v>481.94</v>
      </c>
      <c r="L236" s="16" t="n">
        <v>481.94</v>
      </c>
      <c r="M236" s="16" t="n">
        <v>481.94</v>
      </c>
      <c r="N236" s="16" t="n">
        <v>481.94</v>
      </c>
      <c r="O236" s="16" t="n">
        <v>481.94</v>
      </c>
      <c r="P236" s="16" t="n">
        <v>481.94</v>
      </c>
      <c r="Q236" s="16" t="n">
        <v>481.94</v>
      </c>
      <c r="R236" s="16" t="n">
        <v>481.94</v>
      </c>
      <c r="S236" s="16" t="n">
        <v>481.94</v>
      </c>
      <c r="T236" s="16" t="n">
        <v>481.94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CANON-202606-007074</t>
        </is>
      </c>
      <c r="B237" s="3" t="inlineStr">
        <is>
          <t>2026-06-10</t>
        </is>
      </c>
      <c r="C237" s="3" t="inlineStr">
        <is>
          <t>Leopold Kingsford</t>
        </is>
      </c>
      <c r="D237" s="3" t="inlineStr">
        <is>
          <t>AL</t>
        </is>
      </c>
      <c r="E237" s="14" t="n">
        <v>705000</v>
      </c>
      <c r="F237" s="14" t="n">
        <v>8398.049999999999</v>
      </c>
      <c r="G237" s="14" t="n">
        <v>1049.76</v>
      </c>
      <c r="H237" s="14" t="n">
        <v>1049.76</v>
      </c>
      <c r="I237" s="14">
        <f>SUM(K237:T237)</f>
        <v/>
      </c>
      <c r="J237" s="14">
        <f>F237-(G237+H237+I237)</f>
        <v/>
      </c>
      <c r="K237" s="14" t="n">
        <v>629.85</v>
      </c>
      <c r="L237" s="14" t="n">
        <v>629.85</v>
      </c>
      <c r="M237" s="14" t="n">
        <v>629.85</v>
      </c>
      <c r="N237" s="14" t="n">
        <v>629.85</v>
      </c>
      <c r="O237" s="14" t="n">
        <v>629.85</v>
      </c>
      <c r="P237" s="14" t="n">
        <v>629.85</v>
      </c>
      <c r="Q237" s="14" t="n">
        <v>629.85</v>
      </c>
      <c r="R237" s="14" t="n">
        <v>629.85</v>
      </c>
      <c r="S237" s="14" t="n">
        <v>629.85</v>
      </c>
      <c r="T237" s="14" t="n">
        <v>629.85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CANON-202606-007076</t>
        </is>
      </c>
      <c r="B238" s="15" t="inlineStr">
        <is>
          <t>2026-06-16</t>
        </is>
      </c>
      <c r="C238" s="15" t="inlineStr">
        <is>
          <t>Ingrid Okonkwo</t>
        </is>
      </c>
      <c r="D238" s="15" t="inlineStr">
        <is>
          <t>NE</t>
        </is>
      </c>
      <c r="E238" s="16" t="n">
        <v>695000</v>
      </c>
      <c r="F238" s="16" t="n">
        <v>8474.49</v>
      </c>
      <c r="G238" s="16" t="n">
        <v>1059.31</v>
      </c>
      <c r="H238" s="16" t="n">
        <v>1059.31</v>
      </c>
      <c r="I238" s="16">
        <f>SUM(K238:T238)</f>
        <v/>
      </c>
      <c r="J238" s="16">
        <f>F238-(G238+H238+I238)</f>
        <v/>
      </c>
      <c r="K238" s="16" t="n">
        <v>635.59</v>
      </c>
      <c r="L238" s="16" t="n">
        <v>635.59</v>
      </c>
      <c r="M238" s="16" t="n">
        <v>635.59</v>
      </c>
      <c r="N238" s="16" t="n">
        <v>635.59</v>
      </c>
      <c r="O238" s="16" t="n">
        <v>635.59</v>
      </c>
      <c r="P238" s="16" t="n">
        <v>635.59</v>
      </c>
      <c r="Q238" s="16" t="n">
        <v>635.59</v>
      </c>
      <c r="R238" s="16" t="n">
        <v>635.59</v>
      </c>
      <c r="S238" s="16" t="n">
        <v>635.59</v>
      </c>
      <c r="T238" s="16" t="n">
        <v>635.59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CANON-202606-007077</t>
        </is>
      </c>
      <c r="B239" s="3" t="inlineStr">
        <is>
          <t>2026-06-29</t>
        </is>
      </c>
      <c r="C239" s="3" t="inlineStr">
        <is>
          <t>Fenwick Merriweather</t>
        </is>
      </c>
      <c r="D239" s="3" t="inlineStr">
        <is>
          <t>WA</t>
        </is>
      </c>
      <c r="E239" s="14" t="n">
        <v>535000</v>
      </c>
      <c r="F239" s="14" t="n">
        <v>7040.78</v>
      </c>
      <c r="G239" s="14" t="n">
        <v>880.1</v>
      </c>
      <c r="H239" s="14" t="n">
        <v>880.1</v>
      </c>
      <c r="I239" s="14">
        <f>SUM(K239:T239)</f>
        <v/>
      </c>
      <c r="J239" s="14">
        <f>F239-(G239+H239+I239)</f>
        <v/>
      </c>
      <c r="K239" s="14" t="n">
        <v>528.0599999999999</v>
      </c>
      <c r="L239" s="14" t="n">
        <v>528.0599999999999</v>
      </c>
      <c r="M239" s="14" t="n">
        <v>528.0599999999999</v>
      </c>
      <c r="N239" s="14" t="n">
        <v>528.0599999999999</v>
      </c>
      <c r="O239" s="14" t="n">
        <v>528.0599999999999</v>
      </c>
      <c r="P239" s="14" t="n">
        <v>528.0599999999999</v>
      </c>
      <c r="Q239" s="14" t="n">
        <v>528.0599999999999</v>
      </c>
      <c r="R239" s="14" t="n">
        <v>528.0599999999999</v>
      </c>
      <c r="S239" s="14" t="n">
        <v>528.0599999999999</v>
      </c>
      <c r="T239" s="14" t="n">
        <v>528.0599999999999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CANON-202606-007078</t>
        </is>
      </c>
      <c r="B240" s="15" t="inlineStr">
        <is>
          <t>2026-06-09</t>
        </is>
      </c>
      <c r="C240" s="15" t="inlineStr">
        <is>
          <t>Delphine Vandermeer</t>
        </is>
      </c>
      <c r="D240" s="15" t="inlineStr">
        <is>
          <t>WV</t>
        </is>
      </c>
      <c r="E240" s="16" t="n">
        <v>1200000</v>
      </c>
      <c r="F240" s="16" t="n">
        <v>15660.79</v>
      </c>
      <c r="G240" s="16" t="n">
        <v>1957.6</v>
      </c>
      <c r="H240" s="16" t="n">
        <v>1957.6</v>
      </c>
      <c r="I240" s="16">
        <f>SUM(K240:T240)</f>
        <v/>
      </c>
      <c r="J240" s="16">
        <f>F240-(G240+H240+I240)</f>
        <v/>
      </c>
      <c r="K240" s="16" t="n">
        <v>1174.56</v>
      </c>
      <c r="L240" s="16" t="n">
        <v>1174.56</v>
      </c>
      <c r="M240" s="16" t="n">
        <v>1174.56</v>
      </c>
      <c r="N240" s="16" t="n">
        <v>1174.56</v>
      </c>
      <c r="O240" s="16" t="n">
        <v>1174.56</v>
      </c>
      <c r="P240" s="16" t="n">
        <v>1174.56</v>
      </c>
      <c r="Q240" s="16" t="n">
        <v>1174.56</v>
      </c>
      <c r="R240" s="16" t="n">
        <v>1174.56</v>
      </c>
      <c r="S240" s="16" t="n">
        <v>1174.56</v>
      </c>
      <c r="T240" s="16" t="n">
        <v>1174.56</v>
      </c>
      <c r="U240" s="16" t="n">
        <v>350</v>
      </c>
      <c r="V240" s="16" t="n">
        <v>250</v>
      </c>
      <c r="W240" s="16">
        <f>U240+V240</f>
        <v/>
      </c>
    </row>
    <row r="241">
      <c r="A241" s="3" t="inlineStr">
        <is>
          <t>CANON-202606-007080</t>
        </is>
      </c>
      <c r="B241" s="3" t="inlineStr">
        <is>
          <t>2026-06-23</t>
        </is>
      </c>
      <c r="C241" s="3" t="inlineStr">
        <is>
          <t>Ramona Fairweather</t>
        </is>
      </c>
      <c r="D241" s="3" t="inlineStr">
        <is>
          <t>PA</t>
        </is>
      </c>
      <c r="E241" s="14" t="n">
        <v>220000</v>
      </c>
      <c r="F241" s="14" t="n">
        <v>2920.67</v>
      </c>
      <c r="G241" s="14" t="n">
        <v>365.08</v>
      </c>
      <c r="H241" s="14" t="n">
        <v>365.08</v>
      </c>
      <c r="I241" s="14">
        <f>SUM(K241:T241)</f>
        <v/>
      </c>
      <c r="J241" s="14">
        <f>F241-(G241+H241+I241)</f>
        <v/>
      </c>
      <c r="K241" s="14" t="n">
        <v>219.05</v>
      </c>
      <c r="L241" s="14" t="n">
        <v>219.05</v>
      </c>
      <c r="M241" s="14" t="n">
        <v>219.05</v>
      </c>
      <c r="N241" s="14" t="n">
        <v>219.05</v>
      </c>
      <c r="O241" s="14" t="n">
        <v>219.05</v>
      </c>
      <c r="P241" s="14" t="n">
        <v>219.05</v>
      </c>
      <c r="Q241" s="14" t="n">
        <v>219.05</v>
      </c>
      <c r="R241" s="14" t="n">
        <v>219.05</v>
      </c>
      <c r="S241" s="14" t="n">
        <v>219.05</v>
      </c>
      <c r="T241" s="14" t="n">
        <v>219.05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CANON-202606-007081</t>
        </is>
      </c>
      <c r="B242" s="15" t="inlineStr">
        <is>
          <t>2026-06-20</t>
        </is>
      </c>
      <c r="C242" s="15" t="inlineStr">
        <is>
          <t>Everett Bellandi</t>
        </is>
      </c>
      <c r="D242" s="15" t="inlineStr">
        <is>
          <t>MS</t>
        </is>
      </c>
      <c r="E242" s="16" t="n">
        <v>1070000</v>
      </c>
      <c r="F242" s="16" t="n">
        <v>14699.17</v>
      </c>
      <c r="G242" s="16" t="n">
        <v>1837.4</v>
      </c>
      <c r="H242" s="16" t="n">
        <v>1837.4</v>
      </c>
      <c r="I242" s="16">
        <f>SUM(K242:T242)</f>
        <v/>
      </c>
      <c r="J242" s="16">
        <f>F242-(G242+H242+I242)</f>
        <v/>
      </c>
      <c r="K242" s="16" t="n">
        <v>1102.44</v>
      </c>
      <c r="L242" s="16" t="n">
        <v>1102.44</v>
      </c>
      <c r="M242" s="16" t="n">
        <v>1102.44</v>
      </c>
      <c r="N242" s="16" t="n">
        <v>1102.44</v>
      </c>
      <c r="O242" s="16" t="n">
        <v>1102.44</v>
      </c>
      <c r="P242" s="16" t="n">
        <v>1102.44</v>
      </c>
      <c r="Q242" s="16" t="n">
        <v>1102.44</v>
      </c>
      <c r="R242" s="16" t="n">
        <v>1102.44</v>
      </c>
      <c r="S242" s="16" t="n">
        <v>1102.44</v>
      </c>
      <c r="T242" s="16" t="n">
        <v>1102.44</v>
      </c>
      <c r="U242" s="16" t="n">
        <v>350</v>
      </c>
      <c r="V242" s="16" t="n">
        <v>250</v>
      </c>
      <c r="W242" s="16">
        <f>U242+V242</f>
        <v/>
      </c>
    </row>
    <row r="243">
      <c r="A243" s="3" t="inlineStr">
        <is>
          <t>CANON-202606-007082</t>
        </is>
      </c>
      <c r="B243" s="3" t="inlineStr">
        <is>
          <t>2026-06-27</t>
        </is>
      </c>
      <c r="C243" s="3" t="inlineStr">
        <is>
          <t>Lorenzo Vasquez</t>
        </is>
      </c>
      <c r="D243" s="3" t="inlineStr">
        <is>
          <t>IL</t>
        </is>
      </c>
      <c r="E243" s="14" t="n">
        <v>1210000</v>
      </c>
      <c r="F243" s="14" t="n">
        <v>13060.47</v>
      </c>
      <c r="G243" s="14" t="n">
        <v>1632.56</v>
      </c>
      <c r="H243" s="14" t="n">
        <v>1632.56</v>
      </c>
      <c r="I243" s="14">
        <f>SUM(K243:T243)</f>
        <v/>
      </c>
      <c r="J243" s="14">
        <f>F243-(G243+H243+I243)</f>
        <v/>
      </c>
      <c r="K243" s="14" t="n">
        <v>979.54</v>
      </c>
      <c r="L243" s="14" t="n">
        <v>979.54</v>
      </c>
      <c r="M243" s="14" t="n">
        <v>979.54</v>
      </c>
      <c r="N243" s="14" t="n">
        <v>979.54</v>
      </c>
      <c r="O243" s="14" t="n">
        <v>979.54</v>
      </c>
      <c r="P243" s="14" t="n">
        <v>979.54</v>
      </c>
      <c r="Q243" s="14" t="n">
        <v>979.54</v>
      </c>
      <c r="R243" s="14" t="n">
        <v>979.54</v>
      </c>
      <c r="S243" s="14" t="n">
        <v>979.54</v>
      </c>
      <c r="T243" s="14" t="n">
        <v>979.54</v>
      </c>
      <c r="U243" s="14" t="n">
        <v>350</v>
      </c>
      <c r="V243" s="14" t="n">
        <v>250</v>
      </c>
      <c r="W243" s="14">
        <f>U243+V243</f>
        <v/>
      </c>
    </row>
    <row r="244">
      <c r="A244" s="15" t="inlineStr">
        <is>
          <t>CANON-202606-007083</t>
        </is>
      </c>
      <c r="B244" s="15" t="inlineStr">
        <is>
          <t>2026-06-21</t>
        </is>
      </c>
      <c r="C244" s="15" t="inlineStr">
        <is>
          <t>Mireille Whitlock</t>
        </is>
      </c>
      <c r="D244" s="15" t="inlineStr">
        <is>
          <t>ID</t>
        </is>
      </c>
      <c r="E244" s="16" t="n">
        <v>505000</v>
      </c>
      <c r="F244" s="16" t="n">
        <v>3102.18</v>
      </c>
      <c r="G244" s="16" t="n">
        <v>387.77</v>
      </c>
      <c r="H244" s="16" t="n">
        <v>387.77</v>
      </c>
      <c r="I244" s="16">
        <f>SUM(K244:T244)</f>
        <v/>
      </c>
      <c r="J244" s="16">
        <f>F244-(G244+H244+I244)</f>
        <v/>
      </c>
      <c r="K244" s="16" t="n">
        <v>232.66</v>
      </c>
      <c r="L244" s="16" t="n">
        <v>232.66</v>
      </c>
      <c r="M244" s="16" t="n">
        <v>232.66</v>
      </c>
      <c r="N244" s="16" t="n">
        <v>232.66</v>
      </c>
      <c r="O244" s="16" t="n">
        <v>232.66</v>
      </c>
      <c r="P244" s="16" t="n">
        <v>232.66</v>
      </c>
      <c r="Q244" s="16" t="n">
        <v>232.66</v>
      </c>
      <c r="R244" s="16" t="n">
        <v>232.66</v>
      </c>
      <c r="S244" s="16" t="n">
        <v>232.66</v>
      </c>
      <c r="T244" s="16" t="n">
        <v>232.66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CANON-202606-007084</t>
        </is>
      </c>
      <c r="B245" s="3" t="inlineStr">
        <is>
          <t>2026-06-26</t>
        </is>
      </c>
      <c r="C245" s="3" t="inlineStr">
        <is>
          <t>Horace Whitlock</t>
        </is>
      </c>
      <c r="D245" s="3" t="inlineStr">
        <is>
          <t>VA</t>
        </is>
      </c>
      <c r="E245" s="14" t="n">
        <v>395000</v>
      </c>
      <c r="F245" s="14" t="n">
        <v>4659.69</v>
      </c>
      <c r="G245" s="14" t="n">
        <v>582.46</v>
      </c>
      <c r="H245" s="14" t="n">
        <v>582.46</v>
      </c>
      <c r="I245" s="14">
        <f>SUM(K245:T245)</f>
        <v/>
      </c>
      <c r="J245" s="14">
        <f>F245-(G245+H245+I245)</f>
        <v/>
      </c>
      <c r="K245" s="14" t="n">
        <v>349.48</v>
      </c>
      <c r="L245" s="14" t="n">
        <v>349.48</v>
      </c>
      <c r="M245" s="14" t="n">
        <v>349.48</v>
      </c>
      <c r="N245" s="14" t="n">
        <v>349.48</v>
      </c>
      <c r="O245" s="14" t="n">
        <v>349.48</v>
      </c>
      <c r="P245" s="14" t="n">
        <v>349.48</v>
      </c>
      <c r="Q245" s="14" t="n">
        <v>349.48</v>
      </c>
      <c r="R245" s="14" t="n">
        <v>349.48</v>
      </c>
      <c r="S245" s="14" t="n">
        <v>349.48</v>
      </c>
      <c r="T245" s="14" t="n">
        <v>349.48</v>
      </c>
      <c r="U245" s="14" t="n">
        <v>350</v>
      </c>
      <c r="V245" s="14" t="n">
        <v>0</v>
      </c>
      <c r="W245" s="14">
        <f>U245+V245</f>
        <v/>
      </c>
    </row>
    <row r="246">
      <c r="A246" s="15" t="inlineStr">
        <is>
          <t>CANON-202606-007085</t>
        </is>
      </c>
      <c r="B246" s="15" t="inlineStr">
        <is>
          <t>2026-06-07</t>
        </is>
      </c>
      <c r="C246" s="15" t="inlineStr">
        <is>
          <t>Fitzgerald Farkas</t>
        </is>
      </c>
      <c r="D246" s="15" t="inlineStr">
        <is>
          <t>NJ</t>
        </is>
      </c>
      <c r="E246" s="16" t="n">
        <v>435000</v>
      </c>
      <c r="F246" s="16" t="n">
        <v>4284.14</v>
      </c>
      <c r="G246" s="16" t="n">
        <v>535.52</v>
      </c>
      <c r="H246" s="16" t="n">
        <v>535.52</v>
      </c>
      <c r="I246" s="16">
        <f>SUM(K246:T246)</f>
        <v/>
      </c>
      <c r="J246" s="16">
        <f>F246-(G246+H246+I246)</f>
        <v/>
      </c>
      <c r="K246" s="16" t="n">
        <v>321.31</v>
      </c>
      <c r="L246" s="16" t="n">
        <v>321.31</v>
      </c>
      <c r="M246" s="16" t="n">
        <v>321.31</v>
      </c>
      <c r="N246" s="16" t="n">
        <v>321.31</v>
      </c>
      <c r="O246" s="16" t="n">
        <v>321.31</v>
      </c>
      <c r="P246" s="16" t="n">
        <v>321.31</v>
      </c>
      <c r="Q246" s="16" t="n">
        <v>321.31</v>
      </c>
      <c r="R246" s="16" t="n">
        <v>321.31</v>
      </c>
      <c r="S246" s="16" t="n">
        <v>321.31</v>
      </c>
      <c r="T246" s="16" t="n">
        <v>321.31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CANON-202606-007087</t>
        </is>
      </c>
      <c r="B247" s="3" t="inlineStr">
        <is>
          <t>2026-06-13</t>
        </is>
      </c>
      <c r="C247" s="3" t="inlineStr">
        <is>
          <t>Horace Delacroix</t>
        </is>
      </c>
      <c r="D247" s="3" t="inlineStr">
        <is>
          <t>NJ</t>
        </is>
      </c>
      <c r="E247" s="14" t="n">
        <v>325000</v>
      </c>
      <c r="F247" s="14" t="n">
        <v>3200.8</v>
      </c>
      <c r="G247" s="14" t="n">
        <v>400.1</v>
      </c>
      <c r="H247" s="14" t="n">
        <v>400.1</v>
      </c>
      <c r="I247" s="14">
        <f>SUM(K247:T247)</f>
        <v/>
      </c>
      <c r="J247" s="14">
        <f>F247-(G247+H247+I247)</f>
        <v/>
      </c>
      <c r="K247" s="14" t="n">
        <v>240.06</v>
      </c>
      <c r="L247" s="14" t="n">
        <v>240.06</v>
      </c>
      <c r="M247" s="14" t="n">
        <v>240.06</v>
      </c>
      <c r="N247" s="14" t="n">
        <v>240.06</v>
      </c>
      <c r="O247" s="14" t="n">
        <v>240.06</v>
      </c>
      <c r="P247" s="14" t="n">
        <v>240.06</v>
      </c>
      <c r="Q247" s="14" t="n">
        <v>240.06</v>
      </c>
      <c r="R247" s="14" t="n">
        <v>240.06</v>
      </c>
      <c r="S247" s="14" t="n">
        <v>240.06</v>
      </c>
      <c r="T247" s="14" t="n">
        <v>240.06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CANON-202606-007089</t>
        </is>
      </c>
      <c r="B248" s="15" t="inlineStr">
        <is>
          <t>2026-06-10</t>
        </is>
      </c>
      <c r="C248" s="15" t="inlineStr">
        <is>
          <t>Leopold Fairweather</t>
        </is>
      </c>
      <c r="D248" s="15" t="inlineStr">
        <is>
          <t>MI</t>
        </is>
      </c>
      <c r="E248" s="16" t="n">
        <v>300000</v>
      </c>
      <c r="F248" s="16" t="n">
        <v>5032.53</v>
      </c>
      <c r="G248" s="16" t="n">
        <v>629.0700000000001</v>
      </c>
      <c r="H248" s="16" t="n">
        <v>629.0700000000001</v>
      </c>
      <c r="I248" s="16">
        <f>SUM(K248:T248)</f>
        <v/>
      </c>
      <c r="J248" s="16">
        <f>F248-(G248+H248+I248)</f>
        <v/>
      </c>
      <c r="K248" s="16" t="n">
        <v>377.44</v>
      </c>
      <c r="L248" s="16" t="n">
        <v>377.44</v>
      </c>
      <c r="M248" s="16" t="n">
        <v>377.44</v>
      </c>
      <c r="N248" s="16" t="n">
        <v>377.44</v>
      </c>
      <c r="O248" s="16" t="n">
        <v>377.44</v>
      </c>
      <c r="P248" s="16" t="n">
        <v>377.44</v>
      </c>
      <c r="Q248" s="16" t="n">
        <v>377.44</v>
      </c>
      <c r="R248" s="16" t="n">
        <v>377.44</v>
      </c>
      <c r="S248" s="16" t="n">
        <v>377.44</v>
      </c>
      <c r="T248" s="16" t="n">
        <v>377.44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CANON-202606-007090</t>
        </is>
      </c>
      <c r="B249" s="3" t="inlineStr">
        <is>
          <t>2026-06-21</t>
        </is>
      </c>
      <c r="C249" s="3" t="inlineStr">
        <is>
          <t>Aurelio Blackwood</t>
        </is>
      </c>
      <c r="D249" s="3" t="inlineStr">
        <is>
          <t>WY</t>
        </is>
      </c>
      <c r="E249" s="14" t="n">
        <v>345000</v>
      </c>
      <c r="F249" s="14" t="n">
        <v>3995.18</v>
      </c>
      <c r="G249" s="14" t="n">
        <v>499.4</v>
      </c>
      <c r="H249" s="14" t="n">
        <v>499.4</v>
      </c>
      <c r="I249" s="14">
        <f>SUM(K249:T249)</f>
        <v/>
      </c>
      <c r="J249" s="14">
        <f>F249-(G249+H249+I249)</f>
        <v/>
      </c>
      <c r="K249" s="14" t="n">
        <v>299.64</v>
      </c>
      <c r="L249" s="14" t="n">
        <v>299.64</v>
      </c>
      <c r="M249" s="14" t="n">
        <v>299.64</v>
      </c>
      <c r="N249" s="14" t="n">
        <v>299.64</v>
      </c>
      <c r="O249" s="14" t="n">
        <v>299.64</v>
      </c>
      <c r="P249" s="14" t="n">
        <v>299.64</v>
      </c>
      <c r="Q249" s="14" t="n">
        <v>299.64</v>
      </c>
      <c r="R249" s="14" t="n">
        <v>299.64</v>
      </c>
      <c r="S249" s="14" t="n">
        <v>299.64</v>
      </c>
      <c r="T249" s="14" t="n">
        <v>299.64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CANON-202606-007091</t>
        </is>
      </c>
      <c r="B250" s="15" t="inlineStr">
        <is>
          <t>2026-06-03</t>
        </is>
      </c>
      <c r="C250" s="15" t="inlineStr">
        <is>
          <t>Leopold Merriweather</t>
        </is>
      </c>
      <c r="D250" s="15" t="inlineStr">
        <is>
          <t>MA</t>
        </is>
      </c>
      <c r="E250" s="16" t="n">
        <v>395000</v>
      </c>
      <c r="F250" s="16" t="n">
        <v>6269.91</v>
      </c>
      <c r="G250" s="16" t="n">
        <v>783.74</v>
      </c>
      <c r="H250" s="16" t="n">
        <v>783.74</v>
      </c>
      <c r="I250" s="16">
        <f>SUM(K250:T250)</f>
        <v/>
      </c>
      <c r="J250" s="16">
        <f>F250-(G250+H250+I250)</f>
        <v/>
      </c>
      <c r="K250" s="16" t="n">
        <v>470.24</v>
      </c>
      <c r="L250" s="16" t="n">
        <v>470.24</v>
      </c>
      <c r="M250" s="16" t="n">
        <v>470.24</v>
      </c>
      <c r="N250" s="16" t="n">
        <v>470.24</v>
      </c>
      <c r="O250" s="16" t="n">
        <v>470.24</v>
      </c>
      <c r="P250" s="16" t="n">
        <v>470.24</v>
      </c>
      <c r="Q250" s="16" t="n">
        <v>470.24</v>
      </c>
      <c r="R250" s="16" t="n">
        <v>470.24</v>
      </c>
      <c r="S250" s="16" t="n">
        <v>470.24</v>
      </c>
      <c r="T250" s="16" t="n">
        <v>470.24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CANON-202606-007092</t>
        </is>
      </c>
      <c r="B251" s="3" t="inlineStr">
        <is>
          <t>2026-06-24</t>
        </is>
      </c>
      <c r="C251" s="3" t="inlineStr">
        <is>
          <t>Aurelio Thistlewood</t>
        </is>
      </c>
      <c r="D251" s="3" t="inlineStr">
        <is>
          <t>PA</t>
        </is>
      </c>
      <c r="E251" s="14" t="n">
        <v>585000</v>
      </c>
      <c r="F251" s="14" t="n">
        <v>8019.58</v>
      </c>
      <c r="G251" s="14" t="n">
        <v>1002.45</v>
      </c>
      <c r="H251" s="14" t="n">
        <v>1002.45</v>
      </c>
      <c r="I251" s="14">
        <f>SUM(K251:T251)</f>
        <v/>
      </c>
      <c r="J251" s="14">
        <f>F251-(G251+H251+I251)</f>
        <v/>
      </c>
      <c r="K251" s="14" t="n">
        <v>601.47</v>
      </c>
      <c r="L251" s="14" t="n">
        <v>601.47</v>
      </c>
      <c r="M251" s="14" t="n">
        <v>601.47</v>
      </c>
      <c r="N251" s="14" t="n">
        <v>601.47</v>
      </c>
      <c r="O251" s="14" t="n">
        <v>601.47</v>
      </c>
      <c r="P251" s="14" t="n">
        <v>601.47</v>
      </c>
      <c r="Q251" s="14" t="n">
        <v>601.47</v>
      </c>
      <c r="R251" s="14" t="n">
        <v>601.47</v>
      </c>
      <c r="S251" s="14" t="n">
        <v>601.47</v>
      </c>
      <c r="T251" s="14" t="n">
        <v>601.47</v>
      </c>
      <c r="U251" s="14" t="n">
        <v>350</v>
      </c>
      <c r="V251" s="14" t="n">
        <v>0</v>
      </c>
      <c r="W251" s="14">
        <f>U251+V251</f>
        <v/>
      </c>
    </row>
    <row r="252">
      <c r="A252" s="15" t="inlineStr">
        <is>
          <t>CANON-202606-007094</t>
        </is>
      </c>
      <c r="B252" s="15" t="inlineStr">
        <is>
          <t>2026-06-21</t>
        </is>
      </c>
      <c r="C252" s="15" t="inlineStr">
        <is>
          <t>Emiliano Okonkwo</t>
        </is>
      </c>
      <c r="D252" s="15" t="inlineStr">
        <is>
          <t>KS</t>
        </is>
      </c>
      <c r="E252" s="16" t="n">
        <v>390000</v>
      </c>
      <c r="F252" s="16" t="n">
        <v>4094.2</v>
      </c>
      <c r="G252" s="16" t="n">
        <v>511.77</v>
      </c>
      <c r="H252" s="16" t="n">
        <v>511.77</v>
      </c>
      <c r="I252" s="16">
        <f>SUM(K252:T252)</f>
        <v/>
      </c>
      <c r="J252" s="16">
        <f>F252-(G252+H252+I252)</f>
        <v/>
      </c>
      <c r="K252" s="16" t="n">
        <v>307.06</v>
      </c>
      <c r="L252" s="16" t="n">
        <v>307.06</v>
      </c>
      <c r="M252" s="16" t="n">
        <v>307.06</v>
      </c>
      <c r="N252" s="16" t="n">
        <v>307.06</v>
      </c>
      <c r="O252" s="16" t="n">
        <v>307.06</v>
      </c>
      <c r="P252" s="16" t="n">
        <v>307.06</v>
      </c>
      <c r="Q252" s="16" t="n">
        <v>307.06</v>
      </c>
      <c r="R252" s="16" t="n">
        <v>307.06</v>
      </c>
      <c r="S252" s="16" t="n">
        <v>307.06</v>
      </c>
      <c r="T252" s="16" t="n">
        <v>307.06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CANON-202606-007096</t>
        </is>
      </c>
      <c r="B253" s="3" t="inlineStr">
        <is>
          <t>2026-06-30</t>
        </is>
      </c>
      <c r="C253" s="3" t="inlineStr">
        <is>
          <t>Priya Chattopadhyay</t>
        </is>
      </c>
      <c r="D253" s="3" t="inlineStr">
        <is>
          <t>TX</t>
        </is>
      </c>
      <c r="E253" s="14" t="n">
        <v>555000</v>
      </c>
      <c r="F253" s="14" t="n">
        <v>8749.559999999999</v>
      </c>
      <c r="G253" s="14" t="n">
        <v>1093.69</v>
      </c>
      <c r="H253" s="14" t="n">
        <v>1093.69</v>
      </c>
      <c r="I253" s="14">
        <f>SUM(K253:T253)</f>
        <v/>
      </c>
      <c r="J253" s="14">
        <f>F253-(G253+H253+I253)</f>
        <v/>
      </c>
      <c r="K253" s="14" t="n">
        <v>656.22</v>
      </c>
      <c r="L253" s="14" t="n">
        <v>656.22</v>
      </c>
      <c r="M253" s="14" t="n">
        <v>656.22</v>
      </c>
      <c r="N253" s="14" t="n">
        <v>656.22</v>
      </c>
      <c r="O253" s="14" t="n">
        <v>656.22</v>
      </c>
      <c r="P253" s="14" t="n">
        <v>656.22</v>
      </c>
      <c r="Q253" s="14" t="n">
        <v>656.22</v>
      </c>
      <c r="R253" s="14" t="n">
        <v>656.22</v>
      </c>
      <c r="S253" s="14" t="n">
        <v>656.22</v>
      </c>
      <c r="T253" s="14" t="n">
        <v>656.22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CANON-202606-007097</t>
        </is>
      </c>
      <c r="B254" s="15" t="inlineStr">
        <is>
          <t>2026-06-11</t>
        </is>
      </c>
      <c r="C254" s="15" t="inlineStr">
        <is>
          <t>Cassius Delacroix</t>
        </is>
      </c>
      <c r="D254" s="15" t="inlineStr">
        <is>
          <t>GA</t>
        </is>
      </c>
      <c r="E254" s="16" t="n">
        <v>580000</v>
      </c>
      <c r="F254" s="16" t="n">
        <v>4030.76</v>
      </c>
      <c r="G254" s="16" t="n">
        <v>503.85</v>
      </c>
      <c r="H254" s="16" t="n">
        <v>503.85</v>
      </c>
      <c r="I254" s="16">
        <f>SUM(K254:T254)</f>
        <v/>
      </c>
      <c r="J254" s="16">
        <f>F254-(G254+H254+I254)</f>
        <v/>
      </c>
      <c r="K254" s="16" t="n">
        <v>302.31</v>
      </c>
      <c r="L254" s="16" t="n">
        <v>302.31</v>
      </c>
      <c r="M254" s="16" t="n">
        <v>302.31</v>
      </c>
      <c r="N254" s="16" t="n">
        <v>302.31</v>
      </c>
      <c r="O254" s="16" t="n">
        <v>302.31</v>
      </c>
      <c r="P254" s="16" t="n">
        <v>302.31</v>
      </c>
      <c r="Q254" s="16" t="n">
        <v>302.31</v>
      </c>
      <c r="R254" s="16" t="n">
        <v>302.31</v>
      </c>
      <c r="S254" s="16" t="n">
        <v>302.31</v>
      </c>
      <c r="T254" s="16" t="n">
        <v>302.31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CANON-202606-007099</t>
        </is>
      </c>
      <c r="B255" s="3" t="inlineStr">
        <is>
          <t>2026-06-29</t>
        </is>
      </c>
      <c r="C255" s="3" t="inlineStr">
        <is>
          <t>Desmond Okonkwo</t>
        </is>
      </c>
      <c r="D255" s="3" t="inlineStr">
        <is>
          <t>NC</t>
        </is>
      </c>
      <c r="E255" s="14" t="n">
        <v>455000</v>
      </c>
      <c r="F255" s="14" t="n">
        <v>3171.25</v>
      </c>
      <c r="G255" s="14" t="n">
        <v>396.41</v>
      </c>
      <c r="H255" s="14" t="n">
        <v>396.41</v>
      </c>
      <c r="I255" s="14">
        <f>SUM(K255:T255)</f>
        <v/>
      </c>
      <c r="J255" s="14">
        <f>F255-(G255+H255+I255)</f>
        <v/>
      </c>
      <c r="K255" s="14" t="n">
        <v>237.84</v>
      </c>
      <c r="L255" s="14" t="n">
        <v>237.84</v>
      </c>
      <c r="M255" s="14" t="n">
        <v>237.84</v>
      </c>
      <c r="N255" s="14" t="n">
        <v>237.84</v>
      </c>
      <c r="O255" s="14" t="n">
        <v>237.84</v>
      </c>
      <c r="P255" s="14" t="n">
        <v>237.84</v>
      </c>
      <c r="Q255" s="14" t="n">
        <v>237.84</v>
      </c>
      <c r="R255" s="14" t="n">
        <v>237.84</v>
      </c>
      <c r="S255" s="14" t="n">
        <v>237.84</v>
      </c>
      <c r="T255" s="14" t="n">
        <v>237.84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CANON-202606-007100</t>
        </is>
      </c>
      <c r="B256" s="15" t="inlineStr">
        <is>
          <t>2026-06-23</t>
        </is>
      </c>
      <c r="C256" s="15" t="inlineStr">
        <is>
          <t>Ramona Okonkwo</t>
        </is>
      </c>
      <c r="D256" s="15" t="inlineStr">
        <is>
          <t>NJ</t>
        </is>
      </c>
      <c r="E256" s="16" t="n">
        <v>970000</v>
      </c>
      <c r="F256" s="16" t="n">
        <v>8279.4</v>
      </c>
      <c r="G256" s="16" t="n">
        <v>1034.92</v>
      </c>
      <c r="H256" s="16" t="n">
        <v>1034.92</v>
      </c>
      <c r="I256" s="16">
        <f>SUM(K256:T256)</f>
        <v/>
      </c>
      <c r="J256" s="16">
        <f>F256-(G256+H256+I256)</f>
        <v/>
      </c>
      <c r="K256" s="16" t="n">
        <v>620.95</v>
      </c>
      <c r="L256" s="16" t="n">
        <v>620.95</v>
      </c>
      <c r="M256" s="16" t="n">
        <v>620.95</v>
      </c>
      <c r="N256" s="16" t="n">
        <v>620.95</v>
      </c>
      <c r="O256" s="16" t="n">
        <v>620.95</v>
      </c>
      <c r="P256" s="16" t="n">
        <v>620.95</v>
      </c>
      <c r="Q256" s="16" t="n">
        <v>620.95</v>
      </c>
      <c r="R256" s="16" t="n">
        <v>620.95</v>
      </c>
      <c r="S256" s="16" t="n">
        <v>620.95</v>
      </c>
      <c r="T256" s="16" t="n">
        <v>620.95</v>
      </c>
      <c r="U256" s="16" t="n">
        <v>350</v>
      </c>
      <c r="V256" s="16" t="n">
        <v>0</v>
      </c>
      <c r="W256" s="16">
        <f>U256+V256</f>
        <v/>
      </c>
    </row>
    <row r="257">
      <c r="A257" s="3" t="inlineStr">
        <is>
          <t>CANON-202606-007101</t>
        </is>
      </c>
      <c r="B257" s="3" t="inlineStr">
        <is>
          <t>2026-06-01</t>
        </is>
      </c>
      <c r="C257" s="3" t="inlineStr">
        <is>
          <t>Beatrix Chattopadhyay</t>
        </is>
      </c>
      <c r="D257" s="3" t="inlineStr">
        <is>
          <t>MI</t>
        </is>
      </c>
      <c r="E257" s="14" t="n">
        <v>430000</v>
      </c>
      <c r="F257" s="14" t="n">
        <v>7213.29</v>
      </c>
      <c r="G257" s="14" t="n">
        <v>901.66</v>
      </c>
      <c r="H257" s="14" t="n">
        <v>901.66</v>
      </c>
      <c r="I257" s="14">
        <f>SUM(K257:T257)</f>
        <v/>
      </c>
      <c r="J257" s="14">
        <f>F257-(G257+H257+I257)</f>
        <v/>
      </c>
      <c r="K257" s="14" t="n">
        <v>541</v>
      </c>
      <c r="L257" s="14" t="n">
        <v>541</v>
      </c>
      <c r="M257" s="14" t="n">
        <v>541</v>
      </c>
      <c r="N257" s="14" t="n">
        <v>541</v>
      </c>
      <c r="O257" s="14" t="n">
        <v>541</v>
      </c>
      <c r="P257" s="14" t="n">
        <v>541</v>
      </c>
      <c r="Q257" s="14" t="n">
        <v>541</v>
      </c>
      <c r="R257" s="14" t="n">
        <v>541</v>
      </c>
      <c r="S257" s="14" t="n">
        <v>541</v>
      </c>
      <c r="T257" s="14" t="n">
        <v>541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CANON-202606-007102</t>
        </is>
      </c>
      <c r="B258" s="15" t="inlineStr">
        <is>
          <t>2026-06-17</t>
        </is>
      </c>
      <c r="C258" s="15" t="inlineStr">
        <is>
          <t>Marisol Merriweather</t>
        </is>
      </c>
      <c r="D258" s="15" t="inlineStr">
        <is>
          <t>RI</t>
        </is>
      </c>
      <c r="E258" s="16" t="n">
        <v>385000</v>
      </c>
      <c r="F258" s="16" t="n">
        <v>8752.879999999999</v>
      </c>
      <c r="G258" s="16" t="n">
        <v>1094.11</v>
      </c>
      <c r="H258" s="16" t="n">
        <v>1094.11</v>
      </c>
      <c r="I258" s="16">
        <f>SUM(K258:T258)</f>
        <v/>
      </c>
      <c r="J258" s="16">
        <f>F258-(G258+H258+I258)</f>
        <v/>
      </c>
      <c r="K258" s="16" t="n">
        <v>656.47</v>
      </c>
      <c r="L258" s="16" t="n">
        <v>656.47</v>
      </c>
      <c r="M258" s="16" t="n">
        <v>656.47</v>
      </c>
      <c r="N258" s="16" t="n">
        <v>656.47</v>
      </c>
      <c r="O258" s="16" t="n">
        <v>656.47</v>
      </c>
      <c r="P258" s="16" t="n">
        <v>656.47</v>
      </c>
      <c r="Q258" s="16" t="n">
        <v>656.47</v>
      </c>
      <c r="R258" s="16" t="n">
        <v>656.47</v>
      </c>
      <c r="S258" s="16" t="n">
        <v>656.47</v>
      </c>
      <c r="T258" s="16" t="n">
        <v>656.47</v>
      </c>
      <c r="U258" s="16" t="n">
        <v>350</v>
      </c>
      <c r="V258" s="16" t="n">
        <v>0</v>
      </c>
      <c r="W258" s="16">
        <f>U258+V258</f>
        <v/>
      </c>
    </row>
    <row r="259">
      <c r="A259" s="3" t="inlineStr">
        <is>
          <t>CANON-202606-007103</t>
        </is>
      </c>
      <c r="B259" s="3" t="inlineStr">
        <is>
          <t>2026-06-08</t>
        </is>
      </c>
      <c r="C259" s="3" t="inlineStr">
        <is>
          <t>Cassius Ashcombe</t>
        </is>
      </c>
      <c r="D259" s="3" t="inlineStr">
        <is>
          <t>NY</t>
        </is>
      </c>
      <c r="E259" s="14" t="n">
        <v>500000</v>
      </c>
      <c r="F259" s="14" t="n">
        <v>6002.96</v>
      </c>
      <c r="G259" s="14" t="n">
        <v>750.37</v>
      </c>
      <c r="H259" s="14" t="n">
        <v>750.37</v>
      </c>
      <c r="I259" s="14">
        <f>SUM(K259:T259)</f>
        <v/>
      </c>
      <c r="J259" s="14">
        <f>F259-(G259+H259+I259)</f>
        <v/>
      </c>
      <c r="K259" s="14" t="n">
        <v>450.22</v>
      </c>
      <c r="L259" s="14" t="n">
        <v>450.22</v>
      </c>
      <c r="M259" s="14" t="n">
        <v>450.22</v>
      </c>
      <c r="N259" s="14" t="n">
        <v>450.22</v>
      </c>
      <c r="O259" s="14" t="n">
        <v>450.22</v>
      </c>
      <c r="P259" s="14" t="n">
        <v>450.22</v>
      </c>
      <c r="Q259" s="14" t="n">
        <v>450.22</v>
      </c>
      <c r="R259" s="14" t="n">
        <v>450.22</v>
      </c>
      <c r="S259" s="14" t="n">
        <v>450.22</v>
      </c>
      <c r="T259" s="14" t="n">
        <v>450.22</v>
      </c>
      <c r="U259" s="14" t="n">
        <v>350</v>
      </c>
      <c r="V259" s="14" t="n">
        <v>0</v>
      </c>
      <c r="W259" s="14">
        <f>U259+V259</f>
        <v/>
      </c>
    </row>
    <row r="260">
      <c r="A260" s="15" t="inlineStr">
        <is>
          <t>CANON-202606-007104</t>
        </is>
      </c>
      <c r="B260" s="15" t="inlineStr">
        <is>
          <t>2026-06-04</t>
        </is>
      </c>
      <c r="C260" s="15" t="inlineStr">
        <is>
          <t>Priya Okonkwo</t>
        </is>
      </c>
      <c r="D260" s="15" t="inlineStr">
        <is>
          <t>CA</t>
        </is>
      </c>
      <c r="E260" s="16" t="n">
        <v>550000</v>
      </c>
      <c r="F260" s="16" t="n">
        <v>10178.69</v>
      </c>
      <c r="G260" s="16" t="n">
        <v>1272.34</v>
      </c>
      <c r="H260" s="16" t="n">
        <v>1272.34</v>
      </c>
      <c r="I260" s="16">
        <f>SUM(K260:T260)</f>
        <v/>
      </c>
      <c r="J260" s="16">
        <f>F260-(G260+H260+I260)</f>
        <v/>
      </c>
      <c r="K260" s="16" t="n">
        <v>763.4</v>
      </c>
      <c r="L260" s="16" t="n">
        <v>763.4</v>
      </c>
      <c r="M260" s="16" t="n">
        <v>763.4</v>
      </c>
      <c r="N260" s="16" t="n">
        <v>763.4</v>
      </c>
      <c r="O260" s="16" t="n">
        <v>763.4</v>
      </c>
      <c r="P260" s="16" t="n">
        <v>763.4</v>
      </c>
      <c r="Q260" s="16" t="n">
        <v>763.4</v>
      </c>
      <c r="R260" s="16" t="n">
        <v>763.4</v>
      </c>
      <c r="S260" s="16" t="n">
        <v>763.4</v>
      </c>
      <c r="T260" s="16" t="n">
        <v>763.4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CANON-202606-007105</t>
        </is>
      </c>
      <c r="B261" s="3" t="inlineStr">
        <is>
          <t>2026-06-07</t>
        </is>
      </c>
      <c r="C261" s="3" t="inlineStr">
        <is>
          <t>Emiliano Rourke</t>
        </is>
      </c>
      <c r="D261" s="3" t="inlineStr">
        <is>
          <t>AZ</t>
        </is>
      </c>
      <c r="E261" s="14" t="n">
        <v>275000</v>
      </c>
      <c r="F261" s="14" t="n">
        <v>4609.18</v>
      </c>
      <c r="G261" s="14" t="n">
        <v>576.15</v>
      </c>
      <c r="H261" s="14" t="n">
        <v>576.15</v>
      </c>
      <c r="I261" s="14">
        <f>SUM(K261:T261)</f>
        <v/>
      </c>
      <c r="J261" s="14">
        <f>F261-(G261+H261+I261)</f>
        <v/>
      </c>
      <c r="K261" s="14" t="n">
        <v>345.69</v>
      </c>
      <c r="L261" s="14" t="n">
        <v>345.69</v>
      </c>
      <c r="M261" s="14" t="n">
        <v>345.69</v>
      </c>
      <c r="N261" s="14" t="n">
        <v>345.69</v>
      </c>
      <c r="O261" s="14" t="n">
        <v>345.69</v>
      </c>
      <c r="P261" s="14" t="n">
        <v>345.69</v>
      </c>
      <c r="Q261" s="14" t="n">
        <v>345.69</v>
      </c>
      <c r="R261" s="14" t="n">
        <v>345.69</v>
      </c>
      <c r="S261" s="14" t="n">
        <v>345.69</v>
      </c>
      <c r="T261" s="14" t="n">
        <v>345.69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CANON-202606-007106</t>
        </is>
      </c>
      <c r="B262" s="15" t="inlineStr">
        <is>
          <t>2026-06-13</t>
        </is>
      </c>
      <c r="C262" s="15" t="inlineStr">
        <is>
          <t>Lorenzo Chattopadhyay</t>
        </is>
      </c>
      <c r="D262" s="15" t="inlineStr">
        <is>
          <t>CO</t>
        </is>
      </c>
      <c r="E262" s="16" t="n">
        <v>650000</v>
      </c>
      <c r="F262" s="16" t="n">
        <v>9801.709999999999</v>
      </c>
      <c r="G262" s="16" t="n">
        <v>1225.21</v>
      </c>
      <c r="H262" s="16" t="n">
        <v>1225.21</v>
      </c>
      <c r="I262" s="16">
        <f>SUM(K262:T262)</f>
        <v/>
      </c>
      <c r="J262" s="16">
        <f>F262-(G262+H262+I262)</f>
        <v/>
      </c>
      <c r="K262" s="16" t="n">
        <v>735.13</v>
      </c>
      <c r="L262" s="16" t="n">
        <v>735.13</v>
      </c>
      <c r="M262" s="16" t="n">
        <v>735.13</v>
      </c>
      <c r="N262" s="16" t="n">
        <v>735.13</v>
      </c>
      <c r="O262" s="16" t="n">
        <v>735.13</v>
      </c>
      <c r="P262" s="16" t="n">
        <v>735.13</v>
      </c>
      <c r="Q262" s="16" t="n">
        <v>735.13</v>
      </c>
      <c r="R262" s="16" t="n">
        <v>735.13</v>
      </c>
      <c r="S262" s="16" t="n">
        <v>735.13</v>
      </c>
      <c r="T262" s="16" t="n">
        <v>735.13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CANON-202606-007107</t>
        </is>
      </c>
      <c r="B263" s="3" t="inlineStr">
        <is>
          <t>2026-06-14</t>
        </is>
      </c>
      <c r="C263" s="3" t="inlineStr">
        <is>
          <t>Callum Blackwood</t>
        </is>
      </c>
      <c r="D263" s="3" t="inlineStr">
        <is>
          <t>CO</t>
        </is>
      </c>
      <c r="E263" s="14" t="n">
        <v>1310000</v>
      </c>
      <c r="F263" s="14" t="n">
        <v>11436.64</v>
      </c>
      <c r="G263" s="14" t="n">
        <v>1429.58</v>
      </c>
      <c r="H263" s="14" t="n">
        <v>1429.58</v>
      </c>
      <c r="I263" s="14">
        <f>SUM(K263:T263)</f>
        <v/>
      </c>
      <c r="J263" s="14">
        <f>F263-(G263+H263+I263)</f>
        <v/>
      </c>
      <c r="K263" s="14" t="n">
        <v>857.75</v>
      </c>
      <c r="L263" s="14" t="n">
        <v>857.75</v>
      </c>
      <c r="M263" s="14" t="n">
        <v>857.75</v>
      </c>
      <c r="N263" s="14" t="n">
        <v>857.75</v>
      </c>
      <c r="O263" s="14" t="n">
        <v>857.75</v>
      </c>
      <c r="P263" s="14" t="n">
        <v>857.75</v>
      </c>
      <c r="Q263" s="14" t="n">
        <v>857.75</v>
      </c>
      <c r="R263" s="14" t="n">
        <v>857.75</v>
      </c>
      <c r="S263" s="14" t="n">
        <v>857.75</v>
      </c>
      <c r="T263" s="14" t="n">
        <v>857.75</v>
      </c>
      <c r="U263" s="14" t="n">
        <v>350</v>
      </c>
      <c r="V263" s="14" t="n">
        <v>250</v>
      </c>
      <c r="W263" s="14">
        <f>U263+V263</f>
        <v/>
      </c>
    </row>
    <row r="264">
      <c r="A264" s="15" t="inlineStr">
        <is>
          <t>CANON-202606-007109</t>
        </is>
      </c>
      <c r="B264" s="15" t="inlineStr">
        <is>
          <t>2026-06-02</t>
        </is>
      </c>
      <c r="C264" s="15" t="inlineStr">
        <is>
          <t>Leopold Rourke</t>
        </is>
      </c>
      <c r="D264" s="15" t="inlineStr">
        <is>
          <t>IL</t>
        </is>
      </c>
      <c r="E264" s="16" t="n">
        <v>695000</v>
      </c>
      <c r="F264" s="16" t="n">
        <v>8865.620000000001</v>
      </c>
      <c r="G264" s="16" t="n">
        <v>1108.2</v>
      </c>
      <c r="H264" s="16" t="n">
        <v>1108.2</v>
      </c>
      <c r="I264" s="16">
        <f>SUM(K264:T264)</f>
        <v/>
      </c>
      <c r="J264" s="16">
        <f>F264-(G264+H264+I264)</f>
        <v/>
      </c>
      <c r="K264" s="16" t="n">
        <v>664.92</v>
      </c>
      <c r="L264" s="16" t="n">
        <v>664.92</v>
      </c>
      <c r="M264" s="16" t="n">
        <v>664.92</v>
      </c>
      <c r="N264" s="16" t="n">
        <v>664.92</v>
      </c>
      <c r="O264" s="16" t="n">
        <v>664.92</v>
      </c>
      <c r="P264" s="16" t="n">
        <v>664.92</v>
      </c>
      <c r="Q264" s="16" t="n">
        <v>664.92</v>
      </c>
      <c r="R264" s="16" t="n">
        <v>664.92</v>
      </c>
      <c r="S264" s="16" t="n">
        <v>664.92</v>
      </c>
      <c r="T264" s="16" t="n">
        <v>664.92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CANON-202606-007110</t>
        </is>
      </c>
      <c r="B265" s="3" t="inlineStr">
        <is>
          <t>2026-06-05</t>
        </is>
      </c>
      <c r="C265" s="3" t="inlineStr">
        <is>
          <t>Ottilie Harrington</t>
        </is>
      </c>
      <c r="D265" s="3" t="inlineStr">
        <is>
          <t>OR</t>
        </is>
      </c>
      <c r="E265" s="14" t="n">
        <v>685000</v>
      </c>
      <c r="F265" s="14" t="n">
        <v>10611.2</v>
      </c>
      <c r="G265" s="14" t="n">
        <v>1326.4</v>
      </c>
      <c r="H265" s="14" t="n">
        <v>1326.4</v>
      </c>
      <c r="I265" s="14">
        <f>SUM(K265:T265)</f>
        <v/>
      </c>
      <c r="J265" s="14">
        <f>F265-(G265+H265+I265)</f>
        <v/>
      </c>
      <c r="K265" s="14" t="n">
        <v>795.84</v>
      </c>
      <c r="L265" s="14" t="n">
        <v>795.84</v>
      </c>
      <c r="M265" s="14" t="n">
        <v>795.84</v>
      </c>
      <c r="N265" s="14" t="n">
        <v>795.84</v>
      </c>
      <c r="O265" s="14" t="n">
        <v>795.84</v>
      </c>
      <c r="P265" s="14" t="n">
        <v>795.84</v>
      </c>
      <c r="Q265" s="14" t="n">
        <v>795.84</v>
      </c>
      <c r="R265" s="14" t="n">
        <v>795.84</v>
      </c>
      <c r="S265" s="14" t="n">
        <v>795.84</v>
      </c>
      <c r="T265" s="14" t="n">
        <v>795.84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CANON-202606-007111</t>
        </is>
      </c>
      <c r="B266" s="15" t="inlineStr">
        <is>
          <t>2026-06-30</t>
        </is>
      </c>
      <c r="C266" s="15" t="inlineStr">
        <is>
          <t>Mireille Rourke</t>
        </is>
      </c>
      <c r="D266" s="15" t="inlineStr">
        <is>
          <t>TX</t>
        </is>
      </c>
      <c r="E266" s="16" t="n">
        <v>530000</v>
      </c>
      <c r="F266" s="16" t="n">
        <v>5716.88</v>
      </c>
      <c r="G266" s="16" t="n">
        <v>714.61</v>
      </c>
      <c r="H266" s="16" t="n">
        <v>714.61</v>
      </c>
      <c r="I266" s="16">
        <f>SUM(K266:T266)</f>
        <v/>
      </c>
      <c r="J266" s="16">
        <f>F266-(G266+H266+I266)</f>
        <v/>
      </c>
      <c r="K266" s="16" t="n">
        <v>428.77</v>
      </c>
      <c r="L266" s="16" t="n">
        <v>428.77</v>
      </c>
      <c r="M266" s="16" t="n">
        <v>428.77</v>
      </c>
      <c r="N266" s="16" t="n">
        <v>428.77</v>
      </c>
      <c r="O266" s="16" t="n">
        <v>428.77</v>
      </c>
      <c r="P266" s="16" t="n">
        <v>428.77</v>
      </c>
      <c r="Q266" s="16" t="n">
        <v>428.77</v>
      </c>
      <c r="R266" s="16" t="n">
        <v>428.77</v>
      </c>
      <c r="S266" s="16" t="n">
        <v>428.77</v>
      </c>
      <c r="T266" s="16" t="n">
        <v>428.77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CANON-202606-007112</t>
        </is>
      </c>
      <c r="B267" s="3" t="inlineStr">
        <is>
          <t>2026-06-10</t>
        </is>
      </c>
      <c r="C267" s="3" t="inlineStr">
        <is>
          <t>Marisol Harrington</t>
        </is>
      </c>
      <c r="D267" s="3" t="inlineStr">
        <is>
          <t>IA</t>
        </is>
      </c>
      <c r="E267" s="14" t="n">
        <v>810000</v>
      </c>
      <c r="F267" s="14" t="n">
        <v>8357.24</v>
      </c>
      <c r="G267" s="14" t="n">
        <v>1044.65</v>
      </c>
      <c r="H267" s="14" t="n">
        <v>1044.65</v>
      </c>
      <c r="I267" s="14">
        <f>SUM(K267:T267)</f>
        <v/>
      </c>
      <c r="J267" s="14">
        <f>F267-(G267+H267+I267)</f>
        <v/>
      </c>
      <c r="K267" s="14" t="n">
        <v>626.79</v>
      </c>
      <c r="L267" s="14" t="n">
        <v>626.79</v>
      </c>
      <c r="M267" s="14" t="n">
        <v>626.79</v>
      </c>
      <c r="N267" s="14" t="n">
        <v>626.79</v>
      </c>
      <c r="O267" s="14" t="n">
        <v>626.79</v>
      </c>
      <c r="P267" s="14" t="n">
        <v>626.79</v>
      </c>
      <c r="Q267" s="14" t="n">
        <v>626.79</v>
      </c>
      <c r="R267" s="14" t="n">
        <v>626.79</v>
      </c>
      <c r="S267" s="14" t="n">
        <v>626.79</v>
      </c>
      <c r="T267" s="14" t="n">
        <v>626.79</v>
      </c>
      <c r="U267" s="14" t="n">
        <v>350</v>
      </c>
      <c r="V267" s="14" t="n">
        <v>0</v>
      </c>
      <c r="W267" s="14">
        <f>U267+V267</f>
        <v/>
      </c>
    </row>
    <row r="268">
      <c r="A268" s="15" t="inlineStr">
        <is>
          <t>CANON-202606-007113</t>
        </is>
      </c>
      <c r="B268" s="15" t="inlineStr">
        <is>
          <t>2026-06-23</t>
        </is>
      </c>
      <c r="C268" s="15" t="inlineStr">
        <is>
          <t>Leopold Underwood</t>
        </is>
      </c>
      <c r="D268" s="15" t="inlineStr">
        <is>
          <t>IL</t>
        </is>
      </c>
      <c r="E268" s="16" t="n">
        <v>955000</v>
      </c>
      <c r="F268" s="16" t="n">
        <v>17804.83</v>
      </c>
      <c r="G268" s="16" t="n">
        <v>2225.6</v>
      </c>
      <c r="H268" s="16" t="n">
        <v>2225.6</v>
      </c>
      <c r="I268" s="16">
        <f>SUM(K268:T268)</f>
        <v/>
      </c>
      <c r="J268" s="16">
        <f>F268-(G268+H268+I268)</f>
        <v/>
      </c>
      <c r="K268" s="16" t="n">
        <v>1335.36</v>
      </c>
      <c r="L268" s="16" t="n">
        <v>1335.36</v>
      </c>
      <c r="M268" s="16" t="n">
        <v>1335.36</v>
      </c>
      <c r="N268" s="16" t="n">
        <v>1335.36</v>
      </c>
      <c r="O268" s="16" t="n">
        <v>1335.36</v>
      </c>
      <c r="P268" s="16" t="n">
        <v>1335.36</v>
      </c>
      <c r="Q268" s="16" t="n">
        <v>1335.36</v>
      </c>
      <c r="R268" s="16" t="n">
        <v>1335.36</v>
      </c>
      <c r="S268" s="16" t="n">
        <v>1335.36</v>
      </c>
      <c r="T268" s="16" t="n">
        <v>1335.36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CANON-202606-007115</t>
        </is>
      </c>
      <c r="B269" s="3" t="inlineStr">
        <is>
          <t>2026-06-18</t>
        </is>
      </c>
      <c r="C269" s="3" t="inlineStr">
        <is>
          <t>Aurelio Delacroix</t>
        </is>
      </c>
      <c r="D269" s="3" t="inlineStr">
        <is>
          <t>TX</t>
        </is>
      </c>
      <c r="E269" s="14" t="n">
        <v>465000</v>
      </c>
      <c r="F269" s="14" t="n">
        <v>6790.56</v>
      </c>
      <c r="G269" s="14" t="n">
        <v>848.8200000000001</v>
      </c>
      <c r="H269" s="14" t="n">
        <v>848.8200000000001</v>
      </c>
      <c r="I269" s="14">
        <f>SUM(K269:T269)</f>
        <v/>
      </c>
      <c r="J269" s="14">
        <f>F269-(G269+H269+I269)</f>
        <v/>
      </c>
      <c r="K269" s="14" t="n">
        <v>509.29</v>
      </c>
      <c r="L269" s="14" t="n">
        <v>509.29</v>
      </c>
      <c r="M269" s="14" t="n">
        <v>509.29</v>
      </c>
      <c r="N269" s="14" t="n">
        <v>509.29</v>
      </c>
      <c r="O269" s="14" t="n">
        <v>509.29</v>
      </c>
      <c r="P269" s="14" t="n">
        <v>509.29</v>
      </c>
      <c r="Q269" s="14" t="n">
        <v>509.29</v>
      </c>
      <c r="R269" s="14" t="n">
        <v>509.29</v>
      </c>
      <c r="S269" s="14" t="n">
        <v>509.29</v>
      </c>
      <c r="T269" s="14" t="n">
        <v>509.29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CANON-202606-007116</t>
        </is>
      </c>
      <c r="B270" s="15" t="inlineStr">
        <is>
          <t>2026-06-14</t>
        </is>
      </c>
      <c r="C270" s="15" t="inlineStr">
        <is>
          <t>Leopold Blackwood</t>
        </is>
      </c>
      <c r="D270" s="15" t="inlineStr">
        <is>
          <t>RI</t>
        </is>
      </c>
      <c r="E270" s="16" t="n">
        <v>255000</v>
      </c>
      <c r="F270" s="16" t="n">
        <v>2419.77</v>
      </c>
      <c r="G270" s="16" t="n">
        <v>302.47</v>
      </c>
      <c r="H270" s="16" t="n">
        <v>302.47</v>
      </c>
      <c r="I270" s="16">
        <f>SUM(K270:T270)</f>
        <v/>
      </c>
      <c r="J270" s="16">
        <f>F270-(G270+H270+I270)</f>
        <v/>
      </c>
      <c r="K270" s="16" t="n">
        <v>181.48</v>
      </c>
      <c r="L270" s="16" t="n">
        <v>181.48</v>
      </c>
      <c r="M270" s="16" t="n">
        <v>181.48</v>
      </c>
      <c r="N270" s="16" t="n">
        <v>181.48</v>
      </c>
      <c r="O270" s="16" t="n">
        <v>181.48</v>
      </c>
      <c r="P270" s="16" t="n">
        <v>181.48</v>
      </c>
      <c r="Q270" s="16" t="n">
        <v>181.48</v>
      </c>
      <c r="R270" s="16" t="n">
        <v>181.48</v>
      </c>
      <c r="S270" s="16" t="n">
        <v>181.48</v>
      </c>
      <c r="T270" s="16" t="n">
        <v>181.48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CANON-202606-007118</t>
        </is>
      </c>
      <c r="B271" s="3" t="inlineStr">
        <is>
          <t>2026-06-15</t>
        </is>
      </c>
      <c r="C271" s="3" t="inlineStr">
        <is>
          <t>Ingrid Larsson</t>
        </is>
      </c>
      <c r="D271" s="3" t="inlineStr">
        <is>
          <t>MO</t>
        </is>
      </c>
      <c r="E271" s="14" t="n">
        <v>1950000</v>
      </c>
      <c r="F271" s="14" t="n">
        <v>16404.96</v>
      </c>
      <c r="G271" s="14" t="n">
        <v>2050.62</v>
      </c>
      <c r="H271" s="14" t="n">
        <v>2050.62</v>
      </c>
      <c r="I271" s="14">
        <f>SUM(K271:T271)</f>
        <v/>
      </c>
      <c r="J271" s="14">
        <f>F271-(G271+H271+I271)</f>
        <v/>
      </c>
      <c r="K271" s="14" t="n">
        <v>1230.37</v>
      </c>
      <c r="L271" s="14" t="n">
        <v>1230.37</v>
      </c>
      <c r="M271" s="14" t="n">
        <v>1230.37</v>
      </c>
      <c r="N271" s="14" t="n">
        <v>1230.37</v>
      </c>
      <c r="O271" s="14" t="n">
        <v>1230.37</v>
      </c>
      <c r="P271" s="14" t="n">
        <v>1230.37</v>
      </c>
      <c r="Q271" s="14" t="n">
        <v>1230.37</v>
      </c>
      <c r="R271" s="14" t="n">
        <v>1230.37</v>
      </c>
      <c r="S271" s="14" t="n">
        <v>1230.37</v>
      </c>
      <c r="T271" s="14" t="n">
        <v>1230.37</v>
      </c>
      <c r="U271" s="14" t="n">
        <v>350</v>
      </c>
      <c r="V271" s="14" t="n">
        <v>250</v>
      </c>
      <c r="W271" s="14">
        <f>U271+V271</f>
        <v/>
      </c>
    </row>
    <row r="272">
      <c r="A272" s="15" t="inlineStr">
        <is>
          <t>CANON-202606-007120</t>
        </is>
      </c>
      <c r="B272" s="15" t="inlineStr">
        <is>
          <t>2026-06-19</t>
        </is>
      </c>
      <c r="C272" s="15" t="inlineStr">
        <is>
          <t>Horace Vandermeer</t>
        </is>
      </c>
      <c r="D272" s="15" t="inlineStr">
        <is>
          <t>WI</t>
        </is>
      </c>
      <c r="E272" s="16" t="n">
        <v>950000</v>
      </c>
      <c r="F272" s="16" t="n">
        <v>10692.77</v>
      </c>
      <c r="G272" s="16" t="n">
        <v>1336.6</v>
      </c>
      <c r="H272" s="16" t="n">
        <v>1336.6</v>
      </c>
      <c r="I272" s="16">
        <f>SUM(K272:T272)</f>
        <v/>
      </c>
      <c r="J272" s="16">
        <f>F272-(G272+H272+I272)</f>
        <v/>
      </c>
      <c r="K272" s="16" t="n">
        <v>801.96</v>
      </c>
      <c r="L272" s="16" t="n">
        <v>801.96</v>
      </c>
      <c r="M272" s="16" t="n">
        <v>801.96</v>
      </c>
      <c r="N272" s="16" t="n">
        <v>801.96</v>
      </c>
      <c r="O272" s="16" t="n">
        <v>801.96</v>
      </c>
      <c r="P272" s="16" t="n">
        <v>801.96</v>
      </c>
      <c r="Q272" s="16" t="n">
        <v>801.96</v>
      </c>
      <c r="R272" s="16" t="n">
        <v>801.96</v>
      </c>
      <c r="S272" s="16" t="n">
        <v>801.96</v>
      </c>
      <c r="T272" s="16" t="n">
        <v>801.96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CANON-202606-007121</t>
        </is>
      </c>
      <c r="B273" s="3" t="inlineStr">
        <is>
          <t>2026-06-01</t>
        </is>
      </c>
      <c r="C273" s="3" t="inlineStr">
        <is>
          <t>Ingrid Delacroix</t>
        </is>
      </c>
      <c r="D273" s="3" t="inlineStr">
        <is>
          <t>PA</t>
        </is>
      </c>
      <c r="E273" s="14" t="n">
        <v>660000</v>
      </c>
      <c r="F273" s="14" t="n">
        <v>6190.55</v>
      </c>
      <c r="G273" s="14" t="n">
        <v>773.8200000000001</v>
      </c>
      <c r="H273" s="14" t="n">
        <v>773.8200000000001</v>
      </c>
      <c r="I273" s="14">
        <f>SUM(K273:T273)</f>
        <v/>
      </c>
      <c r="J273" s="14">
        <f>F273-(G273+H273+I273)</f>
        <v/>
      </c>
      <c r="K273" s="14" t="n">
        <v>464.29</v>
      </c>
      <c r="L273" s="14" t="n">
        <v>464.29</v>
      </c>
      <c r="M273" s="14" t="n">
        <v>464.29</v>
      </c>
      <c r="N273" s="14" t="n">
        <v>464.29</v>
      </c>
      <c r="O273" s="14" t="n">
        <v>464.29</v>
      </c>
      <c r="P273" s="14" t="n">
        <v>464.29</v>
      </c>
      <c r="Q273" s="14" t="n">
        <v>464.29</v>
      </c>
      <c r="R273" s="14" t="n">
        <v>464.29</v>
      </c>
      <c r="S273" s="14" t="n">
        <v>464.29</v>
      </c>
      <c r="T273" s="14" t="n">
        <v>464.29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CANON-202606-007122</t>
        </is>
      </c>
      <c r="B274" s="15" t="inlineStr">
        <is>
          <t>2026-06-09</t>
        </is>
      </c>
      <c r="C274" s="15" t="inlineStr">
        <is>
          <t>Anouk Farkas</t>
        </is>
      </c>
      <c r="D274" s="15" t="inlineStr">
        <is>
          <t>FL</t>
        </is>
      </c>
      <c r="E274" s="16" t="n">
        <v>710000</v>
      </c>
      <c r="F274" s="16" t="n">
        <v>13821.09</v>
      </c>
      <c r="G274" s="16" t="n">
        <v>1727.64</v>
      </c>
      <c r="H274" s="16" t="n">
        <v>1727.64</v>
      </c>
      <c r="I274" s="16">
        <f>SUM(K274:T274)</f>
        <v/>
      </c>
      <c r="J274" s="16">
        <f>F274-(G274+H274+I274)</f>
        <v/>
      </c>
      <c r="K274" s="16" t="n">
        <v>1036.58</v>
      </c>
      <c r="L274" s="16" t="n">
        <v>1036.58</v>
      </c>
      <c r="M274" s="16" t="n">
        <v>1036.58</v>
      </c>
      <c r="N274" s="16" t="n">
        <v>1036.58</v>
      </c>
      <c r="O274" s="16" t="n">
        <v>1036.58</v>
      </c>
      <c r="P274" s="16" t="n">
        <v>1036.58</v>
      </c>
      <c r="Q274" s="16" t="n">
        <v>1036.58</v>
      </c>
      <c r="R274" s="16" t="n">
        <v>1036.58</v>
      </c>
      <c r="S274" s="16" t="n">
        <v>1036.58</v>
      </c>
      <c r="T274" s="16" t="n">
        <v>1036.58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CANON-202606-007124</t>
        </is>
      </c>
      <c r="B275" s="3" t="inlineStr">
        <is>
          <t>2026-06-22</t>
        </is>
      </c>
      <c r="C275" s="3" t="inlineStr">
        <is>
          <t>Noor Pennington</t>
        </is>
      </c>
      <c r="D275" s="3" t="inlineStr">
        <is>
          <t>NE</t>
        </is>
      </c>
      <c r="E275" s="14" t="n">
        <v>905000</v>
      </c>
      <c r="F275" s="14" t="n">
        <v>11035.12</v>
      </c>
      <c r="G275" s="14" t="n">
        <v>1379.39</v>
      </c>
      <c r="H275" s="14" t="n">
        <v>1379.39</v>
      </c>
      <c r="I275" s="14">
        <f>SUM(K275:T275)</f>
        <v/>
      </c>
      <c r="J275" s="14">
        <f>F275-(G275+H275+I275)</f>
        <v/>
      </c>
      <c r="K275" s="14" t="n">
        <v>827.63</v>
      </c>
      <c r="L275" s="14" t="n">
        <v>827.63</v>
      </c>
      <c r="M275" s="14" t="n">
        <v>827.63</v>
      </c>
      <c r="N275" s="14" t="n">
        <v>827.63</v>
      </c>
      <c r="O275" s="14" t="n">
        <v>827.63</v>
      </c>
      <c r="P275" s="14" t="n">
        <v>827.63</v>
      </c>
      <c r="Q275" s="14" t="n">
        <v>827.63</v>
      </c>
      <c r="R275" s="14" t="n">
        <v>827.63</v>
      </c>
      <c r="S275" s="14" t="n">
        <v>827.63</v>
      </c>
      <c r="T275" s="14" t="n">
        <v>827.63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CANON-202606-007125</t>
        </is>
      </c>
      <c r="B276" s="15" t="inlineStr">
        <is>
          <t>2026-06-02</t>
        </is>
      </c>
      <c r="C276" s="15" t="inlineStr">
        <is>
          <t>Emiliano Harrington</t>
        </is>
      </c>
      <c r="D276" s="15" t="inlineStr">
        <is>
          <t>PA</t>
        </is>
      </c>
      <c r="E276" s="16" t="n">
        <v>465000</v>
      </c>
      <c r="F276" s="16" t="n">
        <v>5032.53</v>
      </c>
      <c r="G276" s="16" t="n">
        <v>629.0700000000001</v>
      </c>
      <c r="H276" s="16" t="n">
        <v>629.0700000000001</v>
      </c>
      <c r="I276" s="16">
        <f>SUM(K276:T276)</f>
        <v/>
      </c>
      <c r="J276" s="16">
        <f>F276-(G276+H276+I276)</f>
        <v/>
      </c>
      <c r="K276" s="16" t="n">
        <v>377.44</v>
      </c>
      <c r="L276" s="16" t="n">
        <v>377.44</v>
      </c>
      <c r="M276" s="16" t="n">
        <v>377.44</v>
      </c>
      <c r="N276" s="16" t="n">
        <v>377.44</v>
      </c>
      <c r="O276" s="16" t="n">
        <v>377.44</v>
      </c>
      <c r="P276" s="16" t="n">
        <v>377.44</v>
      </c>
      <c r="Q276" s="16" t="n">
        <v>377.44</v>
      </c>
      <c r="R276" s="16" t="n">
        <v>377.44</v>
      </c>
      <c r="S276" s="16" t="n">
        <v>377.44</v>
      </c>
      <c r="T276" s="16" t="n">
        <v>377.44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CANON-202606-007126</t>
        </is>
      </c>
      <c r="B277" s="3" t="inlineStr">
        <is>
          <t>2026-06-16</t>
        </is>
      </c>
      <c r="C277" s="3" t="inlineStr">
        <is>
          <t>Marisol Thistlewood</t>
        </is>
      </c>
      <c r="D277" s="3" t="inlineStr">
        <is>
          <t>TX</t>
        </is>
      </c>
      <c r="E277" s="14" t="n">
        <v>1950000</v>
      </c>
      <c r="F277" s="14" t="n">
        <v>12296.68</v>
      </c>
      <c r="G277" s="14" t="n">
        <v>1537.09</v>
      </c>
      <c r="H277" s="14" t="n">
        <v>1537.09</v>
      </c>
      <c r="I277" s="14">
        <f>SUM(K277:T277)</f>
        <v/>
      </c>
      <c r="J277" s="14">
        <f>F277-(G277+H277+I277)</f>
        <v/>
      </c>
      <c r="K277" s="14" t="n">
        <v>922.25</v>
      </c>
      <c r="L277" s="14" t="n">
        <v>922.25</v>
      </c>
      <c r="M277" s="14" t="n">
        <v>922.25</v>
      </c>
      <c r="N277" s="14" t="n">
        <v>922.25</v>
      </c>
      <c r="O277" s="14" t="n">
        <v>922.25</v>
      </c>
      <c r="P277" s="14" t="n">
        <v>922.25</v>
      </c>
      <c r="Q277" s="14" t="n">
        <v>922.25</v>
      </c>
      <c r="R277" s="14" t="n">
        <v>922.25</v>
      </c>
      <c r="S277" s="14" t="n">
        <v>922.25</v>
      </c>
      <c r="T277" s="14" t="n">
        <v>922.25</v>
      </c>
      <c r="U277" s="14" t="n">
        <v>350</v>
      </c>
      <c r="V277" s="14" t="n">
        <v>250</v>
      </c>
      <c r="W277" s="14">
        <f>U277+V277</f>
        <v/>
      </c>
    </row>
    <row r="278">
      <c r="A278" s="15" t="inlineStr">
        <is>
          <t>CANON-202606-007127</t>
        </is>
      </c>
      <c r="B278" s="15" t="inlineStr">
        <is>
          <t>2026-06-04</t>
        </is>
      </c>
      <c r="C278" s="15" t="inlineStr">
        <is>
          <t>Delphine Whitlock</t>
        </is>
      </c>
      <c r="D278" s="15" t="inlineStr">
        <is>
          <t>MI</t>
        </is>
      </c>
      <c r="E278" s="16" t="n">
        <v>320000</v>
      </c>
      <c r="F278" s="16" t="n">
        <v>3435.54</v>
      </c>
      <c r="G278" s="16" t="n">
        <v>429.44</v>
      </c>
      <c r="H278" s="16" t="n">
        <v>429.44</v>
      </c>
      <c r="I278" s="16">
        <f>SUM(K278:T278)</f>
        <v/>
      </c>
      <c r="J278" s="16">
        <f>F278-(G278+H278+I278)</f>
        <v/>
      </c>
      <c r="K278" s="16" t="n">
        <v>257.67</v>
      </c>
      <c r="L278" s="16" t="n">
        <v>257.67</v>
      </c>
      <c r="M278" s="16" t="n">
        <v>257.67</v>
      </c>
      <c r="N278" s="16" t="n">
        <v>257.67</v>
      </c>
      <c r="O278" s="16" t="n">
        <v>257.67</v>
      </c>
      <c r="P278" s="16" t="n">
        <v>257.67</v>
      </c>
      <c r="Q278" s="16" t="n">
        <v>257.67</v>
      </c>
      <c r="R278" s="16" t="n">
        <v>257.67</v>
      </c>
      <c r="S278" s="16" t="n">
        <v>257.67</v>
      </c>
      <c r="T278" s="16" t="n">
        <v>257.67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CANON-202606-007128</t>
        </is>
      </c>
      <c r="B279" s="3" t="inlineStr">
        <is>
          <t>2026-06-12</t>
        </is>
      </c>
      <c r="C279" s="3" t="inlineStr">
        <is>
          <t>Wilhelmina Fairweather</t>
        </is>
      </c>
      <c r="D279" s="3" t="inlineStr">
        <is>
          <t>ID</t>
        </is>
      </c>
      <c r="E279" s="14" t="n">
        <v>570000</v>
      </c>
      <c r="F279" s="14" t="n">
        <v>5292.92</v>
      </c>
      <c r="G279" s="14" t="n">
        <v>661.62</v>
      </c>
      <c r="H279" s="14" t="n">
        <v>661.62</v>
      </c>
      <c r="I279" s="14">
        <f>SUM(K279:T279)</f>
        <v/>
      </c>
      <c r="J279" s="14">
        <f>F279-(G279+H279+I279)</f>
        <v/>
      </c>
      <c r="K279" s="14" t="n">
        <v>396.97</v>
      </c>
      <c r="L279" s="14" t="n">
        <v>396.97</v>
      </c>
      <c r="M279" s="14" t="n">
        <v>396.97</v>
      </c>
      <c r="N279" s="14" t="n">
        <v>396.97</v>
      </c>
      <c r="O279" s="14" t="n">
        <v>396.97</v>
      </c>
      <c r="P279" s="14" t="n">
        <v>396.97</v>
      </c>
      <c r="Q279" s="14" t="n">
        <v>396.97</v>
      </c>
      <c r="R279" s="14" t="n">
        <v>396.97</v>
      </c>
      <c r="S279" s="14" t="n">
        <v>396.97</v>
      </c>
      <c r="T279" s="14" t="n">
        <v>396.97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CANON-202606-007129</t>
        </is>
      </c>
      <c r="B280" s="15" t="inlineStr">
        <is>
          <t>2026-06-21</t>
        </is>
      </c>
      <c r="C280" s="15" t="inlineStr">
        <is>
          <t>Beatrix Vasquez</t>
        </is>
      </c>
      <c r="D280" s="15" t="inlineStr">
        <is>
          <t>MI</t>
        </is>
      </c>
      <c r="E280" s="16" t="n">
        <v>610000</v>
      </c>
      <c r="F280" s="16" t="n">
        <v>12961.56</v>
      </c>
      <c r="G280" s="16" t="n">
        <v>1620.19</v>
      </c>
      <c r="H280" s="16" t="n">
        <v>1620.19</v>
      </c>
      <c r="I280" s="16">
        <f>SUM(K280:T280)</f>
        <v/>
      </c>
      <c r="J280" s="16">
        <f>F280-(G280+H280+I280)</f>
        <v/>
      </c>
      <c r="K280" s="16" t="n">
        <v>972.12</v>
      </c>
      <c r="L280" s="16" t="n">
        <v>972.12</v>
      </c>
      <c r="M280" s="16" t="n">
        <v>972.12</v>
      </c>
      <c r="N280" s="16" t="n">
        <v>972.12</v>
      </c>
      <c r="O280" s="16" t="n">
        <v>972.12</v>
      </c>
      <c r="P280" s="16" t="n">
        <v>972.12</v>
      </c>
      <c r="Q280" s="16" t="n">
        <v>972.12</v>
      </c>
      <c r="R280" s="16" t="n">
        <v>972.12</v>
      </c>
      <c r="S280" s="16" t="n">
        <v>972.12</v>
      </c>
      <c r="T280" s="16" t="n">
        <v>972.12</v>
      </c>
      <c r="U280" s="16" t="n">
        <v>350</v>
      </c>
      <c r="V280" s="16" t="n">
        <v>0</v>
      </c>
      <c r="W280" s="16">
        <f>U280+V280</f>
        <v/>
      </c>
    </row>
    <row r="281">
      <c r="A281" s="3" t="inlineStr">
        <is>
          <t>CANON-202606-007130</t>
        </is>
      </c>
      <c r="B281" s="3" t="inlineStr">
        <is>
          <t>2026-06-03</t>
        </is>
      </c>
      <c r="C281" s="3" t="inlineStr">
        <is>
          <t>Ottilie Montoya</t>
        </is>
      </c>
      <c r="D281" s="3" t="inlineStr">
        <is>
          <t>MA</t>
        </is>
      </c>
      <c r="E281" s="14" t="n">
        <v>365000</v>
      </c>
      <c r="F281" s="14" t="n">
        <v>7571.34</v>
      </c>
      <c r="G281" s="14" t="n">
        <v>946.42</v>
      </c>
      <c r="H281" s="14" t="n">
        <v>946.42</v>
      </c>
      <c r="I281" s="14">
        <f>SUM(K281:T281)</f>
        <v/>
      </c>
      <c r="J281" s="14">
        <f>F281-(G281+H281+I281)</f>
        <v/>
      </c>
      <c r="K281" s="14" t="n">
        <v>567.85</v>
      </c>
      <c r="L281" s="14" t="n">
        <v>567.85</v>
      </c>
      <c r="M281" s="14" t="n">
        <v>567.85</v>
      </c>
      <c r="N281" s="14" t="n">
        <v>567.85</v>
      </c>
      <c r="O281" s="14" t="n">
        <v>567.85</v>
      </c>
      <c r="P281" s="14" t="n">
        <v>567.85</v>
      </c>
      <c r="Q281" s="14" t="n">
        <v>567.85</v>
      </c>
      <c r="R281" s="14" t="n">
        <v>567.85</v>
      </c>
      <c r="S281" s="14" t="n">
        <v>567.85</v>
      </c>
      <c r="T281" s="14" t="n">
        <v>567.85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CANON-202606-007131</t>
        </is>
      </c>
      <c r="B282" s="15" t="inlineStr">
        <is>
          <t>2026-06-04</t>
        </is>
      </c>
      <c r="C282" s="15" t="inlineStr">
        <is>
          <t>Fenwick Pennington</t>
        </is>
      </c>
      <c r="D282" s="15" t="inlineStr">
        <is>
          <t>TX</t>
        </is>
      </c>
      <c r="E282" s="16" t="n">
        <v>390000</v>
      </c>
      <c r="F282" s="16" t="n">
        <v>3106.53</v>
      </c>
      <c r="G282" s="16" t="n">
        <v>388.32</v>
      </c>
      <c r="H282" s="16" t="n">
        <v>388.32</v>
      </c>
      <c r="I282" s="16">
        <f>SUM(K282:T282)</f>
        <v/>
      </c>
      <c r="J282" s="16">
        <f>F282-(G282+H282+I282)</f>
        <v/>
      </c>
      <c r="K282" s="16" t="n">
        <v>232.99</v>
      </c>
      <c r="L282" s="16" t="n">
        <v>232.99</v>
      </c>
      <c r="M282" s="16" t="n">
        <v>232.99</v>
      </c>
      <c r="N282" s="16" t="n">
        <v>232.99</v>
      </c>
      <c r="O282" s="16" t="n">
        <v>232.99</v>
      </c>
      <c r="P282" s="16" t="n">
        <v>232.99</v>
      </c>
      <c r="Q282" s="16" t="n">
        <v>232.99</v>
      </c>
      <c r="R282" s="16" t="n">
        <v>232.99</v>
      </c>
      <c r="S282" s="16" t="n">
        <v>232.99</v>
      </c>
      <c r="T282" s="16" t="n">
        <v>232.99</v>
      </c>
      <c r="U282" s="16" t="n">
        <v>350</v>
      </c>
      <c r="V282" s="16" t="n">
        <v>0</v>
      </c>
      <c r="W282" s="16">
        <f>U282+V282</f>
        <v/>
      </c>
    </row>
    <row r="283">
      <c r="A283" s="3" t="inlineStr">
        <is>
          <t>CANON-202606-007133</t>
        </is>
      </c>
      <c r="B283" s="3" t="inlineStr">
        <is>
          <t>2026-06-06</t>
        </is>
      </c>
      <c r="C283" s="3" t="inlineStr">
        <is>
          <t>Aurelio Underwood</t>
        </is>
      </c>
      <c r="D283" s="3" t="inlineStr">
        <is>
          <t>TX</t>
        </is>
      </c>
      <c r="E283" s="14" t="n">
        <v>325000</v>
      </c>
      <c r="F283" s="14" t="n">
        <v>4044.97</v>
      </c>
      <c r="G283" s="14" t="n">
        <v>505.62</v>
      </c>
      <c r="H283" s="14" t="n">
        <v>505.62</v>
      </c>
      <c r="I283" s="14">
        <f>SUM(K283:T283)</f>
        <v/>
      </c>
      <c r="J283" s="14">
        <f>F283-(G283+H283+I283)</f>
        <v/>
      </c>
      <c r="K283" s="14" t="n">
        <v>303.37</v>
      </c>
      <c r="L283" s="14" t="n">
        <v>303.37</v>
      </c>
      <c r="M283" s="14" t="n">
        <v>303.37</v>
      </c>
      <c r="N283" s="14" t="n">
        <v>303.37</v>
      </c>
      <c r="O283" s="14" t="n">
        <v>303.37</v>
      </c>
      <c r="P283" s="14" t="n">
        <v>303.37</v>
      </c>
      <c r="Q283" s="14" t="n">
        <v>303.37</v>
      </c>
      <c r="R283" s="14" t="n">
        <v>303.37</v>
      </c>
      <c r="S283" s="14" t="n">
        <v>303.37</v>
      </c>
      <c r="T283" s="14" t="n">
        <v>303.37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CANON-202606-007134</t>
        </is>
      </c>
      <c r="B284" s="15" t="inlineStr">
        <is>
          <t>2026-06-30</t>
        </is>
      </c>
      <c r="C284" s="15" t="inlineStr">
        <is>
          <t>Priya Vasquez</t>
        </is>
      </c>
      <c r="D284" s="15" t="inlineStr">
        <is>
          <t>AL</t>
        </is>
      </c>
      <c r="E284" s="16" t="n">
        <v>865000</v>
      </c>
      <c r="F284" s="16" t="n">
        <v>10303.98</v>
      </c>
      <c r="G284" s="16" t="n">
        <v>1288</v>
      </c>
      <c r="H284" s="16" t="n">
        <v>1288</v>
      </c>
      <c r="I284" s="16">
        <f>SUM(K284:T284)</f>
        <v/>
      </c>
      <c r="J284" s="16">
        <f>F284-(G284+H284+I284)</f>
        <v/>
      </c>
      <c r="K284" s="16" t="n">
        <v>772.8</v>
      </c>
      <c r="L284" s="16" t="n">
        <v>772.8</v>
      </c>
      <c r="M284" s="16" t="n">
        <v>772.8</v>
      </c>
      <c r="N284" s="16" t="n">
        <v>772.8</v>
      </c>
      <c r="O284" s="16" t="n">
        <v>772.8</v>
      </c>
      <c r="P284" s="16" t="n">
        <v>772.8</v>
      </c>
      <c r="Q284" s="16" t="n">
        <v>772.8</v>
      </c>
      <c r="R284" s="16" t="n">
        <v>772.8</v>
      </c>
      <c r="S284" s="16" t="n">
        <v>772.8</v>
      </c>
      <c r="T284" s="16" t="n">
        <v>772.8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CANON-202606-007135</t>
        </is>
      </c>
      <c r="B285" s="3" t="inlineStr">
        <is>
          <t>2026-06-18</t>
        </is>
      </c>
      <c r="C285" s="3" t="inlineStr">
        <is>
          <t>Leopold Nakashima</t>
        </is>
      </c>
      <c r="D285" s="3" t="inlineStr">
        <is>
          <t>FL</t>
        </is>
      </c>
      <c r="E285" s="14" t="n">
        <v>845000</v>
      </c>
      <c r="F285" s="14" t="n">
        <v>7445.36</v>
      </c>
      <c r="G285" s="14" t="n">
        <v>930.67</v>
      </c>
      <c r="H285" s="14" t="n">
        <v>930.67</v>
      </c>
      <c r="I285" s="14">
        <f>SUM(K285:T285)</f>
        <v/>
      </c>
      <c r="J285" s="14">
        <f>F285-(G285+H285+I285)</f>
        <v/>
      </c>
      <c r="K285" s="14" t="n">
        <v>558.4</v>
      </c>
      <c r="L285" s="14" t="n">
        <v>558.4</v>
      </c>
      <c r="M285" s="14" t="n">
        <v>558.4</v>
      </c>
      <c r="N285" s="14" t="n">
        <v>558.4</v>
      </c>
      <c r="O285" s="14" t="n">
        <v>558.4</v>
      </c>
      <c r="P285" s="14" t="n">
        <v>558.4</v>
      </c>
      <c r="Q285" s="14" t="n">
        <v>558.4</v>
      </c>
      <c r="R285" s="14" t="n">
        <v>558.4</v>
      </c>
      <c r="S285" s="14" t="n">
        <v>558.4</v>
      </c>
      <c r="T285" s="14" t="n">
        <v>558.4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CANON-202606-007136</t>
        </is>
      </c>
      <c r="B286" s="15" t="inlineStr">
        <is>
          <t>2026-06-24</t>
        </is>
      </c>
      <c r="C286" s="15" t="inlineStr">
        <is>
          <t>Marisol Whitlock</t>
        </is>
      </c>
      <c r="D286" s="15" t="inlineStr">
        <is>
          <t>AL</t>
        </is>
      </c>
      <c r="E286" s="16" t="n">
        <v>1195000</v>
      </c>
      <c r="F286" s="16" t="n">
        <v>17519.98</v>
      </c>
      <c r="G286" s="16" t="n">
        <v>2190</v>
      </c>
      <c r="H286" s="16" t="n">
        <v>2190</v>
      </c>
      <c r="I286" s="16">
        <f>SUM(K286:T286)</f>
        <v/>
      </c>
      <c r="J286" s="16">
        <f>F286-(G286+H286+I286)</f>
        <v/>
      </c>
      <c r="K286" s="16" t="n">
        <v>1314</v>
      </c>
      <c r="L286" s="16" t="n">
        <v>1314</v>
      </c>
      <c r="M286" s="16" t="n">
        <v>1314</v>
      </c>
      <c r="N286" s="16" t="n">
        <v>1314</v>
      </c>
      <c r="O286" s="16" t="n">
        <v>1314</v>
      </c>
      <c r="P286" s="16" t="n">
        <v>1314</v>
      </c>
      <c r="Q286" s="16" t="n">
        <v>1314</v>
      </c>
      <c r="R286" s="16" t="n">
        <v>1314</v>
      </c>
      <c r="S286" s="16" t="n">
        <v>1314</v>
      </c>
      <c r="T286" s="16" t="n">
        <v>1314</v>
      </c>
      <c r="U286" s="16" t="n">
        <v>350</v>
      </c>
      <c r="V286" s="16" t="n">
        <v>250</v>
      </c>
      <c r="W286" s="16">
        <f>U286+V286</f>
        <v/>
      </c>
    </row>
    <row r="287">
      <c r="A287" s="3" t="inlineStr">
        <is>
          <t>CANON-202606-007137</t>
        </is>
      </c>
      <c r="B287" s="3" t="inlineStr">
        <is>
          <t>2026-06-12</t>
        </is>
      </c>
      <c r="C287" s="3" t="inlineStr">
        <is>
          <t>Callum Vasquez</t>
        </is>
      </c>
      <c r="D287" s="3" t="inlineStr">
        <is>
          <t>TX</t>
        </is>
      </c>
      <c r="E287" s="14" t="n">
        <v>225000</v>
      </c>
      <c r="F287" s="14" t="n">
        <v>3435.11</v>
      </c>
      <c r="G287" s="14" t="n">
        <v>429.39</v>
      </c>
      <c r="H287" s="14" t="n">
        <v>429.39</v>
      </c>
      <c r="I287" s="14">
        <f>SUM(K287:T287)</f>
        <v/>
      </c>
      <c r="J287" s="14">
        <f>F287-(G287+H287+I287)</f>
        <v/>
      </c>
      <c r="K287" s="14" t="n">
        <v>257.63</v>
      </c>
      <c r="L287" s="14" t="n">
        <v>257.63</v>
      </c>
      <c r="M287" s="14" t="n">
        <v>257.63</v>
      </c>
      <c r="N287" s="14" t="n">
        <v>257.63</v>
      </c>
      <c r="O287" s="14" t="n">
        <v>257.63</v>
      </c>
      <c r="P287" s="14" t="n">
        <v>257.63</v>
      </c>
      <c r="Q287" s="14" t="n">
        <v>257.63</v>
      </c>
      <c r="R287" s="14" t="n">
        <v>257.63</v>
      </c>
      <c r="S287" s="14" t="n">
        <v>257.63</v>
      </c>
      <c r="T287" s="14" t="n">
        <v>257.63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CANON-202606-007138</t>
        </is>
      </c>
      <c r="B288" s="15" t="inlineStr">
        <is>
          <t>2026-06-03</t>
        </is>
      </c>
      <c r="C288" s="15" t="inlineStr">
        <is>
          <t>Sunniva Okonkwo</t>
        </is>
      </c>
      <c r="D288" s="15" t="inlineStr">
        <is>
          <t>CT</t>
        </is>
      </c>
      <c r="E288" s="16" t="n">
        <v>1270000</v>
      </c>
      <c r="F288" s="16" t="n">
        <v>16420.4</v>
      </c>
      <c r="G288" s="16" t="n">
        <v>2052.55</v>
      </c>
      <c r="H288" s="16" t="n">
        <v>2052.55</v>
      </c>
      <c r="I288" s="16">
        <f>SUM(K288:T288)</f>
        <v/>
      </c>
      <c r="J288" s="16">
        <f>F288-(G288+H288+I288)</f>
        <v/>
      </c>
      <c r="K288" s="16" t="n">
        <v>1231.53</v>
      </c>
      <c r="L288" s="16" t="n">
        <v>1231.53</v>
      </c>
      <c r="M288" s="16" t="n">
        <v>1231.53</v>
      </c>
      <c r="N288" s="16" t="n">
        <v>1231.53</v>
      </c>
      <c r="O288" s="16" t="n">
        <v>1231.53</v>
      </c>
      <c r="P288" s="16" t="n">
        <v>1231.53</v>
      </c>
      <c r="Q288" s="16" t="n">
        <v>1231.53</v>
      </c>
      <c r="R288" s="16" t="n">
        <v>1231.53</v>
      </c>
      <c r="S288" s="16" t="n">
        <v>1231.53</v>
      </c>
      <c r="T288" s="16" t="n">
        <v>1231.53</v>
      </c>
      <c r="U288" s="16" t="n">
        <v>350</v>
      </c>
      <c r="V288" s="16" t="n">
        <v>250</v>
      </c>
      <c r="W288" s="16">
        <f>U288+V288</f>
        <v/>
      </c>
    </row>
    <row r="289">
      <c r="A289" s="3" t="inlineStr">
        <is>
          <t>CANON-202606-007139</t>
        </is>
      </c>
      <c r="B289" s="3" t="inlineStr">
        <is>
          <t>2026-06-17</t>
        </is>
      </c>
      <c r="C289" s="3" t="inlineStr">
        <is>
          <t>Ramona Pennington</t>
        </is>
      </c>
      <c r="D289" s="3" t="inlineStr">
        <is>
          <t>MA</t>
        </is>
      </c>
      <c r="E289" s="14" t="n">
        <v>755000</v>
      </c>
      <c r="F289" s="14" t="n">
        <v>8852.02</v>
      </c>
      <c r="G289" s="14" t="n">
        <v>1106.5</v>
      </c>
      <c r="H289" s="14" t="n">
        <v>1106.5</v>
      </c>
      <c r="I289" s="14">
        <f>SUM(K289:T289)</f>
        <v/>
      </c>
      <c r="J289" s="14">
        <f>F289-(G289+H289+I289)</f>
        <v/>
      </c>
      <c r="K289" s="14" t="n">
        <v>663.9</v>
      </c>
      <c r="L289" s="14" t="n">
        <v>663.9</v>
      </c>
      <c r="M289" s="14" t="n">
        <v>663.9</v>
      </c>
      <c r="N289" s="14" t="n">
        <v>663.9</v>
      </c>
      <c r="O289" s="14" t="n">
        <v>663.9</v>
      </c>
      <c r="P289" s="14" t="n">
        <v>663.9</v>
      </c>
      <c r="Q289" s="14" t="n">
        <v>663.9</v>
      </c>
      <c r="R289" s="14" t="n">
        <v>663.9</v>
      </c>
      <c r="S289" s="14" t="n">
        <v>663.9</v>
      </c>
      <c r="T289" s="14" t="n">
        <v>663.9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CANON-202606-007140</t>
        </is>
      </c>
      <c r="B290" s="15" t="inlineStr">
        <is>
          <t>2026-06-17</t>
        </is>
      </c>
      <c r="C290" s="15" t="inlineStr">
        <is>
          <t>Sunniva Whitlock</t>
        </is>
      </c>
      <c r="D290" s="15" t="inlineStr">
        <is>
          <t>IL</t>
        </is>
      </c>
      <c r="E290" s="16" t="n">
        <v>1605000</v>
      </c>
      <c r="F290" s="16" t="n">
        <v>17324.02</v>
      </c>
      <c r="G290" s="16" t="n">
        <v>2165.5</v>
      </c>
      <c r="H290" s="16" t="n">
        <v>2165.5</v>
      </c>
      <c r="I290" s="16">
        <f>SUM(K290:T290)</f>
        <v/>
      </c>
      <c r="J290" s="16">
        <f>F290-(G290+H290+I290)</f>
        <v/>
      </c>
      <c r="K290" s="16" t="n">
        <v>1299.3</v>
      </c>
      <c r="L290" s="16" t="n">
        <v>1299.3</v>
      </c>
      <c r="M290" s="16" t="n">
        <v>1299.3</v>
      </c>
      <c r="N290" s="16" t="n">
        <v>1299.3</v>
      </c>
      <c r="O290" s="16" t="n">
        <v>1299.3</v>
      </c>
      <c r="P290" s="16" t="n">
        <v>1299.3</v>
      </c>
      <c r="Q290" s="16" t="n">
        <v>1299.3</v>
      </c>
      <c r="R290" s="16" t="n">
        <v>1299.3</v>
      </c>
      <c r="S290" s="16" t="n">
        <v>1299.3</v>
      </c>
      <c r="T290" s="16" t="n">
        <v>1299.3</v>
      </c>
      <c r="U290" s="16" t="n">
        <v>350</v>
      </c>
      <c r="V290" s="16" t="n">
        <v>250</v>
      </c>
      <c r="W290" s="16">
        <f>U290+V290</f>
        <v/>
      </c>
    </row>
    <row r="291">
      <c r="A291" s="3" t="inlineStr">
        <is>
          <t>CANON-202606-007141</t>
        </is>
      </c>
      <c r="B291" s="3" t="inlineStr">
        <is>
          <t>2026-06-20</t>
        </is>
      </c>
      <c r="C291" s="3" t="inlineStr">
        <is>
          <t>Fitzgerald Merriweather</t>
        </is>
      </c>
      <c r="D291" s="3" t="inlineStr">
        <is>
          <t>ID</t>
        </is>
      </c>
      <c r="E291" s="14" t="n">
        <v>375000</v>
      </c>
      <c r="F291" s="14" t="n">
        <v>6160.79</v>
      </c>
      <c r="G291" s="14" t="n">
        <v>770.1</v>
      </c>
      <c r="H291" s="14" t="n">
        <v>770.1</v>
      </c>
      <c r="I291" s="14">
        <f>SUM(K291:T291)</f>
        <v/>
      </c>
      <c r="J291" s="14">
        <f>F291-(G291+H291+I291)</f>
        <v/>
      </c>
      <c r="K291" s="14" t="n">
        <v>462.06</v>
      </c>
      <c r="L291" s="14" t="n">
        <v>462.06</v>
      </c>
      <c r="M291" s="14" t="n">
        <v>462.06</v>
      </c>
      <c r="N291" s="14" t="n">
        <v>462.06</v>
      </c>
      <c r="O291" s="14" t="n">
        <v>462.06</v>
      </c>
      <c r="P291" s="14" t="n">
        <v>462.06</v>
      </c>
      <c r="Q291" s="14" t="n">
        <v>462.06</v>
      </c>
      <c r="R291" s="14" t="n">
        <v>462.06</v>
      </c>
      <c r="S291" s="14" t="n">
        <v>462.06</v>
      </c>
      <c r="T291" s="14" t="n">
        <v>462.06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CANON-202606-007144</t>
        </is>
      </c>
      <c r="B292" s="15" t="inlineStr">
        <is>
          <t>2026-06-28</t>
        </is>
      </c>
      <c r="C292" s="15" t="inlineStr">
        <is>
          <t>Ottilie Fairweather</t>
        </is>
      </c>
      <c r="D292" s="15" t="inlineStr">
        <is>
          <t>CA</t>
        </is>
      </c>
      <c r="E292" s="16" t="n">
        <v>595000</v>
      </c>
      <c r="F292" s="16" t="n">
        <v>7534.18</v>
      </c>
      <c r="G292" s="16" t="n">
        <v>941.77</v>
      </c>
      <c r="H292" s="16" t="n">
        <v>941.77</v>
      </c>
      <c r="I292" s="16">
        <f>SUM(K292:T292)</f>
        <v/>
      </c>
      <c r="J292" s="16">
        <f>F292-(G292+H292+I292)</f>
        <v/>
      </c>
      <c r="K292" s="16" t="n">
        <v>565.0599999999999</v>
      </c>
      <c r="L292" s="16" t="n">
        <v>565.0599999999999</v>
      </c>
      <c r="M292" s="16" t="n">
        <v>565.0599999999999</v>
      </c>
      <c r="N292" s="16" t="n">
        <v>565.0599999999999</v>
      </c>
      <c r="O292" s="16" t="n">
        <v>565.0599999999999</v>
      </c>
      <c r="P292" s="16" t="n">
        <v>565.0599999999999</v>
      </c>
      <c r="Q292" s="16" t="n">
        <v>565.0599999999999</v>
      </c>
      <c r="R292" s="16" t="n">
        <v>565.0599999999999</v>
      </c>
      <c r="S292" s="16" t="n">
        <v>565.0599999999999</v>
      </c>
      <c r="T292" s="16" t="n">
        <v>565.0599999999999</v>
      </c>
      <c r="U292" s="16" t="n">
        <v>350</v>
      </c>
      <c r="V292" s="16" t="n">
        <v>0</v>
      </c>
      <c r="W292" s="16">
        <f>U292+V292</f>
        <v/>
      </c>
    </row>
    <row r="293">
      <c r="A293" s="3" t="inlineStr">
        <is>
          <t>CANON-202606-007147</t>
        </is>
      </c>
      <c r="B293" s="3" t="inlineStr">
        <is>
          <t>2026-06-19</t>
        </is>
      </c>
      <c r="C293" s="3" t="inlineStr">
        <is>
          <t>Saoirse Merriweather</t>
        </is>
      </c>
      <c r="D293" s="3" t="inlineStr">
        <is>
          <t>WY</t>
        </is>
      </c>
      <c r="E293" s="14" t="n">
        <v>750000</v>
      </c>
      <c r="F293" s="14" t="n">
        <v>11001.21</v>
      </c>
      <c r="G293" s="14" t="n">
        <v>1375.15</v>
      </c>
      <c r="H293" s="14" t="n">
        <v>1375.15</v>
      </c>
      <c r="I293" s="14">
        <f>SUM(K293:T293)</f>
        <v/>
      </c>
      <c r="J293" s="14">
        <f>F293-(G293+H293+I293)</f>
        <v/>
      </c>
      <c r="K293" s="14" t="n">
        <v>825.09</v>
      </c>
      <c r="L293" s="14" t="n">
        <v>825.09</v>
      </c>
      <c r="M293" s="14" t="n">
        <v>825.09</v>
      </c>
      <c r="N293" s="14" t="n">
        <v>825.09</v>
      </c>
      <c r="O293" s="14" t="n">
        <v>825.09</v>
      </c>
      <c r="P293" s="14" t="n">
        <v>825.09</v>
      </c>
      <c r="Q293" s="14" t="n">
        <v>825.09</v>
      </c>
      <c r="R293" s="14" t="n">
        <v>825.09</v>
      </c>
      <c r="S293" s="14" t="n">
        <v>825.09</v>
      </c>
      <c r="T293" s="14" t="n">
        <v>825.09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CANON-202606-007148</t>
        </is>
      </c>
      <c r="B294" s="15" t="inlineStr">
        <is>
          <t>2026-06-24</t>
        </is>
      </c>
      <c r="C294" s="15" t="inlineStr">
        <is>
          <t>Fenwick Montoya</t>
        </is>
      </c>
      <c r="D294" s="15" t="inlineStr">
        <is>
          <t>MS</t>
        </is>
      </c>
      <c r="E294" s="16" t="n">
        <v>660000</v>
      </c>
      <c r="F294" s="16" t="n">
        <v>7366.75</v>
      </c>
      <c r="G294" s="16" t="n">
        <v>920.84</v>
      </c>
      <c r="H294" s="16" t="n">
        <v>920.84</v>
      </c>
      <c r="I294" s="16">
        <f>SUM(K294:T294)</f>
        <v/>
      </c>
      <c r="J294" s="16">
        <f>F294-(G294+H294+I294)</f>
        <v/>
      </c>
      <c r="K294" s="16" t="n">
        <v>552.51</v>
      </c>
      <c r="L294" s="16" t="n">
        <v>552.51</v>
      </c>
      <c r="M294" s="16" t="n">
        <v>552.51</v>
      </c>
      <c r="N294" s="16" t="n">
        <v>552.51</v>
      </c>
      <c r="O294" s="16" t="n">
        <v>552.51</v>
      </c>
      <c r="P294" s="16" t="n">
        <v>552.51</v>
      </c>
      <c r="Q294" s="16" t="n">
        <v>552.51</v>
      </c>
      <c r="R294" s="16" t="n">
        <v>552.51</v>
      </c>
      <c r="S294" s="16" t="n">
        <v>552.51</v>
      </c>
      <c r="T294" s="16" t="n">
        <v>552.51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CANON-202606-007149</t>
        </is>
      </c>
      <c r="B295" s="3" t="inlineStr">
        <is>
          <t>2026-06-06</t>
        </is>
      </c>
      <c r="C295" s="3" t="inlineStr">
        <is>
          <t>Priya Blackwood</t>
        </is>
      </c>
      <c r="D295" s="3" t="inlineStr">
        <is>
          <t>NJ</t>
        </is>
      </c>
      <c r="E295" s="14" t="n">
        <v>665000</v>
      </c>
      <c r="F295" s="14" t="n">
        <v>5676.08</v>
      </c>
      <c r="G295" s="14" t="n">
        <v>709.51</v>
      </c>
      <c r="H295" s="14" t="n">
        <v>709.51</v>
      </c>
      <c r="I295" s="14">
        <f>SUM(K295:T295)</f>
        <v/>
      </c>
      <c r="J295" s="14">
        <f>F295-(G295+H295+I295)</f>
        <v/>
      </c>
      <c r="K295" s="14" t="n">
        <v>425.71</v>
      </c>
      <c r="L295" s="14" t="n">
        <v>425.71</v>
      </c>
      <c r="M295" s="14" t="n">
        <v>425.71</v>
      </c>
      <c r="N295" s="14" t="n">
        <v>425.71</v>
      </c>
      <c r="O295" s="14" t="n">
        <v>425.71</v>
      </c>
      <c r="P295" s="14" t="n">
        <v>425.71</v>
      </c>
      <c r="Q295" s="14" t="n">
        <v>425.71</v>
      </c>
      <c r="R295" s="14" t="n">
        <v>425.71</v>
      </c>
      <c r="S295" s="14" t="n">
        <v>425.71</v>
      </c>
      <c r="T295" s="14" t="n">
        <v>425.71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CANON-202606-007150</t>
        </is>
      </c>
      <c r="B296" s="15" t="inlineStr">
        <is>
          <t>2026-06-07</t>
        </is>
      </c>
      <c r="C296" s="15" t="inlineStr">
        <is>
          <t>Callum Blackwood</t>
        </is>
      </c>
      <c r="D296" s="15" t="inlineStr">
        <is>
          <t>CA</t>
        </is>
      </c>
      <c r="E296" s="16" t="n">
        <v>1330000</v>
      </c>
      <c r="F296" s="16" t="n">
        <v>20727.53</v>
      </c>
      <c r="G296" s="16" t="n">
        <v>2590.94</v>
      </c>
      <c r="H296" s="16" t="n">
        <v>2590.94</v>
      </c>
      <c r="I296" s="16">
        <f>SUM(K296:T296)</f>
        <v/>
      </c>
      <c r="J296" s="16">
        <f>F296-(G296+H296+I296)</f>
        <v/>
      </c>
      <c r="K296" s="16" t="n">
        <v>1554.56</v>
      </c>
      <c r="L296" s="16" t="n">
        <v>1554.56</v>
      </c>
      <c r="M296" s="16" t="n">
        <v>1554.56</v>
      </c>
      <c r="N296" s="16" t="n">
        <v>1554.56</v>
      </c>
      <c r="O296" s="16" t="n">
        <v>1554.56</v>
      </c>
      <c r="P296" s="16" t="n">
        <v>1554.56</v>
      </c>
      <c r="Q296" s="16" t="n">
        <v>1554.56</v>
      </c>
      <c r="R296" s="16" t="n">
        <v>1554.56</v>
      </c>
      <c r="S296" s="16" t="n">
        <v>1554.56</v>
      </c>
      <c r="T296" s="16" t="n">
        <v>1554.56</v>
      </c>
      <c r="U296" s="16" t="n">
        <v>350</v>
      </c>
      <c r="V296" s="16" t="n">
        <v>250</v>
      </c>
      <c r="W296" s="16">
        <f>U296+V296</f>
        <v/>
      </c>
    </row>
    <row r="297">
      <c r="A297" s="3" t="inlineStr">
        <is>
          <t>CANON-202606-007151</t>
        </is>
      </c>
      <c r="B297" s="3" t="inlineStr">
        <is>
          <t>2026-06-23</t>
        </is>
      </c>
      <c r="C297" s="3" t="inlineStr">
        <is>
          <t>Sunniva Montoya</t>
        </is>
      </c>
      <c r="D297" s="3" t="inlineStr">
        <is>
          <t>NH</t>
        </is>
      </c>
      <c r="E297" s="14" t="n">
        <v>1080000</v>
      </c>
      <c r="F297" s="14" t="n">
        <v>12966.39</v>
      </c>
      <c r="G297" s="14" t="n">
        <v>1620.8</v>
      </c>
      <c r="H297" s="14" t="n">
        <v>1620.8</v>
      </c>
      <c r="I297" s="14">
        <f>SUM(K297:T297)</f>
        <v/>
      </c>
      <c r="J297" s="14">
        <f>F297-(G297+H297+I297)</f>
        <v/>
      </c>
      <c r="K297" s="14" t="n">
        <v>972.48</v>
      </c>
      <c r="L297" s="14" t="n">
        <v>972.48</v>
      </c>
      <c r="M297" s="14" t="n">
        <v>972.48</v>
      </c>
      <c r="N297" s="14" t="n">
        <v>972.48</v>
      </c>
      <c r="O297" s="14" t="n">
        <v>972.48</v>
      </c>
      <c r="P297" s="14" t="n">
        <v>972.48</v>
      </c>
      <c r="Q297" s="14" t="n">
        <v>972.48</v>
      </c>
      <c r="R297" s="14" t="n">
        <v>972.48</v>
      </c>
      <c r="S297" s="14" t="n">
        <v>972.48</v>
      </c>
      <c r="T297" s="14" t="n">
        <v>972.48</v>
      </c>
      <c r="U297" s="14" t="n">
        <v>350</v>
      </c>
      <c r="V297" s="14" t="n">
        <v>250</v>
      </c>
      <c r="W297" s="14">
        <f>U297+V297</f>
        <v/>
      </c>
    </row>
    <row r="298">
      <c r="A298" s="15" t="inlineStr">
        <is>
          <t>CANON-202606-007152</t>
        </is>
      </c>
      <c r="B298" s="15" t="inlineStr">
        <is>
          <t>2026-06-03</t>
        </is>
      </c>
      <c r="C298" s="15" t="inlineStr">
        <is>
          <t>Delphine Rourke</t>
        </is>
      </c>
      <c r="D298" s="15" t="inlineStr">
        <is>
          <t>MO</t>
        </is>
      </c>
      <c r="E298" s="16" t="n">
        <v>1175000</v>
      </c>
      <c r="F298" s="16" t="n">
        <v>6829.66</v>
      </c>
      <c r="G298" s="16" t="n">
        <v>853.71</v>
      </c>
      <c r="H298" s="16" t="n">
        <v>853.71</v>
      </c>
      <c r="I298" s="16">
        <f>SUM(K298:T298)</f>
        <v/>
      </c>
      <c r="J298" s="16">
        <f>F298-(G298+H298+I298)</f>
        <v/>
      </c>
      <c r="K298" s="16" t="n">
        <v>512.22</v>
      </c>
      <c r="L298" s="16" t="n">
        <v>512.22</v>
      </c>
      <c r="M298" s="16" t="n">
        <v>512.22</v>
      </c>
      <c r="N298" s="16" t="n">
        <v>512.22</v>
      </c>
      <c r="O298" s="16" t="n">
        <v>512.22</v>
      </c>
      <c r="P298" s="16" t="n">
        <v>512.22</v>
      </c>
      <c r="Q298" s="16" t="n">
        <v>512.22</v>
      </c>
      <c r="R298" s="16" t="n">
        <v>512.22</v>
      </c>
      <c r="S298" s="16" t="n">
        <v>512.22</v>
      </c>
      <c r="T298" s="16" t="n">
        <v>512.22</v>
      </c>
      <c r="U298" s="16" t="n">
        <v>350</v>
      </c>
      <c r="V298" s="16" t="n">
        <v>250</v>
      </c>
      <c r="W298" s="16">
        <f>U298+V298</f>
        <v/>
      </c>
    </row>
    <row r="299">
      <c r="A299" s="3" t="inlineStr">
        <is>
          <t>CANON-202606-007153</t>
        </is>
      </c>
      <c r="B299" s="3" t="inlineStr">
        <is>
          <t>2026-06-22</t>
        </is>
      </c>
      <c r="C299" s="3" t="inlineStr">
        <is>
          <t>Delphine Farkas</t>
        </is>
      </c>
      <c r="D299" s="3" t="inlineStr">
        <is>
          <t>MS</t>
        </is>
      </c>
      <c r="E299" s="14" t="n">
        <v>385000</v>
      </c>
      <c r="F299" s="14" t="n">
        <v>4958.39</v>
      </c>
      <c r="G299" s="14" t="n">
        <v>619.8</v>
      </c>
      <c r="H299" s="14" t="n">
        <v>619.8</v>
      </c>
      <c r="I299" s="14">
        <f>SUM(K299:T299)</f>
        <v/>
      </c>
      <c r="J299" s="14">
        <f>F299-(G299+H299+I299)</f>
        <v/>
      </c>
      <c r="K299" s="14" t="n">
        <v>371.88</v>
      </c>
      <c r="L299" s="14" t="n">
        <v>371.88</v>
      </c>
      <c r="M299" s="14" t="n">
        <v>371.88</v>
      </c>
      <c r="N299" s="14" t="n">
        <v>371.88</v>
      </c>
      <c r="O299" s="14" t="n">
        <v>371.88</v>
      </c>
      <c r="P299" s="14" t="n">
        <v>371.88</v>
      </c>
      <c r="Q299" s="14" t="n">
        <v>371.88</v>
      </c>
      <c r="R299" s="14" t="n">
        <v>371.88</v>
      </c>
      <c r="S299" s="14" t="n">
        <v>371.88</v>
      </c>
      <c r="T299" s="14" t="n">
        <v>371.88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CANON-202606-007154</t>
        </is>
      </c>
      <c r="B300" s="15" t="inlineStr">
        <is>
          <t>2026-06-21</t>
        </is>
      </c>
      <c r="C300" s="15" t="inlineStr">
        <is>
          <t>Everett Castellanos</t>
        </is>
      </c>
      <c r="D300" s="15" t="inlineStr">
        <is>
          <t>NC</t>
        </is>
      </c>
      <c r="E300" s="16" t="n">
        <v>1425000</v>
      </c>
      <c r="F300" s="16" t="n">
        <v>8986.040000000001</v>
      </c>
      <c r="G300" s="16" t="n">
        <v>1123.26</v>
      </c>
      <c r="H300" s="16" t="n">
        <v>1123.26</v>
      </c>
      <c r="I300" s="16">
        <f>SUM(K300:T300)</f>
        <v/>
      </c>
      <c r="J300" s="16">
        <f>F300-(G300+H300+I300)</f>
        <v/>
      </c>
      <c r="K300" s="16" t="n">
        <v>673.95</v>
      </c>
      <c r="L300" s="16" t="n">
        <v>673.95</v>
      </c>
      <c r="M300" s="16" t="n">
        <v>673.95</v>
      </c>
      <c r="N300" s="16" t="n">
        <v>673.95</v>
      </c>
      <c r="O300" s="16" t="n">
        <v>673.95</v>
      </c>
      <c r="P300" s="16" t="n">
        <v>673.95</v>
      </c>
      <c r="Q300" s="16" t="n">
        <v>673.95</v>
      </c>
      <c r="R300" s="16" t="n">
        <v>673.95</v>
      </c>
      <c r="S300" s="16" t="n">
        <v>673.95</v>
      </c>
      <c r="T300" s="16" t="n">
        <v>673.95</v>
      </c>
      <c r="U300" s="16" t="n">
        <v>350</v>
      </c>
      <c r="V300" s="16" t="n">
        <v>250</v>
      </c>
      <c r="W300" s="16">
        <f>U300+V300</f>
        <v/>
      </c>
    </row>
    <row r="301">
      <c r="A301" s="3" t="inlineStr">
        <is>
          <t>CANON-202606-007155</t>
        </is>
      </c>
      <c r="B301" s="3" t="inlineStr">
        <is>
          <t>2026-06-24</t>
        </is>
      </c>
      <c r="C301" s="3" t="inlineStr">
        <is>
          <t>Priya Castellanos</t>
        </is>
      </c>
      <c r="D301" s="3" t="inlineStr">
        <is>
          <t>FL</t>
        </is>
      </c>
      <c r="E301" s="14" t="n">
        <v>590000</v>
      </c>
      <c r="F301" s="14" t="n">
        <v>11485.13</v>
      </c>
      <c r="G301" s="14" t="n">
        <v>1435.64</v>
      </c>
      <c r="H301" s="14" t="n">
        <v>1435.64</v>
      </c>
      <c r="I301" s="14">
        <f>SUM(K301:T301)</f>
        <v/>
      </c>
      <c r="J301" s="14">
        <f>F301-(G301+H301+I301)</f>
        <v/>
      </c>
      <c r="K301" s="14" t="n">
        <v>861.38</v>
      </c>
      <c r="L301" s="14" t="n">
        <v>861.38</v>
      </c>
      <c r="M301" s="14" t="n">
        <v>861.38</v>
      </c>
      <c r="N301" s="14" t="n">
        <v>861.38</v>
      </c>
      <c r="O301" s="14" t="n">
        <v>861.38</v>
      </c>
      <c r="P301" s="14" t="n">
        <v>861.38</v>
      </c>
      <c r="Q301" s="14" t="n">
        <v>861.38</v>
      </c>
      <c r="R301" s="14" t="n">
        <v>861.38</v>
      </c>
      <c r="S301" s="14" t="n">
        <v>861.38</v>
      </c>
      <c r="T301" s="14" t="n">
        <v>861.38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CANON-202606-007156</t>
        </is>
      </c>
      <c r="B302" s="15" t="inlineStr">
        <is>
          <t>2026-06-07</t>
        </is>
      </c>
      <c r="C302" s="15" t="inlineStr">
        <is>
          <t>Cassius Farkas</t>
        </is>
      </c>
      <c r="D302" s="15" t="inlineStr">
        <is>
          <t>PA</t>
        </is>
      </c>
      <c r="E302" s="16" t="n">
        <v>290000</v>
      </c>
      <c r="F302" s="16" t="n">
        <v>4812.47</v>
      </c>
      <c r="G302" s="16" t="n">
        <v>601.5599999999999</v>
      </c>
      <c r="H302" s="16" t="n">
        <v>601.5599999999999</v>
      </c>
      <c r="I302" s="16">
        <f>SUM(K302:T302)</f>
        <v/>
      </c>
      <c r="J302" s="16">
        <f>F302-(G302+H302+I302)</f>
        <v/>
      </c>
      <c r="K302" s="16" t="n">
        <v>360.94</v>
      </c>
      <c r="L302" s="16" t="n">
        <v>360.94</v>
      </c>
      <c r="M302" s="16" t="n">
        <v>360.94</v>
      </c>
      <c r="N302" s="16" t="n">
        <v>360.94</v>
      </c>
      <c r="O302" s="16" t="n">
        <v>360.94</v>
      </c>
      <c r="P302" s="16" t="n">
        <v>360.94</v>
      </c>
      <c r="Q302" s="16" t="n">
        <v>360.94</v>
      </c>
      <c r="R302" s="16" t="n">
        <v>360.94</v>
      </c>
      <c r="S302" s="16" t="n">
        <v>360.94</v>
      </c>
      <c r="T302" s="16" t="n">
        <v>360.94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CANON-202606-007158</t>
        </is>
      </c>
      <c r="B303" s="3" t="inlineStr">
        <is>
          <t>2026-06-17</t>
        </is>
      </c>
      <c r="C303" s="3" t="inlineStr">
        <is>
          <t>Horace Ashcombe</t>
        </is>
      </c>
      <c r="D303" s="3" t="inlineStr">
        <is>
          <t>SC</t>
        </is>
      </c>
      <c r="E303" s="14" t="n">
        <v>685000</v>
      </c>
      <c r="F303" s="14" t="n">
        <v>7967.05</v>
      </c>
      <c r="G303" s="14" t="n">
        <v>995.88</v>
      </c>
      <c r="H303" s="14" t="n">
        <v>995.88</v>
      </c>
      <c r="I303" s="14">
        <f>SUM(K303:T303)</f>
        <v/>
      </c>
      <c r="J303" s="14">
        <f>F303-(G303+H303+I303)</f>
        <v/>
      </c>
      <c r="K303" s="14" t="n">
        <v>597.53</v>
      </c>
      <c r="L303" s="14" t="n">
        <v>597.53</v>
      </c>
      <c r="M303" s="14" t="n">
        <v>597.53</v>
      </c>
      <c r="N303" s="14" t="n">
        <v>597.53</v>
      </c>
      <c r="O303" s="14" t="n">
        <v>597.53</v>
      </c>
      <c r="P303" s="14" t="n">
        <v>597.53</v>
      </c>
      <c r="Q303" s="14" t="n">
        <v>597.53</v>
      </c>
      <c r="R303" s="14" t="n">
        <v>597.53</v>
      </c>
      <c r="S303" s="14" t="n">
        <v>597.53</v>
      </c>
      <c r="T303" s="14" t="n">
        <v>597.53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CANON-202606-007159</t>
        </is>
      </c>
      <c r="B304" s="15" t="inlineStr">
        <is>
          <t>2026-06-15</t>
        </is>
      </c>
      <c r="C304" s="15" t="inlineStr">
        <is>
          <t>Callum Underwood</t>
        </is>
      </c>
      <c r="D304" s="15" t="inlineStr">
        <is>
          <t>MN</t>
        </is>
      </c>
      <c r="E304" s="16" t="n">
        <v>265000</v>
      </c>
      <c r="F304" s="16" t="n">
        <v>3785.76</v>
      </c>
      <c r="G304" s="16" t="n">
        <v>473.22</v>
      </c>
      <c r="H304" s="16" t="n">
        <v>473.22</v>
      </c>
      <c r="I304" s="16">
        <f>SUM(K304:T304)</f>
        <v/>
      </c>
      <c r="J304" s="16">
        <f>F304-(G304+H304+I304)</f>
        <v/>
      </c>
      <c r="K304" s="16" t="n">
        <v>283.93</v>
      </c>
      <c r="L304" s="16" t="n">
        <v>283.93</v>
      </c>
      <c r="M304" s="16" t="n">
        <v>283.93</v>
      </c>
      <c r="N304" s="16" t="n">
        <v>283.93</v>
      </c>
      <c r="O304" s="16" t="n">
        <v>283.93</v>
      </c>
      <c r="P304" s="16" t="n">
        <v>283.93</v>
      </c>
      <c r="Q304" s="16" t="n">
        <v>283.93</v>
      </c>
      <c r="R304" s="16" t="n">
        <v>283.93</v>
      </c>
      <c r="S304" s="16" t="n">
        <v>283.93</v>
      </c>
      <c r="T304" s="16" t="n">
        <v>283.93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CANON-202606-007161</t>
        </is>
      </c>
      <c r="B305" s="3" t="inlineStr">
        <is>
          <t>2026-06-22</t>
        </is>
      </c>
      <c r="C305" s="3" t="inlineStr">
        <is>
          <t>Everett Whitlock</t>
        </is>
      </c>
      <c r="D305" s="3" t="inlineStr">
        <is>
          <t>UT</t>
        </is>
      </c>
      <c r="E305" s="14" t="n">
        <v>295000</v>
      </c>
      <c r="F305" s="14" t="n">
        <v>4310.11</v>
      </c>
      <c r="G305" s="14" t="n">
        <v>538.76</v>
      </c>
      <c r="H305" s="14" t="n">
        <v>538.76</v>
      </c>
      <c r="I305" s="14">
        <f>SUM(K305:T305)</f>
        <v/>
      </c>
      <c r="J305" s="14">
        <f>F305-(G305+H305+I305)</f>
        <v/>
      </c>
      <c r="K305" s="14" t="n">
        <v>323.26</v>
      </c>
      <c r="L305" s="14" t="n">
        <v>323.26</v>
      </c>
      <c r="M305" s="14" t="n">
        <v>323.26</v>
      </c>
      <c r="N305" s="14" t="n">
        <v>323.26</v>
      </c>
      <c r="O305" s="14" t="n">
        <v>323.26</v>
      </c>
      <c r="P305" s="14" t="n">
        <v>323.26</v>
      </c>
      <c r="Q305" s="14" t="n">
        <v>323.26</v>
      </c>
      <c r="R305" s="14" t="n">
        <v>323.26</v>
      </c>
      <c r="S305" s="14" t="n">
        <v>323.26</v>
      </c>
      <c r="T305" s="14" t="n">
        <v>323.26</v>
      </c>
      <c r="U305" s="14" t="n">
        <v>350</v>
      </c>
      <c r="V305" s="14" t="n">
        <v>0</v>
      </c>
      <c r="W305" s="14">
        <f>U305+V305</f>
        <v/>
      </c>
    </row>
    <row r="306">
      <c r="A306" s="15" t="inlineStr">
        <is>
          <t>CANON-202606-007162</t>
        </is>
      </c>
      <c r="B306" s="15" t="inlineStr">
        <is>
          <t>2026-06-23</t>
        </is>
      </c>
      <c r="C306" s="15" t="inlineStr">
        <is>
          <t>Leopold Delacroix</t>
        </is>
      </c>
      <c r="D306" s="15" t="inlineStr">
        <is>
          <t>MT</t>
        </is>
      </c>
      <c r="E306" s="16" t="n">
        <v>1280000</v>
      </c>
      <c r="F306" s="16" t="n">
        <v>13742.16</v>
      </c>
      <c r="G306" s="16" t="n">
        <v>1717.77</v>
      </c>
      <c r="H306" s="16" t="n">
        <v>1717.77</v>
      </c>
      <c r="I306" s="16">
        <f>SUM(K306:T306)</f>
        <v/>
      </c>
      <c r="J306" s="16">
        <f>F306-(G306+H306+I306)</f>
        <v/>
      </c>
      <c r="K306" s="16" t="n">
        <v>1030.66</v>
      </c>
      <c r="L306" s="16" t="n">
        <v>1030.66</v>
      </c>
      <c r="M306" s="16" t="n">
        <v>1030.66</v>
      </c>
      <c r="N306" s="16" t="n">
        <v>1030.66</v>
      </c>
      <c r="O306" s="16" t="n">
        <v>1030.66</v>
      </c>
      <c r="P306" s="16" t="n">
        <v>1030.66</v>
      </c>
      <c r="Q306" s="16" t="n">
        <v>1030.66</v>
      </c>
      <c r="R306" s="16" t="n">
        <v>1030.66</v>
      </c>
      <c r="S306" s="16" t="n">
        <v>1030.66</v>
      </c>
      <c r="T306" s="16" t="n">
        <v>1030.66</v>
      </c>
      <c r="U306" s="16" t="n">
        <v>350</v>
      </c>
      <c r="V306" s="16" t="n">
        <v>250</v>
      </c>
      <c r="W306" s="16">
        <f>U306+V306</f>
        <v/>
      </c>
    </row>
    <row r="307">
      <c r="A307" s="3" t="inlineStr">
        <is>
          <t>CANON-202606-007165</t>
        </is>
      </c>
      <c r="B307" s="3" t="inlineStr">
        <is>
          <t>2026-06-12</t>
        </is>
      </c>
      <c r="C307" s="3" t="inlineStr">
        <is>
          <t>Marisol Pennington</t>
        </is>
      </c>
      <c r="D307" s="3" t="inlineStr">
        <is>
          <t>AL</t>
        </is>
      </c>
      <c r="E307" s="14" t="n">
        <v>495000</v>
      </c>
      <c r="F307" s="14" t="n">
        <v>6803.65</v>
      </c>
      <c r="G307" s="14" t="n">
        <v>850.46</v>
      </c>
      <c r="H307" s="14" t="n">
        <v>850.46</v>
      </c>
      <c r="I307" s="14">
        <f>SUM(K307:T307)</f>
        <v/>
      </c>
      <c r="J307" s="14">
        <f>F307-(G307+H307+I307)</f>
        <v/>
      </c>
      <c r="K307" s="14" t="n">
        <v>510.27</v>
      </c>
      <c r="L307" s="14" t="n">
        <v>510.27</v>
      </c>
      <c r="M307" s="14" t="n">
        <v>510.27</v>
      </c>
      <c r="N307" s="14" t="n">
        <v>510.27</v>
      </c>
      <c r="O307" s="14" t="n">
        <v>510.27</v>
      </c>
      <c r="P307" s="14" t="n">
        <v>510.27</v>
      </c>
      <c r="Q307" s="14" t="n">
        <v>510.27</v>
      </c>
      <c r="R307" s="14" t="n">
        <v>510.27</v>
      </c>
      <c r="S307" s="14" t="n">
        <v>510.27</v>
      </c>
      <c r="T307" s="14" t="n">
        <v>510.27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CANON-202606-007166</t>
        </is>
      </c>
      <c r="B308" s="15" t="inlineStr">
        <is>
          <t>2026-06-04</t>
        </is>
      </c>
      <c r="C308" s="15" t="inlineStr">
        <is>
          <t>Thaddeus Fairweather</t>
        </is>
      </c>
      <c r="D308" s="15" t="inlineStr">
        <is>
          <t>AK</t>
        </is>
      </c>
      <c r="E308" s="16" t="n">
        <v>1170000</v>
      </c>
      <c r="F308" s="16" t="n">
        <v>10585.84</v>
      </c>
      <c r="G308" s="16" t="n">
        <v>1323.23</v>
      </c>
      <c r="H308" s="16" t="n">
        <v>1323.23</v>
      </c>
      <c r="I308" s="16">
        <f>SUM(K308:T308)</f>
        <v/>
      </c>
      <c r="J308" s="16">
        <f>F308-(G308+H308+I308)</f>
        <v/>
      </c>
      <c r="K308" s="16" t="n">
        <v>793.9400000000001</v>
      </c>
      <c r="L308" s="16" t="n">
        <v>793.9400000000001</v>
      </c>
      <c r="M308" s="16" t="n">
        <v>793.9400000000001</v>
      </c>
      <c r="N308" s="16" t="n">
        <v>793.9400000000001</v>
      </c>
      <c r="O308" s="16" t="n">
        <v>793.9400000000001</v>
      </c>
      <c r="P308" s="16" t="n">
        <v>793.9400000000001</v>
      </c>
      <c r="Q308" s="16" t="n">
        <v>793.9400000000001</v>
      </c>
      <c r="R308" s="16" t="n">
        <v>793.9400000000001</v>
      </c>
      <c r="S308" s="16" t="n">
        <v>793.9400000000001</v>
      </c>
      <c r="T308" s="16" t="n">
        <v>793.9400000000001</v>
      </c>
      <c r="U308" s="16" t="n">
        <v>350</v>
      </c>
      <c r="V308" s="16" t="n">
        <v>250</v>
      </c>
      <c r="W308" s="16">
        <f>U308+V308</f>
        <v/>
      </c>
    </row>
    <row r="309">
      <c r="A309" s="3" t="inlineStr">
        <is>
          <t>CANON-202606-007167</t>
        </is>
      </c>
      <c r="B309" s="3" t="inlineStr">
        <is>
          <t>2026-06-18</t>
        </is>
      </c>
      <c r="C309" s="3" t="inlineStr">
        <is>
          <t>Desmond Vasquez</t>
        </is>
      </c>
      <c r="D309" s="3" t="inlineStr">
        <is>
          <t>IL</t>
        </is>
      </c>
      <c r="E309" s="14" t="n">
        <v>240000</v>
      </c>
      <c r="F309" s="14" t="n">
        <v>4945.52</v>
      </c>
      <c r="G309" s="14" t="n">
        <v>618.1900000000001</v>
      </c>
      <c r="H309" s="14" t="n">
        <v>618.1900000000001</v>
      </c>
      <c r="I309" s="14">
        <f>SUM(K309:T309)</f>
        <v/>
      </c>
      <c r="J309" s="14">
        <f>F309-(G309+H309+I309)</f>
        <v/>
      </c>
      <c r="K309" s="14" t="n">
        <v>370.91</v>
      </c>
      <c r="L309" s="14" t="n">
        <v>370.91</v>
      </c>
      <c r="M309" s="14" t="n">
        <v>370.91</v>
      </c>
      <c r="N309" s="14" t="n">
        <v>370.91</v>
      </c>
      <c r="O309" s="14" t="n">
        <v>370.91</v>
      </c>
      <c r="P309" s="14" t="n">
        <v>370.91</v>
      </c>
      <c r="Q309" s="14" t="n">
        <v>370.91</v>
      </c>
      <c r="R309" s="14" t="n">
        <v>370.91</v>
      </c>
      <c r="S309" s="14" t="n">
        <v>370.91</v>
      </c>
      <c r="T309" s="14" t="n">
        <v>370.91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CANON-202606-007168</t>
        </is>
      </c>
      <c r="B310" s="15" t="inlineStr">
        <is>
          <t>2026-06-16</t>
        </is>
      </c>
      <c r="C310" s="15" t="inlineStr">
        <is>
          <t>Ramona Vasquez</t>
        </is>
      </c>
      <c r="D310" s="15" t="inlineStr">
        <is>
          <t>FL</t>
        </is>
      </c>
      <c r="E310" s="16" t="n">
        <v>870000</v>
      </c>
      <c r="F310" s="16" t="n">
        <v>11587.58</v>
      </c>
      <c r="G310" s="16" t="n">
        <v>1448.45</v>
      </c>
      <c r="H310" s="16" t="n">
        <v>1448.45</v>
      </c>
      <c r="I310" s="16">
        <f>SUM(K310:T310)</f>
        <v/>
      </c>
      <c r="J310" s="16">
        <f>F310-(G310+H310+I310)</f>
        <v/>
      </c>
      <c r="K310" s="16" t="n">
        <v>869.0700000000001</v>
      </c>
      <c r="L310" s="16" t="n">
        <v>869.0700000000001</v>
      </c>
      <c r="M310" s="16" t="n">
        <v>869.0700000000001</v>
      </c>
      <c r="N310" s="16" t="n">
        <v>869.0700000000001</v>
      </c>
      <c r="O310" s="16" t="n">
        <v>869.0700000000001</v>
      </c>
      <c r="P310" s="16" t="n">
        <v>869.0700000000001</v>
      </c>
      <c r="Q310" s="16" t="n">
        <v>869.0700000000001</v>
      </c>
      <c r="R310" s="16" t="n">
        <v>869.0700000000001</v>
      </c>
      <c r="S310" s="16" t="n">
        <v>869.0700000000001</v>
      </c>
      <c r="T310" s="16" t="n">
        <v>869.0700000000001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CANON-202606-007169</t>
        </is>
      </c>
      <c r="B311" s="3" t="inlineStr">
        <is>
          <t>2026-06-10</t>
        </is>
      </c>
      <c r="C311" s="3" t="inlineStr">
        <is>
          <t>Wilhelmina Kingsford</t>
        </is>
      </c>
      <c r="D311" s="3" t="inlineStr">
        <is>
          <t>NC</t>
        </is>
      </c>
      <c r="E311" s="14" t="n">
        <v>245000</v>
      </c>
      <c r="F311" s="14" t="n">
        <v>3740.45</v>
      </c>
      <c r="G311" s="14" t="n">
        <v>467.56</v>
      </c>
      <c r="H311" s="14" t="n">
        <v>467.56</v>
      </c>
      <c r="I311" s="14">
        <f>SUM(K311:T311)</f>
        <v/>
      </c>
      <c r="J311" s="14">
        <f>F311-(G311+H311+I311)</f>
        <v/>
      </c>
      <c r="K311" s="14" t="n">
        <v>280.53</v>
      </c>
      <c r="L311" s="14" t="n">
        <v>280.53</v>
      </c>
      <c r="M311" s="14" t="n">
        <v>280.53</v>
      </c>
      <c r="N311" s="14" t="n">
        <v>280.53</v>
      </c>
      <c r="O311" s="14" t="n">
        <v>280.53</v>
      </c>
      <c r="P311" s="14" t="n">
        <v>280.53</v>
      </c>
      <c r="Q311" s="14" t="n">
        <v>280.53</v>
      </c>
      <c r="R311" s="14" t="n">
        <v>280.53</v>
      </c>
      <c r="S311" s="14" t="n">
        <v>280.53</v>
      </c>
      <c r="T311" s="14" t="n">
        <v>280.53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CANON-202606-007170</t>
        </is>
      </c>
      <c r="B312" s="15" t="inlineStr">
        <is>
          <t>2026-06-30</t>
        </is>
      </c>
      <c r="C312" s="15" t="inlineStr">
        <is>
          <t>Cassius Whitlock</t>
        </is>
      </c>
      <c r="D312" s="15" t="inlineStr">
        <is>
          <t>FL</t>
        </is>
      </c>
      <c r="E312" s="16" t="n">
        <v>1840000</v>
      </c>
      <c r="F312" s="16" t="n">
        <v>14327.21</v>
      </c>
      <c r="G312" s="16" t="n">
        <v>1790.9</v>
      </c>
      <c r="H312" s="16" t="n">
        <v>1790.9</v>
      </c>
      <c r="I312" s="16">
        <f>SUM(K312:T312)</f>
        <v/>
      </c>
      <c r="J312" s="16">
        <f>F312-(G312+H312+I312)</f>
        <v/>
      </c>
      <c r="K312" s="16" t="n">
        <v>1074.54</v>
      </c>
      <c r="L312" s="16" t="n">
        <v>1074.54</v>
      </c>
      <c r="M312" s="16" t="n">
        <v>1074.54</v>
      </c>
      <c r="N312" s="16" t="n">
        <v>1074.54</v>
      </c>
      <c r="O312" s="16" t="n">
        <v>1074.54</v>
      </c>
      <c r="P312" s="16" t="n">
        <v>1074.54</v>
      </c>
      <c r="Q312" s="16" t="n">
        <v>1074.54</v>
      </c>
      <c r="R312" s="16" t="n">
        <v>1074.54</v>
      </c>
      <c r="S312" s="16" t="n">
        <v>1074.54</v>
      </c>
      <c r="T312" s="16" t="n">
        <v>1074.54</v>
      </c>
      <c r="U312" s="16" t="n">
        <v>350</v>
      </c>
      <c r="V312" s="16" t="n">
        <v>250</v>
      </c>
      <c r="W312" s="16">
        <f>U312+V312</f>
        <v/>
      </c>
    </row>
    <row r="313">
      <c r="A313" s="3" t="inlineStr">
        <is>
          <t>CANON-202606-007171</t>
        </is>
      </c>
      <c r="B313" s="3" t="inlineStr">
        <is>
          <t>2026-06-10</t>
        </is>
      </c>
      <c r="C313" s="3" t="inlineStr">
        <is>
          <t>Mireille Fairweather</t>
        </is>
      </c>
      <c r="D313" s="3" t="inlineStr">
        <is>
          <t>NC</t>
        </is>
      </c>
      <c r="E313" s="14" t="n">
        <v>350000</v>
      </c>
      <c r="F313" s="14" t="n">
        <v>4356.11</v>
      </c>
      <c r="G313" s="14" t="n">
        <v>544.51</v>
      </c>
      <c r="H313" s="14" t="n">
        <v>544.51</v>
      </c>
      <c r="I313" s="14">
        <f>SUM(K313:T313)</f>
        <v/>
      </c>
      <c r="J313" s="14">
        <f>F313-(G313+H313+I313)</f>
        <v/>
      </c>
      <c r="K313" s="14" t="n">
        <v>326.71</v>
      </c>
      <c r="L313" s="14" t="n">
        <v>326.71</v>
      </c>
      <c r="M313" s="14" t="n">
        <v>326.71</v>
      </c>
      <c r="N313" s="14" t="n">
        <v>326.71</v>
      </c>
      <c r="O313" s="14" t="n">
        <v>326.71</v>
      </c>
      <c r="P313" s="14" t="n">
        <v>326.71</v>
      </c>
      <c r="Q313" s="14" t="n">
        <v>326.71</v>
      </c>
      <c r="R313" s="14" t="n">
        <v>326.71</v>
      </c>
      <c r="S313" s="14" t="n">
        <v>326.71</v>
      </c>
      <c r="T313" s="14" t="n">
        <v>326.71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CANON-202606-007172</t>
        </is>
      </c>
      <c r="B314" s="15" t="inlineStr">
        <is>
          <t>2026-06-13</t>
        </is>
      </c>
      <c r="C314" s="15" t="inlineStr">
        <is>
          <t>Fenwick Nakashima</t>
        </is>
      </c>
      <c r="D314" s="15" t="inlineStr">
        <is>
          <t>TN</t>
        </is>
      </c>
      <c r="E314" s="16" t="n">
        <v>1235000</v>
      </c>
      <c r="F314" s="16" t="n">
        <v>9605.67</v>
      </c>
      <c r="G314" s="16" t="n">
        <v>1200.71</v>
      </c>
      <c r="H314" s="16" t="n">
        <v>1200.71</v>
      </c>
      <c r="I314" s="16">
        <f>SUM(K314:T314)</f>
        <v/>
      </c>
      <c r="J314" s="16">
        <f>F314-(G314+H314+I314)</f>
        <v/>
      </c>
      <c r="K314" s="16" t="n">
        <v>720.4299999999999</v>
      </c>
      <c r="L314" s="16" t="n">
        <v>720.4299999999999</v>
      </c>
      <c r="M314" s="16" t="n">
        <v>720.4299999999999</v>
      </c>
      <c r="N314" s="16" t="n">
        <v>720.4299999999999</v>
      </c>
      <c r="O314" s="16" t="n">
        <v>720.4299999999999</v>
      </c>
      <c r="P314" s="16" t="n">
        <v>720.4299999999999</v>
      </c>
      <c r="Q314" s="16" t="n">
        <v>720.4299999999999</v>
      </c>
      <c r="R314" s="16" t="n">
        <v>720.4299999999999</v>
      </c>
      <c r="S314" s="16" t="n">
        <v>720.4299999999999</v>
      </c>
      <c r="T314" s="16" t="n">
        <v>720.4299999999999</v>
      </c>
      <c r="U314" s="16" t="n">
        <v>350</v>
      </c>
      <c r="V314" s="16" t="n">
        <v>250</v>
      </c>
      <c r="W314" s="16">
        <f>U314+V314</f>
        <v/>
      </c>
    </row>
    <row r="315">
      <c r="A315" s="3" t="inlineStr">
        <is>
          <t>CANON-202606-007173</t>
        </is>
      </c>
      <c r="B315" s="3" t="inlineStr">
        <is>
          <t>2026-06-05</t>
        </is>
      </c>
      <c r="C315" s="3" t="inlineStr">
        <is>
          <t>Lorenzo Ashcombe</t>
        </is>
      </c>
      <c r="D315" s="3" t="inlineStr">
        <is>
          <t>WV</t>
        </is>
      </c>
      <c r="E315" s="14" t="n">
        <v>1745000</v>
      </c>
      <c r="F315" s="14" t="n">
        <v>18419.66</v>
      </c>
      <c r="G315" s="14" t="n">
        <v>2302.46</v>
      </c>
      <c r="H315" s="14" t="n">
        <v>2302.46</v>
      </c>
      <c r="I315" s="14">
        <f>SUM(K315:T315)</f>
        <v/>
      </c>
      <c r="J315" s="14">
        <f>F315-(G315+H315+I315)</f>
        <v/>
      </c>
      <c r="K315" s="14" t="n">
        <v>1381.47</v>
      </c>
      <c r="L315" s="14" t="n">
        <v>1381.47</v>
      </c>
      <c r="M315" s="14" t="n">
        <v>1381.47</v>
      </c>
      <c r="N315" s="14" t="n">
        <v>1381.47</v>
      </c>
      <c r="O315" s="14" t="n">
        <v>1381.47</v>
      </c>
      <c r="P315" s="14" t="n">
        <v>1381.47</v>
      </c>
      <c r="Q315" s="14" t="n">
        <v>1381.47</v>
      </c>
      <c r="R315" s="14" t="n">
        <v>1381.47</v>
      </c>
      <c r="S315" s="14" t="n">
        <v>1381.47</v>
      </c>
      <c r="T315" s="14" t="n">
        <v>1381.47</v>
      </c>
      <c r="U315" s="14" t="n">
        <v>350</v>
      </c>
      <c r="V315" s="14" t="n">
        <v>250</v>
      </c>
      <c r="W315" s="14">
        <f>U315+V315</f>
        <v/>
      </c>
    </row>
    <row r="316">
      <c r="A316" s="15" t="inlineStr">
        <is>
          <t>CANON-202606-007174</t>
        </is>
      </c>
      <c r="B316" s="15" t="inlineStr">
        <is>
          <t>2026-06-25</t>
        </is>
      </c>
      <c r="C316" s="15" t="inlineStr">
        <is>
          <t>Marisol Delacroix</t>
        </is>
      </c>
      <c r="D316" s="15" t="inlineStr">
        <is>
          <t>FL</t>
        </is>
      </c>
      <c r="E316" s="16" t="n">
        <v>150000</v>
      </c>
      <c r="F316" s="16" t="n">
        <v>2827.74</v>
      </c>
      <c r="G316" s="16" t="n">
        <v>353.47</v>
      </c>
      <c r="H316" s="16" t="n">
        <v>353.47</v>
      </c>
      <c r="I316" s="16">
        <f>SUM(K316:T316)</f>
        <v/>
      </c>
      <c r="J316" s="16">
        <f>F316-(G316+H316+I316)</f>
        <v/>
      </c>
      <c r="K316" s="16" t="n">
        <v>212.08</v>
      </c>
      <c r="L316" s="16" t="n">
        <v>212.08</v>
      </c>
      <c r="M316" s="16" t="n">
        <v>212.08</v>
      </c>
      <c r="N316" s="16" t="n">
        <v>212.08</v>
      </c>
      <c r="O316" s="16" t="n">
        <v>212.08</v>
      </c>
      <c r="P316" s="16" t="n">
        <v>212.08</v>
      </c>
      <c r="Q316" s="16" t="n">
        <v>212.08</v>
      </c>
      <c r="R316" s="16" t="n">
        <v>212.08</v>
      </c>
      <c r="S316" s="16" t="n">
        <v>212.08</v>
      </c>
      <c r="T316" s="16" t="n">
        <v>212.08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CANON-202606-007175</t>
        </is>
      </c>
      <c r="B317" s="3" t="inlineStr">
        <is>
          <t>2026-06-29</t>
        </is>
      </c>
      <c r="C317" s="3" t="inlineStr">
        <is>
          <t>Beatrix Vasquez</t>
        </is>
      </c>
      <c r="D317" s="3" t="inlineStr">
        <is>
          <t>TX</t>
        </is>
      </c>
      <c r="E317" s="14" t="n">
        <v>1015000</v>
      </c>
      <c r="F317" s="14" t="n">
        <v>9264</v>
      </c>
      <c r="G317" s="14" t="n">
        <v>1158</v>
      </c>
      <c r="H317" s="14" t="n">
        <v>1158</v>
      </c>
      <c r="I317" s="14">
        <f>SUM(K317:T317)</f>
        <v/>
      </c>
      <c r="J317" s="14">
        <f>F317-(G317+H317+I317)</f>
        <v/>
      </c>
      <c r="K317" s="14" t="n">
        <v>694.8</v>
      </c>
      <c r="L317" s="14" t="n">
        <v>694.8</v>
      </c>
      <c r="M317" s="14" t="n">
        <v>694.8</v>
      </c>
      <c r="N317" s="14" t="n">
        <v>694.8</v>
      </c>
      <c r="O317" s="14" t="n">
        <v>694.8</v>
      </c>
      <c r="P317" s="14" t="n">
        <v>694.8</v>
      </c>
      <c r="Q317" s="14" t="n">
        <v>694.8</v>
      </c>
      <c r="R317" s="14" t="n">
        <v>694.8</v>
      </c>
      <c r="S317" s="14" t="n">
        <v>694.8</v>
      </c>
      <c r="T317" s="14" t="n">
        <v>694.8</v>
      </c>
      <c r="U317" s="14" t="n">
        <v>350</v>
      </c>
      <c r="V317" s="14" t="n">
        <v>250</v>
      </c>
      <c r="W317" s="14">
        <f>U317+V317</f>
        <v/>
      </c>
    </row>
    <row r="318">
      <c r="A318" s="15" t="inlineStr">
        <is>
          <t>CANON-202606-007176</t>
        </is>
      </c>
      <c r="B318" s="15" t="inlineStr">
        <is>
          <t>2026-06-21</t>
        </is>
      </c>
      <c r="C318" s="15" t="inlineStr">
        <is>
          <t>Anouk Harrington</t>
        </is>
      </c>
      <c r="D318" s="15" t="inlineStr">
        <is>
          <t>MI</t>
        </is>
      </c>
      <c r="E318" s="16" t="n">
        <v>865000</v>
      </c>
      <c r="F318" s="16" t="n">
        <v>8319.33</v>
      </c>
      <c r="G318" s="16" t="n">
        <v>1039.92</v>
      </c>
      <c r="H318" s="16" t="n">
        <v>1039.92</v>
      </c>
      <c r="I318" s="16">
        <f>SUM(K318:T318)</f>
        <v/>
      </c>
      <c r="J318" s="16">
        <f>F318-(G318+H318+I318)</f>
        <v/>
      </c>
      <c r="K318" s="16" t="n">
        <v>623.95</v>
      </c>
      <c r="L318" s="16" t="n">
        <v>623.95</v>
      </c>
      <c r="M318" s="16" t="n">
        <v>623.95</v>
      </c>
      <c r="N318" s="16" t="n">
        <v>623.95</v>
      </c>
      <c r="O318" s="16" t="n">
        <v>623.95</v>
      </c>
      <c r="P318" s="16" t="n">
        <v>623.95</v>
      </c>
      <c r="Q318" s="16" t="n">
        <v>623.95</v>
      </c>
      <c r="R318" s="16" t="n">
        <v>623.95</v>
      </c>
      <c r="S318" s="16" t="n">
        <v>623.95</v>
      </c>
      <c r="T318" s="16" t="n">
        <v>623.95</v>
      </c>
      <c r="U318" s="16" t="n">
        <v>350</v>
      </c>
      <c r="V318" s="16" t="n">
        <v>0</v>
      </c>
      <c r="W318" s="16">
        <f>U318+V318</f>
        <v/>
      </c>
    </row>
    <row r="319">
      <c r="A319" s="3" t="inlineStr">
        <is>
          <t>CANON-202606-007177</t>
        </is>
      </c>
      <c r="B319" s="3" t="inlineStr">
        <is>
          <t>2026-06-25</t>
        </is>
      </c>
      <c r="C319" s="3" t="inlineStr">
        <is>
          <t>Saoirse Blackwood</t>
        </is>
      </c>
      <c r="D319" s="3" t="inlineStr">
        <is>
          <t>UT</t>
        </is>
      </c>
      <c r="E319" s="14" t="n">
        <v>515000</v>
      </c>
      <c r="F319" s="14" t="n">
        <v>6521.18</v>
      </c>
      <c r="G319" s="14" t="n">
        <v>815.15</v>
      </c>
      <c r="H319" s="14" t="n">
        <v>815.15</v>
      </c>
      <c r="I319" s="14">
        <f>SUM(K319:T319)</f>
        <v/>
      </c>
      <c r="J319" s="14">
        <f>F319-(G319+H319+I319)</f>
        <v/>
      </c>
      <c r="K319" s="14" t="n">
        <v>489.09</v>
      </c>
      <c r="L319" s="14" t="n">
        <v>489.09</v>
      </c>
      <c r="M319" s="14" t="n">
        <v>489.09</v>
      </c>
      <c r="N319" s="14" t="n">
        <v>489.09</v>
      </c>
      <c r="O319" s="14" t="n">
        <v>489.09</v>
      </c>
      <c r="P319" s="14" t="n">
        <v>489.09</v>
      </c>
      <c r="Q319" s="14" t="n">
        <v>489.09</v>
      </c>
      <c r="R319" s="14" t="n">
        <v>489.09</v>
      </c>
      <c r="S319" s="14" t="n">
        <v>489.09</v>
      </c>
      <c r="T319" s="14" t="n">
        <v>489.09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CANON-202606-007178</t>
        </is>
      </c>
      <c r="B320" s="15" t="inlineStr">
        <is>
          <t>2026-06-21</t>
        </is>
      </c>
      <c r="C320" s="15" t="inlineStr">
        <is>
          <t>Aurelio Whitlock</t>
        </is>
      </c>
      <c r="D320" s="15" t="inlineStr">
        <is>
          <t>OH</t>
        </is>
      </c>
      <c r="E320" s="16" t="n">
        <v>505000</v>
      </c>
      <c r="F320" s="16" t="n">
        <v>4355.59</v>
      </c>
      <c r="G320" s="16" t="n">
        <v>544.45</v>
      </c>
      <c r="H320" s="16" t="n">
        <v>544.45</v>
      </c>
      <c r="I320" s="16">
        <f>SUM(K320:T320)</f>
        <v/>
      </c>
      <c r="J320" s="16">
        <f>F320-(G320+H320+I320)</f>
        <v/>
      </c>
      <c r="K320" s="16" t="n">
        <v>326.67</v>
      </c>
      <c r="L320" s="16" t="n">
        <v>326.67</v>
      </c>
      <c r="M320" s="16" t="n">
        <v>326.67</v>
      </c>
      <c r="N320" s="16" t="n">
        <v>326.67</v>
      </c>
      <c r="O320" s="16" t="n">
        <v>326.67</v>
      </c>
      <c r="P320" s="16" t="n">
        <v>326.67</v>
      </c>
      <c r="Q320" s="16" t="n">
        <v>326.67</v>
      </c>
      <c r="R320" s="16" t="n">
        <v>326.67</v>
      </c>
      <c r="S320" s="16" t="n">
        <v>326.67</v>
      </c>
      <c r="T320" s="16" t="n">
        <v>326.67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CANON-202606-007179</t>
        </is>
      </c>
      <c r="B321" s="3" t="inlineStr">
        <is>
          <t>2026-06-30</t>
        </is>
      </c>
      <c r="C321" s="3" t="inlineStr">
        <is>
          <t>Fitzgerald Ashcombe</t>
        </is>
      </c>
      <c r="D321" s="3" t="inlineStr">
        <is>
          <t>TX</t>
        </is>
      </c>
      <c r="E321" s="14" t="n">
        <v>675000</v>
      </c>
      <c r="F321" s="14" t="n">
        <v>4816.62</v>
      </c>
      <c r="G321" s="14" t="n">
        <v>602.08</v>
      </c>
      <c r="H321" s="14" t="n">
        <v>602.08</v>
      </c>
      <c r="I321" s="14">
        <f>SUM(K321:T321)</f>
        <v/>
      </c>
      <c r="J321" s="14">
        <f>F321-(G321+H321+I321)</f>
        <v/>
      </c>
      <c r="K321" s="14" t="n">
        <v>361.25</v>
      </c>
      <c r="L321" s="14" t="n">
        <v>361.25</v>
      </c>
      <c r="M321" s="14" t="n">
        <v>361.25</v>
      </c>
      <c r="N321" s="14" t="n">
        <v>361.25</v>
      </c>
      <c r="O321" s="14" t="n">
        <v>361.25</v>
      </c>
      <c r="P321" s="14" t="n">
        <v>361.25</v>
      </c>
      <c r="Q321" s="14" t="n">
        <v>361.25</v>
      </c>
      <c r="R321" s="14" t="n">
        <v>361.25</v>
      </c>
      <c r="S321" s="14" t="n">
        <v>361.25</v>
      </c>
      <c r="T321" s="14" t="n">
        <v>361.25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CANON-202606-007180</t>
        </is>
      </c>
      <c r="B322" s="15" t="inlineStr">
        <is>
          <t>2026-06-06</t>
        </is>
      </c>
      <c r="C322" s="15" t="inlineStr">
        <is>
          <t>Desmond Merriweather</t>
        </is>
      </c>
      <c r="D322" s="15" t="inlineStr">
        <is>
          <t>ND</t>
        </is>
      </c>
      <c r="E322" s="16" t="n">
        <v>530000</v>
      </c>
      <c r="F322" s="16" t="n">
        <v>5070.62</v>
      </c>
      <c r="G322" s="16" t="n">
        <v>633.83</v>
      </c>
      <c r="H322" s="16" t="n">
        <v>633.83</v>
      </c>
      <c r="I322" s="16">
        <f>SUM(K322:T322)</f>
        <v/>
      </c>
      <c r="J322" s="16">
        <f>F322-(G322+H322+I322)</f>
        <v/>
      </c>
      <c r="K322" s="16" t="n">
        <v>380.3</v>
      </c>
      <c r="L322" s="16" t="n">
        <v>380.3</v>
      </c>
      <c r="M322" s="16" t="n">
        <v>380.3</v>
      </c>
      <c r="N322" s="16" t="n">
        <v>380.3</v>
      </c>
      <c r="O322" s="16" t="n">
        <v>380.3</v>
      </c>
      <c r="P322" s="16" t="n">
        <v>380.3</v>
      </c>
      <c r="Q322" s="16" t="n">
        <v>380.3</v>
      </c>
      <c r="R322" s="16" t="n">
        <v>380.3</v>
      </c>
      <c r="S322" s="16" t="n">
        <v>380.3</v>
      </c>
      <c r="T322" s="16" t="n">
        <v>380.3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CANON-202606-007182</t>
        </is>
      </c>
      <c r="B323" s="3" t="inlineStr">
        <is>
          <t>2026-06-07</t>
        </is>
      </c>
      <c r="C323" s="3" t="inlineStr">
        <is>
          <t>Lorenzo Vandermeer</t>
        </is>
      </c>
      <c r="D323" s="3" t="inlineStr">
        <is>
          <t>TX</t>
        </is>
      </c>
      <c r="E323" s="14" t="n">
        <v>825000</v>
      </c>
      <c r="F323" s="14" t="n">
        <v>8898.91</v>
      </c>
      <c r="G323" s="14" t="n">
        <v>1112.36</v>
      </c>
      <c r="H323" s="14" t="n">
        <v>1112.36</v>
      </c>
      <c r="I323" s="14">
        <f>SUM(K323:T323)</f>
        <v/>
      </c>
      <c r="J323" s="14">
        <f>F323-(G323+H323+I323)</f>
        <v/>
      </c>
      <c r="K323" s="14" t="n">
        <v>667.42</v>
      </c>
      <c r="L323" s="14" t="n">
        <v>667.42</v>
      </c>
      <c r="M323" s="14" t="n">
        <v>667.42</v>
      </c>
      <c r="N323" s="14" t="n">
        <v>667.42</v>
      </c>
      <c r="O323" s="14" t="n">
        <v>667.42</v>
      </c>
      <c r="P323" s="14" t="n">
        <v>667.42</v>
      </c>
      <c r="Q323" s="14" t="n">
        <v>667.42</v>
      </c>
      <c r="R323" s="14" t="n">
        <v>667.42</v>
      </c>
      <c r="S323" s="14" t="n">
        <v>667.42</v>
      </c>
      <c r="T323" s="14" t="n">
        <v>667.42</v>
      </c>
      <c r="U323" s="14" t="n">
        <v>350</v>
      </c>
      <c r="V323" s="14" t="n">
        <v>0</v>
      </c>
      <c r="W323" s="14">
        <f>U323+V323</f>
        <v/>
      </c>
    </row>
    <row r="324">
      <c r="A324" s="15" t="inlineStr">
        <is>
          <t>CANON-202606-007184</t>
        </is>
      </c>
      <c r="B324" s="15" t="inlineStr">
        <is>
          <t>2026-06-23</t>
        </is>
      </c>
      <c r="C324" s="15" t="inlineStr">
        <is>
          <t>Everett Chattopadhyay</t>
        </is>
      </c>
      <c r="D324" s="15" t="inlineStr">
        <is>
          <t>AR</t>
        </is>
      </c>
      <c r="E324" s="16" t="n">
        <v>955000</v>
      </c>
      <c r="F324" s="16" t="n">
        <v>12361.4</v>
      </c>
      <c r="G324" s="16" t="n">
        <v>1545.17</v>
      </c>
      <c r="H324" s="16" t="n">
        <v>1545.17</v>
      </c>
      <c r="I324" s="16">
        <f>SUM(K324:T324)</f>
        <v/>
      </c>
      <c r="J324" s="16">
        <f>F324-(G324+H324+I324)</f>
        <v/>
      </c>
      <c r="K324" s="16" t="n">
        <v>927.1</v>
      </c>
      <c r="L324" s="16" t="n">
        <v>927.1</v>
      </c>
      <c r="M324" s="16" t="n">
        <v>927.1</v>
      </c>
      <c r="N324" s="16" t="n">
        <v>927.1</v>
      </c>
      <c r="O324" s="16" t="n">
        <v>927.1</v>
      </c>
      <c r="P324" s="16" t="n">
        <v>927.1</v>
      </c>
      <c r="Q324" s="16" t="n">
        <v>927.1</v>
      </c>
      <c r="R324" s="16" t="n">
        <v>927.1</v>
      </c>
      <c r="S324" s="16" t="n">
        <v>927.1</v>
      </c>
      <c r="T324" s="16" t="n">
        <v>927.1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CANON-202606-007185</t>
        </is>
      </c>
      <c r="B325" s="3" t="inlineStr">
        <is>
          <t>2026-06-21</t>
        </is>
      </c>
      <c r="C325" s="3" t="inlineStr">
        <is>
          <t>Aurelio Castellanos</t>
        </is>
      </c>
      <c r="D325" s="3" t="inlineStr">
        <is>
          <t>CA</t>
        </is>
      </c>
      <c r="E325" s="14" t="n">
        <v>1120000</v>
      </c>
      <c r="F325" s="14" t="n">
        <v>12000.15</v>
      </c>
      <c r="G325" s="14" t="n">
        <v>1500.02</v>
      </c>
      <c r="H325" s="14" t="n">
        <v>1500.02</v>
      </c>
      <c r="I325" s="14">
        <f>SUM(K325:T325)</f>
        <v/>
      </c>
      <c r="J325" s="14">
        <f>F325-(G325+H325+I325)</f>
        <v/>
      </c>
      <c r="K325" s="14" t="n">
        <v>900.01</v>
      </c>
      <c r="L325" s="14" t="n">
        <v>900.01</v>
      </c>
      <c r="M325" s="14" t="n">
        <v>900.01</v>
      </c>
      <c r="N325" s="14" t="n">
        <v>900.01</v>
      </c>
      <c r="O325" s="14" t="n">
        <v>900.01</v>
      </c>
      <c r="P325" s="14" t="n">
        <v>900.01</v>
      </c>
      <c r="Q325" s="14" t="n">
        <v>900.01</v>
      </c>
      <c r="R325" s="14" t="n">
        <v>900.01</v>
      </c>
      <c r="S325" s="14" t="n">
        <v>900.01</v>
      </c>
      <c r="T325" s="14" t="n">
        <v>900.01</v>
      </c>
      <c r="U325" s="14" t="n">
        <v>350</v>
      </c>
      <c r="V325" s="14" t="n">
        <v>250</v>
      </c>
      <c r="W325" s="14">
        <f>U325+V325</f>
        <v/>
      </c>
    </row>
    <row r="326">
      <c r="A326" s="15" t="inlineStr">
        <is>
          <t>CANON-202606-007187</t>
        </is>
      </c>
      <c r="B326" s="15" t="inlineStr">
        <is>
          <t>2026-06-02</t>
        </is>
      </c>
      <c r="C326" s="15" t="inlineStr">
        <is>
          <t>Fenwick Harrington</t>
        </is>
      </c>
      <c r="D326" s="15" t="inlineStr">
        <is>
          <t>RI</t>
        </is>
      </c>
      <c r="E326" s="16" t="n">
        <v>490000</v>
      </c>
      <c r="F326" s="16" t="n">
        <v>7265.24</v>
      </c>
      <c r="G326" s="16" t="n">
        <v>908.15</v>
      </c>
      <c r="H326" s="16" t="n">
        <v>908.15</v>
      </c>
      <c r="I326" s="16">
        <f>SUM(K326:T326)</f>
        <v/>
      </c>
      <c r="J326" s="16">
        <f>F326-(G326+H326+I326)</f>
        <v/>
      </c>
      <c r="K326" s="16" t="n">
        <v>544.89</v>
      </c>
      <c r="L326" s="16" t="n">
        <v>544.89</v>
      </c>
      <c r="M326" s="16" t="n">
        <v>544.89</v>
      </c>
      <c r="N326" s="16" t="n">
        <v>544.89</v>
      </c>
      <c r="O326" s="16" t="n">
        <v>544.89</v>
      </c>
      <c r="P326" s="16" t="n">
        <v>544.89</v>
      </c>
      <c r="Q326" s="16" t="n">
        <v>544.89</v>
      </c>
      <c r="R326" s="16" t="n">
        <v>544.89</v>
      </c>
      <c r="S326" s="16" t="n">
        <v>544.89</v>
      </c>
      <c r="T326" s="16" t="n">
        <v>544.89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CANON-202606-007188</t>
        </is>
      </c>
      <c r="B327" s="3" t="inlineStr">
        <is>
          <t>2026-06-23</t>
        </is>
      </c>
      <c r="C327" s="3" t="inlineStr">
        <is>
          <t>Fitzgerald Underwood</t>
        </is>
      </c>
      <c r="D327" s="3" t="inlineStr">
        <is>
          <t>ME</t>
        </is>
      </c>
      <c r="E327" s="14" t="n">
        <v>180000</v>
      </c>
      <c r="F327" s="14" t="n">
        <v>2580.81</v>
      </c>
      <c r="G327" s="14" t="n">
        <v>322.6</v>
      </c>
      <c r="H327" s="14" t="n">
        <v>322.6</v>
      </c>
      <c r="I327" s="14">
        <f>SUM(K327:T327)</f>
        <v/>
      </c>
      <c r="J327" s="14">
        <f>F327-(G327+H327+I327)</f>
        <v/>
      </c>
      <c r="K327" s="14" t="n">
        <v>193.56</v>
      </c>
      <c r="L327" s="14" t="n">
        <v>193.56</v>
      </c>
      <c r="M327" s="14" t="n">
        <v>193.56</v>
      </c>
      <c r="N327" s="14" t="n">
        <v>193.56</v>
      </c>
      <c r="O327" s="14" t="n">
        <v>193.56</v>
      </c>
      <c r="P327" s="14" t="n">
        <v>193.56</v>
      </c>
      <c r="Q327" s="14" t="n">
        <v>193.56</v>
      </c>
      <c r="R327" s="14" t="n">
        <v>193.56</v>
      </c>
      <c r="S327" s="14" t="n">
        <v>193.56</v>
      </c>
      <c r="T327" s="14" t="n">
        <v>193.56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CANON-202606-007189</t>
        </is>
      </c>
      <c r="B328" s="15" t="inlineStr">
        <is>
          <t>2026-06-04</t>
        </is>
      </c>
      <c r="C328" s="15" t="inlineStr">
        <is>
          <t>Cassius Whitlock</t>
        </is>
      </c>
      <c r="D328" s="15" t="inlineStr">
        <is>
          <t>ID</t>
        </is>
      </c>
      <c r="E328" s="16" t="n">
        <v>285000</v>
      </c>
      <c r="F328" s="16" t="n">
        <v>3053.61</v>
      </c>
      <c r="G328" s="16" t="n">
        <v>381.7</v>
      </c>
      <c r="H328" s="16" t="n">
        <v>381.7</v>
      </c>
      <c r="I328" s="16">
        <f>SUM(K328:T328)</f>
        <v/>
      </c>
      <c r="J328" s="16">
        <f>F328-(G328+H328+I328)</f>
        <v/>
      </c>
      <c r="K328" s="16" t="n">
        <v>229.02</v>
      </c>
      <c r="L328" s="16" t="n">
        <v>229.02</v>
      </c>
      <c r="M328" s="16" t="n">
        <v>229.02</v>
      </c>
      <c r="N328" s="16" t="n">
        <v>229.02</v>
      </c>
      <c r="O328" s="16" t="n">
        <v>229.02</v>
      </c>
      <c r="P328" s="16" t="n">
        <v>229.02</v>
      </c>
      <c r="Q328" s="16" t="n">
        <v>229.02</v>
      </c>
      <c r="R328" s="16" t="n">
        <v>229.02</v>
      </c>
      <c r="S328" s="16" t="n">
        <v>229.02</v>
      </c>
      <c r="T328" s="16" t="n">
        <v>229.02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CANON-202606-007190</t>
        </is>
      </c>
      <c r="B329" s="3" t="inlineStr">
        <is>
          <t>2026-06-09</t>
        </is>
      </c>
      <c r="C329" s="3" t="inlineStr">
        <is>
          <t>Saoirse Bellandi</t>
        </is>
      </c>
      <c r="D329" s="3" t="inlineStr">
        <is>
          <t>TX</t>
        </is>
      </c>
      <c r="E329" s="14" t="n">
        <v>125000</v>
      </c>
      <c r="F329" s="14" t="n">
        <v>1908.39</v>
      </c>
      <c r="G329" s="14" t="n">
        <v>238.55</v>
      </c>
      <c r="H329" s="14" t="n">
        <v>238.55</v>
      </c>
      <c r="I329" s="14">
        <f>SUM(K329:T329)</f>
        <v/>
      </c>
      <c r="J329" s="14">
        <f>F329-(G329+H329+I329)</f>
        <v/>
      </c>
      <c r="K329" s="14" t="n">
        <v>143.13</v>
      </c>
      <c r="L329" s="14" t="n">
        <v>143.13</v>
      </c>
      <c r="M329" s="14" t="n">
        <v>143.13</v>
      </c>
      <c r="N329" s="14" t="n">
        <v>143.13</v>
      </c>
      <c r="O329" s="14" t="n">
        <v>143.13</v>
      </c>
      <c r="P329" s="14" t="n">
        <v>143.13</v>
      </c>
      <c r="Q329" s="14" t="n">
        <v>143.13</v>
      </c>
      <c r="R329" s="14" t="n">
        <v>143.13</v>
      </c>
      <c r="S329" s="14" t="n">
        <v>143.13</v>
      </c>
      <c r="T329" s="14" t="n">
        <v>143.13</v>
      </c>
      <c r="U329" s="14" t="n">
        <v>350</v>
      </c>
      <c r="V329" s="14" t="n">
        <v>0</v>
      </c>
      <c r="W329" s="14">
        <f>U329+V329</f>
        <v/>
      </c>
    </row>
    <row r="330">
      <c r="A330" s="15" t="inlineStr">
        <is>
          <t>CANON-202606-007191</t>
        </is>
      </c>
      <c r="B330" s="15" t="inlineStr">
        <is>
          <t>2026-06-07</t>
        </is>
      </c>
      <c r="C330" s="15" t="inlineStr">
        <is>
          <t>Cassius Montoya</t>
        </is>
      </c>
      <c r="D330" s="15" t="inlineStr">
        <is>
          <t>KY</t>
        </is>
      </c>
      <c r="E330" s="16" t="n">
        <v>585000</v>
      </c>
      <c r="F330" s="16" t="n">
        <v>7352.69</v>
      </c>
      <c r="G330" s="16" t="n">
        <v>919.09</v>
      </c>
      <c r="H330" s="16" t="n">
        <v>919.09</v>
      </c>
      <c r="I330" s="16">
        <f>SUM(K330:T330)</f>
        <v/>
      </c>
      <c r="J330" s="16">
        <f>F330-(G330+H330+I330)</f>
        <v/>
      </c>
      <c r="K330" s="16" t="n">
        <v>551.45</v>
      </c>
      <c r="L330" s="16" t="n">
        <v>551.45</v>
      </c>
      <c r="M330" s="16" t="n">
        <v>551.45</v>
      </c>
      <c r="N330" s="16" t="n">
        <v>551.45</v>
      </c>
      <c r="O330" s="16" t="n">
        <v>551.45</v>
      </c>
      <c r="P330" s="16" t="n">
        <v>551.45</v>
      </c>
      <c r="Q330" s="16" t="n">
        <v>551.45</v>
      </c>
      <c r="R330" s="16" t="n">
        <v>551.45</v>
      </c>
      <c r="S330" s="16" t="n">
        <v>551.45</v>
      </c>
      <c r="T330" s="16" t="n">
        <v>551.45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CANON-202606-007192</t>
        </is>
      </c>
      <c r="B331" s="3" t="inlineStr">
        <is>
          <t>2026-06-16</t>
        </is>
      </c>
      <c r="C331" s="3" t="inlineStr">
        <is>
          <t>Mireille Kingsford</t>
        </is>
      </c>
      <c r="D331" s="3" t="inlineStr">
        <is>
          <t>MN</t>
        </is>
      </c>
      <c r="E331" s="14" t="n">
        <v>1620000</v>
      </c>
      <c r="F331" s="14" t="n">
        <v>24686.02</v>
      </c>
      <c r="G331" s="14" t="n">
        <v>3085.75</v>
      </c>
      <c r="H331" s="14" t="n">
        <v>3085.75</v>
      </c>
      <c r="I331" s="14">
        <f>SUM(K331:T331)</f>
        <v/>
      </c>
      <c r="J331" s="14">
        <f>F331-(G331+H331+I331)</f>
        <v/>
      </c>
      <c r="K331" s="14" t="n">
        <v>1851.45</v>
      </c>
      <c r="L331" s="14" t="n">
        <v>1851.45</v>
      </c>
      <c r="M331" s="14" t="n">
        <v>1851.45</v>
      </c>
      <c r="N331" s="14" t="n">
        <v>1851.45</v>
      </c>
      <c r="O331" s="14" t="n">
        <v>1851.45</v>
      </c>
      <c r="P331" s="14" t="n">
        <v>1851.45</v>
      </c>
      <c r="Q331" s="14" t="n">
        <v>1851.45</v>
      </c>
      <c r="R331" s="14" t="n">
        <v>1851.45</v>
      </c>
      <c r="S331" s="14" t="n">
        <v>1851.45</v>
      </c>
      <c r="T331" s="14" t="n">
        <v>1851.45</v>
      </c>
      <c r="U331" s="14" t="n">
        <v>350</v>
      </c>
      <c r="V331" s="14" t="n">
        <v>250</v>
      </c>
      <c r="W331" s="14">
        <f>U331+V331</f>
        <v/>
      </c>
    </row>
    <row r="332">
      <c r="A332" s="15" t="inlineStr">
        <is>
          <t>CANON-202606-007195</t>
        </is>
      </c>
      <c r="B332" s="15" t="inlineStr">
        <is>
          <t>2026-06-04</t>
        </is>
      </c>
      <c r="C332" s="15" t="inlineStr">
        <is>
          <t>Marisol Blackwood</t>
        </is>
      </c>
      <c r="D332" s="15" t="inlineStr">
        <is>
          <t>SD</t>
        </is>
      </c>
      <c r="E332" s="16" t="n">
        <v>485000</v>
      </c>
      <c r="F332" s="16" t="n">
        <v>8933.77</v>
      </c>
      <c r="G332" s="16" t="n">
        <v>1116.72</v>
      </c>
      <c r="H332" s="16" t="n">
        <v>1116.72</v>
      </c>
      <c r="I332" s="16">
        <f>SUM(K332:T332)</f>
        <v/>
      </c>
      <c r="J332" s="16">
        <f>F332-(G332+H332+I332)</f>
        <v/>
      </c>
      <c r="K332" s="16" t="n">
        <v>670.03</v>
      </c>
      <c r="L332" s="16" t="n">
        <v>670.03</v>
      </c>
      <c r="M332" s="16" t="n">
        <v>670.03</v>
      </c>
      <c r="N332" s="16" t="n">
        <v>670.03</v>
      </c>
      <c r="O332" s="16" t="n">
        <v>670.03</v>
      </c>
      <c r="P332" s="16" t="n">
        <v>670.03</v>
      </c>
      <c r="Q332" s="16" t="n">
        <v>670.03</v>
      </c>
      <c r="R332" s="16" t="n">
        <v>670.03</v>
      </c>
      <c r="S332" s="16" t="n">
        <v>670.03</v>
      </c>
      <c r="T332" s="16" t="n">
        <v>670.03</v>
      </c>
      <c r="U332" s="16" t="n">
        <v>350</v>
      </c>
      <c r="V332" s="16" t="n">
        <v>0</v>
      </c>
      <c r="W332" s="16">
        <f>U332+V332</f>
        <v/>
      </c>
    </row>
    <row r="333">
      <c r="A333" s="3" t="inlineStr">
        <is>
          <t>CANON-202606-007198</t>
        </is>
      </c>
      <c r="B333" s="3" t="inlineStr">
        <is>
          <t>2026-06-28</t>
        </is>
      </c>
      <c r="C333" s="3" t="inlineStr">
        <is>
          <t>Wilhelmina Nakashima</t>
        </is>
      </c>
      <c r="D333" s="3" t="inlineStr">
        <is>
          <t>MI</t>
        </is>
      </c>
      <c r="E333" s="14" t="n">
        <v>1300000</v>
      </c>
      <c r="F333" s="14" t="n">
        <v>11049.2</v>
      </c>
      <c r="G333" s="14" t="n">
        <v>1381.15</v>
      </c>
      <c r="H333" s="14" t="n">
        <v>1381.15</v>
      </c>
      <c r="I333" s="14">
        <f>SUM(K333:T333)</f>
        <v/>
      </c>
      <c r="J333" s="14">
        <f>F333-(G333+H333+I333)</f>
        <v/>
      </c>
      <c r="K333" s="14" t="n">
        <v>828.6900000000001</v>
      </c>
      <c r="L333" s="14" t="n">
        <v>828.6900000000001</v>
      </c>
      <c r="M333" s="14" t="n">
        <v>828.6900000000001</v>
      </c>
      <c r="N333" s="14" t="n">
        <v>828.6900000000001</v>
      </c>
      <c r="O333" s="14" t="n">
        <v>828.6900000000001</v>
      </c>
      <c r="P333" s="14" t="n">
        <v>828.6900000000001</v>
      </c>
      <c r="Q333" s="14" t="n">
        <v>828.6900000000001</v>
      </c>
      <c r="R333" s="14" t="n">
        <v>828.6900000000001</v>
      </c>
      <c r="S333" s="14" t="n">
        <v>828.6900000000001</v>
      </c>
      <c r="T333" s="14" t="n">
        <v>828.6900000000001</v>
      </c>
      <c r="U333" s="14" t="n">
        <v>350</v>
      </c>
      <c r="V333" s="14" t="n">
        <v>250</v>
      </c>
      <c r="W333" s="14">
        <f>U333+V333</f>
        <v/>
      </c>
    </row>
    <row r="334">
      <c r="A334" s="15" t="inlineStr">
        <is>
          <t>CANON-202606-007199</t>
        </is>
      </c>
      <c r="B334" s="15" t="inlineStr">
        <is>
          <t>2026-06-10</t>
        </is>
      </c>
      <c r="C334" s="15" t="inlineStr">
        <is>
          <t>Fitzgerald Larsson</t>
        </is>
      </c>
      <c r="D334" s="15" t="inlineStr">
        <is>
          <t>NC</t>
        </is>
      </c>
      <c r="E334" s="16" t="n">
        <v>300000</v>
      </c>
      <c r="F334" s="16" t="n">
        <v>3733.81</v>
      </c>
      <c r="G334" s="16" t="n">
        <v>466.73</v>
      </c>
      <c r="H334" s="16" t="n">
        <v>466.73</v>
      </c>
      <c r="I334" s="16">
        <f>SUM(K334:T334)</f>
        <v/>
      </c>
      <c r="J334" s="16">
        <f>F334-(G334+H334+I334)</f>
        <v/>
      </c>
      <c r="K334" s="16" t="n">
        <v>280.04</v>
      </c>
      <c r="L334" s="16" t="n">
        <v>280.04</v>
      </c>
      <c r="M334" s="16" t="n">
        <v>280.04</v>
      </c>
      <c r="N334" s="16" t="n">
        <v>280.04</v>
      </c>
      <c r="O334" s="16" t="n">
        <v>280.04</v>
      </c>
      <c r="P334" s="16" t="n">
        <v>280.04</v>
      </c>
      <c r="Q334" s="16" t="n">
        <v>280.04</v>
      </c>
      <c r="R334" s="16" t="n">
        <v>280.04</v>
      </c>
      <c r="S334" s="16" t="n">
        <v>280.04</v>
      </c>
      <c r="T334" s="16" t="n">
        <v>280.04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CANON-202606-007202</t>
        </is>
      </c>
      <c r="B335" s="3" t="inlineStr">
        <is>
          <t>2026-06-12</t>
        </is>
      </c>
      <c r="C335" s="3" t="inlineStr">
        <is>
          <t>Cassius Blackwood</t>
        </is>
      </c>
      <c r="D335" s="3" t="inlineStr">
        <is>
          <t>IL</t>
        </is>
      </c>
      <c r="E335" s="14" t="n">
        <v>960000</v>
      </c>
      <c r="F335" s="14" t="n">
        <v>12246.04</v>
      </c>
      <c r="G335" s="14" t="n">
        <v>1530.76</v>
      </c>
      <c r="H335" s="14" t="n">
        <v>1530.76</v>
      </c>
      <c r="I335" s="14">
        <f>SUM(K335:T335)</f>
        <v/>
      </c>
      <c r="J335" s="14">
        <f>F335-(G335+H335+I335)</f>
        <v/>
      </c>
      <c r="K335" s="14" t="n">
        <v>918.45</v>
      </c>
      <c r="L335" s="14" t="n">
        <v>918.45</v>
      </c>
      <c r="M335" s="14" t="n">
        <v>918.45</v>
      </c>
      <c r="N335" s="14" t="n">
        <v>918.45</v>
      </c>
      <c r="O335" s="14" t="n">
        <v>918.45</v>
      </c>
      <c r="P335" s="14" t="n">
        <v>918.45</v>
      </c>
      <c r="Q335" s="14" t="n">
        <v>918.45</v>
      </c>
      <c r="R335" s="14" t="n">
        <v>918.45</v>
      </c>
      <c r="S335" s="14" t="n">
        <v>918.45</v>
      </c>
      <c r="T335" s="14" t="n">
        <v>918.45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CANON-202606-007203</t>
        </is>
      </c>
      <c r="B336" s="15" t="inlineStr">
        <is>
          <t>2026-06-19</t>
        </is>
      </c>
      <c r="C336" s="15" t="inlineStr">
        <is>
          <t>Wilhelmina Rourke</t>
        </is>
      </c>
      <c r="D336" s="15" t="inlineStr">
        <is>
          <t>MS</t>
        </is>
      </c>
      <c r="E336" s="16" t="n">
        <v>805000</v>
      </c>
      <c r="F336" s="16" t="n">
        <v>5944.06</v>
      </c>
      <c r="G336" s="16" t="n">
        <v>743.01</v>
      </c>
      <c r="H336" s="16" t="n">
        <v>743.01</v>
      </c>
      <c r="I336" s="16">
        <f>SUM(K336:T336)</f>
        <v/>
      </c>
      <c r="J336" s="16">
        <f>F336-(G336+H336+I336)</f>
        <v/>
      </c>
      <c r="K336" s="16" t="n">
        <v>445.8</v>
      </c>
      <c r="L336" s="16" t="n">
        <v>445.8</v>
      </c>
      <c r="M336" s="16" t="n">
        <v>445.8</v>
      </c>
      <c r="N336" s="16" t="n">
        <v>445.8</v>
      </c>
      <c r="O336" s="16" t="n">
        <v>445.8</v>
      </c>
      <c r="P336" s="16" t="n">
        <v>445.8</v>
      </c>
      <c r="Q336" s="16" t="n">
        <v>445.8</v>
      </c>
      <c r="R336" s="16" t="n">
        <v>445.8</v>
      </c>
      <c r="S336" s="16" t="n">
        <v>445.8</v>
      </c>
      <c r="T336" s="16" t="n">
        <v>445.8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CANON-202606-007205</t>
        </is>
      </c>
      <c r="B337" s="3" t="inlineStr">
        <is>
          <t>2026-06-08</t>
        </is>
      </c>
      <c r="C337" s="3" t="inlineStr">
        <is>
          <t>Priya Whitlock</t>
        </is>
      </c>
      <c r="D337" s="3" t="inlineStr">
        <is>
          <t>VT</t>
        </is>
      </c>
      <c r="E337" s="14" t="n">
        <v>315000</v>
      </c>
      <c r="F337" s="14" t="n">
        <v>4159.14</v>
      </c>
      <c r="G337" s="14" t="n">
        <v>519.89</v>
      </c>
      <c r="H337" s="14" t="n">
        <v>519.89</v>
      </c>
      <c r="I337" s="14">
        <f>SUM(K337:T337)</f>
        <v/>
      </c>
      <c r="J337" s="14">
        <f>F337-(G337+H337+I337)</f>
        <v/>
      </c>
      <c r="K337" s="14" t="n">
        <v>311.94</v>
      </c>
      <c r="L337" s="14" t="n">
        <v>311.94</v>
      </c>
      <c r="M337" s="14" t="n">
        <v>311.94</v>
      </c>
      <c r="N337" s="14" t="n">
        <v>311.94</v>
      </c>
      <c r="O337" s="14" t="n">
        <v>311.94</v>
      </c>
      <c r="P337" s="14" t="n">
        <v>311.94</v>
      </c>
      <c r="Q337" s="14" t="n">
        <v>311.94</v>
      </c>
      <c r="R337" s="14" t="n">
        <v>311.94</v>
      </c>
      <c r="S337" s="14" t="n">
        <v>311.94</v>
      </c>
      <c r="T337" s="14" t="n">
        <v>311.94</v>
      </c>
      <c r="U337" s="14" t="n">
        <v>350</v>
      </c>
      <c r="V337" s="14" t="n">
        <v>0</v>
      </c>
      <c r="W337" s="14">
        <f>U337+V337</f>
        <v/>
      </c>
    </row>
    <row r="338">
      <c r="A338" s="15" t="inlineStr">
        <is>
          <t>CANON-202606-007206</t>
        </is>
      </c>
      <c r="B338" s="15" t="inlineStr">
        <is>
          <t>2026-06-11</t>
        </is>
      </c>
      <c r="C338" s="15" t="inlineStr">
        <is>
          <t>Ingrid Kingsford</t>
        </is>
      </c>
      <c r="D338" s="15" t="inlineStr">
        <is>
          <t>NC</t>
        </is>
      </c>
      <c r="E338" s="16" t="n">
        <v>1950000</v>
      </c>
      <c r="F338" s="16" t="n">
        <v>11002.3</v>
      </c>
      <c r="G338" s="16" t="n">
        <v>1375.29</v>
      </c>
      <c r="H338" s="16" t="n">
        <v>1375.29</v>
      </c>
      <c r="I338" s="16">
        <f>SUM(K338:T338)</f>
        <v/>
      </c>
      <c r="J338" s="16">
        <f>F338-(G338+H338+I338)</f>
        <v/>
      </c>
      <c r="K338" s="16" t="n">
        <v>825.17</v>
      </c>
      <c r="L338" s="16" t="n">
        <v>825.17</v>
      </c>
      <c r="M338" s="16" t="n">
        <v>825.17</v>
      </c>
      <c r="N338" s="16" t="n">
        <v>825.17</v>
      </c>
      <c r="O338" s="16" t="n">
        <v>825.17</v>
      </c>
      <c r="P338" s="16" t="n">
        <v>825.17</v>
      </c>
      <c r="Q338" s="16" t="n">
        <v>825.17</v>
      </c>
      <c r="R338" s="16" t="n">
        <v>825.17</v>
      </c>
      <c r="S338" s="16" t="n">
        <v>825.17</v>
      </c>
      <c r="T338" s="16" t="n">
        <v>825.17</v>
      </c>
      <c r="U338" s="16" t="n">
        <v>350</v>
      </c>
      <c r="V338" s="16" t="n">
        <v>250</v>
      </c>
      <c r="W338" s="16">
        <f>U338+V338</f>
        <v/>
      </c>
    </row>
    <row r="339">
      <c r="A339" s="3" t="inlineStr">
        <is>
          <t>CANON-202606-007207</t>
        </is>
      </c>
      <c r="B339" s="3" t="inlineStr">
        <is>
          <t>2026-06-16</t>
        </is>
      </c>
      <c r="C339" s="3" t="inlineStr">
        <is>
          <t>Marisol Farkas</t>
        </is>
      </c>
      <c r="D339" s="3" t="inlineStr">
        <is>
          <t>NE</t>
        </is>
      </c>
      <c r="E339" s="14" t="n">
        <v>395000</v>
      </c>
      <c r="F339" s="14" t="n">
        <v>5557.43</v>
      </c>
      <c r="G339" s="14" t="n">
        <v>694.6799999999999</v>
      </c>
      <c r="H339" s="14" t="n">
        <v>694.6799999999999</v>
      </c>
      <c r="I339" s="14">
        <f>SUM(K339:T339)</f>
        <v/>
      </c>
      <c r="J339" s="14">
        <f>F339-(G339+H339+I339)</f>
        <v/>
      </c>
      <c r="K339" s="14" t="n">
        <v>416.81</v>
      </c>
      <c r="L339" s="14" t="n">
        <v>416.81</v>
      </c>
      <c r="M339" s="14" t="n">
        <v>416.81</v>
      </c>
      <c r="N339" s="14" t="n">
        <v>416.81</v>
      </c>
      <c r="O339" s="14" t="n">
        <v>416.81</v>
      </c>
      <c r="P339" s="14" t="n">
        <v>416.81</v>
      </c>
      <c r="Q339" s="14" t="n">
        <v>416.81</v>
      </c>
      <c r="R339" s="14" t="n">
        <v>416.81</v>
      </c>
      <c r="S339" s="14" t="n">
        <v>416.81</v>
      </c>
      <c r="T339" s="14" t="n">
        <v>416.81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CANON-202606-007208</t>
        </is>
      </c>
      <c r="B340" s="15" t="inlineStr">
        <is>
          <t>2026-06-11</t>
        </is>
      </c>
      <c r="C340" s="15" t="inlineStr">
        <is>
          <t>Priya Rourke</t>
        </is>
      </c>
      <c r="D340" s="15" t="inlineStr">
        <is>
          <t>DE</t>
        </is>
      </c>
      <c r="E340" s="16" t="n">
        <v>360000</v>
      </c>
      <c r="F340" s="16" t="n">
        <v>4870.19</v>
      </c>
      <c r="G340" s="16" t="n">
        <v>608.77</v>
      </c>
      <c r="H340" s="16" t="n">
        <v>608.77</v>
      </c>
      <c r="I340" s="16">
        <f>SUM(K340:T340)</f>
        <v/>
      </c>
      <c r="J340" s="16">
        <f>F340-(G340+H340+I340)</f>
        <v/>
      </c>
      <c r="K340" s="16" t="n">
        <v>365.26</v>
      </c>
      <c r="L340" s="16" t="n">
        <v>365.26</v>
      </c>
      <c r="M340" s="16" t="n">
        <v>365.26</v>
      </c>
      <c r="N340" s="16" t="n">
        <v>365.26</v>
      </c>
      <c r="O340" s="16" t="n">
        <v>365.26</v>
      </c>
      <c r="P340" s="16" t="n">
        <v>365.26</v>
      </c>
      <c r="Q340" s="16" t="n">
        <v>365.26</v>
      </c>
      <c r="R340" s="16" t="n">
        <v>365.26</v>
      </c>
      <c r="S340" s="16" t="n">
        <v>365.26</v>
      </c>
      <c r="T340" s="16" t="n">
        <v>365.26</v>
      </c>
      <c r="U340" s="16" t="n">
        <v>350</v>
      </c>
      <c r="V340" s="16" t="n">
        <v>0</v>
      </c>
      <c r="W340" s="16">
        <f>U340+V340</f>
        <v/>
      </c>
    </row>
    <row r="341">
      <c r="A341" s="3" t="inlineStr">
        <is>
          <t>CANON-202606-007209</t>
        </is>
      </c>
      <c r="B341" s="3" t="inlineStr">
        <is>
          <t>2026-06-02</t>
        </is>
      </c>
      <c r="C341" s="3" t="inlineStr">
        <is>
          <t>Thaddeus Pennington</t>
        </is>
      </c>
      <c r="D341" s="3" t="inlineStr">
        <is>
          <t>OR</t>
        </is>
      </c>
      <c r="E341" s="14" t="n">
        <v>375000</v>
      </c>
      <c r="F341" s="14" t="n">
        <v>4586.09</v>
      </c>
      <c r="G341" s="14" t="n">
        <v>573.26</v>
      </c>
      <c r="H341" s="14" t="n">
        <v>573.26</v>
      </c>
      <c r="I341" s="14">
        <f>SUM(K341:T341)</f>
        <v/>
      </c>
      <c r="J341" s="14">
        <f>F341-(G341+H341+I341)</f>
        <v/>
      </c>
      <c r="K341" s="14" t="n">
        <v>343.96</v>
      </c>
      <c r="L341" s="14" t="n">
        <v>343.96</v>
      </c>
      <c r="M341" s="14" t="n">
        <v>343.96</v>
      </c>
      <c r="N341" s="14" t="n">
        <v>343.96</v>
      </c>
      <c r="O341" s="14" t="n">
        <v>343.96</v>
      </c>
      <c r="P341" s="14" t="n">
        <v>343.96</v>
      </c>
      <c r="Q341" s="14" t="n">
        <v>343.96</v>
      </c>
      <c r="R341" s="14" t="n">
        <v>343.96</v>
      </c>
      <c r="S341" s="14" t="n">
        <v>343.96</v>
      </c>
      <c r="T341" s="14" t="n">
        <v>343.96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CANON-202606-007210</t>
        </is>
      </c>
      <c r="B342" s="15" t="inlineStr">
        <is>
          <t>2026-06-07</t>
        </is>
      </c>
      <c r="C342" s="15" t="inlineStr">
        <is>
          <t>Thaddeus Okonkwo</t>
        </is>
      </c>
      <c r="D342" s="15" t="inlineStr">
        <is>
          <t>NY</t>
        </is>
      </c>
      <c r="E342" s="16" t="n">
        <v>1320000</v>
      </c>
      <c r="F342" s="16" t="n">
        <v>9264.870000000001</v>
      </c>
      <c r="G342" s="16" t="n">
        <v>1158.11</v>
      </c>
      <c r="H342" s="16" t="n">
        <v>1158.11</v>
      </c>
      <c r="I342" s="16">
        <f>SUM(K342:T342)</f>
        <v/>
      </c>
      <c r="J342" s="16">
        <f>F342-(G342+H342+I342)</f>
        <v/>
      </c>
      <c r="K342" s="16" t="n">
        <v>694.87</v>
      </c>
      <c r="L342" s="16" t="n">
        <v>694.87</v>
      </c>
      <c r="M342" s="16" t="n">
        <v>694.87</v>
      </c>
      <c r="N342" s="16" t="n">
        <v>694.87</v>
      </c>
      <c r="O342" s="16" t="n">
        <v>694.87</v>
      </c>
      <c r="P342" s="16" t="n">
        <v>694.87</v>
      </c>
      <c r="Q342" s="16" t="n">
        <v>694.87</v>
      </c>
      <c r="R342" s="16" t="n">
        <v>694.87</v>
      </c>
      <c r="S342" s="16" t="n">
        <v>694.87</v>
      </c>
      <c r="T342" s="16" t="n">
        <v>694.87</v>
      </c>
      <c r="U342" s="16" t="n">
        <v>350</v>
      </c>
      <c r="V342" s="16" t="n">
        <v>250</v>
      </c>
      <c r="W342" s="16">
        <f>U342+V342</f>
        <v/>
      </c>
    </row>
    <row r="343">
      <c r="A343" s="3" t="inlineStr">
        <is>
          <t>CANON-202606-007211</t>
        </is>
      </c>
      <c r="B343" s="3" t="inlineStr">
        <is>
          <t>2026-06-27</t>
        </is>
      </c>
      <c r="C343" s="3" t="inlineStr">
        <is>
          <t>Cassius Rourke</t>
        </is>
      </c>
      <c r="D343" s="3" t="inlineStr">
        <is>
          <t>UT</t>
        </is>
      </c>
      <c r="E343" s="14" t="n">
        <v>500000</v>
      </c>
      <c r="F343" s="14" t="n">
        <v>6331.24</v>
      </c>
      <c r="G343" s="14" t="n">
        <v>791.4</v>
      </c>
      <c r="H343" s="14" t="n">
        <v>791.4</v>
      </c>
      <c r="I343" s="14">
        <f>SUM(K343:T343)</f>
        <v/>
      </c>
      <c r="J343" s="14">
        <f>F343-(G343+H343+I343)</f>
        <v/>
      </c>
      <c r="K343" s="14" t="n">
        <v>474.84</v>
      </c>
      <c r="L343" s="14" t="n">
        <v>474.84</v>
      </c>
      <c r="M343" s="14" t="n">
        <v>474.84</v>
      </c>
      <c r="N343" s="14" t="n">
        <v>474.84</v>
      </c>
      <c r="O343" s="14" t="n">
        <v>474.84</v>
      </c>
      <c r="P343" s="14" t="n">
        <v>474.84</v>
      </c>
      <c r="Q343" s="14" t="n">
        <v>474.84</v>
      </c>
      <c r="R343" s="14" t="n">
        <v>474.84</v>
      </c>
      <c r="S343" s="14" t="n">
        <v>474.84</v>
      </c>
      <c r="T343" s="14" t="n">
        <v>474.84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CANON-202606-007212</t>
        </is>
      </c>
      <c r="B344" s="15" t="inlineStr">
        <is>
          <t>2026-06-22</t>
        </is>
      </c>
      <c r="C344" s="15" t="inlineStr">
        <is>
          <t>Sunniva Vasquez</t>
        </is>
      </c>
      <c r="D344" s="15" t="inlineStr">
        <is>
          <t>OH</t>
        </is>
      </c>
      <c r="E344" s="16" t="n">
        <v>1590000</v>
      </c>
      <c r="F344" s="16" t="n">
        <v>25513.73</v>
      </c>
      <c r="G344" s="16" t="n">
        <v>3189.22</v>
      </c>
      <c r="H344" s="16" t="n">
        <v>3189.22</v>
      </c>
      <c r="I344" s="16">
        <f>SUM(K344:T344)</f>
        <v/>
      </c>
      <c r="J344" s="16">
        <f>F344-(G344+H344+I344)</f>
        <v/>
      </c>
      <c r="K344" s="16" t="n">
        <v>1913.53</v>
      </c>
      <c r="L344" s="16" t="n">
        <v>1913.53</v>
      </c>
      <c r="M344" s="16" t="n">
        <v>1913.53</v>
      </c>
      <c r="N344" s="16" t="n">
        <v>1913.53</v>
      </c>
      <c r="O344" s="16" t="n">
        <v>1913.53</v>
      </c>
      <c r="P344" s="16" t="n">
        <v>1913.53</v>
      </c>
      <c r="Q344" s="16" t="n">
        <v>1913.53</v>
      </c>
      <c r="R344" s="16" t="n">
        <v>1913.53</v>
      </c>
      <c r="S344" s="16" t="n">
        <v>1913.53</v>
      </c>
      <c r="T344" s="16" t="n">
        <v>1913.53</v>
      </c>
      <c r="U344" s="16" t="n">
        <v>350</v>
      </c>
      <c r="V344" s="16" t="n">
        <v>250</v>
      </c>
      <c r="W344" s="16">
        <f>U344+V344</f>
        <v/>
      </c>
    </row>
    <row r="345">
      <c r="A345" s="3" t="inlineStr">
        <is>
          <t>CANON-202606-007213</t>
        </is>
      </c>
      <c r="B345" s="3" t="inlineStr">
        <is>
          <t>2026-06-24</t>
        </is>
      </c>
      <c r="C345" s="3" t="inlineStr">
        <is>
          <t>Ottilie Kingsford</t>
        </is>
      </c>
      <c r="D345" s="3" t="inlineStr">
        <is>
          <t>TX</t>
        </is>
      </c>
      <c r="E345" s="14" t="n">
        <v>390000</v>
      </c>
      <c r="F345" s="14" t="n">
        <v>4853.96</v>
      </c>
      <c r="G345" s="14" t="n">
        <v>606.75</v>
      </c>
      <c r="H345" s="14" t="n">
        <v>606.75</v>
      </c>
      <c r="I345" s="14">
        <f>SUM(K345:T345)</f>
        <v/>
      </c>
      <c r="J345" s="14">
        <f>F345-(G345+H345+I345)</f>
        <v/>
      </c>
      <c r="K345" s="14" t="n">
        <v>364.05</v>
      </c>
      <c r="L345" s="14" t="n">
        <v>364.05</v>
      </c>
      <c r="M345" s="14" t="n">
        <v>364.05</v>
      </c>
      <c r="N345" s="14" t="n">
        <v>364.05</v>
      </c>
      <c r="O345" s="14" t="n">
        <v>364.05</v>
      </c>
      <c r="P345" s="14" t="n">
        <v>364.05</v>
      </c>
      <c r="Q345" s="14" t="n">
        <v>364.05</v>
      </c>
      <c r="R345" s="14" t="n">
        <v>364.05</v>
      </c>
      <c r="S345" s="14" t="n">
        <v>364.05</v>
      </c>
      <c r="T345" s="14" t="n">
        <v>364.05</v>
      </c>
      <c r="U345" s="14" t="n">
        <v>350</v>
      </c>
      <c r="V345" s="14" t="n">
        <v>0</v>
      </c>
      <c r="W345" s="14">
        <f>U345+V345</f>
        <v/>
      </c>
    </row>
    <row r="346">
      <c r="A346" s="15" t="inlineStr">
        <is>
          <t>CANON-202606-007214</t>
        </is>
      </c>
      <c r="B346" s="15" t="inlineStr">
        <is>
          <t>2026-06-15</t>
        </is>
      </c>
      <c r="C346" s="15" t="inlineStr">
        <is>
          <t>Saoirse Ashcombe</t>
        </is>
      </c>
      <c r="D346" s="15" t="inlineStr">
        <is>
          <t>AR</t>
        </is>
      </c>
      <c r="E346" s="16" t="n">
        <v>825000</v>
      </c>
      <c r="F346" s="16" t="n">
        <v>10678.7</v>
      </c>
      <c r="G346" s="16" t="n">
        <v>1334.84</v>
      </c>
      <c r="H346" s="16" t="n">
        <v>1334.84</v>
      </c>
      <c r="I346" s="16">
        <f>SUM(K346:T346)</f>
        <v/>
      </c>
      <c r="J346" s="16">
        <f>F346-(G346+H346+I346)</f>
        <v/>
      </c>
      <c r="K346" s="16" t="n">
        <v>800.9</v>
      </c>
      <c r="L346" s="16" t="n">
        <v>800.9</v>
      </c>
      <c r="M346" s="16" t="n">
        <v>800.9</v>
      </c>
      <c r="N346" s="16" t="n">
        <v>800.9</v>
      </c>
      <c r="O346" s="16" t="n">
        <v>800.9</v>
      </c>
      <c r="P346" s="16" t="n">
        <v>800.9</v>
      </c>
      <c r="Q346" s="16" t="n">
        <v>800.9</v>
      </c>
      <c r="R346" s="16" t="n">
        <v>800.9</v>
      </c>
      <c r="S346" s="16" t="n">
        <v>800.9</v>
      </c>
      <c r="T346" s="16" t="n">
        <v>800.9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CANON-202606-007215</t>
        </is>
      </c>
      <c r="B347" s="3" t="inlineStr">
        <is>
          <t>2026-06-09</t>
        </is>
      </c>
      <c r="C347" s="3" t="inlineStr">
        <is>
          <t>Noor Vandermeer</t>
        </is>
      </c>
      <c r="D347" s="3" t="inlineStr">
        <is>
          <t>PA</t>
        </is>
      </c>
      <c r="E347" s="14" t="n">
        <v>615000</v>
      </c>
      <c r="F347" s="14" t="n">
        <v>5768.47</v>
      </c>
      <c r="G347" s="14" t="n">
        <v>721.0599999999999</v>
      </c>
      <c r="H347" s="14" t="n">
        <v>721.0599999999999</v>
      </c>
      <c r="I347" s="14">
        <f>SUM(K347:T347)</f>
        <v/>
      </c>
      <c r="J347" s="14">
        <f>F347-(G347+H347+I347)</f>
        <v/>
      </c>
      <c r="K347" s="14" t="n">
        <v>432.64</v>
      </c>
      <c r="L347" s="14" t="n">
        <v>432.64</v>
      </c>
      <c r="M347" s="14" t="n">
        <v>432.64</v>
      </c>
      <c r="N347" s="14" t="n">
        <v>432.64</v>
      </c>
      <c r="O347" s="14" t="n">
        <v>432.64</v>
      </c>
      <c r="P347" s="14" t="n">
        <v>432.64</v>
      </c>
      <c r="Q347" s="14" t="n">
        <v>432.64</v>
      </c>
      <c r="R347" s="14" t="n">
        <v>432.64</v>
      </c>
      <c r="S347" s="14" t="n">
        <v>432.64</v>
      </c>
      <c r="T347" s="14" t="n">
        <v>432.64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CANON-202606-007216</t>
        </is>
      </c>
      <c r="B348" s="15" t="inlineStr">
        <is>
          <t>2026-06-03</t>
        </is>
      </c>
      <c r="C348" s="15" t="inlineStr">
        <is>
          <t>Emiliano Blackwood</t>
        </is>
      </c>
      <c r="D348" s="15" t="inlineStr">
        <is>
          <t>CA</t>
        </is>
      </c>
      <c r="E348" s="16" t="n">
        <v>740000</v>
      </c>
      <c r="F348" s="16" t="n">
        <v>13694.97</v>
      </c>
      <c r="G348" s="16" t="n">
        <v>1711.87</v>
      </c>
      <c r="H348" s="16" t="n">
        <v>1711.87</v>
      </c>
      <c r="I348" s="16">
        <f>SUM(K348:T348)</f>
        <v/>
      </c>
      <c r="J348" s="16">
        <f>F348-(G348+H348+I348)</f>
        <v/>
      </c>
      <c r="K348" s="16" t="n">
        <v>1027.12</v>
      </c>
      <c r="L348" s="16" t="n">
        <v>1027.12</v>
      </c>
      <c r="M348" s="16" t="n">
        <v>1027.12</v>
      </c>
      <c r="N348" s="16" t="n">
        <v>1027.12</v>
      </c>
      <c r="O348" s="16" t="n">
        <v>1027.12</v>
      </c>
      <c r="P348" s="16" t="n">
        <v>1027.12</v>
      </c>
      <c r="Q348" s="16" t="n">
        <v>1027.12</v>
      </c>
      <c r="R348" s="16" t="n">
        <v>1027.12</v>
      </c>
      <c r="S348" s="16" t="n">
        <v>1027.12</v>
      </c>
      <c r="T348" s="16" t="n">
        <v>1027.12</v>
      </c>
      <c r="U348" s="16" t="n">
        <v>350</v>
      </c>
      <c r="V348" s="16" t="n">
        <v>0</v>
      </c>
      <c r="W348" s="16">
        <f>U348+V348</f>
        <v/>
      </c>
    </row>
    <row r="349">
      <c r="A349" s="3" t="inlineStr">
        <is>
          <t>CANON-202606-007218</t>
        </is>
      </c>
      <c r="B349" s="3" t="inlineStr">
        <is>
          <t>2026-06-25</t>
        </is>
      </c>
      <c r="C349" s="3" t="inlineStr">
        <is>
          <t>Desmond Pennington</t>
        </is>
      </c>
      <c r="D349" s="3" t="inlineStr">
        <is>
          <t>WA</t>
        </is>
      </c>
      <c r="E349" s="14" t="n">
        <v>710000</v>
      </c>
      <c r="F349" s="14" t="n">
        <v>6393.15</v>
      </c>
      <c r="G349" s="14" t="n">
        <v>799.14</v>
      </c>
      <c r="H349" s="14" t="n">
        <v>799.14</v>
      </c>
      <c r="I349" s="14">
        <f>SUM(K349:T349)</f>
        <v/>
      </c>
      <c r="J349" s="14">
        <f>F349-(G349+H349+I349)</f>
        <v/>
      </c>
      <c r="K349" s="14" t="n">
        <v>479.49</v>
      </c>
      <c r="L349" s="14" t="n">
        <v>479.49</v>
      </c>
      <c r="M349" s="14" t="n">
        <v>479.49</v>
      </c>
      <c r="N349" s="14" t="n">
        <v>479.49</v>
      </c>
      <c r="O349" s="14" t="n">
        <v>479.49</v>
      </c>
      <c r="P349" s="14" t="n">
        <v>479.49</v>
      </c>
      <c r="Q349" s="14" t="n">
        <v>479.49</v>
      </c>
      <c r="R349" s="14" t="n">
        <v>479.49</v>
      </c>
      <c r="S349" s="14" t="n">
        <v>479.49</v>
      </c>
      <c r="T349" s="14" t="n">
        <v>479.49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CANON-202606-007220</t>
        </is>
      </c>
      <c r="B350" s="15" t="inlineStr">
        <is>
          <t>2026-06-28</t>
        </is>
      </c>
      <c r="C350" s="15" t="inlineStr">
        <is>
          <t>Fenwick Ashcombe</t>
        </is>
      </c>
      <c r="D350" s="15" t="inlineStr">
        <is>
          <t>ID</t>
        </is>
      </c>
      <c r="E350" s="16" t="n">
        <v>195000</v>
      </c>
      <c r="F350" s="16" t="n">
        <v>2562.89</v>
      </c>
      <c r="G350" s="16" t="n">
        <v>320.36</v>
      </c>
      <c r="H350" s="16" t="n">
        <v>320.36</v>
      </c>
      <c r="I350" s="16">
        <f>SUM(K350:T350)</f>
        <v/>
      </c>
      <c r="J350" s="16">
        <f>F350-(G350+H350+I350)</f>
        <v/>
      </c>
      <c r="K350" s="16" t="n">
        <v>192.22</v>
      </c>
      <c r="L350" s="16" t="n">
        <v>192.22</v>
      </c>
      <c r="M350" s="16" t="n">
        <v>192.22</v>
      </c>
      <c r="N350" s="16" t="n">
        <v>192.22</v>
      </c>
      <c r="O350" s="16" t="n">
        <v>192.22</v>
      </c>
      <c r="P350" s="16" t="n">
        <v>192.22</v>
      </c>
      <c r="Q350" s="16" t="n">
        <v>192.22</v>
      </c>
      <c r="R350" s="16" t="n">
        <v>192.22</v>
      </c>
      <c r="S350" s="16" t="n">
        <v>192.22</v>
      </c>
      <c r="T350" s="16" t="n">
        <v>192.22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CANON-202606-007221</t>
        </is>
      </c>
      <c r="B351" s="3" t="inlineStr">
        <is>
          <t>2026-06-24</t>
        </is>
      </c>
      <c r="C351" s="3" t="inlineStr">
        <is>
          <t>Callum Castellanos</t>
        </is>
      </c>
      <c r="D351" s="3" t="inlineStr">
        <is>
          <t>MA</t>
        </is>
      </c>
      <c r="E351" s="14" t="n">
        <v>255000</v>
      </c>
      <c r="F351" s="14" t="n">
        <v>3449.71</v>
      </c>
      <c r="G351" s="14" t="n">
        <v>431.21</v>
      </c>
      <c r="H351" s="14" t="n">
        <v>431.21</v>
      </c>
      <c r="I351" s="14">
        <f>SUM(K351:T351)</f>
        <v/>
      </c>
      <c r="J351" s="14">
        <f>F351-(G351+H351+I351)</f>
        <v/>
      </c>
      <c r="K351" s="14" t="n">
        <v>258.73</v>
      </c>
      <c r="L351" s="14" t="n">
        <v>258.73</v>
      </c>
      <c r="M351" s="14" t="n">
        <v>258.73</v>
      </c>
      <c r="N351" s="14" t="n">
        <v>258.73</v>
      </c>
      <c r="O351" s="14" t="n">
        <v>258.73</v>
      </c>
      <c r="P351" s="14" t="n">
        <v>258.73</v>
      </c>
      <c r="Q351" s="14" t="n">
        <v>258.73</v>
      </c>
      <c r="R351" s="14" t="n">
        <v>258.73</v>
      </c>
      <c r="S351" s="14" t="n">
        <v>258.73</v>
      </c>
      <c r="T351" s="14" t="n">
        <v>258.73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CANON-202606-007222</t>
        </is>
      </c>
      <c r="B352" s="15" t="inlineStr">
        <is>
          <t>2026-06-14</t>
        </is>
      </c>
      <c r="C352" s="15" t="inlineStr">
        <is>
          <t>Noor Thistlewood</t>
        </is>
      </c>
      <c r="D352" s="15" t="inlineStr">
        <is>
          <t>FL</t>
        </is>
      </c>
      <c r="E352" s="16" t="n">
        <v>405000</v>
      </c>
      <c r="F352" s="16" t="n">
        <v>3983.42</v>
      </c>
      <c r="G352" s="16" t="n">
        <v>497.93</v>
      </c>
      <c r="H352" s="16" t="n">
        <v>497.93</v>
      </c>
      <c r="I352" s="16">
        <f>SUM(K352:T352)</f>
        <v/>
      </c>
      <c r="J352" s="16">
        <f>F352-(G352+H352+I352)</f>
        <v/>
      </c>
      <c r="K352" s="16" t="n">
        <v>298.76</v>
      </c>
      <c r="L352" s="16" t="n">
        <v>298.76</v>
      </c>
      <c r="M352" s="16" t="n">
        <v>298.76</v>
      </c>
      <c r="N352" s="16" t="n">
        <v>298.76</v>
      </c>
      <c r="O352" s="16" t="n">
        <v>298.76</v>
      </c>
      <c r="P352" s="16" t="n">
        <v>298.76</v>
      </c>
      <c r="Q352" s="16" t="n">
        <v>298.76</v>
      </c>
      <c r="R352" s="16" t="n">
        <v>298.76</v>
      </c>
      <c r="S352" s="16" t="n">
        <v>298.76</v>
      </c>
      <c r="T352" s="16" t="n">
        <v>298.76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CANON-202606-007223</t>
        </is>
      </c>
      <c r="B353" s="3" t="inlineStr">
        <is>
          <t>2026-06-01</t>
        </is>
      </c>
      <c r="C353" s="3" t="inlineStr">
        <is>
          <t>Saoirse Ashcombe</t>
        </is>
      </c>
      <c r="D353" s="3" t="inlineStr">
        <is>
          <t>NJ</t>
        </is>
      </c>
      <c r="E353" s="14" t="n">
        <v>210000</v>
      </c>
      <c r="F353" s="14" t="n">
        <v>1378.8</v>
      </c>
      <c r="G353" s="14" t="n">
        <v>172.35</v>
      </c>
      <c r="H353" s="14" t="n">
        <v>172.35</v>
      </c>
      <c r="I353" s="14">
        <f>SUM(K353:T353)</f>
        <v/>
      </c>
      <c r="J353" s="14">
        <f>F353-(G353+H353+I353)</f>
        <v/>
      </c>
      <c r="K353" s="14" t="n">
        <v>103.41</v>
      </c>
      <c r="L353" s="14" t="n">
        <v>103.41</v>
      </c>
      <c r="M353" s="14" t="n">
        <v>103.41</v>
      </c>
      <c r="N353" s="14" t="n">
        <v>103.41</v>
      </c>
      <c r="O353" s="14" t="n">
        <v>103.41</v>
      </c>
      <c r="P353" s="14" t="n">
        <v>103.41</v>
      </c>
      <c r="Q353" s="14" t="n">
        <v>103.41</v>
      </c>
      <c r="R353" s="14" t="n">
        <v>103.41</v>
      </c>
      <c r="S353" s="14" t="n">
        <v>103.41</v>
      </c>
      <c r="T353" s="14" t="n">
        <v>103.41</v>
      </c>
      <c r="U353" s="14" t="n">
        <v>350</v>
      </c>
      <c r="V353" s="14" t="n">
        <v>0</v>
      </c>
      <c r="W353" s="14">
        <f>U353+V353</f>
        <v/>
      </c>
    </row>
    <row r="354">
      <c r="A354" s="15" t="inlineStr">
        <is>
          <t>CANON-202606-007224</t>
        </is>
      </c>
      <c r="B354" s="15" t="inlineStr">
        <is>
          <t>2026-06-05</t>
        </is>
      </c>
      <c r="C354" s="15" t="inlineStr">
        <is>
          <t>Mireille Kingsford</t>
        </is>
      </c>
      <c r="D354" s="15" t="inlineStr">
        <is>
          <t>IL</t>
        </is>
      </c>
      <c r="E354" s="16" t="n">
        <v>610000</v>
      </c>
      <c r="F354" s="16" t="n">
        <v>5147.65</v>
      </c>
      <c r="G354" s="16" t="n">
        <v>643.46</v>
      </c>
      <c r="H354" s="16" t="n">
        <v>643.46</v>
      </c>
      <c r="I354" s="16">
        <f>SUM(K354:T354)</f>
        <v/>
      </c>
      <c r="J354" s="16">
        <f>F354-(G354+H354+I354)</f>
        <v/>
      </c>
      <c r="K354" s="16" t="n">
        <v>386.07</v>
      </c>
      <c r="L354" s="16" t="n">
        <v>386.07</v>
      </c>
      <c r="M354" s="16" t="n">
        <v>386.07</v>
      </c>
      <c r="N354" s="16" t="n">
        <v>386.07</v>
      </c>
      <c r="O354" s="16" t="n">
        <v>386.07</v>
      </c>
      <c r="P354" s="16" t="n">
        <v>386.07</v>
      </c>
      <c r="Q354" s="16" t="n">
        <v>386.07</v>
      </c>
      <c r="R354" s="16" t="n">
        <v>386.07</v>
      </c>
      <c r="S354" s="16" t="n">
        <v>386.07</v>
      </c>
      <c r="T354" s="16" t="n">
        <v>386.07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CANON-202606-007225</t>
        </is>
      </c>
      <c r="B355" s="3" t="inlineStr">
        <is>
          <t>2026-06-12</t>
        </is>
      </c>
      <c r="C355" s="3" t="inlineStr">
        <is>
          <t>Leopold Montoya</t>
        </is>
      </c>
      <c r="D355" s="3" t="inlineStr">
        <is>
          <t>IN</t>
        </is>
      </c>
      <c r="E355" s="14" t="n">
        <v>265000</v>
      </c>
      <c r="F355" s="14" t="n">
        <v>3527.64</v>
      </c>
      <c r="G355" s="14" t="n">
        <v>440.95</v>
      </c>
      <c r="H355" s="14" t="n">
        <v>440.95</v>
      </c>
      <c r="I355" s="14">
        <f>SUM(K355:T355)</f>
        <v/>
      </c>
      <c r="J355" s="14">
        <f>F355-(G355+H355+I355)</f>
        <v/>
      </c>
      <c r="K355" s="14" t="n">
        <v>264.57</v>
      </c>
      <c r="L355" s="14" t="n">
        <v>264.57</v>
      </c>
      <c r="M355" s="14" t="n">
        <v>264.57</v>
      </c>
      <c r="N355" s="14" t="n">
        <v>264.57</v>
      </c>
      <c r="O355" s="14" t="n">
        <v>264.57</v>
      </c>
      <c r="P355" s="14" t="n">
        <v>264.57</v>
      </c>
      <c r="Q355" s="14" t="n">
        <v>264.57</v>
      </c>
      <c r="R355" s="14" t="n">
        <v>264.57</v>
      </c>
      <c r="S355" s="14" t="n">
        <v>264.57</v>
      </c>
      <c r="T355" s="14" t="n">
        <v>264.57</v>
      </c>
      <c r="U355" s="14" t="n">
        <v>350</v>
      </c>
      <c r="V355" s="14" t="n">
        <v>0</v>
      </c>
      <c r="W355" s="14">
        <f>U355+V355</f>
        <v/>
      </c>
    </row>
    <row r="356">
      <c r="A356" s="15" t="inlineStr">
        <is>
          <t>CANON-202606-007227</t>
        </is>
      </c>
      <c r="B356" s="15" t="inlineStr">
        <is>
          <t>2026-06-26</t>
        </is>
      </c>
      <c r="C356" s="15" t="inlineStr">
        <is>
          <t>Cassius Blackwood</t>
        </is>
      </c>
      <c r="D356" s="15" t="inlineStr">
        <is>
          <t>WA</t>
        </is>
      </c>
      <c r="E356" s="16" t="n">
        <v>715000</v>
      </c>
      <c r="F356" s="16" t="n">
        <v>6438.17</v>
      </c>
      <c r="G356" s="16" t="n">
        <v>804.77</v>
      </c>
      <c r="H356" s="16" t="n">
        <v>804.77</v>
      </c>
      <c r="I356" s="16">
        <f>SUM(K356:T356)</f>
        <v/>
      </c>
      <c r="J356" s="16">
        <f>F356-(G356+H356+I356)</f>
        <v/>
      </c>
      <c r="K356" s="16" t="n">
        <v>482.86</v>
      </c>
      <c r="L356" s="16" t="n">
        <v>482.86</v>
      </c>
      <c r="M356" s="16" t="n">
        <v>482.86</v>
      </c>
      <c r="N356" s="16" t="n">
        <v>482.86</v>
      </c>
      <c r="O356" s="16" t="n">
        <v>482.86</v>
      </c>
      <c r="P356" s="16" t="n">
        <v>482.86</v>
      </c>
      <c r="Q356" s="16" t="n">
        <v>482.86</v>
      </c>
      <c r="R356" s="16" t="n">
        <v>482.86</v>
      </c>
      <c r="S356" s="16" t="n">
        <v>482.86</v>
      </c>
      <c r="T356" s="16" t="n">
        <v>482.86</v>
      </c>
      <c r="U356" s="16" t="n">
        <v>350</v>
      </c>
      <c r="V356" s="16" t="n">
        <v>0</v>
      </c>
      <c r="W356" s="16">
        <f>U356+V356</f>
        <v/>
      </c>
    </row>
    <row r="357">
      <c r="A357" s="3" t="inlineStr">
        <is>
          <t>CANON-202606-007229</t>
        </is>
      </c>
      <c r="B357" s="3" t="inlineStr">
        <is>
          <t>2026-06-13</t>
        </is>
      </c>
      <c r="C357" s="3" t="inlineStr">
        <is>
          <t>Callum Farkas</t>
        </is>
      </c>
      <c r="D357" s="3" t="inlineStr">
        <is>
          <t>CA</t>
        </is>
      </c>
      <c r="E357" s="14" t="n">
        <v>900000</v>
      </c>
      <c r="F357" s="14" t="n">
        <v>7539.05</v>
      </c>
      <c r="G357" s="14" t="n">
        <v>942.38</v>
      </c>
      <c r="H357" s="14" t="n">
        <v>942.38</v>
      </c>
      <c r="I357" s="14">
        <f>SUM(K357:T357)</f>
        <v/>
      </c>
      <c r="J357" s="14">
        <f>F357-(G357+H357+I357)</f>
        <v/>
      </c>
      <c r="K357" s="14" t="n">
        <v>565.4299999999999</v>
      </c>
      <c r="L357" s="14" t="n">
        <v>565.4299999999999</v>
      </c>
      <c r="M357" s="14" t="n">
        <v>565.4299999999999</v>
      </c>
      <c r="N357" s="14" t="n">
        <v>565.4299999999999</v>
      </c>
      <c r="O357" s="14" t="n">
        <v>565.4299999999999</v>
      </c>
      <c r="P357" s="14" t="n">
        <v>565.4299999999999</v>
      </c>
      <c r="Q357" s="14" t="n">
        <v>565.4299999999999</v>
      </c>
      <c r="R357" s="14" t="n">
        <v>565.4299999999999</v>
      </c>
      <c r="S357" s="14" t="n">
        <v>565.4299999999999</v>
      </c>
      <c r="T357" s="14" t="n">
        <v>565.4299999999999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CANON-202606-007230</t>
        </is>
      </c>
      <c r="B358" s="15" t="inlineStr">
        <is>
          <t>2026-06-05</t>
        </is>
      </c>
      <c r="C358" s="15" t="inlineStr">
        <is>
          <t>Aurelio Fairweather</t>
        </is>
      </c>
      <c r="D358" s="15" t="inlineStr">
        <is>
          <t>IA</t>
        </is>
      </c>
      <c r="E358" s="16" t="n">
        <v>255000</v>
      </c>
      <c r="F358" s="16" t="n">
        <v>3035.75</v>
      </c>
      <c r="G358" s="16" t="n">
        <v>379.47</v>
      </c>
      <c r="H358" s="16" t="n">
        <v>379.47</v>
      </c>
      <c r="I358" s="16">
        <f>SUM(K358:T358)</f>
        <v/>
      </c>
      <c r="J358" s="16">
        <f>F358-(G358+H358+I358)</f>
        <v/>
      </c>
      <c r="K358" s="16" t="n">
        <v>227.68</v>
      </c>
      <c r="L358" s="16" t="n">
        <v>227.68</v>
      </c>
      <c r="M358" s="16" t="n">
        <v>227.68</v>
      </c>
      <c r="N358" s="16" t="n">
        <v>227.68</v>
      </c>
      <c r="O358" s="16" t="n">
        <v>227.68</v>
      </c>
      <c r="P358" s="16" t="n">
        <v>227.68</v>
      </c>
      <c r="Q358" s="16" t="n">
        <v>227.68</v>
      </c>
      <c r="R358" s="16" t="n">
        <v>227.68</v>
      </c>
      <c r="S358" s="16" t="n">
        <v>227.68</v>
      </c>
      <c r="T358" s="16" t="n">
        <v>227.68</v>
      </c>
      <c r="U358" s="16" t="n">
        <v>350</v>
      </c>
      <c r="V358" s="16" t="n">
        <v>0</v>
      </c>
      <c r="W358" s="16">
        <f>U358+V358</f>
        <v/>
      </c>
    </row>
    <row r="359">
      <c r="A359" s="3" t="inlineStr">
        <is>
          <t>CANON-202606-007231</t>
        </is>
      </c>
      <c r="B359" s="3" t="inlineStr">
        <is>
          <t>2026-06-09</t>
        </is>
      </c>
      <c r="C359" s="3" t="inlineStr">
        <is>
          <t>Lorenzo Farkas</t>
        </is>
      </c>
      <c r="D359" s="3" t="inlineStr">
        <is>
          <t>WA</t>
        </is>
      </c>
      <c r="E359" s="14" t="n">
        <v>425000</v>
      </c>
      <c r="F359" s="14" t="n">
        <v>2826</v>
      </c>
      <c r="G359" s="14" t="n">
        <v>353.25</v>
      </c>
      <c r="H359" s="14" t="n">
        <v>353.25</v>
      </c>
      <c r="I359" s="14">
        <f>SUM(K359:T359)</f>
        <v/>
      </c>
      <c r="J359" s="14">
        <f>F359-(G359+H359+I359)</f>
        <v/>
      </c>
      <c r="K359" s="14" t="n">
        <v>211.95</v>
      </c>
      <c r="L359" s="14" t="n">
        <v>211.95</v>
      </c>
      <c r="M359" s="14" t="n">
        <v>211.95</v>
      </c>
      <c r="N359" s="14" t="n">
        <v>211.95</v>
      </c>
      <c r="O359" s="14" t="n">
        <v>211.95</v>
      </c>
      <c r="P359" s="14" t="n">
        <v>211.95</v>
      </c>
      <c r="Q359" s="14" t="n">
        <v>211.95</v>
      </c>
      <c r="R359" s="14" t="n">
        <v>211.95</v>
      </c>
      <c r="S359" s="14" t="n">
        <v>211.95</v>
      </c>
      <c r="T359" s="14" t="n">
        <v>211.95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CANON-202606-007232</t>
        </is>
      </c>
      <c r="B360" s="15" t="inlineStr">
        <is>
          <t>2026-06-08</t>
        </is>
      </c>
      <c r="C360" s="15" t="inlineStr">
        <is>
          <t>Ingrid Castellanos</t>
        </is>
      </c>
      <c r="D360" s="15" t="inlineStr">
        <is>
          <t>KS</t>
        </is>
      </c>
      <c r="E360" s="16" t="n">
        <v>405000</v>
      </c>
      <c r="F360" s="16" t="n">
        <v>4251.68</v>
      </c>
      <c r="G360" s="16" t="n">
        <v>531.46</v>
      </c>
      <c r="H360" s="16" t="n">
        <v>531.46</v>
      </c>
      <c r="I360" s="16">
        <f>SUM(K360:T360)</f>
        <v/>
      </c>
      <c r="J360" s="16">
        <f>F360-(G360+H360+I360)</f>
        <v/>
      </c>
      <c r="K360" s="16" t="n">
        <v>318.88</v>
      </c>
      <c r="L360" s="16" t="n">
        <v>318.88</v>
      </c>
      <c r="M360" s="16" t="n">
        <v>318.88</v>
      </c>
      <c r="N360" s="16" t="n">
        <v>318.88</v>
      </c>
      <c r="O360" s="16" t="n">
        <v>318.88</v>
      </c>
      <c r="P360" s="16" t="n">
        <v>318.88</v>
      </c>
      <c r="Q360" s="16" t="n">
        <v>318.88</v>
      </c>
      <c r="R360" s="16" t="n">
        <v>318.88</v>
      </c>
      <c r="S360" s="16" t="n">
        <v>318.88</v>
      </c>
      <c r="T360" s="16" t="n">
        <v>318.88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CANON-202606-007234</t>
        </is>
      </c>
      <c r="B361" s="3" t="inlineStr">
        <is>
          <t>2026-06-18</t>
        </is>
      </c>
      <c r="C361" s="3" t="inlineStr">
        <is>
          <t>Wilhelmina Chattopadhyay</t>
        </is>
      </c>
      <c r="D361" s="3" t="inlineStr">
        <is>
          <t>NM</t>
        </is>
      </c>
      <c r="E361" s="14" t="n">
        <v>840000</v>
      </c>
      <c r="F361" s="14" t="n">
        <v>10084.97</v>
      </c>
      <c r="G361" s="14" t="n">
        <v>1260.62</v>
      </c>
      <c r="H361" s="14" t="n">
        <v>1260.62</v>
      </c>
      <c r="I361" s="14">
        <f>SUM(K361:T361)</f>
        <v/>
      </c>
      <c r="J361" s="14">
        <f>F361-(G361+H361+I361)</f>
        <v/>
      </c>
      <c r="K361" s="14" t="n">
        <v>756.37</v>
      </c>
      <c r="L361" s="14" t="n">
        <v>756.37</v>
      </c>
      <c r="M361" s="14" t="n">
        <v>756.37</v>
      </c>
      <c r="N361" s="14" t="n">
        <v>756.37</v>
      </c>
      <c r="O361" s="14" t="n">
        <v>756.37</v>
      </c>
      <c r="P361" s="14" t="n">
        <v>756.37</v>
      </c>
      <c r="Q361" s="14" t="n">
        <v>756.37</v>
      </c>
      <c r="R361" s="14" t="n">
        <v>756.37</v>
      </c>
      <c r="S361" s="14" t="n">
        <v>756.37</v>
      </c>
      <c r="T361" s="14" t="n">
        <v>756.37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CANON-202606-007238</t>
        </is>
      </c>
      <c r="B362" s="15" t="inlineStr">
        <is>
          <t>2026-06-06</t>
        </is>
      </c>
      <c r="C362" s="15" t="inlineStr">
        <is>
          <t>Saoirse Ashcombe</t>
        </is>
      </c>
      <c r="D362" s="15" t="inlineStr">
        <is>
          <t>NJ</t>
        </is>
      </c>
      <c r="E362" s="16" t="n">
        <v>1075000</v>
      </c>
      <c r="F362" s="16" t="n">
        <v>7763.98</v>
      </c>
      <c r="G362" s="16" t="n">
        <v>970.5</v>
      </c>
      <c r="H362" s="16" t="n">
        <v>970.5</v>
      </c>
      <c r="I362" s="16">
        <f>SUM(K362:T362)</f>
        <v/>
      </c>
      <c r="J362" s="16">
        <f>F362-(G362+H362+I362)</f>
        <v/>
      </c>
      <c r="K362" s="16" t="n">
        <v>582.3</v>
      </c>
      <c r="L362" s="16" t="n">
        <v>582.3</v>
      </c>
      <c r="M362" s="16" t="n">
        <v>582.3</v>
      </c>
      <c r="N362" s="16" t="n">
        <v>582.3</v>
      </c>
      <c r="O362" s="16" t="n">
        <v>582.3</v>
      </c>
      <c r="P362" s="16" t="n">
        <v>582.3</v>
      </c>
      <c r="Q362" s="16" t="n">
        <v>582.3</v>
      </c>
      <c r="R362" s="16" t="n">
        <v>582.3</v>
      </c>
      <c r="S362" s="16" t="n">
        <v>582.3</v>
      </c>
      <c r="T362" s="16" t="n">
        <v>582.3</v>
      </c>
      <c r="U362" s="16" t="n">
        <v>350</v>
      </c>
      <c r="V362" s="16" t="n">
        <v>250</v>
      </c>
      <c r="W362" s="16">
        <f>U362+V362</f>
        <v/>
      </c>
    </row>
    <row r="363">
      <c r="A363" s="3" t="inlineStr">
        <is>
          <t>CANON-202606-007239</t>
        </is>
      </c>
      <c r="B363" s="3" t="inlineStr">
        <is>
          <t>2026-06-04</t>
        </is>
      </c>
      <c r="C363" s="3" t="inlineStr">
        <is>
          <t>Noor Underwood</t>
        </is>
      </c>
      <c r="D363" s="3" t="inlineStr">
        <is>
          <t>ME</t>
        </is>
      </c>
      <c r="E363" s="14" t="n">
        <v>310000</v>
      </c>
      <c r="F363" s="14" t="n">
        <v>5555.91</v>
      </c>
      <c r="G363" s="14" t="n">
        <v>694.49</v>
      </c>
      <c r="H363" s="14" t="n">
        <v>694.49</v>
      </c>
      <c r="I363" s="14">
        <f>SUM(K363:T363)</f>
        <v/>
      </c>
      <c r="J363" s="14">
        <f>F363-(G363+H363+I363)</f>
        <v/>
      </c>
      <c r="K363" s="14" t="n">
        <v>416.69</v>
      </c>
      <c r="L363" s="14" t="n">
        <v>416.69</v>
      </c>
      <c r="M363" s="14" t="n">
        <v>416.69</v>
      </c>
      <c r="N363" s="14" t="n">
        <v>416.69</v>
      </c>
      <c r="O363" s="14" t="n">
        <v>416.69</v>
      </c>
      <c r="P363" s="14" t="n">
        <v>416.69</v>
      </c>
      <c r="Q363" s="14" t="n">
        <v>416.69</v>
      </c>
      <c r="R363" s="14" t="n">
        <v>416.69</v>
      </c>
      <c r="S363" s="14" t="n">
        <v>416.69</v>
      </c>
      <c r="T363" s="14" t="n">
        <v>416.69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CANON-202606-007240</t>
        </is>
      </c>
      <c r="B364" s="15" t="inlineStr">
        <is>
          <t>2026-06-16</t>
        </is>
      </c>
      <c r="C364" s="15" t="inlineStr">
        <is>
          <t>Delphine Bellandi</t>
        </is>
      </c>
      <c r="D364" s="15" t="inlineStr">
        <is>
          <t>RI</t>
        </is>
      </c>
      <c r="E364" s="16" t="n">
        <v>1950000</v>
      </c>
      <c r="F364" s="16" t="n">
        <v>21202.63</v>
      </c>
      <c r="G364" s="16" t="n">
        <v>2650.33</v>
      </c>
      <c r="H364" s="16" t="n">
        <v>2650.33</v>
      </c>
      <c r="I364" s="16">
        <f>SUM(K364:T364)</f>
        <v/>
      </c>
      <c r="J364" s="16">
        <f>F364-(G364+H364+I364)</f>
        <v/>
      </c>
      <c r="K364" s="16" t="n">
        <v>1590.2</v>
      </c>
      <c r="L364" s="16" t="n">
        <v>1590.2</v>
      </c>
      <c r="M364" s="16" t="n">
        <v>1590.2</v>
      </c>
      <c r="N364" s="16" t="n">
        <v>1590.2</v>
      </c>
      <c r="O364" s="16" t="n">
        <v>1590.2</v>
      </c>
      <c r="P364" s="16" t="n">
        <v>1590.2</v>
      </c>
      <c r="Q364" s="16" t="n">
        <v>1590.2</v>
      </c>
      <c r="R364" s="16" t="n">
        <v>1590.2</v>
      </c>
      <c r="S364" s="16" t="n">
        <v>1590.2</v>
      </c>
      <c r="T364" s="16" t="n">
        <v>1590.2</v>
      </c>
      <c r="U364" s="16" t="n">
        <v>350</v>
      </c>
      <c r="V364" s="16" t="n">
        <v>250</v>
      </c>
      <c r="W364" s="16">
        <f>U364+V364</f>
        <v/>
      </c>
    </row>
    <row r="365">
      <c r="A365" s="3" t="inlineStr">
        <is>
          <t>CANON-202606-007241</t>
        </is>
      </c>
      <c r="B365" s="3" t="inlineStr">
        <is>
          <t>2026-06-10</t>
        </is>
      </c>
      <c r="C365" s="3" t="inlineStr">
        <is>
          <t>Emiliano Montoya</t>
        </is>
      </c>
      <c r="D365" s="3" t="inlineStr">
        <is>
          <t>ME</t>
        </is>
      </c>
      <c r="E365" s="14" t="n">
        <v>1705000</v>
      </c>
      <c r="F365" s="14" t="n">
        <v>21257.4</v>
      </c>
      <c r="G365" s="14" t="n">
        <v>2657.18</v>
      </c>
      <c r="H365" s="14" t="n">
        <v>2657.18</v>
      </c>
      <c r="I365" s="14">
        <f>SUM(K365:T365)</f>
        <v/>
      </c>
      <c r="J365" s="14">
        <f>F365-(G365+H365+I365)</f>
        <v/>
      </c>
      <c r="K365" s="14" t="n">
        <v>1594.31</v>
      </c>
      <c r="L365" s="14" t="n">
        <v>1594.31</v>
      </c>
      <c r="M365" s="14" t="n">
        <v>1594.31</v>
      </c>
      <c r="N365" s="14" t="n">
        <v>1594.31</v>
      </c>
      <c r="O365" s="14" t="n">
        <v>1594.31</v>
      </c>
      <c r="P365" s="14" t="n">
        <v>1594.31</v>
      </c>
      <c r="Q365" s="14" t="n">
        <v>1594.31</v>
      </c>
      <c r="R365" s="14" t="n">
        <v>1594.31</v>
      </c>
      <c r="S365" s="14" t="n">
        <v>1594.31</v>
      </c>
      <c r="T365" s="14" t="n">
        <v>1594.31</v>
      </c>
      <c r="U365" s="14" t="n">
        <v>350</v>
      </c>
      <c r="V365" s="14" t="n">
        <v>250</v>
      </c>
      <c r="W365" s="14">
        <f>U365+V365</f>
        <v/>
      </c>
    </row>
    <row r="366">
      <c r="A366" s="15" t="inlineStr">
        <is>
          <t>CANON-202606-007242</t>
        </is>
      </c>
      <c r="B366" s="15" t="inlineStr">
        <is>
          <t>2026-06-19</t>
        </is>
      </c>
      <c r="C366" s="15" t="inlineStr">
        <is>
          <t>Ottilie Larsson</t>
        </is>
      </c>
      <c r="D366" s="15" t="inlineStr">
        <is>
          <t>TN</t>
        </is>
      </c>
      <c r="E366" s="16" t="n">
        <v>625000</v>
      </c>
      <c r="F366" s="16" t="n">
        <v>5745.02</v>
      </c>
      <c r="G366" s="16" t="n">
        <v>718.13</v>
      </c>
      <c r="H366" s="16" t="n">
        <v>718.13</v>
      </c>
      <c r="I366" s="16">
        <f>SUM(K366:T366)</f>
        <v/>
      </c>
      <c r="J366" s="16">
        <f>F366-(G366+H366+I366)</f>
        <v/>
      </c>
      <c r="K366" s="16" t="n">
        <v>430.88</v>
      </c>
      <c r="L366" s="16" t="n">
        <v>430.88</v>
      </c>
      <c r="M366" s="16" t="n">
        <v>430.88</v>
      </c>
      <c r="N366" s="16" t="n">
        <v>430.88</v>
      </c>
      <c r="O366" s="16" t="n">
        <v>430.88</v>
      </c>
      <c r="P366" s="16" t="n">
        <v>430.88</v>
      </c>
      <c r="Q366" s="16" t="n">
        <v>430.88</v>
      </c>
      <c r="R366" s="16" t="n">
        <v>430.88</v>
      </c>
      <c r="S366" s="16" t="n">
        <v>430.88</v>
      </c>
      <c r="T366" s="16" t="n">
        <v>430.88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CANON-202606-007243</t>
        </is>
      </c>
      <c r="B367" s="3" t="inlineStr">
        <is>
          <t>2026-06-25</t>
        </is>
      </c>
      <c r="C367" s="3" t="inlineStr">
        <is>
          <t>Lorenzo Harrington</t>
        </is>
      </c>
      <c r="D367" s="3" t="inlineStr">
        <is>
          <t>MD</t>
        </is>
      </c>
      <c r="E367" s="14" t="n">
        <v>275000</v>
      </c>
      <c r="F367" s="14" t="n">
        <v>2827.41</v>
      </c>
      <c r="G367" s="14" t="n">
        <v>353.43</v>
      </c>
      <c r="H367" s="14" t="n">
        <v>353.43</v>
      </c>
      <c r="I367" s="14">
        <f>SUM(K367:T367)</f>
        <v/>
      </c>
      <c r="J367" s="14">
        <f>F367-(G367+H367+I367)</f>
        <v/>
      </c>
      <c r="K367" s="14" t="n">
        <v>212.06</v>
      </c>
      <c r="L367" s="14" t="n">
        <v>212.06</v>
      </c>
      <c r="M367" s="14" t="n">
        <v>212.06</v>
      </c>
      <c r="N367" s="14" t="n">
        <v>212.06</v>
      </c>
      <c r="O367" s="14" t="n">
        <v>212.06</v>
      </c>
      <c r="P367" s="14" t="n">
        <v>212.06</v>
      </c>
      <c r="Q367" s="14" t="n">
        <v>212.06</v>
      </c>
      <c r="R367" s="14" t="n">
        <v>212.06</v>
      </c>
      <c r="S367" s="14" t="n">
        <v>212.06</v>
      </c>
      <c r="T367" s="14" t="n">
        <v>212.06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CANON-202606-007244</t>
        </is>
      </c>
      <c r="B368" s="15" t="inlineStr">
        <is>
          <t>2026-06-12</t>
        </is>
      </c>
      <c r="C368" s="15" t="inlineStr">
        <is>
          <t>Mireille Ashcombe</t>
        </is>
      </c>
      <c r="D368" s="15" t="inlineStr">
        <is>
          <t>IL</t>
        </is>
      </c>
      <c r="E368" s="16" t="n">
        <v>345000</v>
      </c>
      <c r="F368" s="16" t="n">
        <v>5077.98</v>
      </c>
      <c r="G368" s="16" t="n">
        <v>634.75</v>
      </c>
      <c r="H368" s="16" t="n">
        <v>634.75</v>
      </c>
      <c r="I368" s="16">
        <f>SUM(K368:T368)</f>
        <v/>
      </c>
      <c r="J368" s="16">
        <f>F368-(G368+H368+I368)</f>
        <v/>
      </c>
      <c r="K368" s="16" t="n">
        <v>380.85</v>
      </c>
      <c r="L368" s="16" t="n">
        <v>380.85</v>
      </c>
      <c r="M368" s="16" t="n">
        <v>380.85</v>
      </c>
      <c r="N368" s="16" t="n">
        <v>380.85</v>
      </c>
      <c r="O368" s="16" t="n">
        <v>380.85</v>
      </c>
      <c r="P368" s="16" t="n">
        <v>380.85</v>
      </c>
      <c r="Q368" s="16" t="n">
        <v>380.85</v>
      </c>
      <c r="R368" s="16" t="n">
        <v>380.85</v>
      </c>
      <c r="S368" s="16" t="n">
        <v>380.85</v>
      </c>
      <c r="T368" s="16" t="n">
        <v>380.85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CANON-202606-007245</t>
        </is>
      </c>
      <c r="B369" s="3" t="inlineStr">
        <is>
          <t>2026-06-08</t>
        </is>
      </c>
      <c r="C369" s="3" t="inlineStr">
        <is>
          <t>Ramona Montoya</t>
        </is>
      </c>
      <c r="D369" s="3" t="inlineStr">
        <is>
          <t>NM</t>
        </is>
      </c>
      <c r="E369" s="14" t="n">
        <v>300000</v>
      </c>
      <c r="F369" s="14" t="n">
        <v>4155.89</v>
      </c>
      <c r="G369" s="14" t="n">
        <v>519.49</v>
      </c>
      <c r="H369" s="14" t="n">
        <v>519.49</v>
      </c>
      <c r="I369" s="14">
        <f>SUM(K369:T369)</f>
        <v/>
      </c>
      <c r="J369" s="14">
        <f>F369-(G369+H369+I369)</f>
        <v/>
      </c>
      <c r="K369" s="14" t="n">
        <v>311.69</v>
      </c>
      <c r="L369" s="14" t="n">
        <v>311.69</v>
      </c>
      <c r="M369" s="14" t="n">
        <v>311.69</v>
      </c>
      <c r="N369" s="14" t="n">
        <v>311.69</v>
      </c>
      <c r="O369" s="14" t="n">
        <v>311.69</v>
      </c>
      <c r="P369" s="14" t="n">
        <v>311.69</v>
      </c>
      <c r="Q369" s="14" t="n">
        <v>311.69</v>
      </c>
      <c r="R369" s="14" t="n">
        <v>311.69</v>
      </c>
      <c r="S369" s="14" t="n">
        <v>311.69</v>
      </c>
      <c r="T369" s="14" t="n">
        <v>311.69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CANON-202606-007247</t>
        </is>
      </c>
      <c r="B370" s="15" t="inlineStr">
        <is>
          <t>2026-06-28</t>
        </is>
      </c>
      <c r="C370" s="15" t="inlineStr">
        <is>
          <t>Aurelio Blackwood</t>
        </is>
      </c>
      <c r="D370" s="15" t="inlineStr">
        <is>
          <t>FL</t>
        </is>
      </c>
      <c r="E370" s="16" t="n">
        <v>650000</v>
      </c>
      <c r="F370" s="16" t="n">
        <v>8657.389999999999</v>
      </c>
      <c r="G370" s="16" t="n">
        <v>1082.17</v>
      </c>
      <c r="H370" s="16" t="n">
        <v>1082.17</v>
      </c>
      <c r="I370" s="16">
        <f>SUM(K370:T370)</f>
        <v/>
      </c>
      <c r="J370" s="16">
        <f>F370-(G370+H370+I370)</f>
        <v/>
      </c>
      <c r="K370" s="16" t="n">
        <v>649.3</v>
      </c>
      <c r="L370" s="16" t="n">
        <v>649.3</v>
      </c>
      <c r="M370" s="16" t="n">
        <v>649.3</v>
      </c>
      <c r="N370" s="16" t="n">
        <v>649.3</v>
      </c>
      <c r="O370" s="16" t="n">
        <v>649.3</v>
      </c>
      <c r="P370" s="16" t="n">
        <v>649.3</v>
      </c>
      <c r="Q370" s="16" t="n">
        <v>649.3</v>
      </c>
      <c r="R370" s="16" t="n">
        <v>649.3</v>
      </c>
      <c r="S370" s="16" t="n">
        <v>649.3</v>
      </c>
      <c r="T370" s="16" t="n">
        <v>649.3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CANON-202606-007248</t>
        </is>
      </c>
      <c r="B371" s="3" t="inlineStr">
        <is>
          <t>2026-06-27</t>
        </is>
      </c>
      <c r="C371" s="3" t="inlineStr">
        <is>
          <t>Sunniva Fairweather</t>
        </is>
      </c>
      <c r="D371" s="3" t="inlineStr">
        <is>
          <t>NM</t>
        </is>
      </c>
      <c r="E371" s="14" t="n">
        <v>585000</v>
      </c>
      <c r="F371" s="14" t="n">
        <v>7023.46</v>
      </c>
      <c r="G371" s="14" t="n">
        <v>877.9299999999999</v>
      </c>
      <c r="H371" s="14" t="n">
        <v>877.9299999999999</v>
      </c>
      <c r="I371" s="14">
        <f>SUM(K371:T371)</f>
        <v/>
      </c>
      <c r="J371" s="14">
        <f>F371-(G371+H371+I371)</f>
        <v/>
      </c>
      <c r="K371" s="14" t="n">
        <v>526.76</v>
      </c>
      <c r="L371" s="14" t="n">
        <v>526.76</v>
      </c>
      <c r="M371" s="14" t="n">
        <v>526.76</v>
      </c>
      <c r="N371" s="14" t="n">
        <v>526.76</v>
      </c>
      <c r="O371" s="14" t="n">
        <v>526.76</v>
      </c>
      <c r="P371" s="14" t="n">
        <v>526.76</v>
      </c>
      <c r="Q371" s="14" t="n">
        <v>526.76</v>
      </c>
      <c r="R371" s="14" t="n">
        <v>526.76</v>
      </c>
      <c r="S371" s="14" t="n">
        <v>526.76</v>
      </c>
      <c r="T371" s="14" t="n">
        <v>526.76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CANON-202606-007250</t>
        </is>
      </c>
      <c r="B372" s="15" t="inlineStr">
        <is>
          <t>2026-06-25</t>
        </is>
      </c>
      <c r="C372" s="15" t="inlineStr">
        <is>
          <t>Saoirse Ashcombe</t>
        </is>
      </c>
      <c r="D372" s="15" t="inlineStr">
        <is>
          <t>WA</t>
        </is>
      </c>
      <c r="E372" s="16" t="n">
        <v>700000</v>
      </c>
      <c r="F372" s="16" t="n">
        <v>6303.11</v>
      </c>
      <c r="G372" s="16" t="n">
        <v>787.89</v>
      </c>
      <c r="H372" s="16" t="n">
        <v>787.89</v>
      </c>
      <c r="I372" s="16">
        <f>SUM(K372:T372)</f>
        <v/>
      </c>
      <c r="J372" s="16">
        <f>F372-(G372+H372+I372)</f>
        <v/>
      </c>
      <c r="K372" s="16" t="n">
        <v>472.73</v>
      </c>
      <c r="L372" s="16" t="n">
        <v>472.73</v>
      </c>
      <c r="M372" s="16" t="n">
        <v>472.73</v>
      </c>
      <c r="N372" s="16" t="n">
        <v>472.73</v>
      </c>
      <c r="O372" s="16" t="n">
        <v>472.73</v>
      </c>
      <c r="P372" s="16" t="n">
        <v>472.73</v>
      </c>
      <c r="Q372" s="16" t="n">
        <v>472.73</v>
      </c>
      <c r="R372" s="16" t="n">
        <v>472.73</v>
      </c>
      <c r="S372" s="16" t="n">
        <v>472.73</v>
      </c>
      <c r="T372" s="16" t="n">
        <v>472.73</v>
      </c>
      <c r="U372" s="16" t="n">
        <v>350</v>
      </c>
      <c r="V372" s="16" t="n">
        <v>0</v>
      </c>
      <c r="W372" s="16">
        <f>U372+V372</f>
        <v/>
      </c>
    </row>
    <row r="373">
      <c r="A373" s="3" t="inlineStr">
        <is>
          <t>CANON-202606-007251</t>
        </is>
      </c>
      <c r="B373" s="3" t="inlineStr">
        <is>
          <t>2026-06-29</t>
        </is>
      </c>
      <c r="C373" s="3" t="inlineStr">
        <is>
          <t>Fitzgerald Castellanos</t>
        </is>
      </c>
      <c r="D373" s="3" t="inlineStr">
        <is>
          <t>TX</t>
        </is>
      </c>
      <c r="E373" s="14" t="n">
        <v>1950000</v>
      </c>
      <c r="F373" s="14" t="n">
        <v>11002.3</v>
      </c>
      <c r="G373" s="14" t="n">
        <v>1375.29</v>
      </c>
      <c r="H373" s="14" t="n">
        <v>1375.29</v>
      </c>
      <c r="I373" s="14">
        <f>SUM(K373:T373)</f>
        <v/>
      </c>
      <c r="J373" s="14">
        <f>F373-(G373+H373+I373)</f>
        <v/>
      </c>
      <c r="K373" s="14" t="n">
        <v>825.17</v>
      </c>
      <c r="L373" s="14" t="n">
        <v>825.17</v>
      </c>
      <c r="M373" s="14" t="n">
        <v>825.17</v>
      </c>
      <c r="N373" s="14" t="n">
        <v>825.17</v>
      </c>
      <c r="O373" s="14" t="n">
        <v>825.17</v>
      </c>
      <c r="P373" s="14" t="n">
        <v>825.17</v>
      </c>
      <c r="Q373" s="14" t="n">
        <v>825.17</v>
      </c>
      <c r="R373" s="14" t="n">
        <v>825.17</v>
      </c>
      <c r="S373" s="14" t="n">
        <v>825.17</v>
      </c>
      <c r="T373" s="14" t="n">
        <v>825.17</v>
      </c>
      <c r="U373" s="14" t="n">
        <v>350</v>
      </c>
      <c r="V373" s="14" t="n">
        <v>250</v>
      </c>
      <c r="W373" s="14">
        <f>U373+V373</f>
        <v/>
      </c>
    </row>
    <row r="374">
      <c r="A374" s="15" t="inlineStr">
        <is>
          <t>CANON-202606-007252</t>
        </is>
      </c>
      <c r="B374" s="15" t="inlineStr">
        <is>
          <t>2026-06-25</t>
        </is>
      </c>
      <c r="C374" s="15" t="inlineStr">
        <is>
          <t>Cassius Montoya</t>
        </is>
      </c>
      <c r="D374" s="15" t="inlineStr">
        <is>
          <t>TX</t>
        </is>
      </c>
      <c r="E374" s="16" t="n">
        <v>250000</v>
      </c>
      <c r="F374" s="16" t="n">
        <v>4770.98</v>
      </c>
      <c r="G374" s="16" t="n">
        <v>596.37</v>
      </c>
      <c r="H374" s="16" t="n">
        <v>596.37</v>
      </c>
      <c r="I374" s="16">
        <f>SUM(K374:T374)</f>
        <v/>
      </c>
      <c r="J374" s="16">
        <f>F374-(G374+H374+I374)</f>
        <v/>
      </c>
      <c r="K374" s="16" t="n">
        <v>357.82</v>
      </c>
      <c r="L374" s="16" t="n">
        <v>357.82</v>
      </c>
      <c r="M374" s="16" t="n">
        <v>357.82</v>
      </c>
      <c r="N374" s="16" t="n">
        <v>357.82</v>
      </c>
      <c r="O374" s="16" t="n">
        <v>357.82</v>
      </c>
      <c r="P374" s="16" t="n">
        <v>357.82</v>
      </c>
      <c r="Q374" s="16" t="n">
        <v>357.82</v>
      </c>
      <c r="R374" s="16" t="n">
        <v>357.82</v>
      </c>
      <c r="S374" s="16" t="n">
        <v>357.82</v>
      </c>
      <c r="T374" s="16" t="n">
        <v>357.82</v>
      </c>
      <c r="U374" s="16" t="n">
        <v>350</v>
      </c>
      <c r="V374" s="16" t="n">
        <v>0</v>
      </c>
      <c r="W374" s="16">
        <f>U374+V374</f>
        <v/>
      </c>
    </row>
    <row r="375">
      <c r="A375" s="3" t="inlineStr">
        <is>
          <t>CANON-202606-007253</t>
        </is>
      </c>
      <c r="B375" s="3" t="inlineStr">
        <is>
          <t>2026-06-14</t>
        </is>
      </c>
      <c r="C375" s="3" t="inlineStr">
        <is>
          <t>Saoirse Underwood</t>
        </is>
      </c>
      <c r="D375" s="3" t="inlineStr">
        <is>
          <t>MO</t>
        </is>
      </c>
      <c r="E375" s="14" t="n">
        <v>730000</v>
      </c>
      <c r="F375" s="14" t="n">
        <v>7257.95</v>
      </c>
      <c r="G375" s="14" t="n">
        <v>907.24</v>
      </c>
      <c r="H375" s="14" t="n">
        <v>907.24</v>
      </c>
      <c r="I375" s="14">
        <f>SUM(K375:T375)</f>
        <v/>
      </c>
      <c r="J375" s="14">
        <f>F375-(G375+H375+I375)</f>
        <v/>
      </c>
      <c r="K375" s="14" t="n">
        <v>544.35</v>
      </c>
      <c r="L375" s="14" t="n">
        <v>544.35</v>
      </c>
      <c r="M375" s="14" t="n">
        <v>544.35</v>
      </c>
      <c r="N375" s="14" t="n">
        <v>544.35</v>
      </c>
      <c r="O375" s="14" t="n">
        <v>544.35</v>
      </c>
      <c r="P375" s="14" t="n">
        <v>544.35</v>
      </c>
      <c r="Q375" s="14" t="n">
        <v>544.35</v>
      </c>
      <c r="R375" s="14" t="n">
        <v>544.35</v>
      </c>
      <c r="S375" s="14" t="n">
        <v>544.35</v>
      </c>
      <c r="T375" s="14" t="n">
        <v>544.35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CANON-202606-007254</t>
        </is>
      </c>
      <c r="B376" s="15" t="inlineStr">
        <is>
          <t>2026-06-12</t>
        </is>
      </c>
      <c r="C376" s="15" t="inlineStr">
        <is>
          <t>Sunniva Larsson</t>
        </is>
      </c>
      <c r="D376" s="15" t="inlineStr">
        <is>
          <t>FL</t>
        </is>
      </c>
      <c r="E376" s="16" t="n">
        <v>660000</v>
      </c>
      <c r="F376" s="16" t="n">
        <v>5815.31</v>
      </c>
      <c r="G376" s="16" t="n">
        <v>726.91</v>
      </c>
      <c r="H376" s="16" t="n">
        <v>726.91</v>
      </c>
      <c r="I376" s="16">
        <f>SUM(K376:T376)</f>
        <v/>
      </c>
      <c r="J376" s="16">
        <f>F376-(G376+H376+I376)</f>
        <v/>
      </c>
      <c r="K376" s="16" t="n">
        <v>436.15</v>
      </c>
      <c r="L376" s="16" t="n">
        <v>436.15</v>
      </c>
      <c r="M376" s="16" t="n">
        <v>436.15</v>
      </c>
      <c r="N376" s="16" t="n">
        <v>436.15</v>
      </c>
      <c r="O376" s="16" t="n">
        <v>436.15</v>
      </c>
      <c r="P376" s="16" t="n">
        <v>436.15</v>
      </c>
      <c r="Q376" s="16" t="n">
        <v>436.15</v>
      </c>
      <c r="R376" s="16" t="n">
        <v>436.15</v>
      </c>
      <c r="S376" s="16" t="n">
        <v>436.15</v>
      </c>
      <c r="T376" s="16" t="n">
        <v>436.15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CANON-202606-007255</t>
        </is>
      </c>
      <c r="B377" s="3" t="inlineStr">
        <is>
          <t>2026-06-01</t>
        </is>
      </c>
      <c r="C377" s="3" t="inlineStr">
        <is>
          <t>Marisol Pennington</t>
        </is>
      </c>
      <c r="D377" s="3" t="inlineStr">
        <is>
          <t>OH</t>
        </is>
      </c>
      <c r="E377" s="14" t="n">
        <v>500000</v>
      </c>
      <c r="F377" s="14" t="n">
        <v>9527.530000000001</v>
      </c>
      <c r="G377" s="14" t="n">
        <v>1190.94</v>
      </c>
      <c r="H377" s="14" t="n">
        <v>1190.94</v>
      </c>
      <c r="I377" s="14">
        <f>SUM(K377:T377)</f>
        <v/>
      </c>
      <c r="J377" s="14">
        <f>F377-(G377+H377+I377)</f>
        <v/>
      </c>
      <c r="K377" s="14" t="n">
        <v>714.5599999999999</v>
      </c>
      <c r="L377" s="14" t="n">
        <v>714.5599999999999</v>
      </c>
      <c r="M377" s="14" t="n">
        <v>714.5599999999999</v>
      </c>
      <c r="N377" s="14" t="n">
        <v>714.5599999999999</v>
      </c>
      <c r="O377" s="14" t="n">
        <v>714.5599999999999</v>
      </c>
      <c r="P377" s="14" t="n">
        <v>714.5599999999999</v>
      </c>
      <c r="Q377" s="14" t="n">
        <v>714.5599999999999</v>
      </c>
      <c r="R377" s="14" t="n">
        <v>714.5599999999999</v>
      </c>
      <c r="S377" s="14" t="n">
        <v>714.5599999999999</v>
      </c>
      <c r="T377" s="14" t="n">
        <v>714.5599999999999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CANON-202606-007256</t>
        </is>
      </c>
      <c r="B378" s="15" t="inlineStr">
        <is>
          <t>2026-06-27</t>
        </is>
      </c>
      <c r="C378" s="15" t="inlineStr">
        <is>
          <t>Lorenzo Ashcombe</t>
        </is>
      </c>
      <c r="D378" s="15" t="inlineStr">
        <is>
          <t>VA</t>
        </is>
      </c>
      <c r="E378" s="16" t="n">
        <v>480000</v>
      </c>
      <c r="F378" s="16" t="n">
        <v>5662.4</v>
      </c>
      <c r="G378" s="16" t="n">
        <v>707.8</v>
      </c>
      <c r="H378" s="16" t="n">
        <v>707.8</v>
      </c>
      <c r="I378" s="16">
        <f>SUM(K378:T378)</f>
        <v/>
      </c>
      <c r="J378" s="16">
        <f>F378-(G378+H378+I378)</f>
        <v/>
      </c>
      <c r="K378" s="16" t="n">
        <v>424.68</v>
      </c>
      <c r="L378" s="16" t="n">
        <v>424.68</v>
      </c>
      <c r="M378" s="16" t="n">
        <v>424.68</v>
      </c>
      <c r="N378" s="16" t="n">
        <v>424.68</v>
      </c>
      <c r="O378" s="16" t="n">
        <v>424.68</v>
      </c>
      <c r="P378" s="16" t="n">
        <v>424.68</v>
      </c>
      <c r="Q378" s="16" t="n">
        <v>424.68</v>
      </c>
      <c r="R378" s="16" t="n">
        <v>424.68</v>
      </c>
      <c r="S378" s="16" t="n">
        <v>424.68</v>
      </c>
      <c r="T378" s="16" t="n">
        <v>424.68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CANON-202606-007257</t>
        </is>
      </c>
      <c r="B379" s="3" t="inlineStr">
        <is>
          <t>2026-06-03</t>
        </is>
      </c>
      <c r="C379" s="3" t="inlineStr">
        <is>
          <t>Fenwick Rourke</t>
        </is>
      </c>
      <c r="D379" s="3" t="inlineStr">
        <is>
          <t>MN</t>
        </is>
      </c>
      <c r="E379" s="14" t="n">
        <v>705000</v>
      </c>
      <c r="F379" s="14" t="n">
        <v>5102.92</v>
      </c>
      <c r="G379" s="14" t="n">
        <v>637.87</v>
      </c>
      <c r="H379" s="14" t="n">
        <v>637.87</v>
      </c>
      <c r="I379" s="14">
        <f>SUM(K379:T379)</f>
        <v/>
      </c>
      <c r="J379" s="14">
        <f>F379-(G379+H379+I379)</f>
        <v/>
      </c>
      <c r="K379" s="14" t="n">
        <v>382.72</v>
      </c>
      <c r="L379" s="14" t="n">
        <v>382.72</v>
      </c>
      <c r="M379" s="14" t="n">
        <v>382.72</v>
      </c>
      <c r="N379" s="14" t="n">
        <v>382.72</v>
      </c>
      <c r="O379" s="14" t="n">
        <v>382.72</v>
      </c>
      <c r="P379" s="14" t="n">
        <v>382.72</v>
      </c>
      <c r="Q379" s="14" t="n">
        <v>382.72</v>
      </c>
      <c r="R379" s="14" t="n">
        <v>382.72</v>
      </c>
      <c r="S379" s="14" t="n">
        <v>382.72</v>
      </c>
      <c r="T379" s="14" t="n">
        <v>382.72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CANON-202606-007258</t>
        </is>
      </c>
      <c r="B380" s="15" t="inlineStr">
        <is>
          <t>2026-06-03</t>
        </is>
      </c>
      <c r="C380" s="15" t="inlineStr">
        <is>
          <t>Horace Thistlewood</t>
        </is>
      </c>
      <c r="D380" s="15" t="inlineStr">
        <is>
          <t>NY</t>
        </is>
      </c>
      <c r="E380" s="16" t="n">
        <v>995000</v>
      </c>
      <c r="F380" s="16" t="n">
        <v>7902.66</v>
      </c>
      <c r="G380" s="16" t="n">
        <v>987.83</v>
      </c>
      <c r="H380" s="16" t="n">
        <v>987.83</v>
      </c>
      <c r="I380" s="16">
        <f>SUM(K380:T380)</f>
        <v/>
      </c>
      <c r="J380" s="16">
        <f>F380-(G380+H380+I380)</f>
        <v/>
      </c>
      <c r="K380" s="16" t="n">
        <v>592.7</v>
      </c>
      <c r="L380" s="16" t="n">
        <v>592.7</v>
      </c>
      <c r="M380" s="16" t="n">
        <v>592.7</v>
      </c>
      <c r="N380" s="16" t="n">
        <v>592.7</v>
      </c>
      <c r="O380" s="16" t="n">
        <v>592.7</v>
      </c>
      <c r="P380" s="16" t="n">
        <v>592.7</v>
      </c>
      <c r="Q380" s="16" t="n">
        <v>592.7</v>
      </c>
      <c r="R380" s="16" t="n">
        <v>592.7</v>
      </c>
      <c r="S380" s="16" t="n">
        <v>592.7</v>
      </c>
      <c r="T380" s="16" t="n">
        <v>592.7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CANON-202606-007259</t>
        </is>
      </c>
      <c r="B381" s="3" t="inlineStr">
        <is>
          <t>2026-06-14</t>
        </is>
      </c>
      <c r="C381" s="3" t="inlineStr">
        <is>
          <t>Fitzgerald Fairweather</t>
        </is>
      </c>
      <c r="D381" s="3" t="inlineStr">
        <is>
          <t>MS</t>
        </is>
      </c>
      <c r="E381" s="14" t="n">
        <v>1120000</v>
      </c>
      <c r="F381" s="14" t="n">
        <v>15386.05</v>
      </c>
      <c r="G381" s="14" t="n">
        <v>1923.26</v>
      </c>
      <c r="H381" s="14" t="n">
        <v>1923.26</v>
      </c>
      <c r="I381" s="14">
        <f>SUM(K381:T381)</f>
        <v/>
      </c>
      <c r="J381" s="14">
        <f>F381-(G381+H381+I381)</f>
        <v/>
      </c>
      <c r="K381" s="14" t="n">
        <v>1153.95</v>
      </c>
      <c r="L381" s="14" t="n">
        <v>1153.95</v>
      </c>
      <c r="M381" s="14" t="n">
        <v>1153.95</v>
      </c>
      <c r="N381" s="14" t="n">
        <v>1153.95</v>
      </c>
      <c r="O381" s="14" t="n">
        <v>1153.95</v>
      </c>
      <c r="P381" s="14" t="n">
        <v>1153.95</v>
      </c>
      <c r="Q381" s="14" t="n">
        <v>1153.95</v>
      </c>
      <c r="R381" s="14" t="n">
        <v>1153.95</v>
      </c>
      <c r="S381" s="14" t="n">
        <v>1153.95</v>
      </c>
      <c r="T381" s="14" t="n">
        <v>1153.95</v>
      </c>
      <c r="U381" s="14" t="n">
        <v>350</v>
      </c>
      <c r="V381" s="14" t="n">
        <v>250</v>
      </c>
      <c r="W381" s="14">
        <f>U381+V381</f>
        <v/>
      </c>
    </row>
    <row r="382">
      <c r="A382" s="15" t="inlineStr">
        <is>
          <t>CANON-202606-007260</t>
        </is>
      </c>
      <c r="B382" s="15" t="inlineStr">
        <is>
          <t>2026-06-26</t>
        </is>
      </c>
      <c r="C382" s="15" t="inlineStr">
        <is>
          <t>Horace Nakashima</t>
        </is>
      </c>
      <c r="D382" s="15" t="inlineStr">
        <is>
          <t>KY</t>
        </is>
      </c>
      <c r="E382" s="16" t="n">
        <v>830000</v>
      </c>
      <c r="F382" s="16" t="n">
        <v>15246.79</v>
      </c>
      <c r="G382" s="16" t="n">
        <v>1905.85</v>
      </c>
      <c r="H382" s="16" t="n">
        <v>1905.85</v>
      </c>
      <c r="I382" s="16">
        <f>SUM(K382:T382)</f>
        <v/>
      </c>
      <c r="J382" s="16">
        <f>F382-(G382+H382+I382)</f>
        <v/>
      </c>
      <c r="K382" s="16" t="n">
        <v>1143.51</v>
      </c>
      <c r="L382" s="16" t="n">
        <v>1143.51</v>
      </c>
      <c r="M382" s="16" t="n">
        <v>1143.51</v>
      </c>
      <c r="N382" s="16" t="n">
        <v>1143.51</v>
      </c>
      <c r="O382" s="16" t="n">
        <v>1143.51</v>
      </c>
      <c r="P382" s="16" t="n">
        <v>1143.51</v>
      </c>
      <c r="Q382" s="16" t="n">
        <v>1143.51</v>
      </c>
      <c r="R382" s="16" t="n">
        <v>1143.51</v>
      </c>
      <c r="S382" s="16" t="n">
        <v>1143.51</v>
      </c>
      <c r="T382" s="16" t="n">
        <v>1143.51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CANON-202606-007261</t>
        </is>
      </c>
      <c r="B383" s="3" t="inlineStr">
        <is>
          <t>2026-06-14</t>
        </is>
      </c>
      <c r="C383" s="3" t="inlineStr">
        <is>
          <t>Saoirse Harrington</t>
        </is>
      </c>
      <c r="D383" s="3" t="inlineStr">
        <is>
          <t>KS</t>
        </is>
      </c>
      <c r="E383" s="14" t="n">
        <v>475000</v>
      </c>
      <c r="F383" s="14" t="n">
        <v>4986.53</v>
      </c>
      <c r="G383" s="14" t="n">
        <v>623.3200000000001</v>
      </c>
      <c r="H383" s="14" t="n">
        <v>623.3200000000001</v>
      </c>
      <c r="I383" s="14">
        <f>SUM(K383:T383)</f>
        <v/>
      </c>
      <c r="J383" s="14">
        <f>F383-(G383+H383+I383)</f>
        <v/>
      </c>
      <c r="K383" s="14" t="n">
        <v>373.99</v>
      </c>
      <c r="L383" s="14" t="n">
        <v>373.99</v>
      </c>
      <c r="M383" s="14" t="n">
        <v>373.99</v>
      </c>
      <c r="N383" s="14" t="n">
        <v>373.99</v>
      </c>
      <c r="O383" s="14" t="n">
        <v>373.99</v>
      </c>
      <c r="P383" s="14" t="n">
        <v>373.99</v>
      </c>
      <c r="Q383" s="14" t="n">
        <v>373.99</v>
      </c>
      <c r="R383" s="14" t="n">
        <v>373.99</v>
      </c>
      <c r="S383" s="14" t="n">
        <v>373.99</v>
      </c>
      <c r="T383" s="14" t="n">
        <v>373.99</v>
      </c>
      <c r="U383" s="14" t="n">
        <v>350</v>
      </c>
      <c r="V383" s="14" t="n">
        <v>0</v>
      </c>
      <c r="W383" s="14">
        <f>U383+V383</f>
        <v/>
      </c>
    </row>
    <row r="384">
      <c r="A384" s="15" t="inlineStr">
        <is>
          <t>CANON-202606-007263</t>
        </is>
      </c>
      <c r="B384" s="15" t="inlineStr">
        <is>
          <t>2026-06-10</t>
        </is>
      </c>
      <c r="C384" s="15" t="inlineStr">
        <is>
          <t>Marisol Harrington</t>
        </is>
      </c>
      <c r="D384" s="15" t="inlineStr">
        <is>
          <t>WA</t>
        </is>
      </c>
      <c r="E384" s="16" t="n">
        <v>670000</v>
      </c>
      <c r="F384" s="16" t="n">
        <v>8817.43</v>
      </c>
      <c r="G384" s="16" t="n">
        <v>1102.18</v>
      </c>
      <c r="H384" s="16" t="n">
        <v>1102.18</v>
      </c>
      <c r="I384" s="16">
        <f>SUM(K384:T384)</f>
        <v/>
      </c>
      <c r="J384" s="16">
        <f>F384-(G384+H384+I384)</f>
        <v/>
      </c>
      <c r="K384" s="16" t="n">
        <v>661.3099999999999</v>
      </c>
      <c r="L384" s="16" t="n">
        <v>661.3099999999999</v>
      </c>
      <c r="M384" s="16" t="n">
        <v>661.3099999999999</v>
      </c>
      <c r="N384" s="16" t="n">
        <v>661.3099999999999</v>
      </c>
      <c r="O384" s="16" t="n">
        <v>661.3099999999999</v>
      </c>
      <c r="P384" s="16" t="n">
        <v>661.3099999999999</v>
      </c>
      <c r="Q384" s="16" t="n">
        <v>661.3099999999999</v>
      </c>
      <c r="R384" s="16" t="n">
        <v>661.3099999999999</v>
      </c>
      <c r="S384" s="16" t="n">
        <v>661.3099999999999</v>
      </c>
      <c r="T384" s="16" t="n">
        <v>661.3099999999999</v>
      </c>
      <c r="U384" s="16" t="n">
        <v>350</v>
      </c>
      <c r="V384" s="16" t="n">
        <v>0</v>
      </c>
      <c r="W384" s="16">
        <f>U384+V384</f>
        <v/>
      </c>
    </row>
    <row r="385">
      <c r="A385" s="3" t="inlineStr">
        <is>
          <t>CANON-202606-007264</t>
        </is>
      </c>
      <c r="B385" s="3" t="inlineStr">
        <is>
          <t>2026-06-02</t>
        </is>
      </c>
      <c r="C385" s="3" t="inlineStr">
        <is>
          <t>Callum Kingsford</t>
        </is>
      </c>
      <c r="D385" s="3" t="inlineStr">
        <is>
          <t>WA</t>
        </is>
      </c>
      <c r="E385" s="14" t="n">
        <v>590000</v>
      </c>
      <c r="F385" s="14" t="n">
        <v>5312.62</v>
      </c>
      <c r="G385" s="14" t="n">
        <v>664.08</v>
      </c>
      <c r="H385" s="14" t="n">
        <v>664.08</v>
      </c>
      <c r="I385" s="14">
        <f>SUM(K385:T385)</f>
        <v/>
      </c>
      <c r="J385" s="14">
        <f>F385-(G385+H385+I385)</f>
        <v/>
      </c>
      <c r="K385" s="14" t="n">
        <v>398.45</v>
      </c>
      <c r="L385" s="14" t="n">
        <v>398.45</v>
      </c>
      <c r="M385" s="14" t="n">
        <v>398.45</v>
      </c>
      <c r="N385" s="14" t="n">
        <v>398.45</v>
      </c>
      <c r="O385" s="14" t="n">
        <v>398.45</v>
      </c>
      <c r="P385" s="14" t="n">
        <v>398.45</v>
      </c>
      <c r="Q385" s="14" t="n">
        <v>398.45</v>
      </c>
      <c r="R385" s="14" t="n">
        <v>398.45</v>
      </c>
      <c r="S385" s="14" t="n">
        <v>398.45</v>
      </c>
      <c r="T385" s="14" t="n">
        <v>398.45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CANON-202606-007267</t>
        </is>
      </c>
      <c r="B386" s="15" t="inlineStr">
        <is>
          <t>2026-06-03</t>
        </is>
      </c>
      <c r="C386" s="15" t="inlineStr">
        <is>
          <t>Emiliano Bellandi</t>
        </is>
      </c>
      <c r="D386" s="15" t="inlineStr">
        <is>
          <t>CA</t>
        </is>
      </c>
      <c r="E386" s="16" t="n">
        <v>320000</v>
      </c>
      <c r="F386" s="16" t="n">
        <v>7168.91</v>
      </c>
      <c r="G386" s="16" t="n">
        <v>896.11</v>
      </c>
      <c r="H386" s="16" t="n">
        <v>896.11</v>
      </c>
      <c r="I386" s="16">
        <f>SUM(K386:T386)</f>
        <v/>
      </c>
      <c r="J386" s="16">
        <f>F386-(G386+H386+I386)</f>
        <v/>
      </c>
      <c r="K386" s="16" t="n">
        <v>537.67</v>
      </c>
      <c r="L386" s="16" t="n">
        <v>537.67</v>
      </c>
      <c r="M386" s="16" t="n">
        <v>537.67</v>
      </c>
      <c r="N386" s="16" t="n">
        <v>537.67</v>
      </c>
      <c r="O386" s="16" t="n">
        <v>537.67</v>
      </c>
      <c r="P386" s="16" t="n">
        <v>537.67</v>
      </c>
      <c r="Q386" s="16" t="n">
        <v>537.67</v>
      </c>
      <c r="R386" s="16" t="n">
        <v>537.67</v>
      </c>
      <c r="S386" s="16" t="n">
        <v>537.67</v>
      </c>
      <c r="T386" s="16" t="n">
        <v>537.67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CANON-202606-007270</t>
        </is>
      </c>
      <c r="B387" s="3" t="inlineStr">
        <is>
          <t>2026-06-03</t>
        </is>
      </c>
      <c r="C387" s="3" t="inlineStr">
        <is>
          <t>Ingrid Fairweather</t>
        </is>
      </c>
      <c r="D387" s="3" t="inlineStr">
        <is>
          <t>MO</t>
        </is>
      </c>
      <c r="E387" s="14" t="n">
        <v>375000</v>
      </c>
      <c r="F387" s="14" t="n">
        <v>4302</v>
      </c>
      <c r="G387" s="14" t="n">
        <v>537.75</v>
      </c>
      <c r="H387" s="14" t="n">
        <v>537.75</v>
      </c>
      <c r="I387" s="14">
        <f>SUM(K387:T387)</f>
        <v/>
      </c>
      <c r="J387" s="14">
        <f>F387-(G387+H387+I387)</f>
        <v/>
      </c>
      <c r="K387" s="14" t="n">
        <v>322.65</v>
      </c>
      <c r="L387" s="14" t="n">
        <v>322.65</v>
      </c>
      <c r="M387" s="14" t="n">
        <v>322.65</v>
      </c>
      <c r="N387" s="14" t="n">
        <v>322.65</v>
      </c>
      <c r="O387" s="14" t="n">
        <v>322.65</v>
      </c>
      <c r="P387" s="14" t="n">
        <v>322.65</v>
      </c>
      <c r="Q387" s="14" t="n">
        <v>322.65</v>
      </c>
      <c r="R387" s="14" t="n">
        <v>322.65</v>
      </c>
      <c r="S387" s="14" t="n">
        <v>322.65</v>
      </c>
      <c r="T387" s="14" t="n">
        <v>322.65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CANON-202606-007271</t>
        </is>
      </c>
      <c r="B388" s="15" t="inlineStr">
        <is>
          <t>2026-06-05</t>
        </is>
      </c>
      <c r="C388" s="15" t="inlineStr">
        <is>
          <t>Sunniva Farkas</t>
        </is>
      </c>
      <c r="D388" s="15" t="inlineStr">
        <is>
          <t>MI</t>
        </is>
      </c>
      <c r="E388" s="16" t="n">
        <v>1710000</v>
      </c>
      <c r="F388" s="16" t="n">
        <v>30597.77</v>
      </c>
      <c r="G388" s="16" t="n">
        <v>3824.72</v>
      </c>
      <c r="H388" s="16" t="n">
        <v>3824.72</v>
      </c>
      <c r="I388" s="16">
        <f>SUM(K388:T388)</f>
        <v/>
      </c>
      <c r="J388" s="16">
        <f>F388-(G388+H388+I388)</f>
        <v/>
      </c>
      <c r="K388" s="16" t="n">
        <v>2294.83</v>
      </c>
      <c r="L388" s="16" t="n">
        <v>2294.83</v>
      </c>
      <c r="M388" s="16" t="n">
        <v>2294.83</v>
      </c>
      <c r="N388" s="16" t="n">
        <v>2294.83</v>
      </c>
      <c r="O388" s="16" t="n">
        <v>2294.83</v>
      </c>
      <c r="P388" s="16" t="n">
        <v>2294.83</v>
      </c>
      <c r="Q388" s="16" t="n">
        <v>2294.83</v>
      </c>
      <c r="R388" s="16" t="n">
        <v>2294.83</v>
      </c>
      <c r="S388" s="16" t="n">
        <v>2294.83</v>
      </c>
      <c r="T388" s="16" t="n">
        <v>2294.83</v>
      </c>
      <c r="U388" s="16" t="n">
        <v>350</v>
      </c>
      <c r="V388" s="16" t="n">
        <v>250</v>
      </c>
      <c r="W388" s="16">
        <f>U388+V388</f>
        <v/>
      </c>
    </row>
    <row r="389">
      <c r="A389" s="3" t="inlineStr">
        <is>
          <t>CANON-202606-007272</t>
        </is>
      </c>
      <c r="B389" s="3" t="inlineStr">
        <is>
          <t>2026-06-23</t>
        </is>
      </c>
      <c r="C389" s="3" t="inlineStr">
        <is>
          <t>Fitzgerald Delacroix</t>
        </is>
      </c>
      <c r="D389" s="3" t="inlineStr">
        <is>
          <t>CA</t>
        </is>
      </c>
      <c r="E389" s="14" t="n">
        <v>400000</v>
      </c>
      <c r="F389" s="14" t="n">
        <v>5844.23</v>
      </c>
      <c r="G389" s="14" t="n">
        <v>730.53</v>
      </c>
      <c r="H389" s="14" t="n">
        <v>730.53</v>
      </c>
      <c r="I389" s="14">
        <f>SUM(K389:T389)</f>
        <v/>
      </c>
      <c r="J389" s="14">
        <f>F389-(G389+H389+I389)</f>
        <v/>
      </c>
      <c r="K389" s="14" t="n">
        <v>438.32</v>
      </c>
      <c r="L389" s="14" t="n">
        <v>438.32</v>
      </c>
      <c r="M389" s="14" t="n">
        <v>438.32</v>
      </c>
      <c r="N389" s="14" t="n">
        <v>438.32</v>
      </c>
      <c r="O389" s="14" t="n">
        <v>438.32</v>
      </c>
      <c r="P389" s="14" t="n">
        <v>438.32</v>
      </c>
      <c r="Q389" s="14" t="n">
        <v>438.32</v>
      </c>
      <c r="R389" s="14" t="n">
        <v>438.32</v>
      </c>
      <c r="S389" s="14" t="n">
        <v>438.32</v>
      </c>
      <c r="T389" s="14" t="n">
        <v>438.32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CANON-202606-007273</t>
        </is>
      </c>
      <c r="B390" s="15" t="inlineStr">
        <is>
          <t>2026-06-16</t>
        </is>
      </c>
      <c r="C390" s="15" t="inlineStr">
        <is>
          <t>Ingrid Larsson</t>
        </is>
      </c>
      <c r="D390" s="15" t="inlineStr">
        <is>
          <t>KS</t>
        </is>
      </c>
      <c r="E390" s="16" t="n">
        <v>595000</v>
      </c>
      <c r="F390" s="16" t="n">
        <v>5413.45</v>
      </c>
      <c r="G390" s="16" t="n">
        <v>676.6799999999999</v>
      </c>
      <c r="H390" s="16" t="n">
        <v>676.6799999999999</v>
      </c>
      <c r="I390" s="16">
        <f>SUM(K390:T390)</f>
        <v/>
      </c>
      <c r="J390" s="16">
        <f>F390-(G390+H390+I390)</f>
        <v/>
      </c>
      <c r="K390" s="16" t="n">
        <v>406.01</v>
      </c>
      <c r="L390" s="16" t="n">
        <v>406.01</v>
      </c>
      <c r="M390" s="16" t="n">
        <v>406.01</v>
      </c>
      <c r="N390" s="16" t="n">
        <v>406.01</v>
      </c>
      <c r="O390" s="16" t="n">
        <v>406.01</v>
      </c>
      <c r="P390" s="16" t="n">
        <v>406.01</v>
      </c>
      <c r="Q390" s="16" t="n">
        <v>406.01</v>
      </c>
      <c r="R390" s="16" t="n">
        <v>406.01</v>
      </c>
      <c r="S390" s="16" t="n">
        <v>406.01</v>
      </c>
      <c r="T390" s="16" t="n">
        <v>406.01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CANON-202606-007278</t>
        </is>
      </c>
      <c r="B391" s="3" t="inlineStr">
        <is>
          <t>2026-06-16</t>
        </is>
      </c>
      <c r="C391" s="3" t="inlineStr">
        <is>
          <t>Fenwick Ashcombe</t>
        </is>
      </c>
      <c r="D391" s="3" t="inlineStr">
        <is>
          <t>WA</t>
        </is>
      </c>
      <c r="E391" s="14" t="n">
        <v>225000</v>
      </c>
      <c r="F391" s="14" t="n">
        <v>2867.56</v>
      </c>
      <c r="G391" s="14" t="n">
        <v>358.44</v>
      </c>
      <c r="H391" s="14" t="n">
        <v>358.44</v>
      </c>
      <c r="I391" s="14">
        <f>SUM(K391:T391)</f>
        <v/>
      </c>
      <c r="J391" s="14">
        <f>F391-(G391+H391+I391)</f>
        <v/>
      </c>
      <c r="K391" s="14" t="n">
        <v>215.07</v>
      </c>
      <c r="L391" s="14" t="n">
        <v>215.07</v>
      </c>
      <c r="M391" s="14" t="n">
        <v>215.07</v>
      </c>
      <c r="N391" s="14" t="n">
        <v>215.07</v>
      </c>
      <c r="O391" s="14" t="n">
        <v>215.07</v>
      </c>
      <c r="P391" s="14" t="n">
        <v>215.07</v>
      </c>
      <c r="Q391" s="14" t="n">
        <v>215.07</v>
      </c>
      <c r="R391" s="14" t="n">
        <v>215.07</v>
      </c>
      <c r="S391" s="14" t="n">
        <v>215.07</v>
      </c>
      <c r="T391" s="14" t="n">
        <v>215.07</v>
      </c>
      <c r="U391" s="14" t="n">
        <v>350</v>
      </c>
      <c r="V391" s="14" t="n">
        <v>0</v>
      </c>
      <c r="W391" s="14">
        <f>U391+V391</f>
        <v/>
      </c>
    </row>
    <row r="392">
      <c r="A392" s="15" t="inlineStr">
        <is>
          <t>CANON-202606-007279</t>
        </is>
      </c>
      <c r="B392" s="15" t="inlineStr">
        <is>
          <t>2026-06-15</t>
        </is>
      </c>
      <c r="C392" s="15" t="inlineStr">
        <is>
          <t>Wilhelmina Fairweather</t>
        </is>
      </c>
      <c r="D392" s="15" t="inlineStr">
        <is>
          <t>HI</t>
        </is>
      </c>
      <c r="E392" s="16" t="n">
        <v>315000</v>
      </c>
      <c r="F392" s="16" t="n">
        <v>4431.87</v>
      </c>
      <c r="G392" s="16" t="n">
        <v>553.98</v>
      </c>
      <c r="H392" s="16" t="n">
        <v>553.98</v>
      </c>
      <c r="I392" s="16">
        <f>SUM(K392:T392)</f>
        <v/>
      </c>
      <c r="J392" s="16">
        <f>F392-(G392+H392+I392)</f>
        <v/>
      </c>
      <c r="K392" s="16" t="n">
        <v>332.39</v>
      </c>
      <c r="L392" s="16" t="n">
        <v>332.39</v>
      </c>
      <c r="M392" s="16" t="n">
        <v>332.39</v>
      </c>
      <c r="N392" s="16" t="n">
        <v>332.39</v>
      </c>
      <c r="O392" s="16" t="n">
        <v>332.39</v>
      </c>
      <c r="P392" s="16" t="n">
        <v>332.39</v>
      </c>
      <c r="Q392" s="16" t="n">
        <v>332.39</v>
      </c>
      <c r="R392" s="16" t="n">
        <v>332.39</v>
      </c>
      <c r="S392" s="16" t="n">
        <v>332.39</v>
      </c>
      <c r="T392" s="16" t="n">
        <v>332.39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CANON-202606-007282</t>
        </is>
      </c>
      <c r="B393" s="3" t="inlineStr">
        <is>
          <t>2026-06-27</t>
        </is>
      </c>
      <c r="C393" s="3" t="inlineStr">
        <is>
          <t>Horace Rourke</t>
        </is>
      </c>
      <c r="D393" s="3" t="inlineStr">
        <is>
          <t>GA</t>
        </is>
      </c>
      <c r="E393" s="14" t="n">
        <v>295000</v>
      </c>
      <c r="F393" s="14" t="n">
        <v>3575.8</v>
      </c>
      <c r="G393" s="14" t="n">
        <v>446.98</v>
      </c>
      <c r="H393" s="14" t="n">
        <v>446.98</v>
      </c>
      <c r="I393" s="14">
        <f>SUM(K393:T393)</f>
        <v/>
      </c>
      <c r="J393" s="14">
        <f>F393-(G393+H393+I393)</f>
        <v/>
      </c>
      <c r="K393" s="14" t="n">
        <v>268.19</v>
      </c>
      <c r="L393" s="14" t="n">
        <v>268.19</v>
      </c>
      <c r="M393" s="14" t="n">
        <v>268.19</v>
      </c>
      <c r="N393" s="14" t="n">
        <v>268.19</v>
      </c>
      <c r="O393" s="14" t="n">
        <v>268.19</v>
      </c>
      <c r="P393" s="14" t="n">
        <v>268.19</v>
      </c>
      <c r="Q393" s="14" t="n">
        <v>268.19</v>
      </c>
      <c r="R393" s="14" t="n">
        <v>268.19</v>
      </c>
      <c r="S393" s="14" t="n">
        <v>268.19</v>
      </c>
      <c r="T393" s="14" t="n">
        <v>268.19</v>
      </c>
      <c r="U393" s="14" t="n">
        <v>350</v>
      </c>
      <c r="V393" s="14" t="n">
        <v>0</v>
      </c>
      <c r="W393" s="14">
        <f>U393+V393</f>
        <v/>
      </c>
    </row>
    <row r="394">
      <c r="A394" s="15" t="inlineStr">
        <is>
          <t>CANON-202606-007284</t>
        </is>
      </c>
      <c r="B394" s="15" t="inlineStr">
        <is>
          <t>2026-06-27</t>
        </is>
      </c>
      <c r="C394" s="15" t="inlineStr">
        <is>
          <t>Beatrix Ashcombe</t>
        </is>
      </c>
      <c r="D394" s="15" t="inlineStr">
        <is>
          <t>MA</t>
        </is>
      </c>
      <c r="E394" s="16" t="n">
        <v>340000</v>
      </c>
      <c r="F394" s="16" t="n">
        <v>4599.62</v>
      </c>
      <c r="G394" s="16" t="n">
        <v>574.95</v>
      </c>
      <c r="H394" s="16" t="n">
        <v>574.95</v>
      </c>
      <c r="I394" s="16">
        <f>SUM(K394:T394)</f>
        <v/>
      </c>
      <c r="J394" s="16">
        <f>F394-(G394+H394+I394)</f>
        <v/>
      </c>
      <c r="K394" s="16" t="n">
        <v>344.97</v>
      </c>
      <c r="L394" s="16" t="n">
        <v>344.97</v>
      </c>
      <c r="M394" s="16" t="n">
        <v>344.97</v>
      </c>
      <c r="N394" s="16" t="n">
        <v>344.97</v>
      </c>
      <c r="O394" s="16" t="n">
        <v>344.97</v>
      </c>
      <c r="P394" s="16" t="n">
        <v>344.97</v>
      </c>
      <c r="Q394" s="16" t="n">
        <v>344.97</v>
      </c>
      <c r="R394" s="16" t="n">
        <v>344.97</v>
      </c>
      <c r="S394" s="16" t="n">
        <v>344.97</v>
      </c>
      <c r="T394" s="16" t="n">
        <v>344.97</v>
      </c>
      <c r="U394" s="16" t="n">
        <v>350</v>
      </c>
      <c r="V394" s="16" t="n">
        <v>0</v>
      </c>
      <c r="W394" s="16">
        <f>U394+V394</f>
        <v/>
      </c>
    </row>
    <row r="395">
      <c r="A395" s="3" t="inlineStr">
        <is>
          <t>CANON-202606-007285</t>
        </is>
      </c>
      <c r="B395" s="3" t="inlineStr">
        <is>
          <t>2026-06-25</t>
        </is>
      </c>
      <c r="C395" s="3" t="inlineStr">
        <is>
          <t>Noor Vasquez</t>
        </is>
      </c>
      <c r="D395" s="3" t="inlineStr">
        <is>
          <t>WV</t>
        </is>
      </c>
      <c r="E395" s="14" t="n">
        <v>565000</v>
      </c>
      <c r="F395" s="14" t="n">
        <v>7048.32</v>
      </c>
      <c r="G395" s="14" t="n">
        <v>881.04</v>
      </c>
      <c r="H395" s="14" t="n">
        <v>881.04</v>
      </c>
      <c r="I395" s="14">
        <f>SUM(K395:T395)</f>
        <v/>
      </c>
      <c r="J395" s="14">
        <f>F395-(G395+H395+I395)</f>
        <v/>
      </c>
      <c r="K395" s="14" t="n">
        <v>528.62</v>
      </c>
      <c r="L395" s="14" t="n">
        <v>528.62</v>
      </c>
      <c r="M395" s="14" t="n">
        <v>528.62</v>
      </c>
      <c r="N395" s="14" t="n">
        <v>528.62</v>
      </c>
      <c r="O395" s="14" t="n">
        <v>528.62</v>
      </c>
      <c r="P395" s="14" t="n">
        <v>528.62</v>
      </c>
      <c r="Q395" s="14" t="n">
        <v>528.62</v>
      </c>
      <c r="R395" s="14" t="n">
        <v>528.62</v>
      </c>
      <c r="S395" s="14" t="n">
        <v>528.62</v>
      </c>
      <c r="T395" s="14" t="n">
        <v>528.62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CANON-202606-007287</t>
        </is>
      </c>
      <c r="B396" s="15" t="inlineStr">
        <is>
          <t>2026-06-12</t>
        </is>
      </c>
      <c r="C396" s="15" t="inlineStr">
        <is>
          <t>Wilhelmina Merriweather</t>
        </is>
      </c>
      <c r="D396" s="15" t="inlineStr">
        <is>
          <t>MS</t>
        </is>
      </c>
      <c r="E396" s="16" t="n">
        <v>625000</v>
      </c>
      <c r="F396" s="16" t="n">
        <v>6976.09</v>
      </c>
      <c r="G396" s="16" t="n">
        <v>872.01</v>
      </c>
      <c r="H396" s="16" t="n">
        <v>872.01</v>
      </c>
      <c r="I396" s="16">
        <f>SUM(K396:T396)</f>
        <v/>
      </c>
      <c r="J396" s="16">
        <f>F396-(G396+H396+I396)</f>
        <v/>
      </c>
      <c r="K396" s="16" t="n">
        <v>523.21</v>
      </c>
      <c r="L396" s="16" t="n">
        <v>523.21</v>
      </c>
      <c r="M396" s="16" t="n">
        <v>523.21</v>
      </c>
      <c r="N396" s="16" t="n">
        <v>523.21</v>
      </c>
      <c r="O396" s="16" t="n">
        <v>523.21</v>
      </c>
      <c r="P396" s="16" t="n">
        <v>523.21</v>
      </c>
      <c r="Q396" s="16" t="n">
        <v>523.21</v>
      </c>
      <c r="R396" s="16" t="n">
        <v>523.21</v>
      </c>
      <c r="S396" s="16" t="n">
        <v>523.21</v>
      </c>
      <c r="T396" s="16" t="n">
        <v>523.21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CANON-202606-007288</t>
        </is>
      </c>
      <c r="B397" s="3" t="inlineStr">
        <is>
          <t>2026-06-02</t>
        </is>
      </c>
      <c r="C397" s="3" t="inlineStr">
        <is>
          <t>Leopold Harrington</t>
        </is>
      </c>
      <c r="D397" s="3" t="inlineStr">
        <is>
          <t>WI</t>
        </is>
      </c>
      <c r="E397" s="14" t="n">
        <v>265000</v>
      </c>
      <c r="F397" s="14" t="n">
        <v>3441.6</v>
      </c>
      <c r="G397" s="14" t="n">
        <v>430.2</v>
      </c>
      <c r="H397" s="14" t="n">
        <v>430.2</v>
      </c>
      <c r="I397" s="14">
        <f>SUM(K397:T397)</f>
        <v/>
      </c>
      <c r="J397" s="14">
        <f>F397-(G397+H397+I397)</f>
        <v/>
      </c>
      <c r="K397" s="14" t="n">
        <v>258.12</v>
      </c>
      <c r="L397" s="14" t="n">
        <v>258.12</v>
      </c>
      <c r="M397" s="14" t="n">
        <v>258.12</v>
      </c>
      <c r="N397" s="14" t="n">
        <v>258.12</v>
      </c>
      <c r="O397" s="14" t="n">
        <v>258.12</v>
      </c>
      <c r="P397" s="14" t="n">
        <v>258.12</v>
      </c>
      <c r="Q397" s="14" t="n">
        <v>258.12</v>
      </c>
      <c r="R397" s="14" t="n">
        <v>258.12</v>
      </c>
      <c r="S397" s="14" t="n">
        <v>258.12</v>
      </c>
      <c r="T397" s="14" t="n">
        <v>258.12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CANON-202606-007289</t>
        </is>
      </c>
      <c r="B398" s="15" t="inlineStr">
        <is>
          <t>2026-06-04</t>
        </is>
      </c>
      <c r="C398" s="15" t="inlineStr">
        <is>
          <t>Lorenzo Larsson</t>
        </is>
      </c>
      <c r="D398" s="15" t="inlineStr">
        <is>
          <t>MD</t>
        </is>
      </c>
      <c r="E398" s="16" t="n">
        <v>725000</v>
      </c>
      <c r="F398" s="16" t="n">
        <v>9441.85</v>
      </c>
      <c r="G398" s="16" t="n">
        <v>1180.23</v>
      </c>
      <c r="H398" s="16" t="n">
        <v>1180.23</v>
      </c>
      <c r="I398" s="16">
        <f>SUM(K398:T398)</f>
        <v/>
      </c>
      <c r="J398" s="16">
        <f>F398-(G398+H398+I398)</f>
        <v/>
      </c>
      <c r="K398" s="16" t="n">
        <v>708.14</v>
      </c>
      <c r="L398" s="16" t="n">
        <v>708.14</v>
      </c>
      <c r="M398" s="16" t="n">
        <v>708.14</v>
      </c>
      <c r="N398" s="16" t="n">
        <v>708.14</v>
      </c>
      <c r="O398" s="16" t="n">
        <v>708.14</v>
      </c>
      <c r="P398" s="16" t="n">
        <v>708.14</v>
      </c>
      <c r="Q398" s="16" t="n">
        <v>708.14</v>
      </c>
      <c r="R398" s="16" t="n">
        <v>708.14</v>
      </c>
      <c r="S398" s="16" t="n">
        <v>708.14</v>
      </c>
      <c r="T398" s="16" t="n">
        <v>708.14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CANON-202606-007290</t>
        </is>
      </c>
      <c r="B399" s="3" t="inlineStr">
        <is>
          <t>2026-06-15</t>
        </is>
      </c>
      <c r="C399" s="3" t="inlineStr">
        <is>
          <t>Sunniva Bellandi</t>
        </is>
      </c>
      <c r="D399" s="3" t="inlineStr">
        <is>
          <t>TX</t>
        </is>
      </c>
      <c r="E399" s="14" t="n">
        <v>580000</v>
      </c>
      <c r="F399" s="14" t="n">
        <v>7507.45</v>
      </c>
      <c r="G399" s="14" t="n">
        <v>938.4299999999999</v>
      </c>
      <c r="H399" s="14" t="n">
        <v>938.4299999999999</v>
      </c>
      <c r="I399" s="14">
        <f>SUM(K399:T399)</f>
        <v/>
      </c>
      <c r="J399" s="14">
        <f>F399-(G399+H399+I399)</f>
        <v/>
      </c>
      <c r="K399" s="14" t="n">
        <v>563.0599999999999</v>
      </c>
      <c r="L399" s="14" t="n">
        <v>563.0599999999999</v>
      </c>
      <c r="M399" s="14" t="n">
        <v>563.0599999999999</v>
      </c>
      <c r="N399" s="14" t="n">
        <v>563.0599999999999</v>
      </c>
      <c r="O399" s="14" t="n">
        <v>563.0599999999999</v>
      </c>
      <c r="P399" s="14" t="n">
        <v>563.0599999999999</v>
      </c>
      <c r="Q399" s="14" t="n">
        <v>563.0599999999999</v>
      </c>
      <c r="R399" s="14" t="n">
        <v>563.0599999999999</v>
      </c>
      <c r="S399" s="14" t="n">
        <v>563.0599999999999</v>
      </c>
      <c r="T399" s="14" t="n">
        <v>563.0599999999999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CANON-202606-007291</t>
        </is>
      </c>
      <c r="B400" s="15" t="inlineStr">
        <is>
          <t>2026-06-17</t>
        </is>
      </c>
      <c r="C400" s="15" t="inlineStr">
        <is>
          <t>Anouk Merriweather</t>
        </is>
      </c>
      <c r="D400" s="15" t="inlineStr">
        <is>
          <t>IL</t>
        </is>
      </c>
      <c r="E400" s="16" t="n">
        <v>565000</v>
      </c>
      <c r="F400" s="16" t="n">
        <v>7207.3</v>
      </c>
      <c r="G400" s="16" t="n">
        <v>900.91</v>
      </c>
      <c r="H400" s="16" t="n">
        <v>900.91</v>
      </c>
      <c r="I400" s="16">
        <f>SUM(K400:T400)</f>
        <v/>
      </c>
      <c r="J400" s="16">
        <f>F400-(G400+H400+I400)</f>
        <v/>
      </c>
      <c r="K400" s="16" t="n">
        <v>540.55</v>
      </c>
      <c r="L400" s="16" t="n">
        <v>540.55</v>
      </c>
      <c r="M400" s="16" t="n">
        <v>540.55</v>
      </c>
      <c r="N400" s="16" t="n">
        <v>540.55</v>
      </c>
      <c r="O400" s="16" t="n">
        <v>540.55</v>
      </c>
      <c r="P400" s="16" t="n">
        <v>540.55</v>
      </c>
      <c r="Q400" s="16" t="n">
        <v>540.55</v>
      </c>
      <c r="R400" s="16" t="n">
        <v>540.55</v>
      </c>
      <c r="S400" s="16" t="n">
        <v>540.55</v>
      </c>
      <c r="T400" s="16" t="n">
        <v>540.55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CANON-202606-007292</t>
        </is>
      </c>
      <c r="B401" s="3" t="inlineStr">
        <is>
          <t>2026-06-18</t>
        </is>
      </c>
      <c r="C401" s="3" t="inlineStr">
        <is>
          <t>Ingrid Whitlock</t>
        </is>
      </c>
      <c r="D401" s="3" t="inlineStr">
        <is>
          <t>OH</t>
        </is>
      </c>
      <c r="E401" s="14" t="n">
        <v>240000</v>
      </c>
      <c r="F401" s="14" t="n">
        <v>4428.8</v>
      </c>
      <c r="G401" s="14" t="n">
        <v>553.6</v>
      </c>
      <c r="H401" s="14" t="n">
        <v>553.6</v>
      </c>
      <c r="I401" s="14">
        <f>SUM(K401:T401)</f>
        <v/>
      </c>
      <c r="J401" s="14">
        <f>F401-(G401+H401+I401)</f>
        <v/>
      </c>
      <c r="K401" s="14" t="n">
        <v>332.16</v>
      </c>
      <c r="L401" s="14" t="n">
        <v>332.16</v>
      </c>
      <c r="M401" s="14" t="n">
        <v>332.16</v>
      </c>
      <c r="N401" s="14" t="n">
        <v>332.16</v>
      </c>
      <c r="O401" s="14" t="n">
        <v>332.16</v>
      </c>
      <c r="P401" s="14" t="n">
        <v>332.16</v>
      </c>
      <c r="Q401" s="14" t="n">
        <v>332.16</v>
      </c>
      <c r="R401" s="14" t="n">
        <v>332.16</v>
      </c>
      <c r="S401" s="14" t="n">
        <v>332.16</v>
      </c>
      <c r="T401" s="14" t="n">
        <v>332.16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CANON-202606-007293</t>
        </is>
      </c>
      <c r="B402" s="15" t="inlineStr">
        <is>
          <t>2026-06-18</t>
        </is>
      </c>
      <c r="C402" s="15" t="inlineStr">
        <is>
          <t>Everett Vasquez</t>
        </is>
      </c>
      <c r="D402" s="15" t="inlineStr">
        <is>
          <t>MS</t>
        </is>
      </c>
      <c r="E402" s="16" t="n">
        <v>690000</v>
      </c>
      <c r="F402" s="16" t="n">
        <v>7701.6</v>
      </c>
      <c r="G402" s="16" t="n">
        <v>962.7</v>
      </c>
      <c r="H402" s="16" t="n">
        <v>962.7</v>
      </c>
      <c r="I402" s="16">
        <f>SUM(K402:T402)</f>
        <v/>
      </c>
      <c r="J402" s="16">
        <f>F402-(G402+H402+I402)</f>
        <v/>
      </c>
      <c r="K402" s="16" t="n">
        <v>577.62</v>
      </c>
      <c r="L402" s="16" t="n">
        <v>577.62</v>
      </c>
      <c r="M402" s="16" t="n">
        <v>577.62</v>
      </c>
      <c r="N402" s="16" t="n">
        <v>577.62</v>
      </c>
      <c r="O402" s="16" t="n">
        <v>577.62</v>
      </c>
      <c r="P402" s="16" t="n">
        <v>577.62</v>
      </c>
      <c r="Q402" s="16" t="n">
        <v>577.62</v>
      </c>
      <c r="R402" s="16" t="n">
        <v>577.62</v>
      </c>
      <c r="S402" s="16" t="n">
        <v>577.62</v>
      </c>
      <c r="T402" s="16" t="n">
        <v>577.62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CANON-202606-007294</t>
        </is>
      </c>
      <c r="B403" s="3" t="inlineStr">
        <is>
          <t>2026-06-05</t>
        </is>
      </c>
      <c r="C403" s="3" t="inlineStr">
        <is>
          <t>Saoirse Merriweather</t>
        </is>
      </c>
      <c r="D403" s="3" t="inlineStr">
        <is>
          <t>AR</t>
        </is>
      </c>
      <c r="E403" s="14" t="n">
        <v>245000</v>
      </c>
      <c r="F403" s="14" t="n">
        <v>4488.54</v>
      </c>
      <c r="G403" s="14" t="n">
        <v>561.0700000000001</v>
      </c>
      <c r="H403" s="14" t="n">
        <v>561.0700000000001</v>
      </c>
      <c r="I403" s="14">
        <f>SUM(K403:T403)</f>
        <v/>
      </c>
      <c r="J403" s="14">
        <f>F403-(G403+H403+I403)</f>
        <v/>
      </c>
      <c r="K403" s="14" t="n">
        <v>336.64</v>
      </c>
      <c r="L403" s="14" t="n">
        <v>336.64</v>
      </c>
      <c r="M403" s="14" t="n">
        <v>336.64</v>
      </c>
      <c r="N403" s="14" t="n">
        <v>336.64</v>
      </c>
      <c r="O403" s="14" t="n">
        <v>336.64</v>
      </c>
      <c r="P403" s="14" t="n">
        <v>336.64</v>
      </c>
      <c r="Q403" s="14" t="n">
        <v>336.64</v>
      </c>
      <c r="R403" s="14" t="n">
        <v>336.64</v>
      </c>
      <c r="S403" s="14" t="n">
        <v>336.64</v>
      </c>
      <c r="T403" s="14" t="n">
        <v>336.64</v>
      </c>
      <c r="U403" s="14" t="n">
        <v>350</v>
      </c>
      <c r="V403" s="14" t="n">
        <v>0</v>
      </c>
      <c r="W403" s="14">
        <f>U403+V403</f>
        <v/>
      </c>
    </row>
    <row r="404">
      <c r="A404" s="15" t="inlineStr">
        <is>
          <t>CANON-202606-007295</t>
        </is>
      </c>
      <c r="B404" s="15" t="inlineStr">
        <is>
          <t>2026-06-24</t>
        </is>
      </c>
      <c r="C404" s="15" t="inlineStr">
        <is>
          <t>Ottilie Fairweather</t>
        </is>
      </c>
      <c r="D404" s="15" t="inlineStr">
        <is>
          <t>MT</t>
        </is>
      </c>
      <c r="E404" s="16" t="n">
        <v>710000</v>
      </c>
      <c r="F404" s="16" t="n">
        <v>6193.37</v>
      </c>
      <c r="G404" s="16" t="n">
        <v>774.17</v>
      </c>
      <c r="H404" s="16" t="n">
        <v>774.17</v>
      </c>
      <c r="I404" s="16">
        <f>SUM(K404:T404)</f>
        <v/>
      </c>
      <c r="J404" s="16">
        <f>F404-(G404+H404+I404)</f>
        <v/>
      </c>
      <c r="K404" s="16" t="n">
        <v>464.5</v>
      </c>
      <c r="L404" s="16" t="n">
        <v>464.5</v>
      </c>
      <c r="M404" s="16" t="n">
        <v>464.5</v>
      </c>
      <c r="N404" s="16" t="n">
        <v>464.5</v>
      </c>
      <c r="O404" s="16" t="n">
        <v>464.5</v>
      </c>
      <c r="P404" s="16" t="n">
        <v>464.5</v>
      </c>
      <c r="Q404" s="16" t="n">
        <v>464.5</v>
      </c>
      <c r="R404" s="16" t="n">
        <v>464.5</v>
      </c>
      <c r="S404" s="16" t="n">
        <v>464.5</v>
      </c>
      <c r="T404" s="16" t="n">
        <v>464.5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CANON-202606-007296</t>
        </is>
      </c>
      <c r="B405" s="3" t="inlineStr">
        <is>
          <t>2026-06-15</t>
        </is>
      </c>
      <c r="C405" s="3" t="inlineStr">
        <is>
          <t>Desmond Bellandi</t>
        </is>
      </c>
      <c r="D405" s="3" t="inlineStr">
        <is>
          <t>LA</t>
        </is>
      </c>
      <c r="E405" s="14" t="n">
        <v>365000</v>
      </c>
      <c r="F405" s="14" t="n">
        <v>4779.82</v>
      </c>
      <c r="G405" s="14" t="n">
        <v>597.48</v>
      </c>
      <c r="H405" s="14" t="n">
        <v>597.48</v>
      </c>
      <c r="I405" s="14">
        <f>SUM(K405:T405)</f>
        <v/>
      </c>
      <c r="J405" s="14">
        <f>F405-(G405+H405+I405)</f>
        <v/>
      </c>
      <c r="K405" s="14" t="n">
        <v>358.49</v>
      </c>
      <c r="L405" s="14" t="n">
        <v>358.49</v>
      </c>
      <c r="M405" s="14" t="n">
        <v>358.49</v>
      </c>
      <c r="N405" s="14" t="n">
        <v>358.49</v>
      </c>
      <c r="O405" s="14" t="n">
        <v>358.49</v>
      </c>
      <c r="P405" s="14" t="n">
        <v>358.49</v>
      </c>
      <c r="Q405" s="14" t="n">
        <v>358.49</v>
      </c>
      <c r="R405" s="14" t="n">
        <v>358.49</v>
      </c>
      <c r="S405" s="14" t="n">
        <v>358.49</v>
      </c>
      <c r="T405" s="14" t="n">
        <v>358.49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CANON-202606-007299</t>
        </is>
      </c>
      <c r="B406" s="15" t="inlineStr">
        <is>
          <t>2026-06-29</t>
        </is>
      </c>
      <c r="C406" s="15" t="inlineStr">
        <is>
          <t>Callum Delacroix</t>
        </is>
      </c>
      <c r="D406" s="15" t="inlineStr">
        <is>
          <t>MI</t>
        </is>
      </c>
      <c r="E406" s="16" t="n">
        <v>565000</v>
      </c>
      <c r="F406" s="16" t="n">
        <v>5434.01</v>
      </c>
      <c r="G406" s="16" t="n">
        <v>679.25</v>
      </c>
      <c r="H406" s="16" t="n">
        <v>679.25</v>
      </c>
      <c r="I406" s="16">
        <f>SUM(K406:T406)</f>
        <v/>
      </c>
      <c r="J406" s="16">
        <f>F406-(G406+H406+I406)</f>
        <v/>
      </c>
      <c r="K406" s="16" t="n">
        <v>407.55</v>
      </c>
      <c r="L406" s="16" t="n">
        <v>407.55</v>
      </c>
      <c r="M406" s="16" t="n">
        <v>407.55</v>
      </c>
      <c r="N406" s="16" t="n">
        <v>407.55</v>
      </c>
      <c r="O406" s="16" t="n">
        <v>407.55</v>
      </c>
      <c r="P406" s="16" t="n">
        <v>407.55</v>
      </c>
      <c r="Q406" s="16" t="n">
        <v>407.55</v>
      </c>
      <c r="R406" s="16" t="n">
        <v>407.55</v>
      </c>
      <c r="S406" s="16" t="n">
        <v>407.55</v>
      </c>
      <c r="T406" s="16" t="n">
        <v>407.55</v>
      </c>
      <c r="U406" s="16" t="n">
        <v>350</v>
      </c>
      <c r="V406" s="16" t="n">
        <v>0</v>
      </c>
      <c r="W406" s="16">
        <f>U406+V406</f>
        <v/>
      </c>
    </row>
    <row r="407">
      <c r="A407" s="3" t="inlineStr">
        <is>
          <t>CANON-202606-007302</t>
        </is>
      </c>
      <c r="B407" s="3" t="inlineStr">
        <is>
          <t>2026-06-23</t>
        </is>
      </c>
      <c r="C407" s="3" t="inlineStr">
        <is>
          <t>Everett Blackwood</t>
        </is>
      </c>
      <c r="D407" s="3" t="inlineStr">
        <is>
          <t>IL</t>
        </is>
      </c>
      <c r="E407" s="14" t="n">
        <v>500000</v>
      </c>
      <c r="F407" s="14" t="n">
        <v>4219.39</v>
      </c>
      <c r="G407" s="14" t="n">
        <v>527.42</v>
      </c>
      <c r="H407" s="14" t="n">
        <v>527.42</v>
      </c>
      <c r="I407" s="14">
        <f>SUM(K407:T407)</f>
        <v/>
      </c>
      <c r="J407" s="14">
        <f>F407-(G407+H407+I407)</f>
        <v/>
      </c>
      <c r="K407" s="14" t="n">
        <v>316.45</v>
      </c>
      <c r="L407" s="14" t="n">
        <v>316.45</v>
      </c>
      <c r="M407" s="14" t="n">
        <v>316.45</v>
      </c>
      <c r="N407" s="14" t="n">
        <v>316.45</v>
      </c>
      <c r="O407" s="14" t="n">
        <v>316.45</v>
      </c>
      <c r="P407" s="14" t="n">
        <v>316.45</v>
      </c>
      <c r="Q407" s="14" t="n">
        <v>316.45</v>
      </c>
      <c r="R407" s="14" t="n">
        <v>316.45</v>
      </c>
      <c r="S407" s="14" t="n">
        <v>316.45</v>
      </c>
      <c r="T407" s="14" t="n">
        <v>316.45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CANON-202606-007303</t>
        </is>
      </c>
      <c r="B408" s="15" t="inlineStr">
        <is>
          <t>2026-06-23</t>
        </is>
      </c>
      <c r="C408" s="15" t="inlineStr">
        <is>
          <t>Horace Delacroix</t>
        </is>
      </c>
      <c r="D408" s="15" t="inlineStr">
        <is>
          <t>TN</t>
        </is>
      </c>
      <c r="E408" s="16" t="n">
        <v>810000</v>
      </c>
      <c r="F408" s="16" t="n">
        <v>10881.95</v>
      </c>
      <c r="G408" s="16" t="n">
        <v>1360.24</v>
      </c>
      <c r="H408" s="16" t="n">
        <v>1360.24</v>
      </c>
      <c r="I408" s="16">
        <f>SUM(K408:T408)</f>
        <v/>
      </c>
      <c r="J408" s="16">
        <f>F408-(G408+H408+I408)</f>
        <v/>
      </c>
      <c r="K408" s="16" t="n">
        <v>816.15</v>
      </c>
      <c r="L408" s="16" t="n">
        <v>816.15</v>
      </c>
      <c r="M408" s="16" t="n">
        <v>816.15</v>
      </c>
      <c r="N408" s="16" t="n">
        <v>816.15</v>
      </c>
      <c r="O408" s="16" t="n">
        <v>816.15</v>
      </c>
      <c r="P408" s="16" t="n">
        <v>816.15</v>
      </c>
      <c r="Q408" s="16" t="n">
        <v>816.15</v>
      </c>
      <c r="R408" s="16" t="n">
        <v>816.15</v>
      </c>
      <c r="S408" s="16" t="n">
        <v>816.15</v>
      </c>
      <c r="T408" s="16" t="n">
        <v>816.15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CANON-202606-007304</t>
        </is>
      </c>
      <c r="B409" s="3" t="inlineStr">
        <is>
          <t>2026-06-07</t>
        </is>
      </c>
      <c r="C409" s="3" t="inlineStr">
        <is>
          <t>Saoirse Harrington</t>
        </is>
      </c>
      <c r="D409" s="3" t="inlineStr">
        <is>
          <t>MA</t>
        </is>
      </c>
      <c r="E409" s="14" t="n">
        <v>390000</v>
      </c>
      <c r="F409" s="14" t="n">
        <v>8089.92</v>
      </c>
      <c r="G409" s="14" t="n">
        <v>1011.24</v>
      </c>
      <c r="H409" s="14" t="n">
        <v>1011.24</v>
      </c>
      <c r="I409" s="14">
        <f>SUM(K409:T409)</f>
        <v/>
      </c>
      <c r="J409" s="14">
        <f>F409-(G409+H409+I409)</f>
        <v/>
      </c>
      <c r="K409" s="14" t="n">
        <v>606.74</v>
      </c>
      <c r="L409" s="14" t="n">
        <v>606.74</v>
      </c>
      <c r="M409" s="14" t="n">
        <v>606.74</v>
      </c>
      <c r="N409" s="14" t="n">
        <v>606.74</v>
      </c>
      <c r="O409" s="14" t="n">
        <v>606.74</v>
      </c>
      <c r="P409" s="14" t="n">
        <v>606.74</v>
      </c>
      <c r="Q409" s="14" t="n">
        <v>606.74</v>
      </c>
      <c r="R409" s="14" t="n">
        <v>606.74</v>
      </c>
      <c r="S409" s="14" t="n">
        <v>606.74</v>
      </c>
      <c r="T409" s="14" t="n">
        <v>606.74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CANON-202606-007305</t>
        </is>
      </c>
      <c r="B410" s="15" t="inlineStr">
        <is>
          <t>2026-06-27</t>
        </is>
      </c>
      <c r="C410" s="15" t="inlineStr">
        <is>
          <t>Saoirse Rourke</t>
        </is>
      </c>
      <c r="D410" s="15" t="inlineStr">
        <is>
          <t>AL</t>
        </is>
      </c>
      <c r="E410" s="16" t="n">
        <v>420000</v>
      </c>
      <c r="F410" s="16" t="n">
        <v>5772.79</v>
      </c>
      <c r="G410" s="16" t="n">
        <v>721.6</v>
      </c>
      <c r="H410" s="16" t="n">
        <v>721.6</v>
      </c>
      <c r="I410" s="16">
        <f>SUM(K410:T410)</f>
        <v/>
      </c>
      <c r="J410" s="16">
        <f>F410-(G410+H410+I410)</f>
        <v/>
      </c>
      <c r="K410" s="16" t="n">
        <v>432.96</v>
      </c>
      <c r="L410" s="16" t="n">
        <v>432.96</v>
      </c>
      <c r="M410" s="16" t="n">
        <v>432.96</v>
      </c>
      <c r="N410" s="16" t="n">
        <v>432.96</v>
      </c>
      <c r="O410" s="16" t="n">
        <v>432.96</v>
      </c>
      <c r="P410" s="16" t="n">
        <v>432.96</v>
      </c>
      <c r="Q410" s="16" t="n">
        <v>432.96</v>
      </c>
      <c r="R410" s="16" t="n">
        <v>432.96</v>
      </c>
      <c r="S410" s="16" t="n">
        <v>432.96</v>
      </c>
      <c r="T410" s="16" t="n">
        <v>432.96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CANON-202606-007307</t>
        </is>
      </c>
      <c r="B411" s="3" t="inlineStr">
        <is>
          <t>2026-06-11</t>
        </is>
      </c>
      <c r="C411" s="3" t="inlineStr">
        <is>
          <t>Priya Larsson</t>
        </is>
      </c>
      <c r="D411" s="3" t="inlineStr">
        <is>
          <t>WA</t>
        </is>
      </c>
      <c r="E411" s="14" t="n">
        <v>1050000</v>
      </c>
      <c r="F411" s="14" t="n">
        <v>8000.1</v>
      </c>
      <c r="G411" s="14" t="n">
        <v>1000.01</v>
      </c>
      <c r="H411" s="14" t="n">
        <v>1000.01</v>
      </c>
      <c r="I411" s="14">
        <f>SUM(K411:T411)</f>
        <v/>
      </c>
      <c r="J411" s="14">
        <f>F411-(G411+H411+I411)</f>
        <v/>
      </c>
      <c r="K411" s="14" t="n">
        <v>600.01</v>
      </c>
      <c r="L411" s="14" t="n">
        <v>600.01</v>
      </c>
      <c r="M411" s="14" t="n">
        <v>600.01</v>
      </c>
      <c r="N411" s="14" t="n">
        <v>600.01</v>
      </c>
      <c r="O411" s="14" t="n">
        <v>600.01</v>
      </c>
      <c r="P411" s="14" t="n">
        <v>600.01</v>
      </c>
      <c r="Q411" s="14" t="n">
        <v>600.01</v>
      </c>
      <c r="R411" s="14" t="n">
        <v>600.01</v>
      </c>
      <c r="S411" s="14" t="n">
        <v>600.01</v>
      </c>
      <c r="T411" s="14" t="n">
        <v>600.01</v>
      </c>
      <c r="U411" s="14" t="n">
        <v>350</v>
      </c>
      <c r="V411" s="14" t="n">
        <v>250</v>
      </c>
      <c r="W411" s="14">
        <f>U411+V411</f>
        <v/>
      </c>
    </row>
    <row r="412">
      <c r="A412" s="15" t="inlineStr">
        <is>
          <t>CANON-202606-007310</t>
        </is>
      </c>
      <c r="B412" s="15" t="inlineStr">
        <is>
          <t>2026-06-17</t>
        </is>
      </c>
      <c r="C412" s="15" t="inlineStr">
        <is>
          <t>Everett Ashcombe</t>
        </is>
      </c>
      <c r="D412" s="15" t="inlineStr">
        <is>
          <t>ID</t>
        </is>
      </c>
      <c r="E412" s="16" t="n">
        <v>315000</v>
      </c>
      <c r="F412" s="16" t="n">
        <v>3375.04</v>
      </c>
      <c r="G412" s="16" t="n">
        <v>421.88</v>
      </c>
      <c r="H412" s="16" t="n">
        <v>421.88</v>
      </c>
      <c r="I412" s="16">
        <f>SUM(K412:T412)</f>
        <v/>
      </c>
      <c r="J412" s="16">
        <f>F412-(G412+H412+I412)</f>
        <v/>
      </c>
      <c r="K412" s="16" t="n">
        <v>253.13</v>
      </c>
      <c r="L412" s="16" t="n">
        <v>253.13</v>
      </c>
      <c r="M412" s="16" t="n">
        <v>253.13</v>
      </c>
      <c r="N412" s="16" t="n">
        <v>253.13</v>
      </c>
      <c r="O412" s="16" t="n">
        <v>253.13</v>
      </c>
      <c r="P412" s="16" t="n">
        <v>253.13</v>
      </c>
      <c r="Q412" s="16" t="n">
        <v>253.13</v>
      </c>
      <c r="R412" s="16" t="n">
        <v>253.13</v>
      </c>
      <c r="S412" s="16" t="n">
        <v>253.13</v>
      </c>
      <c r="T412" s="16" t="n">
        <v>253.13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CANON-202606-007311</t>
        </is>
      </c>
      <c r="B413" s="3" t="inlineStr">
        <is>
          <t>2026-06-28</t>
        </is>
      </c>
      <c r="C413" s="3" t="inlineStr">
        <is>
          <t>Thaddeus Montoya</t>
        </is>
      </c>
      <c r="D413" s="3" t="inlineStr">
        <is>
          <t>CO</t>
        </is>
      </c>
      <c r="E413" s="14" t="n">
        <v>1315000</v>
      </c>
      <c r="F413" s="14" t="n">
        <v>16698.61</v>
      </c>
      <c r="G413" s="14" t="n">
        <v>2087.33</v>
      </c>
      <c r="H413" s="14" t="n">
        <v>2087.33</v>
      </c>
      <c r="I413" s="14">
        <f>SUM(K413:T413)</f>
        <v/>
      </c>
      <c r="J413" s="14">
        <f>F413-(G413+H413+I413)</f>
        <v/>
      </c>
      <c r="K413" s="14" t="n">
        <v>1252.4</v>
      </c>
      <c r="L413" s="14" t="n">
        <v>1252.4</v>
      </c>
      <c r="M413" s="14" t="n">
        <v>1252.4</v>
      </c>
      <c r="N413" s="14" t="n">
        <v>1252.4</v>
      </c>
      <c r="O413" s="14" t="n">
        <v>1252.4</v>
      </c>
      <c r="P413" s="14" t="n">
        <v>1252.4</v>
      </c>
      <c r="Q413" s="14" t="n">
        <v>1252.4</v>
      </c>
      <c r="R413" s="14" t="n">
        <v>1252.4</v>
      </c>
      <c r="S413" s="14" t="n">
        <v>1252.4</v>
      </c>
      <c r="T413" s="14" t="n">
        <v>1252.4</v>
      </c>
      <c r="U413" s="14" t="n">
        <v>350</v>
      </c>
      <c r="V413" s="14" t="n">
        <v>250</v>
      </c>
      <c r="W413" s="14">
        <f>U413+V413</f>
        <v/>
      </c>
    </row>
    <row r="414">
      <c r="A414" s="15" t="inlineStr">
        <is>
          <t>CANON-202606-007312</t>
        </is>
      </c>
      <c r="B414" s="15" t="inlineStr">
        <is>
          <t>2026-06-27</t>
        </is>
      </c>
      <c r="C414" s="15" t="inlineStr">
        <is>
          <t>Everett Merriweather</t>
        </is>
      </c>
      <c r="D414" s="15" t="inlineStr">
        <is>
          <t>WA</t>
        </is>
      </c>
      <c r="E414" s="16" t="n">
        <v>960000</v>
      </c>
      <c r="F414" s="16" t="n">
        <v>12633.92</v>
      </c>
      <c r="G414" s="16" t="n">
        <v>1579.24</v>
      </c>
      <c r="H414" s="16" t="n">
        <v>1579.24</v>
      </c>
      <c r="I414" s="16">
        <f>SUM(K414:T414)</f>
        <v/>
      </c>
      <c r="J414" s="16">
        <f>F414-(G414+H414+I414)</f>
        <v/>
      </c>
      <c r="K414" s="16" t="n">
        <v>947.54</v>
      </c>
      <c r="L414" s="16" t="n">
        <v>947.54</v>
      </c>
      <c r="M414" s="16" t="n">
        <v>947.54</v>
      </c>
      <c r="N414" s="16" t="n">
        <v>947.54</v>
      </c>
      <c r="O414" s="16" t="n">
        <v>947.54</v>
      </c>
      <c r="P414" s="16" t="n">
        <v>947.54</v>
      </c>
      <c r="Q414" s="16" t="n">
        <v>947.54</v>
      </c>
      <c r="R414" s="16" t="n">
        <v>947.54</v>
      </c>
      <c r="S414" s="16" t="n">
        <v>947.54</v>
      </c>
      <c r="T414" s="16" t="n">
        <v>947.54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CANON-202606-007314</t>
        </is>
      </c>
      <c r="B415" s="3" t="inlineStr">
        <is>
          <t>2026-06-12</t>
        </is>
      </c>
      <c r="C415" s="3" t="inlineStr">
        <is>
          <t>Sunniva Whitlock</t>
        </is>
      </c>
      <c r="D415" s="3" t="inlineStr">
        <is>
          <t>AK</t>
        </is>
      </c>
      <c r="E415" s="14" t="n">
        <v>960000</v>
      </c>
      <c r="F415" s="14" t="n">
        <v>15002.78</v>
      </c>
      <c r="G415" s="14" t="n">
        <v>1875.35</v>
      </c>
      <c r="H415" s="14" t="n">
        <v>1875.35</v>
      </c>
      <c r="I415" s="14">
        <f>SUM(K415:T415)</f>
        <v/>
      </c>
      <c r="J415" s="14">
        <f>F415-(G415+H415+I415)</f>
        <v/>
      </c>
      <c r="K415" s="14" t="n">
        <v>1125.21</v>
      </c>
      <c r="L415" s="14" t="n">
        <v>1125.21</v>
      </c>
      <c r="M415" s="14" t="n">
        <v>1125.21</v>
      </c>
      <c r="N415" s="14" t="n">
        <v>1125.21</v>
      </c>
      <c r="O415" s="14" t="n">
        <v>1125.21</v>
      </c>
      <c r="P415" s="14" t="n">
        <v>1125.21</v>
      </c>
      <c r="Q415" s="14" t="n">
        <v>1125.21</v>
      </c>
      <c r="R415" s="14" t="n">
        <v>1125.21</v>
      </c>
      <c r="S415" s="14" t="n">
        <v>1125.21</v>
      </c>
      <c r="T415" s="14" t="n">
        <v>1125.21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CANON-202606-007315</t>
        </is>
      </c>
      <c r="B416" s="15" t="inlineStr">
        <is>
          <t>2026-06-15</t>
        </is>
      </c>
      <c r="C416" s="15" t="inlineStr">
        <is>
          <t>Lorenzo Fairweather</t>
        </is>
      </c>
      <c r="D416" s="15" t="inlineStr">
        <is>
          <t>FL</t>
        </is>
      </c>
      <c r="E416" s="16" t="n">
        <v>615000</v>
      </c>
      <c r="F416" s="16" t="n">
        <v>11971.79</v>
      </c>
      <c r="G416" s="16" t="n">
        <v>1496.47</v>
      </c>
      <c r="H416" s="16" t="n">
        <v>1496.47</v>
      </c>
      <c r="I416" s="16">
        <f>SUM(K416:T416)</f>
        <v/>
      </c>
      <c r="J416" s="16">
        <f>F416-(G416+H416+I416)</f>
        <v/>
      </c>
      <c r="K416" s="16" t="n">
        <v>897.88</v>
      </c>
      <c r="L416" s="16" t="n">
        <v>897.88</v>
      </c>
      <c r="M416" s="16" t="n">
        <v>897.88</v>
      </c>
      <c r="N416" s="16" t="n">
        <v>897.88</v>
      </c>
      <c r="O416" s="16" t="n">
        <v>897.88</v>
      </c>
      <c r="P416" s="16" t="n">
        <v>897.88</v>
      </c>
      <c r="Q416" s="16" t="n">
        <v>897.88</v>
      </c>
      <c r="R416" s="16" t="n">
        <v>897.88</v>
      </c>
      <c r="S416" s="16" t="n">
        <v>897.88</v>
      </c>
      <c r="T416" s="16" t="n">
        <v>897.88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CANON-202606-007316</t>
        </is>
      </c>
      <c r="B417" s="3" t="inlineStr">
        <is>
          <t>2026-06-17</t>
        </is>
      </c>
      <c r="C417" s="3" t="inlineStr">
        <is>
          <t>Fenwick Farkas</t>
        </is>
      </c>
      <c r="D417" s="3" t="inlineStr">
        <is>
          <t>IL</t>
        </is>
      </c>
      <c r="E417" s="14" t="n">
        <v>525000</v>
      </c>
      <c r="F417" s="14" t="n">
        <v>6697.05</v>
      </c>
      <c r="G417" s="14" t="n">
        <v>837.13</v>
      </c>
      <c r="H417" s="14" t="n">
        <v>837.13</v>
      </c>
      <c r="I417" s="14">
        <f>SUM(K417:T417)</f>
        <v/>
      </c>
      <c r="J417" s="14">
        <f>F417-(G417+H417+I417)</f>
        <v/>
      </c>
      <c r="K417" s="14" t="n">
        <v>502.28</v>
      </c>
      <c r="L417" s="14" t="n">
        <v>502.28</v>
      </c>
      <c r="M417" s="14" t="n">
        <v>502.28</v>
      </c>
      <c r="N417" s="14" t="n">
        <v>502.28</v>
      </c>
      <c r="O417" s="14" t="n">
        <v>502.28</v>
      </c>
      <c r="P417" s="14" t="n">
        <v>502.28</v>
      </c>
      <c r="Q417" s="14" t="n">
        <v>502.28</v>
      </c>
      <c r="R417" s="14" t="n">
        <v>502.28</v>
      </c>
      <c r="S417" s="14" t="n">
        <v>502.28</v>
      </c>
      <c r="T417" s="14" t="n">
        <v>502.28</v>
      </c>
      <c r="U417" s="14" t="n">
        <v>350</v>
      </c>
      <c r="V417" s="14" t="n">
        <v>0</v>
      </c>
      <c r="W417" s="14">
        <f>U417+V417</f>
        <v/>
      </c>
    </row>
    <row r="418">
      <c r="A418" s="15" t="inlineStr">
        <is>
          <t>CANON-202606-007317</t>
        </is>
      </c>
      <c r="B418" s="15" t="inlineStr">
        <is>
          <t>2026-06-08</t>
        </is>
      </c>
      <c r="C418" s="15" t="inlineStr">
        <is>
          <t>Fenwick Chattopadhyay</t>
        </is>
      </c>
      <c r="D418" s="15" t="inlineStr">
        <is>
          <t>NV</t>
        </is>
      </c>
      <c r="E418" s="16" t="n">
        <v>385000</v>
      </c>
      <c r="F418" s="16" t="n">
        <v>4875.06</v>
      </c>
      <c r="G418" s="16" t="n">
        <v>609.38</v>
      </c>
      <c r="H418" s="16" t="n">
        <v>609.38</v>
      </c>
      <c r="I418" s="16">
        <f>SUM(K418:T418)</f>
        <v/>
      </c>
      <c r="J418" s="16">
        <f>F418-(G418+H418+I418)</f>
        <v/>
      </c>
      <c r="K418" s="16" t="n">
        <v>365.63</v>
      </c>
      <c r="L418" s="16" t="n">
        <v>365.63</v>
      </c>
      <c r="M418" s="16" t="n">
        <v>365.63</v>
      </c>
      <c r="N418" s="16" t="n">
        <v>365.63</v>
      </c>
      <c r="O418" s="16" t="n">
        <v>365.63</v>
      </c>
      <c r="P418" s="16" t="n">
        <v>365.63</v>
      </c>
      <c r="Q418" s="16" t="n">
        <v>365.63</v>
      </c>
      <c r="R418" s="16" t="n">
        <v>365.63</v>
      </c>
      <c r="S418" s="16" t="n">
        <v>365.63</v>
      </c>
      <c r="T418" s="16" t="n">
        <v>365.63</v>
      </c>
      <c r="U418" s="16" t="n">
        <v>350</v>
      </c>
      <c r="V418" s="16" t="n">
        <v>0</v>
      </c>
      <c r="W418" s="16">
        <f>U418+V418</f>
        <v/>
      </c>
    </row>
    <row r="419">
      <c r="A419" s="3" t="inlineStr">
        <is>
          <t>CANON-202606-007320</t>
        </is>
      </c>
      <c r="B419" s="3" t="inlineStr">
        <is>
          <t>2026-06-14</t>
        </is>
      </c>
      <c r="C419" s="3" t="inlineStr">
        <is>
          <t>Beatrix Merriweather</t>
        </is>
      </c>
      <c r="D419" s="3" t="inlineStr">
        <is>
          <t>NY</t>
        </is>
      </c>
      <c r="E419" s="14" t="n">
        <v>1950000</v>
      </c>
      <c r="F419" s="14" t="n">
        <v>28814.2</v>
      </c>
      <c r="G419" s="14" t="n">
        <v>3601.78</v>
      </c>
      <c r="H419" s="14" t="n">
        <v>3601.78</v>
      </c>
      <c r="I419" s="14">
        <f>SUM(K419:T419)</f>
        <v/>
      </c>
      <c r="J419" s="14">
        <f>F419-(G419+H419+I419)</f>
        <v/>
      </c>
      <c r="K419" s="14" t="n">
        <v>2161.07</v>
      </c>
      <c r="L419" s="14" t="n">
        <v>2161.07</v>
      </c>
      <c r="M419" s="14" t="n">
        <v>2161.07</v>
      </c>
      <c r="N419" s="14" t="n">
        <v>2161.07</v>
      </c>
      <c r="O419" s="14" t="n">
        <v>2161.07</v>
      </c>
      <c r="P419" s="14" t="n">
        <v>2161.07</v>
      </c>
      <c r="Q419" s="14" t="n">
        <v>2161.07</v>
      </c>
      <c r="R419" s="14" t="n">
        <v>2161.07</v>
      </c>
      <c r="S419" s="14" t="n">
        <v>2161.07</v>
      </c>
      <c r="T419" s="14" t="n">
        <v>2161.07</v>
      </c>
      <c r="U419" s="14" t="n">
        <v>350</v>
      </c>
      <c r="V419" s="14" t="n">
        <v>250</v>
      </c>
      <c r="W419" s="14">
        <f>U419+V419</f>
        <v/>
      </c>
    </row>
    <row r="420">
      <c r="A420" s="15" t="inlineStr">
        <is>
          <t>CANON-202606-007321</t>
        </is>
      </c>
      <c r="B420" s="15" t="inlineStr">
        <is>
          <t>2026-06-12</t>
        </is>
      </c>
      <c r="C420" s="15" t="inlineStr">
        <is>
          <t>Anouk Fairweather</t>
        </is>
      </c>
      <c r="D420" s="15" t="inlineStr">
        <is>
          <t>FL</t>
        </is>
      </c>
      <c r="E420" s="16" t="n">
        <v>1510000</v>
      </c>
      <c r="F420" s="16" t="n">
        <v>17017.66</v>
      </c>
      <c r="G420" s="16" t="n">
        <v>2127.21</v>
      </c>
      <c r="H420" s="16" t="n">
        <v>2127.21</v>
      </c>
      <c r="I420" s="16">
        <f>SUM(K420:T420)</f>
        <v/>
      </c>
      <c r="J420" s="16">
        <f>F420-(G420+H420+I420)</f>
        <v/>
      </c>
      <c r="K420" s="16" t="n">
        <v>1276.32</v>
      </c>
      <c r="L420" s="16" t="n">
        <v>1276.32</v>
      </c>
      <c r="M420" s="16" t="n">
        <v>1276.32</v>
      </c>
      <c r="N420" s="16" t="n">
        <v>1276.32</v>
      </c>
      <c r="O420" s="16" t="n">
        <v>1276.32</v>
      </c>
      <c r="P420" s="16" t="n">
        <v>1276.32</v>
      </c>
      <c r="Q420" s="16" t="n">
        <v>1276.32</v>
      </c>
      <c r="R420" s="16" t="n">
        <v>1276.32</v>
      </c>
      <c r="S420" s="16" t="n">
        <v>1276.32</v>
      </c>
      <c r="T420" s="16" t="n">
        <v>1276.32</v>
      </c>
      <c r="U420" s="16" t="n">
        <v>350</v>
      </c>
      <c r="V420" s="16" t="n">
        <v>250</v>
      </c>
      <c r="W420" s="16">
        <f>U420+V420</f>
        <v/>
      </c>
    </row>
    <row r="421">
      <c r="A421" s="3" t="inlineStr">
        <is>
          <t>CANON-202606-007322</t>
        </is>
      </c>
      <c r="B421" s="3" t="inlineStr">
        <is>
          <t>2026-06-02</t>
        </is>
      </c>
      <c r="C421" s="3" t="inlineStr">
        <is>
          <t>Lorenzo Okonkwo</t>
        </is>
      </c>
      <c r="D421" s="3" t="inlineStr">
        <is>
          <t>TX</t>
        </is>
      </c>
      <c r="E421" s="14" t="n">
        <v>295000</v>
      </c>
      <c r="F421" s="14" t="n">
        <v>5629.75</v>
      </c>
      <c r="G421" s="14" t="n">
        <v>703.72</v>
      </c>
      <c r="H421" s="14" t="n">
        <v>703.72</v>
      </c>
      <c r="I421" s="14">
        <f>SUM(K421:T421)</f>
        <v/>
      </c>
      <c r="J421" s="14">
        <f>F421-(G421+H421+I421)</f>
        <v/>
      </c>
      <c r="K421" s="14" t="n">
        <v>422.23</v>
      </c>
      <c r="L421" s="14" t="n">
        <v>422.23</v>
      </c>
      <c r="M421" s="14" t="n">
        <v>422.23</v>
      </c>
      <c r="N421" s="14" t="n">
        <v>422.23</v>
      </c>
      <c r="O421" s="14" t="n">
        <v>422.23</v>
      </c>
      <c r="P421" s="14" t="n">
        <v>422.23</v>
      </c>
      <c r="Q421" s="14" t="n">
        <v>422.23</v>
      </c>
      <c r="R421" s="14" t="n">
        <v>422.23</v>
      </c>
      <c r="S421" s="14" t="n">
        <v>422.23</v>
      </c>
      <c r="T421" s="14" t="n">
        <v>422.23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CANON-202606-007323</t>
        </is>
      </c>
      <c r="B422" s="15" t="inlineStr">
        <is>
          <t>2026-06-29</t>
        </is>
      </c>
      <c r="C422" s="15" t="inlineStr">
        <is>
          <t>Fitzgerald Whitlock</t>
        </is>
      </c>
      <c r="D422" s="15" t="inlineStr">
        <is>
          <t>TN</t>
        </is>
      </c>
      <c r="E422" s="16" t="n">
        <v>425000</v>
      </c>
      <c r="F422" s="16" t="n">
        <v>4507.63</v>
      </c>
      <c r="G422" s="16" t="n">
        <v>563.45</v>
      </c>
      <c r="H422" s="16" t="n">
        <v>563.45</v>
      </c>
      <c r="I422" s="16">
        <f>SUM(K422:T422)</f>
        <v/>
      </c>
      <c r="J422" s="16">
        <f>F422-(G422+H422+I422)</f>
        <v/>
      </c>
      <c r="K422" s="16" t="n">
        <v>338.07</v>
      </c>
      <c r="L422" s="16" t="n">
        <v>338.07</v>
      </c>
      <c r="M422" s="16" t="n">
        <v>338.07</v>
      </c>
      <c r="N422" s="16" t="n">
        <v>338.07</v>
      </c>
      <c r="O422" s="16" t="n">
        <v>338.07</v>
      </c>
      <c r="P422" s="16" t="n">
        <v>338.07</v>
      </c>
      <c r="Q422" s="16" t="n">
        <v>338.07</v>
      </c>
      <c r="R422" s="16" t="n">
        <v>338.07</v>
      </c>
      <c r="S422" s="16" t="n">
        <v>338.07</v>
      </c>
      <c r="T422" s="16" t="n">
        <v>338.07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CANON-202606-007324</t>
        </is>
      </c>
      <c r="B423" s="3" t="inlineStr">
        <is>
          <t>2026-06-01</t>
        </is>
      </c>
      <c r="C423" s="3" t="inlineStr">
        <is>
          <t>Beatrix Farkas</t>
        </is>
      </c>
      <c r="D423" s="3" t="inlineStr">
        <is>
          <t>AZ</t>
        </is>
      </c>
      <c r="E423" s="14" t="n">
        <v>850000</v>
      </c>
      <c r="F423" s="14" t="n">
        <v>5326.98</v>
      </c>
      <c r="G423" s="14" t="n">
        <v>665.87</v>
      </c>
      <c r="H423" s="14" t="n">
        <v>665.87</v>
      </c>
      <c r="I423" s="14">
        <f>SUM(K423:T423)</f>
        <v/>
      </c>
      <c r="J423" s="14">
        <f>F423-(G423+H423+I423)</f>
        <v/>
      </c>
      <c r="K423" s="14" t="n">
        <v>399.52</v>
      </c>
      <c r="L423" s="14" t="n">
        <v>399.52</v>
      </c>
      <c r="M423" s="14" t="n">
        <v>399.52</v>
      </c>
      <c r="N423" s="14" t="n">
        <v>399.52</v>
      </c>
      <c r="O423" s="14" t="n">
        <v>399.52</v>
      </c>
      <c r="P423" s="14" t="n">
        <v>399.52</v>
      </c>
      <c r="Q423" s="14" t="n">
        <v>399.52</v>
      </c>
      <c r="R423" s="14" t="n">
        <v>399.52</v>
      </c>
      <c r="S423" s="14" t="n">
        <v>399.52</v>
      </c>
      <c r="T423" s="14" t="n">
        <v>399.52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CANON-202606-007325</t>
        </is>
      </c>
      <c r="B424" s="15" t="inlineStr">
        <is>
          <t>2026-06-03</t>
        </is>
      </c>
      <c r="C424" s="15" t="inlineStr">
        <is>
          <t>Ingrid Kingsford</t>
        </is>
      </c>
      <c r="D424" s="15" t="inlineStr">
        <is>
          <t>TN</t>
        </is>
      </c>
      <c r="E424" s="16" t="n">
        <v>935000</v>
      </c>
      <c r="F424" s="16" t="n">
        <v>8594.549999999999</v>
      </c>
      <c r="G424" s="16" t="n">
        <v>1074.32</v>
      </c>
      <c r="H424" s="16" t="n">
        <v>1074.32</v>
      </c>
      <c r="I424" s="16">
        <f>SUM(K424:T424)</f>
        <v/>
      </c>
      <c r="J424" s="16">
        <f>F424-(G424+H424+I424)</f>
        <v/>
      </c>
      <c r="K424" s="16" t="n">
        <v>644.59</v>
      </c>
      <c r="L424" s="16" t="n">
        <v>644.59</v>
      </c>
      <c r="M424" s="16" t="n">
        <v>644.59</v>
      </c>
      <c r="N424" s="16" t="n">
        <v>644.59</v>
      </c>
      <c r="O424" s="16" t="n">
        <v>644.59</v>
      </c>
      <c r="P424" s="16" t="n">
        <v>644.59</v>
      </c>
      <c r="Q424" s="16" t="n">
        <v>644.59</v>
      </c>
      <c r="R424" s="16" t="n">
        <v>644.59</v>
      </c>
      <c r="S424" s="16" t="n">
        <v>644.59</v>
      </c>
      <c r="T424" s="16" t="n">
        <v>644.59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CANON-202606-007326</t>
        </is>
      </c>
      <c r="B425" s="3" t="inlineStr">
        <is>
          <t>2026-06-21</t>
        </is>
      </c>
      <c r="C425" s="3" t="inlineStr">
        <is>
          <t>Ramona Nakashima</t>
        </is>
      </c>
      <c r="D425" s="3" t="inlineStr">
        <is>
          <t>NM</t>
        </is>
      </c>
      <c r="E425" s="14" t="n">
        <v>345000</v>
      </c>
      <c r="F425" s="14" t="n">
        <v>5607.69</v>
      </c>
      <c r="G425" s="14" t="n">
        <v>700.96</v>
      </c>
      <c r="H425" s="14" t="n">
        <v>700.96</v>
      </c>
      <c r="I425" s="14">
        <f>SUM(K425:T425)</f>
        <v/>
      </c>
      <c r="J425" s="14">
        <f>F425-(G425+H425+I425)</f>
        <v/>
      </c>
      <c r="K425" s="14" t="n">
        <v>420.58</v>
      </c>
      <c r="L425" s="14" t="n">
        <v>420.58</v>
      </c>
      <c r="M425" s="14" t="n">
        <v>420.58</v>
      </c>
      <c r="N425" s="14" t="n">
        <v>420.58</v>
      </c>
      <c r="O425" s="14" t="n">
        <v>420.58</v>
      </c>
      <c r="P425" s="14" t="n">
        <v>420.58</v>
      </c>
      <c r="Q425" s="14" t="n">
        <v>420.58</v>
      </c>
      <c r="R425" s="14" t="n">
        <v>420.58</v>
      </c>
      <c r="S425" s="14" t="n">
        <v>420.58</v>
      </c>
      <c r="T425" s="14" t="n">
        <v>420.58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CANON-202606-007327</t>
        </is>
      </c>
      <c r="B426" s="15" t="inlineStr">
        <is>
          <t>2026-06-20</t>
        </is>
      </c>
      <c r="C426" s="15" t="inlineStr">
        <is>
          <t>Noor Castellanos</t>
        </is>
      </c>
      <c r="D426" s="15" t="inlineStr">
        <is>
          <t>VA</t>
        </is>
      </c>
      <c r="E426" s="16" t="n">
        <v>280000</v>
      </c>
      <c r="F426" s="16" t="n">
        <v>3303.07</v>
      </c>
      <c r="G426" s="16" t="n">
        <v>412.88</v>
      </c>
      <c r="H426" s="16" t="n">
        <v>412.88</v>
      </c>
      <c r="I426" s="16">
        <f>SUM(K426:T426)</f>
        <v/>
      </c>
      <c r="J426" s="16">
        <f>F426-(G426+H426+I426)</f>
        <v/>
      </c>
      <c r="K426" s="16" t="n">
        <v>247.73</v>
      </c>
      <c r="L426" s="16" t="n">
        <v>247.73</v>
      </c>
      <c r="M426" s="16" t="n">
        <v>247.73</v>
      </c>
      <c r="N426" s="16" t="n">
        <v>247.73</v>
      </c>
      <c r="O426" s="16" t="n">
        <v>247.73</v>
      </c>
      <c r="P426" s="16" t="n">
        <v>247.73</v>
      </c>
      <c r="Q426" s="16" t="n">
        <v>247.73</v>
      </c>
      <c r="R426" s="16" t="n">
        <v>247.73</v>
      </c>
      <c r="S426" s="16" t="n">
        <v>247.73</v>
      </c>
      <c r="T426" s="16" t="n">
        <v>247.73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CANON-202606-007328</t>
        </is>
      </c>
      <c r="B427" s="3" t="inlineStr">
        <is>
          <t>2026-06-29</t>
        </is>
      </c>
      <c r="C427" s="3" t="inlineStr">
        <is>
          <t>Everett Merriweather</t>
        </is>
      </c>
      <c r="D427" s="3" t="inlineStr">
        <is>
          <t>AK</t>
        </is>
      </c>
      <c r="E427" s="14" t="n">
        <v>825000</v>
      </c>
      <c r="F427" s="14" t="n">
        <v>8821.530000000001</v>
      </c>
      <c r="G427" s="14" t="n">
        <v>1102.69</v>
      </c>
      <c r="H427" s="14" t="n">
        <v>1102.69</v>
      </c>
      <c r="I427" s="14">
        <f>SUM(K427:T427)</f>
        <v/>
      </c>
      <c r="J427" s="14">
        <f>F427-(G427+H427+I427)</f>
        <v/>
      </c>
      <c r="K427" s="14" t="n">
        <v>661.61</v>
      </c>
      <c r="L427" s="14" t="n">
        <v>661.61</v>
      </c>
      <c r="M427" s="14" t="n">
        <v>661.61</v>
      </c>
      <c r="N427" s="14" t="n">
        <v>661.61</v>
      </c>
      <c r="O427" s="14" t="n">
        <v>661.61</v>
      </c>
      <c r="P427" s="14" t="n">
        <v>661.61</v>
      </c>
      <c r="Q427" s="14" t="n">
        <v>661.61</v>
      </c>
      <c r="R427" s="14" t="n">
        <v>661.61</v>
      </c>
      <c r="S427" s="14" t="n">
        <v>661.61</v>
      </c>
      <c r="T427" s="14" t="n">
        <v>661.61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CANON-202606-007329</t>
        </is>
      </c>
      <c r="B428" s="15" t="inlineStr">
        <is>
          <t>2026-06-21</t>
        </is>
      </c>
      <c r="C428" s="15" t="inlineStr">
        <is>
          <t>Mireille Castellanos</t>
        </is>
      </c>
      <c r="D428" s="15" t="inlineStr">
        <is>
          <t>NJ</t>
        </is>
      </c>
      <c r="E428" s="16" t="n">
        <v>665000</v>
      </c>
      <c r="F428" s="16" t="n">
        <v>5676.08</v>
      </c>
      <c r="G428" s="16" t="n">
        <v>709.51</v>
      </c>
      <c r="H428" s="16" t="n">
        <v>709.51</v>
      </c>
      <c r="I428" s="16">
        <f>SUM(K428:T428)</f>
        <v/>
      </c>
      <c r="J428" s="16">
        <f>F428-(G428+H428+I428)</f>
        <v/>
      </c>
      <c r="K428" s="16" t="n">
        <v>425.71</v>
      </c>
      <c r="L428" s="16" t="n">
        <v>425.71</v>
      </c>
      <c r="M428" s="16" t="n">
        <v>425.71</v>
      </c>
      <c r="N428" s="16" t="n">
        <v>425.71</v>
      </c>
      <c r="O428" s="16" t="n">
        <v>425.71</v>
      </c>
      <c r="P428" s="16" t="n">
        <v>425.71</v>
      </c>
      <c r="Q428" s="16" t="n">
        <v>425.71</v>
      </c>
      <c r="R428" s="16" t="n">
        <v>425.71</v>
      </c>
      <c r="S428" s="16" t="n">
        <v>425.71</v>
      </c>
      <c r="T428" s="16" t="n">
        <v>425.71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CANON-202606-007330</t>
        </is>
      </c>
      <c r="B429" s="3" t="inlineStr">
        <is>
          <t>2026-06-29</t>
        </is>
      </c>
      <c r="C429" s="3" t="inlineStr">
        <is>
          <t>Fenwick Bellandi</t>
        </is>
      </c>
      <c r="D429" s="3" t="inlineStr">
        <is>
          <t>CT</t>
        </is>
      </c>
      <c r="E429" s="14" t="n">
        <v>180000</v>
      </c>
      <c r="F429" s="14" t="n">
        <v>2676.39</v>
      </c>
      <c r="G429" s="14" t="n">
        <v>334.55</v>
      </c>
      <c r="H429" s="14" t="n">
        <v>334.55</v>
      </c>
      <c r="I429" s="14">
        <f>SUM(K429:T429)</f>
        <v/>
      </c>
      <c r="J429" s="14">
        <f>F429-(G429+H429+I429)</f>
        <v/>
      </c>
      <c r="K429" s="14" t="n">
        <v>200.73</v>
      </c>
      <c r="L429" s="14" t="n">
        <v>200.73</v>
      </c>
      <c r="M429" s="14" t="n">
        <v>200.73</v>
      </c>
      <c r="N429" s="14" t="n">
        <v>200.73</v>
      </c>
      <c r="O429" s="14" t="n">
        <v>200.73</v>
      </c>
      <c r="P429" s="14" t="n">
        <v>200.73</v>
      </c>
      <c r="Q429" s="14" t="n">
        <v>200.73</v>
      </c>
      <c r="R429" s="14" t="n">
        <v>200.73</v>
      </c>
      <c r="S429" s="14" t="n">
        <v>200.73</v>
      </c>
      <c r="T429" s="14" t="n">
        <v>200.73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CANON-202606-007331</t>
        </is>
      </c>
      <c r="B430" s="15" t="inlineStr">
        <is>
          <t>2026-06-21</t>
        </is>
      </c>
      <c r="C430" s="15" t="inlineStr">
        <is>
          <t>Noor Underwood</t>
        </is>
      </c>
      <c r="D430" s="15" t="inlineStr">
        <is>
          <t>NJ</t>
        </is>
      </c>
      <c r="E430" s="16" t="n">
        <v>880000</v>
      </c>
      <c r="F430" s="16" t="n">
        <v>7511.2</v>
      </c>
      <c r="G430" s="16" t="n">
        <v>938.9</v>
      </c>
      <c r="H430" s="16" t="n">
        <v>938.9</v>
      </c>
      <c r="I430" s="16">
        <f>SUM(K430:T430)</f>
        <v/>
      </c>
      <c r="J430" s="16">
        <f>F430-(G430+H430+I430)</f>
        <v/>
      </c>
      <c r="K430" s="16" t="n">
        <v>563.34</v>
      </c>
      <c r="L430" s="16" t="n">
        <v>563.34</v>
      </c>
      <c r="M430" s="16" t="n">
        <v>563.34</v>
      </c>
      <c r="N430" s="16" t="n">
        <v>563.34</v>
      </c>
      <c r="O430" s="16" t="n">
        <v>563.34</v>
      </c>
      <c r="P430" s="16" t="n">
        <v>563.34</v>
      </c>
      <c r="Q430" s="16" t="n">
        <v>563.34</v>
      </c>
      <c r="R430" s="16" t="n">
        <v>563.34</v>
      </c>
      <c r="S430" s="16" t="n">
        <v>563.34</v>
      </c>
      <c r="T430" s="16" t="n">
        <v>563.34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CANON-202606-007332</t>
        </is>
      </c>
      <c r="B431" s="3" t="inlineStr">
        <is>
          <t>2026-06-24</t>
        </is>
      </c>
      <c r="C431" s="3" t="inlineStr">
        <is>
          <t>Anouk Thistlewood</t>
        </is>
      </c>
      <c r="D431" s="3" t="inlineStr">
        <is>
          <t>PA</t>
        </is>
      </c>
      <c r="E431" s="14" t="n">
        <v>1460000</v>
      </c>
      <c r="F431" s="14" t="n">
        <v>16854.46</v>
      </c>
      <c r="G431" s="14" t="n">
        <v>2106.81</v>
      </c>
      <c r="H431" s="14" t="n">
        <v>2106.81</v>
      </c>
      <c r="I431" s="14">
        <f>SUM(K431:T431)</f>
        <v/>
      </c>
      <c r="J431" s="14">
        <f>F431-(G431+H431+I431)</f>
        <v/>
      </c>
      <c r="K431" s="14" t="n">
        <v>1264.08</v>
      </c>
      <c r="L431" s="14" t="n">
        <v>1264.08</v>
      </c>
      <c r="M431" s="14" t="n">
        <v>1264.08</v>
      </c>
      <c r="N431" s="14" t="n">
        <v>1264.08</v>
      </c>
      <c r="O431" s="14" t="n">
        <v>1264.08</v>
      </c>
      <c r="P431" s="14" t="n">
        <v>1264.08</v>
      </c>
      <c r="Q431" s="14" t="n">
        <v>1264.08</v>
      </c>
      <c r="R431" s="14" t="n">
        <v>1264.08</v>
      </c>
      <c r="S431" s="14" t="n">
        <v>1264.08</v>
      </c>
      <c r="T431" s="14" t="n">
        <v>1264.08</v>
      </c>
      <c r="U431" s="14" t="n">
        <v>350</v>
      </c>
      <c r="V431" s="14" t="n">
        <v>250</v>
      </c>
      <c r="W431" s="14">
        <f>U431+V431</f>
        <v/>
      </c>
    </row>
    <row r="432">
      <c r="A432" s="15" t="inlineStr">
        <is>
          <t>CANON-202606-007333</t>
        </is>
      </c>
      <c r="B432" s="15" t="inlineStr">
        <is>
          <t>2026-06-05</t>
        </is>
      </c>
      <c r="C432" s="15" t="inlineStr">
        <is>
          <t>Fitzgerald Underwood</t>
        </is>
      </c>
      <c r="D432" s="15" t="inlineStr">
        <is>
          <t>CT</t>
        </is>
      </c>
      <c r="E432" s="16" t="n">
        <v>260000</v>
      </c>
      <c r="F432" s="16" t="n">
        <v>3151.55</v>
      </c>
      <c r="G432" s="16" t="n">
        <v>393.94</v>
      </c>
      <c r="H432" s="16" t="n">
        <v>393.94</v>
      </c>
      <c r="I432" s="16">
        <f>SUM(K432:T432)</f>
        <v/>
      </c>
      <c r="J432" s="16">
        <f>F432-(G432+H432+I432)</f>
        <v/>
      </c>
      <c r="K432" s="16" t="n">
        <v>236.37</v>
      </c>
      <c r="L432" s="16" t="n">
        <v>236.37</v>
      </c>
      <c r="M432" s="16" t="n">
        <v>236.37</v>
      </c>
      <c r="N432" s="16" t="n">
        <v>236.37</v>
      </c>
      <c r="O432" s="16" t="n">
        <v>236.37</v>
      </c>
      <c r="P432" s="16" t="n">
        <v>236.37</v>
      </c>
      <c r="Q432" s="16" t="n">
        <v>236.37</v>
      </c>
      <c r="R432" s="16" t="n">
        <v>236.37</v>
      </c>
      <c r="S432" s="16" t="n">
        <v>236.37</v>
      </c>
      <c r="T432" s="16" t="n">
        <v>236.37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CANON-202606-007334</t>
        </is>
      </c>
      <c r="B433" s="3" t="inlineStr">
        <is>
          <t>2026-06-02</t>
        </is>
      </c>
      <c r="C433" s="3" t="inlineStr">
        <is>
          <t>Ingrid Thistlewood</t>
        </is>
      </c>
      <c r="D433" s="3" t="inlineStr">
        <is>
          <t>OH</t>
        </is>
      </c>
      <c r="E433" s="14" t="n">
        <v>300000</v>
      </c>
      <c r="F433" s="14" t="n">
        <v>4513.04</v>
      </c>
      <c r="G433" s="14" t="n">
        <v>564.13</v>
      </c>
      <c r="H433" s="14" t="n">
        <v>564.13</v>
      </c>
      <c r="I433" s="14">
        <f>SUM(K433:T433)</f>
        <v/>
      </c>
      <c r="J433" s="14">
        <f>F433-(G433+H433+I433)</f>
        <v/>
      </c>
      <c r="K433" s="14" t="n">
        <v>338.48</v>
      </c>
      <c r="L433" s="14" t="n">
        <v>338.48</v>
      </c>
      <c r="M433" s="14" t="n">
        <v>338.48</v>
      </c>
      <c r="N433" s="14" t="n">
        <v>338.48</v>
      </c>
      <c r="O433" s="14" t="n">
        <v>338.48</v>
      </c>
      <c r="P433" s="14" t="n">
        <v>338.48</v>
      </c>
      <c r="Q433" s="14" t="n">
        <v>338.48</v>
      </c>
      <c r="R433" s="14" t="n">
        <v>338.48</v>
      </c>
      <c r="S433" s="14" t="n">
        <v>338.48</v>
      </c>
      <c r="T433" s="14" t="n">
        <v>338.48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CANON-202606-007335</t>
        </is>
      </c>
      <c r="B434" s="15" t="inlineStr">
        <is>
          <t>2026-06-15</t>
        </is>
      </c>
      <c r="C434" s="15" t="inlineStr">
        <is>
          <t>Sunniva Rourke</t>
        </is>
      </c>
      <c r="D434" s="15" t="inlineStr">
        <is>
          <t>CA</t>
        </is>
      </c>
      <c r="E434" s="16" t="n">
        <v>725000</v>
      </c>
      <c r="F434" s="16" t="n">
        <v>9180.309999999999</v>
      </c>
      <c r="G434" s="16" t="n">
        <v>1147.54</v>
      </c>
      <c r="H434" s="16" t="n">
        <v>1147.54</v>
      </c>
      <c r="I434" s="16">
        <f>SUM(K434:T434)</f>
        <v/>
      </c>
      <c r="J434" s="16">
        <f>F434-(G434+H434+I434)</f>
        <v/>
      </c>
      <c r="K434" s="16" t="n">
        <v>688.52</v>
      </c>
      <c r="L434" s="16" t="n">
        <v>688.52</v>
      </c>
      <c r="M434" s="16" t="n">
        <v>688.52</v>
      </c>
      <c r="N434" s="16" t="n">
        <v>688.52</v>
      </c>
      <c r="O434" s="16" t="n">
        <v>688.52</v>
      </c>
      <c r="P434" s="16" t="n">
        <v>688.52</v>
      </c>
      <c r="Q434" s="16" t="n">
        <v>688.52</v>
      </c>
      <c r="R434" s="16" t="n">
        <v>688.52</v>
      </c>
      <c r="S434" s="16" t="n">
        <v>688.52</v>
      </c>
      <c r="T434" s="16" t="n">
        <v>688.52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CANON-202606-007336</t>
        </is>
      </c>
      <c r="B435" s="3" t="inlineStr">
        <is>
          <t>2026-06-29</t>
        </is>
      </c>
      <c r="C435" s="3" t="inlineStr">
        <is>
          <t>Lorenzo Thistlewood</t>
        </is>
      </c>
      <c r="D435" s="3" t="inlineStr">
        <is>
          <t>WV</t>
        </is>
      </c>
      <c r="E435" s="14" t="n">
        <v>445000</v>
      </c>
      <c r="F435" s="14" t="n">
        <v>6405.38</v>
      </c>
      <c r="G435" s="14" t="n">
        <v>800.67</v>
      </c>
      <c r="H435" s="14" t="n">
        <v>800.67</v>
      </c>
      <c r="I435" s="14">
        <f>SUM(K435:T435)</f>
        <v/>
      </c>
      <c r="J435" s="14">
        <f>F435-(G435+H435+I435)</f>
        <v/>
      </c>
      <c r="K435" s="14" t="n">
        <v>480.4</v>
      </c>
      <c r="L435" s="14" t="n">
        <v>480.4</v>
      </c>
      <c r="M435" s="14" t="n">
        <v>480.4</v>
      </c>
      <c r="N435" s="14" t="n">
        <v>480.4</v>
      </c>
      <c r="O435" s="14" t="n">
        <v>480.4</v>
      </c>
      <c r="P435" s="14" t="n">
        <v>480.4</v>
      </c>
      <c r="Q435" s="14" t="n">
        <v>480.4</v>
      </c>
      <c r="R435" s="14" t="n">
        <v>480.4</v>
      </c>
      <c r="S435" s="14" t="n">
        <v>480.4</v>
      </c>
      <c r="T435" s="14" t="n">
        <v>480.4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CANON-202606-007337</t>
        </is>
      </c>
      <c r="B436" s="15" t="inlineStr">
        <is>
          <t>2026-06-17</t>
        </is>
      </c>
      <c r="C436" s="15" t="inlineStr">
        <is>
          <t>Marisol Delacroix</t>
        </is>
      </c>
      <c r="D436" s="15" t="inlineStr">
        <is>
          <t>ND</t>
        </is>
      </c>
      <c r="E436" s="16" t="n">
        <v>1425000</v>
      </c>
      <c r="F436" s="16" t="n">
        <v>7131.26</v>
      </c>
      <c r="G436" s="16" t="n">
        <v>891.41</v>
      </c>
      <c r="H436" s="16" t="n">
        <v>891.41</v>
      </c>
      <c r="I436" s="16">
        <f>SUM(K436:T436)</f>
        <v/>
      </c>
      <c r="J436" s="16">
        <f>F436-(G436+H436+I436)</f>
        <v/>
      </c>
      <c r="K436" s="16" t="n">
        <v>534.84</v>
      </c>
      <c r="L436" s="16" t="n">
        <v>534.84</v>
      </c>
      <c r="M436" s="16" t="n">
        <v>534.84</v>
      </c>
      <c r="N436" s="16" t="n">
        <v>534.84</v>
      </c>
      <c r="O436" s="16" t="n">
        <v>534.84</v>
      </c>
      <c r="P436" s="16" t="n">
        <v>534.84</v>
      </c>
      <c r="Q436" s="16" t="n">
        <v>534.84</v>
      </c>
      <c r="R436" s="16" t="n">
        <v>534.84</v>
      </c>
      <c r="S436" s="16" t="n">
        <v>534.84</v>
      </c>
      <c r="T436" s="16" t="n">
        <v>534.84</v>
      </c>
      <c r="U436" s="16" t="n">
        <v>350</v>
      </c>
      <c r="V436" s="16" t="n">
        <v>250</v>
      </c>
      <c r="W436" s="16">
        <f>U436+V436</f>
        <v/>
      </c>
    </row>
    <row r="437">
      <c r="A437" s="3" t="inlineStr">
        <is>
          <t>CANON-202606-007339</t>
        </is>
      </c>
      <c r="B437" s="3" t="inlineStr">
        <is>
          <t>2026-06-25</t>
        </is>
      </c>
      <c r="C437" s="3" t="inlineStr">
        <is>
          <t>Fenwick Kingsford</t>
        </is>
      </c>
      <c r="D437" s="3" t="inlineStr">
        <is>
          <t>NH</t>
        </is>
      </c>
      <c r="E437" s="14" t="n">
        <v>180000</v>
      </c>
      <c r="F437" s="14" t="n">
        <v>3835.89</v>
      </c>
      <c r="G437" s="14" t="n">
        <v>479.49</v>
      </c>
      <c r="H437" s="14" t="n">
        <v>479.49</v>
      </c>
      <c r="I437" s="14">
        <f>SUM(K437:T437)</f>
        <v/>
      </c>
      <c r="J437" s="14">
        <f>F437-(G437+H437+I437)</f>
        <v/>
      </c>
      <c r="K437" s="14" t="n">
        <v>287.69</v>
      </c>
      <c r="L437" s="14" t="n">
        <v>287.69</v>
      </c>
      <c r="M437" s="14" t="n">
        <v>287.69</v>
      </c>
      <c r="N437" s="14" t="n">
        <v>287.69</v>
      </c>
      <c r="O437" s="14" t="n">
        <v>287.69</v>
      </c>
      <c r="P437" s="14" t="n">
        <v>287.69</v>
      </c>
      <c r="Q437" s="14" t="n">
        <v>287.69</v>
      </c>
      <c r="R437" s="14" t="n">
        <v>287.69</v>
      </c>
      <c r="S437" s="14" t="n">
        <v>287.69</v>
      </c>
      <c r="T437" s="14" t="n">
        <v>287.69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CANON-202606-007340</t>
        </is>
      </c>
      <c r="B438" s="15" t="inlineStr">
        <is>
          <t>2026-06-15</t>
        </is>
      </c>
      <c r="C438" s="15" t="inlineStr">
        <is>
          <t>Emiliano Montoya</t>
        </is>
      </c>
      <c r="D438" s="15" t="inlineStr">
        <is>
          <t>LA</t>
        </is>
      </c>
      <c r="E438" s="16" t="n">
        <v>170000</v>
      </c>
      <c r="F438" s="16" t="n">
        <v>1691.93</v>
      </c>
      <c r="G438" s="16" t="n">
        <v>211.49</v>
      </c>
      <c r="H438" s="16" t="n">
        <v>211.49</v>
      </c>
      <c r="I438" s="16">
        <f>SUM(K438:T438)</f>
        <v/>
      </c>
      <c r="J438" s="16">
        <f>F438-(G438+H438+I438)</f>
        <v/>
      </c>
      <c r="K438" s="16" t="n">
        <v>126.89</v>
      </c>
      <c r="L438" s="16" t="n">
        <v>126.89</v>
      </c>
      <c r="M438" s="16" t="n">
        <v>126.89</v>
      </c>
      <c r="N438" s="16" t="n">
        <v>126.89</v>
      </c>
      <c r="O438" s="16" t="n">
        <v>126.89</v>
      </c>
      <c r="P438" s="16" t="n">
        <v>126.89</v>
      </c>
      <c r="Q438" s="16" t="n">
        <v>126.89</v>
      </c>
      <c r="R438" s="16" t="n">
        <v>126.89</v>
      </c>
      <c r="S438" s="16" t="n">
        <v>126.89</v>
      </c>
      <c r="T438" s="16" t="n">
        <v>126.89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CANON-202606-007347</t>
        </is>
      </c>
      <c r="B439" s="3" t="inlineStr">
        <is>
          <t>2026-06-03</t>
        </is>
      </c>
      <c r="C439" s="3" t="inlineStr">
        <is>
          <t>Emiliano Okonkwo</t>
        </is>
      </c>
      <c r="D439" s="3" t="inlineStr">
        <is>
          <t>NY</t>
        </is>
      </c>
      <c r="E439" s="14" t="n">
        <v>1120000</v>
      </c>
      <c r="F439" s="14" t="n">
        <v>7861.1</v>
      </c>
      <c r="G439" s="14" t="n">
        <v>982.64</v>
      </c>
      <c r="H439" s="14" t="n">
        <v>982.64</v>
      </c>
      <c r="I439" s="14">
        <f>SUM(K439:T439)</f>
        <v/>
      </c>
      <c r="J439" s="14">
        <f>F439-(G439+H439+I439)</f>
        <v/>
      </c>
      <c r="K439" s="14" t="n">
        <v>589.58</v>
      </c>
      <c r="L439" s="14" t="n">
        <v>589.58</v>
      </c>
      <c r="M439" s="14" t="n">
        <v>589.58</v>
      </c>
      <c r="N439" s="14" t="n">
        <v>589.58</v>
      </c>
      <c r="O439" s="14" t="n">
        <v>589.58</v>
      </c>
      <c r="P439" s="14" t="n">
        <v>589.58</v>
      </c>
      <c r="Q439" s="14" t="n">
        <v>589.58</v>
      </c>
      <c r="R439" s="14" t="n">
        <v>589.58</v>
      </c>
      <c r="S439" s="14" t="n">
        <v>589.58</v>
      </c>
      <c r="T439" s="14" t="n">
        <v>589.58</v>
      </c>
      <c r="U439" s="14" t="n">
        <v>350</v>
      </c>
      <c r="V439" s="14" t="n">
        <v>250</v>
      </c>
      <c r="W439" s="14">
        <f>U439+V439</f>
        <v/>
      </c>
    </row>
    <row r="440">
      <c r="A440" s="15" t="inlineStr">
        <is>
          <t>CANON-202606-007348</t>
        </is>
      </c>
      <c r="B440" s="15" t="inlineStr">
        <is>
          <t>2026-06-13</t>
        </is>
      </c>
      <c r="C440" s="15" t="inlineStr">
        <is>
          <t>Anouk Merriweather</t>
        </is>
      </c>
      <c r="D440" s="15" t="inlineStr">
        <is>
          <t>OK</t>
        </is>
      </c>
      <c r="E440" s="16" t="n">
        <v>615000</v>
      </c>
      <c r="F440" s="16" t="n">
        <v>7268.27</v>
      </c>
      <c r="G440" s="16" t="n">
        <v>908.53</v>
      </c>
      <c r="H440" s="16" t="n">
        <v>908.53</v>
      </c>
      <c r="I440" s="16">
        <f>SUM(K440:T440)</f>
        <v/>
      </c>
      <c r="J440" s="16">
        <f>F440-(G440+H440+I440)</f>
        <v/>
      </c>
      <c r="K440" s="16" t="n">
        <v>545.12</v>
      </c>
      <c r="L440" s="16" t="n">
        <v>545.12</v>
      </c>
      <c r="M440" s="16" t="n">
        <v>545.12</v>
      </c>
      <c r="N440" s="16" t="n">
        <v>545.12</v>
      </c>
      <c r="O440" s="16" t="n">
        <v>545.12</v>
      </c>
      <c r="P440" s="16" t="n">
        <v>545.12</v>
      </c>
      <c r="Q440" s="16" t="n">
        <v>545.12</v>
      </c>
      <c r="R440" s="16" t="n">
        <v>545.12</v>
      </c>
      <c r="S440" s="16" t="n">
        <v>545.12</v>
      </c>
      <c r="T440" s="16" t="n">
        <v>545.12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CANON-202606-007349</t>
        </is>
      </c>
      <c r="B441" s="3" t="inlineStr">
        <is>
          <t>2026-06-22</t>
        </is>
      </c>
      <c r="C441" s="3" t="inlineStr">
        <is>
          <t>Noor Castellanos</t>
        </is>
      </c>
      <c r="D441" s="3" t="inlineStr">
        <is>
          <t>NY</t>
        </is>
      </c>
      <c r="E441" s="14" t="n">
        <v>410000</v>
      </c>
      <c r="F441" s="14" t="n">
        <v>5679.73</v>
      </c>
      <c r="G441" s="14" t="n">
        <v>709.97</v>
      </c>
      <c r="H441" s="14" t="n">
        <v>709.97</v>
      </c>
      <c r="I441" s="14">
        <f>SUM(K441:T441)</f>
        <v/>
      </c>
      <c r="J441" s="14">
        <f>F441-(G441+H441+I441)</f>
        <v/>
      </c>
      <c r="K441" s="14" t="n">
        <v>425.98</v>
      </c>
      <c r="L441" s="14" t="n">
        <v>425.98</v>
      </c>
      <c r="M441" s="14" t="n">
        <v>425.98</v>
      </c>
      <c r="N441" s="14" t="n">
        <v>425.98</v>
      </c>
      <c r="O441" s="14" t="n">
        <v>425.98</v>
      </c>
      <c r="P441" s="14" t="n">
        <v>425.98</v>
      </c>
      <c r="Q441" s="14" t="n">
        <v>425.98</v>
      </c>
      <c r="R441" s="14" t="n">
        <v>425.98</v>
      </c>
      <c r="S441" s="14" t="n">
        <v>425.98</v>
      </c>
      <c r="T441" s="14" t="n">
        <v>425.98</v>
      </c>
      <c r="U441" s="14" t="n">
        <v>350</v>
      </c>
      <c r="V441" s="14" t="n">
        <v>0</v>
      </c>
      <c r="W441" s="14">
        <f>U441+V441</f>
        <v/>
      </c>
    </row>
    <row r="442">
      <c r="A442" s="15" t="inlineStr">
        <is>
          <t>CANON-202606-007351</t>
        </is>
      </c>
      <c r="B442" s="15" t="inlineStr">
        <is>
          <t>2026-06-12</t>
        </is>
      </c>
      <c r="C442" s="15" t="inlineStr">
        <is>
          <t>Horace Delacroix</t>
        </is>
      </c>
      <c r="D442" s="15" t="inlineStr">
        <is>
          <t>TX</t>
        </is>
      </c>
      <c r="E442" s="16" t="n">
        <v>535000</v>
      </c>
      <c r="F442" s="16" t="n">
        <v>8434.27</v>
      </c>
      <c r="G442" s="16" t="n">
        <v>1054.28</v>
      </c>
      <c r="H442" s="16" t="n">
        <v>1054.28</v>
      </c>
      <c r="I442" s="16">
        <f>SUM(K442:T442)</f>
        <v/>
      </c>
      <c r="J442" s="16">
        <f>F442-(G442+H442+I442)</f>
        <v/>
      </c>
      <c r="K442" s="16" t="n">
        <v>632.5700000000001</v>
      </c>
      <c r="L442" s="16" t="n">
        <v>632.5700000000001</v>
      </c>
      <c r="M442" s="16" t="n">
        <v>632.5700000000001</v>
      </c>
      <c r="N442" s="16" t="n">
        <v>632.5700000000001</v>
      </c>
      <c r="O442" s="16" t="n">
        <v>632.5700000000001</v>
      </c>
      <c r="P442" s="16" t="n">
        <v>632.5700000000001</v>
      </c>
      <c r="Q442" s="16" t="n">
        <v>632.5700000000001</v>
      </c>
      <c r="R442" s="16" t="n">
        <v>632.5700000000001</v>
      </c>
      <c r="S442" s="16" t="n">
        <v>632.5700000000001</v>
      </c>
      <c r="T442" s="16" t="n">
        <v>632.5700000000001</v>
      </c>
      <c r="U442" s="16" t="n">
        <v>350</v>
      </c>
      <c r="V442" s="16" t="n">
        <v>0</v>
      </c>
      <c r="W442" s="16">
        <f>U442+V442</f>
        <v/>
      </c>
    </row>
    <row r="443">
      <c r="A443" s="3" t="inlineStr">
        <is>
          <t>CANON-202606-007352</t>
        </is>
      </c>
      <c r="B443" s="3" t="inlineStr">
        <is>
          <t>2026-06-15</t>
        </is>
      </c>
      <c r="C443" s="3" t="inlineStr">
        <is>
          <t>Sunniva Vasquez</t>
        </is>
      </c>
      <c r="D443" s="3" t="inlineStr">
        <is>
          <t>MA</t>
        </is>
      </c>
      <c r="E443" s="14" t="n">
        <v>590000</v>
      </c>
      <c r="F443" s="14" t="n">
        <v>6917.47</v>
      </c>
      <c r="G443" s="14" t="n">
        <v>864.6799999999999</v>
      </c>
      <c r="H443" s="14" t="n">
        <v>864.6799999999999</v>
      </c>
      <c r="I443" s="14">
        <f>SUM(K443:T443)</f>
        <v/>
      </c>
      <c r="J443" s="14">
        <f>F443-(G443+H443+I443)</f>
        <v/>
      </c>
      <c r="K443" s="14" t="n">
        <v>518.8099999999999</v>
      </c>
      <c r="L443" s="14" t="n">
        <v>518.8099999999999</v>
      </c>
      <c r="M443" s="14" t="n">
        <v>518.8099999999999</v>
      </c>
      <c r="N443" s="14" t="n">
        <v>518.8099999999999</v>
      </c>
      <c r="O443" s="14" t="n">
        <v>518.8099999999999</v>
      </c>
      <c r="P443" s="14" t="n">
        <v>518.8099999999999</v>
      </c>
      <c r="Q443" s="14" t="n">
        <v>518.8099999999999</v>
      </c>
      <c r="R443" s="14" t="n">
        <v>518.8099999999999</v>
      </c>
      <c r="S443" s="14" t="n">
        <v>518.8099999999999</v>
      </c>
      <c r="T443" s="14" t="n">
        <v>518.8099999999999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CANON-202606-007353</t>
        </is>
      </c>
      <c r="B444" s="15" t="inlineStr">
        <is>
          <t>2026-06-02</t>
        </is>
      </c>
      <c r="C444" s="15" t="inlineStr">
        <is>
          <t>Cassius Pennington</t>
        </is>
      </c>
      <c r="D444" s="15" t="inlineStr">
        <is>
          <t>MT</t>
        </is>
      </c>
      <c r="E444" s="16" t="n">
        <v>460000</v>
      </c>
      <c r="F444" s="16" t="n">
        <v>7099.22</v>
      </c>
      <c r="G444" s="16" t="n">
        <v>887.4</v>
      </c>
      <c r="H444" s="16" t="n">
        <v>887.4</v>
      </c>
      <c r="I444" s="16">
        <f>SUM(K444:T444)</f>
        <v/>
      </c>
      <c r="J444" s="16">
        <f>F444-(G444+H444+I444)</f>
        <v/>
      </c>
      <c r="K444" s="16" t="n">
        <v>532.4400000000001</v>
      </c>
      <c r="L444" s="16" t="n">
        <v>532.4400000000001</v>
      </c>
      <c r="M444" s="16" t="n">
        <v>532.4400000000001</v>
      </c>
      <c r="N444" s="16" t="n">
        <v>532.4400000000001</v>
      </c>
      <c r="O444" s="16" t="n">
        <v>532.4400000000001</v>
      </c>
      <c r="P444" s="16" t="n">
        <v>532.4400000000001</v>
      </c>
      <c r="Q444" s="16" t="n">
        <v>532.4400000000001</v>
      </c>
      <c r="R444" s="16" t="n">
        <v>532.4400000000001</v>
      </c>
      <c r="S444" s="16" t="n">
        <v>532.4400000000001</v>
      </c>
      <c r="T444" s="16" t="n">
        <v>532.4400000000001</v>
      </c>
      <c r="U444" s="16" t="n">
        <v>350</v>
      </c>
      <c r="V444" s="16" t="n">
        <v>0</v>
      </c>
      <c r="W444" s="16">
        <f>U444+V444</f>
        <v/>
      </c>
    </row>
    <row r="445">
      <c r="A445" s="3" t="inlineStr">
        <is>
          <t>CANON-202606-007354</t>
        </is>
      </c>
      <c r="B445" s="3" t="inlineStr">
        <is>
          <t>2026-06-23</t>
        </is>
      </c>
      <c r="C445" s="3" t="inlineStr">
        <is>
          <t>Wilhelmina Vasquez</t>
        </is>
      </c>
      <c r="D445" s="3" t="inlineStr">
        <is>
          <t>MS</t>
        </is>
      </c>
      <c r="E445" s="14" t="n">
        <v>415000</v>
      </c>
      <c r="F445" s="14" t="n">
        <v>5344.76</v>
      </c>
      <c r="G445" s="14" t="n">
        <v>668.1</v>
      </c>
      <c r="H445" s="14" t="n">
        <v>668.1</v>
      </c>
      <c r="I445" s="14">
        <f>SUM(K445:T445)</f>
        <v/>
      </c>
      <c r="J445" s="14">
        <f>F445-(G445+H445+I445)</f>
        <v/>
      </c>
      <c r="K445" s="14" t="n">
        <v>400.86</v>
      </c>
      <c r="L445" s="14" t="n">
        <v>400.86</v>
      </c>
      <c r="M445" s="14" t="n">
        <v>400.86</v>
      </c>
      <c r="N445" s="14" t="n">
        <v>400.86</v>
      </c>
      <c r="O445" s="14" t="n">
        <v>400.86</v>
      </c>
      <c r="P445" s="14" t="n">
        <v>400.86</v>
      </c>
      <c r="Q445" s="14" t="n">
        <v>400.86</v>
      </c>
      <c r="R445" s="14" t="n">
        <v>400.86</v>
      </c>
      <c r="S445" s="14" t="n">
        <v>400.86</v>
      </c>
      <c r="T445" s="14" t="n">
        <v>400.86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CANON-202606-007355</t>
        </is>
      </c>
      <c r="B446" s="15" t="inlineStr">
        <is>
          <t>2026-06-07</t>
        </is>
      </c>
      <c r="C446" s="15" t="inlineStr">
        <is>
          <t>Aurelio Vandermeer</t>
        </is>
      </c>
      <c r="D446" s="15" t="inlineStr">
        <is>
          <t>MA</t>
        </is>
      </c>
      <c r="E446" s="16" t="n">
        <v>550000</v>
      </c>
      <c r="F446" s="16" t="n">
        <v>9424.709999999999</v>
      </c>
      <c r="G446" s="16" t="n">
        <v>1178.09</v>
      </c>
      <c r="H446" s="16" t="n">
        <v>1178.09</v>
      </c>
      <c r="I446" s="16">
        <f>SUM(K446:T446)</f>
        <v/>
      </c>
      <c r="J446" s="16">
        <f>F446-(G446+H446+I446)</f>
        <v/>
      </c>
      <c r="K446" s="16" t="n">
        <v>706.85</v>
      </c>
      <c r="L446" s="16" t="n">
        <v>706.85</v>
      </c>
      <c r="M446" s="16" t="n">
        <v>706.85</v>
      </c>
      <c r="N446" s="16" t="n">
        <v>706.85</v>
      </c>
      <c r="O446" s="16" t="n">
        <v>706.85</v>
      </c>
      <c r="P446" s="16" t="n">
        <v>706.85</v>
      </c>
      <c r="Q446" s="16" t="n">
        <v>706.85</v>
      </c>
      <c r="R446" s="16" t="n">
        <v>706.85</v>
      </c>
      <c r="S446" s="16" t="n">
        <v>706.85</v>
      </c>
      <c r="T446" s="16" t="n">
        <v>706.85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CANON-202606-007356</t>
        </is>
      </c>
      <c r="B447" s="3" t="inlineStr">
        <is>
          <t>2026-06-23</t>
        </is>
      </c>
      <c r="C447" s="3" t="inlineStr">
        <is>
          <t>Thaddeus Rourke</t>
        </is>
      </c>
      <c r="D447" s="3" t="inlineStr">
        <is>
          <t>KS</t>
        </is>
      </c>
      <c r="E447" s="14" t="n">
        <v>730000</v>
      </c>
      <c r="F447" s="14" t="n">
        <v>6641.71</v>
      </c>
      <c r="G447" s="14" t="n">
        <v>830.21</v>
      </c>
      <c r="H447" s="14" t="n">
        <v>830.21</v>
      </c>
      <c r="I447" s="14">
        <f>SUM(K447:T447)</f>
        <v/>
      </c>
      <c r="J447" s="14">
        <f>F447-(G447+H447+I447)</f>
        <v/>
      </c>
      <c r="K447" s="14" t="n">
        <v>498.13</v>
      </c>
      <c r="L447" s="14" t="n">
        <v>498.13</v>
      </c>
      <c r="M447" s="14" t="n">
        <v>498.13</v>
      </c>
      <c r="N447" s="14" t="n">
        <v>498.13</v>
      </c>
      <c r="O447" s="14" t="n">
        <v>498.13</v>
      </c>
      <c r="P447" s="14" t="n">
        <v>498.13</v>
      </c>
      <c r="Q447" s="14" t="n">
        <v>498.13</v>
      </c>
      <c r="R447" s="14" t="n">
        <v>498.13</v>
      </c>
      <c r="S447" s="14" t="n">
        <v>498.13</v>
      </c>
      <c r="T447" s="14" t="n">
        <v>498.13</v>
      </c>
      <c r="U447" s="14" t="n">
        <v>350</v>
      </c>
      <c r="V447" s="14" t="n">
        <v>0</v>
      </c>
      <c r="W447" s="14">
        <f>U447+V447</f>
        <v/>
      </c>
    </row>
    <row r="448">
      <c r="A448" s="15" t="inlineStr">
        <is>
          <t>CANON-202606-007357</t>
        </is>
      </c>
      <c r="B448" s="15" t="inlineStr">
        <is>
          <t>2026-06-03</t>
        </is>
      </c>
      <c r="C448" s="15" t="inlineStr">
        <is>
          <t>Wilhelmina Farkas</t>
        </is>
      </c>
      <c r="D448" s="15" t="inlineStr">
        <is>
          <t>DE</t>
        </is>
      </c>
      <c r="E448" s="16" t="n">
        <v>1190000</v>
      </c>
      <c r="F448" s="16" t="n">
        <v>11805.7</v>
      </c>
      <c r="G448" s="16" t="n">
        <v>1475.71</v>
      </c>
      <c r="H448" s="16" t="n">
        <v>1475.71</v>
      </c>
      <c r="I448" s="16">
        <f>SUM(K448:T448)</f>
        <v/>
      </c>
      <c r="J448" s="16">
        <f>F448-(G448+H448+I448)</f>
        <v/>
      </c>
      <c r="K448" s="16" t="n">
        <v>885.4299999999999</v>
      </c>
      <c r="L448" s="16" t="n">
        <v>885.4299999999999</v>
      </c>
      <c r="M448" s="16" t="n">
        <v>885.4299999999999</v>
      </c>
      <c r="N448" s="16" t="n">
        <v>885.4299999999999</v>
      </c>
      <c r="O448" s="16" t="n">
        <v>885.4299999999999</v>
      </c>
      <c r="P448" s="16" t="n">
        <v>885.4299999999999</v>
      </c>
      <c r="Q448" s="16" t="n">
        <v>885.4299999999999</v>
      </c>
      <c r="R448" s="16" t="n">
        <v>885.4299999999999</v>
      </c>
      <c r="S448" s="16" t="n">
        <v>885.4299999999999</v>
      </c>
      <c r="T448" s="16" t="n">
        <v>885.4299999999999</v>
      </c>
      <c r="U448" s="16" t="n">
        <v>350</v>
      </c>
      <c r="V448" s="16" t="n">
        <v>250</v>
      </c>
      <c r="W448" s="16">
        <f>U448+V448</f>
        <v/>
      </c>
    </row>
    <row r="449">
      <c r="A449" s="3" t="inlineStr">
        <is>
          <t>CANON-202606-007358</t>
        </is>
      </c>
      <c r="B449" s="3" t="inlineStr">
        <is>
          <t>2026-06-28</t>
        </is>
      </c>
      <c r="C449" s="3" t="inlineStr">
        <is>
          <t>Lorenzo Chattopadhyay</t>
        </is>
      </c>
      <c r="D449" s="3" t="inlineStr">
        <is>
          <t>FL</t>
        </is>
      </c>
      <c r="E449" s="14" t="n">
        <v>1550000</v>
      </c>
      <c r="F449" s="14" t="n">
        <v>12069.12</v>
      </c>
      <c r="G449" s="14" t="n">
        <v>1508.64</v>
      </c>
      <c r="H449" s="14" t="n">
        <v>1508.64</v>
      </c>
      <c r="I449" s="14">
        <f>SUM(K449:T449)</f>
        <v/>
      </c>
      <c r="J449" s="14">
        <f>F449-(G449+H449+I449)</f>
        <v/>
      </c>
      <c r="K449" s="14" t="n">
        <v>905.1799999999999</v>
      </c>
      <c r="L449" s="14" t="n">
        <v>905.1799999999999</v>
      </c>
      <c r="M449" s="14" t="n">
        <v>905.1799999999999</v>
      </c>
      <c r="N449" s="14" t="n">
        <v>905.1799999999999</v>
      </c>
      <c r="O449" s="14" t="n">
        <v>905.1799999999999</v>
      </c>
      <c r="P449" s="14" t="n">
        <v>905.1799999999999</v>
      </c>
      <c r="Q449" s="14" t="n">
        <v>905.1799999999999</v>
      </c>
      <c r="R449" s="14" t="n">
        <v>905.1799999999999</v>
      </c>
      <c r="S449" s="14" t="n">
        <v>905.1799999999999</v>
      </c>
      <c r="T449" s="14" t="n">
        <v>905.1799999999999</v>
      </c>
      <c r="U449" s="14" t="n">
        <v>350</v>
      </c>
      <c r="V449" s="14" t="n">
        <v>250</v>
      </c>
      <c r="W449" s="14">
        <f>U449+V449</f>
        <v/>
      </c>
    </row>
    <row r="450">
      <c r="A450" s="15" t="inlineStr">
        <is>
          <t>CANON-202606-007359</t>
        </is>
      </c>
      <c r="B450" s="15" t="inlineStr">
        <is>
          <t>2026-06-29</t>
        </is>
      </c>
      <c r="C450" s="15" t="inlineStr">
        <is>
          <t>Anouk Montoya</t>
        </is>
      </c>
      <c r="D450" s="15" t="inlineStr">
        <is>
          <t>WV</t>
        </is>
      </c>
      <c r="E450" s="16" t="n">
        <v>525000</v>
      </c>
      <c r="F450" s="16" t="n">
        <v>6549.32</v>
      </c>
      <c r="G450" s="16" t="n">
        <v>818.66</v>
      </c>
      <c r="H450" s="16" t="n">
        <v>818.66</v>
      </c>
      <c r="I450" s="16">
        <f>SUM(K450:T450)</f>
        <v/>
      </c>
      <c r="J450" s="16">
        <f>F450-(G450+H450+I450)</f>
        <v/>
      </c>
      <c r="K450" s="16" t="n">
        <v>491.2</v>
      </c>
      <c r="L450" s="16" t="n">
        <v>491.2</v>
      </c>
      <c r="M450" s="16" t="n">
        <v>491.2</v>
      </c>
      <c r="N450" s="16" t="n">
        <v>491.2</v>
      </c>
      <c r="O450" s="16" t="n">
        <v>491.2</v>
      </c>
      <c r="P450" s="16" t="n">
        <v>491.2</v>
      </c>
      <c r="Q450" s="16" t="n">
        <v>491.2</v>
      </c>
      <c r="R450" s="16" t="n">
        <v>491.2</v>
      </c>
      <c r="S450" s="16" t="n">
        <v>491.2</v>
      </c>
      <c r="T450" s="16" t="n">
        <v>491.2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CANON-202606-007360</t>
        </is>
      </c>
      <c r="B451" s="3" t="inlineStr">
        <is>
          <t>2026-06-18</t>
        </is>
      </c>
      <c r="C451" s="3" t="inlineStr">
        <is>
          <t>Desmond Farkas</t>
        </is>
      </c>
      <c r="D451" s="3" t="inlineStr">
        <is>
          <t>AR</t>
        </is>
      </c>
      <c r="E451" s="14" t="n">
        <v>920000</v>
      </c>
      <c r="F451" s="14" t="n">
        <v>7877.85</v>
      </c>
      <c r="G451" s="14" t="n">
        <v>984.73</v>
      </c>
      <c r="H451" s="14" t="n">
        <v>984.73</v>
      </c>
      <c r="I451" s="14">
        <f>SUM(K451:T451)</f>
        <v/>
      </c>
      <c r="J451" s="14">
        <f>F451-(G451+H451+I451)</f>
        <v/>
      </c>
      <c r="K451" s="14" t="n">
        <v>590.84</v>
      </c>
      <c r="L451" s="14" t="n">
        <v>590.84</v>
      </c>
      <c r="M451" s="14" t="n">
        <v>590.84</v>
      </c>
      <c r="N451" s="14" t="n">
        <v>590.84</v>
      </c>
      <c r="O451" s="14" t="n">
        <v>590.84</v>
      </c>
      <c r="P451" s="14" t="n">
        <v>590.84</v>
      </c>
      <c r="Q451" s="14" t="n">
        <v>590.84</v>
      </c>
      <c r="R451" s="14" t="n">
        <v>590.84</v>
      </c>
      <c r="S451" s="14" t="n">
        <v>590.84</v>
      </c>
      <c r="T451" s="14" t="n">
        <v>590.84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CANON-202606-007362</t>
        </is>
      </c>
      <c r="B452" s="15" t="inlineStr">
        <is>
          <t>2026-06-17</t>
        </is>
      </c>
      <c r="C452" s="15" t="inlineStr">
        <is>
          <t>Mireille Ashcombe</t>
        </is>
      </c>
      <c r="D452" s="15" t="inlineStr">
        <is>
          <t>OH</t>
        </is>
      </c>
      <c r="E452" s="16" t="n">
        <v>275000</v>
      </c>
      <c r="F452" s="16" t="n">
        <v>4136.96</v>
      </c>
      <c r="G452" s="16" t="n">
        <v>517.12</v>
      </c>
      <c r="H452" s="16" t="n">
        <v>517.12</v>
      </c>
      <c r="I452" s="16">
        <f>SUM(K452:T452)</f>
        <v/>
      </c>
      <c r="J452" s="16">
        <f>F452-(G452+H452+I452)</f>
        <v/>
      </c>
      <c r="K452" s="16" t="n">
        <v>310.27</v>
      </c>
      <c r="L452" s="16" t="n">
        <v>310.27</v>
      </c>
      <c r="M452" s="16" t="n">
        <v>310.27</v>
      </c>
      <c r="N452" s="16" t="n">
        <v>310.27</v>
      </c>
      <c r="O452" s="16" t="n">
        <v>310.27</v>
      </c>
      <c r="P452" s="16" t="n">
        <v>310.27</v>
      </c>
      <c r="Q452" s="16" t="n">
        <v>310.27</v>
      </c>
      <c r="R452" s="16" t="n">
        <v>310.27</v>
      </c>
      <c r="S452" s="16" t="n">
        <v>310.27</v>
      </c>
      <c r="T452" s="16" t="n">
        <v>310.27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CANON-202606-007364</t>
        </is>
      </c>
      <c r="B453" s="3" t="inlineStr">
        <is>
          <t>2026-06-02</t>
        </is>
      </c>
      <c r="C453" s="3" t="inlineStr">
        <is>
          <t>Ramona Vandermeer</t>
        </is>
      </c>
      <c r="D453" s="3" t="inlineStr">
        <is>
          <t>FL</t>
        </is>
      </c>
      <c r="E453" s="14" t="n">
        <v>1475000</v>
      </c>
      <c r="F453" s="14" t="n">
        <v>24179.22</v>
      </c>
      <c r="G453" s="14" t="n">
        <v>3022.4</v>
      </c>
      <c r="H453" s="14" t="n">
        <v>3022.4</v>
      </c>
      <c r="I453" s="14">
        <f>SUM(K453:T453)</f>
        <v/>
      </c>
      <c r="J453" s="14">
        <f>F453-(G453+H453+I453)</f>
        <v/>
      </c>
      <c r="K453" s="14" t="n">
        <v>1813.44</v>
      </c>
      <c r="L453" s="14" t="n">
        <v>1813.44</v>
      </c>
      <c r="M453" s="14" t="n">
        <v>1813.44</v>
      </c>
      <c r="N453" s="14" t="n">
        <v>1813.44</v>
      </c>
      <c r="O453" s="14" t="n">
        <v>1813.44</v>
      </c>
      <c r="P453" s="14" t="n">
        <v>1813.44</v>
      </c>
      <c r="Q453" s="14" t="n">
        <v>1813.44</v>
      </c>
      <c r="R453" s="14" t="n">
        <v>1813.44</v>
      </c>
      <c r="S453" s="14" t="n">
        <v>1813.44</v>
      </c>
      <c r="T453" s="14" t="n">
        <v>1813.44</v>
      </c>
      <c r="U453" s="14" t="n">
        <v>350</v>
      </c>
      <c r="V453" s="14" t="n">
        <v>250</v>
      </c>
      <c r="W453" s="14">
        <f>U453+V453</f>
        <v/>
      </c>
    </row>
    <row r="454">
      <c r="A454" s="15" t="inlineStr">
        <is>
          <t>CANON-202606-007365</t>
        </is>
      </c>
      <c r="B454" s="15" t="inlineStr">
        <is>
          <t>2026-06-07</t>
        </is>
      </c>
      <c r="C454" s="15" t="inlineStr">
        <is>
          <t>Beatrix Farkas</t>
        </is>
      </c>
      <c r="D454" s="15" t="inlineStr">
        <is>
          <t>MT</t>
        </is>
      </c>
      <c r="E454" s="16" t="n">
        <v>705000</v>
      </c>
      <c r="F454" s="16" t="n">
        <v>6149.75</v>
      </c>
      <c r="G454" s="16" t="n">
        <v>768.72</v>
      </c>
      <c r="H454" s="16" t="n">
        <v>768.72</v>
      </c>
      <c r="I454" s="16">
        <f>SUM(K454:T454)</f>
        <v/>
      </c>
      <c r="J454" s="16">
        <f>F454-(G454+H454+I454)</f>
        <v/>
      </c>
      <c r="K454" s="16" t="n">
        <v>461.23</v>
      </c>
      <c r="L454" s="16" t="n">
        <v>461.23</v>
      </c>
      <c r="M454" s="16" t="n">
        <v>461.23</v>
      </c>
      <c r="N454" s="16" t="n">
        <v>461.23</v>
      </c>
      <c r="O454" s="16" t="n">
        <v>461.23</v>
      </c>
      <c r="P454" s="16" t="n">
        <v>461.23</v>
      </c>
      <c r="Q454" s="16" t="n">
        <v>461.23</v>
      </c>
      <c r="R454" s="16" t="n">
        <v>461.23</v>
      </c>
      <c r="S454" s="16" t="n">
        <v>461.23</v>
      </c>
      <c r="T454" s="16" t="n">
        <v>461.23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CANON-202606-007366</t>
        </is>
      </c>
      <c r="B455" s="3" t="inlineStr">
        <is>
          <t>2026-06-27</t>
        </is>
      </c>
      <c r="C455" s="3" t="inlineStr">
        <is>
          <t>Anouk Okonkwo</t>
        </is>
      </c>
      <c r="D455" s="3" t="inlineStr">
        <is>
          <t>CA</t>
        </is>
      </c>
      <c r="E455" s="14" t="n">
        <v>345000</v>
      </c>
      <c r="F455" s="14" t="n">
        <v>5040.64</v>
      </c>
      <c r="G455" s="14" t="n">
        <v>630.08</v>
      </c>
      <c r="H455" s="14" t="n">
        <v>630.08</v>
      </c>
      <c r="I455" s="14">
        <f>SUM(K455:T455)</f>
        <v/>
      </c>
      <c r="J455" s="14">
        <f>F455-(G455+H455+I455)</f>
        <v/>
      </c>
      <c r="K455" s="14" t="n">
        <v>378.05</v>
      </c>
      <c r="L455" s="14" t="n">
        <v>378.05</v>
      </c>
      <c r="M455" s="14" t="n">
        <v>378.05</v>
      </c>
      <c r="N455" s="14" t="n">
        <v>378.05</v>
      </c>
      <c r="O455" s="14" t="n">
        <v>378.05</v>
      </c>
      <c r="P455" s="14" t="n">
        <v>378.05</v>
      </c>
      <c r="Q455" s="14" t="n">
        <v>378.05</v>
      </c>
      <c r="R455" s="14" t="n">
        <v>378.05</v>
      </c>
      <c r="S455" s="14" t="n">
        <v>378.05</v>
      </c>
      <c r="T455" s="14" t="n">
        <v>378.05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CANON-202606-007369</t>
        </is>
      </c>
      <c r="B456" s="15" t="inlineStr">
        <is>
          <t>2026-06-20</t>
        </is>
      </c>
      <c r="C456" s="15" t="inlineStr">
        <is>
          <t>Noor Vandermeer</t>
        </is>
      </c>
      <c r="D456" s="15" t="inlineStr">
        <is>
          <t>WI</t>
        </is>
      </c>
      <c r="E456" s="16" t="n">
        <v>1260000</v>
      </c>
      <c r="F456" s="16" t="n">
        <v>8291.01</v>
      </c>
      <c r="G456" s="16" t="n">
        <v>1036.38</v>
      </c>
      <c r="H456" s="16" t="n">
        <v>1036.38</v>
      </c>
      <c r="I456" s="16">
        <f>SUM(K456:T456)</f>
        <v/>
      </c>
      <c r="J456" s="16">
        <f>F456-(G456+H456+I456)</f>
        <v/>
      </c>
      <c r="K456" s="16" t="n">
        <v>621.83</v>
      </c>
      <c r="L456" s="16" t="n">
        <v>621.83</v>
      </c>
      <c r="M456" s="16" t="n">
        <v>621.83</v>
      </c>
      <c r="N456" s="16" t="n">
        <v>621.83</v>
      </c>
      <c r="O456" s="16" t="n">
        <v>621.83</v>
      </c>
      <c r="P456" s="16" t="n">
        <v>621.83</v>
      </c>
      <c r="Q456" s="16" t="n">
        <v>621.83</v>
      </c>
      <c r="R456" s="16" t="n">
        <v>621.83</v>
      </c>
      <c r="S456" s="16" t="n">
        <v>621.83</v>
      </c>
      <c r="T456" s="16" t="n">
        <v>621.83</v>
      </c>
      <c r="U456" s="16" t="n">
        <v>350</v>
      </c>
      <c r="V456" s="16" t="n">
        <v>250</v>
      </c>
      <c r="W456" s="16">
        <f>U456+V456</f>
        <v/>
      </c>
    </row>
    <row r="457">
      <c r="A457" s="3" t="inlineStr">
        <is>
          <t>CANON-202606-007373</t>
        </is>
      </c>
      <c r="B457" s="3" t="inlineStr">
        <is>
          <t>2026-06-17</t>
        </is>
      </c>
      <c r="C457" s="3" t="inlineStr">
        <is>
          <t>Anouk Montoya</t>
        </is>
      </c>
      <c r="D457" s="3" t="inlineStr">
        <is>
          <t>CA</t>
        </is>
      </c>
      <c r="E457" s="14" t="n">
        <v>825000</v>
      </c>
      <c r="F457" s="14" t="n">
        <v>6910.79</v>
      </c>
      <c r="G457" s="14" t="n">
        <v>863.85</v>
      </c>
      <c r="H457" s="14" t="n">
        <v>863.85</v>
      </c>
      <c r="I457" s="14">
        <f>SUM(K457:T457)</f>
        <v/>
      </c>
      <c r="J457" s="14">
        <f>F457-(G457+H457+I457)</f>
        <v/>
      </c>
      <c r="K457" s="14" t="n">
        <v>518.3099999999999</v>
      </c>
      <c r="L457" s="14" t="n">
        <v>518.3099999999999</v>
      </c>
      <c r="M457" s="14" t="n">
        <v>518.3099999999999</v>
      </c>
      <c r="N457" s="14" t="n">
        <v>518.3099999999999</v>
      </c>
      <c r="O457" s="14" t="n">
        <v>518.3099999999999</v>
      </c>
      <c r="P457" s="14" t="n">
        <v>518.3099999999999</v>
      </c>
      <c r="Q457" s="14" t="n">
        <v>518.3099999999999</v>
      </c>
      <c r="R457" s="14" t="n">
        <v>518.3099999999999</v>
      </c>
      <c r="S457" s="14" t="n">
        <v>518.3099999999999</v>
      </c>
      <c r="T457" s="14" t="n">
        <v>518.3099999999999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CANON-202606-007374</t>
        </is>
      </c>
      <c r="B458" s="15" t="inlineStr">
        <is>
          <t>2026-06-11</t>
        </is>
      </c>
      <c r="C458" s="15" t="inlineStr">
        <is>
          <t>Cassius Kingsford</t>
        </is>
      </c>
      <c r="D458" s="15" t="inlineStr">
        <is>
          <t>NJ</t>
        </is>
      </c>
      <c r="E458" s="16" t="n">
        <v>370000</v>
      </c>
      <c r="F458" s="16" t="n">
        <v>5587.44</v>
      </c>
      <c r="G458" s="16" t="n">
        <v>698.4299999999999</v>
      </c>
      <c r="H458" s="16" t="n">
        <v>698.4299999999999</v>
      </c>
      <c r="I458" s="16">
        <f>SUM(K458:T458)</f>
        <v/>
      </c>
      <c r="J458" s="16">
        <f>F458-(G458+H458+I458)</f>
        <v/>
      </c>
      <c r="K458" s="16" t="n">
        <v>419.06</v>
      </c>
      <c r="L458" s="16" t="n">
        <v>419.06</v>
      </c>
      <c r="M458" s="16" t="n">
        <v>419.06</v>
      </c>
      <c r="N458" s="16" t="n">
        <v>419.06</v>
      </c>
      <c r="O458" s="16" t="n">
        <v>419.06</v>
      </c>
      <c r="P458" s="16" t="n">
        <v>419.06</v>
      </c>
      <c r="Q458" s="16" t="n">
        <v>419.06</v>
      </c>
      <c r="R458" s="16" t="n">
        <v>419.06</v>
      </c>
      <c r="S458" s="16" t="n">
        <v>419.06</v>
      </c>
      <c r="T458" s="16" t="n">
        <v>419.06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CANON-202606-007375</t>
        </is>
      </c>
      <c r="B459" s="3" t="inlineStr">
        <is>
          <t>2026-06-19</t>
        </is>
      </c>
      <c r="C459" s="3" t="inlineStr">
        <is>
          <t>Fitzgerald Ashcombe</t>
        </is>
      </c>
      <c r="D459" s="3" t="inlineStr">
        <is>
          <t>NJ</t>
        </is>
      </c>
      <c r="E459" s="14" t="n">
        <v>785000</v>
      </c>
      <c r="F459" s="14" t="n">
        <v>6700.34</v>
      </c>
      <c r="G459" s="14" t="n">
        <v>837.54</v>
      </c>
      <c r="H459" s="14" t="n">
        <v>837.54</v>
      </c>
      <c r="I459" s="14">
        <f>SUM(K459:T459)</f>
        <v/>
      </c>
      <c r="J459" s="14">
        <f>F459-(G459+H459+I459)</f>
        <v/>
      </c>
      <c r="K459" s="14" t="n">
        <v>502.53</v>
      </c>
      <c r="L459" s="14" t="n">
        <v>502.53</v>
      </c>
      <c r="M459" s="14" t="n">
        <v>502.53</v>
      </c>
      <c r="N459" s="14" t="n">
        <v>502.53</v>
      </c>
      <c r="O459" s="14" t="n">
        <v>502.53</v>
      </c>
      <c r="P459" s="14" t="n">
        <v>502.53</v>
      </c>
      <c r="Q459" s="14" t="n">
        <v>502.53</v>
      </c>
      <c r="R459" s="14" t="n">
        <v>502.53</v>
      </c>
      <c r="S459" s="14" t="n">
        <v>502.53</v>
      </c>
      <c r="T459" s="14" t="n">
        <v>502.53</v>
      </c>
      <c r="U459" s="14" t="n">
        <v>350</v>
      </c>
      <c r="V459" s="14" t="n">
        <v>0</v>
      </c>
      <c r="W459" s="14">
        <f>U459+V459</f>
        <v/>
      </c>
    </row>
    <row r="460">
      <c r="A460" s="15" t="inlineStr">
        <is>
          <t>CANON-202606-007376</t>
        </is>
      </c>
      <c r="B460" s="15" t="inlineStr">
        <is>
          <t>2026-06-08</t>
        </is>
      </c>
      <c r="C460" s="15" t="inlineStr">
        <is>
          <t>Beatrix Underwood</t>
        </is>
      </c>
      <c r="D460" s="15" t="inlineStr">
        <is>
          <t>IL</t>
        </is>
      </c>
      <c r="E460" s="16" t="n">
        <v>900000</v>
      </c>
      <c r="F460" s="16" t="n">
        <v>11480.66</v>
      </c>
      <c r="G460" s="16" t="n">
        <v>1435.08</v>
      </c>
      <c r="H460" s="16" t="n">
        <v>1435.08</v>
      </c>
      <c r="I460" s="16">
        <f>SUM(K460:T460)</f>
        <v/>
      </c>
      <c r="J460" s="16">
        <f>F460-(G460+H460+I460)</f>
        <v/>
      </c>
      <c r="K460" s="16" t="n">
        <v>861.05</v>
      </c>
      <c r="L460" s="16" t="n">
        <v>861.05</v>
      </c>
      <c r="M460" s="16" t="n">
        <v>861.05</v>
      </c>
      <c r="N460" s="16" t="n">
        <v>861.05</v>
      </c>
      <c r="O460" s="16" t="n">
        <v>861.05</v>
      </c>
      <c r="P460" s="16" t="n">
        <v>861.05</v>
      </c>
      <c r="Q460" s="16" t="n">
        <v>861.05</v>
      </c>
      <c r="R460" s="16" t="n">
        <v>861.05</v>
      </c>
      <c r="S460" s="16" t="n">
        <v>861.05</v>
      </c>
      <c r="T460" s="16" t="n">
        <v>861.05</v>
      </c>
      <c r="U460" s="16" t="n">
        <v>350</v>
      </c>
      <c r="V460" s="16" t="n">
        <v>0</v>
      </c>
      <c r="W460" s="16">
        <f>U460+V460</f>
        <v/>
      </c>
    </row>
    <row r="461">
      <c r="A461" s="3" t="inlineStr">
        <is>
          <t>CANON-202606-007379</t>
        </is>
      </c>
      <c r="B461" s="3" t="inlineStr">
        <is>
          <t>2026-06-17</t>
        </is>
      </c>
      <c r="C461" s="3" t="inlineStr">
        <is>
          <t>Ramona Castellanos</t>
        </is>
      </c>
      <c r="D461" s="3" t="inlineStr">
        <is>
          <t>VT</t>
        </is>
      </c>
      <c r="E461" s="14" t="n">
        <v>820000</v>
      </c>
      <c r="F461" s="14" t="n">
        <v>13714.16</v>
      </c>
      <c r="G461" s="14" t="n">
        <v>1714.27</v>
      </c>
      <c r="H461" s="14" t="n">
        <v>1714.27</v>
      </c>
      <c r="I461" s="14">
        <f>SUM(K461:T461)</f>
        <v/>
      </c>
      <c r="J461" s="14">
        <f>F461-(G461+H461+I461)</f>
        <v/>
      </c>
      <c r="K461" s="14" t="n">
        <v>1028.56</v>
      </c>
      <c r="L461" s="14" t="n">
        <v>1028.56</v>
      </c>
      <c r="M461" s="14" t="n">
        <v>1028.56</v>
      </c>
      <c r="N461" s="14" t="n">
        <v>1028.56</v>
      </c>
      <c r="O461" s="14" t="n">
        <v>1028.56</v>
      </c>
      <c r="P461" s="14" t="n">
        <v>1028.56</v>
      </c>
      <c r="Q461" s="14" t="n">
        <v>1028.56</v>
      </c>
      <c r="R461" s="14" t="n">
        <v>1028.56</v>
      </c>
      <c r="S461" s="14" t="n">
        <v>1028.56</v>
      </c>
      <c r="T461" s="14" t="n">
        <v>1028.56</v>
      </c>
      <c r="U461" s="14" t="n">
        <v>350</v>
      </c>
      <c r="V461" s="14" t="n">
        <v>0</v>
      </c>
      <c r="W461" s="14">
        <f>U461+V461</f>
        <v/>
      </c>
    </row>
    <row r="462">
      <c r="A462" s="15" t="inlineStr">
        <is>
          <t>CANON-202606-007381</t>
        </is>
      </c>
      <c r="B462" s="15" t="inlineStr">
        <is>
          <t>2026-06-16</t>
        </is>
      </c>
      <c r="C462" s="15" t="inlineStr">
        <is>
          <t>Beatrix Castellanos</t>
        </is>
      </c>
      <c r="D462" s="15" t="inlineStr">
        <is>
          <t>OK</t>
        </is>
      </c>
      <c r="E462" s="16" t="n">
        <v>520000</v>
      </c>
      <c r="F462" s="16" t="n">
        <v>6145.53</v>
      </c>
      <c r="G462" s="16" t="n">
        <v>768.1900000000001</v>
      </c>
      <c r="H462" s="16" t="n">
        <v>768.1900000000001</v>
      </c>
      <c r="I462" s="16">
        <f>SUM(K462:T462)</f>
        <v/>
      </c>
      <c r="J462" s="16">
        <f>F462-(G462+H462+I462)</f>
        <v/>
      </c>
      <c r="K462" s="16" t="n">
        <v>460.91</v>
      </c>
      <c r="L462" s="16" t="n">
        <v>460.91</v>
      </c>
      <c r="M462" s="16" t="n">
        <v>460.91</v>
      </c>
      <c r="N462" s="16" t="n">
        <v>460.91</v>
      </c>
      <c r="O462" s="16" t="n">
        <v>460.91</v>
      </c>
      <c r="P462" s="16" t="n">
        <v>460.91</v>
      </c>
      <c r="Q462" s="16" t="n">
        <v>460.91</v>
      </c>
      <c r="R462" s="16" t="n">
        <v>460.91</v>
      </c>
      <c r="S462" s="16" t="n">
        <v>460.91</v>
      </c>
      <c r="T462" s="16" t="n">
        <v>460.91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CANON-202606-007382</t>
        </is>
      </c>
      <c r="B463" s="3" t="inlineStr">
        <is>
          <t>2026-06-11</t>
        </is>
      </c>
      <c r="C463" s="3" t="inlineStr">
        <is>
          <t>Ottilie Thistlewood</t>
        </is>
      </c>
      <c r="D463" s="3" t="inlineStr">
        <is>
          <t>CO</t>
        </is>
      </c>
      <c r="E463" s="14" t="n">
        <v>325000</v>
      </c>
      <c r="F463" s="14" t="n">
        <v>3869.09</v>
      </c>
      <c r="G463" s="14" t="n">
        <v>483.64</v>
      </c>
      <c r="H463" s="14" t="n">
        <v>483.64</v>
      </c>
      <c r="I463" s="14">
        <f>SUM(K463:T463)</f>
        <v/>
      </c>
      <c r="J463" s="14">
        <f>F463-(G463+H463+I463)</f>
        <v/>
      </c>
      <c r="K463" s="14" t="n">
        <v>290.18</v>
      </c>
      <c r="L463" s="14" t="n">
        <v>290.18</v>
      </c>
      <c r="M463" s="14" t="n">
        <v>290.18</v>
      </c>
      <c r="N463" s="14" t="n">
        <v>290.18</v>
      </c>
      <c r="O463" s="14" t="n">
        <v>290.18</v>
      </c>
      <c r="P463" s="14" t="n">
        <v>290.18</v>
      </c>
      <c r="Q463" s="14" t="n">
        <v>290.18</v>
      </c>
      <c r="R463" s="14" t="n">
        <v>290.18</v>
      </c>
      <c r="S463" s="14" t="n">
        <v>290.18</v>
      </c>
      <c r="T463" s="14" t="n">
        <v>290.18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CANON-202606-007385</t>
        </is>
      </c>
      <c r="B464" s="15" t="inlineStr">
        <is>
          <t>2026-06-11</t>
        </is>
      </c>
      <c r="C464" s="15" t="inlineStr">
        <is>
          <t>Ramona Vandermeer</t>
        </is>
      </c>
      <c r="D464" s="15" t="inlineStr">
        <is>
          <t>LA</t>
        </is>
      </c>
      <c r="E464" s="16" t="n">
        <v>655000</v>
      </c>
      <c r="F464" s="16" t="n">
        <v>10864.81</v>
      </c>
      <c r="G464" s="16" t="n">
        <v>1358.1</v>
      </c>
      <c r="H464" s="16" t="n">
        <v>1358.1</v>
      </c>
      <c r="I464" s="16">
        <f>SUM(K464:T464)</f>
        <v/>
      </c>
      <c r="J464" s="16">
        <f>F464-(G464+H464+I464)</f>
        <v/>
      </c>
      <c r="K464" s="16" t="n">
        <v>814.86</v>
      </c>
      <c r="L464" s="16" t="n">
        <v>814.86</v>
      </c>
      <c r="M464" s="16" t="n">
        <v>814.86</v>
      </c>
      <c r="N464" s="16" t="n">
        <v>814.86</v>
      </c>
      <c r="O464" s="16" t="n">
        <v>814.86</v>
      </c>
      <c r="P464" s="16" t="n">
        <v>814.86</v>
      </c>
      <c r="Q464" s="16" t="n">
        <v>814.86</v>
      </c>
      <c r="R464" s="16" t="n">
        <v>814.86</v>
      </c>
      <c r="S464" s="16" t="n">
        <v>814.86</v>
      </c>
      <c r="T464" s="16" t="n">
        <v>814.86</v>
      </c>
      <c r="U464" s="16" t="n">
        <v>350</v>
      </c>
      <c r="V464" s="16" t="n">
        <v>0</v>
      </c>
      <c r="W464" s="16">
        <f>U464+V464</f>
        <v/>
      </c>
    </row>
    <row r="465">
      <c r="A465" s="3" t="inlineStr">
        <is>
          <t>CANON-202606-007386</t>
        </is>
      </c>
      <c r="B465" s="3" t="inlineStr">
        <is>
          <t>2026-06-16</t>
        </is>
      </c>
      <c r="C465" s="3" t="inlineStr">
        <is>
          <t>Ramona Harrington</t>
        </is>
      </c>
      <c r="D465" s="3" t="inlineStr">
        <is>
          <t>AR</t>
        </is>
      </c>
      <c r="E465" s="14" t="n">
        <v>765000</v>
      </c>
      <c r="F465" s="14" t="n">
        <v>14472.25</v>
      </c>
      <c r="G465" s="14" t="n">
        <v>1809.03</v>
      </c>
      <c r="H465" s="14" t="n">
        <v>1809.03</v>
      </c>
      <c r="I465" s="14">
        <f>SUM(K465:T465)</f>
        <v/>
      </c>
      <c r="J465" s="14">
        <f>F465-(G465+H465+I465)</f>
        <v/>
      </c>
      <c r="K465" s="14" t="n">
        <v>1085.42</v>
      </c>
      <c r="L465" s="14" t="n">
        <v>1085.42</v>
      </c>
      <c r="M465" s="14" t="n">
        <v>1085.42</v>
      </c>
      <c r="N465" s="14" t="n">
        <v>1085.42</v>
      </c>
      <c r="O465" s="14" t="n">
        <v>1085.42</v>
      </c>
      <c r="P465" s="14" t="n">
        <v>1085.42</v>
      </c>
      <c r="Q465" s="14" t="n">
        <v>1085.42</v>
      </c>
      <c r="R465" s="14" t="n">
        <v>1085.42</v>
      </c>
      <c r="S465" s="14" t="n">
        <v>1085.42</v>
      </c>
      <c r="T465" s="14" t="n">
        <v>1085.42</v>
      </c>
      <c r="U465" s="14" t="n">
        <v>350</v>
      </c>
      <c r="V465" s="14" t="n">
        <v>0</v>
      </c>
      <c r="W465" s="14">
        <f>U465+V465</f>
        <v/>
      </c>
    </row>
    <row r="466">
      <c r="A466" s="15" t="inlineStr">
        <is>
          <t>CANON-202606-007387</t>
        </is>
      </c>
      <c r="B466" s="15" t="inlineStr">
        <is>
          <t>2026-06-04</t>
        </is>
      </c>
      <c r="C466" s="15" t="inlineStr">
        <is>
          <t>Wilhelmina Delacroix</t>
        </is>
      </c>
      <c r="D466" s="15" t="inlineStr">
        <is>
          <t>CA</t>
        </is>
      </c>
      <c r="E466" s="16" t="n">
        <v>700000</v>
      </c>
      <c r="F466" s="16" t="n">
        <v>8863.74</v>
      </c>
      <c r="G466" s="16" t="n">
        <v>1107.97</v>
      </c>
      <c r="H466" s="16" t="n">
        <v>1107.97</v>
      </c>
      <c r="I466" s="16">
        <f>SUM(K466:T466)</f>
        <v/>
      </c>
      <c r="J466" s="16">
        <f>F466-(G466+H466+I466)</f>
        <v/>
      </c>
      <c r="K466" s="16" t="n">
        <v>664.78</v>
      </c>
      <c r="L466" s="16" t="n">
        <v>664.78</v>
      </c>
      <c r="M466" s="16" t="n">
        <v>664.78</v>
      </c>
      <c r="N466" s="16" t="n">
        <v>664.78</v>
      </c>
      <c r="O466" s="16" t="n">
        <v>664.78</v>
      </c>
      <c r="P466" s="16" t="n">
        <v>664.78</v>
      </c>
      <c r="Q466" s="16" t="n">
        <v>664.78</v>
      </c>
      <c r="R466" s="16" t="n">
        <v>664.78</v>
      </c>
      <c r="S466" s="16" t="n">
        <v>664.78</v>
      </c>
      <c r="T466" s="16" t="n">
        <v>664.78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CANON-202606-007388</t>
        </is>
      </c>
      <c r="B467" s="3" t="inlineStr">
        <is>
          <t>2026-06-05</t>
        </is>
      </c>
      <c r="C467" s="3" t="inlineStr">
        <is>
          <t>Priya Delacroix</t>
        </is>
      </c>
      <c r="D467" s="3" t="inlineStr">
        <is>
          <t>ME</t>
        </is>
      </c>
      <c r="E467" s="14" t="n">
        <v>1310000</v>
      </c>
      <c r="F467" s="14" t="n">
        <v>11228.71</v>
      </c>
      <c r="G467" s="14" t="n">
        <v>1403.59</v>
      </c>
      <c r="H467" s="14" t="n">
        <v>1403.59</v>
      </c>
      <c r="I467" s="14">
        <f>SUM(K467:T467)</f>
        <v/>
      </c>
      <c r="J467" s="14">
        <f>F467-(G467+H467+I467)</f>
        <v/>
      </c>
      <c r="K467" s="14" t="n">
        <v>842.15</v>
      </c>
      <c r="L467" s="14" t="n">
        <v>842.15</v>
      </c>
      <c r="M467" s="14" t="n">
        <v>842.15</v>
      </c>
      <c r="N467" s="14" t="n">
        <v>842.15</v>
      </c>
      <c r="O467" s="14" t="n">
        <v>842.15</v>
      </c>
      <c r="P467" s="14" t="n">
        <v>842.15</v>
      </c>
      <c r="Q467" s="14" t="n">
        <v>842.15</v>
      </c>
      <c r="R467" s="14" t="n">
        <v>842.15</v>
      </c>
      <c r="S467" s="14" t="n">
        <v>842.15</v>
      </c>
      <c r="T467" s="14" t="n">
        <v>842.15</v>
      </c>
      <c r="U467" s="14" t="n">
        <v>350</v>
      </c>
      <c r="V467" s="14" t="n">
        <v>250</v>
      </c>
      <c r="W467" s="14">
        <f>U467+V467</f>
        <v/>
      </c>
    </row>
    <row r="468">
      <c r="A468" s="15" t="inlineStr">
        <is>
          <t>CANON-202606-007389</t>
        </is>
      </c>
      <c r="B468" s="15" t="inlineStr">
        <is>
          <t>2026-06-04</t>
        </is>
      </c>
      <c r="C468" s="15" t="inlineStr">
        <is>
          <t>Marisol Okonkwo</t>
        </is>
      </c>
      <c r="D468" s="15" t="inlineStr">
        <is>
          <t>TX</t>
        </is>
      </c>
      <c r="E468" s="16" t="n">
        <v>805000</v>
      </c>
      <c r="F468" s="16" t="n">
        <v>8683.190000000001</v>
      </c>
      <c r="G468" s="16" t="n">
        <v>1085.4</v>
      </c>
      <c r="H468" s="16" t="n">
        <v>1085.4</v>
      </c>
      <c r="I468" s="16">
        <f>SUM(K468:T468)</f>
        <v/>
      </c>
      <c r="J468" s="16">
        <f>F468-(G468+H468+I468)</f>
        <v/>
      </c>
      <c r="K468" s="16" t="n">
        <v>651.24</v>
      </c>
      <c r="L468" s="16" t="n">
        <v>651.24</v>
      </c>
      <c r="M468" s="16" t="n">
        <v>651.24</v>
      </c>
      <c r="N468" s="16" t="n">
        <v>651.24</v>
      </c>
      <c r="O468" s="16" t="n">
        <v>651.24</v>
      </c>
      <c r="P468" s="16" t="n">
        <v>651.24</v>
      </c>
      <c r="Q468" s="16" t="n">
        <v>651.24</v>
      </c>
      <c r="R468" s="16" t="n">
        <v>651.24</v>
      </c>
      <c r="S468" s="16" t="n">
        <v>651.24</v>
      </c>
      <c r="T468" s="16" t="n">
        <v>651.24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CANON-202606-007392</t>
        </is>
      </c>
      <c r="B469" s="3" t="inlineStr">
        <is>
          <t>2026-06-09</t>
        </is>
      </c>
      <c r="C469" s="3" t="inlineStr">
        <is>
          <t>Ingrid Kingsford</t>
        </is>
      </c>
      <c r="D469" s="3" t="inlineStr">
        <is>
          <t>NC</t>
        </is>
      </c>
      <c r="E469" s="14" t="n">
        <v>1225000</v>
      </c>
      <c r="F469" s="14" t="n">
        <v>16262.82</v>
      </c>
      <c r="G469" s="14" t="n">
        <v>2032.85</v>
      </c>
      <c r="H469" s="14" t="n">
        <v>2032.85</v>
      </c>
      <c r="I469" s="14">
        <f>SUM(K469:T469)</f>
        <v/>
      </c>
      <c r="J469" s="14">
        <f>F469-(G469+H469+I469)</f>
        <v/>
      </c>
      <c r="K469" s="14" t="n">
        <v>1219.71</v>
      </c>
      <c r="L469" s="14" t="n">
        <v>1219.71</v>
      </c>
      <c r="M469" s="14" t="n">
        <v>1219.71</v>
      </c>
      <c r="N469" s="14" t="n">
        <v>1219.71</v>
      </c>
      <c r="O469" s="14" t="n">
        <v>1219.71</v>
      </c>
      <c r="P469" s="14" t="n">
        <v>1219.71</v>
      </c>
      <c r="Q469" s="14" t="n">
        <v>1219.71</v>
      </c>
      <c r="R469" s="14" t="n">
        <v>1219.71</v>
      </c>
      <c r="S469" s="14" t="n">
        <v>1219.71</v>
      </c>
      <c r="T469" s="14" t="n">
        <v>1219.71</v>
      </c>
      <c r="U469" s="14" t="n">
        <v>350</v>
      </c>
      <c r="V469" s="14" t="n">
        <v>250</v>
      </c>
      <c r="W469" s="14">
        <f>U469+V469</f>
        <v/>
      </c>
    </row>
    <row r="470">
      <c r="A470" s="15" t="inlineStr">
        <is>
          <t>CANON-202606-007393</t>
        </is>
      </c>
      <c r="B470" s="15" t="inlineStr">
        <is>
          <t>2026-06-17</t>
        </is>
      </c>
      <c r="C470" s="15" t="inlineStr">
        <is>
          <t>Beatrix Chattopadhyay</t>
        </is>
      </c>
      <c r="D470" s="15" t="inlineStr">
        <is>
          <t>NH</t>
        </is>
      </c>
      <c r="E470" s="16" t="n">
        <v>450000</v>
      </c>
      <c r="F470" s="16" t="n">
        <v>5065</v>
      </c>
      <c r="G470" s="16" t="n">
        <v>633.12</v>
      </c>
      <c r="H470" s="16" t="n">
        <v>633.12</v>
      </c>
      <c r="I470" s="16">
        <f>SUM(K470:T470)</f>
        <v/>
      </c>
      <c r="J470" s="16">
        <f>F470-(G470+H470+I470)</f>
        <v/>
      </c>
      <c r="K470" s="16" t="n">
        <v>379.88</v>
      </c>
      <c r="L470" s="16" t="n">
        <v>379.88</v>
      </c>
      <c r="M470" s="16" t="n">
        <v>379.88</v>
      </c>
      <c r="N470" s="16" t="n">
        <v>379.88</v>
      </c>
      <c r="O470" s="16" t="n">
        <v>379.88</v>
      </c>
      <c r="P470" s="16" t="n">
        <v>379.88</v>
      </c>
      <c r="Q470" s="16" t="n">
        <v>379.88</v>
      </c>
      <c r="R470" s="16" t="n">
        <v>379.88</v>
      </c>
      <c r="S470" s="16" t="n">
        <v>379.88</v>
      </c>
      <c r="T470" s="16" t="n">
        <v>379.88</v>
      </c>
      <c r="U470" s="16" t="n">
        <v>350</v>
      </c>
      <c r="V470" s="16" t="n">
        <v>0</v>
      </c>
      <c r="W470" s="16">
        <f>U470+V470</f>
        <v/>
      </c>
    </row>
    <row r="471">
      <c r="A471" s="3" t="inlineStr">
        <is>
          <t>CANON-202606-007394</t>
        </is>
      </c>
      <c r="B471" s="3" t="inlineStr">
        <is>
          <t>2026-06-26</t>
        </is>
      </c>
      <c r="C471" s="3" t="inlineStr">
        <is>
          <t>Cassius Delacroix</t>
        </is>
      </c>
      <c r="D471" s="3" t="inlineStr">
        <is>
          <t>MS</t>
        </is>
      </c>
      <c r="E471" s="14" t="n">
        <v>1645000</v>
      </c>
      <c r="F471" s="14" t="n">
        <v>10734.17</v>
      </c>
      <c r="G471" s="14" t="n">
        <v>1341.77</v>
      </c>
      <c r="H471" s="14" t="n">
        <v>1341.77</v>
      </c>
      <c r="I471" s="14">
        <f>SUM(K471:T471)</f>
        <v/>
      </c>
      <c r="J471" s="14">
        <f>F471-(G471+H471+I471)</f>
        <v/>
      </c>
      <c r="K471" s="14" t="n">
        <v>805.0599999999999</v>
      </c>
      <c r="L471" s="14" t="n">
        <v>805.0599999999999</v>
      </c>
      <c r="M471" s="14" t="n">
        <v>805.0599999999999</v>
      </c>
      <c r="N471" s="14" t="n">
        <v>805.0599999999999</v>
      </c>
      <c r="O471" s="14" t="n">
        <v>805.0599999999999</v>
      </c>
      <c r="P471" s="14" t="n">
        <v>805.0599999999999</v>
      </c>
      <c r="Q471" s="14" t="n">
        <v>805.0599999999999</v>
      </c>
      <c r="R471" s="14" t="n">
        <v>805.0599999999999</v>
      </c>
      <c r="S471" s="14" t="n">
        <v>805.0599999999999</v>
      </c>
      <c r="T471" s="14" t="n">
        <v>805.0599999999999</v>
      </c>
      <c r="U471" s="14" t="n">
        <v>350</v>
      </c>
      <c r="V471" s="14" t="n">
        <v>250</v>
      </c>
      <c r="W471" s="14">
        <f>U471+V471</f>
        <v/>
      </c>
    </row>
    <row r="472">
      <c r="A472" s="15" t="inlineStr">
        <is>
          <t>CANON-202606-007395</t>
        </is>
      </c>
      <c r="B472" s="15" t="inlineStr">
        <is>
          <t>2026-06-07</t>
        </is>
      </c>
      <c r="C472" s="15" t="inlineStr">
        <is>
          <t>Fenwick Castellanos</t>
        </is>
      </c>
      <c r="D472" s="15" t="inlineStr">
        <is>
          <t>MN</t>
        </is>
      </c>
      <c r="E472" s="16" t="n">
        <v>1675000</v>
      </c>
      <c r="F472" s="16" t="n">
        <v>17547.83</v>
      </c>
      <c r="G472" s="16" t="n">
        <v>2193.48</v>
      </c>
      <c r="H472" s="16" t="n">
        <v>2193.48</v>
      </c>
      <c r="I472" s="16">
        <f>SUM(K472:T472)</f>
        <v/>
      </c>
      <c r="J472" s="16">
        <f>F472-(G472+H472+I472)</f>
        <v/>
      </c>
      <c r="K472" s="16" t="n">
        <v>1316.09</v>
      </c>
      <c r="L472" s="16" t="n">
        <v>1316.09</v>
      </c>
      <c r="M472" s="16" t="n">
        <v>1316.09</v>
      </c>
      <c r="N472" s="16" t="n">
        <v>1316.09</v>
      </c>
      <c r="O472" s="16" t="n">
        <v>1316.09</v>
      </c>
      <c r="P472" s="16" t="n">
        <v>1316.09</v>
      </c>
      <c r="Q472" s="16" t="n">
        <v>1316.09</v>
      </c>
      <c r="R472" s="16" t="n">
        <v>1316.09</v>
      </c>
      <c r="S472" s="16" t="n">
        <v>1316.09</v>
      </c>
      <c r="T472" s="16" t="n">
        <v>1316.09</v>
      </c>
      <c r="U472" s="16" t="n">
        <v>350</v>
      </c>
      <c r="V472" s="16" t="n">
        <v>250</v>
      </c>
      <c r="W472" s="16">
        <f>U472+V472</f>
        <v/>
      </c>
    </row>
    <row r="473">
      <c r="A473" s="3" t="inlineStr">
        <is>
          <t>CANON-202606-007396</t>
        </is>
      </c>
      <c r="B473" s="3" t="inlineStr">
        <is>
          <t>2026-06-04</t>
        </is>
      </c>
      <c r="C473" s="3" t="inlineStr">
        <is>
          <t>Callum Thistlewood</t>
        </is>
      </c>
      <c r="D473" s="3" t="inlineStr">
        <is>
          <t>IA</t>
        </is>
      </c>
      <c r="E473" s="14" t="n">
        <v>1330000</v>
      </c>
      <c r="F473" s="14" t="n">
        <v>11611.25</v>
      </c>
      <c r="G473" s="14" t="n">
        <v>1451.41</v>
      </c>
      <c r="H473" s="14" t="n">
        <v>1451.41</v>
      </c>
      <c r="I473" s="14">
        <f>SUM(K473:T473)</f>
        <v/>
      </c>
      <c r="J473" s="14">
        <f>F473-(G473+H473+I473)</f>
        <v/>
      </c>
      <c r="K473" s="14" t="n">
        <v>870.84</v>
      </c>
      <c r="L473" s="14" t="n">
        <v>870.84</v>
      </c>
      <c r="M473" s="14" t="n">
        <v>870.84</v>
      </c>
      <c r="N473" s="14" t="n">
        <v>870.84</v>
      </c>
      <c r="O473" s="14" t="n">
        <v>870.84</v>
      </c>
      <c r="P473" s="14" t="n">
        <v>870.84</v>
      </c>
      <c r="Q473" s="14" t="n">
        <v>870.84</v>
      </c>
      <c r="R473" s="14" t="n">
        <v>870.84</v>
      </c>
      <c r="S473" s="14" t="n">
        <v>870.84</v>
      </c>
      <c r="T473" s="14" t="n">
        <v>870.84</v>
      </c>
      <c r="U473" s="14" t="n">
        <v>350</v>
      </c>
      <c r="V473" s="14" t="n">
        <v>250</v>
      </c>
      <c r="W473" s="14">
        <f>U473+V473</f>
        <v/>
      </c>
    </row>
    <row r="474">
      <c r="A474" s="15" t="inlineStr">
        <is>
          <t>CANON-202606-007397</t>
        </is>
      </c>
      <c r="B474" s="15" t="inlineStr">
        <is>
          <t>2026-06-22</t>
        </is>
      </c>
      <c r="C474" s="15" t="inlineStr">
        <is>
          <t>Cassius Pennington</t>
        </is>
      </c>
      <c r="D474" s="15" t="inlineStr">
        <is>
          <t>IA</t>
        </is>
      </c>
      <c r="E474" s="16" t="n">
        <v>1435000</v>
      </c>
      <c r="F474" s="16" t="n">
        <v>8655.66</v>
      </c>
      <c r="G474" s="16" t="n">
        <v>1081.96</v>
      </c>
      <c r="H474" s="16" t="n">
        <v>1081.96</v>
      </c>
      <c r="I474" s="16">
        <f>SUM(K474:T474)</f>
        <v/>
      </c>
      <c r="J474" s="16">
        <f>F474-(G474+H474+I474)</f>
        <v/>
      </c>
      <c r="K474" s="16" t="n">
        <v>649.17</v>
      </c>
      <c r="L474" s="16" t="n">
        <v>649.17</v>
      </c>
      <c r="M474" s="16" t="n">
        <v>649.17</v>
      </c>
      <c r="N474" s="16" t="n">
        <v>649.17</v>
      </c>
      <c r="O474" s="16" t="n">
        <v>649.17</v>
      </c>
      <c r="P474" s="16" t="n">
        <v>649.17</v>
      </c>
      <c r="Q474" s="16" t="n">
        <v>649.17</v>
      </c>
      <c r="R474" s="16" t="n">
        <v>649.17</v>
      </c>
      <c r="S474" s="16" t="n">
        <v>649.17</v>
      </c>
      <c r="T474" s="16" t="n">
        <v>649.17</v>
      </c>
      <c r="U474" s="16" t="n">
        <v>350</v>
      </c>
      <c r="V474" s="16" t="n">
        <v>250</v>
      </c>
      <c r="W474" s="16">
        <f>U474+V474</f>
        <v/>
      </c>
    </row>
    <row r="475">
      <c r="A475" s="3" t="inlineStr">
        <is>
          <t>CANON-202606-007398</t>
        </is>
      </c>
      <c r="B475" s="3" t="inlineStr">
        <is>
          <t>2026-06-27</t>
        </is>
      </c>
      <c r="C475" s="3" t="inlineStr">
        <is>
          <t>Fitzgerald Vasquez</t>
        </is>
      </c>
      <c r="D475" s="3" t="inlineStr">
        <is>
          <t>CA</t>
        </is>
      </c>
      <c r="E475" s="14" t="n">
        <v>355000</v>
      </c>
      <c r="F475" s="14" t="n">
        <v>7953.02</v>
      </c>
      <c r="G475" s="14" t="n">
        <v>994.13</v>
      </c>
      <c r="H475" s="14" t="n">
        <v>994.13</v>
      </c>
      <c r="I475" s="14">
        <f>SUM(K475:T475)</f>
        <v/>
      </c>
      <c r="J475" s="14">
        <f>F475-(G475+H475+I475)</f>
        <v/>
      </c>
      <c r="K475" s="14" t="n">
        <v>596.48</v>
      </c>
      <c r="L475" s="14" t="n">
        <v>596.48</v>
      </c>
      <c r="M475" s="14" t="n">
        <v>596.48</v>
      </c>
      <c r="N475" s="14" t="n">
        <v>596.48</v>
      </c>
      <c r="O475" s="14" t="n">
        <v>596.48</v>
      </c>
      <c r="P475" s="14" t="n">
        <v>596.48</v>
      </c>
      <c r="Q475" s="14" t="n">
        <v>596.48</v>
      </c>
      <c r="R475" s="14" t="n">
        <v>596.48</v>
      </c>
      <c r="S475" s="14" t="n">
        <v>596.48</v>
      </c>
      <c r="T475" s="14" t="n">
        <v>596.48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CANON-202606-007399</t>
        </is>
      </c>
      <c r="B476" s="15" t="inlineStr">
        <is>
          <t>2026-06-05</t>
        </is>
      </c>
      <c r="C476" s="15" t="inlineStr">
        <is>
          <t>Emiliano Blackwood</t>
        </is>
      </c>
      <c r="D476" s="15" t="inlineStr">
        <is>
          <t>ME</t>
        </is>
      </c>
      <c r="E476" s="16" t="n">
        <v>980000</v>
      </c>
      <c r="F476" s="16" t="n">
        <v>9927.389999999999</v>
      </c>
      <c r="G476" s="16" t="n">
        <v>1240.92</v>
      </c>
      <c r="H476" s="16" t="n">
        <v>1240.92</v>
      </c>
      <c r="I476" s="16">
        <f>SUM(K476:T476)</f>
        <v/>
      </c>
      <c r="J476" s="16">
        <f>F476-(G476+H476+I476)</f>
        <v/>
      </c>
      <c r="K476" s="16" t="n">
        <v>744.55</v>
      </c>
      <c r="L476" s="16" t="n">
        <v>744.55</v>
      </c>
      <c r="M476" s="16" t="n">
        <v>744.55</v>
      </c>
      <c r="N476" s="16" t="n">
        <v>744.55</v>
      </c>
      <c r="O476" s="16" t="n">
        <v>744.55</v>
      </c>
      <c r="P476" s="16" t="n">
        <v>744.55</v>
      </c>
      <c r="Q476" s="16" t="n">
        <v>744.55</v>
      </c>
      <c r="R476" s="16" t="n">
        <v>744.55</v>
      </c>
      <c r="S476" s="16" t="n">
        <v>744.55</v>
      </c>
      <c r="T476" s="16" t="n">
        <v>744.55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CANON-202606-007400</t>
        </is>
      </c>
      <c r="B477" s="3" t="inlineStr">
        <is>
          <t>2026-06-28</t>
        </is>
      </c>
      <c r="C477" s="3" t="inlineStr">
        <is>
          <t>Ingrid Farkas</t>
        </is>
      </c>
      <c r="D477" s="3" t="inlineStr">
        <is>
          <t>CA</t>
        </is>
      </c>
      <c r="E477" s="14" t="n">
        <v>1110000</v>
      </c>
      <c r="F477" s="14" t="n">
        <v>7352.04</v>
      </c>
      <c r="G477" s="14" t="n">
        <v>919</v>
      </c>
      <c r="H477" s="14" t="n">
        <v>919</v>
      </c>
      <c r="I477" s="14">
        <f>SUM(K477:T477)</f>
        <v/>
      </c>
      <c r="J477" s="14">
        <f>F477-(G477+H477+I477)</f>
        <v/>
      </c>
      <c r="K477" s="14" t="n">
        <v>551.4</v>
      </c>
      <c r="L477" s="14" t="n">
        <v>551.4</v>
      </c>
      <c r="M477" s="14" t="n">
        <v>551.4</v>
      </c>
      <c r="N477" s="14" t="n">
        <v>551.4</v>
      </c>
      <c r="O477" s="14" t="n">
        <v>551.4</v>
      </c>
      <c r="P477" s="14" t="n">
        <v>551.4</v>
      </c>
      <c r="Q477" s="14" t="n">
        <v>551.4</v>
      </c>
      <c r="R477" s="14" t="n">
        <v>551.4</v>
      </c>
      <c r="S477" s="14" t="n">
        <v>551.4</v>
      </c>
      <c r="T477" s="14" t="n">
        <v>551.4</v>
      </c>
      <c r="U477" s="14" t="n">
        <v>350</v>
      </c>
      <c r="V477" s="14" t="n">
        <v>250</v>
      </c>
      <c r="W477" s="14">
        <f>U477+V477</f>
        <v/>
      </c>
    </row>
    <row r="478">
      <c r="A478" s="15" t="inlineStr">
        <is>
          <t>CANON-202606-007401</t>
        </is>
      </c>
      <c r="B478" s="15" t="inlineStr">
        <is>
          <t>2026-06-30</t>
        </is>
      </c>
      <c r="C478" s="15" t="inlineStr">
        <is>
          <t>Cassius Okonkwo</t>
        </is>
      </c>
      <c r="D478" s="15" t="inlineStr">
        <is>
          <t>HI</t>
        </is>
      </c>
      <c r="E478" s="16" t="n">
        <v>210000</v>
      </c>
      <c r="F478" s="16" t="n">
        <v>3624.29</v>
      </c>
      <c r="G478" s="16" t="n">
        <v>453.04</v>
      </c>
      <c r="H478" s="16" t="n">
        <v>453.04</v>
      </c>
      <c r="I478" s="16">
        <f>SUM(K478:T478)</f>
        <v/>
      </c>
      <c r="J478" s="16">
        <f>F478-(G478+H478+I478)</f>
        <v/>
      </c>
      <c r="K478" s="16" t="n">
        <v>271.82</v>
      </c>
      <c r="L478" s="16" t="n">
        <v>271.82</v>
      </c>
      <c r="M478" s="16" t="n">
        <v>271.82</v>
      </c>
      <c r="N478" s="16" t="n">
        <v>271.82</v>
      </c>
      <c r="O478" s="16" t="n">
        <v>271.82</v>
      </c>
      <c r="P478" s="16" t="n">
        <v>271.82</v>
      </c>
      <c r="Q478" s="16" t="n">
        <v>271.82</v>
      </c>
      <c r="R478" s="16" t="n">
        <v>271.82</v>
      </c>
      <c r="S478" s="16" t="n">
        <v>271.82</v>
      </c>
      <c r="T478" s="16" t="n">
        <v>271.82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CANON-202606-007404</t>
        </is>
      </c>
      <c r="B479" s="3" t="inlineStr">
        <is>
          <t>2026-06-16</t>
        </is>
      </c>
      <c r="C479" s="3" t="inlineStr">
        <is>
          <t>Aurelio Kingsford</t>
        </is>
      </c>
      <c r="D479" s="3" t="inlineStr">
        <is>
          <t>AR</t>
        </is>
      </c>
      <c r="E479" s="14" t="n">
        <v>570000</v>
      </c>
      <c r="F479" s="14" t="n">
        <v>7378.01</v>
      </c>
      <c r="G479" s="14" t="n">
        <v>922.25</v>
      </c>
      <c r="H479" s="14" t="n">
        <v>922.25</v>
      </c>
      <c r="I479" s="14">
        <f>SUM(K479:T479)</f>
        <v/>
      </c>
      <c r="J479" s="14">
        <f>F479-(G479+H479+I479)</f>
        <v/>
      </c>
      <c r="K479" s="14" t="n">
        <v>553.35</v>
      </c>
      <c r="L479" s="14" t="n">
        <v>553.35</v>
      </c>
      <c r="M479" s="14" t="n">
        <v>553.35</v>
      </c>
      <c r="N479" s="14" t="n">
        <v>553.35</v>
      </c>
      <c r="O479" s="14" t="n">
        <v>553.35</v>
      </c>
      <c r="P479" s="14" t="n">
        <v>553.35</v>
      </c>
      <c r="Q479" s="14" t="n">
        <v>553.35</v>
      </c>
      <c r="R479" s="14" t="n">
        <v>553.35</v>
      </c>
      <c r="S479" s="14" t="n">
        <v>553.35</v>
      </c>
      <c r="T479" s="14" t="n">
        <v>553.35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CANON-202606-007405</t>
        </is>
      </c>
      <c r="B480" s="15" t="inlineStr">
        <is>
          <t>2026-06-10</t>
        </is>
      </c>
      <c r="C480" s="15" t="inlineStr">
        <is>
          <t>Cassius Montoya</t>
        </is>
      </c>
      <c r="D480" s="15" t="inlineStr">
        <is>
          <t>IL</t>
        </is>
      </c>
      <c r="E480" s="16" t="n">
        <v>840000</v>
      </c>
      <c r="F480" s="16" t="n">
        <v>10715.28</v>
      </c>
      <c r="G480" s="16" t="n">
        <v>1339.41</v>
      </c>
      <c r="H480" s="16" t="n">
        <v>1339.41</v>
      </c>
      <c r="I480" s="16">
        <f>SUM(K480:T480)</f>
        <v/>
      </c>
      <c r="J480" s="16">
        <f>F480-(G480+H480+I480)</f>
        <v/>
      </c>
      <c r="K480" s="16" t="n">
        <v>803.65</v>
      </c>
      <c r="L480" s="16" t="n">
        <v>803.65</v>
      </c>
      <c r="M480" s="16" t="n">
        <v>803.65</v>
      </c>
      <c r="N480" s="16" t="n">
        <v>803.65</v>
      </c>
      <c r="O480" s="16" t="n">
        <v>803.65</v>
      </c>
      <c r="P480" s="16" t="n">
        <v>803.65</v>
      </c>
      <c r="Q480" s="16" t="n">
        <v>803.65</v>
      </c>
      <c r="R480" s="16" t="n">
        <v>803.65</v>
      </c>
      <c r="S480" s="16" t="n">
        <v>803.65</v>
      </c>
      <c r="T480" s="16" t="n">
        <v>803.65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CANON-202606-007408</t>
        </is>
      </c>
      <c r="B481" s="3" t="inlineStr">
        <is>
          <t>2026-06-19</t>
        </is>
      </c>
      <c r="C481" s="3" t="inlineStr">
        <is>
          <t>Ingrid Blackwood</t>
        </is>
      </c>
      <c r="D481" s="3" t="inlineStr">
        <is>
          <t>CA</t>
        </is>
      </c>
      <c r="E481" s="14" t="n">
        <v>660000</v>
      </c>
      <c r="F481" s="14" t="n">
        <v>12214.43</v>
      </c>
      <c r="G481" s="14" t="n">
        <v>1526.8</v>
      </c>
      <c r="H481" s="14" t="n">
        <v>1526.8</v>
      </c>
      <c r="I481" s="14">
        <f>SUM(K481:T481)</f>
        <v/>
      </c>
      <c r="J481" s="14">
        <f>F481-(G481+H481+I481)</f>
        <v/>
      </c>
      <c r="K481" s="14" t="n">
        <v>916.08</v>
      </c>
      <c r="L481" s="14" t="n">
        <v>916.08</v>
      </c>
      <c r="M481" s="14" t="n">
        <v>916.08</v>
      </c>
      <c r="N481" s="14" t="n">
        <v>916.08</v>
      </c>
      <c r="O481" s="14" t="n">
        <v>916.08</v>
      </c>
      <c r="P481" s="14" t="n">
        <v>916.08</v>
      </c>
      <c r="Q481" s="14" t="n">
        <v>916.08</v>
      </c>
      <c r="R481" s="14" t="n">
        <v>916.08</v>
      </c>
      <c r="S481" s="14" t="n">
        <v>916.08</v>
      </c>
      <c r="T481" s="14" t="n">
        <v>916.08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CANON-202606-007409</t>
        </is>
      </c>
      <c r="B482" s="15" t="inlineStr">
        <is>
          <t>2026-06-15</t>
        </is>
      </c>
      <c r="C482" s="15" t="inlineStr">
        <is>
          <t>Horace Rourke</t>
        </is>
      </c>
      <c r="D482" s="15" t="inlineStr">
        <is>
          <t>ID</t>
        </is>
      </c>
      <c r="E482" s="16" t="n">
        <v>605000</v>
      </c>
      <c r="F482" s="16" t="n">
        <v>5617.92</v>
      </c>
      <c r="G482" s="16" t="n">
        <v>702.24</v>
      </c>
      <c r="H482" s="16" t="n">
        <v>702.24</v>
      </c>
      <c r="I482" s="16">
        <f>SUM(K482:T482)</f>
        <v/>
      </c>
      <c r="J482" s="16">
        <f>F482-(G482+H482+I482)</f>
        <v/>
      </c>
      <c r="K482" s="16" t="n">
        <v>421.34</v>
      </c>
      <c r="L482" s="16" t="n">
        <v>421.34</v>
      </c>
      <c r="M482" s="16" t="n">
        <v>421.34</v>
      </c>
      <c r="N482" s="16" t="n">
        <v>421.34</v>
      </c>
      <c r="O482" s="16" t="n">
        <v>421.34</v>
      </c>
      <c r="P482" s="16" t="n">
        <v>421.34</v>
      </c>
      <c r="Q482" s="16" t="n">
        <v>421.34</v>
      </c>
      <c r="R482" s="16" t="n">
        <v>421.34</v>
      </c>
      <c r="S482" s="16" t="n">
        <v>421.34</v>
      </c>
      <c r="T482" s="16" t="n">
        <v>421.34</v>
      </c>
      <c r="U482" s="16" t="n">
        <v>350</v>
      </c>
      <c r="V482" s="16" t="n">
        <v>0</v>
      </c>
      <c r="W482" s="16">
        <f>U482+V482</f>
        <v/>
      </c>
    </row>
    <row r="483">
      <c r="A483" s="3" t="inlineStr">
        <is>
          <t>CANON-202606-007410</t>
        </is>
      </c>
      <c r="B483" s="3" t="inlineStr">
        <is>
          <t>2026-06-05</t>
        </is>
      </c>
      <c r="C483" s="3" t="inlineStr">
        <is>
          <t>Anouk Ashcombe</t>
        </is>
      </c>
      <c r="D483" s="3" t="inlineStr">
        <is>
          <t>AR</t>
        </is>
      </c>
      <c r="E483" s="14" t="n">
        <v>505000</v>
      </c>
      <c r="F483" s="14" t="n">
        <v>6536.66</v>
      </c>
      <c r="G483" s="14" t="n">
        <v>817.08</v>
      </c>
      <c r="H483" s="14" t="n">
        <v>817.08</v>
      </c>
      <c r="I483" s="14">
        <f>SUM(K483:T483)</f>
        <v/>
      </c>
      <c r="J483" s="14">
        <f>F483-(G483+H483+I483)</f>
        <v/>
      </c>
      <c r="K483" s="14" t="n">
        <v>490.25</v>
      </c>
      <c r="L483" s="14" t="n">
        <v>490.25</v>
      </c>
      <c r="M483" s="14" t="n">
        <v>490.25</v>
      </c>
      <c r="N483" s="14" t="n">
        <v>490.25</v>
      </c>
      <c r="O483" s="14" t="n">
        <v>490.25</v>
      </c>
      <c r="P483" s="14" t="n">
        <v>490.25</v>
      </c>
      <c r="Q483" s="14" t="n">
        <v>490.25</v>
      </c>
      <c r="R483" s="14" t="n">
        <v>490.25</v>
      </c>
      <c r="S483" s="14" t="n">
        <v>490.25</v>
      </c>
      <c r="T483" s="14" t="n">
        <v>490.25</v>
      </c>
      <c r="U483" s="14" t="n">
        <v>350</v>
      </c>
      <c r="V483" s="14" t="n">
        <v>0</v>
      </c>
      <c r="W483" s="14">
        <f>U483+V483</f>
        <v/>
      </c>
    </row>
    <row r="484">
      <c r="A484" s="15" t="inlineStr">
        <is>
          <t>CANON-202606-007411</t>
        </is>
      </c>
      <c r="B484" s="15" t="inlineStr">
        <is>
          <t>2026-06-26</t>
        </is>
      </c>
      <c r="C484" s="15" t="inlineStr">
        <is>
          <t>Ottilie Harrington</t>
        </is>
      </c>
      <c r="D484" s="15" t="inlineStr">
        <is>
          <t>MA</t>
        </is>
      </c>
      <c r="E484" s="16" t="n">
        <v>405000</v>
      </c>
      <c r="F484" s="16" t="n">
        <v>5478.97</v>
      </c>
      <c r="G484" s="16" t="n">
        <v>684.87</v>
      </c>
      <c r="H484" s="16" t="n">
        <v>684.87</v>
      </c>
      <c r="I484" s="16">
        <f>SUM(K484:T484)</f>
        <v/>
      </c>
      <c r="J484" s="16">
        <f>F484-(G484+H484+I484)</f>
        <v/>
      </c>
      <c r="K484" s="16" t="n">
        <v>410.92</v>
      </c>
      <c r="L484" s="16" t="n">
        <v>410.92</v>
      </c>
      <c r="M484" s="16" t="n">
        <v>410.92</v>
      </c>
      <c r="N484" s="16" t="n">
        <v>410.92</v>
      </c>
      <c r="O484" s="16" t="n">
        <v>410.92</v>
      </c>
      <c r="P484" s="16" t="n">
        <v>410.92</v>
      </c>
      <c r="Q484" s="16" t="n">
        <v>410.92</v>
      </c>
      <c r="R484" s="16" t="n">
        <v>410.92</v>
      </c>
      <c r="S484" s="16" t="n">
        <v>410.92</v>
      </c>
      <c r="T484" s="16" t="n">
        <v>410.92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CANON-202606-007412</t>
        </is>
      </c>
      <c r="B485" s="3" t="inlineStr">
        <is>
          <t>2026-06-09</t>
        </is>
      </c>
      <c r="C485" s="3" t="inlineStr">
        <is>
          <t>Everett Delacroix</t>
        </is>
      </c>
      <c r="D485" s="3" t="inlineStr">
        <is>
          <t>SC</t>
        </is>
      </c>
      <c r="E485" s="14" t="n">
        <v>230000</v>
      </c>
      <c r="F485" s="14" t="n">
        <v>2345.83</v>
      </c>
      <c r="G485" s="14" t="n">
        <v>293.23</v>
      </c>
      <c r="H485" s="14" t="n">
        <v>293.23</v>
      </c>
      <c r="I485" s="14">
        <f>SUM(K485:T485)</f>
        <v/>
      </c>
      <c r="J485" s="14">
        <f>F485-(G485+H485+I485)</f>
        <v/>
      </c>
      <c r="K485" s="14" t="n">
        <v>175.94</v>
      </c>
      <c r="L485" s="14" t="n">
        <v>175.94</v>
      </c>
      <c r="M485" s="14" t="n">
        <v>175.94</v>
      </c>
      <c r="N485" s="14" t="n">
        <v>175.94</v>
      </c>
      <c r="O485" s="14" t="n">
        <v>175.94</v>
      </c>
      <c r="P485" s="14" t="n">
        <v>175.94</v>
      </c>
      <c r="Q485" s="14" t="n">
        <v>175.94</v>
      </c>
      <c r="R485" s="14" t="n">
        <v>175.94</v>
      </c>
      <c r="S485" s="14" t="n">
        <v>175.94</v>
      </c>
      <c r="T485" s="14" t="n">
        <v>175.94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CANON-202606-007414</t>
        </is>
      </c>
      <c r="B486" s="15" t="inlineStr">
        <is>
          <t>2026-06-08</t>
        </is>
      </c>
      <c r="C486" s="15" t="inlineStr">
        <is>
          <t>Beatrix Blackwood</t>
        </is>
      </c>
      <c r="D486" s="15" t="inlineStr">
        <is>
          <t>VA</t>
        </is>
      </c>
      <c r="E486" s="16" t="n">
        <v>520000</v>
      </c>
      <c r="F486" s="16" t="n">
        <v>5316.37</v>
      </c>
      <c r="G486" s="16" t="n">
        <v>664.55</v>
      </c>
      <c r="H486" s="16" t="n">
        <v>664.55</v>
      </c>
      <c r="I486" s="16">
        <f>SUM(K486:T486)</f>
        <v/>
      </c>
      <c r="J486" s="16">
        <f>F486-(G486+H486+I486)</f>
        <v/>
      </c>
      <c r="K486" s="16" t="n">
        <v>398.73</v>
      </c>
      <c r="L486" s="16" t="n">
        <v>398.73</v>
      </c>
      <c r="M486" s="16" t="n">
        <v>398.73</v>
      </c>
      <c r="N486" s="16" t="n">
        <v>398.73</v>
      </c>
      <c r="O486" s="16" t="n">
        <v>398.73</v>
      </c>
      <c r="P486" s="16" t="n">
        <v>398.73</v>
      </c>
      <c r="Q486" s="16" t="n">
        <v>398.73</v>
      </c>
      <c r="R486" s="16" t="n">
        <v>398.73</v>
      </c>
      <c r="S486" s="16" t="n">
        <v>398.73</v>
      </c>
      <c r="T486" s="16" t="n">
        <v>398.73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CANON-202606-007415</t>
        </is>
      </c>
      <c r="B487" s="3" t="inlineStr">
        <is>
          <t>2026-06-30</t>
        </is>
      </c>
      <c r="C487" s="3" t="inlineStr">
        <is>
          <t>Callum Merriweather</t>
        </is>
      </c>
      <c r="D487" s="3" t="inlineStr">
        <is>
          <t>SD</t>
        </is>
      </c>
      <c r="E487" s="14" t="n">
        <v>900000</v>
      </c>
      <c r="F487" s="14" t="n">
        <v>9370.25</v>
      </c>
      <c r="G487" s="14" t="n">
        <v>1171.28</v>
      </c>
      <c r="H487" s="14" t="n">
        <v>1171.28</v>
      </c>
      <c r="I487" s="14">
        <f>SUM(K487:T487)</f>
        <v/>
      </c>
      <c r="J487" s="14">
        <f>F487-(G487+H487+I487)</f>
        <v/>
      </c>
      <c r="K487" s="14" t="n">
        <v>702.77</v>
      </c>
      <c r="L487" s="14" t="n">
        <v>702.77</v>
      </c>
      <c r="M487" s="14" t="n">
        <v>702.77</v>
      </c>
      <c r="N487" s="14" t="n">
        <v>702.77</v>
      </c>
      <c r="O487" s="14" t="n">
        <v>702.77</v>
      </c>
      <c r="P487" s="14" t="n">
        <v>702.77</v>
      </c>
      <c r="Q487" s="14" t="n">
        <v>702.77</v>
      </c>
      <c r="R487" s="14" t="n">
        <v>702.77</v>
      </c>
      <c r="S487" s="14" t="n">
        <v>702.77</v>
      </c>
      <c r="T487" s="14" t="n">
        <v>702.77</v>
      </c>
      <c r="U487" s="14" t="n">
        <v>350</v>
      </c>
      <c r="V487" s="14" t="n">
        <v>0</v>
      </c>
      <c r="W487" s="14">
        <f>U487+V487</f>
        <v/>
      </c>
    </row>
    <row r="488">
      <c r="A488" s="15" t="inlineStr">
        <is>
          <t>CANON-202606-007417</t>
        </is>
      </c>
      <c r="B488" s="15" t="inlineStr">
        <is>
          <t>2026-06-27</t>
        </is>
      </c>
      <c r="C488" s="15" t="inlineStr">
        <is>
          <t>Leopold Fairweather</t>
        </is>
      </c>
      <c r="D488" s="15" t="inlineStr">
        <is>
          <t>AR</t>
        </is>
      </c>
      <c r="E488" s="16" t="n">
        <v>410000</v>
      </c>
      <c r="F488" s="16" t="n">
        <v>6123.45</v>
      </c>
      <c r="G488" s="16" t="n">
        <v>765.4299999999999</v>
      </c>
      <c r="H488" s="16" t="n">
        <v>765.4299999999999</v>
      </c>
      <c r="I488" s="16">
        <f>SUM(K488:T488)</f>
        <v/>
      </c>
      <c r="J488" s="16">
        <f>F488-(G488+H488+I488)</f>
        <v/>
      </c>
      <c r="K488" s="16" t="n">
        <v>459.26</v>
      </c>
      <c r="L488" s="16" t="n">
        <v>459.26</v>
      </c>
      <c r="M488" s="16" t="n">
        <v>459.26</v>
      </c>
      <c r="N488" s="16" t="n">
        <v>459.26</v>
      </c>
      <c r="O488" s="16" t="n">
        <v>459.26</v>
      </c>
      <c r="P488" s="16" t="n">
        <v>459.26</v>
      </c>
      <c r="Q488" s="16" t="n">
        <v>459.26</v>
      </c>
      <c r="R488" s="16" t="n">
        <v>459.26</v>
      </c>
      <c r="S488" s="16" t="n">
        <v>459.26</v>
      </c>
      <c r="T488" s="16" t="n">
        <v>459.26</v>
      </c>
      <c r="U488" s="16" t="n">
        <v>350</v>
      </c>
      <c r="V488" s="16" t="n">
        <v>0</v>
      </c>
      <c r="W488" s="16">
        <f>U488+V488</f>
        <v/>
      </c>
    </row>
    <row r="489">
      <c r="A489" s="3" t="inlineStr">
        <is>
          <t>CANON-202606-007418</t>
        </is>
      </c>
      <c r="B489" s="3" t="inlineStr">
        <is>
          <t>2026-06-29</t>
        </is>
      </c>
      <c r="C489" s="3" t="inlineStr">
        <is>
          <t>Everett Rourke</t>
        </is>
      </c>
      <c r="D489" s="3" t="inlineStr">
        <is>
          <t>KY</t>
        </is>
      </c>
      <c r="E489" s="14" t="n">
        <v>325000</v>
      </c>
      <c r="F489" s="14" t="n">
        <v>4713.26</v>
      </c>
      <c r="G489" s="14" t="n">
        <v>589.16</v>
      </c>
      <c r="H489" s="14" t="n">
        <v>589.16</v>
      </c>
      <c r="I489" s="14">
        <f>SUM(K489:T489)</f>
        <v/>
      </c>
      <c r="J489" s="14">
        <f>F489-(G489+H489+I489)</f>
        <v/>
      </c>
      <c r="K489" s="14" t="n">
        <v>353.49</v>
      </c>
      <c r="L489" s="14" t="n">
        <v>353.49</v>
      </c>
      <c r="M489" s="14" t="n">
        <v>353.49</v>
      </c>
      <c r="N489" s="14" t="n">
        <v>353.49</v>
      </c>
      <c r="O489" s="14" t="n">
        <v>353.49</v>
      </c>
      <c r="P489" s="14" t="n">
        <v>353.49</v>
      </c>
      <c r="Q489" s="14" t="n">
        <v>353.49</v>
      </c>
      <c r="R489" s="14" t="n">
        <v>353.49</v>
      </c>
      <c r="S489" s="14" t="n">
        <v>353.49</v>
      </c>
      <c r="T489" s="14" t="n">
        <v>353.49</v>
      </c>
      <c r="U489" s="14" t="n">
        <v>350</v>
      </c>
      <c r="V489" s="14" t="n">
        <v>0</v>
      </c>
      <c r="W489" s="14">
        <f>U489+V489</f>
        <v/>
      </c>
    </row>
    <row r="490">
      <c r="A490" s="15" t="inlineStr">
        <is>
          <t>CANON-202606-007419</t>
        </is>
      </c>
      <c r="B490" s="15" t="inlineStr">
        <is>
          <t>2026-06-19</t>
        </is>
      </c>
      <c r="C490" s="15" t="inlineStr">
        <is>
          <t>Ottilie Vasquez</t>
        </is>
      </c>
      <c r="D490" s="15" t="inlineStr">
        <is>
          <t>IN</t>
        </is>
      </c>
      <c r="E490" s="16" t="n">
        <v>465000</v>
      </c>
      <c r="F490" s="16" t="n">
        <v>6190.01</v>
      </c>
      <c r="G490" s="16" t="n">
        <v>773.75</v>
      </c>
      <c r="H490" s="16" t="n">
        <v>773.75</v>
      </c>
      <c r="I490" s="16">
        <f>SUM(K490:T490)</f>
        <v/>
      </c>
      <c r="J490" s="16">
        <f>F490-(G490+H490+I490)</f>
        <v/>
      </c>
      <c r="K490" s="16" t="n">
        <v>464.25</v>
      </c>
      <c r="L490" s="16" t="n">
        <v>464.25</v>
      </c>
      <c r="M490" s="16" t="n">
        <v>464.25</v>
      </c>
      <c r="N490" s="16" t="n">
        <v>464.25</v>
      </c>
      <c r="O490" s="16" t="n">
        <v>464.25</v>
      </c>
      <c r="P490" s="16" t="n">
        <v>464.25</v>
      </c>
      <c r="Q490" s="16" t="n">
        <v>464.25</v>
      </c>
      <c r="R490" s="16" t="n">
        <v>464.25</v>
      </c>
      <c r="S490" s="16" t="n">
        <v>464.25</v>
      </c>
      <c r="T490" s="16" t="n">
        <v>464.25</v>
      </c>
      <c r="U490" s="16" t="n">
        <v>350</v>
      </c>
      <c r="V490" s="16" t="n">
        <v>0</v>
      </c>
      <c r="W490" s="16">
        <f>U490+V490</f>
        <v/>
      </c>
    </row>
    <row r="491">
      <c r="A491" s="3" t="inlineStr">
        <is>
          <t>CANON-202606-007420</t>
        </is>
      </c>
      <c r="B491" s="3" t="inlineStr">
        <is>
          <t>2026-06-22</t>
        </is>
      </c>
      <c r="C491" s="3" t="inlineStr">
        <is>
          <t>Beatrix Kingsford</t>
        </is>
      </c>
      <c r="D491" s="3" t="inlineStr">
        <is>
          <t>MN</t>
        </is>
      </c>
      <c r="E491" s="14" t="n">
        <v>845000</v>
      </c>
      <c r="F491" s="14" t="n">
        <v>15290.66</v>
      </c>
      <c r="G491" s="14" t="n">
        <v>1911.33</v>
      </c>
      <c r="H491" s="14" t="n">
        <v>1911.33</v>
      </c>
      <c r="I491" s="14">
        <f>SUM(K491:T491)</f>
        <v/>
      </c>
      <c r="J491" s="14">
        <f>F491-(G491+H491+I491)</f>
        <v/>
      </c>
      <c r="K491" s="14" t="n">
        <v>1146.8</v>
      </c>
      <c r="L491" s="14" t="n">
        <v>1146.8</v>
      </c>
      <c r="M491" s="14" t="n">
        <v>1146.8</v>
      </c>
      <c r="N491" s="14" t="n">
        <v>1146.8</v>
      </c>
      <c r="O491" s="14" t="n">
        <v>1146.8</v>
      </c>
      <c r="P491" s="14" t="n">
        <v>1146.8</v>
      </c>
      <c r="Q491" s="14" t="n">
        <v>1146.8</v>
      </c>
      <c r="R491" s="14" t="n">
        <v>1146.8</v>
      </c>
      <c r="S491" s="14" t="n">
        <v>1146.8</v>
      </c>
      <c r="T491" s="14" t="n">
        <v>1146.8</v>
      </c>
      <c r="U491" s="14" t="n">
        <v>350</v>
      </c>
      <c r="V491" s="14" t="n">
        <v>0</v>
      </c>
      <c r="W491" s="14">
        <f>U491+V491</f>
        <v/>
      </c>
    </row>
    <row r="492">
      <c r="A492" s="15" t="inlineStr">
        <is>
          <t>CANON-202606-007422</t>
        </is>
      </c>
      <c r="B492" s="15" t="inlineStr">
        <is>
          <t>2026-06-27</t>
        </is>
      </c>
      <c r="C492" s="15" t="inlineStr">
        <is>
          <t>Ingrid Okonkwo</t>
        </is>
      </c>
      <c r="D492" s="15" t="inlineStr">
        <is>
          <t>CA</t>
        </is>
      </c>
      <c r="E492" s="16" t="n">
        <v>860000</v>
      </c>
      <c r="F492" s="16" t="n">
        <v>7203.98</v>
      </c>
      <c r="G492" s="16" t="n">
        <v>900.5</v>
      </c>
      <c r="H492" s="16" t="n">
        <v>900.5</v>
      </c>
      <c r="I492" s="16">
        <f>SUM(K492:T492)</f>
        <v/>
      </c>
      <c r="J492" s="16">
        <f>F492-(G492+H492+I492)</f>
        <v/>
      </c>
      <c r="K492" s="16" t="n">
        <v>540.3</v>
      </c>
      <c r="L492" s="16" t="n">
        <v>540.3</v>
      </c>
      <c r="M492" s="16" t="n">
        <v>540.3</v>
      </c>
      <c r="N492" s="16" t="n">
        <v>540.3</v>
      </c>
      <c r="O492" s="16" t="n">
        <v>540.3</v>
      </c>
      <c r="P492" s="16" t="n">
        <v>540.3</v>
      </c>
      <c r="Q492" s="16" t="n">
        <v>540.3</v>
      </c>
      <c r="R492" s="16" t="n">
        <v>540.3</v>
      </c>
      <c r="S492" s="16" t="n">
        <v>540.3</v>
      </c>
      <c r="T492" s="16" t="n">
        <v>540.3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CANON-202606-007423</t>
        </is>
      </c>
      <c r="B493" s="3" t="inlineStr">
        <is>
          <t>2026-06-18</t>
        </is>
      </c>
      <c r="C493" s="3" t="inlineStr">
        <is>
          <t>Ingrid Larsson</t>
        </is>
      </c>
      <c r="D493" s="3" t="inlineStr">
        <is>
          <t>DE</t>
        </is>
      </c>
      <c r="E493" s="14" t="n">
        <v>600000</v>
      </c>
      <c r="F493" s="14" t="n">
        <v>7034.71</v>
      </c>
      <c r="G493" s="14" t="n">
        <v>879.34</v>
      </c>
      <c r="H493" s="14" t="n">
        <v>879.34</v>
      </c>
      <c r="I493" s="14">
        <f>SUM(K493:T493)</f>
        <v/>
      </c>
      <c r="J493" s="14">
        <f>F493-(G493+H493+I493)</f>
        <v/>
      </c>
      <c r="K493" s="14" t="n">
        <v>527.6</v>
      </c>
      <c r="L493" s="14" t="n">
        <v>527.6</v>
      </c>
      <c r="M493" s="14" t="n">
        <v>527.6</v>
      </c>
      <c r="N493" s="14" t="n">
        <v>527.6</v>
      </c>
      <c r="O493" s="14" t="n">
        <v>527.6</v>
      </c>
      <c r="P493" s="14" t="n">
        <v>527.6</v>
      </c>
      <c r="Q493" s="14" t="n">
        <v>527.6</v>
      </c>
      <c r="R493" s="14" t="n">
        <v>527.6</v>
      </c>
      <c r="S493" s="14" t="n">
        <v>527.6</v>
      </c>
      <c r="T493" s="14" t="n">
        <v>527.6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CANON-202606-007424</t>
        </is>
      </c>
      <c r="B494" s="15" t="inlineStr">
        <is>
          <t>2026-06-02</t>
        </is>
      </c>
      <c r="C494" s="15" t="inlineStr">
        <is>
          <t>Wilhelmina Thistlewood</t>
        </is>
      </c>
      <c r="D494" s="15" t="inlineStr">
        <is>
          <t>TX</t>
        </is>
      </c>
      <c r="E494" s="16" t="n">
        <v>335000</v>
      </c>
      <c r="F494" s="16" t="n">
        <v>4169.42</v>
      </c>
      <c r="G494" s="16" t="n">
        <v>521.1799999999999</v>
      </c>
      <c r="H494" s="16" t="n">
        <v>521.1799999999999</v>
      </c>
      <c r="I494" s="16">
        <f>SUM(K494:T494)</f>
        <v/>
      </c>
      <c r="J494" s="16">
        <f>F494-(G494+H494+I494)</f>
        <v/>
      </c>
      <c r="K494" s="16" t="n">
        <v>312.71</v>
      </c>
      <c r="L494" s="16" t="n">
        <v>312.71</v>
      </c>
      <c r="M494" s="16" t="n">
        <v>312.71</v>
      </c>
      <c r="N494" s="16" t="n">
        <v>312.71</v>
      </c>
      <c r="O494" s="16" t="n">
        <v>312.71</v>
      </c>
      <c r="P494" s="16" t="n">
        <v>312.71</v>
      </c>
      <c r="Q494" s="16" t="n">
        <v>312.71</v>
      </c>
      <c r="R494" s="16" t="n">
        <v>312.71</v>
      </c>
      <c r="S494" s="16" t="n">
        <v>312.71</v>
      </c>
      <c r="T494" s="16" t="n">
        <v>312.71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CANON-202606-007425</t>
        </is>
      </c>
      <c r="B495" s="3" t="inlineStr">
        <is>
          <t>2026-06-11</t>
        </is>
      </c>
      <c r="C495" s="3" t="inlineStr">
        <is>
          <t>Fitzgerald Whitlock</t>
        </is>
      </c>
      <c r="D495" s="3" t="inlineStr">
        <is>
          <t>MA</t>
        </is>
      </c>
      <c r="E495" s="14" t="n">
        <v>600000</v>
      </c>
      <c r="F495" s="14" t="n">
        <v>10281.51</v>
      </c>
      <c r="G495" s="14" t="n">
        <v>1285.19</v>
      </c>
      <c r="H495" s="14" t="n">
        <v>1285.19</v>
      </c>
      <c r="I495" s="14">
        <f>SUM(K495:T495)</f>
        <v/>
      </c>
      <c r="J495" s="14">
        <f>F495-(G495+H495+I495)</f>
        <v/>
      </c>
      <c r="K495" s="14" t="n">
        <v>771.11</v>
      </c>
      <c r="L495" s="14" t="n">
        <v>771.11</v>
      </c>
      <c r="M495" s="14" t="n">
        <v>771.11</v>
      </c>
      <c r="N495" s="14" t="n">
        <v>771.11</v>
      </c>
      <c r="O495" s="14" t="n">
        <v>771.11</v>
      </c>
      <c r="P495" s="14" t="n">
        <v>771.11</v>
      </c>
      <c r="Q495" s="14" t="n">
        <v>771.11</v>
      </c>
      <c r="R495" s="14" t="n">
        <v>771.11</v>
      </c>
      <c r="S495" s="14" t="n">
        <v>771.11</v>
      </c>
      <c r="T495" s="14" t="n">
        <v>771.11</v>
      </c>
      <c r="U495" s="14" t="n">
        <v>350</v>
      </c>
      <c r="V495" s="14" t="n">
        <v>0</v>
      </c>
      <c r="W495" s="14">
        <f>U495+V495</f>
        <v/>
      </c>
    </row>
    <row r="496">
      <c r="A496" s="15" t="inlineStr">
        <is>
          <t>CANON-202606-007426</t>
        </is>
      </c>
      <c r="B496" s="15" t="inlineStr">
        <is>
          <t>2026-06-10</t>
        </is>
      </c>
      <c r="C496" s="15" t="inlineStr">
        <is>
          <t>Ramona Chattopadhyay</t>
        </is>
      </c>
      <c r="D496" s="15" t="inlineStr">
        <is>
          <t>MA</t>
        </is>
      </c>
      <c r="E496" s="16" t="n">
        <v>890000</v>
      </c>
      <c r="F496" s="16" t="n">
        <v>10434.83</v>
      </c>
      <c r="G496" s="16" t="n">
        <v>1304.35</v>
      </c>
      <c r="H496" s="16" t="n">
        <v>1304.35</v>
      </c>
      <c r="I496" s="16">
        <f>SUM(K496:T496)</f>
        <v/>
      </c>
      <c r="J496" s="16">
        <f>F496-(G496+H496+I496)</f>
        <v/>
      </c>
      <c r="K496" s="16" t="n">
        <v>782.61</v>
      </c>
      <c r="L496" s="16" t="n">
        <v>782.61</v>
      </c>
      <c r="M496" s="16" t="n">
        <v>782.61</v>
      </c>
      <c r="N496" s="16" t="n">
        <v>782.61</v>
      </c>
      <c r="O496" s="16" t="n">
        <v>782.61</v>
      </c>
      <c r="P496" s="16" t="n">
        <v>782.61</v>
      </c>
      <c r="Q496" s="16" t="n">
        <v>782.61</v>
      </c>
      <c r="R496" s="16" t="n">
        <v>782.61</v>
      </c>
      <c r="S496" s="16" t="n">
        <v>782.61</v>
      </c>
      <c r="T496" s="16" t="n">
        <v>782.61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CANON-202606-007427</t>
        </is>
      </c>
      <c r="B497" s="3" t="inlineStr">
        <is>
          <t>2026-06-10</t>
        </is>
      </c>
      <c r="C497" s="3" t="inlineStr">
        <is>
          <t>Everett Montoya</t>
        </is>
      </c>
      <c r="D497" s="3" t="inlineStr">
        <is>
          <t>OK</t>
        </is>
      </c>
      <c r="E497" s="14" t="n">
        <v>700000</v>
      </c>
      <c r="F497" s="14" t="n">
        <v>9927.389999999999</v>
      </c>
      <c r="G497" s="14" t="n">
        <v>1240.92</v>
      </c>
      <c r="H497" s="14" t="n">
        <v>1240.92</v>
      </c>
      <c r="I497" s="14">
        <f>SUM(K497:T497)</f>
        <v/>
      </c>
      <c r="J497" s="14">
        <f>F497-(G497+H497+I497)</f>
        <v/>
      </c>
      <c r="K497" s="14" t="n">
        <v>744.55</v>
      </c>
      <c r="L497" s="14" t="n">
        <v>744.55</v>
      </c>
      <c r="M497" s="14" t="n">
        <v>744.55</v>
      </c>
      <c r="N497" s="14" t="n">
        <v>744.55</v>
      </c>
      <c r="O497" s="14" t="n">
        <v>744.55</v>
      </c>
      <c r="P497" s="14" t="n">
        <v>744.55</v>
      </c>
      <c r="Q497" s="14" t="n">
        <v>744.55</v>
      </c>
      <c r="R497" s="14" t="n">
        <v>744.55</v>
      </c>
      <c r="S497" s="14" t="n">
        <v>744.55</v>
      </c>
      <c r="T497" s="14" t="n">
        <v>744.55</v>
      </c>
      <c r="U497" s="14" t="n">
        <v>350</v>
      </c>
      <c r="V497" s="14" t="n">
        <v>0</v>
      </c>
      <c r="W497" s="14">
        <f>U497+V497</f>
        <v/>
      </c>
    </row>
    <row r="498">
      <c r="A498" s="15" t="inlineStr">
        <is>
          <t>CANON-202606-007428</t>
        </is>
      </c>
      <c r="B498" s="15" t="inlineStr">
        <is>
          <t>2026-06-16</t>
        </is>
      </c>
      <c r="C498" s="15" t="inlineStr">
        <is>
          <t>Delphine Kingsford</t>
        </is>
      </c>
      <c r="D498" s="15" t="inlineStr">
        <is>
          <t>ND</t>
        </is>
      </c>
      <c r="E498" s="16" t="n">
        <v>485000</v>
      </c>
      <c r="F498" s="16" t="n">
        <v>5353.96</v>
      </c>
      <c r="G498" s="16" t="n">
        <v>669.25</v>
      </c>
      <c r="H498" s="16" t="n">
        <v>669.25</v>
      </c>
      <c r="I498" s="16">
        <f>SUM(K498:T498)</f>
        <v/>
      </c>
      <c r="J498" s="16">
        <f>F498-(G498+H498+I498)</f>
        <v/>
      </c>
      <c r="K498" s="16" t="n">
        <v>401.55</v>
      </c>
      <c r="L498" s="16" t="n">
        <v>401.55</v>
      </c>
      <c r="M498" s="16" t="n">
        <v>401.55</v>
      </c>
      <c r="N498" s="16" t="n">
        <v>401.55</v>
      </c>
      <c r="O498" s="16" t="n">
        <v>401.55</v>
      </c>
      <c r="P498" s="16" t="n">
        <v>401.55</v>
      </c>
      <c r="Q498" s="16" t="n">
        <v>401.55</v>
      </c>
      <c r="R498" s="16" t="n">
        <v>401.55</v>
      </c>
      <c r="S498" s="16" t="n">
        <v>401.55</v>
      </c>
      <c r="T498" s="16" t="n">
        <v>401.55</v>
      </c>
      <c r="U498" s="16" t="n">
        <v>350</v>
      </c>
      <c r="V498" s="16" t="n">
        <v>0</v>
      </c>
      <c r="W498" s="16">
        <f>U498+V498</f>
        <v/>
      </c>
    </row>
    <row r="499">
      <c r="A499" s="3" t="inlineStr">
        <is>
          <t>CANON-202606-007429</t>
        </is>
      </c>
      <c r="B499" s="3" t="inlineStr">
        <is>
          <t>2026-06-20</t>
        </is>
      </c>
      <c r="C499" s="3" t="inlineStr">
        <is>
          <t>Mireille Farkas</t>
        </is>
      </c>
      <c r="D499" s="3" t="inlineStr">
        <is>
          <t>MI</t>
        </is>
      </c>
      <c r="E499" s="14" t="n">
        <v>355000</v>
      </c>
      <c r="F499" s="14" t="n">
        <v>3811.3</v>
      </c>
      <c r="G499" s="14" t="n">
        <v>476.41</v>
      </c>
      <c r="H499" s="14" t="n">
        <v>476.41</v>
      </c>
      <c r="I499" s="14">
        <f>SUM(K499:T499)</f>
        <v/>
      </c>
      <c r="J499" s="14">
        <f>F499-(G499+H499+I499)</f>
        <v/>
      </c>
      <c r="K499" s="14" t="n">
        <v>285.85</v>
      </c>
      <c r="L499" s="14" t="n">
        <v>285.85</v>
      </c>
      <c r="M499" s="14" t="n">
        <v>285.85</v>
      </c>
      <c r="N499" s="14" t="n">
        <v>285.85</v>
      </c>
      <c r="O499" s="14" t="n">
        <v>285.85</v>
      </c>
      <c r="P499" s="14" t="n">
        <v>285.85</v>
      </c>
      <c r="Q499" s="14" t="n">
        <v>285.85</v>
      </c>
      <c r="R499" s="14" t="n">
        <v>285.85</v>
      </c>
      <c r="S499" s="14" t="n">
        <v>285.85</v>
      </c>
      <c r="T499" s="14" t="n">
        <v>285.85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CANON-202606-007431</t>
        </is>
      </c>
      <c r="B500" s="15" t="inlineStr">
        <is>
          <t>2026-06-14</t>
        </is>
      </c>
      <c r="C500" s="15" t="inlineStr">
        <is>
          <t>Ramona Rourke</t>
        </is>
      </c>
      <c r="D500" s="15" t="inlineStr">
        <is>
          <t>MD</t>
        </is>
      </c>
      <c r="E500" s="16" t="n">
        <v>345000</v>
      </c>
      <c r="F500" s="16" t="n">
        <v>2270.16</v>
      </c>
      <c r="G500" s="16" t="n">
        <v>283.77</v>
      </c>
      <c r="H500" s="16" t="n">
        <v>283.77</v>
      </c>
      <c r="I500" s="16">
        <f>SUM(K500:T500)</f>
        <v/>
      </c>
      <c r="J500" s="16">
        <f>F500-(G500+H500+I500)</f>
        <v/>
      </c>
      <c r="K500" s="16" t="n">
        <v>170.26</v>
      </c>
      <c r="L500" s="16" t="n">
        <v>170.26</v>
      </c>
      <c r="M500" s="16" t="n">
        <v>170.26</v>
      </c>
      <c r="N500" s="16" t="n">
        <v>170.26</v>
      </c>
      <c r="O500" s="16" t="n">
        <v>170.26</v>
      </c>
      <c r="P500" s="16" t="n">
        <v>170.26</v>
      </c>
      <c r="Q500" s="16" t="n">
        <v>170.26</v>
      </c>
      <c r="R500" s="16" t="n">
        <v>170.26</v>
      </c>
      <c r="S500" s="16" t="n">
        <v>170.26</v>
      </c>
      <c r="T500" s="16" t="n">
        <v>170.26</v>
      </c>
      <c r="U500" s="16" t="n">
        <v>350</v>
      </c>
      <c r="V500" s="16" t="n">
        <v>0</v>
      </c>
      <c r="W500" s="16">
        <f>U500+V500</f>
        <v/>
      </c>
    </row>
    <row r="501">
      <c r="A501" s="3" t="inlineStr">
        <is>
          <t>CANON-202606-007434</t>
        </is>
      </c>
      <c r="B501" s="3" t="inlineStr">
        <is>
          <t>2026-06-30</t>
        </is>
      </c>
      <c r="C501" s="3" t="inlineStr">
        <is>
          <t>Fenwick Larsson</t>
        </is>
      </c>
      <c r="D501" s="3" t="inlineStr">
        <is>
          <t>RI</t>
        </is>
      </c>
      <c r="E501" s="14" t="n">
        <v>375000</v>
      </c>
      <c r="F501" s="14" t="n">
        <v>8525.540000000001</v>
      </c>
      <c r="G501" s="14" t="n">
        <v>1065.69</v>
      </c>
      <c r="H501" s="14" t="n">
        <v>1065.69</v>
      </c>
      <c r="I501" s="14">
        <f>SUM(K501:T501)</f>
        <v/>
      </c>
      <c r="J501" s="14">
        <f>F501-(G501+H501+I501)</f>
        <v/>
      </c>
      <c r="K501" s="14" t="n">
        <v>639.42</v>
      </c>
      <c r="L501" s="14" t="n">
        <v>639.42</v>
      </c>
      <c r="M501" s="14" t="n">
        <v>639.42</v>
      </c>
      <c r="N501" s="14" t="n">
        <v>639.42</v>
      </c>
      <c r="O501" s="14" t="n">
        <v>639.42</v>
      </c>
      <c r="P501" s="14" t="n">
        <v>639.42</v>
      </c>
      <c r="Q501" s="14" t="n">
        <v>639.42</v>
      </c>
      <c r="R501" s="14" t="n">
        <v>639.42</v>
      </c>
      <c r="S501" s="14" t="n">
        <v>639.42</v>
      </c>
      <c r="T501" s="14" t="n">
        <v>639.42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CANON-202606-007435</t>
        </is>
      </c>
      <c r="B502" s="15" t="inlineStr">
        <is>
          <t>2026-06-21</t>
        </is>
      </c>
      <c r="C502" s="15" t="inlineStr">
        <is>
          <t>Callum Nakashima</t>
        </is>
      </c>
      <c r="D502" s="15" t="inlineStr">
        <is>
          <t>RI</t>
        </is>
      </c>
      <c r="E502" s="16" t="n">
        <v>1205000</v>
      </c>
      <c r="F502" s="16" t="n">
        <v>13102.14</v>
      </c>
      <c r="G502" s="16" t="n">
        <v>1637.77</v>
      </c>
      <c r="H502" s="16" t="n">
        <v>1637.77</v>
      </c>
      <c r="I502" s="16">
        <f>SUM(K502:T502)</f>
        <v/>
      </c>
      <c r="J502" s="16">
        <f>F502-(G502+H502+I502)</f>
        <v/>
      </c>
      <c r="K502" s="16" t="n">
        <v>982.66</v>
      </c>
      <c r="L502" s="16" t="n">
        <v>982.66</v>
      </c>
      <c r="M502" s="16" t="n">
        <v>982.66</v>
      </c>
      <c r="N502" s="16" t="n">
        <v>982.66</v>
      </c>
      <c r="O502" s="16" t="n">
        <v>982.66</v>
      </c>
      <c r="P502" s="16" t="n">
        <v>982.66</v>
      </c>
      <c r="Q502" s="16" t="n">
        <v>982.66</v>
      </c>
      <c r="R502" s="16" t="n">
        <v>982.66</v>
      </c>
      <c r="S502" s="16" t="n">
        <v>982.66</v>
      </c>
      <c r="T502" s="16" t="n">
        <v>982.66</v>
      </c>
      <c r="U502" s="16" t="n">
        <v>350</v>
      </c>
      <c r="V502" s="16" t="n">
        <v>250</v>
      </c>
      <c r="W502" s="16">
        <f>U502+V502</f>
        <v/>
      </c>
    </row>
    <row r="503">
      <c r="A503" s="3" t="inlineStr">
        <is>
          <t>CANON-202606-007436</t>
        </is>
      </c>
      <c r="B503" s="3" t="inlineStr">
        <is>
          <t>2026-06-08</t>
        </is>
      </c>
      <c r="C503" s="3" t="inlineStr">
        <is>
          <t>Marisol Whitlock</t>
        </is>
      </c>
      <c r="D503" s="3" t="inlineStr">
        <is>
          <t>CT</t>
        </is>
      </c>
      <c r="E503" s="14" t="n">
        <v>300000</v>
      </c>
      <c r="F503" s="14" t="n">
        <v>3636.41</v>
      </c>
      <c r="G503" s="14" t="n">
        <v>454.55</v>
      </c>
      <c r="H503" s="14" t="n">
        <v>454.55</v>
      </c>
      <c r="I503" s="14">
        <f>SUM(K503:T503)</f>
        <v/>
      </c>
      <c r="J503" s="14">
        <f>F503-(G503+H503+I503)</f>
        <v/>
      </c>
      <c r="K503" s="14" t="n">
        <v>272.73</v>
      </c>
      <c r="L503" s="14" t="n">
        <v>272.73</v>
      </c>
      <c r="M503" s="14" t="n">
        <v>272.73</v>
      </c>
      <c r="N503" s="14" t="n">
        <v>272.73</v>
      </c>
      <c r="O503" s="14" t="n">
        <v>272.73</v>
      </c>
      <c r="P503" s="14" t="n">
        <v>272.73</v>
      </c>
      <c r="Q503" s="14" t="n">
        <v>272.73</v>
      </c>
      <c r="R503" s="14" t="n">
        <v>272.73</v>
      </c>
      <c r="S503" s="14" t="n">
        <v>272.73</v>
      </c>
      <c r="T503" s="14" t="n">
        <v>272.73</v>
      </c>
      <c r="U503" s="14" t="n">
        <v>350</v>
      </c>
      <c r="V503" s="14" t="n">
        <v>0</v>
      </c>
      <c r="W503" s="14">
        <f>U503+V503</f>
        <v/>
      </c>
    </row>
    <row r="504">
      <c r="A504" s="15" t="inlineStr">
        <is>
          <t>CANON-202606-007437</t>
        </is>
      </c>
      <c r="B504" s="15" t="inlineStr">
        <is>
          <t>2026-06-18</t>
        </is>
      </c>
      <c r="C504" s="15" t="inlineStr">
        <is>
          <t>Sunniva Farkas</t>
        </is>
      </c>
      <c r="D504" s="15" t="inlineStr">
        <is>
          <t>WA</t>
        </is>
      </c>
      <c r="E504" s="16" t="n">
        <v>330000</v>
      </c>
      <c r="F504" s="16" t="n">
        <v>3428.61</v>
      </c>
      <c r="G504" s="16" t="n">
        <v>428.58</v>
      </c>
      <c r="H504" s="16" t="n">
        <v>428.58</v>
      </c>
      <c r="I504" s="16">
        <f>SUM(K504:T504)</f>
        <v/>
      </c>
      <c r="J504" s="16">
        <f>F504-(G504+H504+I504)</f>
        <v/>
      </c>
      <c r="K504" s="16" t="n">
        <v>257.15</v>
      </c>
      <c r="L504" s="16" t="n">
        <v>257.15</v>
      </c>
      <c r="M504" s="16" t="n">
        <v>257.15</v>
      </c>
      <c r="N504" s="16" t="n">
        <v>257.15</v>
      </c>
      <c r="O504" s="16" t="n">
        <v>257.15</v>
      </c>
      <c r="P504" s="16" t="n">
        <v>257.15</v>
      </c>
      <c r="Q504" s="16" t="n">
        <v>257.15</v>
      </c>
      <c r="R504" s="16" t="n">
        <v>257.15</v>
      </c>
      <c r="S504" s="16" t="n">
        <v>257.15</v>
      </c>
      <c r="T504" s="16" t="n">
        <v>257.15</v>
      </c>
      <c r="U504" s="16" t="n">
        <v>350</v>
      </c>
      <c r="V504" s="16" t="n">
        <v>0</v>
      </c>
      <c r="W504" s="16">
        <f>U504+V504</f>
        <v/>
      </c>
    </row>
    <row r="505">
      <c r="A505" s="3" t="inlineStr">
        <is>
          <t>CANON-202606-007438</t>
        </is>
      </c>
      <c r="B505" s="3" t="inlineStr">
        <is>
          <t>2026-06-28</t>
        </is>
      </c>
      <c r="C505" s="3" t="inlineStr">
        <is>
          <t>Leopold Okonkwo</t>
        </is>
      </c>
      <c r="D505" s="3" t="inlineStr">
        <is>
          <t>NM</t>
        </is>
      </c>
      <c r="E505" s="14" t="n">
        <v>160000</v>
      </c>
      <c r="F505" s="14" t="n">
        <v>1684.53</v>
      </c>
      <c r="G505" s="14" t="n">
        <v>210.57</v>
      </c>
      <c r="H505" s="14" t="n">
        <v>210.57</v>
      </c>
      <c r="I505" s="14">
        <f>SUM(K505:T505)</f>
        <v/>
      </c>
      <c r="J505" s="14">
        <f>F505-(G505+H505+I505)</f>
        <v/>
      </c>
      <c r="K505" s="14" t="n">
        <v>126.34</v>
      </c>
      <c r="L505" s="14" t="n">
        <v>126.34</v>
      </c>
      <c r="M505" s="14" t="n">
        <v>126.34</v>
      </c>
      <c r="N505" s="14" t="n">
        <v>126.34</v>
      </c>
      <c r="O505" s="14" t="n">
        <v>126.34</v>
      </c>
      <c r="P505" s="14" t="n">
        <v>126.34</v>
      </c>
      <c r="Q505" s="14" t="n">
        <v>126.34</v>
      </c>
      <c r="R505" s="14" t="n">
        <v>126.34</v>
      </c>
      <c r="S505" s="14" t="n">
        <v>126.34</v>
      </c>
      <c r="T505" s="14" t="n">
        <v>126.34</v>
      </c>
      <c r="U505" s="14" t="n">
        <v>350</v>
      </c>
      <c r="V505" s="14" t="n">
        <v>0</v>
      </c>
      <c r="W505" s="14">
        <f>U505+V505</f>
        <v/>
      </c>
    </row>
    <row r="506">
      <c r="A506" s="15" t="inlineStr">
        <is>
          <t>CANON-202606-007439</t>
        </is>
      </c>
      <c r="B506" s="15" t="inlineStr">
        <is>
          <t>2026-06-22</t>
        </is>
      </c>
      <c r="C506" s="15" t="inlineStr">
        <is>
          <t>Ingrid Thistlewood</t>
        </is>
      </c>
      <c r="D506" s="15" t="inlineStr">
        <is>
          <t>IN</t>
        </is>
      </c>
      <c r="E506" s="16" t="n">
        <v>905000</v>
      </c>
      <c r="F506" s="16" t="n">
        <v>10440.93</v>
      </c>
      <c r="G506" s="16" t="n">
        <v>1305.12</v>
      </c>
      <c r="H506" s="16" t="n">
        <v>1305.12</v>
      </c>
      <c r="I506" s="16">
        <f>SUM(K506:T506)</f>
        <v/>
      </c>
      <c r="J506" s="16">
        <f>F506-(G506+H506+I506)</f>
        <v/>
      </c>
      <c r="K506" s="16" t="n">
        <v>783.0700000000001</v>
      </c>
      <c r="L506" s="16" t="n">
        <v>783.0700000000001</v>
      </c>
      <c r="M506" s="16" t="n">
        <v>783.0700000000001</v>
      </c>
      <c r="N506" s="16" t="n">
        <v>783.0700000000001</v>
      </c>
      <c r="O506" s="16" t="n">
        <v>783.0700000000001</v>
      </c>
      <c r="P506" s="16" t="n">
        <v>783.0700000000001</v>
      </c>
      <c r="Q506" s="16" t="n">
        <v>783.0700000000001</v>
      </c>
      <c r="R506" s="16" t="n">
        <v>783.0700000000001</v>
      </c>
      <c r="S506" s="16" t="n">
        <v>783.0700000000001</v>
      </c>
      <c r="T506" s="16" t="n">
        <v>783.0700000000001</v>
      </c>
      <c r="U506" s="16" t="n">
        <v>350</v>
      </c>
      <c r="V506" s="16" t="n">
        <v>0</v>
      </c>
      <c r="W506" s="16">
        <f>U506+V506</f>
        <v/>
      </c>
    </row>
    <row r="507">
      <c r="A507" s="3" t="inlineStr">
        <is>
          <t>CANON-202606-007440</t>
        </is>
      </c>
      <c r="B507" s="3" t="inlineStr">
        <is>
          <t>2026-06-10</t>
        </is>
      </c>
      <c r="C507" s="3" t="inlineStr">
        <is>
          <t>Saoirse Okonkwo</t>
        </is>
      </c>
      <c r="D507" s="3" t="inlineStr">
        <is>
          <t>WV</t>
        </is>
      </c>
      <c r="E507" s="14" t="n">
        <v>1140000</v>
      </c>
      <c r="F507" s="14" t="n">
        <v>17503.24</v>
      </c>
      <c r="G507" s="14" t="n">
        <v>2187.91</v>
      </c>
      <c r="H507" s="14" t="n">
        <v>2187.91</v>
      </c>
      <c r="I507" s="14">
        <f>SUM(K507:T507)</f>
        <v/>
      </c>
      <c r="J507" s="14">
        <f>F507-(G507+H507+I507)</f>
        <v/>
      </c>
      <c r="K507" s="14" t="n">
        <v>1312.74</v>
      </c>
      <c r="L507" s="14" t="n">
        <v>1312.74</v>
      </c>
      <c r="M507" s="14" t="n">
        <v>1312.74</v>
      </c>
      <c r="N507" s="14" t="n">
        <v>1312.74</v>
      </c>
      <c r="O507" s="14" t="n">
        <v>1312.74</v>
      </c>
      <c r="P507" s="14" t="n">
        <v>1312.74</v>
      </c>
      <c r="Q507" s="14" t="n">
        <v>1312.74</v>
      </c>
      <c r="R507" s="14" t="n">
        <v>1312.74</v>
      </c>
      <c r="S507" s="14" t="n">
        <v>1312.74</v>
      </c>
      <c r="T507" s="14" t="n">
        <v>1312.74</v>
      </c>
      <c r="U507" s="14" t="n">
        <v>350</v>
      </c>
      <c r="V507" s="14" t="n">
        <v>250</v>
      </c>
      <c r="W507" s="14">
        <f>U507+V507</f>
        <v/>
      </c>
    </row>
    <row r="508">
      <c r="A508" s="15" t="inlineStr">
        <is>
          <t>CANON-202606-007441</t>
        </is>
      </c>
      <c r="B508" s="15" t="inlineStr">
        <is>
          <t>2026-06-20</t>
        </is>
      </c>
      <c r="C508" s="15" t="inlineStr">
        <is>
          <t>Callum Thistlewood</t>
        </is>
      </c>
      <c r="D508" s="15" t="inlineStr">
        <is>
          <t>AK</t>
        </is>
      </c>
      <c r="E508" s="16" t="n">
        <v>215000</v>
      </c>
      <c r="F508" s="16" t="n">
        <v>3253.9</v>
      </c>
      <c r="G508" s="16" t="n">
        <v>406.74</v>
      </c>
      <c r="H508" s="16" t="n">
        <v>406.74</v>
      </c>
      <c r="I508" s="16">
        <f>SUM(K508:T508)</f>
        <v/>
      </c>
      <c r="J508" s="16">
        <f>F508-(G508+H508+I508)</f>
        <v/>
      </c>
      <c r="K508" s="16" t="n">
        <v>244.04</v>
      </c>
      <c r="L508" s="16" t="n">
        <v>244.04</v>
      </c>
      <c r="M508" s="16" t="n">
        <v>244.04</v>
      </c>
      <c r="N508" s="16" t="n">
        <v>244.04</v>
      </c>
      <c r="O508" s="16" t="n">
        <v>244.04</v>
      </c>
      <c r="P508" s="16" t="n">
        <v>244.04</v>
      </c>
      <c r="Q508" s="16" t="n">
        <v>244.04</v>
      </c>
      <c r="R508" s="16" t="n">
        <v>244.04</v>
      </c>
      <c r="S508" s="16" t="n">
        <v>244.04</v>
      </c>
      <c r="T508" s="16" t="n">
        <v>244.04</v>
      </c>
      <c r="U508" s="16" t="n">
        <v>350</v>
      </c>
      <c r="V508" s="16" t="n">
        <v>0</v>
      </c>
      <c r="W508" s="16">
        <f>U508+V508</f>
        <v/>
      </c>
    </row>
    <row r="509">
      <c r="A509" s="3" t="inlineStr">
        <is>
          <t>CANON-202606-007442</t>
        </is>
      </c>
      <c r="B509" s="3" t="inlineStr">
        <is>
          <t>2026-06-02</t>
        </is>
      </c>
      <c r="C509" s="3" t="inlineStr">
        <is>
          <t>Thaddeus Castellanos</t>
        </is>
      </c>
      <c r="D509" s="3" t="inlineStr">
        <is>
          <t>NJ</t>
        </is>
      </c>
      <c r="E509" s="14" t="n">
        <v>775000</v>
      </c>
      <c r="F509" s="14" t="n">
        <v>6614.98</v>
      </c>
      <c r="G509" s="14" t="n">
        <v>826.87</v>
      </c>
      <c r="H509" s="14" t="n">
        <v>826.87</v>
      </c>
      <c r="I509" s="14">
        <f>SUM(K509:T509)</f>
        <v/>
      </c>
      <c r="J509" s="14">
        <f>F509-(G509+H509+I509)</f>
        <v/>
      </c>
      <c r="K509" s="14" t="n">
        <v>496.12</v>
      </c>
      <c r="L509" s="14" t="n">
        <v>496.12</v>
      </c>
      <c r="M509" s="14" t="n">
        <v>496.12</v>
      </c>
      <c r="N509" s="14" t="n">
        <v>496.12</v>
      </c>
      <c r="O509" s="14" t="n">
        <v>496.12</v>
      </c>
      <c r="P509" s="14" t="n">
        <v>496.12</v>
      </c>
      <c r="Q509" s="14" t="n">
        <v>496.12</v>
      </c>
      <c r="R509" s="14" t="n">
        <v>496.12</v>
      </c>
      <c r="S509" s="14" t="n">
        <v>496.12</v>
      </c>
      <c r="T509" s="14" t="n">
        <v>496.12</v>
      </c>
      <c r="U509" s="14" t="n">
        <v>350</v>
      </c>
      <c r="V509" s="14" t="n">
        <v>0</v>
      </c>
      <c r="W509" s="14">
        <f>U509+V509</f>
        <v/>
      </c>
    </row>
    <row r="510">
      <c r="A510" s="15" t="inlineStr">
        <is>
          <t>CANON-202606-007443</t>
        </is>
      </c>
      <c r="B510" s="15" t="inlineStr">
        <is>
          <t>2026-06-06</t>
        </is>
      </c>
      <c r="C510" s="15" t="inlineStr">
        <is>
          <t>Leopold Montoya</t>
        </is>
      </c>
      <c r="D510" s="15" t="inlineStr">
        <is>
          <t>OH</t>
        </is>
      </c>
      <c r="E510" s="16" t="n">
        <v>1115000</v>
      </c>
      <c r="F510" s="16" t="n">
        <v>15207.95</v>
      </c>
      <c r="G510" s="16" t="n">
        <v>1900.99</v>
      </c>
      <c r="H510" s="16" t="n">
        <v>1900.99</v>
      </c>
      <c r="I510" s="16">
        <f>SUM(K510:T510)</f>
        <v/>
      </c>
      <c r="J510" s="16">
        <f>F510-(G510+H510+I510)</f>
        <v/>
      </c>
      <c r="K510" s="16" t="n">
        <v>1140.6</v>
      </c>
      <c r="L510" s="16" t="n">
        <v>1140.6</v>
      </c>
      <c r="M510" s="16" t="n">
        <v>1140.6</v>
      </c>
      <c r="N510" s="16" t="n">
        <v>1140.6</v>
      </c>
      <c r="O510" s="16" t="n">
        <v>1140.6</v>
      </c>
      <c r="P510" s="16" t="n">
        <v>1140.6</v>
      </c>
      <c r="Q510" s="16" t="n">
        <v>1140.6</v>
      </c>
      <c r="R510" s="16" t="n">
        <v>1140.6</v>
      </c>
      <c r="S510" s="16" t="n">
        <v>1140.6</v>
      </c>
      <c r="T510" s="16" t="n">
        <v>1140.6</v>
      </c>
      <c r="U510" s="16" t="n">
        <v>350</v>
      </c>
      <c r="V510" s="16" t="n">
        <v>250</v>
      </c>
      <c r="W510" s="16">
        <f>U510+V510</f>
        <v/>
      </c>
    </row>
    <row r="511">
      <c r="A511" s="3" t="inlineStr">
        <is>
          <t>CANON-202606-007444</t>
        </is>
      </c>
      <c r="B511" s="3" t="inlineStr">
        <is>
          <t>2026-06-06</t>
        </is>
      </c>
      <c r="C511" s="3" t="inlineStr">
        <is>
          <t>Emiliano Kingsford</t>
        </is>
      </c>
      <c r="D511" s="3" t="inlineStr">
        <is>
          <t>OH</t>
        </is>
      </c>
      <c r="E511" s="14" t="n">
        <v>830000</v>
      </c>
      <c r="F511" s="14" t="n">
        <v>7158.69</v>
      </c>
      <c r="G511" s="14" t="n">
        <v>894.84</v>
      </c>
      <c r="H511" s="14" t="n">
        <v>894.84</v>
      </c>
      <c r="I511" s="14">
        <f>SUM(K511:T511)</f>
        <v/>
      </c>
      <c r="J511" s="14">
        <f>F511-(G511+H511+I511)</f>
        <v/>
      </c>
      <c r="K511" s="14" t="n">
        <v>536.9</v>
      </c>
      <c r="L511" s="14" t="n">
        <v>536.9</v>
      </c>
      <c r="M511" s="14" t="n">
        <v>536.9</v>
      </c>
      <c r="N511" s="14" t="n">
        <v>536.9</v>
      </c>
      <c r="O511" s="14" t="n">
        <v>536.9</v>
      </c>
      <c r="P511" s="14" t="n">
        <v>536.9</v>
      </c>
      <c r="Q511" s="14" t="n">
        <v>536.9</v>
      </c>
      <c r="R511" s="14" t="n">
        <v>536.9</v>
      </c>
      <c r="S511" s="14" t="n">
        <v>536.9</v>
      </c>
      <c r="T511" s="14" t="n">
        <v>536.9</v>
      </c>
      <c r="U511" s="14" t="n">
        <v>350</v>
      </c>
      <c r="V511" s="14" t="n">
        <v>0</v>
      </c>
      <c r="W511" s="14">
        <f>U511+V511</f>
        <v/>
      </c>
    </row>
    <row r="512">
      <c r="A512" s="15" t="inlineStr">
        <is>
          <t>CANON-202606-007445</t>
        </is>
      </c>
      <c r="B512" s="15" t="inlineStr">
        <is>
          <t>2026-06-22</t>
        </is>
      </c>
      <c r="C512" s="15" t="inlineStr">
        <is>
          <t>Ingrid Montoya</t>
        </is>
      </c>
      <c r="D512" s="15" t="inlineStr">
        <is>
          <t>IN</t>
        </is>
      </c>
      <c r="E512" s="16" t="n">
        <v>370000</v>
      </c>
      <c r="F512" s="16" t="n">
        <v>4925.38</v>
      </c>
      <c r="G512" s="16" t="n">
        <v>615.67</v>
      </c>
      <c r="H512" s="16" t="n">
        <v>615.67</v>
      </c>
      <c r="I512" s="16">
        <f>SUM(K512:T512)</f>
        <v/>
      </c>
      <c r="J512" s="16">
        <f>F512-(G512+H512+I512)</f>
        <v/>
      </c>
      <c r="K512" s="16" t="n">
        <v>369.4</v>
      </c>
      <c r="L512" s="16" t="n">
        <v>369.4</v>
      </c>
      <c r="M512" s="16" t="n">
        <v>369.4</v>
      </c>
      <c r="N512" s="16" t="n">
        <v>369.4</v>
      </c>
      <c r="O512" s="16" t="n">
        <v>369.4</v>
      </c>
      <c r="P512" s="16" t="n">
        <v>369.4</v>
      </c>
      <c r="Q512" s="16" t="n">
        <v>369.4</v>
      </c>
      <c r="R512" s="16" t="n">
        <v>369.4</v>
      </c>
      <c r="S512" s="16" t="n">
        <v>369.4</v>
      </c>
      <c r="T512" s="16" t="n">
        <v>369.4</v>
      </c>
      <c r="U512" s="16" t="n">
        <v>350</v>
      </c>
      <c r="V512" s="16" t="n">
        <v>0</v>
      </c>
      <c r="W512" s="16">
        <f>U512+V512</f>
        <v/>
      </c>
    </row>
    <row r="513">
      <c r="A513" s="3" t="inlineStr">
        <is>
          <t>CANON-202606-007446</t>
        </is>
      </c>
      <c r="B513" s="3" t="inlineStr">
        <is>
          <t>2026-06-28</t>
        </is>
      </c>
      <c r="C513" s="3" t="inlineStr">
        <is>
          <t>Wilhelmina Nakashima</t>
        </is>
      </c>
      <c r="D513" s="3" t="inlineStr">
        <is>
          <t>TX</t>
        </is>
      </c>
      <c r="E513" s="14" t="n">
        <v>480000</v>
      </c>
      <c r="F513" s="14" t="n">
        <v>5974.1</v>
      </c>
      <c r="G513" s="14" t="n">
        <v>746.76</v>
      </c>
      <c r="H513" s="14" t="n">
        <v>746.76</v>
      </c>
      <c r="I513" s="14">
        <f>SUM(K513:T513)</f>
        <v/>
      </c>
      <c r="J513" s="14">
        <f>F513-(G513+H513+I513)</f>
        <v/>
      </c>
      <c r="K513" s="14" t="n">
        <v>448.06</v>
      </c>
      <c r="L513" s="14" t="n">
        <v>448.06</v>
      </c>
      <c r="M513" s="14" t="n">
        <v>448.06</v>
      </c>
      <c r="N513" s="14" t="n">
        <v>448.06</v>
      </c>
      <c r="O513" s="14" t="n">
        <v>448.06</v>
      </c>
      <c r="P513" s="14" t="n">
        <v>448.06</v>
      </c>
      <c r="Q513" s="14" t="n">
        <v>448.06</v>
      </c>
      <c r="R513" s="14" t="n">
        <v>448.06</v>
      </c>
      <c r="S513" s="14" t="n">
        <v>448.06</v>
      </c>
      <c r="T513" s="14" t="n">
        <v>448.06</v>
      </c>
      <c r="U513" s="14" t="n">
        <v>350</v>
      </c>
      <c r="V513" s="14" t="n">
        <v>0</v>
      </c>
      <c r="W513" s="14">
        <f>U513+V513</f>
        <v/>
      </c>
    </row>
    <row r="514">
      <c r="A514" s="15" t="inlineStr">
        <is>
          <t>CANON-202606-007448</t>
        </is>
      </c>
      <c r="B514" s="15" t="inlineStr">
        <is>
          <t>2026-06-13</t>
        </is>
      </c>
      <c r="C514" s="15" t="inlineStr">
        <is>
          <t>Cassius Underwood</t>
        </is>
      </c>
      <c r="D514" s="15" t="inlineStr">
        <is>
          <t>CA</t>
        </is>
      </c>
      <c r="E514" s="16" t="n">
        <v>1950000</v>
      </c>
      <c r="F514" s="16" t="n">
        <v>30389.98</v>
      </c>
      <c r="G514" s="16" t="n">
        <v>3798.75</v>
      </c>
      <c r="H514" s="16" t="n">
        <v>3798.75</v>
      </c>
      <c r="I514" s="16">
        <f>SUM(K514:T514)</f>
        <v/>
      </c>
      <c r="J514" s="16">
        <f>F514-(G514+H514+I514)</f>
        <v/>
      </c>
      <c r="K514" s="16" t="n">
        <v>2279.25</v>
      </c>
      <c r="L514" s="16" t="n">
        <v>2279.25</v>
      </c>
      <c r="M514" s="16" t="n">
        <v>2279.25</v>
      </c>
      <c r="N514" s="16" t="n">
        <v>2279.25</v>
      </c>
      <c r="O514" s="16" t="n">
        <v>2279.25</v>
      </c>
      <c r="P514" s="16" t="n">
        <v>2279.25</v>
      </c>
      <c r="Q514" s="16" t="n">
        <v>2279.25</v>
      </c>
      <c r="R514" s="16" t="n">
        <v>2279.25</v>
      </c>
      <c r="S514" s="16" t="n">
        <v>2279.25</v>
      </c>
      <c r="T514" s="16" t="n">
        <v>2279.25</v>
      </c>
      <c r="U514" s="16" t="n">
        <v>350</v>
      </c>
      <c r="V514" s="16" t="n">
        <v>250</v>
      </c>
      <c r="W514" s="16">
        <f>U514+V514</f>
        <v/>
      </c>
    </row>
    <row r="515">
      <c r="A515" s="3" t="inlineStr">
        <is>
          <t>CANON-202606-007449</t>
        </is>
      </c>
      <c r="B515" s="3" t="inlineStr">
        <is>
          <t>2026-06-30</t>
        </is>
      </c>
      <c r="C515" s="3" t="inlineStr">
        <is>
          <t>Noor Montoya</t>
        </is>
      </c>
      <c r="D515" s="3" t="inlineStr">
        <is>
          <t>IL</t>
        </is>
      </c>
      <c r="E515" s="14" t="n">
        <v>730000</v>
      </c>
      <c r="F515" s="14" t="n">
        <v>6160.3</v>
      </c>
      <c r="G515" s="14" t="n">
        <v>770.04</v>
      </c>
      <c r="H515" s="14" t="n">
        <v>770.04</v>
      </c>
      <c r="I515" s="14">
        <f>SUM(K515:T515)</f>
        <v/>
      </c>
      <c r="J515" s="14">
        <f>F515-(G515+H515+I515)</f>
        <v/>
      </c>
      <c r="K515" s="14" t="n">
        <v>462.02</v>
      </c>
      <c r="L515" s="14" t="n">
        <v>462.02</v>
      </c>
      <c r="M515" s="14" t="n">
        <v>462.02</v>
      </c>
      <c r="N515" s="14" t="n">
        <v>462.02</v>
      </c>
      <c r="O515" s="14" t="n">
        <v>462.02</v>
      </c>
      <c r="P515" s="14" t="n">
        <v>462.02</v>
      </c>
      <c r="Q515" s="14" t="n">
        <v>462.02</v>
      </c>
      <c r="R515" s="14" t="n">
        <v>462.02</v>
      </c>
      <c r="S515" s="14" t="n">
        <v>462.02</v>
      </c>
      <c r="T515" s="14" t="n">
        <v>462.02</v>
      </c>
      <c r="U515" s="14" t="n">
        <v>350</v>
      </c>
      <c r="V515" s="14" t="n">
        <v>0</v>
      </c>
      <c r="W515" s="14">
        <f>U515+V515</f>
        <v/>
      </c>
    </row>
    <row r="516">
      <c r="A516" s="15" t="inlineStr">
        <is>
          <t>CANON-202606-007450</t>
        </is>
      </c>
      <c r="B516" s="15" t="inlineStr">
        <is>
          <t>2026-06-25</t>
        </is>
      </c>
      <c r="C516" s="15" t="inlineStr">
        <is>
          <t>Fenwick Delacroix</t>
        </is>
      </c>
      <c r="D516" s="15" t="inlineStr">
        <is>
          <t>AK</t>
        </is>
      </c>
      <c r="E516" s="16" t="n">
        <v>730000</v>
      </c>
      <c r="F516" s="16" t="n">
        <v>11408.36</v>
      </c>
      <c r="G516" s="16" t="n">
        <v>1426.05</v>
      </c>
      <c r="H516" s="16" t="n">
        <v>1426.05</v>
      </c>
      <c r="I516" s="16">
        <f>SUM(K516:T516)</f>
        <v/>
      </c>
      <c r="J516" s="16">
        <f>F516-(G516+H516+I516)</f>
        <v/>
      </c>
      <c r="K516" s="16" t="n">
        <v>855.63</v>
      </c>
      <c r="L516" s="16" t="n">
        <v>855.63</v>
      </c>
      <c r="M516" s="16" t="n">
        <v>855.63</v>
      </c>
      <c r="N516" s="16" t="n">
        <v>855.63</v>
      </c>
      <c r="O516" s="16" t="n">
        <v>855.63</v>
      </c>
      <c r="P516" s="16" t="n">
        <v>855.63</v>
      </c>
      <c r="Q516" s="16" t="n">
        <v>855.63</v>
      </c>
      <c r="R516" s="16" t="n">
        <v>855.63</v>
      </c>
      <c r="S516" s="16" t="n">
        <v>855.63</v>
      </c>
      <c r="T516" s="16" t="n">
        <v>855.63</v>
      </c>
      <c r="U516" s="16" t="n">
        <v>350</v>
      </c>
      <c r="V516" s="16" t="n">
        <v>0</v>
      </c>
      <c r="W516" s="16">
        <f>U516+V516</f>
        <v/>
      </c>
    </row>
    <row r="517">
      <c r="A517" s="3" t="inlineStr">
        <is>
          <t>CANON-202606-007451</t>
        </is>
      </c>
      <c r="B517" s="3" t="inlineStr">
        <is>
          <t>2026-06-18</t>
        </is>
      </c>
      <c r="C517" s="3" t="inlineStr">
        <is>
          <t>Sunniva Larsson</t>
        </is>
      </c>
      <c r="D517" s="3" t="inlineStr">
        <is>
          <t>CA</t>
        </is>
      </c>
      <c r="E517" s="14" t="n">
        <v>685000</v>
      </c>
      <c r="F517" s="14" t="n">
        <v>8673.799999999999</v>
      </c>
      <c r="G517" s="14" t="n">
        <v>1084.22</v>
      </c>
      <c r="H517" s="14" t="n">
        <v>1084.22</v>
      </c>
      <c r="I517" s="14">
        <f>SUM(K517:T517)</f>
        <v/>
      </c>
      <c r="J517" s="14">
        <f>F517-(G517+H517+I517)</f>
        <v/>
      </c>
      <c r="K517" s="14" t="n">
        <v>650.53</v>
      </c>
      <c r="L517" s="14" t="n">
        <v>650.53</v>
      </c>
      <c r="M517" s="14" t="n">
        <v>650.53</v>
      </c>
      <c r="N517" s="14" t="n">
        <v>650.53</v>
      </c>
      <c r="O517" s="14" t="n">
        <v>650.53</v>
      </c>
      <c r="P517" s="14" t="n">
        <v>650.53</v>
      </c>
      <c r="Q517" s="14" t="n">
        <v>650.53</v>
      </c>
      <c r="R517" s="14" t="n">
        <v>650.53</v>
      </c>
      <c r="S517" s="14" t="n">
        <v>650.53</v>
      </c>
      <c r="T517" s="14" t="n">
        <v>650.53</v>
      </c>
      <c r="U517" s="14" t="n">
        <v>350</v>
      </c>
      <c r="V517" s="14" t="n">
        <v>0</v>
      </c>
      <c r="W517" s="14">
        <f>U517+V517</f>
        <v/>
      </c>
    </row>
    <row r="518">
      <c r="A518" s="15" t="inlineStr">
        <is>
          <t>CANON-202606-007452</t>
        </is>
      </c>
      <c r="B518" s="15" t="inlineStr">
        <is>
          <t>2026-06-19</t>
        </is>
      </c>
      <c r="C518" s="15" t="inlineStr">
        <is>
          <t>Mireille Larsson</t>
        </is>
      </c>
      <c r="D518" s="15" t="inlineStr">
        <is>
          <t>FL</t>
        </is>
      </c>
      <c r="E518" s="16" t="n">
        <v>490000</v>
      </c>
      <c r="F518" s="16" t="n">
        <v>7530.4</v>
      </c>
      <c r="G518" s="16" t="n">
        <v>941.3</v>
      </c>
      <c r="H518" s="16" t="n">
        <v>941.3</v>
      </c>
      <c r="I518" s="16">
        <f>SUM(K518:T518)</f>
        <v/>
      </c>
      <c r="J518" s="16">
        <f>F518-(G518+H518+I518)</f>
        <v/>
      </c>
      <c r="K518" s="16" t="n">
        <v>564.78</v>
      </c>
      <c r="L518" s="16" t="n">
        <v>564.78</v>
      </c>
      <c r="M518" s="16" t="n">
        <v>564.78</v>
      </c>
      <c r="N518" s="16" t="n">
        <v>564.78</v>
      </c>
      <c r="O518" s="16" t="n">
        <v>564.78</v>
      </c>
      <c r="P518" s="16" t="n">
        <v>564.78</v>
      </c>
      <c r="Q518" s="16" t="n">
        <v>564.78</v>
      </c>
      <c r="R518" s="16" t="n">
        <v>564.78</v>
      </c>
      <c r="S518" s="16" t="n">
        <v>564.78</v>
      </c>
      <c r="T518" s="16" t="n">
        <v>564.78</v>
      </c>
      <c r="U518" s="16" t="n">
        <v>350</v>
      </c>
      <c r="V518" s="16" t="n">
        <v>0</v>
      </c>
      <c r="W518" s="16">
        <f>U518+V518</f>
        <v/>
      </c>
    </row>
    <row r="519">
      <c r="A519" s="3" t="inlineStr">
        <is>
          <t>CANON-202606-007453</t>
        </is>
      </c>
      <c r="B519" s="3" t="inlineStr">
        <is>
          <t>2026-06-03</t>
        </is>
      </c>
      <c r="C519" s="3" t="inlineStr">
        <is>
          <t>Saoirse Merriweather</t>
        </is>
      </c>
      <c r="D519" s="3" t="inlineStr">
        <is>
          <t>WY</t>
        </is>
      </c>
      <c r="E519" s="14" t="n">
        <v>1200000</v>
      </c>
      <c r="F519" s="14" t="n">
        <v>10190.6</v>
      </c>
      <c r="G519" s="14" t="n">
        <v>1273.83</v>
      </c>
      <c r="H519" s="14" t="n">
        <v>1273.83</v>
      </c>
      <c r="I519" s="14">
        <f>SUM(K519:T519)</f>
        <v/>
      </c>
      <c r="J519" s="14">
        <f>F519-(G519+H519+I519)</f>
        <v/>
      </c>
      <c r="K519" s="14" t="n">
        <v>764.29</v>
      </c>
      <c r="L519" s="14" t="n">
        <v>764.29</v>
      </c>
      <c r="M519" s="14" t="n">
        <v>764.29</v>
      </c>
      <c r="N519" s="14" t="n">
        <v>764.29</v>
      </c>
      <c r="O519" s="14" t="n">
        <v>764.29</v>
      </c>
      <c r="P519" s="14" t="n">
        <v>764.29</v>
      </c>
      <c r="Q519" s="14" t="n">
        <v>764.29</v>
      </c>
      <c r="R519" s="14" t="n">
        <v>764.29</v>
      </c>
      <c r="S519" s="14" t="n">
        <v>764.29</v>
      </c>
      <c r="T519" s="14" t="n">
        <v>764.29</v>
      </c>
      <c r="U519" s="14" t="n">
        <v>350</v>
      </c>
      <c r="V519" s="14" t="n">
        <v>250</v>
      </c>
      <c r="W519" s="14">
        <f>U519+V519</f>
        <v/>
      </c>
    </row>
    <row r="520">
      <c r="A520" s="15" t="inlineStr">
        <is>
          <t>CANON-202606-007454</t>
        </is>
      </c>
      <c r="B520" s="15" t="inlineStr">
        <is>
          <t>2026-06-16</t>
        </is>
      </c>
      <c r="C520" s="15" t="inlineStr">
        <is>
          <t>Sunniva Ashcombe</t>
        </is>
      </c>
      <c r="D520" s="15" t="inlineStr">
        <is>
          <t>NM</t>
        </is>
      </c>
      <c r="E520" s="16" t="n">
        <v>340000</v>
      </c>
      <c r="F520" s="16" t="n">
        <v>4710.01</v>
      </c>
      <c r="G520" s="16" t="n">
        <v>588.75</v>
      </c>
      <c r="H520" s="16" t="n">
        <v>588.75</v>
      </c>
      <c r="I520" s="16">
        <f>SUM(K520:T520)</f>
        <v/>
      </c>
      <c r="J520" s="16">
        <f>F520-(G520+H520+I520)</f>
        <v/>
      </c>
      <c r="K520" s="16" t="n">
        <v>353.25</v>
      </c>
      <c r="L520" s="16" t="n">
        <v>353.25</v>
      </c>
      <c r="M520" s="16" t="n">
        <v>353.25</v>
      </c>
      <c r="N520" s="16" t="n">
        <v>353.25</v>
      </c>
      <c r="O520" s="16" t="n">
        <v>353.25</v>
      </c>
      <c r="P520" s="16" t="n">
        <v>353.25</v>
      </c>
      <c r="Q520" s="16" t="n">
        <v>353.25</v>
      </c>
      <c r="R520" s="16" t="n">
        <v>353.25</v>
      </c>
      <c r="S520" s="16" t="n">
        <v>353.25</v>
      </c>
      <c r="T520" s="16" t="n">
        <v>353.25</v>
      </c>
      <c r="U520" s="16" t="n">
        <v>350</v>
      </c>
      <c r="V520" s="16" t="n">
        <v>0</v>
      </c>
      <c r="W520" s="16">
        <f>U520+V520</f>
        <v/>
      </c>
    </row>
    <row r="521">
      <c r="A521" s="3" t="inlineStr">
        <is>
          <t>CANON-202606-007455</t>
        </is>
      </c>
      <c r="B521" s="3" t="inlineStr">
        <is>
          <t>2026-06-16</t>
        </is>
      </c>
      <c r="C521" s="3" t="inlineStr">
        <is>
          <t>Emiliano Kingsford</t>
        </is>
      </c>
      <c r="D521" s="3" t="inlineStr">
        <is>
          <t>MT</t>
        </is>
      </c>
      <c r="E521" s="14" t="n">
        <v>480000</v>
      </c>
      <c r="F521" s="14" t="n">
        <v>7407.88</v>
      </c>
      <c r="G521" s="14" t="n">
        <v>925.99</v>
      </c>
      <c r="H521" s="14" t="n">
        <v>925.99</v>
      </c>
      <c r="I521" s="14">
        <f>SUM(K521:T521)</f>
        <v/>
      </c>
      <c r="J521" s="14">
        <f>F521-(G521+H521+I521)</f>
        <v/>
      </c>
      <c r="K521" s="14" t="n">
        <v>555.59</v>
      </c>
      <c r="L521" s="14" t="n">
        <v>555.59</v>
      </c>
      <c r="M521" s="14" t="n">
        <v>555.59</v>
      </c>
      <c r="N521" s="14" t="n">
        <v>555.59</v>
      </c>
      <c r="O521" s="14" t="n">
        <v>555.59</v>
      </c>
      <c r="P521" s="14" t="n">
        <v>555.59</v>
      </c>
      <c r="Q521" s="14" t="n">
        <v>555.59</v>
      </c>
      <c r="R521" s="14" t="n">
        <v>555.59</v>
      </c>
      <c r="S521" s="14" t="n">
        <v>555.59</v>
      </c>
      <c r="T521" s="14" t="n">
        <v>555.59</v>
      </c>
      <c r="U521" s="14" t="n">
        <v>350</v>
      </c>
      <c r="V521" s="14" t="n">
        <v>0</v>
      </c>
      <c r="W521" s="14">
        <f>U521+V521</f>
        <v/>
      </c>
    </row>
    <row r="522">
      <c r="A522" s="15" t="inlineStr">
        <is>
          <t>CANON-202606-007456</t>
        </is>
      </c>
      <c r="B522" s="15" t="inlineStr">
        <is>
          <t>2026-06-20</t>
        </is>
      </c>
      <c r="C522" s="15" t="inlineStr">
        <is>
          <t>Callum Vasquez</t>
        </is>
      </c>
      <c r="D522" s="15" t="inlineStr">
        <is>
          <t>NJ</t>
        </is>
      </c>
      <c r="E522" s="16" t="n">
        <v>440000</v>
      </c>
      <c r="F522" s="16" t="n">
        <v>4333.39</v>
      </c>
      <c r="G522" s="16" t="n">
        <v>541.67</v>
      </c>
      <c r="H522" s="16" t="n">
        <v>541.67</v>
      </c>
      <c r="I522" s="16">
        <f>SUM(K522:T522)</f>
        <v/>
      </c>
      <c r="J522" s="16">
        <f>F522-(G522+H522+I522)</f>
        <v/>
      </c>
      <c r="K522" s="16" t="n">
        <v>325</v>
      </c>
      <c r="L522" s="16" t="n">
        <v>325</v>
      </c>
      <c r="M522" s="16" t="n">
        <v>325</v>
      </c>
      <c r="N522" s="16" t="n">
        <v>325</v>
      </c>
      <c r="O522" s="16" t="n">
        <v>325</v>
      </c>
      <c r="P522" s="16" t="n">
        <v>325</v>
      </c>
      <c r="Q522" s="16" t="n">
        <v>325</v>
      </c>
      <c r="R522" s="16" t="n">
        <v>325</v>
      </c>
      <c r="S522" s="16" t="n">
        <v>325</v>
      </c>
      <c r="T522" s="16" t="n">
        <v>325</v>
      </c>
      <c r="U522" s="16" t="n">
        <v>350</v>
      </c>
      <c r="V522" s="16" t="n">
        <v>0</v>
      </c>
      <c r="W522" s="16">
        <f>U522+V522</f>
        <v/>
      </c>
    </row>
    <row r="523">
      <c r="A523" s="3" t="inlineStr">
        <is>
          <t>CANON-202606-007457</t>
        </is>
      </c>
      <c r="B523" s="3" t="inlineStr">
        <is>
          <t>2026-06-03</t>
        </is>
      </c>
      <c r="C523" s="3" t="inlineStr">
        <is>
          <t>Mireille Vandermeer</t>
        </is>
      </c>
      <c r="D523" s="3" t="inlineStr">
        <is>
          <t>TX</t>
        </is>
      </c>
      <c r="E523" s="14" t="n">
        <v>330000</v>
      </c>
      <c r="F523" s="14" t="n">
        <v>4107.19</v>
      </c>
      <c r="G523" s="14" t="n">
        <v>513.4</v>
      </c>
      <c r="H523" s="14" t="n">
        <v>513.4</v>
      </c>
      <c r="I523" s="14">
        <f>SUM(K523:T523)</f>
        <v/>
      </c>
      <c r="J523" s="14">
        <f>F523-(G523+H523+I523)</f>
        <v/>
      </c>
      <c r="K523" s="14" t="n">
        <v>308.04</v>
      </c>
      <c r="L523" s="14" t="n">
        <v>308.04</v>
      </c>
      <c r="M523" s="14" t="n">
        <v>308.04</v>
      </c>
      <c r="N523" s="14" t="n">
        <v>308.04</v>
      </c>
      <c r="O523" s="14" t="n">
        <v>308.04</v>
      </c>
      <c r="P523" s="14" t="n">
        <v>308.04</v>
      </c>
      <c r="Q523" s="14" t="n">
        <v>308.04</v>
      </c>
      <c r="R523" s="14" t="n">
        <v>308.04</v>
      </c>
      <c r="S523" s="14" t="n">
        <v>308.04</v>
      </c>
      <c r="T523" s="14" t="n">
        <v>308.04</v>
      </c>
      <c r="U523" s="14" t="n">
        <v>350</v>
      </c>
      <c r="V523" s="14" t="n">
        <v>0</v>
      </c>
      <c r="W523" s="14">
        <f>U523+V523</f>
        <v/>
      </c>
    </row>
    <row r="524">
      <c r="A524" s="15" t="inlineStr">
        <is>
          <t>CANON-202606-007458</t>
        </is>
      </c>
      <c r="B524" s="15" t="inlineStr">
        <is>
          <t>2026-06-23</t>
        </is>
      </c>
      <c r="C524" s="15" t="inlineStr">
        <is>
          <t>Thaddeus Merriweather</t>
        </is>
      </c>
      <c r="D524" s="15" t="inlineStr">
        <is>
          <t>WA</t>
        </is>
      </c>
      <c r="E524" s="16" t="n">
        <v>260000</v>
      </c>
      <c r="F524" s="16" t="n">
        <v>2701.33</v>
      </c>
      <c r="G524" s="16" t="n">
        <v>337.67</v>
      </c>
      <c r="H524" s="16" t="n">
        <v>337.67</v>
      </c>
      <c r="I524" s="16">
        <f>SUM(K524:T524)</f>
        <v/>
      </c>
      <c r="J524" s="16">
        <f>F524-(G524+H524+I524)</f>
        <v/>
      </c>
      <c r="K524" s="16" t="n">
        <v>202.6</v>
      </c>
      <c r="L524" s="16" t="n">
        <v>202.6</v>
      </c>
      <c r="M524" s="16" t="n">
        <v>202.6</v>
      </c>
      <c r="N524" s="16" t="n">
        <v>202.6</v>
      </c>
      <c r="O524" s="16" t="n">
        <v>202.6</v>
      </c>
      <c r="P524" s="16" t="n">
        <v>202.6</v>
      </c>
      <c r="Q524" s="16" t="n">
        <v>202.6</v>
      </c>
      <c r="R524" s="16" t="n">
        <v>202.6</v>
      </c>
      <c r="S524" s="16" t="n">
        <v>202.6</v>
      </c>
      <c r="T524" s="16" t="n">
        <v>202.6</v>
      </c>
      <c r="U524" s="16" t="n">
        <v>350</v>
      </c>
      <c r="V524" s="16" t="n">
        <v>0</v>
      </c>
      <c r="W524" s="16">
        <f>U524+V524</f>
        <v/>
      </c>
    </row>
    <row r="525">
      <c r="A525" s="3" t="inlineStr">
        <is>
          <t>CANON-202606-007459</t>
        </is>
      </c>
      <c r="B525" s="3" t="inlineStr">
        <is>
          <t>2026-06-23</t>
        </is>
      </c>
      <c r="C525" s="3" t="inlineStr">
        <is>
          <t>Ingrid Bellandi</t>
        </is>
      </c>
      <c r="D525" s="3" t="inlineStr">
        <is>
          <t>CO</t>
        </is>
      </c>
      <c r="E525" s="14" t="n">
        <v>490000</v>
      </c>
      <c r="F525" s="14" t="n">
        <v>5833.4</v>
      </c>
      <c r="G525" s="14" t="n">
        <v>729.17</v>
      </c>
      <c r="H525" s="14" t="n">
        <v>729.17</v>
      </c>
      <c r="I525" s="14">
        <f>SUM(K525:T525)</f>
        <v/>
      </c>
      <c r="J525" s="14">
        <f>F525-(G525+H525+I525)</f>
        <v/>
      </c>
      <c r="K525" s="14" t="n">
        <v>437.5</v>
      </c>
      <c r="L525" s="14" t="n">
        <v>437.5</v>
      </c>
      <c r="M525" s="14" t="n">
        <v>437.5</v>
      </c>
      <c r="N525" s="14" t="n">
        <v>437.5</v>
      </c>
      <c r="O525" s="14" t="n">
        <v>437.5</v>
      </c>
      <c r="P525" s="14" t="n">
        <v>437.5</v>
      </c>
      <c r="Q525" s="14" t="n">
        <v>437.5</v>
      </c>
      <c r="R525" s="14" t="n">
        <v>437.5</v>
      </c>
      <c r="S525" s="14" t="n">
        <v>437.5</v>
      </c>
      <c r="T525" s="14" t="n">
        <v>437.5</v>
      </c>
      <c r="U525" s="14" t="n">
        <v>350</v>
      </c>
      <c r="V525" s="14" t="n">
        <v>0</v>
      </c>
      <c r="W525" s="14">
        <f>U525+V525</f>
        <v/>
      </c>
    </row>
    <row r="526">
      <c r="A526" s="15" t="inlineStr">
        <is>
          <t>CANON-202606-007460</t>
        </is>
      </c>
      <c r="B526" s="15" t="inlineStr">
        <is>
          <t>2026-06-04</t>
        </is>
      </c>
      <c r="C526" s="15" t="inlineStr">
        <is>
          <t>Thaddeus Vandermeer</t>
        </is>
      </c>
      <c r="D526" s="15" t="inlineStr">
        <is>
          <t>FL</t>
        </is>
      </c>
      <c r="E526" s="16" t="n">
        <v>1310000</v>
      </c>
      <c r="F526" s="16" t="n">
        <v>14763.67</v>
      </c>
      <c r="G526" s="16" t="n">
        <v>1845.46</v>
      </c>
      <c r="H526" s="16" t="n">
        <v>1845.46</v>
      </c>
      <c r="I526" s="16">
        <f>SUM(K526:T526)</f>
        <v/>
      </c>
      <c r="J526" s="16">
        <f>F526-(G526+H526+I526)</f>
        <v/>
      </c>
      <c r="K526" s="16" t="n">
        <v>1107.28</v>
      </c>
      <c r="L526" s="16" t="n">
        <v>1107.28</v>
      </c>
      <c r="M526" s="16" t="n">
        <v>1107.28</v>
      </c>
      <c r="N526" s="16" t="n">
        <v>1107.28</v>
      </c>
      <c r="O526" s="16" t="n">
        <v>1107.28</v>
      </c>
      <c r="P526" s="16" t="n">
        <v>1107.28</v>
      </c>
      <c r="Q526" s="16" t="n">
        <v>1107.28</v>
      </c>
      <c r="R526" s="16" t="n">
        <v>1107.28</v>
      </c>
      <c r="S526" s="16" t="n">
        <v>1107.28</v>
      </c>
      <c r="T526" s="16" t="n">
        <v>1107.28</v>
      </c>
      <c r="U526" s="16" t="n">
        <v>350</v>
      </c>
      <c r="V526" s="16" t="n">
        <v>250</v>
      </c>
      <c r="W526" s="16">
        <f>U526+V526</f>
        <v/>
      </c>
    </row>
    <row r="527">
      <c r="A527" s="3" t="inlineStr">
        <is>
          <t>CANON-202606-007461</t>
        </is>
      </c>
      <c r="B527" s="3" t="inlineStr">
        <is>
          <t>2026-06-13</t>
        </is>
      </c>
      <c r="C527" s="3" t="inlineStr">
        <is>
          <t>Emiliano Blackwood</t>
        </is>
      </c>
      <c r="D527" s="3" t="inlineStr">
        <is>
          <t>CA</t>
        </is>
      </c>
      <c r="E527" s="14" t="n">
        <v>195000</v>
      </c>
      <c r="F527" s="14" t="n">
        <v>3494.85</v>
      </c>
      <c r="G527" s="14" t="n">
        <v>436.86</v>
      </c>
      <c r="H527" s="14" t="n">
        <v>436.86</v>
      </c>
      <c r="I527" s="14">
        <f>SUM(K527:T527)</f>
        <v/>
      </c>
      <c r="J527" s="14">
        <f>F527-(G527+H527+I527)</f>
        <v/>
      </c>
      <c r="K527" s="14" t="n">
        <v>262.11</v>
      </c>
      <c r="L527" s="14" t="n">
        <v>262.11</v>
      </c>
      <c r="M527" s="14" t="n">
        <v>262.11</v>
      </c>
      <c r="N527" s="14" t="n">
        <v>262.11</v>
      </c>
      <c r="O527" s="14" t="n">
        <v>262.11</v>
      </c>
      <c r="P527" s="14" t="n">
        <v>262.11</v>
      </c>
      <c r="Q527" s="14" t="n">
        <v>262.11</v>
      </c>
      <c r="R527" s="14" t="n">
        <v>262.11</v>
      </c>
      <c r="S527" s="14" t="n">
        <v>262.11</v>
      </c>
      <c r="T527" s="14" t="n">
        <v>262.11</v>
      </c>
      <c r="U527" s="14" t="n">
        <v>350</v>
      </c>
      <c r="V527" s="14" t="n">
        <v>0</v>
      </c>
      <c r="W527" s="14">
        <f>U527+V527</f>
        <v/>
      </c>
    </row>
    <row r="528">
      <c r="A528" s="15" t="inlineStr">
        <is>
          <t>CANON-202606-007462</t>
        </is>
      </c>
      <c r="B528" s="15" t="inlineStr">
        <is>
          <t>2026-06-14</t>
        </is>
      </c>
      <c r="C528" s="15" t="inlineStr">
        <is>
          <t>Desmond Ashcombe</t>
        </is>
      </c>
      <c r="D528" s="15" t="inlineStr">
        <is>
          <t>WV</t>
        </is>
      </c>
      <c r="E528" s="16" t="n">
        <v>1185000</v>
      </c>
      <c r="F528" s="16" t="n">
        <v>18194.16</v>
      </c>
      <c r="G528" s="16" t="n">
        <v>2274.27</v>
      </c>
      <c r="H528" s="16" t="n">
        <v>2274.27</v>
      </c>
      <c r="I528" s="16">
        <f>SUM(K528:T528)</f>
        <v/>
      </c>
      <c r="J528" s="16">
        <f>F528-(G528+H528+I528)</f>
        <v/>
      </c>
      <c r="K528" s="16" t="n">
        <v>1364.56</v>
      </c>
      <c r="L528" s="16" t="n">
        <v>1364.56</v>
      </c>
      <c r="M528" s="16" t="n">
        <v>1364.56</v>
      </c>
      <c r="N528" s="16" t="n">
        <v>1364.56</v>
      </c>
      <c r="O528" s="16" t="n">
        <v>1364.56</v>
      </c>
      <c r="P528" s="16" t="n">
        <v>1364.56</v>
      </c>
      <c r="Q528" s="16" t="n">
        <v>1364.56</v>
      </c>
      <c r="R528" s="16" t="n">
        <v>1364.56</v>
      </c>
      <c r="S528" s="16" t="n">
        <v>1364.56</v>
      </c>
      <c r="T528" s="16" t="n">
        <v>1364.56</v>
      </c>
      <c r="U528" s="16" t="n">
        <v>350</v>
      </c>
      <c r="V528" s="16" t="n">
        <v>250</v>
      </c>
      <c r="W528" s="16">
        <f>U528+V528</f>
        <v/>
      </c>
    </row>
    <row r="529">
      <c r="A529" s="3" t="inlineStr">
        <is>
          <t>CANON-202606-007466</t>
        </is>
      </c>
      <c r="B529" s="3" t="inlineStr">
        <is>
          <t>2026-06-19</t>
        </is>
      </c>
      <c r="C529" s="3" t="inlineStr">
        <is>
          <t>Ottilie Thistlewood</t>
        </is>
      </c>
      <c r="D529" s="3" t="inlineStr">
        <is>
          <t>WY</t>
        </is>
      </c>
      <c r="E529" s="14" t="n">
        <v>1030000</v>
      </c>
      <c r="F529" s="14" t="n">
        <v>12722.81</v>
      </c>
      <c r="G529" s="14" t="n">
        <v>1590.35</v>
      </c>
      <c r="H529" s="14" t="n">
        <v>1590.35</v>
      </c>
      <c r="I529" s="14">
        <f>SUM(K529:T529)</f>
        <v/>
      </c>
      <c r="J529" s="14">
        <f>F529-(G529+H529+I529)</f>
        <v/>
      </c>
      <c r="K529" s="14" t="n">
        <v>954.21</v>
      </c>
      <c r="L529" s="14" t="n">
        <v>954.21</v>
      </c>
      <c r="M529" s="14" t="n">
        <v>954.21</v>
      </c>
      <c r="N529" s="14" t="n">
        <v>954.21</v>
      </c>
      <c r="O529" s="14" t="n">
        <v>954.21</v>
      </c>
      <c r="P529" s="14" t="n">
        <v>954.21</v>
      </c>
      <c r="Q529" s="14" t="n">
        <v>954.21</v>
      </c>
      <c r="R529" s="14" t="n">
        <v>954.21</v>
      </c>
      <c r="S529" s="14" t="n">
        <v>954.21</v>
      </c>
      <c r="T529" s="14" t="n">
        <v>954.21</v>
      </c>
      <c r="U529" s="14" t="n">
        <v>350</v>
      </c>
      <c r="V529" s="14" t="n">
        <v>250</v>
      </c>
      <c r="W529" s="14">
        <f>U529+V529</f>
        <v/>
      </c>
    </row>
    <row r="530">
      <c r="A530" s="15" t="inlineStr">
        <is>
          <t>CANON-202606-007469</t>
        </is>
      </c>
      <c r="B530" s="15" t="inlineStr">
        <is>
          <t>2026-06-22</t>
        </is>
      </c>
      <c r="C530" s="15" t="inlineStr">
        <is>
          <t>Marisol Whitlock</t>
        </is>
      </c>
      <c r="D530" s="15" t="inlineStr">
        <is>
          <t>IL</t>
        </is>
      </c>
      <c r="E530" s="16" t="n">
        <v>1675000</v>
      </c>
      <c r="F530" s="16" t="n">
        <v>18079.58</v>
      </c>
      <c r="G530" s="16" t="n">
        <v>2259.95</v>
      </c>
      <c r="H530" s="16" t="n">
        <v>2259.95</v>
      </c>
      <c r="I530" s="16">
        <f>SUM(K530:T530)</f>
        <v/>
      </c>
      <c r="J530" s="16">
        <f>F530-(G530+H530+I530)</f>
        <v/>
      </c>
      <c r="K530" s="16" t="n">
        <v>1355.97</v>
      </c>
      <c r="L530" s="16" t="n">
        <v>1355.97</v>
      </c>
      <c r="M530" s="16" t="n">
        <v>1355.97</v>
      </c>
      <c r="N530" s="16" t="n">
        <v>1355.97</v>
      </c>
      <c r="O530" s="16" t="n">
        <v>1355.97</v>
      </c>
      <c r="P530" s="16" t="n">
        <v>1355.97</v>
      </c>
      <c r="Q530" s="16" t="n">
        <v>1355.97</v>
      </c>
      <c r="R530" s="16" t="n">
        <v>1355.97</v>
      </c>
      <c r="S530" s="16" t="n">
        <v>1355.97</v>
      </c>
      <c r="T530" s="16" t="n">
        <v>1355.97</v>
      </c>
      <c r="U530" s="16" t="n">
        <v>350</v>
      </c>
      <c r="V530" s="16" t="n">
        <v>250</v>
      </c>
      <c r="W530" s="16">
        <f>U530+V530</f>
        <v/>
      </c>
    </row>
    <row r="531">
      <c r="A531" s="3" t="inlineStr">
        <is>
          <t>CANON-202606-007471</t>
        </is>
      </c>
      <c r="B531" s="3" t="inlineStr">
        <is>
          <t>2026-06-25</t>
        </is>
      </c>
      <c r="C531" s="3" t="inlineStr">
        <is>
          <t>Mireille Larsson</t>
        </is>
      </c>
      <c r="D531" s="3" t="inlineStr">
        <is>
          <t>NH</t>
        </is>
      </c>
      <c r="E531" s="14" t="n">
        <v>390000</v>
      </c>
      <c r="F531" s="14" t="n">
        <v>2809.39</v>
      </c>
      <c r="G531" s="14" t="n">
        <v>351.17</v>
      </c>
      <c r="H531" s="14" t="n">
        <v>351.17</v>
      </c>
      <c r="I531" s="14">
        <f>SUM(K531:T531)</f>
        <v/>
      </c>
      <c r="J531" s="14">
        <f>F531-(G531+H531+I531)</f>
        <v/>
      </c>
      <c r="K531" s="14" t="n">
        <v>210.7</v>
      </c>
      <c r="L531" s="14" t="n">
        <v>210.7</v>
      </c>
      <c r="M531" s="14" t="n">
        <v>210.7</v>
      </c>
      <c r="N531" s="14" t="n">
        <v>210.7</v>
      </c>
      <c r="O531" s="14" t="n">
        <v>210.7</v>
      </c>
      <c r="P531" s="14" t="n">
        <v>210.7</v>
      </c>
      <c r="Q531" s="14" t="n">
        <v>210.7</v>
      </c>
      <c r="R531" s="14" t="n">
        <v>210.7</v>
      </c>
      <c r="S531" s="14" t="n">
        <v>210.7</v>
      </c>
      <c r="T531" s="14" t="n">
        <v>210.7</v>
      </c>
      <c r="U531" s="14" t="n">
        <v>350</v>
      </c>
      <c r="V531" s="14" t="n">
        <v>0</v>
      </c>
      <c r="W531" s="14">
        <f>U531+V531</f>
        <v/>
      </c>
    </row>
    <row r="532">
      <c r="A532" s="15" t="inlineStr">
        <is>
          <t>CANON-202606-007473</t>
        </is>
      </c>
      <c r="B532" s="15" t="inlineStr">
        <is>
          <t>2026-06-05</t>
        </is>
      </c>
      <c r="C532" s="15" t="inlineStr">
        <is>
          <t>Cassius Larsson</t>
        </is>
      </c>
      <c r="D532" s="15" t="inlineStr">
        <is>
          <t>KY</t>
        </is>
      </c>
      <c r="E532" s="16" t="n">
        <v>635000</v>
      </c>
      <c r="F532" s="16" t="n">
        <v>11664.71</v>
      </c>
      <c r="G532" s="16" t="n">
        <v>1458.09</v>
      </c>
      <c r="H532" s="16" t="n">
        <v>1458.09</v>
      </c>
      <c r="I532" s="16">
        <f>SUM(K532:T532)</f>
        <v/>
      </c>
      <c r="J532" s="16">
        <f>F532-(G532+H532+I532)</f>
        <v/>
      </c>
      <c r="K532" s="16" t="n">
        <v>874.85</v>
      </c>
      <c r="L532" s="16" t="n">
        <v>874.85</v>
      </c>
      <c r="M532" s="16" t="n">
        <v>874.85</v>
      </c>
      <c r="N532" s="16" t="n">
        <v>874.85</v>
      </c>
      <c r="O532" s="16" t="n">
        <v>874.85</v>
      </c>
      <c r="P532" s="16" t="n">
        <v>874.85</v>
      </c>
      <c r="Q532" s="16" t="n">
        <v>874.85</v>
      </c>
      <c r="R532" s="16" t="n">
        <v>874.85</v>
      </c>
      <c r="S532" s="16" t="n">
        <v>874.85</v>
      </c>
      <c r="T532" s="16" t="n">
        <v>874.85</v>
      </c>
      <c r="U532" s="16" t="n">
        <v>350</v>
      </c>
      <c r="V532" s="16" t="n">
        <v>0</v>
      </c>
      <c r="W532" s="16">
        <f>U532+V532</f>
        <v/>
      </c>
    </row>
    <row r="533">
      <c r="A533" s="3" t="inlineStr">
        <is>
          <t>CANON-202606-007474</t>
        </is>
      </c>
      <c r="B533" s="3" t="inlineStr">
        <is>
          <t>2026-06-04</t>
        </is>
      </c>
      <c r="C533" s="3" t="inlineStr">
        <is>
          <t>Sunniva Whitlock</t>
        </is>
      </c>
      <c r="D533" s="3" t="inlineStr">
        <is>
          <t>SD</t>
        </is>
      </c>
      <c r="E533" s="14" t="n">
        <v>585000</v>
      </c>
      <c r="F533" s="14" t="n">
        <v>6090.66</v>
      </c>
      <c r="G533" s="14" t="n">
        <v>761.33</v>
      </c>
      <c r="H533" s="14" t="n">
        <v>761.33</v>
      </c>
      <c r="I533" s="14">
        <f>SUM(K533:T533)</f>
        <v/>
      </c>
      <c r="J533" s="14">
        <f>F533-(G533+H533+I533)</f>
        <v/>
      </c>
      <c r="K533" s="14" t="n">
        <v>456.8</v>
      </c>
      <c r="L533" s="14" t="n">
        <v>456.8</v>
      </c>
      <c r="M533" s="14" t="n">
        <v>456.8</v>
      </c>
      <c r="N533" s="14" t="n">
        <v>456.8</v>
      </c>
      <c r="O533" s="14" t="n">
        <v>456.8</v>
      </c>
      <c r="P533" s="14" t="n">
        <v>456.8</v>
      </c>
      <c r="Q533" s="14" t="n">
        <v>456.8</v>
      </c>
      <c r="R533" s="14" t="n">
        <v>456.8</v>
      </c>
      <c r="S533" s="14" t="n">
        <v>456.8</v>
      </c>
      <c r="T533" s="14" t="n">
        <v>456.8</v>
      </c>
      <c r="U533" s="14" t="n">
        <v>350</v>
      </c>
      <c r="V533" s="14" t="n">
        <v>0</v>
      </c>
      <c r="W533" s="14">
        <f>U533+V533</f>
        <v/>
      </c>
    </row>
    <row r="534">
      <c r="A534" s="15" t="inlineStr">
        <is>
          <t>CANON-202606-007476</t>
        </is>
      </c>
      <c r="B534" s="15" t="inlineStr">
        <is>
          <t>2026-06-29</t>
        </is>
      </c>
      <c r="C534" s="15" t="inlineStr">
        <is>
          <t>Desmond Thistlewood</t>
        </is>
      </c>
      <c r="D534" s="15" t="inlineStr">
        <is>
          <t>VA</t>
        </is>
      </c>
      <c r="E534" s="16" t="n">
        <v>1330000</v>
      </c>
      <c r="F534" s="16" t="n">
        <v>11505.7</v>
      </c>
      <c r="G534" s="16" t="n">
        <v>1438.21</v>
      </c>
      <c r="H534" s="16" t="n">
        <v>1438.21</v>
      </c>
      <c r="I534" s="16">
        <f>SUM(K534:T534)</f>
        <v/>
      </c>
      <c r="J534" s="16">
        <f>F534-(G534+H534+I534)</f>
        <v/>
      </c>
      <c r="K534" s="16" t="n">
        <v>862.9299999999999</v>
      </c>
      <c r="L534" s="16" t="n">
        <v>862.9299999999999</v>
      </c>
      <c r="M534" s="16" t="n">
        <v>862.9299999999999</v>
      </c>
      <c r="N534" s="16" t="n">
        <v>862.9299999999999</v>
      </c>
      <c r="O534" s="16" t="n">
        <v>862.9299999999999</v>
      </c>
      <c r="P534" s="16" t="n">
        <v>862.9299999999999</v>
      </c>
      <c r="Q534" s="16" t="n">
        <v>862.9299999999999</v>
      </c>
      <c r="R534" s="16" t="n">
        <v>862.9299999999999</v>
      </c>
      <c r="S534" s="16" t="n">
        <v>862.9299999999999</v>
      </c>
      <c r="T534" s="16" t="n">
        <v>862.9299999999999</v>
      </c>
      <c r="U534" s="16" t="n">
        <v>350</v>
      </c>
      <c r="V534" s="16" t="n">
        <v>250</v>
      </c>
      <c r="W534" s="16">
        <f>U534+V534</f>
        <v/>
      </c>
    </row>
    <row r="535">
      <c r="A535" s="3" t="inlineStr">
        <is>
          <t>CANON-202606-007477</t>
        </is>
      </c>
      <c r="B535" s="3" t="inlineStr">
        <is>
          <t>2026-06-28</t>
        </is>
      </c>
      <c r="C535" s="3" t="inlineStr">
        <is>
          <t>Beatrix Rourke</t>
        </is>
      </c>
      <c r="D535" s="3" t="inlineStr">
        <is>
          <t>OH</t>
        </is>
      </c>
      <c r="E535" s="14" t="n">
        <v>370000</v>
      </c>
      <c r="F535" s="14" t="n">
        <v>5566.08</v>
      </c>
      <c r="G535" s="14" t="n">
        <v>695.76</v>
      </c>
      <c r="H535" s="14" t="n">
        <v>695.76</v>
      </c>
      <c r="I535" s="14">
        <f>SUM(K535:T535)</f>
        <v/>
      </c>
      <c r="J535" s="14">
        <f>F535-(G535+H535+I535)</f>
        <v/>
      </c>
      <c r="K535" s="14" t="n">
        <v>417.46</v>
      </c>
      <c r="L535" s="14" t="n">
        <v>417.46</v>
      </c>
      <c r="M535" s="14" t="n">
        <v>417.46</v>
      </c>
      <c r="N535" s="14" t="n">
        <v>417.46</v>
      </c>
      <c r="O535" s="14" t="n">
        <v>417.46</v>
      </c>
      <c r="P535" s="14" t="n">
        <v>417.46</v>
      </c>
      <c r="Q535" s="14" t="n">
        <v>417.46</v>
      </c>
      <c r="R535" s="14" t="n">
        <v>417.46</v>
      </c>
      <c r="S535" s="14" t="n">
        <v>417.46</v>
      </c>
      <c r="T535" s="14" t="n">
        <v>417.46</v>
      </c>
      <c r="U535" s="14" t="n">
        <v>350</v>
      </c>
      <c r="V535" s="14" t="n">
        <v>0</v>
      </c>
      <c r="W535" s="14">
        <f>U535+V535</f>
        <v/>
      </c>
    </row>
    <row r="536">
      <c r="A536" s="15" t="inlineStr">
        <is>
          <t>CANON-202606-007478</t>
        </is>
      </c>
      <c r="B536" s="15" t="inlineStr">
        <is>
          <t>2026-06-01</t>
        </is>
      </c>
      <c r="C536" s="15" t="inlineStr">
        <is>
          <t>Callum Blackwood</t>
        </is>
      </c>
      <c r="D536" s="15" t="inlineStr">
        <is>
          <t>KY</t>
        </is>
      </c>
      <c r="E536" s="16" t="n">
        <v>650000</v>
      </c>
      <c r="F536" s="16" t="n">
        <v>11940.26</v>
      </c>
      <c r="G536" s="16" t="n">
        <v>1492.53</v>
      </c>
      <c r="H536" s="16" t="n">
        <v>1492.53</v>
      </c>
      <c r="I536" s="16">
        <f>SUM(K536:T536)</f>
        <v/>
      </c>
      <c r="J536" s="16">
        <f>F536-(G536+H536+I536)</f>
        <v/>
      </c>
      <c r="K536" s="16" t="n">
        <v>895.52</v>
      </c>
      <c r="L536" s="16" t="n">
        <v>895.52</v>
      </c>
      <c r="M536" s="16" t="n">
        <v>895.52</v>
      </c>
      <c r="N536" s="16" t="n">
        <v>895.52</v>
      </c>
      <c r="O536" s="16" t="n">
        <v>895.52</v>
      </c>
      <c r="P536" s="16" t="n">
        <v>895.52</v>
      </c>
      <c r="Q536" s="16" t="n">
        <v>895.52</v>
      </c>
      <c r="R536" s="16" t="n">
        <v>895.52</v>
      </c>
      <c r="S536" s="16" t="n">
        <v>895.52</v>
      </c>
      <c r="T536" s="16" t="n">
        <v>895.52</v>
      </c>
      <c r="U536" s="16" t="n">
        <v>350</v>
      </c>
      <c r="V536" s="16" t="n">
        <v>0</v>
      </c>
      <c r="W536" s="16">
        <f>U536+V536</f>
        <v/>
      </c>
    </row>
    <row r="537">
      <c r="A537" s="3" t="inlineStr">
        <is>
          <t>CANON-202606-007479</t>
        </is>
      </c>
      <c r="B537" s="3" t="inlineStr">
        <is>
          <t>2026-06-10</t>
        </is>
      </c>
      <c r="C537" s="3" t="inlineStr">
        <is>
          <t>Callum Delacroix</t>
        </is>
      </c>
      <c r="D537" s="3" t="inlineStr">
        <is>
          <t>SC</t>
        </is>
      </c>
      <c r="E537" s="14" t="n">
        <v>590000</v>
      </c>
      <c r="F537" s="14" t="n">
        <v>10029.27</v>
      </c>
      <c r="G537" s="14" t="n">
        <v>1253.66</v>
      </c>
      <c r="H537" s="14" t="n">
        <v>1253.66</v>
      </c>
      <c r="I537" s="14">
        <f>SUM(K537:T537)</f>
        <v/>
      </c>
      <c r="J537" s="14">
        <f>F537-(G537+H537+I537)</f>
        <v/>
      </c>
      <c r="K537" s="14" t="n">
        <v>752.2</v>
      </c>
      <c r="L537" s="14" t="n">
        <v>752.2</v>
      </c>
      <c r="M537" s="14" t="n">
        <v>752.2</v>
      </c>
      <c r="N537" s="14" t="n">
        <v>752.2</v>
      </c>
      <c r="O537" s="14" t="n">
        <v>752.2</v>
      </c>
      <c r="P537" s="14" t="n">
        <v>752.2</v>
      </c>
      <c r="Q537" s="14" t="n">
        <v>752.2</v>
      </c>
      <c r="R537" s="14" t="n">
        <v>752.2</v>
      </c>
      <c r="S537" s="14" t="n">
        <v>752.2</v>
      </c>
      <c r="T537" s="14" t="n">
        <v>752.2</v>
      </c>
      <c r="U537" s="14" t="n">
        <v>350</v>
      </c>
      <c r="V537" s="14" t="n">
        <v>0</v>
      </c>
      <c r="W537" s="14">
        <f>U537+V537</f>
        <v/>
      </c>
    </row>
    <row r="538">
      <c r="A538" s="15" t="inlineStr">
        <is>
          <t>CANON-202606-007480</t>
        </is>
      </c>
      <c r="B538" s="15" t="inlineStr">
        <is>
          <t>2026-06-03</t>
        </is>
      </c>
      <c r="C538" s="15" t="inlineStr">
        <is>
          <t>Emiliano Whitlock</t>
        </is>
      </c>
      <c r="D538" s="15" t="inlineStr">
        <is>
          <t>FL</t>
        </is>
      </c>
      <c r="E538" s="16" t="n">
        <v>245000</v>
      </c>
      <c r="F538" s="16" t="n">
        <v>4618.64</v>
      </c>
      <c r="G538" s="16" t="n">
        <v>577.33</v>
      </c>
      <c r="H538" s="16" t="n">
        <v>577.33</v>
      </c>
      <c r="I538" s="16">
        <f>SUM(K538:T538)</f>
        <v/>
      </c>
      <c r="J538" s="16">
        <f>F538-(G538+H538+I538)</f>
        <v/>
      </c>
      <c r="K538" s="16" t="n">
        <v>346.4</v>
      </c>
      <c r="L538" s="16" t="n">
        <v>346.4</v>
      </c>
      <c r="M538" s="16" t="n">
        <v>346.4</v>
      </c>
      <c r="N538" s="16" t="n">
        <v>346.4</v>
      </c>
      <c r="O538" s="16" t="n">
        <v>346.4</v>
      </c>
      <c r="P538" s="16" t="n">
        <v>346.4</v>
      </c>
      <c r="Q538" s="16" t="n">
        <v>346.4</v>
      </c>
      <c r="R538" s="16" t="n">
        <v>346.4</v>
      </c>
      <c r="S538" s="16" t="n">
        <v>346.4</v>
      </c>
      <c r="T538" s="16" t="n">
        <v>346.4</v>
      </c>
      <c r="U538" s="16" t="n">
        <v>350</v>
      </c>
      <c r="V538" s="16" t="n">
        <v>0</v>
      </c>
      <c r="W538" s="16">
        <f>U538+V538</f>
        <v/>
      </c>
    </row>
    <row r="539">
      <c r="A539" s="3" t="inlineStr">
        <is>
          <t>CANON-202606-007481</t>
        </is>
      </c>
      <c r="B539" s="3" t="inlineStr">
        <is>
          <t>2026-06-17</t>
        </is>
      </c>
      <c r="C539" s="3" t="inlineStr">
        <is>
          <t>Beatrix Thistlewood</t>
        </is>
      </c>
      <c r="D539" s="3" t="inlineStr">
        <is>
          <t>MA</t>
        </is>
      </c>
      <c r="E539" s="14" t="n">
        <v>970000</v>
      </c>
      <c r="F539" s="14" t="n">
        <v>13647.35</v>
      </c>
      <c r="G539" s="14" t="n">
        <v>1705.92</v>
      </c>
      <c r="H539" s="14" t="n">
        <v>1705.92</v>
      </c>
      <c r="I539" s="14">
        <f>SUM(K539:T539)</f>
        <v/>
      </c>
      <c r="J539" s="14">
        <f>F539-(G539+H539+I539)</f>
        <v/>
      </c>
      <c r="K539" s="14" t="n">
        <v>1023.55</v>
      </c>
      <c r="L539" s="14" t="n">
        <v>1023.55</v>
      </c>
      <c r="M539" s="14" t="n">
        <v>1023.55</v>
      </c>
      <c r="N539" s="14" t="n">
        <v>1023.55</v>
      </c>
      <c r="O539" s="14" t="n">
        <v>1023.55</v>
      </c>
      <c r="P539" s="14" t="n">
        <v>1023.55</v>
      </c>
      <c r="Q539" s="14" t="n">
        <v>1023.55</v>
      </c>
      <c r="R539" s="14" t="n">
        <v>1023.55</v>
      </c>
      <c r="S539" s="14" t="n">
        <v>1023.55</v>
      </c>
      <c r="T539" s="14" t="n">
        <v>1023.55</v>
      </c>
      <c r="U539" s="14" t="n">
        <v>350</v>
      </c>
      <c r="V539" s="14" t="n">
        <v>0</v>
      </c>
      <c r="W539" s="14">
        <f>U539+V539</f>
        <v/>
      </c>
    </row>
    <row r="540">
      <c r="A540" s="15" t="inlineStr">
        <is>
          <t>CANON-202606-007482</t>
        </is>
      </c>
      <c r="B540" s="15" t="inlineStr">
        <is>
          <t>2026-06-23</t>
        </is>
      </c>
      <c r="C540" s="15" t="inlineStr">
        <is>
          <t>Sunniva Castellanos</t>
        </is>
      </c>
      <c r="D540" s="15" t="inlineStr">
        <is>
          <t>AZ</t>
        </is>
      </c>
      <c r="E540" s="16" t="n">
        <v>585000</v>
      </c>
      <c r="F540" s="16" t="n">
        <v>5541.95</v>
      </c>
      <c r="G540" s="16" t="n">
        <v>692.74</v>
      </c>
      <c r="H540" s="16" t="n">
        <v>692.74</v>
      </c>
      <c r="I540" s="16">
        <f>SUM(K540:T540)</f>
        <v/>
      </c>
      <c r="J540" s="16">
        <f>F540-(G540+H540+I540)</f>
        <v/>
      </c>
      <c r="K540" s="16" t="n">
        <v>415.65</v>
      </c>
      <c r="L540" s="16" t="n">
        <v>415.65</v>
      </c>
      <c r="M540" s="16" t="n">
        <v>415.65</v>
      </c>
      <c r="N540" s="16" t="n">
        <v>415.65</v>
      </c>
      <c r="O540" s="16" t="n">
        <v>415.65</v>
      </c>
      <c r="P540" s="16" t="n">
        <v>415.65</v>
      </c>
      <c r="Q540" s="16" t="n">
        <v>415.65</v>
      </c>
      <c r="R540" s="16" t="n">
        <v>415.65</v>
      </c>
      <c r="S540" s="16" t="n">
        <v>415.65</v>
      </c>
      <c r="T540" s="16" t="n">
        <v>415.65</v>
      </c>
      <c r="U540" s="16" t="n">
        <v>350</v>
      </c>
      <c r="V540" s="16" t="n">
        <v>0</v>
      </c>
      <c r="W540" s="16">
        <f>U540+V540</f>
        <v/>
      </c>
    </row>
    <row r="541">
      <c r="A541" s="3" t="inlineStr">
        <is>
          <t>CANON-202606-007483</t>
        </is>
      </c>
      <c r="B541" s="3" t="inlineStr">
        <is>
          <t>2026-06-15</t>
        </is>
      </c>
      <c r="C541" s="3" t="inlineStr">
        <is>
          <t>Wilhelmina Nakashima</t>
        </is>
      </c>
      <c r="D541" s="3" t="inlineStr">
        <is>
          <t>OR</t>
        </is>
      </c>
      <c r="E541" s="14" t="n">
        <v>650000</v>
      </c>
      <c r="F541" s="14" t="n">
        <v>6889.33</v>
      </c>
      <c r="G541" s="14" t="n">
        <v>861.17</v>
      </c>
      <c r="H541" s="14" t="n">
        <v>861.17</v>
      </c>
      <c r="I541" s="14">
        <f>SUM(K541:T541)</f>
        <v/>
      </c>
      <c r="J541" s="14">
        <f>F541-(G541+H541+I541)</f>
        <v/>
      </c>
      <c r="K541" s="14" t="n">
        <v>516.7</v>
      </c>
      <c r="L541" s="14" t="n">
        <v>516.7</v>
      </c>
      <c r="M541" s="14" t="n">
        <v>516.7</v>
      </c>
      <c r="N541" s="14" t="n">
        <v>516.7</v>
      </c>
      <c r="O541" s="14" t="n">
        <v>516.7</v>
      </c>
      <c r="P541" s="14" t="n">
        <v>516.7</v>
      </c>
      <c r="Q541" s="14" t="n">
        <v>516.7</v>
      </c>
      <c r="R541" s="14" t="n">
        <v>516.7</v>
      </c>
      <c r="S541" s="14" t="n">
        <v>516.7</v>
      </c>
      <c r="T541" s="14" t="n">
        <v>516.7</v>
      </c>
      <c r="U541" s="14" t="n">
        <v>350</v>
      </c>
      <c r="V541" s="14" t="n">
        <v>0</v>
      </c>
      <c r="W541" s="14">
        <f>U541+V541</f>
        <v/>
      </c>
    </row>
    <row r="542">
      <c r="A542" s="15" t="inlineStr">
        <is>
          <t>CANON-202606-007484</t>
        </is>
      </c>
      <c r="B542" s="15" t="inlineStr">
        <is>
          <t>2026-06-08</t>
        </is>
      </c>
      <c r="C542" s="15" t="inlineStr">
        <is>
          <t>Horace Rourke</t>
        </is>
      </c>
      <c r="D542" s="15" t="inlineStr">
        <is>
          <t>NE</t>
        </is>
      </c>
      <c r="E542" s="16" t="n">
        <v>995000</v>
      </c>
      <c r="F542" s="16" t="n">
        <v>8026.14</v>
      </c>
      <c r="G542" s="16" t="n">
        <v>1003.27</v>
      </c>
      <c r="H542" s="16" t="n">
        <v>1003.27</v>
      </c>
      <c r="I542" s="16">
        <f>SUM(K542:T542)</f>
        <v/>
      </c>
      <c r="J542" s="16">
        <f>F542-(G542+H542+I542)</f>
        <v/>
      </c>
      <c r="K542" s="16" t="n">
        <v>601.96</v>
      </c>
      <c r="L542" s="16" t="n">
        <v>601.96</v>
      </c>
      <c r="M542" s="16" t="n">
        <v>601.96</v>
      </c>
      <c r="N542" s="16" t="n">
        <v>601.96</v>
      </c>
      <c r="O542" s="16" t="n">
        <v>601.96</v>
      </c>
      <c r="P542" s="16" t="n">
        <v>601.96</v>
      </c>
      <c r="Q542" s="16" t="n">
        <v>601.96</v>
      </c>
      <c r="R542" s="16" t="n">
        <v>601.96</v>
      </c>
      <c r="S542" s="16" t="n">
        <v>601.96</v>
      </c>
      <c r="T542" s="16" t="n">
        <v>601.96</v>
      </c>
      <c r="U542" s="16" t="n">
        <v>350</v>
      </c>
      <c r="V542" s="16" t="n">
        <v>0</v>
      </c>
      <c r="W542" s="16">
        <f>U542+V542</f>
        <v/>
      </c>
    </row>
    <row r="543">
      <c r="A543" s="3" t="inlineStr">
        <is>
          <t>CANON-202606-007485</t>
        </is>
      </c>
      <c r="B543" s="3" t="inlineStr">
        <is>
          <t>2026-06-11</t>
        </is>
      </c>
      <c r="C543" s="3" t="inlineStr">
        <is>
          <t>Ramona Bellandi</t>
        </is>
      </c>
      <c r="D543" s="3" t="inlineStr">
        <is>
          <t>GA</t>
        </is>
      </c>
      <c r="E543" s="14" t="n">
        <v>1490000</v>
      </c>
      <c r="F543" s="14" t="n">
        <v>13244.61</v>
      </c>
      <c r="G543" s="14" t="n">
        <v>1655.58</v>
      </c>
      <c r="H543" s="14" t="n">
        <v>1655.58</v>
      </c>
      <c r="I543" s="14">
        <f>SUM(K543:T543)</f>
        <v/>
      </c>
      <c r="J543" s="14">
        <f>F543-(G543+H543+I543)</f>
        <v/>
      </c>
      <c r="K543" s="14" t="n">
        <v>993.35</v>
      </c>
      <c r="L543" s="14" t="n">
        <v>993.35</v>
      </c>
      <c r="M543" s="14" t="n">
        <v>993.35</v>
      </c>
      <c r="N543" s="14" t="n">
        <v>993.35</v>
      </c>
      <c r="O543" s="14" t="n">
        <v>993.35</v>
      </c>
      <c r="P543" s="14" t="n">
        <v>993.35</v>
      </c>
      <c r="Q543" s="14" t="n">
        <v>993.35</v>
      </c>
      <c r="R543" s="14" t="n">
        <v>993.35</v>
      </c>
      <c r="S543" s="14" t="n">
        <v>993.35</v>
      </c>
      <c r="T543" s="14" t="n">
        <v>993.35</v>
      </c>
      <c r="U543" s="14" t="n">
        <v>350</v>
      </c>
      <c r="V543" s="14" t="n">
        <v>250</v>
      </c>
      <c r="W543" s="14">
        <f>U543+V543</f>
        <v/>
      </c>
    </row>
    <row r="544">
      <c r="A544" s="15" t="inlineStr">
        <is>
          <t>CANON-202606-007486</t>
        </is>
      </c>
      <c r="B544" s="15" t="inlineStr">
        <is>
          <t>2026-06-01</t>
        </is>
      </c>
      <c r="C544" s="15" t="inlineStr">
        <is>
          <t>Sunniva Bellandi</t>
        </is>
      </c>
      <c r="D544" s="15" t="inlineStr">
        <is>
          <t>PA</t>
        </is>
      </c>
      <c r="E544" s="16" t="n">
        <v>220000</v>
      </c>
      <c r="F544" s="16" t="n">
        <v>1809.55</v>
      </c>
      <c r="G544" s="16" t="n">
        <v>226.19</v>
      </c>
      <c r="H544" s="16" t="n">
        <v>226.19</v>
      </c>
      <c r="I544" s="16">
        <f>SUM(K544:T544)</f>
        <v/>
      </c>
      <c r="J544" s="16">
        <f>F544-(G544+H544+I544)</f>
        <v/>
      </c>
      <c r="K544" s="16" t="n">
        <v>135.72</v>
      </c>
      <c r="L544" s="16" t="n">
        <v>135.72</v>
      </c>
      <c r="M544" s="16" t="n">
        <v>135.72</v>
      </c>
      <c r="N544" s="16" t="n">
        <v>135.72</v>
      </c>
      <c r="O544" s="16" t="n">
        <v>135.72</v>
      </c>
      <c r="P544" s="16" t="n">
        <v>135.72</v>
      </c>
      <c r="Q544" s="16" t="n">
        <v>135.72</v>
      </c>
      <c r="R544" s="16" t="n">
        <v>135.72</v>
      </c>
      <c r="S544" s="16" t="n">
        <v>135.72</v>
      </c>
      <c r="T544" s="16" t="n">
        <v>135.72</v>
      </c>
      <c r="U544" s="16" t="n">
        <v>350</v>
      </c>
      <c r="V544" s="16" t="n">
        <v>0</v>
      </c>
      <c r="W544" s="16">
        <f>U544+V544</f>
        <v/>
      </c>
    </row>
    <row r="545">
      <c r="A545" s="3" t="inlineStr">
        <is>
          <t>CANON-202606-007488</t>
        </is>
      </c>
      <c r="B545" s="3" t="inlineStr">
        <is>
          <t>2026-06-22</t>
        </is>
      </c>
      <c r="C545" s="3" t="inlineStr">
        <is>
          <t>Wilhelmina Castellanos</t>
        </is>
      </c>
      <c r="D545" s="3" t="inlineStr">
        <is>
          <t>WI</t>
        </is>
      </c>
      <c r="E545" s="14" t="n">
        <v>495000</v>
      </c>
      <c r="F545" s="14" t="n">
        <v>9857.26</v>
      </c>
      <c r="G545" s="14" t="n">
        <v>1232.16</v>
      </c>
      <c r="H545" s="14" t="n">
        <v>1232.16</v>
      </c>
      <c r="I545" s="14">
        <f>SUM(K545:T545)</f>
        <v/>
      </c>
      <c r="J545" s="14">
        <f>F545-(G545+H545+I545)</f>
        <v/>
      </c>
      <c r="K545" s="14" t="n">
        <v>739.29</v>
      </c>
      <c r="L545" s="14" t="n">
        <v>739.29</v>
      </c>
      <c r="M545" s="14" t="n">
        <v>739.29</v>
      </c>
      <c r="N545" s="14" t="n">
        <v>739.29</v>
      </c>
      <c r="O545" s="14" t="n">
        <v>739.29</v>
      </c>
      <c r="P545" s="14" t="n">
        <v>739.29</v>
      </c>
      <c r="Q545" s="14" t="n">
        <v>739.29</v>
      </c>
      <c r="R545" s="14" t="n">
        <v>739.29</v>
      </c>
      <c r="S545" s="14" t="n">
        <v>739.29</v>
      </c>
      <c r="T545" s="14" t="n">
        <v>739.29</v>
      </c>
      <c r="U545" s="14" t="n">
        <v>350</v>
      </c>
      <c r="V545" s="14" t="n">
        <v>0</v>
      </c>
      <c r="W545" s="14">
        <f>U545+V545</f>
        <v/>
      </c>
    </row>
    <row r="546">
      <c r="A546" s="15" t="inlineStr">
        <is>
          <t>CANON-202606-007489</t>
        </is>
      </c>
      <c r="B546" s="15" t="inlineStr">
        <is>
          <t>2026-06-02</t>
        </is>
      </c>
      <c r="C546" s="15" t="inlineStr">
        <is>
          <t>Ingrid Thistlewood</t>
        </is>
      </c>
      <c r="D546" s="15" t="inlineStr">
        <is>
          <t>LA</t>
        </is>
      </c>
      <c r="E546" s="16" t="n">
        <v>940000</v>
      </c>
      <c r="F546" s="16" t="n">
        <v>10668.39</v>
      </c>
      <c r="G546" s="16" t="n">
        <v>1333.55</v>
      </c>
      <c r="H546" s="16" t="n">
        <v>1333.55</v>
      </c>
      <c r="I546" s="16">
        <f>SUM(K546:T546)</f>
        <v/>
      </c>
      <c r="J546" s="16">
        <f>F546-(G546+H546+I546)</f>
        <v/>
      </c>
      <c r="K546" s="16" t="n">
        <v>800.13</v>
      </c>
      <c r="L546" s="16" t="n">
        <v>800.13</v>
      </c>
      <c r="M546" s="16" t="n">
        <v>800.13</v>
      </c>
      <c r="N546" s="16" t="n">
        <v>800.13</v>
      </c>
      <c r="O546" s="16" t="n">
        <v>800.13</v>
      </c>
      <c r="P546" s="16" t="n">
        <v>800.13</v>
      </c>
      <c r="Q546" s="16" t="n">
        <v>800.13</v>
      </c>
      <c r="R546" s="16" t="n">
        <v>800.13</v>
      </c>
      <c r="S546" s="16" t="n">
        <v>800.13</v>
      </c>
      <c r="T546" s="16" t="n">
        <v>800.13</v>
      </c>
      <c r="U546" s="16" t="n">
        <v>350</v>
      </c>
      <c r="V546" s="16" t="n">
        <v>0</v>
      </c>
      <c r="W546" s="16">
        <f>U546+V546</f>
        <v/>
      </c>
    </row>
    <row r="547">
      <c r="A547" s="3" t="inlineStr">
        <is>
          <t>CANON-202606-007490</t>
        </is>
      </c>
      <c r="B547" s="3" t="inlineStr">
        <is>
          <t>2026-06-28</t>
        </is>
      </c>
      <c r="C547" s="3" t="inlineStr">
        <is>
          <t>Noor Chattopadhyay</t>
        </is>
      </c>
      <c r="D547" s="3" t="inlineStr">
        <is>
          <t>WV</t>
        </is>
      </c>
      <c r="E547" s="14" t="n">
        <v>1415000</v>
      </c>
      <c r="F547" s="14" t="n">
        <v>21725.51</v>
      </c>
      <c r="G547" s="14" t="n">
        <v>2715.69</v>
      </c>
      <c r="H547" s="14" t="n">
        <v>2715.69</v>
      </c>
      <c r="I547" s="14">
        <f>SUM(K547:T547)</f>
        <v/>
      </c>
      <c r="J547" s="14">
        <f>F547-(G547+H547+I547)</f>
        <v/>
      </c>
      <c r="K547" s="14" t="n">
        <v>1629.41</v>
      </c>
      <c r="L547" s="14" t="n">
        <v>1629.41</v>
      </c>
      <c r="M547" s="14" t="n">
        <v>1629.41</v>
      </c>
      <c r="N547" s="14" t="n">
        <v>1629.41</v>
      </c>
      <c r="O547" s="14" t="n">
        <v>1629.41</v>
      </c>
      <c r="P547" s="14" t="n">
        <v>1629.41</v>
      </c>
      <c r="Q547" s="14" t="n">
        <v>1629.41</v>
      </c>
      <c r="R547" s="14" t="n">
        <v>1629.41</v>
      </c>
      <c r="S547" s="14" t="n">
        <v>1629.41</v>
      </c>
      <c r="T547" s="14" t="n">
        <v>1629.41</v>
      </c>
      <c r="U547" s="14" t="n">
        <v>350</v>
      </c>
      <c r="V547" s="14" t="n">
        <v>250</v>
      </c>
      <c r="W547" s="14">
        <f>U547+V547</f>
        <v/>
      </c>
    </row>
    <row r="548">
      <c r="A548" s="15" t="inlineStr">
        <is>
          <t>CANON-202606-007491</t>
        </is>
      </c>
      <c r="B548" s="15" t="inlineStr">
        <is>
          <t>2026-06-15</t>
        </is>
      </c>
      <c r="C548" s="15" t="inlineStr">
        <is>
          <t>Fenwick Castellanos</t>
        </is>
      </c>
      <c r="D548" s="15" t="inlineStr">
        <is>
          <t>WI</t>
        </is>
      </c>
      <c r="E548" s="16" t="n">
        <v>370000</v>
      </c>
      <c r="F548" s="16" t="n">
        <v>4805.25</v>
      </c>
      <c r="G548" s="16" t="n">
        <v>600.66</v>
      </c>
      <c r="H548" s="16" t="n">
        <v>600.66</v>
      </c>
      <c r="I548" s="16">
        <f>SUM(K548:T548)</f>
        <v/>
      </c>
      <c r="J548" s="16">
        <f>F548-(G548+H548+I548)</f>
        <v/>
      </c>
      <c r="K548" s="16" t="n">
        <v>360.39</v>
      </c>
      <c r="L548" s="16" t="n">
        <v>360.39</v>
      </c>
      <c r="M548" s="16" t="n">
        <v>360.39</v>
      </c>
      <c r="N548" s="16" t="n">
        <v>360.39</v>
      </c>
      <c r="O548" s="16" t="n">
        <v>360.39</v>
      </c>
      <c r="P548" s="16" t="n">
        <v>360.39</v>
      </c>
      <c r="Q548" s="16" t="n">
        <v>360.39</v>
      </c>
      <c r="R548" s="16" t="n">
        <v>360.39</v>
      </c>
      <c r="S548" s="16" t="n">
        <v>360.39</v>
      </c>
      <c r="T548" s="16" t="n">
        <v>360.39</v>
      </c>
      <c r="U548" s="16" t="n">
        <v>350</v>
      </c>
      <c r="V548" s="16" t="n">
        <v>0</v>
      </c>
      <c r="W548" s="16">
        <f>U548+V548</f>
        <v/>
      </c>
    </row>
    <row r="549">
      <c r="A549" s="3" t="inlineStr">
        <is>
          <t>CANON-202606-007494</t>
        </is>
      </c>
      <c r="B549" s="3" t="inlineStr">
        <is>
          <t>2026-06-04</t>
        </is>
      </c>
      <c r="C549" s="3" t="inlineStr">
        <is>
          <t>Priya Nakashima</t>
        </is>
      </c>
      <c r="D549" s="3" t="inlineStr">
        <is>
          <t>HI</t>
        </is>
      </c>
      <c r="E549" s="14" t="n">
        <v>1895000</v>
      </c>
      <c r="F549" s="14" t="n">
        <v>19551.82</v>
      </c>
      <c r="G549" s="14" t="n">
        <v>2443.98</v>
      </c>
      <c r="H549" s="14" t="n">
        <v>2443.98</v>
      </c>
      <c r="I549" s="14">
        <f>SUM(K549:T549)</f>
        <v/>
      </c>
      <c r="J549" s="14">
        <f>F549-(G549+H549+I549)</f>
        <v/>
      </c>
      <c r="K549" s="14" t="n">
        <v>1466.39</v>
      </c>
      <c r="L549" s="14" t="n">
        <v>1466.39</v>
      </c>
      <c r="M549" s="14" t="n">
        <v>1466.39</v>
      </c>
      <c r="N549" s="14" t="n">
        <v>1466.39</v>
      </c>
      <c r="O549" s="14" t="n">
        <v>1466.39</v>
      </c>
      <c r="P549" s="14" t="n">
        <v>1466.39</v>
      </c>
      <c r="Q549" s="14" t="n">
        <v>1466.39</v>
      </c>
      <c r="R549" s="14" t="n">
        <v>1466.39</v>
      </c>
      <c r="S549" s="14" t="n">
        <v>1466.39</v>
      </c>
      <c r="T549" s="14" t="n">
        <v>1466.39</v>
      </c>
      <c r="U549" s="14" t="n">
        <v>350</v>
      </c>
      <c r="V549" s="14" t="n">
        <v>250</v>
      </c>
      <c r="W549" s="14">
        <f>U549+V549</f>
        <v/>
      </c>
    </row>
    <row r="550">
      <c r="A550" s="15" t="inlineStr">
        <is>
          <t>CANON-202606-007495</t>
        </is>
      </c>
      <c r="B550" s="15" t="inlineStr">
        <is>
          <t>2026-06-19</t>
        </is>
      </c>
      <c r="C550" s="15" t="inlineStr">
        <is>
          <t>Delphine Ashcombe</t>
        </is>
      </c>
      <c r="D550" s="15" t="inlineStr">
        <is>
          <t>CA</t>
        </is>
      </c>
      <c r="E550" s="16" t="n">
        <v>1950000</v>
      </c>
      <c r="F550" s="16" t="n">
        <v>30389.98</v>
      </c>
      <c r="G550" s="16" t="n">
        <v>3798.75</v>
      </c>
      <c r="H550" s="16" t="n">
        <v>3798.75</v>
      </c>
      <c r="I550" s="16">
        <f>SUM(K550:T550)</f>
        <v/>
      </c>
      <c r="J550" s="16">
        <f>F550-(G550+H550+I550)</f>
        <v/>
      </c>
      <c r="K550" s="16" t="n">
        <v>2279.25</v>
      </c>
      <c r="L550" s="16" t="n">
        <v>2279.25</v>
      </c>
      <c r="M550" s="16" t="n">
        <v>2279.25</v>
      </c>
      <c r="N550" s="16" t="n">
        <v>2279.25</v>
      </c>
      <c r="O550" s="16" t="n">
        <v>2279.25</v>
      </c>
      <c r="P550" s="16" t="n">
        <v>2279.25</v>
      </c>
      <c r="Q550" s="16" t="n">
        <v>2279.25</v>
      </c>
      <c r="R550" s="16" t="n">
        <v>2279.25</v>
      </c>
      <c r="S550" s="16" t="n">
        <v>2279.25</v>
      </c>
      <c r="T550" s="16" t="n">
        <v>2279.25</v>
      </c>
      <c r="U550" s="16" t="n">
        <v>350</v>
      </c>
      <c r="V550" s="16" t="n">
        <v>250</v>
      </c>
      <c r="W550" s="16">
        <f>U550+V550</f>
        <v/>
      </c>
    </row>
    <row r="551">
      <c r="A551" s="3" t="inlineStr">
        <is>
          <t>CANON-202606-007496</t>
        </is>
      </c>
      <c r="B551" s="3" t="inlineStr">
        <is>
          <t>2026-06-06</t>
        </is>
      </c>
      <c r="C551" s="3" t="inlineStr">
        <is>
          <t>Wilhelmina Montoya</t>
        </is>
      </c>
      <c r="D551" s="3" t="inlineStr">
        <is>
          <t>MD</t>
        </is>
      </c>
      <c r="E551" s="14" t="n">
        <v>790000</v>
      </c>
      <c r="F551" s="14" t="n">
        <v>10288.36</v>
      </c>
      <c r="G551" s="14" t="n">
        <v>1286.05</v>
      </c>
      <c r="H551" s="14" t="n">
        <v>1286.05</v>
      </c>
      <c r="I551" s="14">
        <f>SUM(K551:T551)</f>
        <v/>
      </c>
      <c r="J551" s="14">
        <f>F551-(G551+H551+I551)</f>
        <v/>
      </c>
      <c r="K551" s="14" t="n">
        <v>771.63</v>
      </c>
      <c r="L551" s="14" t="n">
        <v>771.63</v>
      </c>
      <c r="M551" s="14" t="n">
        <v>771.63</v>
      </c>
      <c r="N551" s="14" t="n">
        <v>771.63</v>
      </c>
      <c r="O551" s="14" t="n">
        <v>771.63</v>
      </c>
      <c r="P551" s="14" t="n">
        <v>771.63</v>
      </c>
      <c r="Q551" s="14" t="n">
        <v>771.63</v>
      </c>
      <c r="R551" s="14" t="n">
        <v>771.63</v>
      </c>
      <c r="S551" s="14" t="n">
        <v>771.63</v>
      </c>
      <c r="T551" s="14" t="n">
        <v>771.63</v>
      </c>
      <c r="U551" s="14" t="n">
        <v>350</v>
      </c>
      <c r="V551" s="14" t="n">
        <v>0</v>
      </c>
      <c r="W551" s="14">
        <f>U551+V551</f>
        <v/>
      </c>
    </row>
    <row r="552">
      <c r="A552" s="15" t="inlineStr">
        <is>
          <t>CANON-202606-007497</t>
        </is>
      </c>
      <c r="B552" s="15" t="inlineStr">
        <is>
          <t>2026-06-13</t>
        </is>
      </c>
      <c r="C552" s="15" t="inlineStr">
        <is>
          <t>Horace Vandermeer</t>
        </is>
      </c>
      <c r="D552" s="15" t="inlineStr">
        <is>
          <t>FL</t>
        </is>
      </c>
      <c r="E552" s="16" t="n">
        <v>860000</v>
      </c>
      <c r="F552" s="16" t="n">
        <v>13745.28</v>
      </c>
      <c r="G552" s="16" t="n">
        <v>1718.16</v>
      </c>
      <c r="H552" s="16" t="n">
        <v>1718.16</v>
      </c>
      <c r="I552" s="16">
        <f>SUM(K552:T552)</f>
        <v/>
      </c>
      <c r="J552" s="16">
        <f>F552-(G552+H552+I552)</f>
        <v/>
      </c>
      <c r="K552" s="16" t="n">
        <v>1030.9</v>
      </c>
      <c r="L552" s="16" t="n">
        <v>1030.9</v>
      </c>
      <c r="M552" s="16" t="n">
        <v>1030.9</v>
      </c>
      <c r="N552" s="16" t="n">
        <v>1030.9</v>
      </c>
      <c r="O552" s="16" t="n">
        <v>1030.9</v>
      </c>
      <c r="P552" s="16" t="n">
        <v>1030.9</v>
      </c>
      <c r="Q552" s="16" t="n">
        <v>1030.9</v>
      </c>
      <c r="R552" s="16" t="n">
        <v>1030.9</v>
      </c>
      <c r="S552" s="16" t="n">
        <v>1030.9</v>
      </c>
      <c r="T552" s="16" t="n">
        <v>1030.9</v>
      </c>
      <c r="U552" s="16" t="n">
        <v>350</v>
      </c>
      <c r="V552" s="16" t="n">
        <v>0</v>
      </c>
      <c r="W552" s="16">
        <f>U552+V552</f>
        <v/>
      </c>
    </row>
    <row r="553">
      <c r="A553" s="3" t="inlineStr">
        <is>
          <t>CANON-202606-007498</t>
        </is>
      </c>
      <c r="B553" s="3" t="inlineStr">
        <is>
          <t>2026-06-01</t>
        </is>
      </c>
      <c r="C553" s="3" t="inlineStr">
        <is>
          <t>Horace Fairweather</t>
        </is>
      </c>
      <c r="D553" s="3" t="inlineStr">
        <is>
          <t>TX</t>
        </is>
      </c>
      <c r="E553" s="14" t="n">
        <v>630000</v>
      </c>
      <c r="F553" s="14" t="n">
        <v>9931.940000000001</v>
      </c>
      <c r="G553" s="14" t="n">
        <v>1241.49</v>
      </c>
      <c r="H553" s="14" t="n">
        <v>1241.49</v>
      </c>
      <c r="I553" s="14">
        <f>SUM(K553:T553)</f>
        <v/>
      </c>
      <c r="J553" s="14">
        <f>F553-(G553+H553+I553)</f>
        <v/>
      </c>
      <c r="K553" s="14" t="n">
        <v>744.9</v>
      </c>
      <c r="L553" s="14" t="n">
        <v>744.9</v>
      </c>
      <c r="M553" s="14" t="n">
        <v>744.9</v>
      </c>
      <c r="N553" s="14" t="n">
        <v>744.9</v>
      </c>
      <c r="O553" s="14" t="n">
        <v>744.9</v>
      </c>
      <c r="P553" s="14" t="n">
        <v>744.9</v>
      </c>
      <c r="Q553" s="14" t="n">
        <v>744.9</v>
      </c>
      <c r="R553" s="14" t="n">
        <v>744.9</v>
      </c>
      <c r="S553" s="14" t="n">
        <v>744.9</v>
      </c>
      <c r="T553" s="14" t="n">
        <v>744.9</v>
      </c>
      <c r="U553" s="14" t="n">
        <v>350</v>
      </c>
      <c r="V553" s="14" t="n">
        <v>0</v>
      </c>
      <c r="W553" s="14">
        <f>U553+V553</f>
        <v/>
      </c>
    </row>
    <row r="554">
      <c r="A554" s="15" t="inlineStr">
        <is>
          <t>CANON-202606-007501</t>
        </is>
      </c>
      <c r="B554" s="15" t="inlineStr">
        <is>
          <t>2026-06-23</t>
        </is>
      </c>
      <c r="C554" s="15" t="inlineStr">
        <is>
          <t>Sunniva Farkas</t>
        </is>
      </c>
      <c r="D554" s="15" t="inlineStr">
        <is>
          <t>CA</t>
        </is>
      </c>
      <c r="E554" s="16" t="n">
        <v>450000</v>
      </c>
      <c r="F554" s="16" t="n">
        <v>4207.85</v>
      </c>
      <c r="G554" s="16" t="n">
        <v>525.98</v>
      </c>
      <c r="H554" s="16" t="n">
        <v>525.98</v>
      </c>
      <c r="I554" s="16">
        <f>SUM(K554:T554)</f>
        <v/>
      </c>
      <c r="J554" s="16">
        <f>F554-(G554+H554+I554)</f>
        <v/>
      </c>
      <c r="K554" s="16" t="n">
        <v>315.59</v>
      </c>
      <c r="L554" s="16" t="n">
        <v>315.59</v>
      </c>
      <c r="M554" s="16" t="n">
        <v>315.59</v>
      </c>
      <c r="N554" s="16" t="n">
        <v>315.59</v>
      </c>
      <c r="O554" s="16" t="n">
        <v>315.59</v>
      </c>
      <c r="P554" s="16" t="n">
        <v>315.59</v>
      </c>
      <c r="Q554" s="16" t="n">
        <v>315.59</v>
      </c>
      <c r="R554" s="16" t="n">
        <v>315.59</v>
      </c>
      <c r="S554" s="16" t="n">
        <v>315.59</v>
      </c>
      <c r="T554" s="16" t="n">
        <v>315.59</v>
      </c>
      <c r="U554" s="16" t="n">
        <v>350</v>
      </c>
      <c r="V554" s="16" t="n">
        <v>0</v>
      </c>
      <c r="W554" s="16">
        <f>U554+V554</f>
        <v/>
      </c>
    </row>
    <row r="555">
      <c r="A555" s="3" t="inlineStr">
        <is>
          <t>CANON-202606-007502</t>
        </is>
      </c>
      <c r="B555" s="3" t="inlineStr">
        <is>
          <t>2026-06-12</t>
        </is>
      </c>
      <c r="C555" s="3" t="inlineStr">
        <is>
          <t>Noor Montoya</t>
        </is>
      </c>
      <c r="D555" s="3" t="inlineStr">
        <is>
          <t>NV</t>
        </is>
      </c>
      <c r="E555" s="14" t="n">
        <v>510000</v>
      </c>
      <c r="F555" s="14" t="n">
        <v>5596.82</v>
      </c>
      <c r="G555" s="14" t="n">
        <v>699.6</v>
      </c>
      <c r="H555" s="14" t="n">
        <v>699.6</v>
      </c>
      <c r="I555" s="14">
        <f>SUM(K555:T555)</f>
        <v/>
      </c>
      <c r="J555" s="14">
        <f>F555-(G555+H555+I555)</f>
        <v/>
      </c>
      <c r="K555" s="14" t="n">
        <v>419.76</v>
      </c>
      <c r="L555" s="14" t="n">
        <v>419.76</v>
      </c>
      <c r="M555" s="14" t="n">
        <v>419.76</v>
      </c>
      <c r="N555" s="14" t="n">
        <v>419.76</v>
      </c>
      <c r="O555" s="14" t="n">
        <v>419.76</v>
      </c>
      <c r="P555" s="14" t="n">
        <v>419.76</v>
      </c>
      <c r="Q555" s="14" t="n">
        <v>419.76</v>
      </c>
      <c r="R555" s="14" t="n">
        <v>419.76</v>
      </c>
      <c r="S555" s="14" t="n">
        <v>419.76</v>
      </c>
      <c r="T555" s="14" t="n">
        <v>419.76</v>
      </c>
      <c r="U555" s="14" t="n">
        <v>350</v>
      </c>
      <c r="V555" s="14" t="n">
        <v>0</v>
      </c>
      <c r="W555" s="14">
        <f>U555+V555</f>
        <v/>
      </c>
    </row>
    <row r="556">
      <c r="A556" s="15" t="inlineStr">
        <is>
          <t>CANON-202606-007503</t>
        </is>
      </c>
      <c r="B556" s="15" t="inlineStr">
        <is>
          <t>2026-06-09</t>
        </is>
      </c>
      <c r="C556" s="15" t="inlineStr">
        <is>
          <t>Ottilie Bellandi</t>
        </is>
      </c>
      <c r="D556" s="15" t="inlineStr">
        <is>
          <t>CA</t>
        </is>
      </c>
      <c r="E556" s="16" t="n">
        <v>210000</v>
      </c>
      <c r="F556" s="16" t="n">
        <v>3763.68</v>
      </c>
      <c r="G556" s="16" t="n">
        <v>470.46</v>
      </c>
      <c r="H556" s="16" t="n">
        <v>470.46</v>
      </c>
      <c r="I556" s="16">
        <f>SUM(K556:T556)</f>
        <v/>
      </c>
      <c r="J556" s="16">
        <f>F556-(G556+H556+I556)</f>
        <v/>
      </c>
      <c r="K556" s="16" t="n">
        <v>282.28</v>
      </c>
      <c r="L556" s="16" t="n">
        <v>282.28</v>
      </c>
      <c r="M556" s="16" t="n">
        <v>282.28</v>
      </c>
      <c r="N556" s="16" t="n">
        <v>282.28</v>
      </c>
      <c r="O556" s="16" t="n">
        <v>282.28</v>
      </c>
      <c r="P556" s="16" t="n">
        <v>282.28</v>
      </c>
      <c r="Q556" s="16" t="n">
        <v>282.28</v>
      </c>
      <c r="R556" s="16" t="n">
        <v>282.28</v>
      </c>
      <c r="S556" s="16" t="n">
        <v>282.28</v>
      </c>
      <c r="T556" s="16" t="n">
        <v>282.28</v>
      </c>
      <c r="U556" s="16" t="n">
        <v>350</v>
      </c>
      <c r="V556" s="16" t="n">
        <v>0</v>
      </c>
      <c r="W556" s="16">
        <f>U556+V556</f>
        <v/>
      </c>
    </row>
    <row r="557">
      <c r="A557" s="3" t="inlineStr">
        <is>
          <t>CANON-202606-007504</t>
        </is>
      </c>
      <c r="B557" s="3" t="inlineStr">
        <is>
          <t>2026-06-27</t>
        </is>
      </c>
      <c r="C557" s="3" t="inlineStr">
        <is>
          <t>Ottilie Vasquez</t>
        </is>
      </c>
      <c r="D557" s="3" t="inlineStr">
        <is>
          <t>TX</t>
        </is>
      </c>
      <c r="E557" s="14" t="n">
        <v>975000</v>
      </c>
      <c r="F557" s="14" t="n">
        <v>15370.86</v>
      </c>
      <c r="G557" s="14" t="n">
        <v>1921.36</v>
      </c>
      <c r="H557" s="14" t="n">
        <v>1921.36</v>
      </c>
      <c r="I557" s="14">
        <f>SUM(K557:T557)</f>
        <v/>
      </c>
      <c r="J557" s="14">
        <f>F557-(G557+H557+I557)</f>
        <v/>
      </c>
      <c r="K557" s="14" t="n">
        <v>1152.81</v>
      </c>
      <c r="L557" s="14" t="n">
        <v>1152.81</v>
      </c>
      <c r="M557" s="14" t="n">
        <v>1152.81</v>
      </c>
      <c r="N557" s="14" t="n">
        <v>1152.81</v>
      </c>
      <c r="O557" s="14" t="n">
        <v>1152.81</v>
      </c>
      <c r="P557" s="14" t="n">
        <v>1152.81</v>
      </c>
      <c r="Q557" s="14" t="n">
        <v>1152.81</v>
      </c>
      <c r="R557" s="14" t="n">
        <v>1152.81</v>
      </c>
      <c r="S557" s="14" t="n">
        <v>1152.81</v>
      </c>
      <c r="T557" s="14" t="n">
        <v>1152.81</v>
      </c>
      <c r="U557" s="14" t="n">
        <v>350</v>
      </c>
      <c r="V557" s="14" t="n">
        <v>0</v>
      </c>
      <c r="W557" s="14">
        <f>U557+V557</f>
        <v/>
      </c>
    </row>
    <row r="558">
      <c r="A558" s="15" t="inlineStr">
        <is>
          <t>CANON-202606-007506</t>
        </is>
      </c>
      <c r="B558" s="15" t="inlineStr">
        <is>
          <t>2026-06-04</t>
        </is>
      </c>
      <c r="C558" s="15" t="inlineStr">
        <is>
          <t>Wilhelmina Vandermeer</t>
        </is>
      </c>
      <c r="D558" s="15" t="inlineStr">
        <is>
          <t>MD</t>
        </is>
      </c>
      <c r="E558" s="16" t="n">
        <v>805000</v>
      </c>
      <c r="F558" s="16" t="n">
        <v>7173.07</v>
      </c>
      <c r="G558" s="16" t="n">
        <v>896.63</v>
      </c>
      <c r="H558" s="16" t="n">
        <v>896.63</v>
      </c>
      <c r="I558" s="16">
        <f>SUM(K558:T558)</f>
        <v/>
      </c>
      <c r="J558" s="16">
        <f>F558-(G558+H558+I558)</f>
        <v/>
      </c>
      <c r="K558" s="16" t="n">
        <v>537.98</v>
      </c>
      <c r="L558" s="16" t="n">
        <v>537.98</v>
      </c>
      <c r="M558" s="16" t="n">
        <v>537.98</v>
      </c>
      <c r="N558" s="16" t="n">
        <v>537.98</v>
      </c>
      <c r="O558" s="16" t="n">
        <v>537.98</v>
      </c>
      <c r="P558" s="16" t="n">
        <v>537.98</v>
      </c>
      <c r="Q558" s="16" t="n">
        <v>537.98</v>
      </c>
      <c r="R558" s="16" t="n">
        <v>537.98</v>
      </c>
      <c r="S558" s="16" t="n">
        <v>537.98</v>
      </c>
      <c r="T558" s="16" t="n">
        <v>537.98</v>
      </c>
      <c r="U558" s="16" t="n">
        <v>350</v>
      </c>
      <c r="V558" s="16" t="n">
        <v>0</v>
      </c>
      <c r="W558" s="16">
        <f>U558+V558</f>
        <v/>
      </c>
    </row>
    <row r="559">
      <c r="A559" s="3" t="inlineStr">
        <is>
          <t>CANON-202606-007508</t>
        </is>
      </c>
      <c r="B559" s="3" t="inlineStr">
        <is>
          <t>2026-06-30</t>
        </is>
      </c>
      <c r="C559" s="3" t="inlineStr">
        <is>
          <t>Callum Farkas</t>
        </is>
      </c>
      <c r="D559" s="3" t="inlineStr">
        <is>
          <t>ID</t>
        </is>
      </c>
      <c r="E559" s="14" t="n">
        <v>525000</v>
      </c>
      <c r="F559" s="14" t="n">
        <v>7125.08</v>
      </c>
      <c r="G559" s="14" t="n">
        <v>890.63</v>
      </c>
      <c r="H559" s="14" t="n">
        <v>890.63</v>
      </c>
      <c r="I559" s="14">
        <f>SUM(K559:T559)</f>
        <v/>
      </c>
      <c r="J559" s="14">
        <f>F559-(G559+H559+I559)</f>
        <v/>
      </c>
      <c r="K559" s="14" t="n">
        <v>534.38</v>
      </c>
      <c r="L559" s="14" t="n">
        <v>534.38</v>
      </c>
      <c r="M559" s="14" t="n">
        <v>534.38</v>
      </c>
      <c r="N559" s="14" t="n">
        <v>534.38</v>
      </c>
      <c r="O559" s="14" t="n">
        <v>534.38</v>
      </c>
      <c r="P559" s="14" t="n">
        <v>534.38</v>
      </c>
      <c r="Q559" s="14" t="n">
        <v>534.38</v>
      </c>
      <c r="R559" s="14" t="n">
        <v>534.38</v>
      </c>
      <c r="S559" s="14" t="n">
        <v>534.38</v>
      </c>
      <c r="T559" s="14" t="n">
        <v>534.38</v>
      </c>
      <c r="U559" s="14" t="n">
        <v>350</v>
      </c>
      <c r="V559" s="14" t="n">
        <v>0</v>
      </c>
      <c r="W559" s="14">
        <f>U559+V559</f>
        <v/>
      </c>
    </row>
    <row r="560">
      <c r="A560" s="15" t="inlineStr">
        <is>
          <t>CANON-202606-007509</t>
        </is>
      </c>
      <c r="B560" s="15" t="inlineStr">
        <is>
          <t>2026-06-11</t>
        </is>
      </c>
      <c r="C560" s="15" t="inlineStr">
        <is>
          <t>Anouk Okonkwo</t>
        </is>
      </c>
      <c r="D560" s="15" t="inlineStr">
        <is>
          <t>NV</t>
        </is>
      </c>
      <c r="E560" s="16" t="n">
        <v>575000</v>
      </c>
      <c r="F560" s="16" t="n">
        <v>6310.14</v>
      </c>
      <c r="G560" s="16" t="n">
        <v>788.77</v>
      </c>
      <c r="H560" s="16" t="n">
        <v>788.77</v>
      </c>
      <c r="I560" s="16">
        <f>SUM(K560:T560)</f>
        <v/>
      </c>
      <c r="J560" s="16">
        <f>F560-(G560+H560+I560)</f>
        <v/>
      </c>
      <c r="K560" s="16" t="n">
        <v>473.26</v>
      </c>
      <c r="L560" s="16" t="n">
        <v>473.26</v>
      </c>
      <c r="M560" s="16" t="n">
        <v>473.26</v>
      </c>
      <c r="N560" s="16" t="n">
        <v>473.26</v>
      </c>
      <c r="O560" s="16" t="n">
        <v>473.26</v>
      </c>
      <c r="P560" s="16" t="n">
        <v>473.26</v>
      </c>
      <c r="Q560" s="16" t="n">
        <v>473.26</v>
      </c>
      <c r="R560" s="16" t="n">
        <v>473.26</v>
      </c>
      <c r="S560" s="16" t="n">
        <v>473.26</v>
      </c>
      <c r="T560" s="16" t="n">
        <v>473.26</v>
      </c>
      <c r="U560" s="16" t="n">
        <v>350</v>
      </c>
      <c r="V560" s="16" t="n">
        <v>0</v>
      </c>
      <c r="W560" s="16">
        <f>U560+V560</f>
        <v/>
      </c>
    </row>
    <row r="561">
      <c r="A561" s="3" t="inlineStr">
        <is>
          <t>CANON-202606-007511</t>
        </is>
      </c>
      <c r="B561" s="3" t="inlineStr">
        <is>
          <t>2026-06-09</t>
        </is>
      </c>
      <c r="C561" s="3" t="inlineStr">
        <is>
          <t>Ramona Fairweather</t>
        </is>
      </c>
      <c r="D561" s="3" t="inlineStr">
        <is>
          <t>IA</t>
        </is>
      </c>
      <c r="E561" s="14" t="n">
        <v>1370000</v>
      </c>
      <c r="F561" s="14" t="n">
        <v>11960.46</v>
      </c>
      <c r="G561" s="14" t="n">
        <v>1495.06</v>
      </c>
      <c r="H561" s="14" t="n">
        <v>1495.06</v>
      </c>
      <c r="I561" s="14">
        <f>SUM(K561:T561)</f>
        <v/>
      </c>
      <c r="J561" s="14">
        <f>F561-(G561+H561+I561)</f>
        <v/>
      </c>
      <c r="K561" s="14" t="n">
        <v>897.03</v>
      </c>
      <c r="L561" s="14" t="n">
        <v>897.03</v>
      </c>
      <c r="M561" s="14" t="n">
        <v>897.03</v>
      </c>
      <c r="N561" s="14" t="n">
        <v>897.03</v>
      </c>
      <c r="O561" s="14" t="n">
        <v>897.03</v>
      </c>
      <c r="P561" s="14" t="n">
        <v>897.03</v>
      </c>
      <c r="Q561" s="14" t="n">
        <v>897.03</v>
      </c>
      <c r="R561" s="14" t="n">
        <v>897.03</v>
      </c>
      <c r="S561" s="14" t="n">
        <v>897.03</v>
      </c>
      <c r="T561" s="14" t="n">
        <v>897.03</v>
      </c>
      <c r="U561" s="14" t="n">
        <v>350</v>
      </c>
      <c r="V561" s="14" t="n">
        <v>250</v>
      </c>
      <c r="W561" s="14">
        <f>U561+V561</f>
        <v/>
      </c>
    </row>
    <row r="562">
      <c r="A562" s="15" t="inlineStr">
        <is>
          <t>CANON-202606-007512</t>
        </is>
      </c>
      <c r="B562" s="15" t="inlineStr">
        <is>
          <t>2026-06-14</t>
        </is>
      </c>
      <c r="C562" s="15" t="inlineStr">
        <is>
          <t>Noor Vasquez</t>
        </is>
      </c>
      <c r="D562" s="15" t="inlineStr">
        <is>
          <t>SC</t>
        </is>
      </c>
      <c r="E562" s="16" t="n">
        <v>1525000</v>
      </c>
      <c r="F562" s="16" t="n">
        <v>15008.11</v>
      </c>
      <c r="G562" s="16" t="n">
        <v>1876.01</v>
      </c>
      <c r="H562" s="16" t="n">
        <v>1876.01</v>
      </c>
      <c r="I562" s="16">
        <f>SUM(K562:T562)</f>
        <v/>
      </c>
      <c r="J562" s="16">
        <f>F562-(G562+H562+I562)</f>
        <v/>
      </c>
      <c r="K562" s="16" t="n">
        <v>1125.61</v>
      </c>
      <c r="L562" s="16" t="n">
        <v>1125.61</v>
      </c>
      <c r="M562" s="16" t="n">
        <v>1125.61</v>
      </c>
      <c r="N562" s="16" t="n">
        <v>1125.61</v>
      </c>
      <c r="O562" s="16" t="n">
        <v>1125.61</v>
      </c>
      <c r="P562" s="16" t="n">
        <v>1125.61</v>
      </c>
      <c r="Q562" s="16" t="n">
        <v>1125.61</v>
      </c>
      <c r="R562" s="16" t="n">
        <v>1125.61</v>
      </c>
      <c r="S562" s="16" t="n">
        <v>1125.61</v>
      </c>
      <c r="T562" s="16" t="n">
        <v>1125.61</v>
      </c>
      <c r="U562" s="16" t="n">
        <v>350</v>
      </c>
      <c r="V562" s="16" t="n">
        <v>250</v>
      </c>
      <c r="W562" s="16">
        <f>U562+V562</f>
        <v/>
      </c>
    </row>
    <row r="563">
      <c r="A563" s="3" t="inlineStr">
        <is>
          <t>CANON-202606-007515</t>
        </is>
      </c>
      <c r="B563" s="3" t="inlineStr">
        <is>
          <t>2026-06-27</t>
        </is>
      </c>
      <c r="C563" s="3" t="inlineStr">
        <is>
          <t>Cassius Vasquez</t>
        </is>
      </c>
      <c r="D563" s="3" t="inlineStr">
        <is>
          <t>NE</t>
        </is>
      </c>
      <c r="E563" s="14" t="n">
        <v>815000</v>
      </c>
      <c r="F563" s="14" t="n">
        <v>9937.709999999999</v>
      </c>
      <c r="G563" s="14" t="n">
        <v>1242.21</v>
      </c>
      <c r="H563" s="14" t="n">
        <v>1242.21</v>
      </c>
      <c r="I563" s="14">
        <f>SUM(K563:T563)</f>
        <v/>
      </c>
      <c r="J563" s="14">
        <f>F563-(G563+H563+I563)</f>
        <v/>
      </c>
      <c r="K563" s="14" t="n">
        <v>745.33</v>
      </c>
      <c r="L563" s="14" t="n">
        <v>745.33</v>
      </c>
      <c r="M563" s="14" t="n">
        <v>745.33</v>
      </c>
      <c r="N563" s="14" t="n">
        <v>745.33</v>
      </c>
      <c r="O563" s="14" t="n">
        <v>745.33</v>
      </c>
      <c r="P563" s="14" t="n">
        <v>745.33</v>
      </c>
      <c r="Q563" s="14" t="n">
        <v>745.33</v>
      </c>
      <c r="R563" s="14" t="n">
        <v>745.33</v>
      </c>
      <c r="S563" s="14" t="n">
        <v>745.33</v>
      </c>
      <c r="T563" s="14" t="n">
        <v>745.33</v>
      </c>
      <c r="U563" s="14" t="n">
        <v>350</v>
      </c>
      <c r="V563" s="14" t="n">
        <v>0</v>
      </c>
      <c r="W563" s="14">
        <f>U563+V563</f>
        <v/>
      </c>
    </row>
    <row r="564">
      <c r="A564" s="15" t="inlineStr">
        <is>
          <t>CANON-202606-007516</t>
        </is>
      </c>
      <c r="B564" s="15" t="inlineStr">
        <is>
          <t>2026-06-17</t>
        </is>
      </c>
      <c r="C564" s="15" t="inlineStr">
        <is>
          <t>Callum Kingsford</t>
        </is>
      </c>
      <c r="D564" s="15" t="inlineStr">
        <is>
          <t>MO</t>
        </is>
      </c>
      <c r="E564" s="16" t="n">
        <v>665000</v>
      </c>
      <c r="F564" s="16" t="n">
        <v>6611.7</v>
      </c>
      <c r="G564" s="16" t="n">
        <v>826.46</v>
      </c>
      <c r="H564" s="16" t="n">
        <v>826.46</v>
      </c>
      <c r="I564" s="16">
        <f>SUM(K564:T564)</f>
        <v/>
      </c>
      <c r="J564" s="16">
        <f>F564-(G564+H564+I564)</f>
        <v/>
      </c>
      <c r="K564" s="16" t="n">
        <v>495.88</v>
      </c>
      <c r="L564" s="16" t="n">
        <v>495.88</v>
      </c>
      <c r="M564" s="16" t="n">
        <v>495.88</v>
      </c>
      <c r="N564" s="16" t="n">
        <v>495.88</v>
      </c>
      <c r="O564" s="16" t="n">
        <v>495.88</v>
      </c>
      <c r="P564" s="16" t="n">
        <v>495.88</v>
      </c>
      <c r="Q564" s="16" t="n">
        <v>495.88</v>
      </c>
      <c r="R564" s="16" t="n">
        <v>495.88</v>
      </c>
      <c r="S564" s="16" t="n">
        <v>495.88</v>
      </c>
      <c r="T564" s="16" t="n">
        <v>495.88</v>
      </c>
      <c r="U564" s="16" t="n">
        <v>350</v>
      </c>
      <c r="V564" s="16" t="n">
        <v>0</v>
      </c>
      <c r="W564" s="16">
        <f>U564+V564</f>
        <v/>
      </c>
    </row>
    <row r="565">
      <c r="A565" s="3" t="inlineStr">
        <is>
          <t>CANON-202606-007519</t>
        </is>
      </c>
      <c r="B565" s="3" t="inlineStr">
        <is>
          <t>2026-06-03</t>
        </is>
      </c>
      <c r="C565" s="3" t="inlineStr">
        <is>
          <t>Saoirse Montoya</t>
        </is>
      </c>
      <c r="D565" s="3" t="inlineStr">
        <is>
          <t>AK</t>
        </is>
      </c>
      <c r="E565" s="14" t="n">
        <v>1110000</v>
      </c>
      <c r="F565" s="14" t="n">
        <v>6938.79</v>
      </c>
      <c r="G565" s="14" t="n">
        <v>867.35</v>
      </c>
      <c r="H565" s="14" t="n">
        <v>867.35</v>
      </c>
      <c r="I565" s="14">
        <f>SUM(K565:T565)</f>
        <v/>
      </c>
      <c r="J565" s="14">
        <f>F565-(G565+H565+I565)</f>
        <v/>
      </c>
      <c r="K565" s="14" t="n">
        <v>520.41</v>
      </c>
      <c r="L565" s="14" t="n">
        <v>520.41</v>
      </c>
      <c r="M565" s="14" t="n">
        <v>520.41</v>
      </c>
      <c r="N565" s="14" t="n">
        <v>520.41</v>
      </c>
      <c r="O565" s="14" t="n">
        <v>520.41</v>
      </c>
      <c r="P565" s="14" t="n">
        <v>520.41</v>
      </c>
      <c r="Q565" s="14" t="n">
        <v>520.41</v>
      </c>
      <c r="R565" s="14" t="n">
        <v>520.41</v>
      </c>
      <c r="S565" s="14" t="n">
        <v>520.41</v>
      </c>
      <c r="T565" s="14" t="n">
        <v>520.41</v>
      </c>
      <c r="U565" s="14" t="n">
        <v>350</v>
      </c>
      <c r="V565" s="14" t="n">
        <v>250</v>
      </c>
      <c r="W565" s="14">
        <f>U565+V565</f>
        <v/>
      </c>
    </row>
    <row r="566">
      <c r="A566" s="15" t="inlineStr">
        <is>
          <t>CANON-202606-007520</t>
        </is>
      </c>
      <c r="B566" s="15" t="inlineStr">
        <is>
          <t>2026-06-22</t>
        </is>
      </c>
      <c r="C566" s="15" t="inlineStr">
        <is>
          <t>Callum Whitlock</t>
        </is>
      </c>
      <c r="D566" s="15" t="inlineStr">
        <is>
          <t>AK</t>
        </is>
      </c>
      <c r="E566" s="16" t="n">
        <v>375000</v>
      </c>
      <c r="F566" s="16" t="n">
        <v>7094.24</v>
      </c>
      <c r="G566" s="16" t="n">
        <v>886.78</v>
      </c>
      <c r="H566" s="16" t="n">
        <v>886.78</v>
      </c>
      <c r="I566" s="16">
        <f>SUM(K566:T566)</f>
        <v/>
      </c>
      <c r="J566" s="16">
        <f>F566-(G566+H566+I566)</f>
        <v/>
      </c>
      <c r="K566" s="16" t="n">
        <v>532.0700000000001</v>
      </c>
      <c r="L566" s="16" t="n">
        <v>532.0700000000001</v>
      </c>
      <c r="M566" s="16" t="n">
        <v>532.0700000000001</v>
      </c>
      <c r="N566" s="16" t="n">
        <v>532.0700000000001</v>
      </c>
      <c r="O566" s="16" t="n">
        <v>532.0700000000001</v>
      </c>
      <c r="P566" s="16" t="n">
        <v>532.0700000000001</v>
      </c>
      <c r="Q566" s="16" t="n">
        <v>532.0700000000001</v>
      </c>
      <c r="R566" s="16" t="n">
        <v>532.0700000000001</v>
      </c>
      <c r="S566" s="16" t="n">
        <v>532.0700000000001</v>
      </c>
      <c r="T566" s="16" t="n">
        <v>532.0700000000001</v>
      </c>
      <c r="U566" s="16" t="n">
        <v>350</v>
      </c>
      <c r="V566" s="16" t="n">
        <v>0</v>
      </c>
      <c r="W566" s="16">
        <f>U566+V566</f>
        <v/>
      </c>
    </row>
    <row r="567">
      <c r="A567" s="3" t="inlineStr">
        <is>
          <t>CANON-202606-007521</t>
        </is>
      </c>
      <c r="B567" s="3" t="inlineStr">
        <is>
          <t>2026-06-13</t>
        </is>
      </c>
      <c r="C567" s="3" t="inlineStr">
        <is>
          <t>Leopold Montoya</t>
        </is>
      </c>
      <c r="D567" s="3" t="inlineStr">
        <is>
          <t>VT</t>
        </is>
      </c>
      <c r="E567" s="14" t="n">
        <v>610000</v>
      </c>
      <c r="F567" s="14" t="n">
        <v>6980.31</v>
      </c>
      <c r="G567" s="14" t="n">
        <v>872.54</v>
      </c>
      <c r="H567" s="14" t="n">
        <v>872.54</v>
      </c>
      <c r="I567" s="14">
        <f>SUM(K567:T567)</f>
        <v/>
      </c>
      <c r="J567" s="14">
        <f>F567-(G567+H567+I567)</f>
        <v/>
      </c>
      <c r="K567" s="14" t="n">
        <v>523.52</v>
      </c>
      <c r="L567" s="14" t="n">
        <v>523.52</v>
      </c>
      <c r="M567" s="14" t="n">
        <v>523.52</v>
      </c>
      <c r="N567" s="14" t="n">
        <v>523.52</v>
      </c>
      <c r="O567" s="14" t="n">
        <v>523.52</v>
      </c>
      <c r="P567" s="14" t="n">
        <v>523.52</v>
      </c>
      <c r="Q567" s="14" t="n">
        <v>523.52</v>
      </c>
      <c r="R567" s="14" t="n">
        <v>523.52</v>
      </c>
      <c r="S567" s="14" t="n">
        <v>523.52</v>
      </c>
      <c r="T567" s="14" t="n">
        <v>523.52</v>
      </c>
      <c r="U567" s="14" t="n">
        <v>350</v>
      </c>
      <c r="V567" s="14" t="n">
        <v>0</v>
      </c>
      <c r="W567" s="14">
        <f>U567+V567</f>
        <v/>
      </c>
    </row>
    <row r="568">
      <c r="A568" s="15" t="inlineStr">
        <is>
          <t>CANON-202606-007522</t>
        </is>
      </c>
      <c r="B568" s="15" t="inlineStr">
        <is>
          <t>2026-06-11</t>
        </is>
      </c>
      <c r="C568" s="15" t="inlineStr">
        <is>
          <t>Leopold Chattopadhyay</t>
        </is>
      </c>
      <c r="D568" s="15" t="inlineStr">
        <is>
          <t>NH</t>
        </is>
      </c>
      <c r="E568" s="16" t="n">
        <v>375000</v>
      </c>
      <c r="F568" s="16" t="n">
        <v>4220.83</v>
      </c>
      <c r="G568" s="16" t="n">
        <v>527.6</v>
      </c>
      <c r="H568" s="16" t="n">
        <v>527.6</v>
      </c>
      <c r="I568" s="16">
        <f>SUM(K568:T568)</f>
        <v/>
      </c>
      <c r="J568" s="16">
        <f>F568-(G568+H568+I568)</f>
        <v/>
      </c>
      <c r="K568" s="16" t="n">
        <v>316.56</v>
      </c>
      <c r="L568" s="16" t="n">
        <v>316.56</v>
      </c>
      <c r="M568" s="16" t="n">
        <v>316.56</v>
      </c>
      <c r="N568" s="16" t="n">
        <v>316.56</v>
      </c>
      <c r="O568" s="16" t="n">
        <v>316.56</v>
      </c>
      <c r="P568" s="16" t="n">
        <v>316.56</v>
      </c>
      <c r="Q568" s="16" t="n">
        <v>316.56</v>
      </c>
      <c r="R568" s="16" t="n">
        <v>316.56</v>
      </c>
      <c r="S568" s="16" t="n">
        <v>316.56</v>
      </c>
      <c r="T568" s="16" t="n">
        <v>316.56</v>
      </c>
      <c r="U568" s="16" t="n">
        <v>350</v>
      </c>
      <c r="V568" s="16" t="n">
        <v>0</v>
      </c>
      <c r="W568" s="16">
        <f>U568+V568</f>
        <v/>
      </c>
    </row>
    <row r="569">
      <c r="A569" s="3" t="inlineStr">
        <is>
          <t>CANON-202606-007523</t>
        </is>
      </c>
      <c r="B569" s="3" t="inlineStr">
        <is>
          <t>2026-06-08</t>
        </is>
      </c>
      <c r="C569" s="3" t="inlineStr">
        <is>
          <t>Priya Castellanos</t>
        </is>
      </c>
      <c r="D569" s="3" t="inlineStr">
        <is>
          <t>NH</t>
        </is>
      </c>
      <c r="E569" s="14" t="n">
        <v>340000</v>
      </c>
      <c r="F569" s="14" t="n">
        <v>3826.88</v>
      </c>
      <c r="G569" s="14" t="n">
        <v>478.36</v>
      </c>
      <c r="H569" s="14" t="n">
        <v>478.36</v>
      </c>
      <c r="I569" s="14">
        <f>SUM(K569:T569)</f>
        <v/>
      </c>
      <c r="J569" s="14">
        <f>F569-(G569+H569+I569)</f>
        <v/>
      </c>
      <c r="K569" s="14" t="n">
        <v>287.02</v>
      </c>
      <c r="L569" s="14" t="n">
        <v>287.02</v>
      </c>
      <c r="M569" s="14" t="n">
        <v>287.02</v>
      </c>
      <c r="N569" s="14" t="n">
        <v>287.02</v>
      </c>
      <c r="O569" s="14" t="n">
        <v>287.02</v>
      </c>
      <c r="P569" s="14" t="n">
        <v>287.02</v>
      </c>
      <c r="Q569" s="14" t="n">
        <v>287.02</v>
      </c>
      <c r="R569" s="14" t="n">
        <v>287.02</v>
      </c>
      <c r="S569" s="14" t="n">
        <v>287.02</v>
      </c>
      <c r="T569" s="14" t="n">
        <v>287.02</v>
      </c>
      <c r="U569" s="14" t="n">
        <v>350</v>
      </c>
      <c r="V569" s="14" t="n">
        <v>0</v>
      </c>
      <c r="W569" s="14">
        <f>U569+V569</f>
        <v/>
      </c>
    </row>
    <row r="570">
      <c r="A570" s="15" t="inlineStr">
        <is>
          <t>CANON-202606-007526</t>
        </is>
      </c>
      <c r="B570" s="15" t="inlineStr">
        <is>
          <t>2026-06-01</t>
        </is>
      </c>
      <c r="C570" s="15" t="inlineStr">
        <is>
          <t>Fenwick Blackwood</t>
        </is>
      </c>
      <c r="D570" s="15" t="inlineStr">
        <is>
          <t>AR</t>
        </is>
      </c>
      <c r="E570" s="16" t="n">
        <v>330000</v>
      </c>
      <c r="F570" s="16" t="n">
        <v>4928.63</v>
      </c>
      <c r="G570" s="16" t="n">
        <v>616.08</v>
      </c>
      <c r="H570" s="16" t="n">
        <v>616.08</v>
      </c>
      <c r="I570" s="16">
        <f>SUM(K570:T570)</f>
        <v/>
      </c>
      <c r="J570" s="16">
        <f>F570-(G570+H570+I570)</f>
        <v/>
      </c>
      <c r="K570" s="16" t="n">
        <v>369.65</v>
      </c>
      <c r="L570" s="16" t="n">
        <v>369.65</v>
      </c>
      <c r="M570" s="16" t="n">
        <v>369.65</v>
      </c>
      <c r="N570" s="16" t="n">
        <v>369.65</v>
      </c>
      <c r="O570" s="16" t="n">
        <v>369.65</v>
      </c>
      <c r="P570" s="16" t="n">
        <v>369.65</v>
      </c>
      <c r="Q570" s="16" t="n">
        <v>369.65</v>
      </c>
      <c r="R570" s="16" t="n">
        <v>369.65</v>
      </c>
      <c r="S570" s="16" t="n">
        <v>369.65</v>
      </c>
      <c r="T570" s="16" t="n">
        <v>369.65</v>
      </c>
      <c r="U570" s="16" t="n">
        <v>350</v>
      </c>
      <c r="V570" s="16" t="n">
        <v>0</v>
      </c>
      <c r="W570" s="16">
        <f>U570+V570</f>
        <v/>
      </c>
    </row>
    <row r="571">
      <c r="A571" s="3" t="inlineStr">
        <is>
          <t>CANON-202606-007528</t>
        </is>
      </c>
      <c r="B571" s="3" t="inlineStr">
        <is>
          <t>2026-06-12</t>
        </is>
      </c>
      <c r="C571" s="3" t="inlineStr">
        <is>
          <t>Cassius Chattopadhyay</t>
        </is>
      </c>
      <c r="D571" s="3" t="inlineStr">
        <is>
          <t>FL</t>
        </is>
      </c>
      <c r="E571" s="14" t="n">
        <v>565000</v>
      </c>
      <c r="F571" s="14" t="n">
        <v>7525.27</v>
      </c>
      <c r="G571" s="14" t="n">
        <v>940.66</v>
      </c>
      <c r="H571" s="14" t="n">
        <v>940.66</v>
      </c>
      <c r="I571" s="14">
        <f>SUM(K571:T571)</f>
        <v/>
      </c>
      <c r="J571" s="14">
        <f>F571-(G571+H571+I571)</f>
        <v/>
      </c>
      <c r="K571" s="14" t="n">
        <v>564.4</v>
      </c>
      <c r="L571" s="14" t="n">
        <v>564.4</v>
      </c>
      <c r="M571" s="14" t="n">
        <v>564.4</v>
      </c>
      <c r="N571" s="14" t="n">
        <v>564.4</v>
      </c>
      <c r="O571" s="14" t="n">
        <v>564.4</v>
      </c>
      <c r="P571" s="14" t="n">
        <v>564.4</v>
      </c>
      <c r="Q571" s="14" t="n">
        <v>564.4</v>
      </c>
      <c r="R571" s="14" t="n">
        <v>564.4</v>
      </c>
      <c r="S571" s="14" t="n">
        <v>564.4</v>
      </c>
      <c r="T571" s="14" t="n">
        <v>564.4</v>
      </c>
      <c r="U571" s="14" t="n">
        <v>350</v>
      </c>
      <c r="V571" s="14" t="n">
        <v>0</v>
      </c>
      <c r="W571" s="14">
        <f>U571+V571</f>
        <v/>
      </c>
    </row>
    <row r="572">
      <c r="A572" s="15" t="inlineStr">
        <is>
          <t>CANON-202606-007529</t>
        </is>
      </c>
      <c r="B572" s="15" t="inlineStr">
        <is>
          <t>2026-06-10</t>
        </is>
      </c>
      <c r="C572" s="15" t="inlineStr">
        <is>
          <t>Delphine Pennington</t>
        </is>
      </c>
      <c r="D572" s="15" t="inlineStr">
        <is>
          <t>IL</t>
        </is>
      </c>
      <c r="E572" s="16" t="n">
        <v>205000</v>
      </c>
      <c r="F572" s="16" t="n">
        <v>3701.29</v>
      </c>
      <c r="G572" s="16" t="n">
        <v>462.66</v>
      </c>
      <c r="H572" s="16" t="n">
        <v>462.66</v>
      </c>
      <c r="I572" s="16">
        <f>SUM(K572:T572)</f>
        <v/>
      </c>
      <c r="J572" s="16">
        <f>F572-(G572+H572+I572)</f>
        <v/>
      </c>
      <c r="K572" s="16" t="n">
        <v>277.6</v>
      </c>
      <c r="L572" s="16" t="n">
        <v>277.6</v>
      </c>
      <c r="M572" s="16" t="n">
        <v>277.6</v>
      </c>
      <c r="N572" s="16" t="n">
        <v>277.6</v>
      </c>
      <c r="O572" s="16" t="n">
        <v>277.6</v>
      </c>
      <c r="P572" s="16" t="n">
        <v>277.6</v>
      </c>
      <c r="Q572" s="16" t="n">
        <v>277.6</v>
      </c>
      <c r="R572" s="16" t="n">
        <v>277.6</v>
      </c>
      <c r="S572" s="16" t="n">
        <v>277.6</v>
      </c>
      <c r="T572" s="16" t="n">
        <v>277.6</v>
      </c>
      <c r="U572" s="16" t="n">
        <v>350</v>
      </c>
      <c r="V572" s="16" t="n">
        <v>0</v>
      </c>
      <c r="W572" s="16">
        <f>U572+V572</f>
        <v/>
      </c>
    </row>
    <row r="573">
      <c r="A573" s="3" t="inlineStr">
        <is>
          <t>CANON-202606-007531</t>
        </is>
      </c>
      <c r="B573" s="3" t="inlineStr">
        <is>
          <t>2026-06-22</t>
        </is>
      </c>
      <c r="C573" s="3" t="inlineStr">
        <is>
          <t>Leopold Delacroix</t>
        </is>
      </c>
      <c r="D573" s="3" t="inlineStr">
        <is>
          <t>CA</t>
        </is>
      </c>
      <c r="E573" s="14" t="n">
        <v>145000</v>
      </c>
      <c r="F573" s="14" t="n">
        <v>2598.73</v>
      </c>
      <c r="G573" s="14" t="n">
        <v>324.84</v>
      </c>
      <c r="H573" s="14" t="n">
        <v>324.84</v>
      </c>
      <c r="I573" s="14">
        <f>SUM(K573:T573)</f>
        <v/>
      </c>
      <c r="J573" s="14">
        <f>F573-(G573+H573+I573)</f>
        <v/>
      </c>
      <c r="K573" s="14" t="n">
        <v>194.9</v>
      </c>
      <c r="L573" s="14" t="n">
        <v>194.9</v>
      </c>
      <c r="M573" s="14" t="n">
        <v>194.9</v>
      </c>
      <c r="N573" s="14" t="n">
        <v>194.9</v>
      </c>
      <c r="O573" s="14" t="n">
        <v>194.9</v>
      </c>
      <c r="P573" s="14" t="n">
        <v>194.9</v>
      </c>
      <c r="Q573" s="14" t="n">
        <v>194.9</v>
      </c>
      <c r="R573" s="14" t="n">
        <v>194.9</v>
      </c>
      <c r="S573" s="14" t="n">
        <v>194.9</v>
      </c>
      <c r="T573" s="14" t="n">
        <v>194.9</v>
      </c>
      <c r="U573" s="14" t="n">
        <v>350</v>
      </c>
      <c r="V573" s="14" t="n">
        <v>0</v>
      </c>
      <c r="W573" s="14">
        <f>U573+V573</f>
        <v/>
      </c>
    </row>
    <row r="574">
      <c r="A574" s="15" t="inlineStr">
        <is>
          <t>CANON-202606-007532</t>
        </is>
      </c>
      <c r="B574" s="15" t="inlineStr">
        <is>
          <t>2026-06-03</t>
        </is>
      </c>
      <c r="C574" s="15" t="inlineStr">
        <is>
          <t>Emiliano Blackwood</t>
        </is>
      </c>
      <c r="D574" s="15" t="inlineStr">
        <is>
          <t>WI</t>
        </is>
      </c>
      <c r="E574" s="16" t="n">
        <v>160000</v>
      </c>
      <c r="F574" s="16" t="n">
        <v>2548.95</v>
      </c>
      <c r="G574" s="16" t="n">
        <v>318.62</v>
      </c>
      <c r="H574" s="16" t="n">
        <v>318.62</v>
      </c>
      <c r="I574" s="16">
        <f>SUM(K574:T574)</f>
        <v/>
      </c>
      <c r="J574" s="16">
        <f>F574-(G574+H574+I574)</f>
        <v/>
      </c>
      <c r="K574" s="16" t="n">
        <v>191.17</v>
      </c>
      <c r="L574" s="16" t="n">
        <v>191.17</v>
      </c>
      <c r="M574" s="16" t="n">
        <v>191.17</v>
      </c>
      <c r="N574" s="16" t="n">
        <v>191.17</v>
      </c>
      <c r="O574" s="16" t="n">
        <v>191.17</v>
      </c>
      <c r="P574" s="16" t="n">
        <v>191.17</v>
      </c>
      <c r="Q574" s="16" t="n">
        <v>191.17</v>
      </c>
      <c r="R574" s="16" t="n">
        <v>191.17</v>
      </c>
      <c r="S574" s="16" t="n">
        <v>191.17</v>
      </c>
      <c r="T574" s="16" t="n">
        <v>191.17</v>
      </c>
      <c r="U574" s="16" t="n">
        <v>350</v>
      </c>
      <c r="V574" s="16" t="n">
        <v>0</v>
      </c>
      <c r="W574" s="16">
        <f>U574+V574</f>
        <v/>
      </c>
    </row>
    <row r="575">
      <c r="A575" s="3" t="inlineStr">
        <is>
          <t>CANON-202606-007533</t>
        </is>
      </c>
      <c r="B575" s="3" t="inlineStr">
        <is>
          <t>2026-06-28</t>
        </is>
      </c>
      <c r="C575" s="3" t="inlineStr">
        <is>
          <t>Fenwick Whitlock</t>
        </is>
      </c>
      <c r="D575" s="3" t="inlineStr">
        <is>
          <t>MT</t>
        </is>
      </c>
      <c r="E575" s="14" t="n">
        <v>380000</v>
      </c>
      <c r="F575" s="14" t="n">
        <v>3824.72</v>
      </c>
      <c r="G575" s="14" t="n">
        <v>478.09</v>
      </c>
      <c r="H575" s="14" t="n">
        <v>478.09</v>
      </c>
      <c r="I575" s="14">
        <f>SUM(K575:T575)</f>
        <v/>
      </c>
      <c r="J575" s="14">
        <f>F575-(G575+H575+I575)</f>
        <v/>
      </c>
      <c r="K575" s="14" t="n">
        <v>286.85</v>
      </c>
      <c r="L575" s="14" t="n">
        <v>286.85</v>
      </c>
      <c r="M575" s="14" t="n">
        <v>286.85</v>
      </c>
      <c r="N575" s="14" t="n">
        <v>286.85</v>
      </c>
      <c r="O575" s="14" t="n">
        <v>286.85</v>
      </c>
      <c r="P575" s="14" t="n">
        <v>286.85</v>
      </c>
      <c r="Q575" s="14" t="n">
        <v>286.85</v>
      </c>
      <c r="R575" s="14" t="n">
        <v>286.85</v>
      </c>
      <c r="S575" s="14" t="n">
        <v>286.85</v>
      </c>
      <c r="T575" s="14" t="n">
        <v>286.85</v>
      </c>
      <c r="U575" s="14" t="n">
        <v>350</v>
      </c>
      <c r="V575" s="14" t="n">
        <v>0</v>
      </c>
      <c r="W575" s="14">
        <f>U575+V575</f>
        <v/>
      </c>
    </row>
    <row r="576">
      <c r="A576" s="15" t="inlineStr">
        <is>
          <t>CANON-202606-007534</t>
        </is>
      </c>
      <c r="B576" s="15" t="inlineStr">
        <is>
          <t>2026-06-29</t>
        </is>
      </c>
      <c r="C576" s="15" t="inlineStr">
        <is>
          <t>Everett Farkas</t>
        </is>
      </c>
      <c r="D576" s="15" t="inlineStr">
        <is>
          <t>AR</t>
        </is>
      </c>
      <c r="E576" s="16" t="n">
        <v>285000</v>
      </c>
      <c r="F576" s="16" t="n">
        <v>4256.55</v>
      </c>
      <c r="G576" s="16" t="n">
        <v>532.0700000000001</v>
      </c>
      <c r="H576" s="16" t="n">
        <v>532.0700000000001</v>
      </c>
      <c r="I576" s="16">
        <f>SUM(K576:T576)</f>
        <v/>
      </c>
      <c r="J576" s="16">
        <f>F576-(G576+H576+I576)</f>
        <v/>
      </c>
      <c r="K576" s="16" t="n">
        <v>319.24</v>
      </c>
      <c r="L576" s="16" t="n">
        <v>319.24</v>
      </c>
      <c r="M576" s="16" t="n">
        <v>319.24</v>
      </c>
      <c r="N576" s="16" t="n">
        <v>319.24</v>
      </c>
      <c r="O576" s="16" t="n">
        <v>319.24</v>
      </c>
      <c r="P576" s="16" t="n">
        <v>319.24</v>
      </c>
      <c r="Q576" s="16" t="n">
        <v>319.24</v>
      </c>
      <c r="R576" s="16" t="n">
        <v>319.24</v>
      </c>
      <c r="S576" s="16" t="n">
        <v>319.24</v>
      </c>
      <c r="T576" s="16" t="n">
        <v>319.24</v>
      </c>
      <c r="U576" s="16" t="n">
        <v>350</v>
      </c>
      <c r="V576" s="16" t="n">
        <v>0</v>
      </c>
      <c r="W576" s="16">
        <f>U576+V576</f>
        <v/>
      </c>
    </row>
    <row r="577">
      <c r="A577" s="3" t="inlineStr">
        <is>
          <t>CANON-202606-007535</t>
        </is>
      </c>
      <c r="B577" s="3" t="inlineStr">
        <is>
          <t>2026-06-14</t>
        </is>
      </c>
      <c r="C577" s="3" t="inlineStr">
        <is>
          <t>Callum Okonkwo</t>
        </is>
      </c>
      <c r="D577" s="3" t="inlineStr">
        <is>
          <t>IA</t>
        </is>
      </c>
      <c r="E577" s="14" t="n">
        <v>480000</v>
      </c>
      <c r="F577" s="14" t="n">
        <v>5714.36</v>
      </c>
      <c r="G577" s="14" t="n">
        <v>714.29</v>
      </c>
      <c r="H577" s="14" t="n">
        <v>714.29</v>
      </c>
      <c r="I577" s="14">
        <f>SUM(K577:T577)</f>
        <v/>
      </c>
      <c r="J577" s="14">
        <f>F577-(G577+H577+I577)</f>
        <v/>
      </c>
      <c r="K577" s="14" t="n">
        <v>428.58</v>
      </c>
      <c r="L577" s="14" t="n">
        <v>428.58</v>
      </c>
      <c r="M577" s="14" t="n">
        <v>428.58</v>
      </c>
      <c r="N577" s="14" t="n">
        <v>428.58</v>
      </c>
      <c r="O577" s="14" t="n">
        <v>428.58</v>
      </c>
      <c r="P577" s="14" t="n">
        <v>428.58</v>
      </c>
      <c r="Q577" s="14" t="n">
        <v>428.58</v>
      </c>
      <c r="R577" s="14" t="n">
        <v>428.58</v>
      </c>
      <c r="S577" s="14" t="n">
        <v>428.58</v>
      </c>
      <c r="T577" s="14" t="n">
        <v>428.58</v>
      </c>
      <c r="U577" s="14" t="n">
        <v>350</v>
      </c>
      <c r="V577" s="14" t="n">
        <v>0</v>
      </c>
      <c r="W577" s="14">
        <f>U577+V577</f>
        <v/>
      </c>
    </row>
    <row r="578">
      <c r="A578" s="15" t="inlineStr">
        <is>
          <t>CANON-202606-007537</t>
        </is>
      </c>
      <c r="B578" s="15" t="inlineStr">
        <is>
          <t>2026-06-20</t>
        </is>
      </c>
      <c r="C578" s="15" t="inlineStr">
        <is>
          <t>Saoirse Kingsford</t>
        </is>
      </c>
      <c r="D578" s="15" t="inlineStr">
        <is>
          <t>NJ</t>
        </is>
      </c>
      <c r="E578" s="16" t="n">
        <v>605000</v>
      </c>
      <c r="F578" s="16" t="n">
        <v>5163.95</v>
      </c>
      <c r="G578" s="16" t="n">
        <v>645.49</v>
      </c>
      <c r="H578" s="16" t="n">
        <v>645.49</v>
      </c>
      <c r="I578" s="16">
        <f>SUM(K578:T578)</f>
        <v/>
      </c>
      <c r="J578" s="16">
        <f>F578-(G578+H578+I578)</f>
        <v/>
      </c>
      <c r="K578" s="16" t="n">
        <v>387.3</v>
      </c>
      <c r="L578" s="16" t="n">
        <v>387.3</v>
      </c>
      <c r="M578" s="16" t="n">
        <v>387.3</v>
      </c>
      <c r="N578" s="16" t="n">
        <v>387.3</v>
      </c>
      <c r="O578" s="16" t="n">
        <v>387.3</v>
      </c>
      <c r="P578" s="16" t="n">
        <v>387.3</v>
      </c>
      <c r="Q578" s="16" t="n">
        <v>387.3</v>
      </c>
      <c r="R578" s="16" t="n">
        <v>387.3</v>
      </c>
      <c r="S578" s="16" t="n">
        <v>387.3</v>
      </c>
      <c r="T578" s="16" t="n">
        <v>387.3</v>
      </c>
      <c r="U578" s="16" t="n">
        <v>350</v>
      </c>
      <c r="V578" s="16" t="n">
        <v>0</v>
      </c>
      <c r="W578" s="16">
        <f>U578+V578</f>
        <v/>
      </c>
    </row>
    <row r="579">
      <c r="A579" s="3" t="inlineStr">
        <is>
          <t>CANON-202606-007539</t>
        </is>
      </c>
      <c r="B579" s="3" t="inlineStr">
        <is>
          <t>2026-06-28</t>
        </is>
      </c>
      <c r="C579" s="3" t="inlineStr">
        <is>
          <t>Callum Merriweather</t>
        </is>
      </c>
      <c r="D579" s="3" t="inlineStr">
        <is>
          <t>KY</t>
        </is>
      </c>
      <c r="E579" s="14" t="n">
        <v>1275000</v>
      </c>
      <c r="F579" s="14" t="n">
        <v>13559.69</v>
      </c>
      <c r="G579" s="14" t="n">
        <v>1694.96</v>
      </c>
      <c r="H579" s="14" t="n">
        <v>1694.96</v>
      </c>
      <c r="I579" s="14">
        <f>SUM(K579:T579)</f>
        <v/>
      </c>
      <c r="J579" s="14">
        <f>F579-(G579+H579+I579)</f>
        <v/>
      </c>
      <c r="K579" s="14" t="n">
        <v>1016.98</v>
      </c>
      <c r="L579" s="14" t="n">
        <v>1016.98</v>
      </c>
      <c r="M579" s="14" t="n">
        <v>1016.98</v>
      </c>
      <c r="N579" s="14" t="n">
        <v>1016.98</v>
      </c>
      <c r="O579" s="14" t="n">
        <v>1016.98</v>
      </c>
      <c r="P579" s="14" t="n">
        <v>1016.98</v>
      </c>
      <c r="Q579" s="14" t="n">
        <v>1016.98</v>
      </c>
      <c r="R579" s="14" t="n">
        <v>1016.98</v>
      </c>
      <c r="S579" s="14" t="n">
        <v>1016.98</v>
      </c>
      <c r="T579" s="14" t="n">
        <v>1016.98</v>
      </c>
      <c r="U579" s="14" t="n">
        <v>350</v>
      </c>
      <c r="V579" s="14" t="n">
        <v>250</v>
      </c>
      <c r="W579" s="14">
        <f>U579+V579</f>
        <v/>
      </c>
    </row>
    <row r="580">
      <c r="A580" s="15" t="inlineStr">
        <is>
          <t>CANON-202606-007540</t>
        </is>
      </c>
      <c r="B580" s="15" t="inlineStr">
        <is>
          <t>2026-06-17</t>
        </is>
      </c>
      <c r="C580" s="15" t="inlineStr">
        <is>
          <t>Fenwick Rourke</t>
        </is>
      </c>
      <c r="D580" s="15" t="inlineStr">
        <is>
          <t>TX</t>
        </is>
      </c>
      <c r="E580" s="16" t="n">
        <v>1070000</v>
      </c>
      <c r="F580" s="16" t="n">
        <v>9765.99</v>
      </c>
      <c r="G580" s="16" t="n">
        <v>1220.75</v>
      </c>
      <c r="H580" s="16" t="n">
        <v>1220.75</v>
      </c>
      <c r="I580" s="16">
        <f>SUM(K580:T580)</f>
        <v/>
      </c>
      <c r="J580" s="16">
        <f>F580-(G580+H580+I580)</f>
        <v/>
      </c>
      <c r="K580" s="16" t="n">
        <v>732.45</v>
      </c>
      <c r="L580" s="16" t="n">
        <v>732.45</v>
      </c>
      <c r="M580" s="16" t="n">
        <v>732.45</v>
      </c>
      <c r="N580" s="16" t="n">
        <v>732.45</v>
      </c>
      <c r="O580" s="16" t="n">
        <v>732.45</v>
      </c>
      <c r="P580" s="16" t="n">
        <v>732.45</v>
      </c>
      <c r="Q580" s="16" t="n">
        <v>732.45</v>
      </c>
      <c r="R580" s="16" t="n">
        <v>732.45</v>
      </c>
      <c r="S580" s="16" t="n">
        <v>732.45</v>
      </c>
      <c r="T580" s="16" t="n">
        <v>732.45</v>
      </c>
      <c r="U580" s="16" t="n">
        <v>350</v>
      </c>
      <c r="V580" s="16" t="n">
        <v>250</v>
      </c>
      <c r="W580" s="16">
        <f>U580+V580</f>
        <v/>
      </c>
    </row>
    <row r="581">
      <c r="A581" s="3" t="inlineStr">
        <is>
          <t>CANON-202606-007541</t>
        </is>
      </c>
      <c r="B581" s="3" t="inlineStr">
        <is>
          <t>2026-06-24</t>
        </is>
      </c>
      <c r="C581" s="3" t="inlineStr">
        <is>
          <t>Anouk Vandermeer</t>
        </is>
      </c>
      <c r="D581" s="3" t="inlineStr">
        <is>
          <t>NY</t>
        </is>
      </c>
      <c r="E581" s="14" t="n">
        <v>315000</v>
      </c>
      <c r="F581" s="14" t="n">
        <v>4363.69</v>
      </c>
      <c r="G581" s="14" t="n">
        <v>545.46</v>
      </c>
      <c r="H581" s="14" t="n">
        <v>545.46</v>
      </c>
      <c r="I581" s="14">
        <f>SUM(K581:T581)</f>
        <v/>
      </c>
      <c r="J581" s="14">
        <f>F581-(G581+H581+I581)</f>
        <v/>
      </c>
      <c r="K581" s="14" t="n">
        <v>327.28</v>
      </c>
      <c r="L581" s="14" t="n">
        <v>327.28</v>
      </c>
      <c r="M581" s="14" t="n">
        <v>327.28</v>
      </c>
      <c r="N581" s="14" t="n">
        <v>327.28</v>
      </c>
      <c r="O581" s="14" t="n">
        <v>327.28</v>
      </c>
      <c r="P581" s="14" t="n">
        <v>327.28</v>
      </c>
      <c r="Q581" s="14" t="n">
        <v>327.28</v>
      </c>
      <c r="R581" s="14" t="n">
        <v>327.28</v>
      </c>
      <c r="S581" s="14" t="n">
        <v>327.28</v>
      </c>
      <c r="T581" s="14" t="n">
        <v>327.28</v>
      </c>
      <c r="U581" s="14" t="n">
        <v>350</v>
      </c>
      <c r="V581" s="14" t="n">
        <v>0</v>
      </c>
      <c r="W581" s="14">
        <f>U581+V581</f>
        <v/>
      </c>
    </row>
    <row r="582">
      <c r="A582" s="15" t="inlineStr">
        <is>
          <t>CANON-202606-007542</t>
        </is>
      </c>
      <c r="B582" s="15" t="inlineStr">
        <is>
          <t>2026-06-09</t>
        </is>
      </c>
      <c r="C582" s="15" t="inlineStr">
        <is>
          <t>Priya Fairweather</t>
        </is>
      </c>
      <c r="D582" s="15" t="inlineStr">
        <is>
          <t>IL</t>
        </is>
      </c>
      <c r="E582" s="16" t="n">
        <v>930000</v>
      </c>
      <c r="F582" s="16" t="n">
        <v>17338.73</v>
      </c>
      <c r="G582" s="16" t="n">
        <v>2167.34</v>
      </c>
      <c r="H582" s="16" t="n">
        <v>2167.34</v>
      </c>
      <c r="I582" s="16">
        <f>SUM(K582:T582)</f>
        <v/>
      </c>
      <c r="J582" s="16">
        <f>F582-(G582+H582+I582)</f>
        <v/>
      </c>
      <c r="K582" s="16" t="n">
        <v>1300.4</v>
      </c>
      <c r="L582" s="16" t="n">
        <v>1300.4</v>
      </c>
      <c r="M582" s="16" t="n">
        <v>1300.4</v>
      </c>
      <c r="N582" s="16" t="n">
        <v>1300.4</v>
      </c>
      <c r="O582" s="16" t="n">
        <v>1300.4</v>
      </c>
      <c r="P582" s="16" t="n">
        <v>1300.4</v>
      </c>
      <c r="Q582" s="16" t="n">
        <v>1300.4</v>
      </c>
      <c r="R582" s="16" t="n">
        <v>1300.4</v>
      </c>
      <c r="S582" s="16" t="n">
        <v>1300.4</v>
      </c>
      <c r="T582" s="16" t="n">
        <v>1300.4</v>
      </c>
      <c r="U582" s="16" t="n">
        <v>350</v>
      </c>
      <c r="V582" s="16" t="n">
        <v>0</v>
      </c>
      <c r="W582" s="16">
        <f>U582+V582</f>
        <v/>
      </c>
    </row>
    <row r="583">
      <c r="A583" s="3" t="inlineStr">
        <is>
          <t>CANON-202606-007544</t>
        </is>
      </c>
      <c r="B583" s="3" t="inlineStr">
        <is>
          <t>2026-06-28</t>
        </is>
      </c>
      <c r="C583" s="3" t="inlineStr">
        <is>
          <t>Saoirse Larsson</t>
        </is>
      </c>
      <c r="D583" s="3" t="inlineStr">
        <is>
          <t>CA</t>
        </is>
      </c>
      <c r="E583" s="14" t="n">
        <v>1775000</v>
      </c>
      <c r="F583" s="14" t="n">
        <v>19018.09</v>
      </c>
      <c r="G583" s="14" t="n">
        <v>2377.26</v>
      </c>
      <c r="H583" s="14" t="n">
        <v>2377.26</v>
      </c>
      <c r="I583" s="14">
        <f>SUM(K583:T583)</f>
        <v/>
      </c>
      <c r="J583" s="14">
        <f>F583-(G583+H583+I583)</f>
        <v/>
      </c>
      <c r="K583" s="14" t="n">
        <v>1426.36</v>
      </c>
      <c r="L583" s="14" t="n">
        <v>1426.36</v>
      </c>
      <c r="M583" s="14" t="n">
        <v>1426.36</v>
      </c>
      <c r="N583" s="14" t="n">
        <v>1426.36</v>
      </c>
      <c r="O583" s="14" t="n">
        <v>1426.36</v>
      </c>
      <c r="P583" s="14" t="n">
        <v>1426.36</v>
      </c>
      <c r="Q583" s="14" t="n">
        <v>1426.36</v>
      </c>
      <c r="R583" s="14" t="n">
        <v>1426.36</v>
      </c>
      <c r="S583" s="14" t="n">
        <v>1426.36</v>
      </c>
      <c r="T583" s="14" t="n">
        <v>1426.36</v>
      </c>
      <c r="U583" s="14" t="n">
        <v>350</v>
      </c>
      <c r="V583" s="14" t="n">
        <v>250</v>
      </c>
      <c r="W583" s="14">
        <f>U583+V583</f>
        <v/>
      </c>
    </row>
    <row r="584">
      <c r="A584" s="15" t="inlineStr">
        <is>
          <t>CANON-202606-007545</t>
        </is>
      </c>
      <c r="B584" s="15" t="inlineStr">
        <is>
          <t>2026-06-08</t>
        </is>
      </c>
      <c r="C584" s="15" t="inlineStr">
        <is>
          <t>Lorenzo Underwood</t>
        </is>
      </c>
      <c r="D584" s="15" t="inlineStr">
        <is>
          <t>HI</t>
        </is>
      </c>
      <c r="E584" s="16" t="n">
        <v>380000</v>
      </c>
      <c r="F584" s="16" t="n">
        <v>5346.39</v>
      </c>
      <c r="G584" s="16" t="n">
        <v>668.3</v>
      </c>
      <c r="H584" s="16" t="n">
        <v>668.3</v>
      </c>
      <c r="I584" s="16">
        <f>SUM(K584:T584)</f>
        <v/>
      </c>
      <c r="J584" s="16">
        <f>F584-(G584+H584+I584)</f>
        <v/>
      </c>
      <c r="K584" s="16" t="n">
        <v>400.98</v>
      </c>
      <c r="L584" s="16" t="n">
        <v>400.98</v>
      </c>
      <c r="M584" s="16" t="n">
        <v>400.98</v>
      </c>
      <c r="N584" s="16" t="n">
        <v>400.98</v>
      </c>
      <c r="O584" s="16" t="n">
        <v>400.98</v>
      </c>
      <c r="P584" s="16" t="n">
        <v>400.98</v>
      </c>
      <c r="Q584" s="16" t="n">
        <v>400.98</v>
      </c>
      <c r="R584" s="16" t="n">
        <v>400.98</v>
      </c>
      <c r="S584" s="16" t="n">
        <v>400.98</v>
      </c>
      <c r="T584" s="16" t="n">
        <v>400.98</v>
      </c>
      <c r="U584" s="16" t="n">
        <v>350</v>
      </c>
      <c r="V584" s="16" t="n">
        <v>0</v>
      </c>
      <c r="W584" s="16">
        <f>U584+V584</f>
        <v/>
      </c>
    </row>
    <row r="585">
      <c r="A585" s="3" t="inlineStr">
        <is>
          <t>CANON-202606-007546</t>
        </is>
      </c>
      <c r="B585" s="3" t="inlineStr">
        <is>
          <t>2026-06-27</t>
        </is>
      </c>
      <c r="C585" s="3" t="inlineStr">
        <is>
          <t>Emiliano Montoya</t>
        </is>
      </c>
      <c r="D585" s="3" t="inlineStr">
        <is>
          <t>RI</t>
        </is>
      </c>
      <c r="E585" s="14" t="n">
        <v>485000</v>
      </c>
      <c r="F585" s="14" t="n">
        <v>7191.1</v>
      </c>
      <c r="G585" s="14" t="n">
        <v>898.89</v>
      </c>
      <c r="H585" s="14" t="n">
        <v>898.89</v>
      </c>
      <c r="I585" s="14">
        <f>SUM(K585:T585)</f>
        <v/>
      </c>
      <c r="J585" s="14">
        <f>F585-(G585+H585+I585)</f>
        <v/>
      </c>
      <c r="K585" s="14" t="n">
        <v>539.33</v>
      </c>
      <c r="L585" s="14" t="n">
        <v>539.33</v>
      </c>
      <c r="M585" s="14" t="n">
        <v>539.33</v>
      </c>
      <c r="N585" s="14" t="n">
        <v>539.33</v>
      </c>
      <c r="O585" s="14" t="n">
        <v>539.33</v>
      </c>
      <c r="P585" s="14" t="n">
        <v>539.33</v>
      </c>
      <c r="Q585" s="14" t="n">
        <v>539.33</v>
      </c>
      <c r="R585" s="14" t="n">
        <v>539.33</v>
      </c>
      <c r="S585" s="14" t="n">
        <v>539.33</v>
      </c>
      <c r="T585" s="14" t="n">
        <v>539.33</v>
      </c>
      <c r="U585" s="14" t="n">
        <v>350</v>
      </c>
      <c r="V585" s="14" t="n">
        <v>0</v>
      </c>
      <c r="W585" s="14">
        <f>U585+V585</f>
        <v/>
      </c>
    </row>
    <row r="586">
      <c r="A586" s="15" t="inlineStr">
        <is>
          <t>CANON-202606-007547</t>
        </is>
      </c>
      <c r="B586" s="15" t="inlineStr">
        <is>
          <t>2026-06-18</t>
        </is>
      </c>
      <c r="C586" s="15" t="inlineStr">
        <is>
          <t>Mireille Castellanos</t>
        </is>
      </c>
      <c r="D586" s="15" t="inlineStr">
        <is>
          <t>CT</t>
        </is>
      </c>
      <c r="E586" s="16" t="n">
        <v>1950000</v>
      </c>
      <c r="F586" s="16" t="n">
        <v>10715.28</v>
      </c>
      <c r="G586" s="16" t="n">
        <v>1339.41</v>
      </c>
      <c r="H586" s="16" t="n">
        <v>1339.41</v>
      </c>
      <c r="I586" s="16">
        <f>SUM(K586:T586)</f>
        <v/>
      </c>
      <c r="J586" s="16">
        <f>F586-(G586+H586+I586)</f>
        <v/>
      </c>
      <c r="K586" s="16" t="n">
        <v>803.65</v>
      </c>
      <c r="L586" s="16" t="n">
        <v>803.65</v>
      </c>
      <c r="M586" s="16" t="n">
        <v>803.65</v>
      </c>
      <c r="N586" s="16" t="n">
        <v>803.65</v>
      </c>
      <c r="O586" s="16" t="n">
        <v>803.65</v>
      </c>
      <c r="P586" s="16" t="n">
        <v>803.65</v>
      </c>
      <c r="Q586" s="16" t="n">
        <v>803.65</v>
      </c>
      <c r="R586" s="16" t="n">
        <v>803.65</v>
      </c>
      <c r="S586" s="16" t="n">
        <v>803.65</v>
      </c>
      <c r="T586" s="16" t="n">
        <v>803.65</v>
      </c>
      <c r="U586" s="16" t="n">
        <v>350</v>
      </c>
      <c r="V586" s="16" t="n">
        <v>250</v>
      </c>
      <c r="W586" s="16">
        <f>U586+V586</f>
        <v/>
      </c>
    </row>
    <row r="587">
      <c r="A587" s="3" t="inlineStr">
        <is>
          <t>CANON-202606-007548</t>
        </is>
      </c>
      <c r="B587" s="3" t="inlineStr">
        <is>
          <t>2026-06-24</t>
        </is>
      </c>
      <c r="C587" s="3" t="inlineStr">
        <is>
          <t>Leopold Okonkwo</t>
        </is>
      </c>
      <c r="D587" s="3" t="inlineStr">
        <is>
          <t>NJ</t>
        </is>
      </c>
      <c r="E587" s="14" t="n">
        <v>175000</v>
      </c>
      <c r="F587" s="14" t="n">
        <v>2114.17</v>
      </c>
      <c r="G587" s="14" t="n">
        <v>264.27</v>
      </c>
      <c r="H587" s="14" t="n">
        <v>264.27</v>
      </c>
      <c r="I587" s="14">
        <f>SUM(K587:T587)</f>
        <v/>
      </c>
      <c r="J587" s="14">
        <f>F587-(G587+H587+I587)</f>
        <v/>
      </c>
      <c r="K587" s="14" t="n">
        <v>158.56</v>
      </c>
      <c r="L587" s="14" t="n">
        <v>158.56</v>
      </c>
      <c r="M587" s="14" t="n">
        <v>158.56</v>
      </c>
      <c r="N587" s="14" t="n">
        <v>158.56</v>
      </c>
      <c r="O587" s="14" t="n">
        <v>158.56</v>
      </c>
      <c r="P587" s="14" t="n">
        <v>158.56</v>
      </c>
      <c r="Q587" s="14" t="n">
        <v>158.56</v>
      </c>
      <c r="R587" s="14" t="n">
        <v>158.56</v>
      </c>
      <c r="S587" s="14" t="n">
        <v>158.56</v>
      </c>
      <c r="T587" s="14" t="n">
        <v>158.56</v>
      </c>
      <c r="U587" s="14" t="n">
        <v>350</v>
      </c>
      <c r="V587" s="14" t="n">
        <v>0</v>
      </c>
      <c r="W587" s="14">
        <f>U587+V587</f>
        <v/>
      </c>
    </row>
    <row r="588">
      <c r="A588" s="15" t="inlineStr">
        <is>
          <t>CANON-202606-007551</t>
        </is>
      </c>
      <c r="B588" s="15" t="inlineStr">
        <is>
          <t>2026-06-26</t>
        </is>
      </c>
      <c r="C588" s="15" t="inlineStr">
        <is>
          <t>Leopold Ashcombe</t>
        </is>
      </c>
      <c r="D588" s="15" t="inlineStr">
        <is>
          <t>OH</t>
        </is>
      </c>
      <c r="E588" s="16" t="n">
        <v>355000</v>
      </c>
      <c r="F588" s="16" t="n">
        <v>8188.66</v>
      </c>
      <c r="G588" s="16" t="n">
        <v>1023.58</v>
      </c>
      <c r="H588" s="16" t="n">
        <v>1023.58</v>
      </c>
      <c r="I588" s="16">
        <f>SUM(K588:T588)</f>
        <v/>
      </c>
      <c r="J588" s="16">
        <f>F588-(G588+H588+I588)</f>
        <v/>
      </c>
      <c r="K588" s="16" t="n">
        <v>614.15</v>
      </c>
      <c r="L588" s="16" t="n">
        <v>614.15</v>
      </c>
      <c r="M588" s="16" t="n">
        <v>614.15</v>
      </c>
      <c r="N588" s="16" t="n">
        <v>614.15</v>
      </c>
      <c r="O588" s="16" t="n">
        <v>614.15</v>
      </c>
      <c r="P588" s="16" t="n">
        <v>614.15</v>
      </c>
      <c r="Q588" s="16" t="n">
        <v>614.15</v>
      </c>
      <c r="R588" s="16" t="n">
        <v>614.15</v>
      </c>
      <c r="S588" s="16" t="n">
        <v>614.15</v>
      </c>
      <c r="T588" s="16" t="n">
        <v>614.15</v>
      </c>
      <c r="U588" s="16" t="n">
        <v>350</v>
      </c>
      <c r="V588" s="16" t="n">
        <v>0</v>
      </c>
      <c r="W588" s="16">
        <f>U588+V588</f>
        <v/>
      </c>
    </row>
    <row r="589">
      <c r="A589" s="3" t="inlineStr">
        <is>
          <t>CANON-202606-007552</t>
        </is>
      </c>
      <c r="B589" s="3" t="inlineStr">
        <is>
          <t>2026-06-07</t>
        </is>
      </c>
      <c r="C589" s="3" t="inlineStr">
        <is>
          <t>Ramona Kingsford</t>
        </is>
      </c>
      <c r="D589" s="3" t="inlineStr">
        <is>
          <t>KY</t>
        </is>
      </c>
      <c r="E589" s="14" t="n">
        <v>925000</v>
      </c>
      <c r="F589" s="14" t="n">
        <v>7691.07</v>
      </c>
      <c r="G589" s="14" t="n">
        <v>961.38</v>
      </c>
      <c r="H589" s="14" t="n">
        <v>961.38</v>
      </c>
      <c r="I589" s="14">
        <f>SUM(K589:T589)</f>
        <v/>
      </c>
      <c r="J589" s="14">
        <f>F589-(G589+H589+I589)</f>
        <v/>
      </c>
      <c r="K589" s="14" t="n">
        <v>576.83</v>
      </c>
      <c r="L589" s="14" t="n">
        <v>576.83</v>
      </c>
      <c r="M589" s="14" t="n">
        <v>576.83</v>
      </c>
      <c r="N589" s="14" t="n">
        <v>576.83</v>
      </c>
      <c r="O589" s="14" t="n">
        <v>576.83</v>
      </c>
      <c r="P589" s="14" t="n">
        <v>576.83</v>
      </c>
      <c r="Q589" s="14" t="n">
        <v>576.83</v>
      </c>
      <c r="R589" s="14" t="n">
        <v>576.83</v>
      </c>
      <c r="S589" s="14" t="n">
        <v>576.83</v>
      </c>
      <c r="T589" s="14" t="n">
        <v>576.83</v>
      </c>
      <c r="U589" s="14" t="n">
        <v>350</v>
      </c>
      <c r="V589" s="14" t="n">
        <v>0</v>
      </c>
      <c r="W589" s="14">
        <f>U589+V589</f>
        <v/>
      </c>
    </row>
    <row r="590">
      <c r="A590" s="15" t="inlineStr">
        <is>
          <t>CANON-202606-007553</t>
        </is>
      </c>
      <c r="B590" s="15" t="inlineStr">
        <is>
          <t>2026-06-14</t>
        </is>
      </c>
      <c r="C590" s="15" t="inlineStr">
        <is>
          <t>Mireille Vandermeer</t>
        </is>
      </c>
      <c r="D590" s="15" t="inlineStr">
        <is>
          <t>MD</t>
        </is>
      </c>
      <c r="E590" s="16" t="n">
        <v>565000</v>
      </c>
      <c r="F590" s="16" t="n">
        <v>5034.51</v>
      </c>
      <c r="G590" s="16" t="n">
        <v>629.3099999999999</v>
      </c>
      <c r="H590" s="16" t="n">
        <v>629.3099999999999</v>
      </c>
      <c r="I590" s="16">
        <f>SUM(K590:T590)</f>
        <v/>
      </c>
      <c r="J590" s="16">
        <f>F590-(G590+H590+I590)</f>
        <v/>
      </c>
      <c r="K590" s="16" t="n">
        <v>377.59</v>
      </c>
      <c r="L590" s="16" t="n">
        <v>377.59</v>
      </c>
      <c r="M590" s="16" t="n">
        <v>377.59</v>
      </c>
      <c r="N590" s="16" t="n">
        <v>377.59</v>
      </c>
      <c r="O590" s="16" t="n">
        <v>377.59</v>
      </c>
      <c r="P590" s="16" t="n">
        <v>377.59</v>
      </c>
      <c r="Q590" s="16" t="n">
        <v>377.59</v>
      </c>
      <c r="R590" s="16" t="n">
        <v>377.59</v>
      </c>
      <c r="S590" s="16" t="n">
        <v>377.59</v>
      </c>
      <c r="T590" s="16" t="n">
        <v>377.59</v>
      </c>
      <c r="U590" s="16" t="n">
        <v>350</v>
      </c>
      <c r="V590" s="16" t="n">
        <v>0</v>
      </c>
      <c r="W590" s="16">
        <f>U590+V590</f>
        <v/>
      </c>
    </row>
    <row r="591">
      <c r="A591" s="3" t="inlineStr">
        <is>
          <t>CANON-202606-007554</t>
        </is>
      </c>
      <c r="B591" s="3" t="inlineStr">
        <is>
          <t>2026-06-23</t>
        </is>
      </c>
      <c r="C591" s="3" t="inlineStr">
        <is>
          <t>Horace Rourke</t>
        </is>
      </c>
      <c r="D591" s="3" t="inlineStr">
        <is>
          <t>CA</t>
        </is>
      </c>
      <c r="E591" s="14" t="n">
        <v>635000</v>
      </c>
      <c r="F591" s="14" t="n">
        <v>8040.68</v>
      </c>
      <c r="G591" s="14" t="n">
        <v>1005.09</v>
      </c>
      <c r="H591" s="14" t="n">
        <v>1005.09</v>
      </c>
      <c r="I591" s="14">
        <f>SUM(K591:T591)</f>
        <v/>
      </c>
      <c r="J591" s="14">
        <f>F591-(G591+H591+I591)</f>
        <v/>
      </c>
      <c r="K591" s="14" t="n">
        <v>603.05</v>
      </c>
      <c r="L591" s="14" t="n">
        <v>603.05</v>
      </c>
      <c r="M591" s="14" t="n">
        <v>603.05</v>
      </c>
      <c r="N591" s="14" t="n">
        <v>603.05</v>
      </c>
      <c r="O591" s="14" t="n">
        <v>603.05</v>
      </c>
      <c r="P591" s="14" t="n">
        <v>603.05</v>
      </c>
      <c r="Q591" s="14" t="n">
        <v>603.05</v>
      </c>
      <c r="R591" s="14" t="n">
        <v>603.05</v>
      </c>
      <c r="S591" s="14" t="n">
        <v>603.05</v>
      </c>
      <c r="T591" s="14" t="n">
        <v>603.05</v>
      </c>
      <c r="U591" s="14" t="n">
        <v>350</v>
      </c>
      <c r="V591" s="14" t="n">
        <v>0</v>
      </c>
      <c r="W591" s="14">
        <f>U591+V591</f>
        <v/>
      </c>
    </row>
    <row r="592">
      <c r="A592" s="15" t="inlineStr">
        <is>
          <t>CANON-202606-007555</t>
        </is>
      </c>
      <c r="B592" s="15" t="inlineStr">
        <is>
          <t>2026-06-27</t>
        </is>
      </c>
      <c r="C592" s="15" t="inlineStr">
        <is>
          <t>Priya Kingsford</t>
        </is>
      </c>
      <c r="D592" s="15" t="inlineStr">
        <is>
          <t>RI</t>
        </is>
      </c>
      <c r="E592" s="16" t="n">
        <v>1690000</v>
      </c>
      <c r="F592" s="16" t="n">
        <v>26728.17</v>
      </c>
      <c r="G592" s="16" t="n">
        <v>3341.02</v>
      </c>
      <c r="H592" s="16" t="n">
        <v>3341.02</v>
      </c>
      <c r="I592" s="16">
        <f>SUM(K592:T592)</f>
        <v/>
      </c>
      <c r="J592" s="16">
        <f>F592-(G592+H592+I592)</f>
        <v/>
      </c>
      <c r="K592" s="16" t="n">
        <v>2004.61</v>
      </c>
      <c r="L592" s="16" t="n">
        <v>2004.61</v>
      </c>
      <c r="M592" s="16" t="n">
        <v>2004.61</v>
      </c>
      <c r="N592" s="16" t="n">
        <v>2004.61</v>
      </c>
      <c r="O592" s="16" t="n">
        <v>2004.61</v>
      </c>
      <c r="P592" s="16" t="n">
        <v>2004.61</v>
      </c>
      <c r="Q592" s="16" t="n">
        <v>2004.61</v>
      </c>
      <c r="R592" s="16" t="n">
        <v>2004.61</v>
      </c>
      <c r="S592" s="16" t="n">
        <v>2004.61</v>
      </c>
      <c r="T592" s="16" t="n">
        <v>2004.61</v>
      </c>
      <c r="U592" s="16" t="n">
        <v>350</v>
      </c>
      <c r="V592" s="16" t="n">
        <v>250</v>
      </c>
      <c r="W592" s="16">
        <f>U592+V592</f>
        <v/>
      </c>
    </row>
    <row r="593">
      <c r="A593" s="3" t="inlineStr">
        <is>
          <t>CANON-202606-007556</t>
        </is>
      </c>
      <c r="B593" s="3" t="inlineStr">
        <is>
          <t>2026-06-26</t>
        </is>
      </c>
      <c r="C593" s="3" t="inlineStr">
        <is>
          <t>Delphine Pennington</t>
        </is>
      </c>
      <c r="D593" s="3" t="inlineStr">
        <is>
          <t>CA</t>
        </is>
      </c>
      <c r="E593" s="14" t="n">
        <v>770000</v>
      </c>
      <c r="F593" s="14" t="n">
        <v>9750.110000000001</v>
      </c>
      <c r="G593" s="14" t="n">
        <v>1218.76</v>
      </c>
      <c r="H593" s="14" t="n">
        <v>1218.76</v>
      </c>
      <c r="I593" s="14">
        <f>SUM(K593:T593)</f>
        <v/>
      </c>
      <c r="J593" s="14">
        <f>F593-(G593+H593+I593)</f>
        <v/>
      </c>
      <c r="K593" s="14" t="n">
        <v>731.26</v>
      </c>
      <c r="L593" s="14" t="n">
        <v>731.26</v>
      </c>
      <c r="M593" s="14" t="n">
        <v>731.26</v>
      </c>
      <c r="N593" s="14" t="n">
        <v>731.26</v>
      </c>
      <c r="O593" s="14" t="n">
        <v>731.26</v>
      </c>
      <c r="P593" s="14" t="n">
        <v>731.26</v>
      </c>
      <c r="Q593" s="14" t="n">
        <v>731.26</v>
      </c>
      <c r="R593" s="14" t="n">
        <v>731.26</v>
      </c>
      <c r="S593" s="14" t="n">
        <v>731.26</v>
      </c>
      <c r="T593" s="14" t="n">
        <v>731.26</v>
      </c>
      <c r="U593" s="14" t="n">
        <v>350</v>
      </c>
      <c r="V593" s="14" t="n">
        <v>0</v>
      </c>
      <c r="W593" s="14">
        <f>U593+V593</f>
        <v/>
      </c>
    </row>
    <row r="594">
      <c r="A594" s="15" t="inlineStr">
        <is>
          <t>CANON-202606-007557</t>
        </is>
      </c>
      <c r="B594" s="15" t="inlineStr">
        <is>
          <t>2026-06-01</t>
        </is>
      </c>
      <c r="C594" s="15" t="inlineStr">
        <is>
          <t>Sunniva Underwood</t>
        </is>
      </c>
      <c r="D594" s="15" t="inlineStr">
        <is>
          <t>IN</t>
        </is>
      </c>
      <c r="E594" s="16" t="n">
        <v>385000</v>
      </c>
      <c r="F594" s="16" t="n">
        <v>5125.06</v>
      </c>
      <c r="G594" s="16" t="n">
        <v>640.63</v>
      </c>
      <c r="H594" s="16" t="n">
        <v>640.63</v>
      </c>
      <c r="I594" s="16">
        <f>SUM(K594:T594)</f>
        <v/>
      </c>
      <c r="J594" s="16">
        <f>F594-(G594+H594+I594)</f>
        <v/>
      </c>
      <c r="K594" s="16" t="n">
        <v>384.38</v>
      </c>
      <c r="L594" s="16" t="n">
        <v>384.38</v>
      </c>
      <c r="M594" s="16" t="n">
        <v>384.38</v>
      </c>
      <c r="N594" s="16" t="n">
        <v>384.38</v>
      </c>
      <c r="O594" s="16" t="n">
        <v>384.38</v>
      </c>
      <c r="P594" s="16" t="n">
        <v>384.38</v>
      </c>
      <c r="Q594" s="16" t="n">
        <v>384.38</v>
      </c>
      <c r="R594" s="16" t="n">
        <v>384.38</v>
      </c>
      <c r="S594" s="16" t="n">
        <v>384.38</v>
      </c>
      <c r="T594" s="16" t="n">
        <v>384.38</v>
      </c>
      <c r="U594" s="16" t="n">
        <v>350</v>
      </c>
      <c r="V594" s="16" t="n">
        <v>0</v>
      </c>
      <c r="W594" s="16">
        <f>U594+V594</f>
        <v/>
      </c>
    </row>
    <row r="595">
      <c r="A595" s="3" t="inlineStr">
        <is>
          <t>CANON-202606-007558</t>
        </is>
      </c>
      <c r="B595" s="3" t="inlineStr">
        <is>
          <t>2026-06-03</t>
        </is>
      </c>
      <c r="C595" s="3" t="inlineStr">
        <is>
          <t>Emiliano Harrington</t>
        </is>
      </c>
      <c r="D595" s="3" t="inlineStr">
        <is>
          <t>ME</t>
        </is>
      </c>
      <c r="E595" s="14" t="n">
        <v>290000</v>
      </c>
      <c r="F595" s="14" t="n">
        <v>3389.65</v>
      </c>
      <c r="G595" s="14" t="n">
        <v>423.71</v>
      </c>
      <c r="H595" s="14" t="n">
        <v>423.71</v>
      </c>
      <c r="I595" s="14">
        <f>SUM(K595:T595)</f>
        <v/>
      </c>
      <c r="J595" s="14">
        <f>F595-(G595+H595+I595)</f>
        <v/>
      </c>
      <c r="K595" s="14" t="n">
        <v>254.22</v>
      </c>
      <c r="L595" s="14" t="n">
        <v>254.22</v>
      </c>
      <c r="M595" s="14" t="n">
        <v>254.22</v>
      </c>
      <c r="N595" s="14" t="n">
        <v>254.22</v>
      </c>
      <c r="O595" s="14" t="n">
        <v>254.22</v>
      </c>
      <c r="P595" s="14" t="n">
        <v>254.22</v>
      </c>
      <c r="Q595" s="14" t="n">
        <v>254.22</v>
      </c>
      <c r="R595" s="14" t="n">
        <v>254.22</v>
      </c>
      <c r="S595" s="14" t="n">
        <v>254.22</v>
      </c>
      <c r="T595" s="14" t="n">
        <v>254.22</v>
      </c>
      <c r="U595" s="14" t="n">
        <v>350</v>
      </c>
      <c r="V595" s="14" t="n">
        <v>0</v>
      </c>
      <c r="W595" s="14">
        <f>U595+V595</f>
        <v/>
      </c>
    </row>
    <row r="596">
      <c r="A596" s="15" t="inlineStr">
        <is>
          <t>CANON-202606-007559</t>
        </is>
      </c>
      <c r="B596" s="15" t="inlineStr">
        <is>
          <t>2026-06-05</t>
        </is>
      </c>
      <c r="C596" s="15" t="inlineStr">
        <is>
          <t>Priya Harrington</t>
        </is>
      </c>
      <c r="D596" s="15" t="inlineStr">
        <is>
          <t>CT</t>
        </is>
      </c>
      <c r="E596" s="16" t="n">
        <v>530000</v>
      </c>
      <c r="F596" s="16" t="n">
        <v>6681.29</v>
      </c>
      <c r="G596" s="16" t="n">
        <v>835.16</v>
      </c>
      <c r="H596" s="16" t="n">
        <v>835.16</v>
      </c>
      <c r="I596" s="16">
        <f>SUM(K596:T596)</f>
        <v/>
      </c>
      <c r="J596" s="16">
        <f>F596-(G596+H596+I596)</f>
        <v/>
      </c>
      <c r="K596" s="16" t="n">
        <v>501.1</v>
      </c>
      <c r="L596" s="16" t="n">
        <v>501.1</v>
      </c>
      <c r="M596" s="16" t="n">
        <v>501.1</v>
      </c>
      <c r="N596" s="16" t="n">
        <v>501.1</v>
      </c>
      <c r="O596" s="16" t="n">
        <v>501.1</v>
      </c>
      <c r="P596" s="16" t="n">
        <v>501.1</v>
      </c>
      <c r="Q596" s="16" t="n">
        <v>501.1</v>
      </c>
      <c r="R596" s="16" t="n">
        <v>501.1</v>
      </c>
      <c r="S596" s="16" t="n">
        <v>501.1</v>
      </c>
      <c r="T596" s="16" t="n">
        <v>501.1</v>
      </c>
      <c r="U596" s="16" t="n">
        <v>350</v>
      </c>
      <c r="V596" s="16" t="n">
        <v>0</v>
      </c>
      <c r="W596" s="16">
        <f>U596+V596</f>
        <v/>
      </c>
    </row>
    <row r="597">
      <c r="A597" s="3" t="inlineStr">
        <is>
          <t>CANON-202606-007561</t>
        </is>
      </c>
      <c r="B597" s="3" t="inlineStr">
        <is>
          <t>2026-06-19</t>
        </is>
      </c>
      <c r="C597" s="3" t="inlineStr">
        <is>
          <t>Horace Merriweather</t>
        </is>
      </c>
      <c r="D597" s="3" t="inlineStr">
        <is>
          <t>NJ</t>
        </is>
      </c>
      <c r="E597" s="14" t="n">
        <v>1950000</v>
      </c>
      <c r="F597" s="14" t="n">
        <v>9730.42</v>
      </c>
      <c r="G597" s="14" t="n">
        <v>1216.3</v>
      </c>
      <c r="H597" s="14" t="n">
        <v>1216.3</v>
      </c>
      <c r="I597" s="14">
        <f>SUM(K597:T597)</f>
        <v/>
      </c>
      <c r="J597" s="14">
        <f>F597-(G597+H597+I597)</f>
        <v/>
      </c>
      <c r="K597" s="14" t="n">
        <v>729.78</v>
      </c>
      <c r="L597" s="14" t="n">
        <v>729.78</v>
      </c>
      <c r="M597" s="14" t="n">
        <v>729.78</v>
      </c>
      <c r="N597" s="14" t="n">
        <v>729.78</v>
      </c>
      <c r="O597" s="14" t="n">
        <v>729.78</v>
      </c>
      <c r="P597" s="14" t="n">
        <v>729.78</v>
      </c>
      <c r="Q597" s="14" t="n">
        <v>729.78</v>
      </c>
      <c r="R597" s="14" t="n">
        <v>729.78</v>
      </c>
      <c r="S597" s="14" t="n">
        <v>729.78</v>
      </c>
      <c r="T597" s="14" t="n">
        <v>729.78</v>
      </c>
      <c r="U597" s="14" t="n">
        <v>350</v>
      </c>
      <c r="V597" s="14" t="n">
        <v>250</v>
      </c>
      <c r="W597" s="14">
        <f>U597+V597</f>
        <v/>
      </c>
    </row>
    <row r="598">
      <c r="A598" s="15" t="inlineStr">
        <is>
          <t>CANON-202606-007563</t>
        </is>
      </c>
      <c r="B598" s="15" t="inlineStr">
        <is>
          <t>2026-06-25</t>
        </is>
      </c>
      <c r="C598" s="15" t="inlineStr">
        <is>
          <t>Marisol Bellandi</t>
        </is>
      </c>
      <c r="D598" s="15" t="inlineStr">
        <is>
          <t>OH</t>
        </is>
      </c>
      <c r="E598" s="16" t="n">
        <v>300000</v>
      </c>
      <c r="F598" s="16" t="n">
        <v>6919.99</v>
      </c>
      <c r="G598" s="16" t="n">
        <v>865</v>
      </c>
      <c r="H598" s="16" t="n">
        <v>865</v>
      </c>
      <c r="I598" s="16">
        <f>SUM(K598:T598)</f>
        <v/>
      </c>
      <c r="J598" s="16">
        <f>F598-(G598+H598+I598)</f>
        <v/>
      </c>
      <c r="K598" s="16" t="n">
        <v>519</v>
      </c>
      <c r="L598" s="16" t="n">
        <v>519</v>
      </c>
      <c r="M598" s="16" t="n">
        <v>519</v>
      </c>
      <c r="N598" s="16" t="n">
        <v>519</v>
      </c>
      <c r="O598" s="16" t="n">
        <v>519</v>
      </c>
      <c r="P598" s="16" t="n">
        <v>519</v>
      </c>
      <c r="Q598" s="16" t="n">
        <v>519</v>
      </c>
      <c r="R598" s="16" t="n">
        <v>519</v>
      </c>
      <c r="S598" s="16" t="n">
        <v>519</v>
      </c>
      <c r="T598" s="16" t="n">
        <v>519</v>
      </c>
      <c r="U598" s="16" t="n">
        <v>350</v>
      </c>
      <c r="V598" s="16" t="n">
        <v>0</v>
      </c>
      <c r="W598" s="16">
        <f>U598+V598</f>
        <v/>
      </c>
    </row>
    <row r="599">
      <c r="A599" s="3" t="inlineStr">
        <is>
          <t>CANON-202606-007564</t>
        </is>
      </c>
      <c r="B599" s="3" t="inlineStr">
        <is>
          <t>2026-06-03</t>
        </is>
      </c>
      <c r="C599" s="3" t="inlineStr">
        <is>
          <t>Ottilie Blackwood</t>
        </is>
      </c>
      <c r="D599" s="3" t="inlineStr">
        <is>
          <t>NC</t>
        </is>
      </c>
      <c r="E599" s="14" t="n">
        <v>555000</v>
      </c>
      <c r="F599" s="14" t="n">
        <v>5986.54</v>
      </c>
      <c r="G599" s="14" t="n">
        <v>748.3200000000001</v>
      </c>
      <c r="H599" s="14" t="n">
        <v>748.3200000000001</v>
      </c>
      <c r="I599" s="14">
        <f>SUM(K599:T599)</f>
        <v/>
      </c>
      <c r="J599" s="14">
        <f>F599-(G599+H599+I599)</f>
        <v/>
      </c>
      <c r="K599" s="14" t="n">
        <v>448.99</v>
      </c>
      <c r="L599" s="14" t="n">
        <v>448.99</v>
      </c>
      <c r="M599" s="14" t="n">
        <v>448.99</v>
      </c>
      <c r="N599" s="14" t="n">
        <v>448.99</v>
      </c>
      <c r="O599" s="14" t="n">
        <v>448.99</v>
      </c>
      <c r="P599" s="14" t="n">
        <v>448.99</v>
      </c>
      <c r="Q599" s="14" t="n">
        <v>448.99</v>
      </c>
      <c r="R599" s="14" t="n">
        <v>448.99</v>
      </c>
      <c r="S599" s="14" t="n">
        <v>448.99</v>
      </c>
      <c r="T599" s="14" t="n">
        <v>448.99</v>
      </c>
      <c r="U599" s="14" t="n">
        <v>350</v>
      </c>
      <c r="V599" s="14" t="n">
        <v>0</v>
      </c>
      <c r="W599" s="14">
        <f>U599+V599</f>
        <v/>
      </c>
    </row>
    <row r="600">
      <c r="A600" s="15" t="inlineStr">
        <is>
          <t>CANON-202606-007565</t>
        </is>
      </c>
      <c r="B600" s="15" t="inlineStr">
        <is>
          <t>2026-06-02</t>
        </is>
      </c>
      <c r="C600" s="15" t="inlineStr">
        <is>
          <t>Saoirse Kingsford</t>
        </is>
      </c>
      <c r="D600" s="15" t="inlineStr">
        <is>
          <t>TN</t>
        </is>
      </c>
      <c r="E600" s="16" t="n">
        <v>985000</v>
      </c>
      <c r="F600" s="16" t="n">
        <v>5989.67</v>
      </c>
      <c r="G600" s="16" t="n">
        <v>748.71</v>
      </c>
      <c r="H600" s="16" t="n">
        <v>748.71</v>
      </c>
      <c r="I600" s="16">
        <f>SUM(K600:T600)</f>
        <v/>
      </c>
      <c r="J600" s="16">
        <f>F600-(G600+H600+I600)</f>
        <v/>
      </c>
      <c r="K600" s="16" t="n">
        <v>449.23</v>
      </c>
      <c r="L600" s="16" t="n">
        <v>449.23</v>
      </c>
      <c r="M600" s="16" t="n">
        <v>449.23</v>
      </c>
      <c r="N600" s="16" t="n">
        <v>449.23</v>
      </c>
      <c r="O600" s="16" t="n">
        <v>449.23</v>
      </c>
      <c r="P600" s="16" t="n">
        <v>449.23</v>
      </c>
      <c r="Q600" s="16" t="n">
        <v>449.23</v>
      </c>
      <c r="R600" s="16" t="n">
        <v>449.23</v>
      </c>
      <c r="S600" s="16" t="n">
        <v>449.23</v>
      </c>
      <c r="T600" s="16" t="n">
        <v>449.23</v>
      </c>
      <c r="U600" s="16" t="n">
        <v>350</v>
      </c>
      <c r="V600" s="16" t="n">
        <v>0</v>
      </c>
      <c r="W600" s="16">
        <f>U600+V600</f>
        <v/>
      </c>
    </row>
    <row r="601">
      <c r="A601" s="3" t="inlineStr">
        <is>
          <t>CANON-202606-007566</t>
        </is>
      </c>
      <c r="B601" s="3" t="inlineStr">
        <is>
          <t>2026-06-16</t>
        </is>
      </c>
      <c r="C601" s="3" t="inlineStr">
        <is>
          <t>Fenwick Chattopadhyay</t>
        </is>
      </c>
      <c r="D601" s="3" t="inlineStr">
        <is>
          <t>NE</t>
        </is>
      </c>
      <c r="E601" s="14" t="n">
        <v>845000</v>
      </c>
      <c r="F601" s="14" t="n">
        <v>15058.98</v>
      </c>
      <c r="G601" s="14" t="n">
        <v>1882.37</v>
      </c>
      <c r="H601" s="14" t="n">
        <v>1882.37</v>
      </c>
      <c r="I601" s="14">
        <f>SUM(K601:T601)</f>
        <v/>
      </c>
      <c r="J601" s="14">
        <f>F601-(G601+H601+I601)</f>
        <v/>
      </c>
      <c r="K601" s="14" t="n">
        <v>1129.42</v>
      </c>
      <c r="L601" s="14" t="n">
        <v>1129.42</v>
      </c>
      <c r="M601" s="14" t="n">
        <v>1129.42</v>
      </c>
      <c r="N601" s="14" t="n">
        <v>1129.42</v>
      </c>
      <c r="O601" s="14" t="n">
        <v>1129.42</v>
      </c>
      <c r="P601" s="14" t="n">
        <v>1129.42</v>
      </c>
      <c r="Q601" s="14" t="n">
        <v>1129.42</v>
      </c>
      <c r="R601" s="14" t="n">
        <v>1129.42</v>
      </c>
      <c r="S601" s="14" t="n">
        <v>1129.42</v>
      </c>
      <c r="T601" s="14" t="n">
        <v>1129.42</v>
      </c>
      <c r="U601" s="14" t="n">
        <v>350</v>
      </c>
      <c r="V601" s="14" t="n">
        <v>0</v>
      </c>
      <c r="W601" s="14">
        <f>U601+V601</f>
        <v/>
      </c>
    </row>
    <row r="602">
      <c r="A602" s="15" t="inlineStr">
        <is>
          <t>CANON-202606-007567</t>
        </is>
      </c>
      <c r="B602" s="15" t="inlineStr">
        <is>
          <t>2026-06-22</t>
        </is>
      </c>
      <c r="C602" s="15" t="inlineStr">
        <is>
          <t>Ramona Larsson</t>
        </is>
      </c>
      <c r="D602" s="15" t="inlineStr">
        <is>
          <t>MA</t>
        </is>
      </c>
      <c r="E602" s="16" t="n">
        <v>1370000</v>
      </c>
      <c r="F602" s="16" t="n">
        <v>13591.44</v>
      </c>
      <c r="G602" s="16" t="n">
        <v>1698.93</v>
      </c>
      <c r="H602" s="16" t="n">
        <v>1698.93</v>
      </c>
      <c r="I602" s="16">
        <f>SUM(K602:T602)</f>
        <v/>
      </c>
      <c r="J602" s="16">
        <f>F602-(G602+H602+I602)</f>
        <v/>
      </c>
      <c r="K602" s="16" t="n">
        <v>1019.36</v>
      </c>
      <c r="L602" s="16" t="n">
        <v>1019.36</v>
      </c>
      <c r="M602" s="16" t="n">
        <v>1019.36</v>
      </c>
      <c r="N602" s="16" t="n">
        <v>1019.36</v>
      </c>
      <c r="O602" s="16" t="n">
        <v>1019.36</v>
      </c>
      <c r="P602" s="16" t="n">
        <v>1019.36</v>
      </c>
      <c r="Q602" s="16" t="n">
        <v>1019.36</v>
      </c>
      <c r="R602" s="16" t="n">
        <v>1019.36</v>
      </c>
      <c r="S602" s="16" t="n">
        <v>1019.36</v>
      </c>
      <c r="T602" s="16" t="n">
        <v>1019.36</v>
      </c>
      <c r="U602" s="16" t="n">
        <v>350</v>
      </c>
      <c r="V602" s="16" t="n">
        <v>250</v>
      </c>
      <c r="W602" s="16">
        <f>U602+V602</f>
        <v/>
      </c>
    </row>
    <row r="603">
      <c r="A603" s="3" t="inlineStr">
        <is>
          <t>CANON-202606-007569</t>
        </is>
      </c>
      <c r="B603" s="3" t="inlineStr">
        <is>
          <t>2026-06-11</t>
        </is>
      </c>
      <c r="C603" s="3" t="inlineStr">
        <is>
          <t>Saoirse Harrington</t>
        </is>
      </c>
      <c r="D603" s="3" t="inlineStr">
        <is>
          <t>NH</t>
        </is>
      </c>
      <c r="E603" s="14" t="n">
        <v>580000</v>
      </c>
      <c r="F603" s="14" t="n">
        <v>5657.79</v>
      </c>
      <c r="G603" s="14" t="n">
        <v>707.22</v>
      </c>
      <c r="H603" s="14" t="n">
        <v>707.22</v>
      </c>
      <c r="I603" s="14">
        <f>SUM(K603:T603)</f>
        <v/>
      </c>
      <c r="J603" s="14">
        <f>F603-(G603+H603+I603)</f>
        <v/>
      </c>
      <c r="K603" s="14" t="n">
        <v>424.33</v>
      </c>
      <c r="L603" s="14" t="n">
        <v>424.33</v>
      </c>
      <c r="M603" s="14" t="n">
        <v>424.33</v>
      </c>
      <c r="N603" s="14" t="n">
        <v>424.33</v>
      </c>
      <c r="O603" s="14" t="n">
        <v>424.33</v>
      </c>
      <c r="P603" s="14" t="n">
        <v>424.33</v>
      </c>
      <c r="Q603" s="14" t="n">
        <v>424.33</v>
      </c>
      <c r="R603" s="14" t="n">
        <v>424.33</v>
      </c>
      <c r="S603" s="14" t="n">
        <v>424.33</v>
      </c>
      <c r="T603" s="14" t="n">
        <v>424.33</v>
      </c>
      <c r="U603" s="14" t="n">
        <v>350</v>
      </c>
      <c r="V603" s="14" t="n">
        <v>0</v>
      </c>
      <c r="W603" s="14">
        <f>U603+V603</f>
        <v/>
      </c>
    </row>
    <row r="604">
      <c r="A604" s="15" t="inlineStr">
        <is>
          <t>CANON-202606-007570</t>
        </is>
      </c>
      <c r="B604" s="15" t="inlineStr">
        <is>
          <t>2026-06-13</t>
        </is>
      </c>
      <c r="C604" s="15" t="inlineStr">
        <is>
          <t>Ramona Vandermeer</t>
        </is>
      </c>
      <c r="D604" s="15" t="inlineStr">
        <is>
          <t>TN</t>
        </is>
      </c>
      <c r="E604" s="16" t="n">
        <v>920000</v>
      </c>
      <c r="F604" s="16" t="n">
        <v>5594.41</v>
      </c>
      <c r="G604" s="16" t="n">
        <v>699.3</v>
      </c>
      <c r="H604" s="16" t="n">
        <v>699.3</v>
      </c>
      <c r="I604" s="16">
        <f>SUM(K604:T604)</f>
        <v/>
      </c>
      <c r="J604" s="16">
        <f>F604-(G604+H604+I604)</f>
        <v/>
      </c>
      <c r="K604" s="16" t="n">
        <v>419.58</v>
      </c>
      <c r="L604" s="16" t="n">
        <v>419.58</v>
      </c>
      <c r="M604" s="16" t="n">
        <v>419.58</v>
      </c>
      <c r="N604" s="16" t="n">
        <v>419.58</v>
      </c>
      <c r="O604" s="16" t="n">
        <v>419.58</v>
      </c>
      <c r="P604" s="16" t="n">
        <v>419.58</v>
      </c>
      <c r="Q604" s="16" t="n">
        <v>419.58</v>
      </c>
      <c r="R604" s="16" t="n">
        <v>419.58</v>
      </c>
      <c r="S604" s="16" t="n">
        <v>419.58</v>
      </c>
      <c r="T604" s="16" t="n">
        <v>419.58</v>
      </c>
      <c r="U604" s="16" t="n">
        <v>350</v>
      </c>
      <c r="V604" s="16" t="n">
        <v>0</v>
      </c>
      <c r="W604" s="16">
        <f>U604+V604</f>
        <v/>
      </c>
    </row>
    <row r="605">
      <c r="A605" s="3" t="inlineStr">
        <is>
          <t>CANON-202606-007571</t>
        </is>
      </c>
      <c r="B605" s="3" t="inlineStr">
        <is>
          <t>2026-06-18</t>
        </is>
      </c>
      <c r="C605" s="3" t="inlineStr">
        <is>
          <t>Anouk Nakashima</t>
        </is>
      </c>
      <c r="D605" s="3" t="inlineStr">
        <is>
          <t>NM</t>
        </is>
      </c>
      <c r="E605" s="14" t="n">
        <v>260000</v>
      </c>
      <c r="F605" s="14" t="n">
        <v>5522.72</v>
      </c>
      <c r="G605" s="14" t="n">
        <v>690.34</v>
      </c>
      <c r="H605" s="14" t="n">
        <v>690.34</v>
      </c>
      <c r="I605" s="14">
        <f>SUM(K605:T605)</f>
        <v/>
      </c>
      <c r="J605" s="14">
        <f>F605-(G605+H605+I605)</f>
        <v/>
      </c>
      <c r="K605" s="14" t="n">
        <v>414.2</v>
      </c>
      <c r="L605" s="14" t="n">
        <v>414.2</v>
      </c>
      <c r="M605" s="14" t="n">
        <v>414.2</v>
      </c>
      <c r="N605" s="14" t="n">
        <v>414.2</v>
      </c>
      <c r="O605" s="14" t="n">
        <v>414.2</v>
      </c>
      <c r="P605" s="14" t="n">
        <v>414.2</v>
      </c>
      <c r="Q605" s="14" t="n">
        <v>414.2</v>
      </c>
      <c r="R605" s="14" t="n">
        <v>414.2</v>
      </c>
      <c r="S605" s="14" t="n">
        <v>414.2</v>
      </c>
      <c r="T605" s="14" t="n">
        <v>414.2</v>
      </c>
      <c r="U605" s="14" t="n">
        <v>350</v>
      </c>
      <c r="V605" s="14" t="n">
        <v>0</v>
      </c>
      <c r="W605" s="14">
        <f>U605+V605</f>
        <v/>
      </c>
    </row>
    <row r="606">
      <c r="A606" s="15" t="inlineStr">
        <is>
          <t>CANON-202606-007572</t>
        </is>
      </c>
      <c r="B606" s="15" t="inlineStr">
        <is>
          <t>2026-06-22</t>
        </is>
      </c>
      <c r="C606" s="15" t="inlineStr">
        <is>
          <t>Delphine Bellandi</t>
        </is>
      </c>
      <c r="D606" s="15" t="inlineStr">
        <is>
          <t>IL</t>
        </is>
      </c>
      <c r="E606" s="16" t="n">
        <v>1055000</v>
      </c>
      <c r="F606" s="16" t="n">
        <v>11387.44</v>
      </c>
      <c r="G606" s="16" t="n">
        <v>1423.43</v>
      </c>
      <c r="H606" s="16" t="n">
        <v>1423.43</v>
      </c>
      <c r="I606" s="16">
        <f>SUM(K606:T606)</f>
        <v/>
      </c>
      <c r="J606" s="16">
        <f>F606-(G606+H606+I606)</f>
        <v/>
      </c>
      <c r="K606" s="16" t="n">
        <v>854.0599999999999</v>
      </c>
      <c r="L606" s="16" t="n">
        <v>854.0599999999999</v>
      </c>
      <c r="M606" s="16" t="n">
        <v>854.0599999999999</v>
      </c>
      <c r="N606" s="16" t="n">
        <v>854.0599999999999</v>
      </c>
      <c r="O606" s="16" t="n">
        <v>854.0599999999999</v>
      </c>
      <c r="P606" s="16" t="n">
        <v>854.0599999999999</v>
      </c>
      <c r="Q606" s="16" t="n">
        <v>854.0599999999999</v>
      </c>
      <c r="R606" s="16" t="n">
        <v>854.0599999999999</v>
      </c>
      <c r="S606" s="16" t="n">
        <v>854.0599999999999</v>
      </c>
      <c r="T606" s="16" t="n">
        <v>854.0599999999999</v>
      </c>
      <c r="U606" s="16" t="n">
        <v>350</v>
      </c>
      <c r="V606" s="16" t="n">
        <v>250</v>
      </c>
      <c r="W606" s="16">
        <f>U606+V606</f>
        <v/>
      </c>
    </row>
    <row r="607">
      <c r="A607" s="3" t="inlineStr">
        <is>
          <t>CANON-202606-007577</t>
        </is>
      </c>
      <c r="B607" s="3" t="inlineStr">
        <is>
          <t>2026-06-09</t>
        </is>
      </c>
      <c r="C607" s="3" t="inlineStr">
        <is>
          <t>Wilhelmina Rourke</t>
        </is>
      </c>
      <c r="D607" s="3" t="inlineStr">
        <is>
          <t>NJ</t>
        </is>
      </c>
      <c r="E607" s="14" t="n">
        <v>260000</v>
      </c>
      <c r="F607" s="14" t="n">
        <v>2560.63</v>
      </c>
      <c r="G607" s="14" t="n">
        <v>320.08</v>
      </c>
      <c r="H607" s="14" t="n">
        <v>320.08</v>
      </c>
      <c r="I607" s="14">
        <f>SUM(K607:T607)</f>
        <v/>
      </c>
      <c r="J607" s="14">
        <f>F607-(G607+H607+I607)</f>
        <v/>
      </c>
      <c r="K607" s="14" t="n">
        <v>192.05</v>
      </c>
      <c r="L607" s="14" t="n">
        <v>192.05</v>
      </c>
      <c r="M607" s="14" t="n">
        <v>192.05</v>
      </c>
      <c r="N607" s="14" t="n">
        <v>192.05</v>
      </c>
      <c r="O607" s="14" t="n">
        <v>192.05</v>
      </c>
      <c r="P607" s="14" t="n">
        <v>192.05</v>
      </c>
      <c r="Q607" s="14" t="n">
        <v>192.05</v>
      </c>
      <c r="R607" s="14" t="n">
        <v>192.05</v>
      </c>
      <c r="S607" s="14" t="n">
        <v>192.05</v>
      </c>
      <c r="T607" s="14" t="n">
        <v>192.05</v>
      </c>
      <c r="U607" s="14" t="n">
        <v>350</v>
      </c>
      <c r="V607" s="14" t="n">
        <v>0</v>
      </c>
      <c r="W607" s="14">
        <f>U607+V607</f>
        <v/>
      </c>
    </row>
    <row r="608">
      <c r="A608" s="15" t="inlineStr">
        <is>
          <t>CANON-202606-007578</t>
        </is>
      </c>
      <c r="B608" s="15" t="inlineStr">
        <is>
          <t>2026-06-22</t>
        </is>
      </c>
      <c r="C608" s="15" t="inlineStr">
        <is>
          <t>Wilhelmina Thistlewood</t>
        </is>
      </c>
      <c r="D608" s="15" t="inlineStr">
        <is>
          <t>OR</t>
        </is>
      </c>
      <c r="E608" s="16" t="n">
        <v>655000</v>
      </c>
      <c r="F608" s="16" t="n">
        <v>10146.48</v>
      </c>
      <c r="G608" s="16" t="n">
        <v>1268.31</v>
      </c>
      <c r="H608" s="16" t="n">
        <v>1268.31</v>
      </c>
      <c r="I608" s="16">
        <f>SUM(K608:T608)</f>
        <v/>
      </c>
      <c r="J608" s="16">
        <f>F608-(G608+H608+I608)</f>
        <v/>
      </c>
      <c r="K608" s="16" t="n">
        <v>760.99</v>
      </c>
      <c r="L608" s="16" t="n">
        <v>760.99</v>
      </c>
      <c r="M608" s="16" t="n">
        <v>760.99</v>
      </c>
      <c r="N608" s="16" t="n">
        <v>760.99</v>
      </c>
      <c r="O608" s="16" t="n">
        <v>760.99</v>
      </c>
      <c r="P608" s="16" t="n">
        <v>760.99</v>
      </c>
      <c r="Q608" s="16" t="n">
        <v>760.99</v>
      </c>
      <c r="R608" s="16" t="n">
        <v>760.99</v>
      </c>
      <c r="S608" s="16" t="n">
        <v>760.99</v>
      </c>
      <c r="T608" s="16" t="n">
        <v>760.99</v>
      </c>
      <c r="U608" s="16" t="n">
        <v>350</v>
      </c>
      <c r="V608" s="16" t="n">
        <v>0</v>
      </c>
      <c r="W608" s="16">
        <f>U608+V608</f>
        <v/>
      </c>
    </row>
    <row r="609">
      <c r="A609" s="3" t="inlineStr">
        <is>
          <t>CANON-202606-007579</t>
        </is>
      </c>
      <c r="B609" s="3" t="inlineStr">
        <is>
          <t>2026-06-07</t>
        </is>
      </c>
      <c r="C609" s="3" t="inlineStr">
        <is>
          <t>Lorenzo Castellanos</t>
        </is>
      </c>
      <c r="D609" s="3" t="inlineStr">
        <is>
          <t>FL</t>
        </is>
      </c>
      <c r="E609" s="14" t="n">
        <v>770000</v>
      </c>
      <c r="F609" s="14" t="n">
        <v>10255.68</v>
      </c>
      <c r="G609" s="14" t="n">
        <v>1281.96</v>
      </c>
      <c r="H609" s="14" t="n">
        <v>1281.96</v>
      </c>
      <c r="I609" s="14">
        <f>SUM(K609:T609)</f>
        <v/>
      </c>
      <c r="J609" s="14">
        <f>F609-(G609+H609+I609)</f>
        <v/>
      </c>
      <c r="K609" s="14" t="n">
        <v>769.1799999999999</v>
      </c>
      <c r="L609" s="14" t="n">
        <v>769.1799999999999</v>
      </c>
      <c r="M609" s="14" t="n">
        <v>769.1799999999999</v>
      </c>
      <c r="N609" s="14" t="n">
        <v>769.1799999999999</v>
      </c>
      <c r="O609" s="14" t="n">
        <v>769.1799999999999</v>
      </c>
      <c r="P609" s="14" t="n">
        <v>769.1799999999999</v>
      </c>
      <c r="Q609" s="14" t="n">
        <v>769.1799999999999</v>
      </c>
      <c r="R609" s="14" t="n">
        <v>769.1799999999999</v>
      </c>
      <c r="S609" s="14" t="n">
        <v>769.1799999999999</v>
      </c>
      <c r="T609" s="14" t="n">
        <v>769.1799999999999</v>
      </c>
      <c r="U609" s="14" t="n">
        <v>350</v>
      </c>
      <c r="V609" s="14" t="n">
        <v>0</v>
      </c>
      <c r="W609" s="14">
        <f>U609+V609</f>
        <v/>
      </c>
    </row>
    <row r="610">
      <c r="A610" s="15" t="inlineStr">
        <is>
          <t>CANON-202606-007580</t>
        </is>
      </c>
      <c r="B610" s="15" t="inlineStr">
        <is>
          <t>2026-06-30</t>
        </is>
      </c>
      <c r="C610" s="15" t="inlineStr">
        <is>
          <t>Aurelio Bellandi</t>
        </is>
      </c>
      <c r="D610" s="15" t="inlineStr">
        <is>
          <t>FL</t>
        </is>
      </c>
      <c r="E610" s="16" t="n">
        <v>1950000</v>
      </c>
      <c r="F610" s="16" t="n">
        <v>31965.76</v>
      </c>
      <c r="G610" s="16" t="n">
        <v>3995.72</v>
      </c>
      <c r="H610" s="16" t="n">
        <v>3995.72</v>
      </c>
      <c r="I610" s="16">
        <f>SUM(K610:T610)</f>
        <v/>
      </c>
      <c r="J610" s="16">
        <f>F610-(G610+H610+I610)</f>
        <v/>
      </c>
      <c r="K610" s="16" t="n">
        <v>2397.43</v>
      </c>
      <c r="L610" s="16" t="n">
        <v>2397.43</v>
      </c>
      <c r="M610" s="16" t="n">
        <v>2397.43</v>
      </c>
      <c r="N610" s="16" t="n">
        <v>2397.43</v>
      </c>
      <c r="O610" s="16" t="n">
        <v>2397.43</v>
      </c>
      <c r="P610" s="16" t="n">
        <v>2397.43</v>
      </c>
      <c r="Q610" s="16" t="n">
        <v>2397.43</v>
      </c>
      <c r="R610" s="16" t="n">
        <v>2397.43</v>
      </c>
      <c r="S610" s="16" t="n">
        <v>2397.43</v>
      </c>
      <c r="T610" s="16" t="n">
        <v>2397.43</v>
      </c>
      <c r="U610" s="16" t="n">
        <v>350</v>
      </c>
      <c r="V610" s="16" t="n">
        <v>250</v>
      </c>
      <c r="W610" s="16">
        <f>U610+V610</f>
        <v/>
      </c>
    </row>
    <row r="611">
      <c r="A611" s="3" t="inlineStr">
        <is>
          <t>CANON-202606-007583</t>
        </is>
      </c>
      <c r="B611" s="3" t="inlineStr">
        <is>
          <t>2026-06-14</t>
        </is>
      </c>
      <c r="C611" s="3" t="inlineStr">
        <is>
          <t>Mireille Fairweather</t>
        </is>
      </c>
      <c r="D611" s="3" t="inlineStr">
        <is>
          <t>AR</t>
        </is>
      </c>
      <c r="E611" s="14" t="n">
        <v>320000</v>
      </c>
      <c r="F611" s="14" t="n">
        <v>4779.28</v>
      </c>
      <c r="G611" s="14" t="n">
        <v>597.41</v>
      </c>
      <c r="H611" s="14" t="n">
        <v>597.41</v>
      </c>
      <c r="I611" s="14">
        <f>SUM(K611:T611)</f>
        <v/>
      </c>
      <c r="J611" s="14">
        <f>F611-(G611+H611+I611)</f>
        <v/>
      </c>
      <c r="K611" s="14" t="n">
        <v>358.45</v>
      </c>
      <c r="L611" s="14" t="n">
        <v>358.45</v>
      </c>
      <c r="M611" s="14" t="n">
        <v>358.45</v>
      </c>
      <c r="N611" s="14" t="n">
        <v>358.45</v>
      </c>
      <c r="O611" s="14" t="n">
        <v>358.45</v>
      </c>
      <c r="P611" s="14" t="n">
        <v>358.45</v>
      </c>
      <c r="Q611" s="14" t="n">
        <v>358.45</v>
      </c>
      <c r="R611" s="14" t="n">
        <v>358.45</v>
      </c>
      <c r="S611" s="14" t="n">
        <v>358.45</v>
      </c>
      <c r="T611" s="14" t="n">
        <v>358.45</v>
      </c>
      <c r="U611" s="14" t="n">
        <v>350</v>
      </c>
      <c r="V611" s="14" t="n">
        <v>0</v>
      </c>
      <c r="W611" s="14">
        <f>U611+V611</f>
        <v/>
      </c>
    </row>
    <row r="612">
      <c r="A612" s="15" t="inlineStr">
        <is>
          <t>CANON-202606-007584</t>
        </is>
      </c>
      <c r="B612" s="15" t="inlineStr">
        <is>
          <t>2026-06-30</t>
        </is>
      </c>
      <c r="C612" s="15" t="inlineStr">
        <is>
          <t>Marisol Ashcombe</t>
        </is>
      </c>
      <c r="D612" s="15" t="inlineStr">
        <is>
          <t>LA</t>
        </is>
      </c>
      <c r="E612" s="16" t="n">
        <v>1215000</v>
      </c>
      <c r="F612" s="16" t="n">
        <v>8061.53</v>
      </c>
      <c r="G612" s="16" t="n">
        <v>1007.69</v>
      </c>
      <c r="H612" s="16" t="n">
        <v>1007.69</v>
      </c>
      <c r="I612" s="16">
        <f>SUM(K612:T612)</f>
        <v/>
      </c>
      <c r="J612" s="16">
        <f>F612-(G612+H612+I612)</f>
        <v/>
      </c>
      <c r="K612" s="16" t="n">
        <v>604.61</v>
      </c>
      <c r="L612" s="16" t="n">
        <v>604.61</v>
      </c>
      <c r="M612" s="16" t="n">
        <v>604.61</v>
      </c>
      <c r="N612" s="16" t="n">
        <v>604.61</v>
      </c>
      <c r="O612" s="16" t="n">
        <v>604.61</v>
      </c>
      <c r="P612" s="16" t="n">
        <v>604.61</v>
      </c>
      <c r="Q612" s="16" t="n">
        <v>604.61</v>
      </c>
      <c r="R612" s="16" t="n">
        <v>604.61</v>
      </c>
      <c r="S612" s="16" t="n">
        <v>604.61</v>
      </c>
      <c r="T612" s="16" t="n">
        <v>604.61</v>
      </c>
      <c r="U612" s="16" t="n">
        <v>350</v>
      </c>
      <c r="V612" s="16" t="n">
        <v>250</v>
      </c>
      <c r="W612" s="16">
        <f>U612+V612</f>
        <v/>
      </c>
    </row>
    <row r="613">
      <c r="A613" s="3" t="inlineStr">
        <is>
          <t>CANON-202606-007585</t>
        </is>
      </c>
      <c r="B613" s="3" t="inlineStr">
        <is>
          <t>2026-06-05</t>
        </is>
      </c>
      <c r="C613" s="3" t="inlineStr">
        <is>
          <t>Ottilie Delacroix</t>
        </is>
      </c>
      <c r="D613" s="3" t="inlineStr">
        <is>
          <t>WA</t>
        </is>
      </c>
      <c r="E613" s="14" t="n">
        <v>645000</v>
      </c>
      <c r="F613" s="14" t="n">
        <v>5807.86</v>
      </c>
      <c r="G613" s="14" t="n">
        <v>725.98</v>
      </c>
      <c r="H613" s="14" t="n">
        <v>725.98</v>
      </c>
      <c r="I613" s="14">
        <f>SUM(K613:T613)</f>
        <v/>
      </c>
      <c r="J613" s="14">
        <f>F613-(G613+H613+I613)</f>
        <v/>
      </c>
      <c r="K613" s="14" t="n">
        <v>435.59</v>
      </c>
      <c r="L613" s="14" t="n">
        <v>435.59</v>
      </c>
      <c r="M613" s="14" t="n">
        <v>435.59</v>
      </c>
      <c r="N613" s="14" t="n">
        <v>435.59</v>
      </c>
      <c r="O613" s="14" t="n">
        <v>435.59</v>
      </c>
      <c r="P613" s="14" t="n">
        <v>435.59</v>
      </c>
      <c r="Q613" s="14" t="n">
        <v>435.59</v>
      </c>
      <c r="R613" s="14" t="n">
        <v>435.59</v>
      </c>
      <c r="S613" s="14" t="n">
        <v>435.59</v>
      </c>
      <c r="T613" s="14" t="n">
        <v>435.59</v>
      </c>
      <c r="U613" s="14" t="n">
        <v>350</v>
      </c>
      <c r="V613" s="14" t="n">
        <v>0</v>
      </c>
      <c r="W613" s="14">
        <f>U613+V613</f>
        <v/>
      </c>
    </row>
    <row r="614">
      <c r="A614" s="15" t="inlineStr">
        <is>
          <t>CANON-202606-007586</t>
        </is>
      </c>
      <c r="B614" s="15" t="inlineStr">
        <is>
          <t>2026-06-06</t>
        </is>
      </c>
      <c r="C614" s="15" t="inlineStr">
        <is>
          <t>Everett Merriweather</t>
        </is>
      </c>
      <c r="D614" s="15" t="inlineStr">
        <is>
          <t>OR</t>
        </is>
      </c>
      <c r="E614" s="16" t="n">
        <v>455000</v>
      </c>
      <c r="F614" s="16" t="n">
        <v>5564.46</v>
      </c>
      <c r="G614" s="16" t="n">
        <v>695.5599999999999</v>
      </c>
      <c r="H614" s="16" t="n">
        <v>695.5599999999999</v>
      </c>
      <c r="I614" s="16">
        <f>SUM(K614:T614)</f>
        <v/>
      </c>
      <c r="J614" s="16">
        <f>F614-(G614+H614+I614)</f>
        <v/>
      </c>
      <c r="K614" s="16" t="n">
        <v>417.33</v>
      </c>
      <c r="L614" s="16" t="n">
        <v>417.33</v>
      </c>
      <c r="M614" s="16" t="n">
        <v>417.33</v>
      </c>
      <c r="N614" s="16" t="n">
        <v>417.33</v>
      </c>
      <c r="O614" s="16" t="n">
        <v>417.33</v>
      </c>
      <c r="P614" s="16" t="n">
        <v>417.33</v>
      </c>
      <c r="Q614" s="16" t="n">
        <v>417.33</v>
      </c>
      <c r="R614" s="16" t="n">
        <v>417.33</v>
      </c>
      <c r="S614" s="16" t="n">
        <v>417.33</v>
      </c>
      <c r="T614" s="16" t="n">
        <v>417.33</v>
      </c>
      <c r="U614" s="16" t="n">
        <v>350</v>
      </c>
      <c r="V614" s="16" t="n">
        <v>0</v>
      </c>
      <c r="W614" s="16">
        <f>U614+V614</f>
        <v/>
      </c>
    </row>
    <row r="615">
      <c r="A615" s="3" t="inlineStr">
        <is>
          <t>CANON-202606-007587</t>
        </is>
      </c>
      <c r="B615" s="3" t="inlineStr">
        <is>
          <t>2026-06-26</t>
        </is>
      </c>
      <c r="C615" s="3" t="inlineStr">
        <is>
          <t>Ottilie Merriweather</t>
        </is>
      </c>
      <c r="D615" s="3" t="inlineStr">
        <is>
          <t>SC</t>
        </is>
      </c>
      <c r="E615" s="14" t="n">
        <v>715000</v>
      </c>
      <c r="F615" s="14" t="n">
        <v>5501.34</v>
      </c>
      <c r="G615" s="14" t="n">
        <v>687.67</v>
      </c>
      <c r="H615" s="14" t="n">
        <v>687.67</v>
      </c>
      <c r="I615" s="14">
        <f>SUM(K615:T615)</f>
        <v/>
      </c>
      <c r="J615" s="14">
        <f>F615-(G615+H615+I615)</f>
        <v/>
      </c>
      <c r="K615" s="14" t="n">
        <v>412.6</v>
      </c>
      <c r="L615" s="14" t="n">
        <v>412.6</v>
      </c>
      <c r="M615" s="14" t="n">
        <v>412.6</v>
      </c>
      <c r="N615" s="14" t="n">
        <v>412.6</v>
      </c>
      <c r="O615" s="14" t="n">
        <v>412.6</v>
      </c>
      <c r="P615" s="14" t="n">
        <v>412.6</v>
      </c>
      <c r="Q615" s="14" t="n">
        <v>412.6</v>
      </c>
      <c r="R615" s="14" t="n">
        <v>412.6</v>
      </c>
      <c r="S615" s="14" t="n">
        <v>412.6</v>
      </c>
      <c r="T615" s="14" t="n">
        <v>412.6</v>
      </c>
      <c r="U615" s="14" t="n">
        <v>350</v>
      </c>
      <c r="V615" s="14" t="n">
        <v>0</v>
      </c>
      <c r="W615" s="14">
        <f>U615+V615</f>
        <v/>
      </c>
    </row>
    <row r="616">
      <c r="A616" s="15" t="inlineStr">
        <is>
          <t>CANON-202606-007588</t>
        </is>
      </c>
      <c r="B616" s="15" t="inlineStr">
        <is>
          <t>2026-06-06</t>
        </is>
      </c>
      <c r="C616" s="15" t="inlineStr">
        <is>
          <t>Emiliano Vasquez</t>
        </is>
      </c>
      <c r="D616" s="15" t="inlineStr">
        <is>
          <t>LA</t>
        </is>
      </c>
      <c r="E616" s="16" t="n">
        <v>890000</v>
      </c>
      <c r="F616" s="16" t="n">
        <v>14762.87</v>
      </c>
      <c r="G616" s="16" t="n">
        <v>1845.36</v>
      </c>
      <c r="H616" s="16" t="n">
        <v>1845.36</v>
      </c>
      <c r="I616" s="16">
        <f>SUM(K616:T616)</f>
        <v/>
      </c>
      <c r="J616" s="16">
        <f>F616-(G616+H616+I616)</f>
        <v/>
      </c>
      <c r="K616" s="16" t="n">
        <v>1107.22</v>
      </c>
      <c r="L616" s="16" t="n">
        <v>1107.22</v>
      </c>
      <c r="M616" s="16" t="n">
        <v>1107.22</v>
      </c>
      <c r="N616" s="16" t="n">
        <v>1107.22</v>
      </c>
      <c r="O616" s="16" t="n">
        <v>1107.22</v>
      </c>
      <c r="P616" s="16" t="n">
        <v>1107.22</v>
      </c>
      <c r="Q616" s="16" t="n">
        <v>1107.22</v>
      </c>
      <c r="R616" s="16" t="n">
        <v>1107.22</v>
      </c>
      <c r="S616" s="16" t="n">
        <v>1107.22</v>
      </c>
      <c r="T616" s="16" t="n">
        <v>1107.22</v>
      </c>
      <c r="U616" s="16" t="n">
        <v>350</v>
      </c>
      <c r="V616" s="16" t="n">
        <v>0</v>
      </c>
      <c r="W616" s="16">
        <f>U616+V616</f>
        <v/>
      </c>
    </row>
    <row r="617">
      <c r="A617" s="3" t="inlineStr">
        <is>
          <t>CANON-202606-007589</t>
        </is>
      </c>
      <c r="B617" s="3" t="inlineStr">
        <is>
          <t>2026-06-16</t>
        </is>
      </c>
      <c r="C617" s="3" t="inlineStr">
        <is>
          <t>Callum Bellandi</t>
        </is>
      </c>
      <c r="D617" s="3" t="inlineStr">
        <is>
          <t>MO</t>
        </is>
      </c>
      <c r="E617" s="14" t="n">
        <v>740000</v>
      </c>
      <c r="F617" s="14" t="n">
        <v>7357.38</v>
      </c>
      <c r="G617" s="14" t="n">
        <v>919.67</v>
      </c>
      <c r="H617" s="14" t="n">
        <v>919.67</v>
      </c>
      <c r="I617" s="14">
        <f>SUM(K617:T617)</f>
        <v/>
      </c>
      <c r="J617" s="14">
        <f>F617-(G617+H617+I617)</f>
        <v/>
      </c>
      <c r="K617" s="14" t="n">
        <v>551.8</v>
      </c>
      <c r="L617" s="14" t="n">
        <v>551.8</v>
      </c>
      <c r="M617" s="14" t="n">
        <v>551.8</v>
      </c>
      <c r="N617" s="14" t="n">
        <v>551.8</v>
      </c>
      <c r="O617" s="14" t="n">
        <v>551.8</v>
      </c>
      <c r="P617" s="14" t="n">
        <v>551.8</v>
      </c>
      <c r="Q617" s="14" t="n">
        <v>551.8</v>
      </c>
      <c r="R617" s="14" t="n">
        <v>551.8</v>
      </c>
      <c r="S617" s="14" t="n">
        <v>551.8</v>
      </c>
      <c r="T617" s="14" t="n">
        <v>551.8</v>
      </c>
      <c r="U617" s="14" t="n">
        <v>350</v>
      </c>
      <c r="V617" s="14" t="n">
        <v>0</v>
      </c>
      <c r="W617" s="14">
        <f>U617+V617</f>
        <v/>
      </c>
    </row>
    <row r="618">
      <c r="A618" s="15" t="inlineStr">
        <is>
          <t>CANON-202606-007590</t>
        </is>
      </c>
      <c r="B618" s="15" t="inlineStr">
        <is>
          <t>2026-06-14</t>
        </is>
      </c>
      <c r="C618" s="15" t="inlineStr">
        <is>
          <t>Callum Nakashima</t>
        </is>
      </c>
      <c r="D618" s="15" t="inlineStr">
        <is>
          <t>ID</t>
        </is>
      </c>
      <c r="E618" s="16" t="n">
        <v>475000</v>
      </c>
      <c r="F618" s="16" t="n">
        <v>5089.35</v>
      </c>
      <c r="G618" s="16" t="n">
        <v>636.17</v>
      </c>
      <c r="H618" s="16" t="n">
        <v>636.17</v>
      </c>
      <c r="I618" s="16">
        <f>SUM(K618:T618)</f>
        <v/>
      </c>
      <c r="J618" s="16">
        <f>F618-(G618+H618+I618)</f>
        <v/>
      </c>
      <c r="K618" s="16" t="n">
        <v>381.7</v>
      </c>
      <c r="L618" s="16" t="n">
        <v>381.7</v>
      </c>
      <c r="M618" s="16" t="n">
        <v>381.7</v>
      </c>
      <c r="N618" s="16" t="n">
        <v>381.7</v>
      </c>
      <c r="O618" s="16" t="n">
        <v>381.7</v>
      </c>
      <c r="P618" s="16" t="n">
        <v>381.7</v>
      </c>
      <c r="Q618" s="16" t="n">
        <v>381.7</v>
      </c>
      <c r="R618" s="16" t="n">
        <v>381.7</v>
      </c>
      <c r="S618" s="16" t="n">
        <v>381.7</v>
      </c>
      <c r="T618" s="16" t="n">
        <v>381.7</v>
      </c>
      <c r="U618" s="16" t="n">
        <v>350</v>
      </c>
      <c r="V618" s="16" t="n">
        <v>0</v>
      </c>
      <c r="W618" s="16">
        <f>U618+V618</f>
        <v/>
      </c>
    </row>
    <row r="619">
      <c r="A619" s="3" t="inlineStr">
        <is>
          <t>CANON-202606-007591</t>
        </is>
      </c>
      <c r="B619" s="3" t="inlineStr">
        <is>
          <t>2026-06-03</t>
        </is>
      </c>
      <c r="C619" s="3" t="inlineStr">
        <is>
          <t>Sunniva Delacroix</t>
        </is>
      </c>
      <c r="D619" s="3" t="inlineStr">
        <is>
          <t>MO</t>
        </is>
      </c>
      <c r="E619" s="14" t="n">
        <v>580000</v>
      </c>
      <c r="F619" s="14" t="n">
        <v>5766.59</v>
      </c>
      <c r="G619" s="14" t="n">
        <v>720.8200000000001</v>
      </c>
      <c r="H619" s="14" t="n">
        <v>720.8200000000001</v>
      </c>
      <c r="I619" s="14">
        <f>SUM(K619:T619)</f>
        <v/>
      </c>
      <c r="J619" s="14">
        <f>F619-(G619+H619+I619)</f>
        <v/>
      </c>
      <c r="K619" s="14" t="n">
        <v>432.49</v>
      </c>
      <c r="L619" s="14" t="n">
        <v>432.49</v>
      </c>
      <c r="M619" s="14" t="n">
        <v>432.49</v>
      </c>
      <c r="N619" s="14" t="n">
        <v>432.49</v>
      </c>
      <c r="O619" s="14" t="n">
        <v>432.49</v>
      </c>
      <c r="P619" s="14" t="n">
        <v>432.49</v>
      </c>
      <c r="Q619" s="14" t="n">
        <v>432.49</v>
      </c>
      <c r="R619" s="14" t="n">
        <v>432.49</v>
      </c>
      <c r="S619" s="14" t="n">
        <v>432.49</v>
      </c>
      <c r="T619" s="14" t="n">
        <v>432.49</v>
      </c>
      <c r="U619" s="14" t="n">
        <v>350</v>
      </c>
      <c r="V619" s="14" t="n">
        <v>0</v>
      </c>
      <c r="W619" s="14">
        <f>U619+V619</f>
        <v/>
      </c>
    </row>
    <row r="620">
      <c r="A620" s="15" t="inlineStr">
        <is>
          <t>CANON-202606-007592</t>
        </is>
      </c>
      <c r="B620" s="15" t="inlineStr">
        <is>
          <t>2026-06-15</t>
        </is>
      </c>
      <c r="C620" s="15" t="inlineStr">
        <is>
          <t>Lorenzo Bellandi</t>
        </is>
      </c>
      <c r="D620" s="15" t="inlineStr">
        <is>
          <t>VT</t>
        </is>
      </c>
      <c r="E620" s="16" t="n">
        <v>590000</v>
      </c>
      <c r="F620" s="16" t="n">
        <v>9867.51</v>
      </c>
      <c r="G620" s="16" t="n">
        <v>1233.44</v>
      </c>
      <c r="H620" s="16" t="n">
        <v>1233.44</v>
      </c>
      <c r="I620" s="16">
        <f>SUM(K620:T620)</f>
        <v/>
      </c>
      <c r="J620" s="16">
        <f>F620-(G620+H620+I620)</f>
        <v/>
      </c>
      <c r="K620" s="16" t="n">
        <v>740.0599999999999</v>
      </c>
      <c r="L620" s="16" t="n">
        <v>740.0599999999999</v>
      </c>
      <c r="M620" s="16" t="n">
        <v>740.0599999999999</v>
      </c>
      <c r="N620" s="16" t="n">
        <v>740.0599999999999</v>
      </c>
      <c r="O620" s="16" t="n">
        <v>740.0599999999999</v>
      </c>
      <c r="P620" s="16" t="n">
        <v>740.0599999999999</v>
      </c>
      <c r="Q620" s="16" t="n">
        <v>740.0599999999999</v>
      </c>
      <c r="R620" s="16" t="n">
        <v>740.0599999999999</v>
      </c>
      <c r="S620" s="16" t="n">
        <v>740.0599999999999</v>
      </c>
      <c r="T620" s="16" t="n">
        <v>740.0599999999999</v>
      </c>
      <c r="U620" s="16" t="n">
        <v>350</v>
      </c>
      <c r="V620" s="16" t="n">
        <v>0</v>
      </c>
      <c r="W620" s="16">
        <f>U620+V620</f>
        <v/>
      </c>
    </row>
    <row r="621">
      <c r="A621" s="3" t="inlineStr">
        <is>
          <t>CANON-202606-007593</t>
        </is>
      </c>
      <c r="B621" s="3" t="inlineStr">
        <is>
          <t>2026-06-27</t>
        </is>
      </c>
      <c r="C621" s="3" t="inlineStr">
        <is>
          <t>Beatrix Ashcombe</t>
        </is>
      </c>
      <c r="D621" s="3" t="inlineStr">
        <is>
          <t>PA</t>
        </is>
      </c>
      <c r="E621" s="14" t="n">
        <v>235000</v>
      </c>
      <c r="F621" s="14" t="n">
        <v>3119.81</v>
      </c>
      <c r="G621" s="14" t="n">
        <v>389.98</v>
      </c>
      <c r="H621" s="14" t="n">
        <v>389.98</v>
      </c>
      <c r="I621" s="14">
        <f>SUM(K621:T621)</f>
        <v/>
      </c>
      <c r="J621" s="14">
        <f>F621-(G621+H621+I621)</f>
        <v/>
      </c>
      <c r="K621" s="14" t="n">
        <v>233.99</v>
      </c>
      <c r="L621" s="14" t="n">
        <v>233.99</v>
      </c>
      <c r="M621" s="14" t="n">
        <v>233.99</v>
      </c>
      <c r="N621" s="14" t="n">
        <v>233.99</v>
      </c>
      <c r="O621" s="14" t="n">
        <v>233.99</v>
      </c>
      <c r="P621" s="14" t="n">
        <v>233.99</v>
      </c>
      <c r="Q621" s="14" t="n">
        <v>233.99</v>
      </c>
      <c r="R621" s="14" t="n">
        <v>233.99</v>
      </c>
      <c r="S621" s="14" t="n">
        <v>233.99</v>
      </c>
      <c r="T621" s="14" t="n">
        <v>233.99</v>
      </c>
      <c r="U621" s="14" t="n">
        <v>350</v>
      </c>
      <c r="V621" s="14" t="n">
        <v>0</v>
      </c>
      <c r="W621" s="14">
        <f>U621+V621</f>
        <v/>
      </c>
    </row>
    <row r="622">
      <c r="A622" s="15" t="inlineStr">
        <is>
          <t>CANON-202606-007595</t>
        </is>
      </c>
      <c r="B622" s="15" t="inlineStr">
        <is>
          <t>2026-06-26</t>
        </is>
      </c>
      <c r="C622" s="15" t="inlineStr">
        <is>
          <t>Delphine Delacroix</t>
        </is>
      </c>
      <c r="D622" s="15" t="inlineStr">
        <is>
          <t>FL</t>
        </is>
      </c>
      <c r="E622" s="16" t="n">
        <v>740000</v>
      </c>
      <c r="F622" s="16" t="n">
        <v>9856.110000000001</v>
      </c>
      <c r="G622" s="16" t="n">
        <v>1232.01</v>
      </c>
      <c r="H622" s="16" t="n">
        <v>1232.01</v>
      </c>
      <c r="I622" s="16">
        <f>SUM(K622:T622)</f>
        <v/>
      </c>
      <c r="J622" s="16">
        <f>F622-(G622+H622+I622)</f>
        <v/>
      </c>
      <c r="K622" s="16" t="n">
        <v>739.21</v>
      </c>
      <c r="L622" s="16" t="n">
        <v>739.21</v>
      </c>
      <c r="M622" s="16" t="n">
        <v>739.21</v>
      </c>
      <c r="N622" s="16" t="n">
        <v>739.21</v>
      </c>
      <c r="O622" s="16" t="n">
        <v>739.21</v>
      </c>
      <c r="P622" s="16" t="n">
        <v>739.21</v>
      </c>
      <c r="Q622" s="16" t="n">
        <v>739.21</v>
      </c>
      <c r="R622" s="16" t="n">
        <v>739.21</v>
      </c>
      <c r="S622" s="16" t="n">
        <v>739.21</v>
      </c>
      <c r="T622" s="16" t="n">
        <v>739.21</v>
      </c>
      <c r="U622" s="16" t="n">
        <v>350</v>
      </c>
      <c r="V622" s="16" t="n">
        <v>0</v>
      </c>
      <c r="W622" s="16">
        <f>U622+V622</f>
        <v/>
      </c>
    </row>
    <row r="623">
      <c r="A623" s="3" t="inlineStr">
        <is>
          <t>CANON-202606-007596</t>
        </is>
      </c>
      <c r="B623" s="3" t="inlineStr">
        <is>
          <t>2026-06-19</t>
        </is>
      </c>
      <c r="C623" s="3" t="inlineStr">
        <is>
          <t>Wilhelmina Pennington</t>
        </is>
      </c>
      <c r="D623" s="3" t="inlineStr">
        <is>
          <t>FL</t>
        </is>
      </c>
      <c r="E623" s="14" t="n">
        <v>300000</v>
      </c>
      <c r="F623" s="14" t="n">
        <v>4610.44</v>
      </c>
      <c r="G623" s="14" t="n">
        <v>576.3</v>
      </c>
      <c r="H623" s="14" t="n">
        <v>576.3</v>
      </c>
      <c r="I623" s="14">
        <f>SUM(K623:T623)</f>
        <v/>
      </c>
      <c r="J623" s="14">
        <f>F623-(G623+H623+I623)</f>
        <v/>
      </c>
      <c r="K623" s="14" t="n">
        <v>345.78</v>
      </c>
      <c r="L623" s="14" t="n">
        <v>345.78</v>
      </c>
      <c r="M623" s="14" t="n">
        <v>345.78</v>
      </c>
      <c r="N623" s="14" t="n">
        <v>345.78</v>
      </c>
      <c r="O623" s="14" t="n">
        <v>345.78</v>
      </c>
      <c r="P623" s="14" t="n">
        <v>345.78</v>
      </c>
      <c r="Q623" s="14" t="n">
        <v>345.78</v>
      </c>
      <c r="R623" s="14" t="n">
        <v>345.78</v>
      </c>
      <c r="S623" s="14" t="n">
        <v>345.78</v>
      </c>
      <c r="T623" s="14" t="n">
        <v>345.78</v>
      </c>
      <c r="U623" s="14" t="n">
        <v>350</v>
      </c>
      <c r="V623" s="14" t="n">
        <v>0</v>
      </c>
      <c r="W623" s="14">
        <f>U623+V623</f>
        <v/>
      </c>
    </row>
    <row r="624">
      <c r="A624" s="15" t="inlineStr">
        <is>
          <t>CANON-202606-007597</t>
        </is>
      </c>
      <c r="B624" s="15" t="inlineStr">
        <is>
          <t>2026-06-27</t>
        </is>
      </c>
      <c r="C624" s="15" t="inlineStr">
        <is>
          <t>Marisol Farkas</t>
        </is>
      </c>
      <c r="D624" s="15" t="inlineStr">
        <is>
          <t>WA</t>
        </is>
      </c>
      <c r="E624" s="16" t="n">
        <v>1150000</v>
      </c>
      <c r="F624" s="16" t="n">
        <v>8762.01</v>
      </c>
      <c r="G624" s="16" t="n">
        <v>1095.25</v>
      </c>
      <c r="H624" s="16" t="n">
        <v>1095.25</v>
      </c>
      <c r="I624" s="16">
        <f>SUM(K624:T624)</f>
        <v/>
      </c>
      <c r="J624" s="16">
        <f>F624-(G624+H624+I624)</f>
        <v/>
      </c>
      <c r="K624" s="16" t="n">
        <v>657.15</v>
      </c>
      <c r="L624" s="16" t="n">
        <v>657.15</v>
      </c>
      <c r="M624" s="16" t="n">
        <v>657.15</v>
      </c>
      <c r="N624" s="16" t="n">
        <v>657.15</v>
      </c>
      <c r="O624" s="16" t="n">
        <v>657.15</v>
      </c>
      <c r="P624" s="16" t="n">
        <v>657.15</v>
      </c>
      <c r="Q624" s="16" t="n">
        <v>657.15</v>
      </c>
      <c r="R624" s="16" t="n">
        <v>657.15</v>
      </c>
      <c r="S624" s="16" t="n">
        <v>657.15</v>
      </c>
      <c r="T624" s="16" t="n">
        <v>657.15</v>
      </c>
      <c r="U624" s="16" t="n">
        <v>350</v>
      </c>
      <c r="V624" s="16" t="n">
        <v>250</v>
      </c>
      <c r="W624" s="16">
        <f>U624+V624</f>
        <v/>
      </c>
    </row>
    <row r="625">
      <c r="A625" s="3" t="inlineStr">
        <is>
          <t>CANON-202606-007598</t>
        </is>
      </c>
      <c r="B625" s="3" t="inlineStr">
        <is>
          <t>2026-06-29</t>
        </is>
      </c>
      <c r="C625" s="3" t="inlineStr">
        <is>
          <t>Ottilie Merriweather</t>
        </is>
      </c>
      <c r="D625" s="3" t="inlineStr">
        <is>
          <t>NC</t>
        </is>
      </c>
      <c r="E625" s="14" t="n">
        <v>760000</v>
      </c>
      <c r="F625" s="14" t="n">
        <v>11981.39</v>
      </c>
      <c r="G625" s="14" t="n">
        <v>1497.67</v>
      </c>
      <c r="H625" s="14" t="n">
        <v>1497.67</v>
      </c>
      <c r="I625" s="14">
        <f>SUM(K625:T625)</f>
        <v/>
      </c>
      <c r="J625" s="14">
        <f>F625-(G625+H625+I625)</f>
        <v/>
      </c>
      <c r="K625" s="14" t="n">
        <v>898.6</v>
      </c>
      <c r="L625" s="14" t="n">
        <v>898.6</v>
      </c>
      <c r="M625" s="14" t="n">
        <v>898.6</v>
      </c>
      <c r="N625" s="14" t="n">
        <v>898.6</v>
      </c>
      <c r="O625" s="14" t="n">
        <v>898.6</v>
      </c>
      <c r="P625" s="14" t="n">
        <v>898.6</v>
      </c>
      <c r="Q625" s="14" t="n">
        <v>898.6</v>
      </c>
      <c r="R625" s="14" t="n">
        <v>898.6</v>
      </c>
      <c r="S625" s="14" t="n">
        <v>898.6</v>
      </c>
      <c r="T625" s="14" t="n">
        <v>898.6</v>
      </c>
      <c r="U625" s="14" t="n">
        <v>350</v>
      </c>
      <c r="V625" s="14" t="n">
        <v>0</v>
      </c>
      <c r="W625" s="14">
        <f>U625+V625</f>
        <v/>
      </c>
    </row>
    <row r="626">
      <c r="A626" s="15" t="inlineStr">
        <is>
          <t>CANON-202606-007599</t>
        </is>
      </c>
      <c r="B626" s="15" t="inlineStr">
        <is>
          <t>2026-06-03</t>
        </is>
      </c>
      <c r="C626" s="15" t="inlineStr">
        <is>
          <t>Ramona Merriweather</t>
        </is>
      </c>
      <c r="D626" s="15" t="inlineStr">
        <is>
          <t>VT</t>
        </is>
      </c>
      <c r="E626" s="16" t="n">
        <v>1580000</v>
      </c>
      <c r="F626" s="16" t="n">
        <v>22252.51</v>
      </c>
      <c r="G626" s="16" t="n">
        <v>2781.56</v>
      </c>
      <c r="H626" s="16" t="n">
        <v>2781.56</v>
      </c>
      <c r="I626" s="16">
        <f>SUM(K626:T626)</f>
        <v/>
      </c>
      <c r="J626" s="16">
        <f>F626-(G626+H626+I626)</f>
        <v/>
      </c>
      <c r="K626" s="16" t="n">
        <v>1668.94</v>
      </c>
      <c r="L626" s="16" t="n">
        <v>1668.94</v>
      </c>
      <c r="M626" s="16" t="n">
        <v>1668.94</v>
      </c>
      <c r="N626" s="16" t="n">
        <v>1668.94</v>
      </c>
      <c r="O626" s="16" t="n">
        <v>1668.94</v>
      </c>
      <c r="P626" s="16" t="n">
        <v>1668.94</v>
      </c>
      <c r="Q626" s="16" t="n">
        <v>1668.94</v>
      </c>
      <c r="R626" s="16" t="n">
        <v>1668.94</v>
      </c>
      <c r="S626" s="16" t="n">
        <v>1668.94</v>
      </c>
      <c r="T626" s="16" t="n">
        <v>1668.94</v>
      </c>
      <c r="U626" s="16" t="n">
        <v>350</v>
      </c>
      <c r="V626" s="16" t="n">
        <v>250</v>
      </c>
      <c r="W626" s="16">
        <f>U626+V626</f>
        <v/>
      </c>
    </row>
    <row r="627">
      <c r="A627" s="3" t="inlineStr">
        <is>
          <t>CANON-202606-007600</t>
        </is>
      </c>
      <c r="B627" s="3" t="inlineStr">
        <is>
          <t>2026-06-13</t>
        </is>
      </c>
      <c r="C627" s="3" t="inlineStr">
        <is>
          <t>Desmond Whitlock</t>
        </is>
      </c>
      <c r="D627" s="3" t="inlineStr">
        <is>
          <t>WY</t>
        </is>
      </c>
      <c r="E627" s="14" t="n">
        <v>840000</v>
      </c>
      <c r="F627" s="14" t="n">
        <v>8430.41</v>
      </c>
      <c r="G627" s="14" t="n">
        <v>1053.8</v>
      </c>
      <c r="H627" s="14" t="n">
        <v>1053.8</v>
      </c>
      <c r="I627" s="14">
        <f>SUM(K627:T627)</f>
        <v/>
      </c>
      <c r="J627" s="14">
        <f>F627-(G627+H627+I627)</f>
        <v/>
      </c>
      <c r="K627" s="14" t="n">
        <v>632.28</v>
      </c>
      <c r="L627" s="14" t="n">
        <v>632.28</v>
      </c>
      <c r="M627" s="14" t="n">
        <v>632.28</v>
      </c>
      <c r="N627" s="14" t="n">
        <v>632.28</v>
      </c>
      <c r="O627" s="14" t="n">
        <v>632.28</v>
      </c>
      <c r="P627" s="14" t="n">
        <v>632.28</v>
      </c>
      <c r="Q627" s="14" t="n">
        <v>632.28</v>
      </c>
      <c r="R627" s="14" t="n">
        <v>632.28</v>
      </c>
      <c r="S627" s="14" t="n">
        <v>632.28</v>
      </c>
      <c r="T627" s="14" t="n">
        <v>632.28</v>
      </c>
      <c r="U627" s="14" t="n">
        <v>350</v>
      </c>
      <c r="V627" s="14" t="n">
        <v>0</v>
      </c>
      <c r="W627" s="14">
        <f>U627+V627</f>
        <v/>
      </c>
    </row>
    <row r="628">
      <c r="A628" s="15" t="inlineStr">
        <is>
          <t>CANON-202606-007602</t>
        </is>
      </c>
      <c r="B628" s="15" t="inlineStr">
        <is>
          <t>2026-06-19</t>
        </is>
      </c>
      <c r="C628" s="15" t="inlineStr">
        <is>
          <t>Horace Farkas</t>
        </is>
      </c>
      <c r="D628" s="15" t="inlineStr">
        <is>
          <t>DE</t>
        </is>
      </c>
      <c r="E628" s="16" t="n">
        <v>405000</v>
      </c>
      <c r="F628" s="16" t="n">
        <v>5478.97</v>
      </c>
      <c r="G628" s="16" t="n">
        <v>684.87</v>
      </c>
      <c r="H628" s="16" t="n">
        <v>684.87</v>
      </c>
      <c r="I628" s="16">
        <f>SUM(K628:T628)</f>
        <v/>
      </c>
      <c r="J628" s="16">
        <f>F628-(G628+H628+I628)</f>
        <v/>
      </c>
      <c r="K628" s="16" t="n">
        <v>410.92</v>
      </c>
      <c r="L628" s="16" t="n">
        <v>410.92</v>
      </c>
      <c r="M628" s="16" t="n">
        <v>410.92</v>
      </c>
      <c r="N628" s="16" t="n">
        <v>410.92</v>
      </c>
      <c r="O628" s="16" t="n">
        <v>410.92</v>
      </c>
      <c r="P628" s="16" t="n">
        <v>410.92</v>
      </c>
      <c r="Q628" s="16" t="n">
        <v>410.92</v>
      </c>
      <c r="R628" s="16" t="n">
        <v>410.92</v>
      </c>
      <c r="S628" s="16" t="n">
        <v>410.92</v>
      </c>
      <c r="T628" s="16" t="n">
        <v>410.92</v>
      </c>
      <c r="U628" s="16" t="n">
        <v>350</v>
      </c>
      <c r="V628" s="16" t="n">
        <v>0</v>
      </c>
      <c r="W628" s="16">
        <f>U628+V628</f>
        <v/>
      </c>
    </row>
    <row r="629">
      <c r="A629" s="3" t="inlineStr">
        <is>
          <t>CANON-202606-007603</t>
        </is>
      </c>
      <c r="B629" s="3" t="inlineStr">
        <is>
          <t>2026-06-05</t>
        </is>
      </c>
      <c r="C629" s="3" t="inlineStr">
        <is>
          <t>Marisol Montoya</t>
        </is>
      </c>
      <c r="D629" s="3" t="inlineStr">
        <is>
          <t>IN</t>
        </is>
      </c>
      <c r="E629" s="14" t="n">
        <v>640000</v>
      </c>
      <c r="F629" s="14" t="n">
        <v>7383.64</v>
      </c>
      <c r="G629" s="14" t="n">
        <v>922.96</v>
      </c>
      <c r="H629" s="14" t="n">
        <v>922.96</v>
      </c>
      <c r="I629" s="14">
        <f>SUM(K629:T629)</f>
        <v/>
      </c>
      <c r="J629" s="14">
        <f>F629-(G629+H629+I629)</f>
        <v/>
      </c>
      <c r="K629" s="14" t="n">
        <v>553.77</v>
      </c>
      <c r="L629" s="14" t="n">
        <v>553.77</v>
      </c>
      <c r="M629" s="14" t="n">
        <v>553.77</v>
      </c>
      <c r="N629" s="14" t="n">
        <v>553.77</v>
      </c>
      <c r="O629" s="14" t="n">
        <v>553.77</v>
      </c>
      <c r="P629" s="14" t="n">
        <v>553.77</v>
      </c>
      <c r="Q629" s="14" t="n">
        <v>553.77</v>
      </c>
      <c r="R629" s="14" t="n">
        <v>553.77</v>
      </c>
      <c r="S629" s="14" t="n">
        <v>553.77</v>
      </c>
      <c r="T629" s="14" t="n">
        <v>553.77</v>
      </c>
      <c r="U629" s="14" t="n">
        <v>350</v>
      </c>
      <c r="V629" s="14" t="n">
        <v>0</v>
      </c>
      <c r="W629" s="14">
        <f>U629+V629</f>
        <v/>
      </c>
    </row>
    <row r="630">
      <c r="A630" s="15" t="inlineStr">
        <is>
          <t>CANON-202606-007604</t>
        </is>
      </c>
      <c r="B630" s="15" t="inlineStr">
        <is>
          <t>2026-06-02</t>
        </is>
      </c>
      <c r="C630" s="15" t="inlineStr">
        <is>
          <t>Lorenzo Harrington</t>
        </is>
      </c>
      <c r="D630" s="15" t="inlineStr">
        <is>
          <t>MI</t>
        </is>
      </c>
      <c r="E630" s="16" t="n">
        <v>310000</v>
      </c>
      <c r="F630" s="16" t="n">
        <v>5200.28</v>
      </c>
      <c r="G630" s="16" t="n">
        <v>650.03</v>
      </c>
      <c r="H630" s="16" t="n">
        <v>650.03</v>
      </c>
      <c r="I630" s="16">
        <f>SUM(K630:T630)</f>
        <v/>
      </c>
      <c r="J630" s="16">
        <f>F630-(G630+H630+I630)</f>
        <v/>
      </c>
      <c r="K630" s="16" t="n">
        <v>390.02</v>
      </c>
      <c r="L630" s="16" t="n">
        <v>390.02</v>
      </c>
      <c r="M630" s="16" t="n">
        <v>390.02</v>
      </c>
      <c r="N630" s="16" t="n">
        <v>390.02</v>
      </c>
      <c r="O630" s="16" t="n">
        <v>390.02</v>
      </c>
      <c r="P630" s="16" t="n">
        <v>390.02</v>
      </c>
      <c r="Q630" s="16" t="n">
        <v>390.02</v>
      </c>
      <c r="R630" s="16" t="n">
        <v>390.02</v>
      </c>
      <c r="S630" s="16" t="n">
        <v>390.02</v>
      </c>
      <c r="T630" s="16" t="n">
        <v>390.02</v>
      </c>
      <c r="U630" s="16" t="n">
        <v>350</v>
      </c>
      <c r="V630" s="16" t="n">
        <v>0</v>
      </c>
      <c r="W630" s="16">
        <f>U630+V630</f>
        <v/>
      </c>
    </row>
    <row r="631">
      <c r="A631" s="3" t="inlineStr">
        <is>
          <t>CANON-202606-007605</t>
        </is>
      </c>
      <c r="B631" s="3" t="inlineStr">
        <is>
          <t>2026-06-06</t>
        </is>
      </c>
      <c r="C631" s="3" t="inlineStr">
        <is>
          <t>Thaddeus Okonkwo</t>
        </is>
      </c>
      <c r="D631" s="3" t="inlineStr">
        <is>
          <t>KY</t>
        </is>
      </c>
      <c r="E631" s="14" t="n">
        <v>1775000</v>
      </c>
      <c r="F631" s="14" t="n">
        <v>23339.1</v>
      </c>
      <c r="G631" s="14" t="n">
        <v>2917.39</v>
      </c>
      <c r="H631" s="14" t="n">
        <v>2917.39</v>
      </c>
      <c r="I631" s="14">
        <f>SUM(K631:T631)</f>
        <v/>
      </c>
      <c r="J631" s="14">
        <f>F631-(G631+H631+I631)</f>
        <v/>
      </c>
      <c r="K631" s="14" t="n">
        <v>1750.43</v>
      </c>
      <c r="L631" s="14" t="n">
        <v>1750.43</v>
      </c>
      <c r="M631" s="14" t="n">
        <v>1750.43</v>
      </c>
      <c r="N631" s="14" t="n">
        <v>1750.43</v>
      </c>
      <c r="O631" s="14" t="n">
        <v>1750.43</v>
      </c>
      <c r="P631" s="14" t="n">
        <v>1750.43</v>
      </c>
      <c r="Q631" s="14" t="n">
        <v>1750.43</v>
      </c>
      <c r="R631" s="14" t="n">
        <v>1750.43</v>
      </c>
      <c r="S631" s="14" t="n">
        <v>1750.43</v>
      </c>
      <c r="T631" s="14" t="n">
        <v>1750.43</v>
      </c>
      <c r="U631" s="14" t="n">
        <v>350</v>
      </c>
      <c r="V631" s="14" t="n">
        <v>250</v>
      </c>
      <c r="W631" s="14">
        <f>U631+V631</f>
        <v/>
      </c>
    </row>
    <row r="632">
      <c r="A632" s="15" t="inlineStr">
        <is>
          <t>CANON-202606-007606</t>
        </is>
      </c>
      <c r="B632" s="15" t="inlineStr">
        <is>
          <t>2026-06-24</t>
        </is>
      </c>
      <c r="C632" s="15" t="inlineStr">
        <is>
          <t>Everett Pennington</t>
        </is>
      </c>
      <c r="D632" s="15" t="inlineStr">
        <is>
          <t>CA</t>
        </is>
      </c>
      <c r="E632" s="16" t="n">
        <v>440000</v>
      </c>
      <c r="F632" s="16" t="n">
        <v>4114.33</v>
      </c>
      <c r="G632" s="16" t="n">
        <v>514.29</v>
      </c>
      <c r="H632" s="16" t="n">
        <v>514.29</v>
      </c>
      <c r="I632" s="16">
        <f>SUM(K632:T632)</f>
        <v/>
      </c>
      <c r="J632" s="16">
        <f>F632-(G632+H632+I632)</f>
        <v/>
      </c>
      <c r="K632" s="16" t="n">
        <v>308.57</v>
      </c>
      <c r="L632" s="16" t="n">
        <v>308.57</v>
      </c>
      <c r="M632" s="16" t="n">
        <v>308.57</v>
      </c>
      <c r="N632" s="16" t="n">
        <v>308.57</v>
      </c>
      <c r="O632" s="16" t="n">
        <v>308.57</v>
      </c>
      <c r="P632" s="16" t="n">
        <v>308.57</v>
      </c>
      <c r="Q632" s="16" t="n">
        <v>308.57</v>
      </c>
      <c r="R632" s="16" t="n">
        <v>308.57</v>
      </c>
      <c r="S632" s="16" t="n">
        <v>308.57</v>
      </c>
      <c r="T632" s="16" t="n">
        <v>308.57</v>
      </c>
      <c r="U632" s="16" t="n">
        <v>350</v>
      </c>
      <c r="V632" s="16" t="n">
        <v>0</v>
      </c>
      <c r="W632" s="16">
        <f>U632+V632</f>
        <v/>
      </c>
    </row>
    <row r="633">
      <c r="A633" s="3" t="inlineStr">
        <is>
          <t>CANON-202606-007607</t>
        </is>
      </c>
      <c r="B633" s="3" t="inlineStr">
        <is>
          <t>2026-06-08</t>
        </is>
      </c>
      <c r="C633" s="3" t="inlineStr">
        <is>
          <t>Sunniva Okonkwo</t>
        </is>
      </c>
      <c r="D633" s="3" t="inlineStr">
        <is>
          <t>TX</t>
        </is>
      </c>
      <c r="E633" s="14" t="n">
        <v>1950000</v>
      </c>
      <c r="F633" s="14" t="n">
        <v>17797.84</v>
      </c>
      <c r="G633" s="14" t="n">
        <v>2224.73</v>
      </c>
      <c r="H633" s="14" t="n">
        <v>2224.73</v>
      </c>
      <c r="I633" s="14">
        <f>SUM(K633:T633)</f>
        <v/>
      </c>
      <c r="J633" s="14">
        <f>F633-(G633+H633+I633)</f>
        <v/>
      </c>
      <c r="K633" s="14" t="n">
        <v>1334.84</v>
      </c>
      <c r="L633" s="14" t="n">
        <v>1334.84</v>
      </c>
      <c r="M633" s="14" t="n">
        <v>1334.84</v>
      </c>
      <c r="N633" s="14" t="n">
        <v>1334.84</v>
      </c>
      <c r="O633" s="14" t="n">
        <v>1334.84</v>
      </c>
      <c r="P633" s="14" t="n">
        <v>1334.84</v>
      </c>
      <c r="Q633" s="14" t="n">
        <v>1334.84</v>
      </c>
      <c r="R633" s="14" t="n">
        <v>1334.84</v>
      </c>
      <c r="S633" s="14" t="n">
        <v>1334.84</v>
      </c>
      <c r="T633" s="14" t="n">
        <v>1334.84</v>
      </c>
      <c r="U633" s="14" t="n">
        <v>350</v>
      </c>
      <c r="V633" s="14" t="n">
        <v>250</v>
      </c>
      <c r="W633" s="14">
        <f>U633+V633</f>
        <v/>
      </c>
    </row>
    <row r="634">
      <c r="A634" s="15" t="inlineStr">
        <is>
          <t>CANON-202606-007608</t>
        </is>
      </c>
      <c r="B634" s="15" t="inlineStr">
        <is>
          <t>2026-06-19</t>
        </is>
      </c>
      <c r="C634" s="15" t="inlineStr">
        <is>
          <t>Horace Rourke</t>
        </is>
      </c>
      <c r="D634" s="15" t="inlineStr">
        <is>
          <t>AZ</t>
        </is>
      </c>
      <c r="E634" s="16" t="n">
        <v>375000</v>
      </c>
      <c r="F634" s="16" t="n">
        <v>4099.08</v>
      </c>
      <c r="G634" s="16" t="n">
        <v>512.38</v>
      </c>
      <c r="H634" s="16" t="n">
        <v>512.38</v>
      </c>
      <c r="I634" s="16">
        <f>SUM(K634:T634)</f>
        <v/>
      </c>
      <c r="J634" s="16">
        <f>F634-(G634+H634+I634)</f>
        <v/>
      </c>
      <c r="K634" s="16" t="n">
        <v>307.43</v>
      </c>
      <c r="L634" s="16" t="n">
        <v>307.43</v>
      </c>
      <c r="M634" s="16" t="n">
        <v>307.43</v>
      </c>
      <c r="N634" s="16" t="n">
        <v>307.43</v>
      </c>
      <c r="O634" s="16" t="n">
        <v>307.43</v>
      </c>
      <c r="P634" s="16" t="n">
        <v>307.43</v>
      </c>
      <c r="Q634" s="16" t="n">
        <v>307.43</v>
      </c>
      <c r="R634" s="16" t="n">
        <v>307.43</v>
      </c>
      <c r="S634" s="16" t="n">
        <v>307.43</v>
      </c>
      <c r="T634" s="16" t="n">
        <v>307.43</v>
      </c>
      <c r="U634" s="16" t="n">
        <v>350</v>
      </c>
      <c r="V634" s="16" t="n">
        <v>0</v>
      </c>
      <c r="W634" s="16">
        <f>U634+V634</f>
        <v/>
      </c>
    </row>
    <row r="635">
      <c r="A635" s="3" t="inlineStr">
        <is>
          <t>CANON-202606-007610</t>
        </is>
      </c>
      <c r="B635" s="3" t="inlineStr">
        <is>
          <t>2026-06-02</t>
        </is>
      </c>
      <c r="C635" s="3" t="inlineStr">
        <is>
          <t>Mireille Bellandi</t>
        </is>
      </c>
      <c r="D635" s="3" t="inlineStr">
        <is>
          <t>MA</t>
        </is>
      </c>
      <c r="E635" s="14" t="n">
        <v>475000</v>
      </c>
      <c r="F635" s="14" t="n">
        <v>6425.94</v>
      </c>
      <c r="G635" s="14" t="n">
        <v>803.24</v>
      </c>
      <c r="H635" s="14" t="n">
        <v>803.24</v>
      </c>
      <c r="I635" s="14">
        <f>SUM(K635:T635)</f>
        <v/>
      </c>
      <c r="J635" s="14">
        <f>F635-(G635+H635+I635)</f>
        <v/>
      </c>
      <c r="K635" s="14" t="n">
        <v>481.95</v>
      </c>
      <c r="L635" s="14" t="n">
        <v>481.95</v>
      </c>
      <c r="M635" s="14" t="n">
        <v>481.95</v>
      </c>
      <c r="N635" s="14" t="n">
        <v>481.95</v>
      </c>
      <c r="O635" s="14" t="n">
        <v>481.95</v>
      </c>
      <c r="P635" s="14" t="n">
        <v>481.95</v>
      </c>
      <c r="Q635" s="14" t="n">
        <v>481.95</v>
      </c>
      <c r="R635" s="14" t="n">
        <v>481.95</v>
      </c>
      <c r="S635" s="14" t="n">
        <v>481.95</v>
      </c>
      <c r="T635" s="14" t="n">
        <v>481.95</v>
      </c>
      <c r="U635" s="14" t="n">
        <v>350</v>
      </c>
      <c r="V635" s="14" t="n">
        <v>0</v>
      </c>
      <c r="W635" s="14">
        <f>U635+V635</f>
        <v/>
      </c>
    </row>
    <row r="636">
      <c r="A636" s="15" t="inlineStr">
        <is>
          <t>CANON-202606-007613</t>
        </is>
      </c>
      <c r="B636" s="15" t="inlineStr">
        <is>
          <t>2026-06-25</t>
        </is>
      </c>
      <c r="C636" s="15" t="inlineStr">
        <is>
          <t>Noor Delacroix</t>
        </is>
      </c>
      <c r="D636" s="15" t="inlineStr">
        <is>
          <t>OK</t>
        </is>
      </c>
      <c r="E636" s="16" t="n">
        <v>1415000</v>
      </c>
      <c r="F636" s="16" t="n">
        <v>14150.17</v>
      </c>
      <c r="G636" s="16" t="n">
        <v>1768.77</v>
      </c>
      <c r="H636" s="16" t="n">
        <v>1768.77</v>
      </c>
      <c r="I636" s="16">
        <f>SUM(K636:T636)</f>
        <v/>
      </c>
      <c r="J636" s="16">
        <f>F636-(G636+H636+I636)</f>
        <v/>
      </c>
      <c r="K636" s="16" t="n">
        <v>1061.26</v>
      </c>
      <c r="L636" s="16" t="n">
        <v>1061.26</v>
      </c>
      <c r="M636" s="16" t="n">
        <v>1061.26</v>
      </c>
      <c r="N636" s="16" t="n">
        <v>1061.26</v>
      </c>
      <c r="O636" s="16" t="n">
        <v>1061.26</v>
      </c>
      <c r="P636" s="16" t="n">
        <v>1061.26</v>
      </c>
      <c r="Q636" s="16" t="n">
        <v>1061.26</v>
      </c>
      <c r="R636" s="16" t="n">
        <v>1061.26</v>
      </c>
      <c r="S636" s="16" t="n">
        <v>1061.26</v>
      </c>
      <c r="T636" s="16" t="n">
        <v>1061.26</v>
      </c>
      <c r="U636" s="16" t="n">
        <v>350</v>
      </c>
      <c r="V636" s="16" t="n">
        <v>250</v>
      </c>
      <c r="W636" s="16">
        <f>U636+V636</f>
        <v/>
      </c>
    </row>
    <row r="637">
      <c r="A637" s="3" t="inlineStr">
        <is>
          <t>CANON-202606-007614</t>
        </is>
      </c>
      <c r="B637" s="3" t="inlineStr">
        <is>
          <t>2026-06-21</t>
        </is>
      </c>
      <c r="C637" s="3" t="inlineStr">
        <is>
          <t>Sunniva Delacroix</t>
        </is>
      </c>
      <c r="D637" s="3" t="inlineStr">
        <is>
          <t>NM</t>
        </is>
      </c>
      <c r="E637" s="14" t="n">
        <v>115000</v>
      </c>
      <c r="F637" s="14" t="n">
        <v>2230.33</v>
      </c>
      <c r="G637" s="14" t="n">
        <v>278.79</v>
      </c>
      <c r="H637" s="14" t="n">
        <v>278.79</v>
      </c>
      <c r="I637" s="14">
        <f>SUM(K637:T637)</f>
        <v/>
      </c>
      <c r="J637" s="14">
        <f>F637-(G637+H637+I637)</f>
        <v/>
      </c>
      <c r="K637" s="14" t="n">
        <v>167.27</v>
      </c>
      <c r="L637" s="14" t="n">
        <v>167.27</v>
      </c>
      <c r="M637" s="14" t="n">
        <v>167.27</v>
      </c>
      <c r="N637" s="14" t="n">
        <v>167.27</v>
      </c>
      <c r="O637" s="14" t="n">
        <v>167.27</v>
      </c>
      <c r="P637" s="14" t="n">
        <v>167.27</v>
      </c>
      <c r="Q637" s="14" t="n">
        <v>167.27</v>
      </c>
      <c r="R637" s="14" t="n">
        <v>167.27</v>
      </c>
      <c r="S637" s="14" t="n">
        <v>167.27</v>
      </c>
      <c r="T637" s="14" t="n">
        <v>167.27</v>
      </c>
      <c r="U637" s="14" t="n">
        <v>350</v>
      </c>
      <c r="V637" s="14" t="n">
        <v>0</v>
      </c>
      <c r="W637" s="14">
        <f>U637+V637</f>
        <v/>
      </c>
    </row>
    <row r="638">
      <c r="A638" s="15" t="inlineStr">
        <is>
          <t>CANON-202606-007615</t>
        </is>
      </c>
      <c r="B638" s="15" t="inlineStr">
        <is>
          <t>2026-06-23</t>
        </is>
      </c>
      <c r="C638" s="15" t="inlineStr">
        <is>
          <t>Fenwick Farkas</t>
        </is>
      </c>
      <c r="D638" s="15" t="inlineStr">
        <is>
          <t>NJ</t>
        </is>
      </c>
      <c r="E638" s="16" t="n">
        <v>630000</v>
      </c>
      <c r="F638" s="16" t="n">
        <v>7859.18</v>
      </c>
      <c r="G638" s="16" t="n">
        <v>982.4</v>
      </c>
      <c r="H638" s="16" t="n">
        <v>982.4</v>
      </c>
      <c r="I638" s="16">
        <f>SUM(K638:T638)</f>
        <v/>
      </c>
      <c r="J638" s="16">
        <f>F638-(G638+H638+I638)</f>
        <v/>
      </c>
      <c r="K638" s="16" t="n">
        <v>589.4400000000001</v>
      </c>
      <c r="L638" s="16" t="n">
        <v>589.4400000000001</v>
      </c>
      <c r="M638" s="16" t="n">
        <v>589.4400000000001</v>
      </c>
      <c r="N638" s="16" t="n">
        <v>589.4400000000001</v>
      </c>
      <c r="O638" s="16" t="n">
        <v>589.4400000000001</v>
      </c>
      <c r="P638" s="16" t="n">
        <v>589.4400000000001</v>
      </c>
      <c r="Q638" s="16" t="n">
        <v>589.4400000000001</v>
      </c>
      <c r="R638" s="16" t="n">
        <v>589.4400000000001</v>
      </c>
      <c r="S638" s="16" t="n">
        <v>589.4400000000001</v>
      </c>
      <c r="T638" s="16" t="n">
        <v>589.4400000000001</v>
      </c>
      <c r="U638" s="16" t="n">
        <v>350</v>
      </c>
      <c r="V638" s="16" t="n">
        <v>0</v>
      </c>
      <c r="W638" s="16">
        <f>U638+V638</f>
        <v/>
      </c>
    </row>
    <row r="639">
      <c r="A639" s="3" t="inlineStr">
        <is>
          <t>CANON-202606-007618</t>
        </is>
      </c>
      <c r="B639" s="3" t="inlineStr">
        <is>
          <t>2026-06-09</t>
        </is>
      </c>
      <c r="C639" s="3" t="inlineStr">
        <is>
          <t>Delphine Blackwood</t>
        </is>
      </c>
      <c r="D639" s="3" t="inlineStr">
        <is>
          <t>MI</t>
        </is>
      </c>
      <c r="E639" s="14" t="n">
        <v>715000</v>
      </c>
      <c r="F639" s="14" t="n">
        <v>12473.96</v>
      </c>
      <c r="G639" s="14" t="n">
        <v>1559.24</v>
      </c>
      <c r="H639" s="14" t="n">
        <v>1559.24</v>
      </c>
      <c r="I639" s="14">
        <f>SUM(K639:T639)</f>
        <v/>
      </c>
      <c r="J639" s="14">
        <f>F639-(G639+H639+I639)</f>
        <v/>
      </c>
      <c r="K639" s="14" t="n">
        <v>935.55</v>
      </c>
      <c r="L639" s="14" t="n">
        <v>935.55</v>
      </c>
      <c r="M639" s="14" t="n">
        <v>935.55</v>
      </c>
      <c r="N639" s="14" t="n">
        <v>935.55</v>
      </c>
      <c r="O639" s="14" t="n">
        <v>935.55</v>
      </c>
      <c r="P639" s="14" t="n">
        <v>935.55</v>
      </c>
      <c r="Q639" s="14" t="n">
        <v>935.55</v>
      </c>
      <c r="R639" s="14" t="n">
        <v>935.55</v>
      </c>
      <c r="S639" s="14" t="n">
        <v>935.55</v>
      </c>
      <c r="T639" s="14" t="n">
        <v>935.55</v>
      </c>
      <c r="U639" s="14" t="n">
        <v>350</v>
      </c>
      <c r="V639" s="14" t="n">
        <v>0</v>
      </c>
      <c r="W639" s="14">
        <f>U639+V639</f>
        <v/>
      </c>
    </row>
    <row r="640">
      <c r="A640" s="15" t="inlineStr">
        <is>
          <t>CANON-202606-007619</t>
        </is>
      </c>
      <c r="B640" s="15" t="inlineStr">
        <is>
          <t>2026-06-22</t>
        </is>
      </c>
      <c r="C640" s="15" t="inlineStr">
        <is>
          <t>Fenwick Rourke</t>
        </is>
      </c>
      <c r="D640" s="15" t="inlineStr">
        <is>
          <t>NY</t>
        </is>
      </c>
      <c r="E640" s="16" t="n">
        <v>860000</v>
      </c>
      <c r="F640" s="16" t="n">
        <v>15090.51</v>
      </c>
      <c r="G640" s="16" t="n">
        <v>1886.31</v>
      </c>
      <c r="H640" s="16" t="n">
        <v>1886.31</v>
      </c>
      <c r="I640" s="16">
        <f>SUM(K640:T640)</f>
        <v/>
      </c>
      <c r="J640" s="16">
        <f>F640-(G640+H640+I640)</f>
        <v/>
      </c>
      <c r="K640" s="16" t="n">
        <v>1131.79</v>
      </c>
      <c r="L640" s="16" t="n">
        <v>1131.79</v>
      </c>
      <c r="M640" s="16" t="n">
        <v>1131.79</v>
      </c>
      <c r="N640" s="16" t="n">
        <v>1131.79</v>
      </c>
      <c r="O640" s="16" t="n">
        <v>1131.79</v>
      </c>
      <c r="P640" s="16" t="n">
        <v>1131.79</v>
      </c>
      <c r="Q640" s="16" t="n">
        <v>1131.79</v>
      </c>
      <c r="R640" s="16" t="n">
        <v>1131.79</v>
      </c>
      <c r="S640" s="16" t="n">
        <v>1131.79</v>
      </c>
      <c r="T640" s="16" t="n">
        <v>1131.79</v>
      </c>
      <c r="U640" s="16" t="n">
        <v>350</v>
      </c>
      <c r="V640" s="16" t="n">
        <v>0</v>
      </c>
      <c r="W640" s="16">
        <f>U640+V640</f>
        <v/>
      </c>
    </row>
    <row r="641">
      <c r="A641" s="3" t="inlineStr">
        <is>
          <t>CANON-202606-007620</t>
        </is>
      </c>
      <c r="B641" s="3" t="inlineStr">
        <is>
          <t>2026-06-11</t>
        </is>
      </c>
      <c r="C641" s="3" t="inlineStr">
        <is>
          <t>Saoirse Underwood</t>
        </is>
      </c>
      <c r="D641" s="3" t="inlineStr">
        <is>
          <t>PA</t>
        </is>
      </c>
      <c r="E641" s="14" t="n">
        <v>1730000</v>
      </c>
      <c r="F641" s="14" t="n">
        <v>9486.4</v>
      </c>
      <c r="G641" s="14" t="n">
        <v>1185.8</v>
      </c>
      <c r="H641" s="14" t="n">
        <v>1185.8</v>
      </c>
      <c r="I641" s="14">
        <f>SUM(K641:T641)</f>
        <v/>
      </c>
      <c r="J641" s="14">
        <f>F641-(G641+H641+I641)</f>
        <v/>
      </c>
      <c r="K641" s="14" t="n">
        <v>711.48</v>
      </c>
      <c r="L641" s="14" t="n">
        <v>711.48</v>
      </c>
      <c r="M641" s="14" t="n">
        <v>711.48</v>
      </c>
      <c r="N641" s="14" t="n">
        <v>711.48</v>
      </c>
      <c r="O641" s="14" t="n">
        <v>711.48</v>
      </c>
      <c r="P641" s="14" t="n">
        <v>711.48</v>
      </c>
      <c r="Q641" s="14" t="n">
        <v>711.48</v>
      </c>
      <c r="R641" s="14" t="n">
        <v>711.48</v>
      </c>
      <c r="S641" s="14" t="n">
        <v>711.48</v>
      </c>
      <c r="T641" s="14" t="n">
        <v>711.48</v>
      </c>
      <c r="U641" s="14" t="n">
        <v>350</v>
      </c>
      <c r="V641" s="14" t="n">
        <v>250</v>
      </c>
      <c r="W641" s="14">
        <f>U641+V641</f>
        <v/>
      </c>
    </row>
    <row r="642">
      <c r="A642" s="15" t="inlineStr">
        <is>
          <t>CANON-202606-007621</t>
        </is>
      </c>
      <c r="B642" s="15" t="inlineStr">
        <is>
          <t>2026-06-18</t>
        </is>
      </c>
      <c r="C642" s="15" t="inlineStr">
        <is>
          <t>Aurelio Ashcombe</t>
        </is>
      </c>
      <c r="D642" s="15" t="inlineStr">
        <is>
          <t>WA</t>
        </is>
      </c>
      <c r="E642" s="16" t="n">
        <v>485000</v>
      </c>
      <c r="F642" s="16" t="n">
        <v>7726.5</v>
      </c>
      <c r="G642" s="16" t="n">
        <v>965.8099999999999</v>
      </c>
      <c r="H642" s="16" t="n">
        <v>965.8099999999999</v>
      </c>
      <c r="I642" s="16">
        <f>SUM(K642:T642)</f>
        <v/>
      </c>
      <c r="J642" s="16">
        <f>F642-(G642+H642+I642)</f>
        <v/>
      </c>
      <c r="K642" s="16" t="n">
        <v>579.49</v>
      </c>
      <c r="L642" s="16" t="n">
        <v>579.49</v>
      </c>
      <c r="M642" s="16" t="n">
        <v>579.49</v>
      </c>
      <c r="N642" s="16" t="n">
        <v>579.49</v>
      </c>
      <c r="O642" s="16" t="n">
        <v>579.49</v>
      </c>
      <c r="P642" s="16" t="n">
        <v>579.49</v>
      </c>
      <c r="Q642" s="16" t="n">
        <v>579.49</v>
      </c>
      <c r="R642" s="16" t="n">
        <v>579.49</v>
      </c>
      <c r="S642" s="16" t="n">
        <v>579.49</v>
      </c>
      <c r="T642" s="16" t="n">
        <v>579.49</v>
      </c>
      <c r="U642" s="16" t="n">
        <v>350</v>
      </c>
      <c r="V642" s="16" t="n">
        <v>0</v>
      </c>
      <c r="W642" s="16">
        <f>U642+V642</f>
        <v/>
      </c>
    </row>
    <row r="643">
      <c r="A643" s="3" t="inlineStr">
        <is>
          <t>CANON-202606-007622</t>
        </is>
      </c>
      <c r="B643" s="3" t="inlineStr">
        <is>
          <t>2026-06-18</t>
        </is>
      </c>
      <c r="C643" s="3" t="inlineStr">
        <is>
          <t>Fenwick Delacroix</t>
        </is>
      </c>
      <c r="D643" s="3" t="inlineStr">
        <is>
          <t>TN</t>
        </is>
      </c>
      <c r="E643" s="14" t="n">
        <v>650000</v>
      </c>
      <c r="F643" s="14" t="n">
        <v>5974.82</v>
      </c>
      <c r="G643" s="14" t="n">
        <v>746.85</v>
      </c>
      <c r="H643" s="14" t="n">
        <v>746.85</v>
      </c>
      <c r="I643" s="14">
        <f>SUM(K643:T643)</f>
        <v/>
      </c>
      <c r="J643" s="14">
        <f>F643-(G643+H643+I643)</f>
        <v/>
      </c>
      <c r="K643" s="14" t="n">
        <v>448.11</v>
      </c>
      <c r="L643" s="14" t="n">
        <v>448.11</v>
      </c>
      <c r="M643" s="14" t="n">
        <v>448.11</v>
      </c>
      <c r="N643" s="14" t="n">
        <v>448.11</v>
      </c>
      <c r="O643" s="14" t="n">
        <v>448.11</v>
      </c>
      <c r="P643" s="14" t="n">
        <v>448.11</v>
      </c>
      <c r="Q643" s="14" t="n">
        <v>448.11</v>
      </c>
      <c r="R643" s="14" t="n">
        <v>448.11</v>
      </c>
      <c r="S643" s="14" t="n">
        <v>448.11</v>
      </c>
      <c r="T643" s="14" t="n">
        <v>448.11</v>
      </c>
      <c r="U643" s="14" t="n">
        <v>350</v>
      </c>
      <c r="V643" s="14" t="n">
        <v>0</v>
      </c>
      <c r="W643" s="14">
        <f>U643+V643</f>
        <v/>
      </c>
    </row>
    <row r="644">
      <c r="A644" s="15" t="inlineStr">
        <is>
          <t>CANON-202606-007624</t>
        </is>
      </c>
      <c r="B644" s="15" t="inlineStr">
        <is>
          <t>2026-06-14</t>
        </is>
      </c>
      <c r="C644" s="15" t="inlineStr">
        <is>
          <t>Ramona Okonkwo</t>
        </is>
      </c>
      <c r="D644" s="15" t="inlineStr">
        <is>
          <t>VT</t>
        </is>
      </c>
      <c r="E644" s="16" t="n">
        <v>320000</v>
      </c>
      <c r="F644" s="16" t="n">
        <v>2704.1</v>
      </c>
      <c r="G644" s="16" t="n">
        <v>338.01</v>
      </c>
      <c r="H644" s="16" t="n">
        <v>338.01</v>
      </c>
      <c r="I644" s="16">
        <f>SUM(K644:T644)</f>
        <v/>
      </c>
      <c r="J644" s="16">
        <f>F644-(G644+H644+I644)</f>
        <v/>
      </c>
      <c r="K644" s="16" t="n">
        <v>202.81</v>
      </c>
      <c r="L644" s="16" t="n">
        <v>202.81</v>
      </c>
      <c r="M644" s="16" t="n">
        <v>202.81</v>
      </c>
      <c r="N644" s="16" t="n">
        <v>202.81</v>
      </c>
      <c r="O644" s="16" t="n">
        <v>202.81</v>
      </c>
      <c r="P644" s="16" t="n">
        <v>202.81</v>
      </c>
      <c r="Q644" s="16" t="n">
        <v>202.81</v>
      </c>
      <c r="R644" s="16" t="n">
        <v>202.81</v>
      </c>
      <c r="S644" s="16" t="n">
        <v>202.81</v>
      </c>
      <c r="T644" s="16" t="n">
        <v>202.81</v>
      </c>
      <c r="U644" s="16" t="n">
        <v>350</v>
      </c>
      <c r="V644" s="16" t="n">
        <v>0</v>
      </c>
      <c r="W644" s="16">
        <f>U644+V644</f>
        <v/>
      </c>
    </row>
    <row r="645">
      <c r="A645" s="3" t="inlineStr">
        <is>
          <t>CANON-202606-007625</t>
        </is>
      </c>
      <c r="B645" s="3" t="inlineStr">
        <is>
          <t>2026-06-21</t>
        </is>
      </c>
      <c r="C645" s="3" t="inlineStr">
        <is>
          <t>Cassius Harrington</t>
        </is>
      </c>
      <c r="D645" s="3" t="inlineStr">
        <is>
          <t>CA</t>
        </is>
      </c>
      <c r="E645" s="14" t="n">
        <v>605000</v>
      </c>
      <c r="F645" s="14" t="n">
        <v>5067.92</v>
      </c>
      <c r="G645" s="14" t="n">
        <v>633.49</v>
      </c>
      <c r="H645" s="14" t="n">
        <v>633.49</v>
      </c>
      <c r="I645" s="14">
        <f>SUM(K645:T645)</f>
        <v/>
      </c>
      <c r="J645" s="14">
        <f>F645-(G645+H645+I645)</f>
        <v/>
      </c>
      <c r="K645" s="14" t="n">
        <v>380.09</v>
      </c>
      <c r="L645" s="14" t="n">
        <v>380.09</v>
      </c>
      <c r="M645" s="14" t="n">
        <v>380.09</v>
      </c>
      <c r="N645" s="14" t="n">
        <v>380.09</v>
      </c>
      <c r="O645" s="14" t="n">
        <v>380.09</v>
      </c>
      <c r="P645" s="14" t="n">
        <v>380.09</v>
      </c>
      <c r="Q645" s="14" t="n">
        <v>380.09</v>
      </c>
      <c r="R645" s="14" t="n">
        <v>380.09</v>
      </c>
      <c r="S645" s="14" t="n">
        <v>380.09</v>
      </c>
      <c r="T645" s="14" t="n">
        <v>380.09</v>
      </c>
      <c r="U645" s="14" t="n">
        <v>350</v>
      </c>
      <c r="V645" s="14" t="n">
        <v>0</v>
      </c>
      <c r="W645" s="14">
        <f>U645+V645</f>
        <v/>
      </c>
    </row>
    <row r="646">
      <c r="A646" s="15" t="inlineStr">
        <is>
          <t>CANON-202606-007626</t>
        </is>
      </c>
      <c r="B646" s="15" t="inlineStr">
        <is>
          <t>2026-06-19</t>
        </is>
      </c>
      <c r="C646" s="15" t="inlineStr">
        <is>
          <t>Mireille Castellanos</t>
        </is>
      </c>
      <c r="D646" s="15" t="inlineStr">
        <is>
          <t>RI</t>
        </is>
      </c>
      <c r="E646" s="16" t="n">
        <v>420000</v>
      </c>
      <c r="F646" s="16" t="n">
        <v>6227.35</v>
      </c>
      <c r="G646" s="16" t="n">
        <v>778.42</v>
      </c>
      <c r="H646" s="16" t="n">
        <v>778.42</v>
      </c>
      <c r="I646" s="16">
        <f>SUM(K646:T646)</f>
        <v/>
      </c>
      <c r="J646" s="16">
        <f>F646-(G646+H646+I646)</f>
        <v/>
      </c>
      <c r="K646" s="16" t="n">
        <v>467.05</v>
      </c>
      <c r="L646" s="16" t="n">
        <v>467.05</v>
      </c>
      <c r="M646" s="16" t="n">
        <v>467.05</v>
      </c>
      <c r="N646" s="16" t="n">
        <v>467.05</v>
      </c>
      <c r="O646" s="16" t="n">
        <v>467.05</v>
      </c>
      <c r="P646" s="16" t="n">
        <v>467.05</v>
      </c>
      <c r="Q646" s="16" t="n">
        <v>467.05</v>
      </c>
      <c r="R646" s="16" t="n">
        <v>467.05</v>
      </c>
      <c r="S646" s="16" t="n">
        <v>467.05</v>
      </c>
      <c r="T646" s="16" t="n">
        <v>467.05</v>
      </c>
      <c r="U646" s="16" t="n">
        <v>350</v>
      </c>
      <c r="V646" s="16" t="n">
        <v>0</v>
      </c>
      <c r="W646" s="16">
        <f>U646+V646</f>
        <v/>
      </c>
    </row>
    <row r="647">
      <c r="A647" s="3" t="inlineStr">
        <is>
          <t>CANON-202606-007627</t>
        </is>
      </c>
      <c r="B647" s="3" t="inlineStr">
        <is>
          <t>2026-06-12</t>
        </is>
      </c>
      <c r="C647" s="3" t="inlineStr">
        <is>
          <t>Thaddeus Nakashima</t>
        </is>
      </c>
      <c r="D647" s="3" t="inlineStr">
        <is>
          <t>AK</t>
        </is>
      </c>
      <c r="E647" s="14" t="n">
        <v>320000</v>
      </c>
      <c r="F647" s="14" t="n">
        <v>2526.78</v>
      </c>
      <c r="G647" s="14" t="n">
        <v>315.85</v>
      </c>
      <c r="H647" s="14" t="n">
        <v>315.85</v>
      </c>
      <c r="I647" s="14">
        <f>SUM(K647:T647)</f>
        <v/>
      </c>
      <c r="J647" s="14">
        <f>F647-(G647+H647+I647)</f>
        <v/>
      </c>
      <c r="K647" s="14" t="n">
        <v>189.51</v>
      </c>
      <c r="L647" s="14" t="n">
        <v>189.51</v>
      </c>
      <c r="M647" s="14" t="n">
        <v>189.51</v>
      </c>
      <c r="N647" s="14" t="n">
        <v>189.51</v>
      </c>
      <c r="O647" s="14" t="n">
        <v>189.51</v>
      </c>
      <c r="P647" s="14" t="n">
        <v>189.51</v>
      </c>
      <c r="Q647" s="14" t="n">
        <v>189.51</v>
      </c>
      <c r="R647" s="14" t="n">
        <v>189.51</v>
      </c>
      <c r="S647" s="14" t="n">
        <v>189.51</v>
      </c>
      <c r="T647" s="14" t="n">
        <v>189.51</v>
      </c>
      <c r="U647" s="14" t="n">
        <v>350</v>
      </c>
      <c r="V647" s="14" t="n">
        <v>0</v>
      </c>
      <c r="W647" s="14">
        <f>U647+V647</f>
        <v/>
      </c>
    </row>
    <row r="648">
      <c r="A648" s="15" t="inlineStr">
        <is>
          <t>CANON-202606-007628</t>
        </is>
      </c>
      <c r="B648" s="15" t="inlineStr">
        <is>
          <t>2026-06-01</t>
        </is>
      </c>
      <c r="C648" s="15" t="inlineStr">
        <is>
          <t>Thaddeus Delacroix</t>
        </is>
      </c>
      <c r="D648" s="15" t="inlineStr">
        <is>
          <t>WY</t>
        </is>
      </c>
      <c r="E648" s="16" t="n">
        <v>1555000</v>
      </c>
      <c r="F648" s="16" t="n">
        <v>13205.32</v>
      </c>
      <c r="G648" s="16" t="n">
        <v>1650.66</v>
      </c>
      <c r="H648" s="16" t="n">
        <v>1650.66</v>
      </c>
      <c r="I648" s="16">
        <f>SUM(K648:T648)</f>
        <v/>
      </c>
      <c r="J648" s="16">
        <f>F648-(G648+H648+I648)</f>
        <v/>
      </c>
      <c r="K648" s="16" t="n">
        <v>990.4</v>
      </c>
      <c r="L648" s="16" t="n">
        <v>990.4</v>
      </c>
      <c r="M648" s="16" t="n">
        <v>990.4</v>
      </c>
      <c r="N648" s="16" t="n">
        <v>990.4</v>
      </c>
      <c r="O648" s="16" t="n">
        <v>990.4</v>
      </c>
      <c r="P648" s="16" t="n">
        <v>990.4</v>
      </c>
      <c r="Q648" s="16" t="n">
        <v>990.4</v>
      </c>
      <c r="R648" s="16" t="n">
        <v>990.4</v>
      </c>
      <c r="S648" s="16" t="n">
        <v>990.4</v>
      </c>
      <c r="T648" s="16" t="n">
        <v>990.4</v>
      </c>
      <c r="U648" s="16" t="n">
        <v>350</v>
      </c>
      <c r="V648" s="16" t="n">
        <v>250</v>
      </c>
      <c r="W648" s="16">
        <f>U648+V648</f>
        <v/>
      </c>
    </row>
    <row r="649">
      <c r="A649" s="3" t="inlineStr">
        <is>
          <t>CANON-202606-007629</t>
        </is>
      </c>
      <c r="B649" s="3" t="inlineStr">
        <is>
          <t>2026-06-19</t>
        </is>
      </c>
      <c r="C649" s="3" t="inlineStr">
        <is>
          <t>Mireille Kingsford</t>
        </is>
      </c>
      <c r="D649" s="3" t="inlineStr">
        <is>
          <t>TX</t>
        </is>
      </c>
      <c r="E649" s="14" t="n">
        <v>1165000</v>
      </c>
      <c r="F649" s="14" t="n">
        <v>10633.07</v>
      </c>
      <c r="G649" s="14" t="n">
        <v>1329.13</v>
      </c>
      <c r="H649" s="14" t="n">
        <v>1329.13</v>
      </c>
      <c r="I649" s="14">
        <f>SUM(K649:T649)</f>
        <v/>
      </c>
      <c r="J649" s="14">
        <f>F649-(G649+H649+I649)</f>
        <v/>
      </c>
      <c r="K649" s="14" t="n">
        <v>797.48</v>
      </c>
      <c r="L649" s="14" t="n">
        <v>797.48</v>
      </c>
      <c r="M649" s="14" t="n">
        <v>797.48</v>
      </c>
      <c r="N649" s="14" t="n">
        <v>797.48</v>
      </c>
      <c r="O649" s="14" t="n">
        <v>797.48</v>
      </c>
      <c r="P649" s="14" t="n">
        <v>797.48</v>
      </c>
      <c r="Q649" s="14" t="n">
        <v>797.48</v>
      </c>
      <c r="R649" s="14" t="n">
        <v>797.48</v>
      </c>
      <c r="S649" s="14" t="n">
        <v>797.48</v>
      </c>
      <c r="T649" s="14" t="n">
        <v>797.48</v>
      </c>
      <c r="U649" s="14" t="n">
        <v>350</v>
      </c>
      <c r="V649" s="14" t="n">
        <v>250</v>
      </c>
      <c r="W649" s="14">
        <f>U649+V649</f>
        <v/>
      </c>
    </row>
    <row r="650">
      <c r="A650" s="15" t="inlineStr">
        <is>
          <t>CANON-202606-007630</t>
        </is>
      </c>
      <c r="B650" s="15" t="inlineStr">
        <is>
          <t>2026-06-26</t>
        </is>
      </c>
      <c r="C650" s="15" t="inlineStr">
        <is>
          <t>Delphine Nakashima</t>
        </is>
      </c>
      <c r="D650" s="15" t="inlineStr">
        <is>
          <t>NY</t>
        </is>
      </c>
      <c r="E650" s="16" t="n">
        <v>440000</v>
      </c>
      <c r="F650" s="16" t="n">
        <v>6095.31</v>
      </c>
      <c r="G650" s="16" t="n">
        <v>761.91</v>
      </c>
      <c r="H650" s="16" t="n">
        <v>761.91</v>
      </c>
      <c r="I650" s="16">
        <f>SUM(K650:T650)</f>
        <v/>
      </c>
      <c r="J650" s="16">
        <f>F650-(G650+H650+I650)</f>
        <v/>
      </c>
      <c r="K650" s="16" t="n">
        <v>457.15</v>
      </c>
      <c r="L650" s="16" t="n">
        <v>457.15</v>
      </c>
      <c r="M650" s="16" t="n">
        <v>457.15</v>
      </c>
      <c r="N650" s="16" t="n">
        <v>457.15</v>
      </c>
      <c r="O650" s="16" t="n">
        <v>457.15</v>
      </c>
      <c r="P650" s="16" t="n">
        <v>457.15</v>
      </c>
      <c r="Q650" s="16" t="n">
        <v>457.15</v>
      </c>
      <c r="R650" s="16" t="n">
        <v>457.15</v>
      </c>
      <c r="S650" s="16" t="n">
        <v>457.15</v>
      </c>
      <c r="T650" s="16" t="n">
        <v>457.15</v>
      </c>
      <c r="U650" s="16" t="n">
        <v>350</v>
      </c>
      <c r="V650" s="16" t="n">
        <v>0</v>
      </c>
      <c r="W650" s="16">
        <f>U650+V650</f>
        <v/>
      </c>
    </row>
    <row r="651">
      <c r="A651" s="3" t="inlineStr">
        <is>
          <t>CANON-202606-007634</t>
        </is>
      </c>
      <c r="B651" s="3" t="inlineStr">
        <is>
          <t>2026-06-05</t>
        </is>
      </c>
      <c r="C651" s="3" t="inlineStr">
        <is>
          <t>Callum Vandermeer</t>
        </is>
      </c>
      <c r="D651" s="3" t="inlineStr">
        <is>
          <t>MA</t>
        </is>
      </c>
      <c r="E651" s="14" t="n">
        <v>340000</v>
      </c>
      <c r="F651" s="14" t="n">
        <v>4599.62</v>
      </c>
      <c r="G651" s="14" t="n">
        <v>574.95</v>
      </c>
      <c r="H651" s="14" t="n">
        <v>574.95</v>
      </c>
      <c r="I651" s="14">
        <f>SUM(K651:T651)</f>
        <v/>
      </c>
      <c r="J651" s="14">
        <f>F651-(G651+H651+I651)</f>
        <v/>
      </c>
      <c r="K651" s="14" t="n">
        <v>344.97</v>
      </c>
      <c r="L651" s="14" t="n">
        <v>344.97</v>
      </c>
      <c r="M651" s="14" t="n">
        <v>344.97</v>
      </c>
      <c r="N651" s="14" t="n">
        <v>344.97</v>
      </c>
      <c r="O651" s="14" t="n">
        <v>344.97</v>
      </c>
      <c r="P651" s="14" t="n">
        <v>344.97</v>
      </c>
      <c r="Q651" s="14" t="n">
        <v>344.97</v>
      </c>
      <c r="R651" s="14" t="n">
        <v>344.97</v>
      </c>
      <c r="S651" s="14" t="n">
        <v>344.97</v>
      </c>
      <c r="T651" s="14" t="n">
        <v>344.97</v>
      </c>
      <c r="U651" s="14" t="n">
        <v>350</v>
      </c>
      <c r="V651" s="14" t="n">
        <v>0</v>
      </c>
      <c r="W651" s="14">
        <f>U651+V651</f>
        <v/>
      </c>
    </row>
    <row r="652">
      <c r="A652" s="15" t="inlineStr">
        <is>
          <t>CANON-202606-007635</t>
        </is>
      </c>
      <c r="B652" s="15" t="inlineStr">
        <is>
          <t>2026-06-30</t>
        </is>
      </c>
      <c r="C652" s="15" t="inlineStr">
        <is>
          <t>Ramona Chattopadhyay</t>
        </is>
      </c>
      <c r="D652" s="15" t="inlineStr">
        <is>
          <t>UT</t>
        </is>
      </c>
      <c r="E652" s="16" t="n">
        <v>835000</v>
      </c>
      <c r="F652" s="16" t="n">
        <v>6994.56</v>
      </c>
      <c r="G652" s="16" t="n">
        <v>874.3200000000001</v>
      </c>
      <c r="H652" s="16" t="n">
        <v>874.3200000000001</v>
      </c>
      <c r="I652" s="16">
        <f>SUM(K652:T652)</f>
        <v/>
      </c>
      <c r="J652" s="16">
        <f>F652-(G652+H652+I652)</f>
        <v/>
      </c>
      <c r="K652" s="16" t="n">
        <v>524.59</v>
      </c>
      <c r="L652" s="16" t="n">
        <v>524.59</v>
      </c>
      <c r="M652" s="16" t="n">
        <v>524.59</v>
      </c>
      <c r="N652" s="16" t="n">
        <v>524.59</v>
      </c>
      <c r="O652" s="16" t="n">
        <v>524.59</v>
      </c>
      <c r="P652" s="16" t="n">
        <v>524.59</v>
      </c>
      <c r="Q652" s="16" t="n">
        <v>524.59</v>
      </c>
      <c r="R652" s="16" t="n">
        <v>524.59</v>
      </c>
      <c r="S652" s="16" t="n">
        <v>524.59</v>
      </c>
      <c r="T652" s="16" t="n">
        <v>524.59</v>
      </c>
      <c r="U652" s="16" t="n">
        <v>350</v>
      </c>
      <c r="V652" s="16" t="n">
        <v>0</v>
      </c>
      <c r="W652" s="16">
        <f>U652+V652</f>
        <v/>
      </c>
    </row>
    <row r="653">
      <c r="A653" s="3" t="inlineStr">
        <is>
          <t>CANON-202606-007637</t>
        </is>
      </c>
      <c r="B653" s="3" t="inlineStr">
        <is>
          <t>2026-06-06</t>
        </is>
      </c>
      <c r="C653" s="3" t="inlineStr">
        <is>
          <t>Delphine Whitlock</t>
        </is>
      </c>
      <c r="D653" s="3" t="inlineStr">
        <is>
          <t>VT</t>
        </is>
      </c>
      <c r="E653" s="14" t="n">
        <v>790000</v>
      </c>
      <c r="F653" s="14" t="n">
        <v>9040.08</v>
      </c>
      <c r="G653" s="14" t="n">
        <v>1130.01</v>
      </c>
      <c r="H653" s="14" t="n">
        <v>1130.01</v>
      </c>
      <c r="I653" s="14">
        <f>SUM(K653:T653)</f>
        <v/>
      </c>
      <c r="J653" s="14">
        <f>F653-(G653+H653+I653)</f>
        <v/>
      </c>
      <c r="K653" s="14" t="n">
        <v>678.01</v>
      </c>
      <c r="L653" s="14" t="n">
        <v>678.01</v>
      </c>
      <c r="M653" s="14" t="n">
        <v>678.01</v>
      </c>
      <c r="N653" s="14" t="n">
        <v>678.01</v>
      </c>
      <c r="O653" s="14" t="n">
        <v>678.01</v>
      </c>
      <c r="P653" s="14" t="n">
        <v>678.01</v>
      </c>
      <c r="Q653" s="14" t="n">
        <v>678.01</v>
      </c>
      <c r="R653" s="14" t="n">
        <v>678.01</v>
      </c>
      <c r="S653" s="14" t="n">
        <v>678.01</v>
      </c>
      <c r="T653" s="14" t="n">
        <v>678.01</v>
      </c>
      <c r="U653" s="14" t="n">
        <v>350</v>
      </c>
      <c r="V653" s="14" t="n">
        <v>0</v>
      </c>
      <c r="W653" s="14">
        <f>U653+V653</f>
        <v/>
      </c>
    </row>
    <row r="654">
      <c r="A654" s="15" t="inlineStr">
        <is>
          <t>CANON-202606-007638</t>
        </is>
      </c>
      <c r="B654" s="15" t="inlineStr">
        <is>
          <t>2026-06-17</t>
        </is>
      </c>
      <c r="C654" s="15" t="inlineStr">
        <is>
          <t>Beatrix Montoya</t>
        </is>
      </c>
      <c r="D654" s="15" t="inlineStr">
        <is>
          <t>PA</t>
        </is>
      </c>
      <c r="E654" s="16" t="n">
        <v>515000</v>
      </c>
      <c r="F654" s="16" t="n">
        <v>4830.51</v>
      </c>
      <c r="G654" s="16" t="n">
        <v>603.8099999999999</v>
      </c>
      <c r="H654" s="16" t="n">
        <v>603.8099999999999</v>
      </c>
      <c r="I654" s="16">
        <f>SUM(K654:T654)</f>
        <v/>
      </c>
      <c r="J654" s="16">
        <f>F654-(G654+H654+I654)</f>
        <v/>
      </c>
      <c r="K654" s="16" t="n">
        <v>362.29</v>
      </c>
      <c r="L654" s="16" t="n">
        <v>362.29</v>
      </c>
      <c r="M654" s="16" t="n">
        <v>362.29</v>
      </c>
      <c r="N654" s="16" t="n">
        <v>362.29</v>
      </c>
      <c r="O654" s="16" t="n">
        <v>362.29</v>
      </c>
      <c r="P654" s="16" t="n">
        <v>362.29</v>
      </c>
      <c r="Q654" s="16" t="n">
        <v>362.29</v>
      </c>
      <c r="R654" s="16" t="n">
        <v>362.29</v>
      </c>
      <c r="S654" s="16" t="n">
        <v>362.29</v>
      </c>
      <c r="T654" s="16" t="n">
        <v>362.29</v>
      </c>
      <c r="U654" s="16" t="n">
        <v>350</v>
      </c>
      <c r="V654" s="16" t="n">
        <v>0</v>
      </c>
      <c r="W654" s="16">
        <f>U654+V654</f>
        <v/>
      </c>
    </row>
    <row r="655">
      <c r="A655" s="3" t="inlineStr">
        <is>
          <t>CANON-202606-007639</t>
        </is>
      </c>
      <c r="B655" s="3" t="inlineStr">
        <is>
          <t>2026-06-07</t>
        </is>
      </c>
      <c r="C655" s="3" t="inlineStr">
        <is>
          <t>Leopold Okonkwo</t>
        </is>
      </c>
      <c r="D655" s="3" t="inlineStr">
        <is>
          <t>MS</t>
        </is>
      </c>
      <c r="E655" s="14" t="n">
        <v>1020000</v>
      </c>
      <c r="F655" s="14" t="n">
        <v>11910.44</v>
      </c>
      <c r="G655" s="14" t="n">
        <v>1488.81</v>
      </c>
      <c r="H655" s="14" t="n">
        <v>1488.81</v>
      </c>
      <c r="I655" s="14">
        <f>SUM(K655:T655)</f>
        <v/>
      </c>
      <c r="J655" s="14">
        <f>F655-(G655+H655+I655)</f>
        <v/>
      </c>
      <c r="K655" s="14" t="n">
        <v>893.28</v>
      </c>
      <c r="L655" s="14" t="n">
        <v>893.28</v>
      </c>
      <c r="M655" s="14" t="n">
        <v>893.28</v>
      </c>
      <c r="N655" s="14" t="n">
        <v>893.28</v>
      </c>
      <c r="O655" s="14" t="n">
        <v>893.28</v>
      </c>
      <c r="P655" s="14" t="n">
        <v>893.28</v>
      </c>
      <c r="Q655" s="14" t="n">
        <v>893.28</v>
      </c>
      <c r="R655" s="14" t="n">
        <v>893.28</v>
      </c>
      <c r="S655" s="14" t="n">
        <v>893.28</v>
      </c>
      <c r="T655" s="14" t="n">
        <v>893.28</v>
      </c>
      <c r="U655" s="14" t="n">
        <v>350</v>
      </c>
      <c r="V655" s="14" t="n">
        <v>250</v>
      </c>
      <c r="W655" s="14">
        <f>U655+V655</f>
        <v/>
      </c>
    </row>
    <row r="656">
      <c r="A656" s="9" t="inlineStr">
        <is>
          <t>TOTAL</t>
        </is>
      </c>
      <c r="E656" s="10">
        <f>SUM(E5:E655)</f>
        <v/>
      </c>
      <c r="F656" s="10">
        <f>SUM(F5:F655)</f>
        <v/>
      </c>
      <c r="G656" s="10">
        <f>SUM(G5:G655)</f>
        <v/>
      </c>
      <c r="H656" s="10">
        <f>SUM(H5:H655)</f>
        <v/>
      </c>
      <c r="I656" s="10">
        <f>SUM(I5:I655)</f>
        <v/>
      </c>
      <c r="J656" s="10">
        <f>SUM(J5:J655)</f>
        <v/>
      </c>
      <c r="K656" s="10">
        <f>SUM(K5:K655)</f>
        <v/>
      </c>
      <c r="L656" s="10">
        <f>SUM(L5:L655)</f>
        <v/>
      </c>
      <c r="M656" s="10">
        <f>SUM(M5:M655)</f>
        <v/>
      </c>
      <c r="N656" s="10">
        <f>SUM(N5:N655)</f>
        <v/>
      </c>
      <c r="O656" s="10">
        <f>SUM(O5:O655)</f>
        <v/>
      </c>
      <c r="P656" s="10">
        <f>SUM(P5:P655)</f>
        <v/>
      </c>
      <c r="Q656" s="10">
        <f>SUM(Q5:Q655)</f>
        <v/>
      </c>
      <c r="R656" s="10">
        <f>SUM(R5:R655)</f>
        <v/>
      </c>
      <c r="S656" s="10">
        <f>SUM(S5:S655)</f>
        <v/>
      </c>
      <c r="T656" s="10">
        <f>SUM(T5:T655)</f>
        <v/>
      </c>
      <c r="U656" s="10">
        <f>SUM(U5:U655)</f>
        <v/>
      </c>
      <c r="V656" s="10">
        <f>SUM(V5:V655)</f>
        <v/>
      </c>
      <c r="W656" s="10">
        <f>SUM(W5:W655)</f>
        <v/>
      </c>
    </row>
    <row r="657">
      <c r="A657" s="5" t="inlineStr">
        <is>
          <t>Foot check: Premium − (B+T+M+Resid)</t>
        </is>
      </c>
      <c r="F657" s="17">
        <f>F656-(G656+H656+I656+J656)</f>
        <v/>
      </c>
    </row>
    <row r="658">
      <c r="A658" s="5" t="inlineStr">
        <is>
          <t>Foot check: Markets − Σ(10 syndicates)</t>
        </is>
      </c>
      <c r="I658" s="17">
        <f>I656-SUM(K656:T656)</f>
        <v/>
      </c>
    </row>
  </sheetData>
  <autoFilter ref="A4:W655"/>
  <mergeCells count="2">
    <mergeCell ref="A2:W2"/>
    <mergeCell ref="A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W5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0" customWidth="1" min="3" max="3"/>
    <col width="6" customWidth="1" min="4" max="4"/>
    <col width="14" customWidth="1" min="5" max="5"/>
    <col width="15" customWidth="1" min="6" max="6"/>
    <col width="13" customWidth="1" min="7" max="7"/>
    <col width="13" customWidth="1" min="8" max="8"/>
    <col width="14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  <col width="11" customWidth="1" min="23" max="23"/>
  </cols>
  <sheetData>
    <row r="1" ht="22" customHeight="1">
      <c r="A1" s="4" t="inlineStr">
        <is>
          <t>Underwriting BDX — 2026-07  (Bound book only)</t>
        </is>
      </c>
    </row>
    <row r="2">
      <c r="A2" s="5" t="inlineStr">
        <is>
          <t>Indicative/declined premium excluded. Markets 75% = SUM of the ten syndicate columns (7.5% each). Residual = Premium − (Broker+Torque+Markets) so the row foots exactly.</t>
        </is>
      </c>
    </row>
    <row r="4">
      <c r="A4" s="6" t="inlineStr">
        <is>
          <t>Policy Number</t>
        </is>
      </c>
      <c r="B4" s="6" t="inlineStr">
        <is>
          <t>Effective Date</t>
        </is>
      </c>
      <c r="C4" s="6" t="inlineStr">
        <is>
          <t>Insured</t>
        </is>
      </c>
      <c r="D4" s="6" t="inlineStr">
        <is>
          <t>State</t>
        </is>
      </c>
      <c r="E4" s="6" t="inlineStr">
        <is>
          <t>Agreed Value</t>
        </is>
      </c>
      <c r="F4" s="6" t="inlineStr">
        <is>
          <t>Bound Premium</t>
        </is>
      </c>
      <c r="G4" s="6" t="inlineStr">
        <is>
          <t>Broker 12.5%</t>
        </is>
      </c>
      <c r="H4" s="6" t="inlineStr">
        <is>
          <t>Torque 12.5%</t>
        </is>
      </c>
      <c r="I4" s="6" t="inlineStr">
        <is>
          <t>Markets 75%</t>
        </is>
      </c>
      <c r="J4" s="6" t="inlineStr">
        <is>
          <t>Rounding Residual</t>
        </is>
      </c>
      <c r="K4" s="6" t="inlineStr">
        <is>
          <t>Beazley</t>
        </is>
      </c>
      <c r="L4" s="6" t="inlineStr">
        <is>
          <t>Hiscox</t>
        </is>
      </c>
      <c r="M4" s="6" t="inlineStr">
        <is>
          <t>Chaucer</t>
        </is>
      </c>
      <c r="N4" s="6" t="inlineStr">
        <is>
          <t>Ark</t>
        </is>
      </c>
      <c r="O4" s="6" t="inlineStr">
        <is>
          <t>Brit</t>
        </is>
      </c>
      <c r="P4" s="6" t="inlineStr">
        <is>
          <t>Canopius</t>
        </is>
      </c>
      <c r="Q4" s="6" t="inlineStr">
        <is>
          <t>Apollo</t>
        </is>
      </c>
      <c r="R4" s="6" t="inlineStr">
        <is>
          <t>Antares</t>
        </is>
      </c>
      <c r="S4" s="6" t="inlineStr">
        <is>
          <t>MS Amlin</t>
        </is>
      </c>
      <c r="T4" s="6" t="inlineStr">
        <is>
          <t>Ascot</t>
        </is>
      </c>
      <c r="U4" s="6" t="inlineStr">
        <is>
          <t>Policy Fee</t>
        </is>
      </c>
      <c r="V4" s="6" t="inlineStr">
        <is>
          <t>Inspection Fee</t>
        </is>
      </c>
      <c r="W4" s="6" t="inlineStr">
        <is>
          <t>Fee Total</t>
        </is>
      </c>
    </row>
    <row r="5">
      <c r="A5" s="3" t="inlineStr">
        <is>
          <t>CANON-202607-007640</t>
        </is>
      </c>
      <c r="B5" s="3" t="inlineStr">
        <is>
          <t>2026-07-25</t>
        </is>
      </c>
      <c r="C5" s="3" t="inlineStr">
        <is>
          <t>Everett Bellandi</t>
        </is>
      </c>
      <c r="D5" s="3" t="inlineStr">
        <is>
          <t>NM</t>
        </is>
      </c>
      <c r="E5" s="14" t="n">
        <v>765000</v>
      </c>
      <c r="F5" s="14" t="n">
        <v>9138.889999999999</v>
      </c>
      <c r="G5" s="14" t="n">
        <v>1142.36</v>
      </c>
      <c r="H5" s="14" t="n">
        <v>1142.36</v>
      </c>
      <c r="I5" s="14">
        <f>SUM(K5:T5)</f>
        <v/>
      </c>
      <c r="J5" s="14">
        <f>F5-(G5+H5+I5)</f>
        <v/>
      </c>
      <c r="K5" s="14" t="n">
        <v>685.42</v>
      </c>
      <c r="L5" s="14" t="n">
        <v>685.42</v>
      </c>
      <c r="M5" s="14" t="n">
        <v>685.42</v>
      </c>
      <c r="N5" s="14" t="n">
        <v>685.42</v>
      </c>
      <c r="O5" s="14" t="n">
        <v>685.42</v>
      </c>
      <c r="P5" s="14" t="n">
        <v>685.42</v>
      </c>
      <c r="Q5" s="14" t="n">
        <v>685.42</v>
      </c>
      <c r="R5" s="14" t="n">
        <v>685.42</v>
      </c>
      <c r="S5" s="14" t="n">
        <v>685.42</v>
      </c>
      <c r="T5" s="14" t="n">
        <v>685.42</v>
      </c>
      <c r="U5" s="14" t="n">
        <v>350</v>
      </c>
      <c r="V5" s="14" t="n">
        <v>0</v>
      </c>
      <c r="W5" s="14">
        <f>U5+V5</f>
        <v/>
      </c>
    </row>
    <row r="6">
      <c r="A6" s="15" t="inlineStr">
        <is>
          <t>CANON-202607-007647</t>
        </is>
      </c>
      <c r="B6" s="15" t="inlineStr">
        <is>
          <t>2026-07-11</t>
        </is>
      </c>
      <c r="C6" s="15" t="inlineStr">
        <is>
          <t>Fenwick Fairweather</t>
        </is>
      </c>
      <c r="D6" s="15" t="inlineStr">
        <is>
          <t>HI</t>
        </is>
      </c>
      <c r="E6" s="16" t="n">
        <v>830000</v>
      </c>
      <c r="F6" s="16" t="n">
        <v>14718.17</v>
      </c>
      <c r="G6" s="16" t="n">
        <v>1839.77</v>
      </c>
      <c r="H6" s="16" t="n">
        <v>1839.77</v>
      </c>
      <c r="I6" s="16">
        <f>SUM(K6:T6)</f>
        <v/>
      </c>
      <c r="J6" s="16">
        <f>F6-(G6+H6+I6)</f>
        <v/>
      </c>
      <c r="K6" s="16" t="n">
        <v>1103.86</v>
      </c>
      <c r="L6" s="16" t="n">
        <v>1103.86</v>
      </c>
      <c r="M6" s="16" t="n">
        <v>1103.86</v>
      </c>
      <c r="N6" s="16" t="n">
        <v>1103.86</v>
      </c>
      <c r="O6" s="16" t="n">
        <v>1103.86</v>
      </c>
      <c r="P6" s="16" t="n">
        <v>1103.86</v>
      </c>
      <c r="Q6" s="16" t="n">
        <v>1103.86</v>
      </c>
      <c r="R6" s="16" t="n">
        <v>1103.86</v>
      </c>
      <c r="S6" s="16" t="n">
        <v>1103.86</v>
      </c>
      <c r="T6" s="16" t="n">
        <v>1103.86</v>
      </c>
      <c r="U6" s="16" t="n">
        <v>350</v>
      </c>
      <c r="V6" s="16" t="n">
        <v>0</v>
      </c>
      <c r="W6" s="16">
        <f>U6+V6</f>
        <v/>
      </c>
    </row>
    <row r="7">
      <c r="A7" s="3" t="inlineStr">
        <is>
          <t>CANON-202607-007648</t>
        </is>
      </c>
      <c r="B7" s="3" t="inlineStr">
        <is>
          <t>2026-07-29</t>
        </is>
      </c>
      <c r="C7" s="3" t="inlineStr">
        <is>
          <t>Ottilie Farkas</t>
        </is>
      </c>
      <c r="D7" s="3" t="inlineStr">
        <is>
          <t>NY</t>
        </is>
      </c>
      <c r="E7" s="14" t="n">
        <v>855000</v>
      </c>
      <c r="F7" s="14" t="n">
        <v>14928.23</v>
      </c>
      <c r="G7" s="14" t="n">
        <v>1866.03</v>
      </c>
      <c r="H7" s="14" t="n">
        <v>1866.03</v>
      </c>
      <c r="I7" s="14">
        <f>SUM(K7:T7)</f>
        <v/>
      </c>
      <c r="J7" s="14">
        <f>F7-(G7+H7+I7)</f>
        <v/>
      </c>
      <c r="K7" s="14" t="n">
        <v>1119.62</v>
      </c>
      <c r="L7" s="14" t="n">
        <v>1119.62</v>
      </c>
      <c r="M7" s="14" t="n">
        <v>1119.62</v>
      </c>
      <c r="N7" s="14" t="n">
        <v>1119.62</v>
      </c>
      <c r="O7" s="14" t="n">
        <v>1119.62</v>
      </c>
      <c r="P7" s="14" t="n">
        <v>1119.62</v>
      </c>
      <c r="Q7" s="14" t="n">
        <v>1119.62</v>
      </c>
      <c r="R7" s="14" t="n">
        <v>1119.62</v>
      </c>
      <c r="S7" s="14" t="n">
        <v>1119.62</v>
      </c>
      <c r="T7" s="14" t="n">
        <v>1119.62</v>
      </c>
      <c r="U7" s="14" t="n">
        <v>350</v>
      </c>
      <c r="V7" s="14" t="n">
        <v>0</v>
      </c>
      <c r="W7" s="14">
        <f>U7+V7</f>
        <v/>
      </c>
    </row>
    <row r="8">
      <c r="A8" s="15" t="inlineStr">
        <is>
          <t>CANON-202607-007649</t>
        </is>
      </c>
      <c r="B8" s="15" t="inlineStr">
        <is>
          <t>2026-07-09</t>
        </is>
      </c>
      <c r="C8" s="15" t="inlineStr">
        <is>
          <t>Horace Castellanos</t>
        </is>
      </c>
      <c r="D8" s="15" t="inlineStr">
        <is>
          <t>KY</t>
        </is>
      </c>
      <c r="E8" s="16" t="n">
        <v>735000</v>
      </c>
      <c r="F8" s="16" t="n">
        <v>11030.5</v>
      </c>
      <c r="G8" s="16" t="n">
        <v>1378.81</v>
      </c>
      <c r="H8" s="16" t="n">
        <v>1378.81</v>
      </c>
      <c r="I8" s="16">
        <f>SUM(K8:T8)</f>
        <v/>
      </c>
      <c r="J8" s="16">
        <f>F8-(G8+H8+I8)</f>
        <v/>
      </c>
      <c r="K8" s="16" t="n">
        <v>827.29</v>
      </c>
      <c r="L8" s="16" t="n">
        <v>827.29</v>
      </c>
      <c r="M8" s="16" t="n">
        <v>827.29</v>
      </c>
      <c r="N8" s="16" t="n">
        <v>827.29</v>
      </c>
      <c r="O8" s="16" t="n">
        <v>827.29</v>
      </c>
      <c r="P8" s="16" t="n">
        <v>827.29</v>
      </c>
      <c r="Q8" s="16" t="n">
        <v>827.29</v>
      </c>
      <c r="R8" s="16" t="n">
        <v>827.29</v>
      </c>
      <c r="S8" s="16" t="n">
        <v>827.29</v>
      </c>
      <c r="T8" s="16" t="n">
        <v>827.29</v>
      </c>
      <c r="U8" s="16" t="n">
        <v>350</v>
      </c>
      <c r="V8" s="16" t="n">
        <v>0</v>
      </c>
      <c r="W8" s="16">
        <f>U8+V8</f>
        <v/>
      </c>
    </row>
    <row r="9">
      <c r="A9" s="3" t="inlineStr">
        <is>
          <t>CANON-202607-007651</t>
        </is>
      </c>
      <c r="B9" s="3" t="inlineStr">
        <is>
          <t>2026-07-08</t>
        </is>
      </c>
      <c r="C9" s="3" t="inlineStr">
        <is>
          <t>Ottilie Merriweather</t>
        </is>
      </c>
      <c r="D9" s="3" t="inlineStr">
        <is>
          <t>MS</t>
        </is>
      </c>
      <c r="E9" s="14" t="n">
        <v>740000</v>
      </c>
      <c r="F9" s="14" t="n">
        <v>8218.66</v>
      </c>
      <c r="G9" s="14" t="n">
        <v>1027.33</v>
      </c>
      <c r="H9" s="14" t="n">
        <v>1027.33</v>
      </c>
      <c r="I9" s="14">
        <f>SUM(K9:T9)</f>
        <v/>
      </c>
      <c r="J9" s="14">
        <f>F9-(G9+H9+I9)</f>
        <v/>
      </c>
      <c r="K9" s="14" t="n">
        <v>616.4</v>
      </c>
      <c r="L9" s="14" t="n">
        <v>616.4</v>
      </c>
      <c r="M9" s="14" t="n">
        <v>616.4</v>
      </c>
      <c r="N9" s="14" t="n">
        <v>616.4</v>
      </c>
      <c r="O9" s="14" t="n">
        <v>616.4</v>
      </c>
      <c r="P9" s="14" t="n">
        <v>616.4</v>
      </c>
      <c r="Q9" s="14" t="n">
        <v>616.4</v>
      </c>
      <c r="R9" s="14" t="n">
        <v>616.4</v>
      </c>
      <c r="S9" s="14" t="n">
        <v>616.4</v>
      </c>
      <c r="T9" s="14" t="n">
        <v>616.4</v>
      </c>
      <c r="U9" s="14" t="n">
        <v>350</v>
      </c>
      <c r="V9" s="14" t="n">
        <v>0</v>
      </c>
      <c r="W9" s="14">
        <f>U9+V9</f>
        <v/>
      </c>
    </row>
    <row r="10">
      <c r="A10" s="15" t="inlineStr">
        <is>
          <t>CANON-202607-007652</t>
        </is>
      </c>
      <c r="B10" s="15" t="inlineStr">
        <is>
          <t>2026-07-08</t>
        </is>
      </c>
      <c r="C10" s="15" t="inlineStr">
        <is>
          <t>Ottilie Fairweather</t>
        </is>
      </c>
      <c r="D10" s="15" t="inlineStr">
        <is>
          <t>DE</t>
        </is>
      </c>
      <c r="E10" s="16" t="n">
        <v>555000</v>
      </c>
      <c r="F10" s="16" t="n">
        <v>6474.78</v>
      </c>
      <c r="G10" s="16" t="n">
        <v>809.35</v>
      </c>
      <c r="H10" s="16" t="n">
        <v>809.35</v>
      </c>
      <c r="I10" s="16">
        <f>SUM(K10:T10)</f>
        <v/>
      </c>
      <c r="J10" s="16">
        <f>F10-(G10+H10+I10)</f>
        <v/>
      </c>
      <c r="K10" s="16" t="n">
        <v>485.61</v>
      </c>
      <c r="L10" s="16" t="n">
        <v>485.61</v>
      </c>
      <c r="M10" s="16" t="n">
        <v>485.61</v>
      </c>
      <c r="N10" s="16" t="n">
        <v>485.61</v>
      </c>
      <c r="O10" s="16" t="n">
        <v>485.61</v>
      </c>
      <c r="P10" s="16" t="n">
        <v>485.61</v>
      </c>
      <c r="Q10" s="16" t="n">
        <v>485.61</v>
      </c>
      <c r="R10" s="16" t="n">
        <v>485.61</v>
      </c>
      <c r="S10" s="16" t="n">
        <v>485.61</v>
      </c>
      <c r="T10" s="16" t="n">
        <v>485.61</v>
      </c>
      <c r="U10" s="16" t="n">
        <v>350</v>
      </c>
      <c r="V10" s="16" t="n">
        <v>0</v>
      </c>
      <c r="W10" s="16">
        <f>U10+V10</f>
        <v/>
      </c>
    </row>
    <row r="11">
      <c r="A11" s="3" t="inlineStr">
        <is>
          <t>CANON-202607-007653</t>
        </is>
      </c>
      <c r="B11" s="3" t="inlineStr">
        <is>
          <t>2026-07-25</t>
        </is>
      </c>
      <c r="C11" s="3" t="inlineStr">
        <is>
          <t>Beatrix Kingsford</t>
        </is>
      </c>
      <c r="D11" s="3" t="inlineStr">
        <is>
          <t>OH</t>
        </is>
      </c>
      <c r="E11" s="14" t="n">
        <v>1320000</v>
      </c>
      <c r="F11" s="14" t="n">
        <v>14489.73</v>
      </c>
      <c r="G11" s="14" t="n">
        <v>1811.22</v>
      </c>
      <c r="H11" s="14" t="n">
        <v>1811.22</v>
      </c>
      <c r="I11" s="14">
        <f>SUM(K11:T11)</f>
        <v/>
      </c>
      <c r="J11" s="14">
        <f>F11-(G11+H11+I11)</f>
        <v/>
      </c>
      <c r="K11" s="14" t="n">
        <v>1086.73</v>
      </c>
      <c r="L11" s="14" t="n">
        <v>1086.73</v>
      </c>
      <c r="M11" s="14" t="n">
        <v>1086.73</v>
      </c>
      <c r="N11" s="14" t="n">
        <v>1086.73</v>
      </c>
      <c r="O11" s="14" t="n">
        <v>1086.73</v>
      </c>
      <c r="P11" s="14" t="n">
        <v>1086.73</v>
      </c>
      <c r="Q11" s="14" t="n">
        <v>1086.73</v>
      </c>
      <c r="R11" s="14" t="n">
        <v>1086.73</v>
      </c>
      <c r="S11" s="14" t="n">
        <v>1086.73</v>
      </c>
      <c r="T11" s="14" t="n">
        <v>1086.73</v>
      </c>
      <c r="U11" s="14" t="n">
        <v>350</v>
      </c>
      <c r="V11" s="14" t="n">
        <v>250</v>
      </c>
      <c r="W11" s="14">
        <f>U11+V11</f>
        <v/>
      </c>
    </row>
    <row r="12">
      <c r="A12" s="15" t="inlineStr">
        <is>
          <t>CANON-202607-007654</t>
        </is>
      </c>
      <c r="B12" s="15" t="inlineStr">
        <is>
          <t>2026-07-09</t>
        </is>
      </c>
      <c r="C12" s="15" t="inlineStr">
        <is>
          <t>Fenwick Nakashima</t>
        </is>
      </c>
      <c r="D12" s="15" t="inlineStr">
        <is>
          <t>MT</t>
        </is>
      </c>
      <c r="E12" s="16" t="n">
        <v>920000</v>
      </c>
      <c r="F12" s="16" t="n">
        <v>11670.87</v>
      </c>
      <c r="G12" s="16" t="n">
        <v>1458.86</v>
      </c>
      <c r="H12" s="16" t="n">
        <v>1458.86</v>
      </c>
      <c r="I12" s="16">
        <f>SUM(K12:T12)</f>
        <v/>
      </c>
      <c r="J12" s="16">
        <f>F12-(G12+H12+I12)</f>
        <v/>
      </c>
      <c r="K12" s="16" t="n">
        <v>875.3200000000001</v>
      </c>
      <c r="L12" s="16" t="n">
        <v>875.3200000000001</v>
      </c>
      <c r="M12" s="16" t="n">
        <v>875.3200000000001</v>
      </c>
      <c r="N12" s="16" t="n">
        <v>875.3200000000001</v>
      </c>
      <c r="O12" s="16" t="n">
        <v>875.3200000000001</v>
      </c>
      <c r="P12" s="16" t="n">
        <v>875.3200000000001</v>
      </c>
      <c r="Q12" s="16" t="n">
        <v>875.3200000000001</v>
      </c>
      <c r="R12" s="16" t="n">
        <v>875.3200000000001</v>
      </c>
      <c r="S12" s="16" t="n">
        <v>875.3200000000001</v>
      </c>
      <c r="T12" s="16" t="n">
        <v>875.3200000000001</v>
      </c>
      <c r="U12" s="16" t="n">
        <v>350</v>
      </c>
      <c r="V12" s="16" t="n">
        <v>0</v>
      </c>
      <c r="W12" s="16">
        <f>U12+V12</f>
        <v/>
      </c>
    </row>
    <row r="13">
      <c r="A13" s="3" t="inlineStr">
        <is>
          <t>CANON-202607-007655</t>
        </is>
      </c>
      <c r="B13" s="3" t="inlineStr">
        <is>
          <t>2026-07-22</t>
        </is>
      </c>
      <c r="C13" s="3" t="inlineStr">
        <is>
          <t>Thaddeus Nakashima</t>
        </is>
      </c>
      <c r="D13" s="3" t="inlineStr">
        <is>
          <t>PA</t>
        </is>
      </c>
      <c r="E13" s="14" t="n">
        <v>525000</v>
      </c>
      <c r="F13" s="14" t="n">
        <v>4899.84</v>
      </c>
      <c r="G13" s="14" t="n">
        <v>612.48</v>
      </c>
      <c r="H13" s="14" t="n">
        <v>612.48</v>
      </c>
      <c r="I13" s="14">
        <f>SUM(K13:T13)</f>
        <v/>
      </c>
      <c r="J13" s="14">
        <f>F13-(G13+H13+I13)</f>
        <v/>
      </c>
      <c r="K13" s="14" t="n">
        <v>367.49</v>
      </c>
      <c r="L13" s="14" t="n">
        <v>367.49</v>
      </c>
      <c r="M13" s="14" t="n">
        <v>367.49</v>
      </c>
      <c r="N13" s="14" t="n">
        <v>367.49</v>
      </c>
      <c r="O13" s="14" t="n">
        <v>367.49</v>
      </c>
      <c r="P13" s="14" t="n">
        <v>367.49</v>
      </c>
      <c r="Q13" s="14" t="n">
        <v>367.49</v>
      </c>
      <c r="R13" s="14" t="n">
        <v>367.49</v>
      </c>
      <c r="S13" s="14" t="n">
        <v>367.49</v>
      </c>
      <c r="T13" s="14" t="n">
        <v>367.49</v>
      </c>
      <c r="U13" s="14" t="n">
        <v>350</v>
      </c>
      <c r="V13" s="14" t="n">
        <v>0</v>
      </c>
      <c r="W13" s="14">
        <f>U13+V13</f>
        <v/>
      </c>
    </row>
    <row r="14">
      <c r="A14" s="15" t="inlineStr">
        <is>
          <t>CANON-202607-007656</t>
        </is>
      </c>
      <c r="B14" s="15" t="inlineStr">
        <is>
          <t>2026-07-26</t>
        </is>
      </c>
      <c r="C14" s="15" t="inlineStr">
        <is>
          <t>Callum Blackwood</t>
        </is>
      </c>
      <c r="D14" s="15" t="inlineStr">
        <is>
          <t>NH</t>
        </is>
      </c>
      <c r="E14" s="16" t="n">
        <v>480000</v>
      </c>
      <c r="F14" s="16" t="n">
        <v>3440.53</v>
      </c>
      <c r="G14" s="16" t="n">
        <v>430.07</v>
      </c>
      <c r="H14" s="16" t="n">
        <v>430.07</v>
      </c>
      <c r="I14" s="16">
        <f>SUM(K14:T14)</f>
        <v/>
      </c>
      <c r="J14" s="16">
        <f>F14-(G14+H14+I14)</f>
        <v/>
      </c>
      <c r="K14" s="16" t="n">
        <v>258.04</v>
      </c>
      <c r="L14" s="16" t="n">
        <v>258.04</v>
      </c>
      <c r="M14" s="16" t="n">
        <v>258.04</v>
      </c>
      <c r="N14" s="16" t="n">
        <v>258.04</v>
      </c>
      <c r="O14" s="16" t="n">
        <v>258.04</v>
      </c>
      <c r="P14" s="16" t="n">
        <v>258.04</v>
      </c>
      <c r="Q14" s="16" t="n">
        <v>258.04</v>
      </c>
      <c r="R14" s="16" t="n">
        <v>258.04</v>
      </c>
      <c r="S14" s="16" t="n">
        <v>258.04</v>
      </c>
      <c r="T14" s="16" t="n">
        <v>258.04</v>
      </c>
      <c r="U14" s="16" t="n">
        <v>350</v>
      </c>
      <c r="V14" s="16" t="n">
        <v>0</v>
      </c>
      <c r="W14" s="16">
        <f>U14+V14</f>
        <v/>
      </c>
    </row>
    <row r="15">
      <c r="A15" s="3" t="inlineStr">
        <is>
          <t>CANON-202607-007657</t>
        </is>
      </c>
      <c r="B15" s="3" t="inlineStr">
        <is>
          <t>2026-07-14</t>
        </is>
      </c>
      <c r="C15" s="3" t="inlineStr">
        <is>
          <t>Fenwick Pennington</t>
        </is>
      </c>
      <c r="D15" s="3" t="inlineStr">
        <is>
          <t>OH</t>
        </is>
      </c>
      <c r="E15" s="14" t="n">
        <v>1265000</v>
      </c>
      <c r="F15" s="14" t="n">
        <v>17168.13</v>
      </c>
      <c r="G15" s="14" t="n">
        <v>2146.02</v>
      </c>
      <c r="H15" s="14" t="n">
        <v>2146.02</v>
      </c>
      <c r="I15" s="14">
        <f>SUM(K15:T15)</f>
        <v/>
      </c>
      <c r="J15" s="14">
        <f>F15-(G15+H15+I15)</f>
        <v/>
      </c>
      <c r="K15" s="14" t="n">
        <v>1287.61</v>
      </c>
      <c r="L15" s="14" t="n">
        <v>1287.61</v>
      </c>
      <c r="M15" s="14" t="n">
        <v>1287.61</v>
      </c>
      <c r="N15" s="14" t="n">
        <v>1287.61</v>
      </c>
      <c r="O15" s="14" t="n">
        <v>1287.61</v>
      </c>
      <c r="P15" s="14" t="n">
        <v>1287.61</v>
      </c>
      <c r="Q15" s="14" t="n">
        <v>1287.61</v>
      </c>
      <c r="R15" s="14" t="n">
        <v>1287.61</v>
      </c>
      <c r="S15" s="14" t="n">
        <v>1287.61</v>
      </c>
      <c r="T15" s="14" t="n">
        <v>1287.61</v>
      </c>
      <c r="U15" s="14" t="n">
        <v>350</v>
      </c>
      <c r="V15" s="14" t="n">
        <v>250</v>
      </c>
      <c r="W15" s="14">
        <f>U15+V15</f>
        <v/>
      </c>
    </row>
    <row r="16">
      <c r="A16" s="15" t="inlineStr">
        <is>
          <t>CANON-202607-007658</t>
        </is>
      </c>
      <c r="B16" s="15" t="inlineStr">
        <is>
          <t>2026-07-30</t>
        </is>
      </c>
      <c r="C16" s="15" t="inlineStr">
        <is>
          <t>Ingrid Vasquez</t>
        </is>
      </c>
      <c r="D16" s="15" t="inlineStr">
        <is>
          <t>MO</t>
        </is>
      </c>
      <c r="E16" s="16" t="n">
        <v>1055000</v>
      </c>
      <c r="F16" s="16" t="n">
        <v>8831.41</v>
      </c>
      <c r="G16" s="16" t="n">
        <v>1103.93</v>
      </c>
      <c r="H16" s="16" t="n">
        <v>1103.93</v>
      </c>
      <c r="I16" s="16">
        <f>SUM(K16:T16)</f>
        <v/>
      </c>
      <c r="J16" s="16">
        <f>F16-(G16+H16+I16)</f>
        <v/>
      </c>
      <c r="K16" s="16" t="n">
        <v>662.36</v>
      </c>
      <c r="L16" s="16" t="n">
        <v>662.36</v>
      </c>
      <c r="M16" s="16" t="n">
        <v>662.36</v>
      </c>
      <c r="N16" s="16" t="n">
        <v>662.36</v>
      </c>
      <c r="O16" s="16" t="n">
        <v>662.36</v>
      </c>
      <c r="P16" s="16" t="n">
        <v>662.36</v>
      </c>
      <c r="Q16" s="16" t="n">
        <v>662.36</v>
      </c>
      <c r="R16" s="16" t="n">
        <v>662.36</v>
      </c>
      <c r="S16" s="16" t="n">
        <v>662.36</v>
      </c>
      <c r="T16" s="16" t="n">
        <v>662.36</v>
      </c>
      <c r="U16" s="16" t="n">
        <v>350</v>
      </c>
      <c r="V16" s="16" t="n">
        <v>250</v>
      </c>
      <c r="W16" s="16">
        <f>U16+V16</f>
        <v/>
      </c>
    </row>
    <row r="17">
      <c r="A17" s="3" t="inlineStr">
        <is>
          <t>CANON-202607-007659</t>
        </is>
      </c>
      <c r="B17" s="3" t="inlineStr">
        <is>
          <t>2026-07-23</t>
        </is>
      </c>
      <c r="C17" s="3" t="inlineStr">
        <is>
          <t>Cassius Blackwood</t>
        </is>
      </c>
      <c r="D17" s="3" t="inlineStr">
        <is>
          <t>CT</t>
        </is>
      </c>
      <c r="E17" s="14" t="n">
        <v>870000</v>
      </c>
      <c r="F17" s="14" t="n">
        <v>13291.37</v>
      </c>
      <c r="G17" s="14" t="n">
        <v>1661.42</v>
      </c>
      <c r="H17" s="14" t="n">
        <v>1661.42</v>
      </c>
      <c r="I17" s="14">
        <f>SUM(K17:T17)</f>
        <v/>
      </c>
      <c r="J17" s="14">
        <f>F17-(G17+H17+I17)</f>
        <v/>
      </c>
      <c r="K17" s="14" t="n">
        <v>996.85</v>
      </c>
      <c r="L17" s="14" t="n">
        <v>996.85</v>
      </c>
      <c r="M17" s="14" t="n">
        <v>996.85</v>
      </c>
      <c r="N17" s="14" t="n">
        <v>996.85</v>
      </c>
      <c r="O17" s="14" t="n">
        <v>996.85</v>
      </c>
      <c r="P17" s="14" t="n">
        <v>996.85</v>
      </c>
      <c r="Q17" s="14" t="n">
        <v>996.85</v>
      </c>
      <c r="R17" s="14" t="n">
        <v>996.85</v>
      </c>
      <c r="S17" s="14" t="n">
        <v>996.85</v>
      </c>
      <c r="T17" s="14" t="n">
        <v>996.85</v>
      </c>
      <c r="U17" s="14" t="n">
        <v>350</v>
      </c>
      <c r="V17" s="14" t="n">
        <v>0</v>
      </c>
      <c r="W17" s="14">
        <f>U17+V17</f>
        <v/>
      </c>
    </row>
    <row r="18">
      <c r="A18" s="15" t="inlineStr">
        <is>
          <t>CANON-202607-007660</t>
        </is>
      </c>
      <c r="B18" s="15" t="inlineStr">
        <is>
          <t>2026-07-22</t>
        </is>
      </c>
      <c r="C18" s="15" t="inlineStr">
        <is>
          <t>Callum Pennington</t>
        </is>
      </c>
      <c r="D18" s="15" t="inlineStr">
        <is>
          <t>DE</t>
        </is>
      </c>
      <c r="E18" s="16" t="n">
        <v>655000</v>
      </c>
      <c r="F18" s="16" t="n">
        <v>7641.41</v>
      </c>
      <c r="G18" s="16" t="n">
        <v>955.1799999999999</v>
      </c>
      <c r="H18" s="16" t="n">
        <v>955.1799999999999</v>
      </c>
      <c r="I18" s="16">
        <f>SUM(K18:T18)</f>
        <v/>
      </c>
      <c r="J18" s="16">
        <f>F18-(G18+H18+I18)</f>
        <v/>
      </c>
      <c r="K18" s="16" t="n">
        <v>573.11</v>
      </c>
      <c r="L18" s="16" t="n">
        <v>573.11</v>
      </c>
      <c r="M18" s="16" t="n">
        <v>573.11</v>
      </c>
      <c r="N18" s="16" t="n">
        <v>573.11</v>
      </c>
      <c r="O18" s="16" t="n">
        <v>573.11</v>
      </c>
      <c r="P18" s="16" t="n">
        <v>573.11</v>
      </c>
      <c r="Q18" s="16" t="n">
        <v>573.11</v>
      </c>
      <c r="R18" s="16" t="n">
        <v>573.11</v>
      </c>
      <c r="S18" s="16" t="n">
        <v>573.11</v>
      </c>
      <c r="T18" s="16" t="n">
        <v>573.11</v>
      </c>
      <c r="U18" s="16" t="n">
        <v>350</v>
      </c>
      <c r="V18" s="16" t="n">
        <v>0</v>
      </c>
      <c r="W18" s="16">
        <f>U18+V18</f>
        <v/>
      </c>
    </row>
    <row r="19">
      <c r="A19" s="3" t="inlineStr">
        <is>
          <t>CANON-202607-007661</t>
        </is>
      </c>
      <c r="B19" s="3" t="inlineStr">
        <is>
          <t>2026-07-11</t>
        </is>
      </c>
      <c r="C19" s="3" t="inlineStr">
        <is>
          <t>Delphine Bellandi</t>
        </is>
      </c>
      <c r="D19" s="3" t="inlineStr">
        <is>
          <t>NY</t>
        </is>
      </c>
      <c r="E19" s="14" t="n">
        <v>755000</v>
      </c>
      <c r="F19" s="14" t="n">
        <v>9019.43</v>
      </c>
      <c r="G19" s="14" t="n">
        <v>1127.43</v>
      </c>
      <c r="H19" s="14" t="n">
        <v>1127.43</v>
      </c>
      <c r="I19" s="14">
        <f>SUM(K19:T19)</f>
        <v/>
      </c>
      <c r="J19" s="14">
        <f>F19-(G19+H19+I19)</f>
        <v/>
      </c>
      <c r="K19" s="14" t="n">
        <v>676.46</v>
      </c>
      <c r="L19" s="14" t="n">
        <v>676.46</v>
      </c>
      <c r="M19" s="14" t="n">
        <v>676.46</v>
      </c>
      <c r="N19" s="14" t="n">
        <v>676.46</v>
      </c>
      <c r="O19" s="14" t="n">
        <v>676.46</v>
      </c>
      <c r="P19" s="14" t="n">
        <v>676.46</v>
      </c>
      <c r="Q19" s="14" t="n">
        <v>676.46</v>
      </c>
      <c r="R19" s="14" t="n">
        <v>676.46</v>
      </c>
      <c r="S19" s="14" t="n">
        <v>676.46</v>
      </c>
      <c r="T19" s="14" t="n">
        <v>676.46</v>
      </c>
      <c r="U19" s="14" t="n">
        <v>350</v>
      </c>
      <c r="V19" s="14" t="n">
        <v>0</v>
      </c>
      <c r="W19" s="14">
        <f>U19+V19</f>
        <v/>
      </c>
    </row>
    <row r="20">
      <c r="A20" s="15" t="inlineStr">
        <is>
          <t>CANON-202607-007662</t>
        </is>
      </c>
      <c r="B20" s="15" t="inlineStr">
        <is>
          <t>2026-07-27</t>
        </is>
      </c>
      <c r="C20" s="15" t="inlineStr">
        <is>
          <t>Marisol Chattopadhyay</t>
        </is>
      </c>
      <c r="D20" s="15" t="inlineStr">
        <is>
          <t>WI</t>
        </is>
      </c>
      <c r="E20" s="16" t="n">
        <v>475000</v>
      </c>
      <c r="F20" s="16" t="n">
        <v>3928.48</v>
      </c>
      <c r="G20" s="16" t="n">
        <v>491.06</v>
      </c>
      <c r="H20" s="16" t="n">
        <v>491.06</v>
      </c>
      <c r="I20" s="16">
        <f>SUM(K20:T20)</f>
        <v/>
      </c>
      <c r="J20" s="16">
        <f>F20-(G20+H20+I20)</f>
        <v/>
      </c>
      <c r="K20" s="16" t="n">
        <v>294.64</v>
      </c>
      <c r="L20" s="16" t="n">
        <v>294.64</v>
      </c>
      <c r="M20" s="16" t="n">
        <v>294.64</v>
      </c>
      <c r="N20" s="16" t="n">
        <v>294.64</v>
      </c>
      <c r="O20" s="16" t="n">
        <v>294.64</v>
      </c>
      <c r="P20" s="16" t="n">
        <v>294.64</v>
      </c>
      <c r="Q20" s="16" t="n">
        <v>294.64</v>
      </c>
      <c r="R20" s="16" t="n">
        <v>294.64</v>
      </c>
      <c r="S20" s="16" t="n">
        <v>294.64</v>
      </c>
      <c r="T20" s="16" t="n">
        <v>294.64</v>
      </c>
      <c r="U20" s="16" t="n">
        <v>350</v>
      </c>
      <c r="V20" s="16" t="n">
        <v>0</v>
      </c>
      <c r="W20" s="16">
        <f>U20+V20</f>
        <v/>
      </c>
    </row>
    <row r="21">
      <c r="A21" s="3" t="inlineStr">
        <is>
          <t>CANON-202607-007663</t>
        </is>
      </c>
      <c r="B21" s="3" t="inlineStr">
        <is>
          <t>2026-07-11</t>
        </is>
      </c>
      <c r="C21" s="3" t="inlineStr">
        <is>
          <t>Saoirse Chattopadhyay</t>
        </is>
      </c>
      <c r="D21" s="3" t="inlineStr">
        <is>
          <t>WA</t>
        </is>
      </c>
      <c r="E21" s="14" t="n">
        <v>295000</v>
      </c>
      <c r="F21" s="14" t="n">
        <v>1951.84</v>
      </c>
      <c r="G21" s="14" t="n">
        <v>243.98</v>
      </c>
      <c r="H21" s="14" t="n">
        <v>243.98</v>
      </c>
      <c r="I21" s="14">
        <f>SUM(K21:T21)</f>
        <v/>
      </c>
      <c r="J21" s="14">
        <f>F21-(G21+H21+I21)</f>
        <v/>
      </c>
      <c r="K21" s="14" t="n">
        <v>146.39</v>
      </c>
      <c r="L21" s="14" t="n">
        <v>146.39</v>
      </c>
      <c r="M21" s="14" t="n">
        <v>146.39</v>
      </c>
      <c r="N21" s="14" t="n">
        <v>146.39</v>
      </c>
      <c r="O21" s="14" t="n">
        <v>146.39</v>
      </c>
      <c r="P21" s="14" t="n">
        <v>146.39</v>
      </c>
      <c r="Q21" s="14" t="n">
        <v>146.39</v>
      </c>
      <c r="R21" s="14" t="n">
        <v>146.39</v>
      </c>
      <c r="S21" s="14" t="n">
        <v>146.39</v>
      </c>
      <c r="T21" s="14" t="n">
        <v>146.39</v>
      </c>
      <c r="U21" s="14" t="n">
        <v>350</v>
      </c>
      <c r="V21" s="14" t="n">
        <v>0</v>
      </c>
      <c r="W21" s="14">
        <f>U21+V21</f>
        <v/>
      </c>
    </row>
    <row r="22">
      <c r="A22" s="15" t="inlineStr">
        <is>
          <t>CANON-202607-007664</t>
        </is>
      </c>
      <c r="B22" s="15" t="inlineStr">
        <is>
          <t>2026-07-07</t>
        </is>
      </c>
      <c r="C22" s="15" t="inlineStr">
        <is>
          <t>Leopold Blackwood</t>
        </is>
      </c>
      <c r="D22" s="15" t="inlineStr">
        <is>
          <t>CA</t>
        </is>
      </c>
      <c r="E22" s="16" t="n">
        <v>1715000</v>
      </c>
      <c r="F22" s="16" t="n">
        <v>26594.8</v>
      </c>
      <c r="G22" s="16" t="n">
        <v>3324.35</v>
      </c>
      <c r="H22" s="16" t="n">
        <v>3324.35</v>
      </c>
      <c r="I22" s="16">
        <f>SUM(K22:T22)</f>
        <v/>
      </c>
      <c r="J22" s="16">
        <f>F22-(G22+H22+I22)</f>
        <v/>
      </c>
      <c r="K22" s="16" t="n">
        <v>1994.61</v>
      </c>
      <c r="L22" s="16" t="n">
        <v>1994.61</v>
      </c>
      <c r="M22" s="16" t="n">
        <v>1994.61</v>
      </c>
      <c r="N22" s="16" t="n">
        <v>1994.61</v>
      </c>
      <c r="O22" s="16" t="n">
        <v>1994.61</v>
      </c>
      <c r="P22" s="16" t="n">
        <v>1994.61</v>
      </c>
      <c r="Q22" s="16" t="n">
        <v>1994.61</v>
      </c>
      <c r="R22" s="16" t="n">
        <v>1994.61</v>
      </c>
      <c r="S22" s="16" t="n">
        <v>1994.61</v>
      </c>
      <c r="T22" s="16" t="n">
        <v>1994.61</v>
      </c>
      <c r="U22" s="16" t="n">
        <v>350</v>
      </c>
      <c r="V22" s="16" t="n">
        <v>250</v>
      </c>
      <c r="W22" s="16">
        <f>U22+V22</f>
        <v/>
      </c>
    </row>
    <row r="23">
      <c r="A23" s="3" t="inlineStr">
        <is>
          <t>CANON-202607-007665</t>
        </is>
      </c>
      <c r="B23" s="3" t="inlineStr">
        <is>
          <t>2026-07-19</t>
        </is>
      </c>
      <c r="C23" s="3" t="inlineStr">
        <is>
          <t>Marisol Underwood</t>
        </is>
      </c>
      <c r="D23" s="3" t="inlineStr">
        <is>
          <t>MO</t>
        </is>
      </c>
      <c r="E23" s="14" t="n">
        <v>1450000</v>
      </c>
      <c r="F23" s="14" t="n">
        <v>8386.219999999999</v>
      </c>
      <c r="G23" s="14" t="n">
        <v>1048.28</v>
      </c>
      <c r="H23" s="14" t="n">
        <v>1048.28</v>
      </c>
      <c r="I23" s="14">
        <f>SUM(K23:T23)</f>
        <v/>
      </c>
      <c r="J23" s="14">
        <f>F23-(G23+H23+I23)</f>
        <v/>
      </c>
      <c r="K23" s="14" t="n">
        <v>628.97</v>
      </c>
      <c r="L23" s="14" t="n">
        <v>628.97</v>
      </c>
      <c r="M23" s="14" t="n">
        <v>628.97</v>
      </c>
      <c r="N23" s="14" t="n">
        <v>628.97</v>
      </c>
      <c r="O23" s="14" t="n">
        <v>628.97</v>
      </c>
      <c r="P23" s="14" t="n">
        <v>628.97</v>
      </c>
      <c r="Q23" s="14" t="n">
        <v>628.97</v>
      </c>
      <c r="R23" s="14" t="n">
        <v>628.97</v>
      </c>
      <c r="S23" s="14" t="n">
        <v>628.97</v>
      </c>
      <c r="T23" s="14" t="n">
        <v>628.97</v>
      </c>
      <c r="U23" s="14" t="n">
        <v>350</v>
      </c>
      <c r="V23" s="14" t="n">
        <v>250</v>
      </c>
      <c r="W23" s="14">
        <f>U23+V23</f>
        <v/>
      </c>
    </row>
    <row r="24">
      <c r="A24" s="15" t="inlineStr">
        <is>
          <t>CANON-202607-007666</t>
        </is>
      </c>
      <c r="B24" s="15" t="inlineStr">
        <is>
          <t>2026-07-19</t>
        </is>
      </c>
      <c r="C24" s="15" t="inlineStr">
        <is>
          <t>Sunniva Vasquez</t>
        </is>
      </c>
      <c r="D24" s="15" t="inlineStr">
        <is>
          <t>ND</t>
        </is>
      </c>
      <c r="E24" s="16" t="n">
        <v>1685000</v>
      </c>
      <c r="F24" s="16" t="n">
        <v>19742.35</v>
      </c>
      <c r="G24" s="16" t="n">
        <v>2467.79</v>
      </c>
      <c r="H24" s="16" t="n">
        <v>2467.79</v>
      </c>
      <c r="I24" s="16">
        <f>SUM(K24:T24)</f>
        <v/>
      </c>
      <c r="J24" s="16">
        <f>F24-(G24+H24+I24)</f>
        <v/>
      </c>
      <c r="K24" s="16" t="n">
        <v>1480.68</v>
      </c>
      <c r="L24" s="16" t="n">
        <v>1480.68</v>
      </c>
      <c r="M24" s="16" t="n">
        <v>1480.68</v>
      </c>
      <c r="N24" s="16" t="n">
        <v>1480.68</v>
      </c>
      <c r="O24" s="16" t="n">
        <v>1480.68</v>
      </c>
      <c r="P24" s="16" t="n">
        <v>1480.68</v>
      </c>
      <c r="Q24" s="16" t="n">
        <v>1480.68</v>
      </c>
      <c r="R24" s="16" t="n">
        <v>1480.68</v>
      </c>
      <c r="S24" s="16" t="n">
        <v>1480.68</v>
      </c>
      <c r="T24" s="16" t="n">
        <v>1480.68</v>
      </c>
      <c r="U24" s="16" t="n">
        <v>350</v>
      </c>
      <c r="V24" s="16" t="n">
        <v>250</v>
      </c>
      <c r="W24" s="16">
        <f>U24+V24</f>
        <v/>
      </c>
    </row>
    <row r="25">
      <c r="A25" s="3" t="inlineStr">
        <is>
          <t>CANON-202607-007667</t>
        </is>
      </c>
      <c r="B25" s="3" t="inlineStr">
        <is>
          <t>2026-07-20</t>
        </is>
      </c>
      <c r="C25" s="3" t="inlineStr">
        <is>
          <t>Horace Kingsford</t>
        </is>
      </c>
      <c r="D25" s="3" t="inlineStr">
        <is>
          <t>NJ</t>
        </is>
      </c>
      <c r="E25" s="14" t="n">
        <v>310000</v>
      </c>
      <c r="F25" s="14" t="n">
        <v>3037.9</v>
      </c>
      <c r="G25" s="14" t="n">
        <v>379.74</v>
      </c>
      <c r="H25" s="14" t="n">
        <v>379.74</v>
      </c>
      <c r="I25" s="14">
        <f>SUM(K25:T25)</f>
        <v/>
      </c>
      <c r="J25" s="14">
        <f>F25-(G25+H25+I25)</f>
        <v/>
      </c>
      <c r="K25" s="14" t="n">
        <v>227.84</v>
      </c>
      <c r="L25" s="14" t="n">
        <v>227.84</v>
      </c>
      <c r="M25" s="14" t="n">
        <v>227.84</v>
      </c>
      <c r="N25" s="14" t="n">
        <v>227.84</v>
      </c>
      <c r="O25" s="14" t="n">
        <v>227.84</v>
      </c>
      <c r="P25" s="14" t="n">
        <v>227.84</v>
      </c>
      <c r="Q25" s="14" t="n">
        <v>227.84</v>
      </c>
      <c r="R25" s="14" t="n">
        <v>227.84</v>
      </c>
      <c r="S25" s="14" t="n">
        <v>227.84</v>
      </c>
      <c r="T25" s="14" t="n">
        <v>227.84</v>
      </c>
      <c r="U25" s="14" t="n">
        <v>350</v>
      </c>
      <c r="V25" s="14" t="n">
        <v>0</v>
      </c>
      <c r="W25" s="14">
        <f>U25+V25</f>
        <v/>
      </c>
    </row>
    <row r="26">
      <c r="A26" s="15" t="inlineStr">
        <is>
          <t>CANON-202607-007668</t>
        </is>
      </c>
      <c r="B26" s="15" t="inlineStr">
        <is>
          <t>2026-07-02</t>
        </is>
      </c>
      <c r="C26" s="15" t="inlineStr">
        <is>
          <t>Priya Bellandi</t>
        </is>
      </c>
      <c r="D26" s="15" t="inlineStr">
        <is>
          <t>NY</t>
        </is>
      </c>
      <c r="E26" s="16" t="n">
        <v>770000</v>
      </c>
      <c r="F26" s="16" t="n">
        <v>13444.15</v>
      </c>
      <c r="G26" s="16" t="n">
        <v>1680.52</v>
      </c>
      <c r="H26" s="16" t="n">
        <v>1680.52</v>
      </c>
      <c r="I26" s="16">
        <f>SUM(K26:T26)</f>
        <v/>
      </c>
      <c r="J26" s="16">
        <f>F26-(G26+H26+I26)</f>
        <v/>
      </c>
      <c r="K26" s="16" t="n">
        <v>1008.31</v>
      </c>
      <c r="L26" s="16" t="n">
        <v>1008.31</v>
      </c>
      <c r="M26" s="16" t="n">
        <v>1008.31</v>
      </c>
      <c r="N26" s="16" t="n">
        <v>1008.31</v>
      </c>
      <c r="O26" s="16" t="n">
        <v>1008.31</v>
      </c>
      <c r="P26" s="16" t="n">
        <v>1008.31</v>
      </c>
      <c r="Q26" s="16" t="n">
        <v>1008.31</v>
      </c>
      <c r="R26" s="16" t="n">
        <v>1008.31</v>
      </c>
      <c r="S26" s="16" t="n">
        <v>1008.31</v>
      </c>
      <c r="T26" s="16" t="n">
        <v>1008.31</v>
      </c>
      <c r="U26" s="16" t="n">
        <v>350</v>
      </c>
      <c r="V26" s="16" t="n">
        <v>0</v>
      </c>
      <c r="W26" s="16">
        <f>U26+V26</f>
        <v/>
      </c>
    </row>
    <row r="27">
      <c r="A27" s="3" t="inlineStr">
        <is>
          <t>CANON-202607-007669</t>
        </is>
      </c>
      <c r="B27" s="3" t="inlineStr">
        <is>
          <t>2026-07-01</t>
        </is>
      </c>
      <c r="C27" s="3" t="inlineStr">
        <is>
          <t>Lorenzo Rourke</t>
        </is>
      </c>
      <c r="D27" s="3" t="inlineStr">
        <is>
          <t>OK</t>
        </is>
      </c>
      <c r="E27" s="14" t="n">
        <v>540000</v>
      </c>
      <c r="F27" s="14" t="n">
        <v>6350.19</v>
      </c>
      <c r="G27" s="14" t="n">
        <v>793.77</v>
      </c>
      <c r="H27" s="14" t="n">
        <v>793.77</v>
      </c>
      <c r="I27" s="14">
        <f>SUM(K27:T27)</f>
        <v/>
      </c>
      <c r="J27" s="14">
        <f>F27-(G27+H27+I27)</f>
        <v/>
      </c>
      <c r="K27" s="14" t="n">
        <v>476.26</v>
      </c>
      <c r="L27" s="14" t="n">
        <v>476.26</v>
      </c>
      <c r="M27" s="14" t="n">
        <v>476.26</v>
      </c>
      <c r="N27" s="14" t="n">
        <v>476.26</v>
      </c>
      <c r="O27" s="14" t="n">
        <v>476.26</v>
      </c>
      <c r="P27" s="14" t="n">
        <v>476.26</v>
      </c>
      <c r="Q27" s="14" t="n">
        <v>476.26</v>
      </c>
      <c r="R27" s="14" t="n">
        <v>476.26</v>
      </c>
      <c r="S27" s="14" t="n">
        <v>476.26</v>
      </c>
      <c r="T27" s="14" t="n">
        <v>476.26</v>
      </c>
      <c r="U27" s="14" t="n">
        <v>350</v>
      </c>
      <c r="V27" s="14" t="n">
        <v>0</v>
      </c>
      <c r="W27" s="14">
        <f>U27+V27</f>
        <v/>
      </c>
    </row>
    <row r="28">
      <c r="A28" s="15" t="inlineStr">
        <is>
          <t>CANON-202607-007671</t>
        </is>
      </c>
      <c r="B28" s="15" t="inlineStr">
        <is>
          <t>2026-07-06</t>
        </is>
      </c>
      <c r="C28" s="15" t="inlineStr">
        <is>
          <t>Delphine Merriweather</t>
        </is>
      </c>
      <c r="D28" s="15" t="inlineStr">
        <is>
          <t>DE</t>
        </is>
      </c>
      <c r="E28" s="16" t="n">
        <v>695000</v>
      </c>
      <c r="F28" s="16" t="n">
        <v>11850.24</v>
      </c>
      <c r="G28" s="16" t="n">
        <v>1481.28</v>
      </c>
      <c r="H28" s="16" t="n">
        <v>1481.28</v>
      </c>
      <c r="I28" s="16">
        <f>SUM(K28:T28)</f>
        <v/>
      </c>
      <c r="J28" s="16">
        <f>F28-(G28+H28+I28)</f>
        <v/>
      </c>
      <c r="K28" s="16" t="n">
        <v>888.77</v>
      </c>
      <c r="L28" s="16" t="n">
        <v>888.77</v>
      </c>
      <c r="M28" s="16" t="n">
        <v>888.77</v>
      </c>
      <c r="N28" s="16" t="n">
        <v>888.77</v>
      </c>
      <c r="O28" s="16" t="n">
        <v>888.77</v>
      </c>
      <c r="P28" s="16" t="n">
        <v>888.77</v>
      </c>
      <c r="Q28" s="16" t="n">
        <v>888.77</v>
      </c>
      <c r="R28" s="16" t="n">
        <v>888.77</v>
      </c>
      <c r="S28" s="16" t="n">
        <v>888.77</v>
      </c>
      <c r="T28" s="16" t="n">
        <v>888.77</v>
      </c>
      <c r="U28" s="16" t="n">
        <v>350</v>
      </c>
      <c r="V28" s="16" t="n">
        <v>0</v>
      </c>
      <c r="W28" s="16">
        <f>U28+V28</f>
        <v/>
      </c>
    </row>
    <row r="29">
      <c r="A29" s="3" t="inlineStr">
        <is>
          <t>CANON-202607-007672</t>
        </is>
      </c>
      <c r="B29" s="3" t="inlineStr">
        <is>
          <t>2026-07-29</t>
        </is>
      </c>
      <c r="C29" s="3" t="inlineStr">
        <is>
          <t>Delphine Underwood</t>
        </is>
      </c>
      <c r="D29" s="3" t="inlineStr">
        <is>
          <t>CO</t>
        </is>
      </c>
      <c r="E29" s="14" t="n">
        <v>255000</v>
      </c>
      <c r="F29" s="14" t="n">
        <v>3020.67</v>
      </c>
      <c r="G29" s="14" t="n">
        <v>377.58</v>
      </c>
      <c r="H29" s="14" t="n">
        <v>377.58</v>
      </c>
      <c r="I29" s="14">
        <f>SUM(K29:T29)</f>
        <v/>
      </c>
      <c r="J29" s="14">
        <f>F29-(G29+H29+I29)</f>
        <v/>
      </c>
      <c r="K29" s="14" t="n">
        <v>226.55</v>
      </c>
      <c r="L29" s="14" t="n">
        <v>226.55</v>
      </c>
      <c r="M29" s="14" t="n">
        <v>226.55</v>
      </c>
      <c r="N29" s="14" t="n">
        <v>226.55</v>
      </c>
      <c r="O29" s="14" t="n">
        <v>226.55</v>
      </c>
      <c r="P29" s="14" t="n">
        <v>226.55</v>
      </c>
      <c r="Q29" s="14" t="n">
        <v>226.55</v>
      </c>
      <c r="R29" s="14" t="n">
        <v>226.55</v>
      </c>
      <c r="S29" s="14" t="n">
        <v>226.55</v>
      </c>
      <c r="T29" s="14" t="n">
        <v>226.55</v>
      </c>
      <c r="U29" s="14" t="n">
        <v>350</v>
      </c>
      <c r="V29" s="14" t="n">
        <v>0</v>
      </c>
      <c r="W29" s="14">
        <f>U29+V29</f>
        <v/>
      </c>
    </row>
    <row r="30">
      <c r="A30" s="15" t="inlineStr">
        <is>
          <t>CANON-202607-007673</t>
        </is>
      </c>
      <c r="B30" s="15" t="inlineStr">
        <is>
          <t>2026-07-15</t>
        </is>
      </c>
      <c r="C30" s="15" t="inlineStr">
        <is>
          <t>Sunniva Okonkwo</t>
        </is>
      </c>
      <c r="D30" s="15" t="inlineStr">
        <is>
          <t>GA</t>
        </is>
      </c>
      <c r="E30" s="16" t="n">
        <v>550000</v>
      </c>
      <c r="F30" s="16" t="n">
        <v>3803.28</v>
      </c>
      <c r="G30" s="16" t="n">
        <v>475.41</v>
      </c>
      <c r="H30" s="16" t="n">
        <v>475.41</v>
      </c>
      <c r="I30" s="16">
        <f>SUM(K30:T30)</f>
        <v/>
      </c>
      <c r="J30" s="16">
        <f>F30-(G30+H30+I30)</f>
        <v/>
      </c>
      <c r="K30" s="16" t="n">
        <v>285.25</v>
      </c>
      <c r="L30" s="16" t="n">
        <v>285.25</v>
      </c>
      <c r="M30" s="16" t="n">
        <v>285.25</v>
      </c>
      <c r="N30" s="16" t="n">
        <v>285.25</v>
      </c>
      <c r="O30" s="16" t="n">
        <v>285.25</v>
      </c>
      <c r="P30" s="16" t="n">
        <v>285.25</v>
      </c>
      <c r="Q30" s="16" t="n">
        <v>285.25</v>
      </c>
      <c r="R30" s="16" t="n">
        <v>285.25</v>
      </c>
      <c r="S30" s="16" t="n">
        <v>285.25</v>
      </c>
      <c r="T30" s="16" t="n">
        <v>285.25</v>
      </c>
      <c r="U30" s="16" t="n">
        <v>350</v>
      </c>
      <c r="V30" s="16" t="n">
        <v>0</v>
      </c>
      <c r="W30" s="16">
        <f>U30+V30</f>
        <v/>
      </c>
    </row>
    <row r="31">
      <c r="A31" s="3" t="inlineStr">
        <is>
          <t>CANON-202607-007675</t>
        </is>
      </c>
      <c r="B31" s="3" t="inlineStr">
        <is>
          <t>2026-07-15</t>
        </is>
      </c>
      <c r="C31" s="3" t="inlineStr">
        <is>
          <t>Callum Delacroix</t>
        </is>
      </c>
      <c r="D31" s="3" t="inlineStr">
        <is>
          <t>TX</t>
        </is>
      </c>
      <c r="E31" s="14" t="n">
        <v>640000</v>
      </c>
      <c r="F31" s="14" t="n">
        <v>4544.17</v>
      </c>
      <c r="G31" s="14" t="n">
        <v>568.02</v>
      </c>
      <c r="H31" s="14" t="n">
        <v>568.02</v>
      </c>
      <c r="I31" s="14">
        <f>SUM(K31:T31)</f>
        <v/>
      </c>
      <c r="J31" s="14">
        <f>F31-(G31+H31+I31)</f>
        <v/>
      </c>
      <c r="K31" s="14" t="n">
        <v>340.81</v>
      </c>
      <c r="L31" s="14" t="n">
        <v>340.81</v>
      </c>
      <c r="M31" s="14" t="n">
        <v>340.81</v>
      </c>
      <c r="N31" s="14" t="n">
        <v>340.81</v>
      </c>
      <c r="O31" s="14" t="n">
        <v>340.81</v>
      </c>
      <c r="P31" s="14" t="n">
        <v>340.81</v>
      </c>
      <c r="Q31" s="14" t="n">
        <v>340.81</v>
      </c>
      <c r="R31" s="14" t="n">
        <v>340.81</v>
      </c>
      <c r="S31" s="14" t="n">
        <v>340.81</v>
      </c>
      <c r="T31" s="14" t="n">
        <v>340.81</v>
      </c>
      <c r="U31" s="14" t="n">
        <v>350</v>
      </c>
      <c r="V31" s="14" t="n">
        <v>0</v>
      </c>
      <c r="W31" s="14">
        <f>U31+V31</f>
        <v/>
      </c>
    </row>
    <row r="32">
      <c r="A32" s="15" t="inlineStr">
        <is>
          <t>CANON-202607-007677</t>
        </is>
      </c>
      <c r="B32" s="15" t="inlineStr">
        <is>
          <t>2026-07-26</t>
        </is>
      </c>
      <c r="C32" s="15" t="inlineStr">
        <is>
          <t>Aurelio Farkas</t>
        </is>
      </c>
      <c r="D32" s="15" t="inlineStr">
        <is>
          <t>AR</t>
        </is>
      </c>
      <c r="E32" s="16" t="n">
        <v>780000</v>
      </c>
      <c r="F32" s="16" t="n">
        <v>10046.06</v>
      </c>
      <c r="G32" s="16" t="n">
        <v>1255.76</v>
      </c>
      <c r="H32" s="16" t="n">
        <v>1255.76</v>
      </c>
      <c r="I32" s="16">
        <f>SUM(K32:T32)</f>
        <v/>
      </c>
      <c r="J32" s="16">
        <f>F32-(G32+H32+I32)</f>
        <v/>
      </c>
      <c r="K32" s="16" t="n">
        <v>753.45</v>
      </c>
      <c r="L32" s="16" t="n">
        <v>753.45</v>
      </c>
      <c r="M32" s="16" t="n">
        <v>753.45</v>
      </c>
      <c r="N32" s="16" t="n">
        <v>753.45</v>
      </c>
      <c r="O32" s="16" t="n">
        <v>753.45</v>
      </c>
      <c r="P32" s="16" t="n">
        <v>753.45</v>
      </c>
      <c r="Q32" s="16" t="n">
        <v>753.45</v>
      </c>
      <c r="R32" s="16" t="n">
        <v>753.45</v>
      </c>
      <c r="S32" s="16" t="n">
        <v>753.45</v>
      </c>
      <c r="T32" s="16" t="n">
        <v>753.45</v>
      </c>
      <c r="U32" s="16" t="n">
        <v>350</v>
      </c>
      <c r="V32" s="16" t="n">
        <v>0</v>
      </c>
      <c r="W32" s="16">
        <f>U32+V32</f>
        <v/>
      </c>
    </row>
    <row r="33">
      <c r="A33" s="3" t="inlineStr">
        <is>
          <t>CANON-202607-007678</t>
        </is>
      </c>
      <c r="B33" s="3" t="inlineStr">
        <is>
          <t>2026-07-09</t>
        </is>
      </c>
      <c r="C33" s="3" t="inlineStr">
        <is>
          <t>Everett Blackwood</t>
        </is>
      </c>
      <c r="D33" s="3" t="inlineStr">
        <is>
          <t>OR</t>
        </is>
      </c>
      <c r="E33" s="14" t="n">
        <v>660000</v>
      </c>
      <c r="F33" s="14" t="n">
        <v>6960.56</v>
      </c>
      <c r="G33" s="14" t="n">
        <v>870.0700000000001</v>
      </c>
      <c r="H33" s="14" t="n">
        <v>870.0700000000001</v>
      </c>
      <c r="I33" s="14">
        <f>SUM(K33:T33)</f>
        <v/>
      </c>
      <c r="J33" s="14">
        <f>F33-(G33+H33+I33)</f>
        <v/>
      </c>
      <c r="K33" s="14" t="n">
        <v>522.04</v>
      </c>
      <c r="L33" s="14" t="n">
        <v>522.04</v>
      </c>
      <c r="M33" s="14" t="n">
        <v>522.04</v>
      </c>
      <c r="N33" s="14" t="n">
        <v>522.04</v>
      </c>
      <c r="O33" s="14" t="n">
        <v>522.04</v>
      </c>
      <c r="P33" s="14" t="n">
        <v>522.04</v>
      </c>
      <c r="Q33" s="14" t="n">
        <v>522.04</v>
      </c>
      <c r="R33" s="14" t="n">
        <v>522.04</v>
      </c>
      <c r="S33" s="14" t="n">
        <v>522.04</v>
      </c>
      <c r="T33" s="14" t="n">
        <v>522.04</v>
      </c>
      <c r="U33" s="14" t="n">
        <v>350</v>
      </c>
      <c r="V33" s="14" t="n">
        <v>0</v>
      </c>
      <c r="W33" s="14">
        <f>U33+V33</f>
        <v/>
      </c>
    </row>
    <row r="34">
      <c r="A34" s="15" t="inlineStr">
        <is>
          <t>CANON-202607-007679</t>
        </is>
      </c>
      <c r="B34" s="15" t="inlineStr">
        <is>
          <t>2026-07-27</t>
        </is>
      </c>
      <c r="C34" s="15" t="inlineStr">
        <is>
          <t>Ingrid Castellanos</t>
        </is>
      </c>
      <c r="D34" s="15" t="inlineStr">
        <is>
          <t>MT</t>
        </is>
      </c>
      <c r="E34" s="16" t="n">
        <v>1165000</v>
      </c>
      <c r="F34" s="16" t="n">
        <v>10578.56</v>
      </c>
      <c r="G34" s="16" t="n">
        <v>1322.32</v>
      </c>
      <c r="H34" s="16" t="n">
        <v>1322.32</v>
      </c>
      <c r="I34" s="16">
        <f>SUM(K34:T34)</f>
        <v/>
      </c>
      <c r="J34" s="16">
        <f>F34-(G34+H34+I34)</f>
        <v/>
      </c>
      <c r="K34" s="16" t="n">
        <v>793.39</v>
      </c>
      <c r="L34" s="16" t="n">
        <v>793.39</v>
      </c>
      <c r="M34" s="16" t="n">
        <v>793.39</v>
      </c>
      <c r="N34" s="16" t="n">
        <v>793.39</v>
      </c>
      <c r="O34" s="16" t="n">
        <v>793.39</v>
      </c>
      <c r="P34" s="16" t="n">
        <v>793.39</v>
      </c>
      <c r="Q34" s="16" t="n">
        <v>793.39</v>
      </c>
      <c r="R34" s="16" t="n">
        <v>793.39</v>
      </c>
      <c r="S34" s="16" t="n">
        <v>793.39</v>
      </c>
      <c r="T34" s="16" t="n">
        <v>793.39</v>
      </c>
      <c r="U34" s="16" t="n">
        <v>350</v>
      </c>
      <c r="V34" s="16" t="n">
        <v>250</v>
      </c>
      <c r="W34" s="16">
        <f>U34+V34</f>
        <v/>
      </c>
    </row>
    <row r="35">
      <c r="A35" s="3" t="inlineStr">
        <is>
          <t>CANON-202607-007680</t>
        </is>
      </c>
      <c r="B35" s="3" t="inlineStr">
        <is>
          <t>2026-07-07</t>
        </is>
      </c>
      <c r="C35" s="3" t="inlineStr">
        <is>
          <t>Delphine Thistlewood</t>
        </is>
      </c>
      <c r="D35" s="3" t="inlineStr">
        <is>
          <t>ND</t>
        </is>
      </c>
      <c r="E35" s="14" t="n">
        <v>545000</v>
      </c>
      <c r="F35" s="14" t="n">
        <v>5188.22</v>
      </c>
      <c r="G35" s="14" t="n">
        <v>648.53</v>
      </c>
      <c r="H35" s="14" t="n">
        <v>648.53</v>
      </c>
      <c r="I35" s="14">
        <f>SUM(K35:T35)</f>
        <v/>
      </c>
      <c r="J35" s="14">
        <f>F35-(G35+H35+I35)</f>
        <v/>
      </c>
      <c r="K35" s="14" t="n">
        <v>389.12</v>
      </c>
      <c r="L35" s="14" t="n">
        <v>389.12</v>
      </c>
      <c r="M35" s="14" t="n">
        <v>389.12</v>
      </c>
      <c r="N35" s="14" t="n">
        <v>389.12</v>
      </c>
      <c r="O35" s="14" t="n">
        <v>389.12</v>
      </c>
      <c r="P35" s="14" t="n">
        <v>389.12</v>
      </c>
      <c r="Q35" s="14" t="n">
        <v>389.12</v>
      </c>
      <c r="R35" s="14" t="n">
        <v>389.12</v>
      </c>
      <c r="S35" s="14" t="n">
        <v>389.12</v>
      </c>
      <c r="T35" s="14" t="n">
        <v>389.12</v>
      </c>
      <c r="U35" s="14" t="n">
        <v>350</v>
      </c>
      <c r="V35" s="14" t="n">
        <v>0</v>
      </c>
      <c r="W35" s="14">
        <f>U35+V35</f>
        <v/>
      </c>
    </row>
    <row r="36">
      <c r="A36" s="15" t="inlineStr">
        <is>
          <t>CANON-202607-007681</t>
        </is>
      </c>
      <c r="B36" s="15" t="inlineStr">
        <is>
          <t>2026-07-01</t>
        </is>
      </c>
      <c r="C36" s="15" t="inlineStr">
        <is>
          <t>Ingrid Castellanos</t>
        </is>
      </c>
      <c r="D36" s="15" t="inlineStr">
        <is>
          <t>ME</t>
        </is>
      </c>
      <c r="E36" s="16" t="n">
        <v>1770000</v>
      </c>
      <c r="F36" s="16" t="n">
        <v>10430.12</v>
      </c>
      <c r="G36" s="16" t="n">
        <v>1303.77</v>
      </c>
      <c r="H36" s="16" t="n">
        <v>1303.77</v>
      </c>
      <c r="I36" s="16">
        <f>SUM(K36:T36)</f>
        <v/>
      </c>
      <c r="J36" s="16">
        <f>F36-(G36+H36+I36)</f>
        <v/>
      </c>
      <c r="K36" s="16" t="n">
        <v>782.26</v>
      </c>
      <c r="L36" s="16" t="n">
        <v>782.26</v>
      </c>
      <c r="M36" s="16" t="n">
        <v>782.26</v>
      </c>
      <c r="N36" s="16" t="n">
        <v>782.26</v>
      </c>
      <c r="O36" s="16" t="n">
        <v>782.26</v>
      </c>
      <c r="P36" s="16" t="n">
        <v>782.26</v>
      </c>
      <c r="Q36" s="16" t="n">
        <v>782.26</v>
      </c>
      <c r="R36" s="16" t="n">
        <v>782.26</v>
      </c>
      <c r="S36" s="16" t="n">
        <v>782.26</v>
      </c>
      <c r="T36" s="16" t="n">
        <v>782.26</v>
      </c>
      <c r="U36" s="16" t="n">
        <v>350</v>
      </c>
      <c r="V36" s="16" t="n">
        <v>250</v>
      </c>
      <c r="W36" s="16">
        <f>U36+V36</f>
        <v/>
      </c>
    </row>
    <row r="37">
      <c r="A37" s="3" t="inlineStr">
        <is>
          <t>CANON-202607-007684</t>
        </is>
      </c>
      <c r="B37" s="3" t="inlineStr">
        <is>
          <t>2026-07-27</t>
        </is>
      </c>
      <c r="C37" s="3" t="inlineStr">
        <is>
          <t>Cassius Chattopadhyay</t>
        </is>
      </c>
      <c r="D37" s="3" t="inlineStr">
        <is>
          <t>PA</t>
        </is>
      </c>
      <c r="E37" s="14" t="n">
        <v>615000</v>
      </c>
      <c r="F37" s="14" t="n">
        <v>5739.8</v>
      </c>
      <c r="G37" s="14" t="n">
        <v>717.48</v>
      </c>
      <c r="H37" s="14" t="n">
        <v>717.48</v>
      </c>
      <c r="I37" s="14">
        <f>SUM(K37:T37)</f>
        <v/>
      </c>
      <c r="J37" s="14">
        <f>F37-(G37+H37+I37)</f>
        <v/>
      </c>
      <c r="K37" s="14" t="n">
        <v>430.49</v>
      </c>
      <c r="L37" s="14" t="n">
        <v>430.49</v>
      </c>
      <c r="M37" s="14" t="n">
        <v>430.49</v>
      </c>
      <c r="N37" s="14" t="n">
        <v>430.49</v>
      </c>
      <c r="O37" s="14" t="n">
        <v>430.49</v>
      </c>
      <c r="P37" s="14" t="n">
        <v>430.49</v>
      </c>
      <c r="Q37" s="14" t="n">
        <v>430.49</v>
      </c>
      <c r="R37" s="14" t="n">
        <v>430.49</v>
      </c>
      <c r="S37" s="14" t="n">
        <v>430.49</v>
      </c>
      <c r="T37" s="14" t="n">
        <v>430.49</v>
      </c>
      <c r="U37" s="14" t="n">
        <v>350</v>
      </c>
      <c r="V37" s="14" t="n">
        <v>0</v>
      </c>
      <c r="W37" s="14">
        <f>U37+V37</f>
        <v/>
      </c>
    </row>
    <row r="38">
      <c r="A38" s="15" t="inlineStr">
        <is>
          <t>CANON-202607-007685</t>
        </is>
      </c>
      <c r="B38" s="15" t="inlineStr">
        <is>
          <t>2026-07-25</t>
        </is>
      </c>
      <c r="C38" s="15" t="inlineStr">
        <is>
          <t>Fitzgerald Delacroix</t>
        </is>
      </c>
      <c r="D38" s="15" t="inlineStr">
        <is>
          <t>GA</t>
        </is>
      </c>
      <c r="E38" s="16" t="n">
        <v>700000</v>
      </c>
      <c r="F38" s="16" t="n">
        <v>4840.53</v>
      </c>
      <c r="G38" s="16" t="n">
        <v>605.0700000000001</v>
      </c>
      <c r="H38" s="16" t="n">
        <v>605.0700000000001</v>
      </c>
      <c r="I38" s="16">
        <f>SUM(K38:T38)</f>
        <v/>
      </c>
      <c r="J38" s="16">
        <f>F38-(G38+H38+I38)</f>
        <v/>
      </c>
      <c r="K38" s="16" t="n">
        <v>363.04</v>
      </c>
      <c r="L38" s="16" t="n">
        <v>363.04</v>
      </c>
      <c r="M38" s="16" t="n">
        <v>363.04</v>
      </c>
      <c r="N38" s="16" t="n">
        <v>363.04</v>
      </c>
      <c r="O38" s="16" t="n">
        <v>363.04</v>
      </c>
      <c r="P38" s="16" t="n">
        <v>363.04</v>
      </c>
      <c r="Q38" s="16" t="n">
        <v>363.04</v>
      </c>
      <c r="R38" s="16" t="n">
        <v>363.04</v>
      </c>
      <c r="S38" s="16" t="n">
        <v>363.04</v>
      </c>
      <c r="T38" s="16" t="n">
        <v>363.04</v>
      </c>
      <c r="U38" s="16" t="n">
        <v>350</v>
      </c>
      <c r="V38" s="16" t="n">
        <v>0</v>
      </c>
      <c r="W38" s="16">
        <f>U38+V38</f>
        <v/>
      </c>
    </row>
    <row r="39">
      <c r="A39" s="3" t="inlineStr">
        <is>
          <t>CANON-202607-007686</t>
        </is>
      </c>
      <c r="B39" s="3" t="inlineStr">
        <is>
          <t>2026-07-19</t>
        </is>
      </c>
      <c r="C39" s="3" t="inlineStr">
        <is>
          <t>Wilhelmina Larsson</t>
        </is>
      </c>
      <c r="D39" s="3" t="inlineStr">
        <is>
          <t>CA</t>
        </is>
      </c>
      <c r="E39" s="14" t="n">
        <v>635000</v>
      </c>
      <c r="F39" s="14" t="n">
        <v>8000.73</v>
      </c>
      <c r="G39" s="14" t="n">
        <v>1000.09</v>
      </c>
      <c r="H39" s="14" t="n">
        <v>1000.09</v>
      </c>
      <c r="I39" s="14">
        <f>SUM(K39:T39)</f>
        <v/>
      </c>
      <c r="J39" s="14">
        <f>F39-(G39+H39+I39)</f>
        <v/>
      </c>
      <c r="K39" s="14" t="n">
        <v>600.05</v>
      </c>
      <c r="L39" s="14" t="n">
        <v>600.05</v>
      </c>
      <c r="M39" s="14" t="n">
        <v>600.05</v>
      </c>
      <c r="N39" s="14" t="n">
        <v>600.05</v>
      </c>
      <c r="O39" s="14" t="n">
        <v>600.05</v>
      </c>
      <c r="P39" s="14" t="n">
        <v>600.05</v>
      </c>
      <c r="Q39" s="14" t="n">
        <v>600.05</v>
      </c>
      <c r="R39" s="14" t="n">
        <v>600.05</v>
      </c>
      <c r="S39" s="14" t="n">
        <v>600.05</v>
      </c>
      <c r="T39" s="14" t="n">
        <v>600.05</v>
      </c>
      <c r="U39" s="14" t="n">
        <v>350</v>
      </c>
      <c r="V39" s="14" t="n">
        <v>0</v>
      </c>
      <c r="W39" s="14">
        <f>U39+V39</f>
        <v/>
      </c>
    </row>
    <row r="40">
      <c r="A40" s="15" t="inlineStr">
        <is>
          <t>CANON-202607-007688</t>
        </is>
      </c>
      <c r="B40" s="15" t="inlineStr">
        <is>
          <t>2026-07-19</t>
        </is>
      </c>
      <c r="C40" s="15" t="inlineStr">
        <is>
          <t>Lorenzo Harrington</t>
        </is>
      </c>
      <c r="D40" s="15" t="inlineStr">
        <is>
          <t>AZ</t>
        </is>
      </c>
      <c r="E40" s="16" t="n">
        <v>530000</v>
      </c>
      <c r="F40" s="16" t="n">
        <v>4995.97</v>
      </c>
      <c r="G40" s="16" t="n">
        <v>624.5</v>
      </c>
      <c r="H40" s="16" t="n">
        <v>624.5</v>
      </c>
      <c r="I40" s="16">
        <f>SUM(K40:T40)</f>
        <v/>
      </c>
      <c r="J40" s="16">
        <f>F40-(G40+H40+I40)</f>
        <v/>
      </c>
      <c r="K40" s="16" t="n">
        <v>374.7</v>
      </c>
      <c r="L40" s="16" t="n">
        <v>374.7</v>
      </c>
      <c r="M40" s="16" t="n">
        <v>374.7</v>
      </c>
      <c r="N40" s="16" t="n">
        <v>374.7</v>
      </c>
      <c r="O40" s="16" t="n">
        <v>374.7</v>
      </c>
      <c r="P40" s="16" t="n">
        <v>374.7</v>
      </c>
      <c r="Q40" s="16" t="n">
        <v>374.7</v>
      </c>
      <c r="R40" s="16" t="n">
        <v>374.7</v>
      </c>
      <c r="S40" s="16" t="n">
        <v>374.7</v>
      </c>
      <c r="T40" s="16" t="n">
        <v>374.7</v>
      </c>
      <c r="U40" s="16" t="n">
        <v>350</v>
      </c>
      <c r="V40" s="16" t="n">
        <v>0</v>
      </c>
      <c r="W40" s="16">
        <f>U40+V40</f>
        <v/>
      </c>
    </row>
    <row r="41">
      <c r="A41" s="3" t="inlineStr">
        <is>
          <t>CANON-202607-007689</t>
        </is>
      </c>
      <c r="B41" s="3" t="inlineStr">
        <is>
          <t>2026-07-10</t>
        </is>
      </c>
      <c r="C41" s="3" t="inlineStr">
        <is>
          <t>Ottilie Underwood</t>
        </is>
      </c>
      <c r="D41" s="3" t="inlineStr">
        <is>
          <t>SD</t>
        </is>
      </c>
      <c r="E41" s="14" t="n">
        <v>620000</v>
      </c>
      <c r="F41" s="14" t="n">
        <v>4249.05</v>
      </c>
      <c r="G41" s="14" t="n">
        <v>531.13</v>
      </c>
      <c r="H41" s="14" t="n">
        <v>531.13</v>
      </c>
      <c r="I41" s="14">
        <f>SUM(K41:T41)</f>
        <v/>
      </c>
      <c r="J41" s="14">
        <f>F41-(G41+H41+I41)</f>
        <v/>
      </c>
      <c r="K41" s="14" t="n">
        <v>318.68</v>
      </c>
      <c r="L41" s="14" t="n">
        <v>318.68</v>
      </c>
      <c r="M41" s="14" t="n">
        <v>318.68</v>
      </c>
      <c r="N41" s="14" t="n">
        <v>318.68</v>
      </c>
      <c r="O41" s="14" t="n">
        <v>318.68</v>
      </c>
      <c r="P41" s="14" t="n">
        <v>318.68</v>
      </c>
      <c r="Q41" s="14" t="n">
        <v>318.68</v>
      </c>
      <c r="R41" s="14" t="n">
        <v>318.68</v>
      </c>
      <c r="S41" s="14" t="n">
        <v>318.68</v>
      </c>
      <c r="T41" s="14" t="n">
        <v>318.68</v>
      </c>
      <c r="U41" s="14" t="n">
        <v>350</v>
      </c>
      <c r="V41" s="14" t="n">
        <v>0</v>
      </c>
      <c r="W41" s="14">
        <f>U41+V41</f>
        <v/>
      </c>
    </row>
    <row r="42">
      <c r="A42" s="15" t="inlineStr">
        <is>
          <t>CANON-202607-007690</t>
        </is>
      </c>
      <c r="B42" s="15" t="inlineStr">
        <is>
          <t>2026-07-28</t>
        </is>
      </c>
      <c r="C42" s="15" t="inlineStr">
        <is>
          <t>Lorenzo Vasquez</t>
        </is>
      </c>
      <c r="D42" s="15" t="inlineStr">
        <is>
          <t>MI</t>
        </is>
      </c>
      <c r="E42" s="16" t="n">
        <v>380000</v>
      </c>
      <c r="F42" s="16" t="n">
        <v>6342.87</v>
      </c>
      <c r="G42" s="16" t="n">
        <v>792.86</v>
      </c>
      <c r="H42" s="16" t="n">
        <v>792.86</v>
      </c>
      <c r="I42" s="16">
        <f>SUM(K42:T42)</f>
        <v/>
      </c>
      <c r="J42" s="16">
        <f>F42-(G42+H42+I42)</f>
        <v/>
      </c>
      <c r="K42" s="16" t="n">
        <v>475.72</v>
      </c>
      <c r="L42" s="16" t="n">
        <v>475.72</v>
      </c>
      <c r="M42" s="16" t="n">
        <v>475.72</v>
      </c>
      <c r="N42" s="16" t="n">
        <v>475.72</v>
      </c>
      <c r="O42" s="16" t="n">
        <v>475.72</v>
      </c>
      <c r="P42" s="16" t="n">
        <v>475.72</v>
      </c>
      <c r="Q42" s="16" t="n">
        <v>475.72</v>
      </c>
      <c r="R42" s="16" t="n">
        <v>475.72</v>
      </c>
      <c r="S42" s="16" t="n">
        <v>475.72</v>
      </c>
      <c r="T42" s="16" t="n">
        <v>475.72</v>
      </c>
      <c r="U42" s="16" t="n">
        <v>350</v>
      </c>
      <c r="V42" s="16" t="n">
        <v>0</v>
      </c>
      <c r="W42" s="16">
        <f>U42+V42</f>
        <v/>
      </c>
    </row>
    <row r="43">
      <c r="A43" s="3" t="inlineStr">
        <is>
          <t>CANON-202607-007691</t>
        </is>
      </c>
      <c r="B43" s="3" t="inlineStr">
        <is>
          <t>2026-07-13</t>
        </is>
      </c>
      <c r="C43" s="3" t="inlineStr">
        <is>
          <t>Emiliano Vasquez</t>
        </is>
      </c>
      <c r="D43" s="3" t="inlineStr">
        <is>
          <t>GA</t>
        </is>
      </c>
      <c r="E43" s="14" t="n">
        <v>665000</v>
      </c>
      <c r="F43" s="14" t="n">
        <v>8341.48</v>
      </c>
      <c r="G43" s="14" t="n">
        <v>1042.68</v>
      </c>
      <c r="H43" s="14" t="n">
        <v>1042.68</v>
      </c>
      <c r="I43" s="14">
        <f>SUM(K43:T43)</f>
        <v/>
      </c>
      <c r="J43" s="14">
        <f>F43-(G43+H43+I43)</f>
        <v/>
      </c>
      <c r="K43" s="14" t="n">
        <v>625.61</v>
      </c>
      <c r="L43" s="14" t="n">
        <v>625.61</v>
      </c>
      <c r="M43" s="14" t="n">
        <v>625.61</v>
      </c>
      <c r="N43" s="14" t="n">
        <v>625.61</v>
      </c>
      <c r="O43" s="14" t="n">
        <v>625.61</v>
      </c>
      <c r="P43" s="14" t="n">
        <v>625.61</v>
      </c>
      <c r="Q43" s="14" t="n">
        <v>625.61</v>
      </c>
      <c r="R43" s="14" t="n">
        <v>625.61</v>
      </c>
      <c r="S43" s="14" t="n">
        <v>625.61</v>
      </c>
      <c r="T43" s="14" t="n">
        <v>625.61</v>
      </c>
      <c r="U43" s="14" t="n">
        <v>350</v>
      </c>
      <c r="V43" s="14" t="n">
        <v>0</v>
      </c>
      <c r="W43" s="14">
        <f>U43+V43</f>
        <v/>
      </c>
    </row>
    <row r="44">
      <c r="A44" s="15" t="inlineStr">
        <is>
          <t>CANON-202607-007692</t>
        </is>
      </c>
      <c r="B44" s="15" t="inlineStr">
        <is>
          <t>2026-07-07</t>
        </is>
      </c>
      <c r="C44" s="15" t="inlineStr">
        <is>
          <t>Horace Blackwood</t>
        </is>
      </c>
      <c r="D44" s="15" t="inlineStr">
        <is>
          <t>MT</t>
        </is>
      </c>
      <c r="E44" s="16" t="n">
        <v>475000</v>
      </c>
      <c r="F44" s="16" t="n">
        <v>4757.15</v>
      </c>
      <c r="G44" s="16" t="n">
        <v>594.64</v>
      </c>
      <c r="H44" s="16" t="n">
        <v>594.64</v>
      </c>
      <c r="I44" s="16">
        <f>SUM(K44:T44)</f>
        <v/>
      </c>
      <c r="J44" s="16">
        <f>F44-(G44+H44+I44)</f>
        <v/>
      </c>
      <c r="K44" s="16" t="n">
        <v>356.79</v>
      </c>
      <c r="L44" s="16" t="n">
        <v>356.79</v>
      </c>
      <c r="M44" s="16" t="n">
        <v>356.79</v>
      </c>
      <c r="N44" s="16" t="n">
        <v>356.79</v>
      </c>
      <c r="O44" s="16" t="n">
        <v>356.79</v>
      </c>
      <c r="P44" s="16" t="n">
        <v>356.79</v>
      </c>
      <c r="Q44" s="16" t="n">
        <v>356.79</v>
      </c>
      <c r="R44" s="16" t="n">
        <v>356.79</v>
      </c>
      <c r="S44" s="16" t="n">
        <v>356.79</v>
      </c>
      <c r="T44" s="16" t="n">
        <v>356.79</v>
      </c>
      <c r="U44" s="16" t="n">
        <v>350</v>
      </c>
      <c r="V44" s="16" t="n">
        <v>0</v>
      </c>
      <c r="W44" s="16">
        <f>U44+V44</f>
        <v/>
      </c>
    </row>
    <row r="45">
      <c r="A45" s="3" t="inlineStr">
        <is>
          <t>CANON-202607-007693</t>
        </is>
      </c>
      <c r="B45" s="3" t="inlineStr">
        <is>
          <t>2026-07-21</t>
        </is>
      </c>
      <c r="C45" s="3" t="inlineStr">
        <is>
          <t>Saoirse Thistlewood</t>
        </is>
      </c>
      <c r="D45" s="3" t="inlineStr">
        <is>
          <t>FL</t>
        </is>
      </c>
      <c r="E45" s="14" t="n">
        <v>765000</v>
      </c>
      <c r="F45" s="14" t="n">
        <v>10138.46</v>
      </c>
      <c r="G45" s="14" t="n">
        <v>1267.31</v>
      </c>
      <c r="H45" s="14" t="n">
        <v>1267.31</v>
      </c>
      <c r="I45" s="14">
        <f>SUM(K45:T45)</f>
        <v/>
      </c>
      <c r="J45" s="14">
        <f>F45-(G45+H45+I45)</f>
        <v/>
      </c>
      <c r="K45" s="14" t="n">
        <v>760.38</v>
      </c>
      <c r="L45" s="14" t="n">
        <v>760.38</v>
      </c>
      <c r="M45" s="14" t="n">
        <v>760.38</v>
      </c>
      <c r="N45" s="14" t="n">
        <v>760.38</v>
      </c>
      <c r="O45" s="14" t="n">
        <v>760.38</v>
      </c>
      <c r="P45" s="14" t="n">
        <v>760.38</v>
      </c>
      <c r="Q45" s="14" t="n">
        <v>760.38</v>
      </c>
      <c r="R45" s="14" t="n">
        <v>760.38</v>
      </c>
      <c r="S45" s="14" t="n">
        <v>760.38</v>
      </c>
      <c r="T45" s="14" t="n">
        <v>760.38</v>
      </c>
      <c r="U45" s="14" t="n">
        <v>350</v>
      </c>
      <c r="V45" s="14" t="n">
        <v>0</v>
      </c>
      <c r="W45" s="14">
        <f>U45+V45</f>
        <v/>
      </c>
    </row>
    <row r="46">
      <c r="A46" s="15" t="inlineStr">
        <is>
          <t>CANON-202607-007694</t>
        </is>
      </c>
      <c r="B46" s="15" t="inlineStr">
        <is>
          <t>2026-07-20</t>
        </is>
      </c>
      <c r="C46" s="15" t="inlineStr">
        <is>
          <t>Callum Harrington</t>
        </is>
      </c>
      <c r="D46" s="15" t="inlineStr">
        <is>
          <t>SC</t>
        </is>
      </c>
      <c r="E46" s="16" t="n">
        <v>630000</v>
      </c>
      <c r="F46" s="16" t="n">
        <v>7290.95</v>
      </c>
      <c r="G46" s="16" t="n">
        <v>911.37</v>
      </c>
      <c r="H46" s="16" t="n">
        <v>911.37</v>
      </c>
      <c r="I46" s="16">
        <f>SUM(K46:T46)</f>
        <v/>
      </c>
      <c r="J46" s="16">
        <f>F46-(G46+H46+I46)</f>
        <v/>
      </c>
      <c r="K46" s="16" t="n">
        <v>546.8200000000001</v>
      </c>
      <c r="L46" s="16" t="n">
        <v>546.8200000000001</v>
      </c>
      <c r="M46" s="16" t="n">
        <v>546.8200000000001</v>
      </c>
      <c r="N46" s="16" t="n">
        <v>546.8200000000001</v>
      </c>
      <c r="O46" s="16" t="n">
        <v>546.8200000000001</v>
      </c>
      <c r="P46" s="16" t="n">
        <v>546.8200000000001</v>
      </c>
      <c r="Q46" s="16" t="n">
        <v>546.8200000000001</v>
      </c>
      <c r="R46" s="16" t="n">
        <v>546.8200000000001</v>
      </c>
      <c r="S46" s="16" t="n">
        <v>546.8200000000001</v>
      </c>
      <c r="T46" s="16" t="n">
        <v>546.8200000000001</v>
      </c>
      <c r="U46" s="16" t="n">
        <v>350</v>
      </c>
      <c r="V46" s="16" t="n">
        <v>0</v>
      </c>
      <c r="W46" s="16">
        <f>U46+V46</f>
        <v/>
      </c>
    </row>
    <row r="47">
      <c r="A47" s="3" t="inlineStr">
        <is>
          <t>CANON-202607-007695</t>
        </is>
      </c>
      <c r="B47" s="3" t="inlineStr">
        <is>
          <t>2026-07-22</t>
        </is>
      </c>
      <c r="C47" s="3" t="inlineStr">
        <is>
          <t>Desmond Merriweather</t>
        </is>
      </c>
      <c r="D47" s="3" t="inlineStr">
        <is>
          <t>SC</t>
        </is>
      </c>
      <c r="E47" s="14" t="n">
        <v>1100000</v>
      </c>
      <c r="F47" s="14" t="n">
        <v>15667.99</v>
      </c>
      <c r="G47" s="14" t="n">
        <v>1958.5</v>
      </c>
      <c r="H47" s="14" t="n">
        <v>1958.5</v>
      </c>
      <c r="I47" s="14">
        <f>SUM(K47:T47)</f>
        <v/>
      </c>
      <c r="J47" s="14">
        <f>F47-(G47+H47+I47)</f>
        <v/>
      </c>
      <c r="K47" s="14" t="n">
        <v>1175.1</v>
      </c>
      <c r="L47" s="14" t="n">
        <v>1175.1</v>
      </c>
      <c r="M47" s="14" t="n">
        <v>1175.1</v>
      </c>
      <c r="N47" s="14" t="n">
        <v>1175.1</v>
      </c>
      <c r="O47" s="14" t="n">
        <v>1175.1</v>
      </c>
      <c r="P47" s="14" t="n">
        <v>1175.1</v>
      </c>
      <c r="Q47" s="14" t="n">
        <v>1175.1</v>
      </c>
      <c r="R47" s="14" t="n">
        <v>1175.1</v>
      </c>
      <c r="S47" s="14" t="n">
        <v>1175.1</v>
      </c>
      <c r="T47" s="14" t="n">
        <v>1175.1</v>
      </c>
      <c r="U47" s="14" t="n">
        <v>350</v>
      </c>
      <c r="V47" s="14" t="n">
        <v>250</v>
      </c>
      <c r="W47" s="14">
        <f>U47+V47</f>
        <v/>
      </c>
    </row>
    <row r="48">
      <c r="A48" s="15" t="inlineStr">
        <is>
          <t>CANON-202607-007697</t>
        </is>
      </c>
      <c r="B48" s="15" t="inlineStr">
        <is>
          <t>2026-07-03</t>
        </is>
      </c>
      <c r="C48" s="15" t="inlineStr">
        <is>
          <t>Desmond Rourke</t>
        </is>
      </c>
      <c r="D48" s="15" t="inlineStr">
        <is>
          <t>NY</t>
        </is>
      </c>
      <c r="E48" s="16" t="n">
        <v>395000</v>
      </c>
      <c r="F48" s="16" t="n">
        <v>5444.74</v>
      </c>
      <c r="G48" s="16" t="n">
        <v>680.59</v>
      </c>
      <c r="H48" s="16" t="n">
        <v>680.59</v>
      </c>
      <c r="I48" s="16">
        <f>SUM(K48:T48)</f>
        <v/>
      </c>
      <c r="J48" s="16">
        <f>F48-(G48+H48+I48)</f>
        <v/>
      </c>
      <c r="K48" s="16" t="n">
        <v>408.36</v>
      </c>
      <c r="L48" s="16" t="n">
        <v>408.36</v>
      </c>
      <c r="M48" s="16" t="n">
        <v>408.36</v>
      </c>
      <c r="N48" s="16" t="n">
        <v>408.36</v>
      </c>
      <c r="O48" s="16" t="n">
        <v>408.36</v>
      </c>
      <c r="P48" s="16" t="n">
        <v>408.36</v>
      </c>
      <c r="Q48" s="16" t="n">
        <v>408.36</v>
      </c>
      <c r="R48" s="16" t="n">
        <v>408.36</v>
      </c>
      <c r="S48" s="16" t="n">
        <v>408.36</v>
      </c>
      <c r="T48" s="16" t="n">
        <v>408.36</v>
      </c>
      <c r="U48" s="16" t="n">
        <v>350</v>
      </c>
      <c r="V48" s="16" t="n">
        <v>0</v>
      </c>
      <c r="W48" s="16">
        <f>U48+V48</f>
        <v/>
      </c>
    </row>
    <row r="49">
      <c r="A49" s="3" t="inlineStr">
        <is>
          <t>CANON-202607-007699</t>
        </is>
      </c>
      <c r="B49" s="3" t="inlineStr">
        <is>
          <t>2026-07-01</t>
        </is>
      </c>
      <c r="C49" s="3" t="inlineStr">
        <is>
          <t>Noor Vandermeer</t>
        </is>
      </c>
      <c r="D49" s="3" t="inlineStr">
        <is>
          <t>MN</t>
        </is>
      </c>
      <c r="E49" s="14" t="n">
        <v>470000</v>
      </c>
      <c r="F49" s="14" t="n">
        <v>10244.21</v>
      </c>
      <c r="G49" s="14" t="n">
        <v>1280.53</v>
      </c>
      <c r="H49" s="14" t="n">
        <v>1280.53</v>
      </c>
      <c r="I49" s="14">
        <f>SUM(K49:T49)</f>
        <v/>
      </c>
      <c r="J49" s="14">
        <f>F49-(G49+H49+I49)</f>
        <v/>
      </c>
      <c r="K49" s="14" t="n">
        <v>768.3200000000001</v>
      </c>
      <c r="L49" s="14" t="n">
        <v>768.3200000000001</v>
      </c>
      <c r="M49" s="14" t="n">
        <v>768.3200000000001</v>
      </c>
      <c r="N49" s="14" t="n">
        <v>768.3200000000001</v>
      </c>
      <c r="O49" s="14" t="n">
        <v>768.3200000000001</v>
      </c>
      <c r="P49" s="14" t="n">
        <v>768.3200000000001</v>
      </c>
      <c r="Q49" s="14" t="n">
        <v>768.3200000000001</v>
      </c>
      <c r="R49" s="14" t="n">
        <v>768.3200000000001</v>
      </c>
      <c r="S49" s="14" t="n">
        <v>768.3200000000001</v>
      </c>
      <c r="T49" s="14" t="n">
        <v>768.3200000000001</v>
      </c>
      <c r="U49" s="14" t="n">
        <v>350</v>
      </c>
      <c r="V49" s="14" t="n">
        <v>0</v>
      </c>
      <c r="W49" s="14">
        <f>U49+V49</f>
        <v/>
      </c>
    </row>
    <row r="50">
      <c r="A50" s="15" t="inlineStr">
        <is>
          <t>CANON-202607-007700</t>
        </is>
      </c>
      <c r="B50" s="15" t="inlineStr">
        <is>
          <t>2026-07-28</t>
        </is>
      </c>
      <c r="C50" s="15" t="inlineStr">
        <is>
          <t>Anouk Fairweather</t>
        </is>
      </c>
      <c r="D50" s="15" t="inlineStr">
        <is>
          <t>RI</t>
        </is>
      </c>
      <c r="E50" s="16" t="n">
        <v>610000</v>
      </c>
      <c r="F50" s="16" t="n">
        <v>7799.6</v>
      </c>
      <c r="G50" s="16" t="n">
        <v>974.95</v>
      </c>
      <c r="H50" s="16" t="n">
        <v>974.95</v>
      </c>
      <c r="I50" s="16">
        <f>SUM(K50:T50)</f>
        <v/>
      </c>
      <c r="J50" s="16">
        <f>F50-(G50+H50+I50)</f>
        <v/>
      </c>
      <c r="K50" s="16" t="n">
        <v>584.97</v>
      </c>
      <c r="L50" s="16" t="n">
        <v>584.97</v>
      </c>
      <c r="M50" s="16" t="n">
        <v>584.97</v>
      </c>
      <c r="N50" s="16" t="n">
        <v>584.97</v>
      </c>
      <c r="O50" s="16" t="n">
        <v>584.97</v>
      </c>
      <c r="P50" s="16" t="n">
        <v>584.97</v>
      </c>
      <c r="Q50" s="16" t="n">
        <v>584.97</v>
      </c>
      <c r="R50" s="16" t="n">
        <v>584.97</v>
      </c>
      <c r="S50" s="16" t="n">
        <v>584.97</v>
      </c>
      <c r="T50" s="16" t="n">
        <v>584.97</v>
      </c>
      <c r="U50" s="16" t="n">
        <v>350</v>
      </c>
      <c r="V50" s="16" t="n">
        <v>0</v>
      </c>
      <c r="W50" s="16">
        <f>U50+V50</f>
        <v/>
      </c>
    </row>
    <row r="51">
      <c r="A51" s="3" t="inlineStr">
        <is>
          <t>CANON-202607-007701</t>
        </is>
      </c>
      <c r="B51" s="3" t="inlineStr">
        <is>
          <t>2026-07-11</t>
        </is>
      </c>
      <c r="C51" s="3" t="inlineStr">
        <is>
          <t>Lorenzo Vandermeer</t>
        </is>
      </c>
      <c r="D51" s="3" t="inlineStr">
        <is>
          <t>VT</t>
        </is>
      </c>
      <c r="E51" s="14" t="n">
        <v>550000</v>
      </c>
      <c r="F51" s="14" t="n">
        <v>9152.82</v>
      </c>
      <c r="G51" s="14" t="n">
        <v>1144.1</v>
      </c>
      <c r="H51" s="14" t="n">
        <v>1144.1</v>
      </c>
      <c r="I51" s="14">
        <f>SUM(K51:T51)</f>
        <v/>
      </c>
      <c r="J51" s="14">
        <f>F51-(G51+H51+I51)</f>
        <v/>
      </c>
      <c r="K51" s="14" t="n">
        <v>686.46</v>
      </c>
      <c r="L51" s="14" t="n">
        <v>686.46</v>
      </c>
      <c r="M51" s="14" t="n">
        <v>686.46</v>
      </c>
      <c r="N51" s="14" t="n">
        <v>686.46</v>
      </c>
      <c r="O51" s="14" t="n">
        <v>686.46</v>
      </c>
      <c r="P51" s="14" t="n">
        <v>686.46</v>
      </c>
      <c r="Q51" s="14" t="n">
        <v>686.46</v>
      </c>
      <c r="R51" s="14" t="n">
        <v>686.46</v>
      </c>
      <c r="S51" s="14" t="n">
        <v>686.46</v>
      </c>
      <c r="T51" s="14" t="n">
        <v>686.46</v>
      </c>
      <c r="U51" s="14" t="n">
        <v>350</v>
      </c>
      <c r="V51" s="14" t="n">
        <v>0</v>
      </c>
      <c r="W51" s="14">
        <f>U51+V51</f>
        <v/>
      </c>
    </row>
    <row r="52">
      <c r="A52" s="15" t="inlineStr">
        <is>
          <t>CANON-202607-007702</t>
        </is>
      </c>
      <c r="B52" s="15" t="inlineStr">
        <is>
          <t>2026-07-11</t>
        </is>
      </c>
      <c r="C52" s="15" t="inlineStr">
        <is>
          <t>Callum Whitlock</t>
        </is>
      </c>
      <c r="D52" s="15" t="inlineStr">
        <is>
          <t>IN</t>
        </is>
      </c>
      <c r="E52" s="16" t="n">
        <v>1950000</v>
      </c>
      <c r="F52" s="16" t="n">
        <v>11709.2</v>
      </c>
      <c r="G52" s="16" t="n">
        <v>1463.65</v>
      </c>
      <c r="H52" s="16" t="n">
        <v>1463.65</v>
      </c>
      <c r="I52" s="16">
        <f>SUM(K52:T52)</f>
        <v/>
      </c>
      <c r="J52" s="16">
        <f>F52-(G52+H52+I52)</f>
        <v/>
      </c>
      <c r="K52" s="16" t="n">
        <v>878.1900000000001</v>
      </c>
      <c r="L52" s="16" t="n">
        <v>878.1900000000001</v>
      </c>
      <c r="M52" s="16" t="n">
        <v>878.1900000000001</v>
      </c>
      <c r="N52" s="16" t="n">
        <v>878.1900000000001</v>
      </c>
      <c r="O52" s="16" t="n">
        <v>878.1900000000001</v>
      </c>
      <c r="P52" s="16" t="n">
        <v>878.1900000000001</v>
      </c>
      <c r="Q52" s="16" t="n">
        <v>878.1900000000001</v>
      </c>
      <c r="R52" s="16" t="n">
        <v>878.1900000000001</v>
      </c>
      <c r="S52" s="16" t="n">
        <v>878.1900000000001</v>
      </c>
      <c r="T52" s="16" t="n">
        <v>878.1900000000001</v>
      </c>
      <c r="U52" s="16" t="n">
        <v>350</v>
      </c>
      <c r="V52" s="16" t="n">
        <v>250</v>
      </c>
      <c r="W52" s="16">
        <f>U52+V52</f>
        <v/>
      </c>
    </row>
    <row r="53">
      <c r="A53" s="3" t="inlineStr">
        <is>
          <t>CANON-202607-007703</t>
        </is>
      </c>
      <c r="B53" s="3" t="inlineStr">
        <is>
          <t>2026-07-22</t>
        </is>
      </c>
      <c r="C53" s="3" t="inlineStr">
        <is>
          <t>Priya Castellanos</t>
        </is>
      </c>
      <c r="D53" s="3" t="inlineStr">
        <is>
          <t>WI</t>
        </is>
      </c>
      <c r="E53" s="14" t="n">
        <v>1250000</v>
      </c>
      <c r="F53" s="14" t="n">
        <v>11845.76</v>
      </c>
      <c r="G53" s="14" t="n">
        <v>1480.72</v>
      </c>
      <c r="H53" s="14" t="n">
        <v>1480.72</v>
      </c>
      <c r="I53" s="14">
        <f>SUM(K53:T53)</f>
        <v/>
      </c>
      <c r="J53" s="14">
        <f>F53-(G53+H53+I53)</f>
        <v/>
      </c>
      <c r="K53" s="14" t="n">
        <v>888.4299999999999</v>
      </c>
      <c r="L53" s="14" t="n">
        <v>888.4299999999999</v>
      </c>
      <c r="M53" s="14" t="n">
        <v>888.4299999999999</v>
      </c>
      <c r="N53" s="14" t="n">
        <v>888.4299999999999</v>
      </c>
      <c r="O53" s="14" t="n">
        <v>888.4299999999999</v>
      </c>
      <c r="P53" s="14" t="n">
        <v>888.4299999999999</v>
      </c>
      <c r="Q53" s="14" t="n">
        <v>888.4299999999999</v>
      </c>
      <c r="R53" s="14" t="n">
        <v>888.4299999999999</v>
      </c>
      <c r="S53" s="14" t="n">
        <v>888.4299999999999</v>
      </c>
      <c r="T53" s="14" t="n">
        <v>888.4299999999999</v>
      </c>
      <c r="U53" s="14" t="n">
        <v>350</v>
      </c>
      <c r="V53" s="14" t="n">
        <v>250</v>
      </c>
      <c r="W53" s="14">
        <f>U53+V53</f>
        <v/>
      </c>
    </row>
    <row r="54">
      <c r="A54" s="15" t="inlineStr">
        <is>
          <t>CANON-202607-007706</t>
        </is>
      </c>
      <c r="B54" s="15" t="inlineStr">
        <is>
          <t>2026-07-02</t>
        </is>
      </c>
      <c r="C54" s="15" t="inlineStr">
        <is>
          <t>Fenwick Castellanos</t>
        </is>
      </c>
      <c r="D54" s="15" t="inlineStr">
        <is>
          <t>CA</t>
        </is>
      </c>
      <c r="E54" s="16" t="n">
        <v>1360000</v>
      </c>
      <c r="F54" s="16" t="n">
        <v>21089.75</v>
      </c>
      <c r="G54" s="16" t="n">
        <v>2636.22</v>
      </c>
      <c r="H54" s="16" t="n">
        <v>2636.22</v>
      </c>
      <c r="I54" s="16">
        <f>SUM(K54:T54)</f>
        <v/>
      </c>
      <c r="J54" s="16">
        <f>F54-(G54+H54+I54)</f>
        <v/>
      </c>
      <c r="K54" s="16" t="n">
        <v>1581.73</v>
      </c>
      <c r="L54" s="16" t="n">
        <v>1581.73</v>
      </c>
      <c r="M54" s="16" t="n">
        <v>1581.73</v>
      </c>
      <c r="N54" s="16" t="n">
        <v>1581.73</v>
      </c>
      <c r="O54" s="16" t="n">
        <v>1581.73</v>
      </c>
      <c r="P54" s="16" t="n">
        <v>1581.73</v>
      </c>
      <c r="Q54" s="16" t="n">
        <v>1581.73</v>
      </c>
      <c r="R54" s="16" t="n">
        <v>1581.73</v>
      </c>
      <c r="S54" s="16" t="n">
        <v>1581.73</v>
      </c>
      <c r="T54" s="16" t="n">
        <v>1581.73</v>
      </c>
      <c r="U54" s="16" t="n">
        <v>350</v>
      </c>
      <c r="V54" s="16" t="n">
        <v>250</v>
      </c>
      <c r="W54" s="16">
        <f>U54+V54</f>
        <v/>
      </c>
    </row>
    <row r="55">
      <c r="A55" s="3" t="inlineStr">
        <is>
          <t>CANON-202607-007709</t>
        </is>
      </c>
      <c r="B55" s="3" t="inlineStr">
        <is>
          <t>2026-07-25</t>
        </is>
      </c>
      <c r="C55" s="3" t="inlineStr">
        <is>
          <t>Fenwick Montoya</t>
        </is>
      </c>
      <c r="D55" s="3" t="inlineStr">
        <is>
          <t>MS</t>
        </is>
      </c>
      <c r="E55" s="14" t="n">
        <v>525000</v>
      </c>
      <c r="F55" s="14" t="n">
        <v>3857.3</v>
      </c>
      <c r="G55" s="14" t="n">
        <v>482.16</v>
      </c>
      <c r="H55" s="14" t="n">
        <v>482.16</v>
      </c>
      <c r="I55" s="14">
        <f>SUM(K55:T55)</f>
        <v/>
      </c>
      <c r="J55" s="14">
        <f>F55-(G55+H55+I55)</f>
        <v/>
      </c>
      <c r="K55" s="14" t="n">
        <v>289.3</v>
      </c>
      <c r="L55" s="14" t="n">
        <v>289.3</v>
      </c>
      <c r="M55" s="14" t="n">
        <v>289.3</v>
      </c>
      <c r="N55" s="14" t="n">
        <v>289.3</v>
      </c>
      <c r="O55" s="14" t="n">
        <v>289.3</v>
      </c>
      <c r="P55" s="14" t="n">
        <v>289.3</v>
      </c>
      <c r="Q55" s="14" t="n">
        <v>289.3</v>
      </c>
      <c r="R55" s="14" t="n">
        <v>289.3</v>
      </c>
      <c r="S55" s="14" t="n">
        <v>289.3</v>
      </c>
      <c r="T55" s="14" t="n">
        <v>289.3</v>
      </c>
      <c r="U55" s="14" t="n">
        <v>350</v>
      </c>
      <c r="V55" s="14" t="n">
        <v>0</v>
      </c>
      <c r="W55" s="14">
        <f>U55+V55</f>
        <v/>
      </c>
    </row>
    <row r="56">
      <c r="A56" s="15" t="inlineStr">
        <is>
          <t>CANON-202607-007712</t>
        </is>
      </c>
      <c r="B56" s="15" t="inlineStr">
        <is>
          <t>2026-07-29</t>
        </is>
      </c>
      <c r="C56" s="15" t="inlineStr">
        <is>
          <t>Lorenzo Ashcombe</t>
        </is>
      </c>
      <c r="D56" s="15" t="inlineStr">
        <is>
          <t>FL</t>
        </is>
      </c>
      <c r="E56" s="16" t="n">
        <v>1045000</v>
      </c>
      <c r="F56" s="16" t="n">
        <v>11718.61</v>
      </c>
      <c r="G56" s="16" t="n">
        <v>1464.83</v>
      </c>
      <c r="H56" s="16" t="n">
        <v>1464.83</v>
      </c>
      <c r="I56" s="16">
        <f>SUM(K56:T56)</f>
        <v/>
      </c>
      <c r="J56" s="16">
        <f>F56-(G56+H56+I56)</f>
        <v/>
      </c>
      <c r="K56" s="16" t="n">
        <v>878.9</v>
      </c>
      <c r="L56" s="16" t="n">
        <v>878.9</v>
      </c>
      <c r="M56" s="16" t="n">
        <v>878.9</v>
      </c>
      <c r="N56" s="16" t="n">
        <v>878.9</v>
      </c>
      <c r="O56" s="16" t="n">
        <v>878.9</v>
      </c>
      <c r="P56" s="16" t="n">
        <v>878.9</v>
      </c>
      <c r="Q56" s="16" t="n">
        <v>878.9</v>
      </c>
      <c r="R56" s="16" t="n">
        <v>878.9</v>
      </c>
      <c r="S56" s="16" t="n">
        <v>878.9</v>
      </c>
      <c r="T56" s="16" t="n">
        <v>878.9</v>
      </c>
      <c r="U56" s="16" t="n">
        <v>350</v>
      </c>
      <c r="V56" s="16" t="n">
        <v>250</v>
      </c>
      <c r="W56" s="16">
        <f>U56+V56</f>
        <v/>
      </c>
    </row>
    <row r="57">
      <c r="A57" s="3" t="inlineStr">
        <is>
          <t>CANON-202607-007714</t>
        </is>
      </c>
      <c r="B57" s="3" t="inlineStr">
        <is>
          <t>2026-07-21</t>
        </is>
      </c>
      <c r="C57" s="3" t="inlineStr">
        <is>
          <t>Delphine Kingsford</t>
        </is>
      </c>
      <c r="D57" s="3" t="inlineStr">
        <is>
          <t>UT</t>
        </is>
      </c>
      <c r="E57" s="14" t="n">
        <v>310000</v>
      </c>
      <c r="F57" s="14" t="n">
        <v>2884.33</v>
      </c>
      <c r="G57" s="14" t="n">
        <v>360.54</v>
      </c>
      <c r="H57" s="14" t="n">
        <v>360.54</v>
      </c>
      <c r="I57" s="14">
        <f>SUM(K57:T57)</f>
        <v/>
      </c>
      <c r="J57" s="14">
        <f>F57-(G57+H57+I57)</f>
        <v/>
      </c>
      <c r="K57" s="14" t="n">
        <v>216.32</v>
      </c>
      <c r="L57" s="14" t="n">
        <v>216.32</v>
      </c>
      <c r="M57" s="14" t="n">
        <v>216.32</v>
      </c>
      <c r="N57" s="14" t="n">
        <v>216.32</v>
      </c>
      <c r="O57" s="14" t="n">
        <v>216.32</v>
      </c>
      <c r="P57" s="14" t="n">
        <v>216.32</v>
      </c>
      <c r="Q57" s="14" t="n">
        <v>216.32</v>
      </c>
      <c r="R57" s="14" t="n">
        <v>216.32</v>
      </c>
      <c r="S57" s="14" t="n">
        <v>216.32</v>
      </c>
      <c r="T57" s="14" t="n">
        <v>216.32</v>
      </c>
      <c r="U57" s="14" t="n">
        <v>350</v>
      </c>
      <c r="V57" s="14" t="n">
        <v>0</v>
      </c>
      <c r="W57" s="14">
        <f>U57+V57</f>
        <v/>
      </c>
    </row>
    <row r="58">
      <c r="A58" s="15" t="inlineStr">
        <is>
          <t>CANON-202607-007715</t>
        </is>
      </c>
      <c r="B58" s="15" t="inlineStr">
        <is>
          <t>2026-07-15</t>
        </is>
      </c>
      <c r="C58" s="15" t="inlineStr">
        <is>
          <t>Desmond Nakashima</t>
        </is>
      </c>
      <c r="D58" s="15" t="inlineStr">
        <is>
          <t>CO</t>
        </is>
      </c>
      <c r="E58" s="16" t="n">
        <v>525000</v>
      </c>
      <c r="F58" s="16" t="n">
        <v>3150.97</v>
      </c>
      <c r="G58" s="16" t="n">
        <v>393.87</v>
      </c>
      <c r="H58" s="16" t="n">
        <v>393.87</v>
      </c>
      <c r="I58" s="16">
        <f>SUM(K58:T58)</f>
        <v/>
      </c>
      <c r="J58" s="16">
        <f>F58-(G58+H58+I58)</f>
        <v/>
      </c>
      <c r="K58" s="16" t="n">
        <v>236.32</v>
      </c>
      <c r="L58" s="16" t="n">
        <v>236.32</v>
      </c>
      <c r="M58" s="16" t="n">
        <v>236.32</v>
      </c>
      <c r="N58" s="16" t="n">
        <v>236.32</v>
      </c>
      <c r="O58" s="16" t="n">
        <v>236.32</v>
      </c>
      <c r="P58" s="16" t="n">
        <v>236.32</v>
      </c>
      <c r="Q58" s="16" t="n">
        <v>236.32</v>
      </c>
      <c r="R58" s="16" t="n">
        <v>236.32</v>
      </c>
      <c r="S58" s="16" t="n">
        <v>236.32</v>
      </c>
      <c r="T58" s="16" t="n">
        <v>236.32</v>
      </c>
      <c r="U58" s="16" t="n">
        <v>350</v>
      </c>
      <c r="V58" s="16" t="n">
        <v>0</v>
      </c>
      <c r="W58" s="16">
        <f>U58+V58</f>
        <v/>
      </c>
    </row>
    <row r="59">
      <c r="A59" s="3" t="inlineStr">
        <is>
          <t>CANON-202607-007716</t>
        </is>
      </c>
      <c r="B59" s="3" t="inlineStr">
        <is>
          <t>2026-07-27</t>
        </is>
      </c>
      <c r="C59" s="3" t="inlineStr">
        <is>
          <t>Delphine Vasquez</t>
        </is>
      </c>
      <c r="D59" s="3" t="inlineStr">
        <is>
          <t>PA</t>
        </is>
      </c>
      <c r="E59" s="14" t="n">
        <v>275000</v>
      </c>
      <c r="F59" s="14" t="n">
        <v>2961.44</v>
      </c>
      <c r="G59" s="14" t="n">
        <v>370.18</v>
      </c>
      <c r="H59" s="14" t="n">
        <v>370.18</v>
      </c>
      <c r="I59" s="14">
        <f>SUM(K59:T59)</f>
        <v/>
      </c>
      <c r="J59" s="14">
        <f>F59-(G59+H59+I59)</f>
        <v/>
      </c>
      <c r="K59" s="14" t="n">
        <v>222.11</v>
      </c>
      <c r="L59" s="14" t="n">
        <v>222.11</v>
      </c>
      <c r="M59" s="14" t="n">
        <v>222.11</v>
      </c>
      <c r="N59" s="14" t="n">
        <v>222.11</v>
      </c>
      <c r="O59" s="14" t="n">
        <v>222.11</v>
      </c>
      <c r="P59" s="14" t="n">
        <v>222.11</v>
      </c>
      <c r="Q59" s="14" t="n">
        <v>222.11</v>
      </c>
      <c r="R59" s="14" t="n">
        <v>222.11</v>
      </c>
      <c r="S59" s="14" t="n">
        <v>222.11</v>
      </c>
      <c r="T59" s="14" t="n">
        <v>222.11</v>
      </c>
      <c r="U59" s="14" t="n">
        <v>350</v>
      </c>
      <c r="V59" s="14" t="n">
        <v>0</v>
      </c>
      <c r="W59" s="14">
        <f>U59+V59</f>
        <v/>
      </c>
    </row>
    <row r="60">
      <c r="A60" s="15" t="inlineStr">
        <is>
          <t>CANON-202607-007717</t>
        </is>
      </c>
      <c r="B60" s="15" t="inlineStr">
        <is>
          <t>2026-07-26</t>
        </is>
      </c>
      <c r="C60" s="15" t="inlineStr">
        <is>
          <t>Noor Castellanos</t>
        </is>
      </c>
      <c r="D60" s="15" t="inlineStr">
        <is>
          <t>FL</t>
        </is>
      </c>
      <c r="E60" s="16" t="n">
        <v>420000</v>
      </c>
      <c r="F60" s="16" t="n">
        <v>4110.43</v>
      </c>
      <c r="G60" s="16" t="n">
        <v>513.8</v>
      </c>
      <c r="H60" s="16" t="n">
        <v>513.8</v>
      </c>
      <c r="I60" s="16">
        <f>SUM(K60:T60)</f>
        <v/>
      </c>
      <c r="J60" s="16">
        <f>F60-(G60+H60+I60)</f>
        <v/>
      </c>
      <c r="K60" s="16" t="n">
        <v>308.28</v>
      </c>
      <c r="L60" s="16" t="n">
        <v>308.28</v>
      </c>
      <c r="M60" s="16" t="n">
        <v>308.28</v>
      </c>
      <c r="N60" s="16" t="n">
        <v>308.28</v>
      </c>
      <c r="O60" s="16" t="n">
        <v>308.28</v>
      </c>
      <c r="P60" s="16" t="n">
        <v>308.28</v>
      </c>
      <c r="Q60" s="16" t="n">
        <v>308.28</v>
      </c>
      <c r="R60" s="16" t="n">
        <v>308.28</v>
      </c>
      <c r="S60" s="16" t="n">
        <v>308.28</v>
      </c>
      <c r="T60" s="16" t="n">
        <v>308.28</v>
      </c>
      <c r="U60" s="16" t="n">
        <v>350</v>
      </c>
      <c r="V60" s="16" t="n">
        <v>0</v>
      </c>
      <c r="W60" s="16">
        <f>U60+V60</f>
        <v/>
      </c>
    </row>
    <row r="61">
      <c r="A61" s="3" t="inlineStr">
        <is>
          <t>CANON-202607-007723</t>
        </is>
      </c>
      <c r="B61" s="3" t="inlineStr">
        <is>
          <t>2026-07-23</t>
        </is>
      </c>
      <c r="C61" s="3" t="inlineStr">
        <is>
          <t>Ottilie Fairweather</t>
        </is>
      </c>
      <c r="D61" s="3" t="inlineStr">
        <is>
          <t>CA</t>
        </is>
      </c>
      <c r="E61" s="14" t="n">
        <v>415000</v>
      </c>
      <c r="F61" s="14" t="n">
        <v>6033.26</v>
      </c>
      <c r="G61" s="14" t="n">
        <v>754.16</v>
      </c>
      <c r="H61" s="14" t="n">
        <v>754.16</v>
      </c>
      <c r="I61" s="14">
        <f>SUM(K61:T61)</f>
        <v/>
      </c>
      <c r="J61" s="14">
        <f>F61-(G61+H61+I61)</f>
        <v/>
      </c>
      <c r="K61" s="14" t="n">
        <v>452.49</v>
      </c>
      <c r="L61" s="14" t="n">
        <v>452.49</v>
      </c>
      <c r="M61" s="14" t="n">
        <v>452.49</v>
      </c>
      <c r="N61" s="14" t="n">
        <v>452.49</v>
      </c>
      <c r="O61" s="14" t="n">
        <v>452.49</v>
      </c>
      <c r="P61" s="14" t="n">
        <v>452.49</v>
      </c>
      <c r="Q61" s="14" t="n">
        <v>452.49</v>
      </c>
      <c r="R61" s="14" t="n">
        <v>452.49</v>
      </c>
      <c r="S61" s="14" t="n">
        <v>452.49</v>
      </c>
      <c r="T61" s="14" t="n">
        <v>452.49</v>
      </c>
      <c r="U61" s="14" t="n">
        <v>350</v>
      </c>
      <c r="V61" s="14" t="n">
        <v>0</v>
      </c>
      <c r="W61" s="14">
        <f>U61+V61</f>
        <v/>
      </c>
    </row>
    <row r="62">
      <c r="A62" s="15" t="inlineStr">
        <is>
          <t>CANON-202607-007724</t>
        </is>
      </c>
      <c r="B62" s="15" t="inlineStr">
        <is>
          <t>2026-07-22</t>
        </is>
      </c>
      <c r="C62" s="15" t="inlineStr">
        <is>
          <t>Priya Castellanos</t>
        </is>
      </c>
      <c r="D62" s="15" t="inlineStr">
        <is>
          <t>OK</t>
        </is>
      </c>
      <c r="E62" s="16" t="n">
        <v>465000</v>
      </c>
      <c r="F62" s="16" t="n">
        <v>4038.06</v>
      </c>
      <c r="G62" s="16" t="n">
        <v>504.76</v>
      </c>
      <c r="H62" s="16" t="n">
        <v>504.76</v>
      </c>
      <c r="I62" s="16">
        <f>SUM(K62:T62)</f>
        <v/>
      </c>
      <c r="J62" s="16">
        <f>F62-(G62+H62+I62)</f>
        <v/>
      </c>
      <c r="K62" s="16" t="n">
        <v>302.85</v>
      </c>
      <c r="L62" s="16" t="n">
        <v>302.85</v>
      </c>
      <c r="M62" s="16" t="n">
        <v>302.85</v>
      </c>
      <c r="N62" s="16" t="n">
        <v>302.85</v>
      </c>
      <c r="O62" s="16" t="n">
        <v>302.85</v>
      </c>
      <c r="P62" s="16" t="n">
        <v>302.85</v>
      </c>
      <c r="Q62" s="16" t="n">
        <v>302.85</v>
      </c>
      <c r="R62" s="16" t="n">
        <v>302.85</v>
      </c>
      <c r="S62" s="16" t="n">
        <v>302.85</v>
      </c>
      <c r="T62" s="16" t="n">
        <v>302.85</v>
      </c>
      <c r="U62" s="16" t="n">
        <v>350</v>
      </c>
      <c r="V62" s="16" t="n">
        <v>0</v>
      </c>
      <c r="W62" s="16">
        <f>U62+V62</f>
        <v/>
      </c>
    </row>
    <row r="63">
      <c r="A63" s="3" t="inlineStr">
        <is>
          <t>CANON-202607-007726</t>
        </is>
      </c>
      <c r="B63" s="3" t="inlineStr">
        <is>
          <t>2026-07-17</t>
        </is>
      </c>
      <c r="C63" s="3" t="inlineStr">
        <is>
          <t>Fenwick Fairweather</t>
        </is>
      </c>
      <c r="D63" s="3" t="inlineStr">
        <is>
          <t>NV</t>
        </is>
      </c>
      <c r="E63" s="14" t="n">
        <v>1865000</v>
      </c>
      <c r="F63" s="14" t="n">
        <v>10652.52</v>
      </c>
      <c r="G63" s="14" t="n">
        <v>1331.57</v>
      </c>
      <c r="H63" s="14" t="n">
        <v>1331.57</v>
      </c>
      <c r="I63" s="14">
        <f>SUM(K63:T63)</f>
        <v/>
      </c>
      <c r="J63" s="14">
        <f>F63-(G63+H63+I63)</f>
        <v/>
      </c>
      <c r="K63" s="14" t="n">
        <v>798.9400000000001</v>
      </c>
      <c r="L63" s="14" t="n">
        <v>798.9400000000001</v>
      </c>
      <c r="M63" s="14" t="n">
        <v>798.9400000000001</v>
      </c>
      <c r="N63" s="14" t="n">
        <v>798.9400000000001</v>
      </c>
      <c r="O63" s="14" t="n">
        <v>798.9400000000001</v>
      </c>
      <c r="P63" s="14" t="n">
        <v>798.9400000000001</v>
      </c>
      <c r="Q63" s="14" t="n">
        <v>798.9400000000001</v>
      </c>
      <c r="R63" s="14" t="n">
        <v>798.9400000000001</v>
      </c>
      <c r="S63" s="14" t="n">
        <v>798.9400000000001</v>
      </c>
      <c r="T63" s="14" t="n">
        <v>798.9400000000001</v>
      </c>
      <c r="U63" s="14" t="n">
        <v>350</v>
      </c>
      <c r="V63" s="14" t="n">
        <v>250</v>
      </c>
      <c r="W63" s="14">
        <f>U63+V63</f>
        <v/>
      </c>
    </row>
    <row r="64">
      <c r="A64" s="15" t="inlineStr">
        <is>
          <t>CANON-202607-007728</t>
        </is>
      </c>
      <c r="B64" s="15" t="inlineStr">
        <is>
          <t>2026-07-22</t>
        </is>
      </c>
      <c r="C64" s="15" t="inlineStr">
        <is>
          <t>Lorenzo Kingsford</t>
        </is>
      </c>
      <c r="D64" s="15" t="inlineStr">
        <is>
          <t>NC</t>
        </is>
      </c>
      <c r="E64" s="16" t="n">
        <v>190000</v>
      </c>
      <c r="F64" s="16" t="n">
        <v>1788.28</v>
      </c>
      <c r="G64" s="16" t="n">
        <v>223.53</v>
      </c>
      <c r="H64" s="16" t="n">
        <v>223.53</v>
      </c>
      <c r="I64" s="16">
        <f>SUM(K64:T64)</f>
        <v/>
      </c>
      <c r="J64" s="16">
        <f>F64-(G64+H64+I64)</f>
        <v/>
      </c>
      <c r="K64" s="16" t="n">
        <v>134.12</v>
      </c>
      <c r="L64" s="16" t="n">
        <v>134.12</v>
      </c>
      <c r="M64" s="16" t="n">
        <v>134.12</v>
      </c>
      <c r="N64" s="16" t="n">
        <v>134.12</v>
      </c>
      <c r="O64" s="16" t="n">
        <v>134.12</v>
      </c>
      <c r="P64" s="16" t="n">
        <v>134.12</v>
      </c>
      <c r="Q64" s="16" t="n">
        <v>134.12</v>
      </c>
      <c r="R64" s="16" t="n">
        <v>134.12</v>
      </c>
      <c r="S64" s="16" t="n">
        <v>134.12</v>
      </c>
      <c r="T64" s="16" t="n">
        <v>134.12</v>
      </c>
      <c r="U64" s="16" t="n">
        <v>350</v>
      </c>
      <c r="V64" s="16" t="n">
        <v>0</v>
      </c>
      <c r="W64" s="16">
        <f>U64+V64</f>
        <v/>
      </c>
    </row>
    <row r="65">
      <c r="A65" s="3" t="inlineStr">
        <is>
          <t>CANON-202607-007730</t>
        </is>
      </c>
      <c r="B65" s="3" t="inlineStr">
        <is>
          <t>2026-07-23</t>
        </is>
      </c>
      <c r="C65" s="3" t="inlineStr">
        <is>
          <t>Callum Merriweather</t>
        </is>
      </c>
      <c r="D65" s="3" t="inlineStr">
        <is>
          <t>HI</t>
        </is>
      </c>
      <c r="E65" s="14" t="n">
        <v>485000</v>
      </c>
      <c r="F65" s="14" t="n">
        <v>3802.28</v>
      </c>
      <c r="G65" s="14" t="n">
        <v>475.29</v>
      </c>
      <c r="H65" s="14" t="n">
        <v>475.29</v>
      </c>
      <c r="I65" s="14">
        <f>SUM(K65:T65)</f>
        <v/>
      </c>
      <c r="J65" s="14">
        <f>F65-(G65+H65+I65)</f>
        <v/>
      </c>
      <c r="K65" s="14" t="n">
        <v>285.17</v>
      </c>
      <c r="L65" s="14" t="n">
        <v>285.17</v>
      </c>
      <c r="M65" s="14" t="n">
        <v>285.17</v>
      </c>
      <c r="N65" s="14" t="n">
        <v>285.17</v>
      </c>
      <c r="O65" s="14" t="n">
        <v>285.17</v>
      </c>
      <c r="P65" s="14" t="n">
        <v>285.17</v>
      </c>
      <c r="Q65" s="14" t="n">
        <v>285.17</v>
      </c>
      <c r="R65" s="14" t="n">
        <v>285.17</v>
      </c>
      <c r="S65" s="14" t="n">
        <v>285.17</v>
      </c>
      <c r="T65" s="14" t="n">
        <v>285.17</v>
      </c>
      <c r="U65" s="14" t="n">
        <v>350</v>
      </c>
      <c r="V65" s="14" t="n">
        <v>0</v>
      </c>
      <c r="W65" s="14">
        <f>U65+V65</f>
        <v/>
      </c>
    </row>
    <row r="66">
      <c r="A66" s="15" t="inlineStr">
        <is>
          <t>CANON-202607-007731</t>
        </is>
      </c>
      <c r="B66" s="15" t="inlineStr">
        <is>
          <t>2026-07-13</t>
        </is>
      </c>
      <c r="C66" s="15" t="inlineStr">
        <is>
          <t>Everett Underwood</t>
        </is>
      </c>
      <c r="D66" s="15" t="inlineStr">
        <is>
          <t>KS</t>
        </is>
      </c>
      <c r="E66" s="16" t="n">
        <v>270000</v>
      </c>
      <c r="F66" s="16" t="n">
        <v>2820.36</v>
      </c>
      <c r="G66" s="16" t="n">
        <v>352.55</v>
      </c>
      <c r="H66" s="16" t="n">
        <v>352.55</v>
      </c>
      <c r="I66" s="16">
        <f>SUM(K66:T66)</f>
        <v/>
      </c>
      <c r="J66" s="16">
        <f>F66-(G66+H66+I66)</f>
        <v/>
      </c>
      <c r="K66" s="16" t="n">
        <v>211.53</v>
      </c>
      <c r="L66" s="16" t="n">
        <v>211.53</v>
      </c>
      <c r="M66" s="16" t="n">
        <v>211.53</v>
      </c>
      <c r="N66" s="16" t="n">
        <v>211.53</v>
      </c>
      <c r="O66" s="16" t="n">
        <v>211.53</v>
      </c>
      <c r="P66" s="16" t="n">
        <v>211.53</v>
      </c>
      <c r="Q66" s="16" t="n">
        <v>211.53</v>
      </c>
      <c r="R66" s="16" t="n">
        <v>211.53</v>
      </c>
      <c r="S66" s="16" t="n">
        <v>211.53</v>
      </c>
      <c r="T66" s="16" t="n">
        <v>211.53</v>
      </c>
      <c r="U66" s="16" t="n">
        <v>350</v>
      </c>
      <c r="V66" s="16" t="n">
        <v>0</v>
      </c>
      <c r="W66" s="16">
        <f>U66+V66</f>
        <v/>
      </c>
    </row>
    <row r="67">
      <c r="A67" s="3" t="inlineStr">
        <is>
          <t>CANON-202607-007732</t>
        </is>
      </c>
      <c r="B67" s="3" t="inlineStr">
        <is>
          <t>2026-07-30</t>
        </is>
      </c>
      <c r="C67" s="3" t="inlineStr">
        <is>
          <t>Saoirse Ashcombe</t>
        </is>
      </c>
      <c r="D67" s="3" t="inlineStr">
        <is>
          <t>IN</t>
        </is>
      </c>
      <c r="E67" s="14" t="n">
        <v>630000</v>
      </c>
      <c r="F67" s="14" t="n">
        <v>10570.08</v>
      </c>
      <c r="G67" s="14" t="n">
        <v>1321.26</v>
      </c>
      <c r="H67" s="14" t="n">
        <v>1321.26</v>
      </c>
      <c r="I67" s="14">
        <f>SUM(K67:T67)</f>
        <v/>
      </c>
      <c r="J67" s="14">
        <f>F67-(G67+H67+I67)</f>
        <v/>
      </c>
      <c r="K67" s="14" t="n">
        <v>792.76</v>
      </c>
      <c r="L67" s="14" t="n">
        <v>792.76</v>
      </c>
      <c r="M67" s="14" t="n">
        <v>792.76</v>
      </c>
      <c r="N67" s="14" t="n">
        <v>792.76</v>
      </c>
      <c r="O67" s="14" t="n">
        <v>792.76</v>
      </c>
      <c r="P67" s="14" t="n">
        <v>792.76</v>
      </c>
      <c r="Q67" s="14" t="n">
        <v>792.76</v>
      </c>
      <c r="R67" s="14" t="n">
        <v>792.76</v>
      </c>
      <c r="S67" s="14" t="n">
        <v>792.76</v>
      </c>
      <c r="T67" s="14" t="n">
        <v>792.76</v>
      </c>
      <c r="U67" s="14" t="n">
        <v>350</v>
      </c>
      <c r="V67" s="14" t="n">
        <v>0</v>
      </c>
      <c r="W67" s="14">
        <f>U67+V67</f>
        <v/>
      </c>
    </row>
    <row r="68">
      <c r="A68" s="15" t="inlineStr">
        <is>
          <t>CANON-202607-007733</t>
        </is>
      </c>
      <c r="B68" s="15" t="inlineStr">
        <is>
          <t>2026-07-14</t>
        </is>
      </c>
      <c r="C68" s="15" t="inlineStr">
        <is>
          <t>Callum Rourke</t>
        </is>
      </c>
      <c r="D68" s="15" t="inlineStr">
        <is>
          <t>NE</t>
        </is>
      </c>
      <c r="E68" s="16" t="n">
        <v>415000</v>
      </c>
      <c r="F68" s="16" t="n">
        <v>5809.8</v>
      </c>
      <c r="G68" s="16" t="n">
        <v>726.23</v>
      </c>
      <c r="H68" s="16" t="n">
        <v>726.23</v>
      </c>
      <c r="I68" s="16">
        <f>SUM(K68:T68)</f>
        <v/>
      </c>
      <c r="J68" s="16">
        <f>F68-(G68+H68+I68)</f>
        <v/>
      </c>
      <c r="K68" s="16" t="n">
        <v>435.74</v>
      </c>
      <c r="L68" s="16" t="n">
        <v>435.74</v>
      </c>
      <c r="M68" s="16" t="n">
        <v>435.74</v>
      </c>
      <c r="N68" s="16" t="n">
        <v>435.74</v>
      </c>
      <c r="O68" s="16" t="n">
        <v>435.74</v>
      </c>
      <c r="P68" s="16" t="n">
        <v>435.74</v>
      </c>
      <c r="Q68" s="16" t="n">
        <v>435.74</v>
      </c>
      <c r="R68" s="16" t="n">
        <v>435.74</v>
      </c>
      <c r="S68" s="16" t="n">
        <v>435.74</v>
      </c>
      <c r="T68" s="16" t="n">
        <v>435.74</v>
      </c>
      <c r="U68" s="16" t="n">
        <v>350</v>
      </c>
      <c r="V68" s="16" t="n">
        <v>0</v>
      </c>
      <c r="W68" s="16">
        <f>U68+V68</f>
        <v/>
      </c>
    </row>
    <row r="69">
      <c r="A69" s="3" t="inlineStr">
        <is>
          <t>CANON-202607-007735</t>
        </is>
      </c>
      <c r="B69" s="3" t="inlineStr">
        <is>
          <t>2026-07-01</t>
        </is>
      </c>
      <c r="C69" s="3" t="inlineStr">
        <is>
          <t>Fenwick Underwood</t>
        </is>
      </c>
      <c r="D69" s="3" t="inlineStr">
        <is>
          <t>OH</t>
        </is>
      </c>
      <c r="E69" s="14" t="n">
        <v>390000</v>
      </c>
      <c r="F69" s="14" t="n">
        <v>8951.299999999999</v>
      </c>
      <c r="G69" s="14" t="n">
        <v>1118.91</v>
      </c>
      <c r="H69" s="14" t="n">
        <v>1118.91</v>
      </c>
      <c r="I69" s="14">
        <f>SUM(K69:T69)</f>
        <v/>
      </c>
      <c r="J69" s="14">
        <f>F69-(G69+H69+I69)</f>
        <v/>
      </c>
      <c r="K69" s="14" t="n">
        <v>671.35</v>
      </c>
      <c r="L69" s="14" t="n">
        <v>671.35</v>
      </c>
      <c r="M69" s="14" t="n">
        <v>671.35</v>
      </c>
      <c r="N69" s="14" t="n">
        <v>671.35</v>
      </c>
      <c r="O69" s="14" t="n">
        <v>671.35</v>
      </c>
      <c r="P69" s="14" t="n">
        <v>671.35</v>
      </c>
      <c r="Q69" s="14" t="n">
        <v>671.35</v>
      </c>
      <c r="R69" s="14" t="n">
        <v>671.35</v>
      </c>
      <c r="S69" s="14" t="n">
        <v>671.35</v>
      </c>
      <c r="T69" s="14" t="n">
        <v>671.35</v>
      </c>
      <c r="U69" s="14" t="n">
        <v>350</v>
      </c>
      <c r="V69" s="14" t="n">
        <v>0</v>
      </c>
      <c r="W69" s="14">
        <f>U69+V69</f>
        <v/>
      </c>
    </row>
    <row r="70">
      <c r="A70" s="15" t="inlineStr">
        <is>
          <t>CANON-202607-007736</t>
        </is>
      </c>
      <c r="B70" s="15" t="inlineStr">
        <is>
          <t>2026-07-12</t>
        </is>
      </c>
      <c r="C70" s="15" t="inlineStr">
        <is>
          <t>Ottilie Vandermeer</t>
        </is>
      </c>
      <c r="D70" s="15" t="inlineStr">
        <is>
          <t>TX</t>
        </is>
      </c>
      <c r="E70" s="16" t="n">
        <v>330000</v>
      </c>
      <c r="F70" s="16" t="n">
        <v>4086.78</v>
      </c>
      <c r="G70" s="16" t="n">
        <v>510.85</v>
      </c>
      <c r="H70" s="16" t="n">
        <v>510.85</v>
      </c>
      <c r="I70" s="16">
        <f>SUM(K70:T70)</f>
        <v/>
      </c>
      <c r="J70" s="16">
        <f>F70-(G70+H70+I70)</f>
        <v/>
      </c>
      <c r="K70" s="16" t="n">
        <v>306.51</v>
      </c>
      <c r="L70" s="16" t="n">
        <v>306.51</v>
      </c>
      <c r="M70" s="16" t="n">
        <v>306.51</v>
      </c>
      <c r="N70" s="16" t="n">
        <v>306.51</v>
      </c>
      <c r="O70" s="16" t="n">
        <v>306.51</v>
      </c>
      <c r="P70" s="16" t="n">
        <v>306.51</v>
      </c>
      <c r="Q70" s="16" t="n">
        <v>306.51</v>
      </c>
      <c r="R70" s="16" t="n">
        <v>306.51</v>
      </c>
      <c r="S70" s="16" t="n">
        <v>306.51</v>
      </c>
      <c r="T70" s="16" t="n">
        <v>306.51</v>
      </c>
      <c r="U70" s="16" t="n">
        <v>350</v>
      </c>
      <c r="V70" s="16" t="n">
        <v>0</v>
      </c>
      <c r="W70" s="16">
        <f>U70+V70</f>
        <v/>
      </c>
    </row>
    <row r="71">
      <c r="A71" s="3" t="inlineStr">
        <is>
          <t>CANON-202607-007738</t>
        </is>
      </c>
      <c r="B71" s="3" t="inlineStr">
        <is>
          <t>2026-07-14</t>
        </is>
      </c>
      <c r="C71" s="3" t="inlineStr">
        <is>
          <t>Wilhelmina Fairweather</t>
        </is>
      </c>
      <c r="D71" s="3" t="inlineStr">
        <is>
          <t>MA</t>
        </is>
      </c>
      <c r="E71" s="14" t="n">
        <v>1720000</v>
      </c>
      <c r="F71" s="14" t="n">
        <v>11730.88</v>
      </c>
      <c r="G71" s="14" t="n">
        <v>1466.36</v>
      </c>
      <c r="H71" s="14" t="n">
        <v>1466.36</v>
      </c>
      <c r="I71" s="14">
        <f>SUM(K71:T71)</f>
        <v/>
      </c>
      <c r="J71" s="14">
        <f>F71-(G71+H71+I71)</f>
        <v/>
      </c>
      <c r="K71" s="14" t="n">
        <v>879.8200000000001</v>
      </c>
      <c r="L71" s="14" t="n">
        <v>879.8200000000001</v>
      </c>
      <c r="M71" s="14" t="n">
        <v>879.8200000000001</v>
      </c>
      <c r="N71" s="14" t="n">
        <v>879.8200000000001</v>
      </c>
      <c r="O71" s="14" t="n">
        <v>879.8200000000001</v>
      </c>
      <c r="P71" s="14" t="n">
        <v>879.8200000000001</v>
      </c>
      <c r="Q71" s="14" t="n">
        <v>879.8200000000001</v>
      </c>
      <c r="R71" s="14" t="n">
        <v>879.8200000000001</v>
      </c>
      <c r="S71" s="14" t="n">
        <v>879.8200000000001</v>
      </c>
      <c r="T71" s="14" t="n">
        <v>879.8200000000001</v>
      </c>
      <c r="U71" s="14" t="n">
        <v>350</v>
      </c>
      <c r="V71" s="14" t="n">
        <v>250</v>
      </c>
      <c r="W71" s="14">
        <f>U71+V71</f>
        <v/>
      </c>
    </row>
    <row r="72">
      <c r="A72" s="15" t="inlineStr">
        <is>
          <t>CANON-202607-007739</t>
        </is>
      </c>
      <c r="B72" s="15" t="inlineStr">
        <is>
          <t>2026-07-03</t>
        </is>
      </c>
      <c r="C72" s="15" t="inlineStr">
        <is>
          <t>Noor Whitlock</t>
        </is>
      </c>
      <c r="D72" s="15" t="inlineStr">
        <is>
          <t>PA</t>
        </is>
      </c>
      <c r="E72" s="16" t="n">
        <v>360000</v>
      </c>
      <c r="F72" s="16" t="n">
        <v>3876.79</v>
      </c>
      <c r="G72" s="16" t="n">
        <v>484.6</v>
      </c>
      <c r="H72" s="16" t="n">
        <v>484.6</v>
      </c>
      <c r="I72" s="16">
        <f>SUM(K72:T72)</f>
        <v/>
      </c>
      <c r="J72" s="16">
        <f>F72-(G72+H72+I72)</f>
        <v/>
      </c>
      <c r="K72" s="16" t="n">
        <v>290.76</v>
      </c>
      <c r="L72" s="16" t="n">
        <v>290.76</v>
      </c>
      <c r="M72" s="16" t="n">
        <v>290.76</v>
      </c>
      <c r="N72" s="16" t="n">
        <v>290.76</v>
      </c>
      <c r="O72" s="16" t="n">
        <v>290.76</v>
      </c>
      <c r="P72" s="16" t="n">
        <v>290.76</v>
      </c>
      <c r="Q72" s="16" t="n">
        <v>290.76</v>
      </c>
      <c r="R72" s="16" t="n">
        <v>290.76</v>
      </c>
      <c r="S72" s="16" t="n">
        <v>290.76</v>
      </c>
      <c r="T72" s="16" t="n">
        <v>290.76</v>
      </c>
      <c r="U72" s="16" t="n">
        <v>350</v>
      </c>
      <c r="V72" s="16" t="n">
        <v>0</v>
      </c>
      <c r="W72" s="16">
        <f>U72+V72</f>
        <v/>
      </c>
    </row>
    <row r="73">
      <c r="A73" s="3" t="inlineStr">
        <is>
          <t>CANON-202607-007740</t>
        </is>
      </c>
      <c r="B73" s="3" t="inlineStr">
        <is>
          <t>2026-07-29</t>
        </is>
      </c>
      <c r="C73" s="3" t="inlineStr">
        <is>
          <t>Ottilie Okonkwo</t>
        </is>
      </c>
      <c r="D73" s="3" t="inlineStr">
        <is>
          <t>FL</t>
        </is>
      </c>
      <c r="E73" s="14" t="n">
        <v>720000</v>
      </c>
      <c r="F73" s="14" t="n">
        <v>9542.08</v>
      </c>
      <c r="G73" s="14" t="n">
        <v>1192.76</v>
      </c>
      <c r="H73" s="14" t="n">
        <v>1192.76</v>
      </c>
      <c r="I73" s="14">
        <f>SUM(K73:T73)</f>
        <v/>
      </c>
      <c r="J73" s="14">
        <f>F73-(G73+H73+I73)</f>
        <v/>
      </c>
      <c r="K73" s="14" t="n">
        <v>715.66</v>
      </c>
      <c r="L73" s="14" t="n">
        <v>715.66</v>
      </c>
      <c r="M73" s="14" t="n">
        <v>715.66</v>
      </c>
      <c r="N73" s="14" t="n">
        <v>715.66</v>
      </c>
      <c r="O73" s="14" t="n">
        <v>715.66</v>
      </c>
      <c r="P73" s="14" t="n">
        <v>715.66</v>
      </c>
      <c r="Q73" s="14" t="n">
        <v>715.66</v>
      </c>
      <c r="R73" s="14" t="n">
        <v>715.66</v>
      </c>
      <c r="S73" s="14" t="n">
        <v>715.66</v>
      </c>
      <c r="T73" s="14" t="n">
        <v>715.66</v>
      </c>
      <c r="U73" s="14" t="n">
        <v>350</v>
      </c>
      <c r="V73" s="14" t="n">
        <v>0</v>
      </c>
      <c r="W73" s="14">
        <f>U73+V73</f>
        <v/>
      </c>
    </row>
    <row r="74">
      <c r="A74" s="15" t="inlineStr">
        <is>
          <t>CANON-202607-007741</t>
        </is>
      </c>
      <c r="B74" s="15" t="inlineStr">
        <is>
          <t>2026-07-02</t>
        </is>
      </c>
      <c r="C74" s="15" t="inlineStr">
        <is>
          <t>Anouk Larsson</t>
        </is>
      </c>
      <c r="D74" s="15" t="inlineStr">
        <is>
          <t>NC</t>
        </is>
      </c>
      <c r="E74" s="16" t="n">
        <v>730000</v>
      </c>
      <c r="F74" s="16" t="n">
        <v>7835.07</v>
      </c>
      <c r="G74" s="16" t="n">
        <v>979.38</v>
      </c>
      <c r="H74" s="16" t="n">
        <v>979.38</v>
      </c>
      <c r="I74" s="16">
        <f>SUM(K74:T74)</f>
        <v/>
      </c>
      <c r="J74" s="16">
        <f>F74-(G74+H74+I74)</f>
        <v/>
      </c>
      <c r="K74" s="16" t="n">
        <v>587.63</v>
      </c>
      <c r="L74" s="16" t="n">
        <v>587.63</v>
      </c>
      <c r="M74" s="16" t="n">
        <v>587.63</v>
      </c>
      <c r="N74" s="16" t="n">
        <v>587.63</v>
      </c>
      <c r="O74" s="16" t="n">
        <v>587.63</v>
      </c>
      <c r="P74" s="16" t="n">
        <v>587.63</v>
      </c>
      <c r="Q74" s="16" t="n">
        <v>587.63</v>
      </c>
      <c r="R74" s="16" t="n">
        <v>587.63</v>
      </c>
      <c r="S74" s="16" t="n">
        <v>587.63</v>
      </c>
      <c r="T74" s="16" t="n">
        <v>587.63</v>
      </c>
      <c r="U74" s="16" t="n">
        <v>350</v>
      </c>
      <c r="V74" s="16" t="n">
        <v>0</v>
      </c>
      <c r="W74" s="16">
        <f>U74+V74</f>
        <v/>
      </c>
    </row>
    <row r="75">
      <c r="A75" s="3" t="inlineStr">
        <is>
          <t>CANON-202607-007742</t>
        </is>
      </c>
      <c r="B75" s="3" t="inlineStr">
        <is>
          <t>2026-07-09</t>
        </is>
      </c>
      <c r="C75" s="3" t="inlineStr">
        <is>
          <t>Beatrix Vasquez</t>
        </is>
      </c>
      <c r="D75" s="3" t="inlineStr">
        <is>
          <t>CA</t>
        </is>
      </c>
      <c r="E75" s="14" t="n">
        <v>435000</v>
      </c>
      <c r="F75" s="14" t="n">
        <v>9696.83</v>
      </c>
      <c r="G75" s="14" t="n">
        <v>1212.1</v>
      </c>
      <c r="H75" s="14" t="n">
        <v>1212.1</v>
      </c>
      <c r="I75" s="14">
        <f>SUM(K75:T75)</f>
        <v/>
      </c>
      <c r="J75" s="14">
        <f>F75-(G75+H75+I75)</f>
        <v/>
      </c>
      <c r="K75" s="14" t="n">
        <v>727.26</v>
      </c>
      <c r="L75" s="14" t="n">
        <v>727.26</v>
      </c>
      <c r="M75" s="14" t="n">
        <v>727.26</v>
      </c>
      <c r="N75" s="14" t="n">
        <v>727.26</v>
      </c>
      <c r="O75" s="14" t="n">
        <v>727.26</v>
      </c>
      <c r="P75" s="14" t="n">
        <v>727.26</v>
      </c>
      <c r="Q75" s="14" t="n">
        <v>727.26</v>
      </c>
      <c r="R75" s="14" t="n">
        <v>727.26</v>
      </c>
      <c r="S75" s="14" t="n">
        <v>727.26</v>
      </c>
      <c r="T75" s="14" t="n">
        <v>727.26</v>
      </c>
      <c r="U75" s="14" t="n">
        <v>350</v>
      </c>
      <c r="V75" s="14" t="n">
        <v>0</v>
      </c>
      <c r="W75" s="14">
        <f>U75+V75</f>
        <v/>
      </c>
    </row>
    <row r="76">
      <c r="A76" s="15" t="inlineStr">
        <is>
          <t>CANON-202607-007743</t>
        </is>
      </c>
      <c r="B76" s="15" t="inlineStr">
        <is>
          <t>2026-07-23</t>
        </is>
      </c>
      <c r="C76" s="15" t="inlineStr">
        <is>
          <t>Beatrix Okonkwo</t>
        </is>
      </c>
      <c r="D76" s="15" t="inlineStr">
        <is>
          <t>NY</t>
        </is>
      </c>
      <c r="E76" s="16" t="n">
        <v>250000</v>
      </c>
      <c r="F76" s="16" t="n">
        <v>2205.46</v>
      </c>
      <c r="G76" s="16" t="n">
        <v>275.68</v>
      </c>
      <c r="H76" s="16" t="n">
        <v>275.68</v>
      </c>
      <c r="I76" s="16">
        <f>SUM(K76:T76)</f>
        <v/>
      </c>
      <c r="J76" s="16">
        <f>F76-(G76+H76+I76)</f>
        <v/>
      </c>
      <c r="K76" s="16" t="n">
        <v>165.41</v>
      </c>
      <c r="L76" s="16" t="n">
        <v>165.41</v>
      </c>
      <c r="M76" s="16" t="n">
        <v>165.41</v>
      </c>
      <c r="N76" s="16" t="n">
        <v>165.41</v>
      </c>
      <c r="O76" s="16" t="n">
        <v>165.41</v>
      </c>
      <c r="P76" s="16" t="n">
        <v>165.41</v>
      </c>
      <c r="Q76" s="16" t="n">
        <v>165.41</v>
      </c>
      <c r="R76" s="16" t="n">
        <v>165.41</v>
      </c>
      <c r="S76" s="16" t="n">
        <v>165.41</v>
      </c>
      <c r="T76" s="16" t="n">
        <v>165.41</v>
      </c>
      <c r="U76" s="16" t="n">
        <v>350</v>
      </c>
      <c r="V76" s="16" t="n">
        <v>0</v>
      </c>
      <c r="W76" s="16">
        <f>U76+V76</f>
        <v/>
      </c>
    </row>
    <row r="77">
      <c r="A77" s="3" t="inlineStr">
        <is>
          <t>CANON-202607-007747</t>
        </is>
      </c>
      <c r="B77" s="3" t="inlineStr">
        <is>
          <t>2026-07-15</t>
        </is>
      </c>
      <c r="C77" s="3" t="inlineStr">
        <is>
          <t>Sunniva Rourke</t>
        </is>
      </c>
      <c r="D77" s="3" t="inlineStr">
        <is>
          <t>WI</t>
        </is>
      </c>
      <c r="E77" s="14" t="n">
        <v>1520000</v>
      </c>
      <c r="F77" s="14" t="n">
        <v>9952.16</v>
      </c>
      <c r="G77" s="14" t="n">
        <v>1244.02</v>
      </c>
      <c r="H77" s="14" t="n">
        <v>1244.02</v>
      </c>
      <c r="I77" s="14">
        <f>SUM(K77:T77)</f>
        <v/>
      </c>
      <c r="J77" s="14">
        <f>F77-(G77+H77+I77)</f>
        <v/>
      </c>
      <c r="K77" s="14" t="n">
        <v>746.41</v>
      </c>
      <c r="L77" s="14" t="n">
        <v>746.41</v>
      </c>
      <c r="M77" s="14" t="n">
        <v>746.41</v>
      </c>
      <c r="N77" s="14" t="n">
        <v>746.41</v>
      </c>
      <c r="O77" s="14" t="n">
        <v>746.41</v>
      </c>
      <c r="P77" s="14" t="n">
        <v>746.41</v>
      </c>
      <c r="Q77" s="14" t="n">
        <v>746.41</v>
      </c>
      <c r="R77" s="14" t="n">
        <v>746.41</v>
      </c>
      <c r="S77" s="14" t="n">
        <v>746.41</v>
      </c>
      <c r="T77" s="14" t="n">
        <v>746.41</v>
      </c>
      <c r="U77" s="14" t="n">
        <v>350</v>
      </c>
      <c r="V77" s="14" t="n">
        <v>250</v>
      </c>
      <c r="W77" s="14">
        <f>U77+V77</f>
        <v/>
      </c>
    </row>
    <row r="78">
      <c r="A78" s="15" t="inlineStr">
        <is>
          <t>CANON-202607-007748</t>
        </is>
      </c>
      <c r="B78" s="15" t="inlineStr">
        <is>
          <t>2026-07-26</t>
        </is>
      </c>
      <c r="C78" s="15" t="inlineStr">
        <is>
          <t>Aurelio Bellandi</t>
        </is>
      </c>
      <c r="D78" s="15" t="inlineStr">
        <is>
          <t>PA</t>
        </is>
      </c>
      <c r="E78" s="16" t="n">
        <v>885000</v>
      </c>
      <c r="F78" s="16" t="n">
        <v>8259.719999999999</v>
      </c>
      <c r="G78" s="16" t="n">
        <v>1032.46</v>
      </c>
      <c r="H78" s="16" t="n">
        <v>1032.46</v>
      </c>
      <c r="I78" s="16">
        <f>SUM(K78:T78)</f>
        <v/>
      </c>
      <c r="J78" s="16">
        <f>F78-(G78+H78+I78)</f>
        <v/>
      </c>
      <c r="K78" s="16" t="n">
        <v>619.48</v>
      </c>
      <c r="L78" s="16" t="n">
        <v>619.48</v>
      </c>
      <c r="M78" s="16" t="n">
        <v>619.48</v>
      </c>
      <c r="N78" s="16" t="n">
        <v>619.48</v>
      </c>
      <c r="O78" s="16" t="n">
        <v>619.48</v>
      </c>
      <c r="P78" s="16" t="n">
        <v>619.48</v>
      </c>
      <c r="Q78" s="16" t="n">
        <v>619.48</v>
      </c>
      <c r="R78" s="16" t="n">
        <v>619.48</v>
      </c>
      <c r="S78" s="16" t="n">
        <v>619.48</v>
      </c>
      <c r="T78" s="16" t="n">
        <v>619.48</v>
      </c>
      <c r="U78" s="16" t="n">
        <v>350</v>
      </c>
      <c r="V78" s="16" t="n">
        <v>0</v>
      </c>
      <c r="W78" s="16">
        <f>U78+V78</f>
        <v/>
      </c>
    </row>
    <row r="79">
      <c r="A79" s="3" t="inlineStr">
        <is>
          <t>CANON-202607-007750</t>
        </is>
      </c>
      <c r="B79" s="3" t="inlineStr">
        <is>
          <t>2026-07-31</t>
        </is>
      </c>
      <c r="C79" s="3" t="inlineStr">
        <is>
          <t>Priya Larsson</t>
        </is>
      </c>
      <c r="D79" s="3" t="inlineStr">
        <is>
          <t>IA</t>
        </is>
      </c>
      <c r="E79" s="14" t="n">
        <v>485000</v>
      </c>
      <c r="F79" s="14" t="n">
        <v>5745.19</v>
      </c>
      <c r="G79" s="14" t="n">
        <v>718.15</v>
      </c>
      <c r="H79" s="14" t="n">
        <v>718.15</v>
      </c>
      <c r="I79" s="14">
        <f>SUM(K79:T79)</f>
        <v/>
      </c>
      <c r="J79" s="14">
        <f>F79-(G79+H79+I79)</f>
        <v/>
      </c>
      <c r="K79" s="14" t="n">
        <v>430.89</v>
      </c>
      <c r="L79" s="14" t="n">
        <v>430.89</v>
      </c>
      <c r="M79" s="14" t="n">
        <v>430.89</v>
      </c>
      <c r="N79" s="14" t="n">
        <v>430.89</v>
      </c>
      <c r="O79" s="14" t="n">
        <v>430.89</v>
      </c>
      <c r="P79" s="14" t="n">
        <v>430.89</v>
      </c>
      <c r="Q79" s="14" t="n">
        <v>430.89</v>
      </c>
      <c r="R79" s="14" t="n">
        <v>430.89</v>
      </c>
      <c r="S79" s="14" t="n">
        <v>430.89</v>
      </c>
      <c r="T79" s="14" t="n">
        <v>430.89</v>
      </c>
      <c r="U79" s="14" t="n">
        <v>350</v>
      </c>
      <c r="V79" s="14" t="n">
        <v>0</v>
      </c>
      <c r="W79" s="14">
        <f>U79+V79</f>
        <v/>
      </c>
    </row>
    <row r="80">
      <c r="A80" s="15" t="inlineStr">
        <is>
          <t>CANON-202607-007754</t>
        </is>
      </c>
      <c r="B80" s="15" t="inlineStr">
        <is>
          <t>2026-07-20</t>
        </is>
      </c>
      <c r="C80" s="15" t="inlineStr">
        <is>
          <t>Lorenzo Fairweather</t>
        </is>
      </c>
      <c r="D80" s="15" t="inlineStr">
        <is>
          <t>HI</t>
        </is>
      </c>
      <c r="E80" s="16" t="n">
        <v>455000</v>
      </c>
      <c r="F80" s="16" t="n">
        <v>6369.78</v>
      </c>
      <c r="G80" s="16" t="n">
        <v>796.22</v>
      </c>
      <c r="H80" s="16" t="n">
        <v>796.22</v>
      </c>
      <c r="I80" s="16">
        <f>SUM(K80:T80)</f>
        <v/>
      </c>
      <c r="J80" s="16">
        <f>F80-(G80+H80+I80)</f>
        <v/>
      </c>
      <c r="K80" s="16" t="n">
        <v>477.73</v>
      </c>
      <c r="L80" s="16" t="n">
        <v>477.73</v>
      </c>
      <c r="M80" s="16" t="n">
        <v>477.73</v>
      </c>
      <c r="N80" s="16" t="n">
        <v>477.73</v>
      </c>
      <c r="O80" s="16" t="n">
        <v>477.73</v>
      </c>
      <c r="P80" s="16" t="n">
        <v>477.73</v>
      </c>
      <c r="Q80" s="16" t="n">
        <v>477.73</v>
      </c>
      <c r="R80" s="16" t="n">
        <v>477.73</v>
      </c>
      <c r="S80" s="16" t="n">
        <v>477.73</v>
      </c>
      <c r="T80" s="16" t="n">
        <v>477.73</v>
      </c>
      <c r="U80" s="16" t="n">
        <v>350</v>
      </c>
      <c r="V80" s="16" t="n">
        <v>0</v>
      </c>
      <c r="W80" s="16">
        <f>U80+V80</f>
        <v/>
      </c>
    </row>
    <row r="81">
      <c r="A81" s="3" t="inlineStr">
        <is>
          <t>CANON-202607-007755</t>
        </is>
      </c>
      <c r="B81" s="3" t="inlineStr">
        <is>
          <t>2026-07-31</t>
        </is>
      </c>
      <c r="C81" s="3" t="inlineStr">
        <is>
          <t>Desmond Farkas</t>
        </is>
      </c>
      <c r="D81" s="3" t="inlineStr">
        <is>
          <t>GA</t>
        </is>
      </c>
      <c r="E81" s="14" t="n">
        <v>615000</v>
      </c>
      <c r="F81" s="14" t="n">
        <v>6428.59</v>
      </c>
      <c r="G81" s="14" t="n">
        <v>803.5700000000001</v>
      </c>
      <c r="H81" s="14" t="n">
        <v>803.5700000000001</v>
      </c>
      <c r="I81" s="14">
        <f>SUM(K81:T81)</f>
        <v/>
      </c>
      <c r="J81" s="14">
        <f>F81-(G81+H81+I81)</f>
        <v/>
      </c>
      <c r="K81" s="14" t="n">
        <v>482.14</v>
      </c>
      <c r="L81" s="14" t="n">
        <v>482.14</v>
      </c>
      <c r="M81" s="14" t="n">
        <v>482.14</v>
      </c>
      <c r="N81" s="14" t="n">
        <v>482.14</v>
      </c>
      <c r="O81" s="14" t="n">
        <v>482.14</v>
      </c>
      <c r="P81" s="14" t="n">
        <v>482.14</v>
      </c>
      <c r="Q81" s="14" t="n">
        <v>482.14</v>
      </c>
      <c r="R81" s="14" t="n">
        <v>482.14</v>
      </c>
      <c r="S81" s="14" t="n">
        <v>482.14</v>
      </c>
      <c r="T81" s="14" t="n">
        <v>482.14</v>
      </c>
      <c r="U81" s="14" t="n">
        <v>350</v>
      </c>
      <c r="V81" s="14" t="n">
        <v>0</v>
      </c>
      <c r="W81" s="14">
        <f>U81+V81</f>
        <v/>
      </c>
    </row>
    <row r="82">
      <c r="A82" s="15" t="inlineStr">
        <is>
          <t>CANON-202607-007756</t>
        </is>
      </c>
      <c r="B82" s="15" t="inlineStr">
        <is>
          <t>2026-07-10</t>
        </is>
      </c>
      <c r="C82" s="15" t="inlineStr">
        <is>
          <t>Delphine Castellanos</t>
        </is>
      </c>
      <c r="D82" s="15" t="inlineStr">
        <is>
          <t>UT</t>
        </is>
      </c>
      <c r="E82" s="16" t="n">
        <v>245000</v>
      </c>
      <c r="F82" s="16" t="n">
        <v>6743.68</v>
      </c>
      <c r="G82" s="16" t="n">
        <v>842.96</v>
      </c>
      <c r="H82" s="16" t="n">
        <v>842.96</v>
      </c>
      <c r="I82" s="16">
        <f>SUM(K82:T82)</f>
        <v/>
      </c>
      <c r="J82" s="16">
        <f>F82-(G82+H82+I82)</f>
        <v/>
      </c>
      <c r="K82" s="16" t="n">
        <v>505.78</v>
      </c>
      <c r="L82" s="16" t="n">
        <v>505.78</v>
      </c>
      <c r="M82" s="16" t="n">
        <v>505.78</v>
      </c>
      <c r="N82" s="16" t="n">
        <v>505.78</v>
      </c>
      <c r="O82" s="16" t="n">
        <v>505.78</v>
      </c>
      <c r="P82" s="16" t="n">
        <v>505.78</v>
      </c>
      <c r="Q82" s="16" t="n">
        <v>505.78</v>
      </c>
      <c r="R82" s="16" t="n">
        <v>505.78</v>
      </c>
      <c r="S82" s="16" t="n">
        <v>505.78</v>
      </c>
      <c r="T82" s="16" t="n">
        <v>505.78</v>
      </c>
      <c r="U82" s="16" t="n">
        <v>350</v>
      </c>
      <c r="V82" s="16" t="n">
        <v>0</v>
      </c>
      <c r="W82" s="16">
        <f>U82+V82</f>
        <v/>
      </c>
    </row>
    <row r="83">
      <c r="A83" s="3" t="inlineStr">
        <is>
          <t>CANON-202607-007758</t>
        </is>
      </c>
      <c r="B83" s="3" t="inlineStr">
        <is>
          <t>2026-07-14</t>
        </is>
      </c>
      <c r="C83" s="3" t="inlineStr">
        <is>
          <t>Fenwick Whitlock</t>
        </is>
      </c>
      <c r="D83" s="3" t="inlineStr">
        <is>
          <t>IL</t>
        </is>
      </c>
      <c r="E83" s="14" t="n">
        <v>1340000</v>
      </c>
      <c r="F83" s="14" t="n">
        <v>14391.8</v>
      </c>
      <c r="G83" s="14" t="n">
        <v>1798.97</v>
      </c>
      <c r="H83" s="14" t="n">
        <v>1798.97</v>
      </c>
      <c r="I83" s="14">
        <f>SUM(K83:T83)</f>
        <v/>
      </c>
      <c r="J83" s="14">
        <f>F83-(G83+H83+I83)</f>
        <v/>
      </c>
      <c r="K83" s="14" t="n">
        <v>1079.38</v>
      </c>
      <c r="L83" s="14" t="n">
        <v>1079.38</v>
      </c>
      <c r="M83" s="14" t="n">
        <v>1079.38</v>
      </c>
      <c r="N83" s="14" t="n">
        <v>1079.38</v>
      </c>
      <c r="O83" s="14" t="n">
        <v>1079.38</v>
      </c>
      <c r="P83" s="14" t="n">
        <v>1079.38</v>
      </c>
      <c r="Q83" s="14" t="n">
        <v>1079.38</v>
      </c>
      <c r="R83" s="14" t="n">
        <v>1079.38</v>
      </c>
      <c r="S83" s="14" t="n">
        <v>1079.38</v>
      </c>
      <c r="T83" s="14" t="n">
        <v>1079.38</v>
      </c>
      <c r="U83" s="14" t="n">
        <v>350</v>
      </c>
      <c r="V83" s="14" t="n">
        <v>250</v>
      </c>
      <c r="W83" s="14">
        <f>U83+V83</f>
        <v/>
      </c>
    </row>
    <row r="84">
      <c r="A84" s="15" t="inlineStr">
        <is>
          <t>CANON-202607-007759</t>
        </is>
      </c>
      <c r="B84" s="15" t="inlineStr">
        <is>
          <t>2026-07-11</t>
        </is>
      </c>
      <c r="C84" s="15" t="inlineStr">
        <is>
          <t>Sunniva Vandermeer</t>
        </is>
      </c>
      <c r="D84" s="15" t="inlineStr">
        <is>
          <t>NV</t>
        </is>
      </c>
      <c r="E84" s="16" t="n">
        <v>965000</v>
      </c>
      <c r="F84" s="16" t="n">
        <v>10537.45</v>
      </c>
      <c r="G84" s="16" t="n">
        <v>1317.18</v>
      </c>
      <c r="H84" s="16" t="n">
        <v>1317.18</v>
      </c>
      <c r="I84" s="16">
        <f>SUM(K84:T84)</f>
        <v/>
      </c>
      <c r="J84" s="16">
        <f>F84-(G84+H84+I84)</f>
        <v/>
      </c>
      <c r="K84" s="16" t="n">
        <v>790.3099999999999</v>
      </c>
      <c r="L84" s="16" t="n">
        <v>790.3099999999999</v>
      </c>
      <c r="M84" s="16" t="n">
        <v>790.3099999999999</v>
      </c>
      <c r="N84" s="16" t="n">
        <v>790.3099999999999</v>
      </c>
      <c r="O84" s="16" t="n">
        <v>790.3099999999999</v>
      </c>
      <c r="P84" s="16" t="n">
        <v>790.3099999999999</v>
      </c>
      <c r="Q84" s="16" t="n">
        <v>790.3099999999999</v>
      </c>
      <c r="R84" s="16" t="n">
        <v>790.3099999999999</v>
      </c>
      <c r="S84" s="16" t="n">
        <v>790.3099999999999</v>
      </c>
      <c r="T84" s="16" t="n">
        <v>790.3099999999999</v>
      </c>
      <c r="U84" s="16" t="n">
        <v>350</v>
      </c>
      <c r="V84" s="16" t="n">
        <v>0</v>
      </c>
      <c r="W84" s="16">
        <f>U84+V84</f>
        <v/>
      </c>
    </row>
    <row r="85">
      <c r="A85" s="3" t="inlineStr">
        <is>
          <t>CANON-202607-007762</t>
        </is>
      </c>
      <c r="B85" s="3" t="inlineStr">
        <is>
          <t>2026-07-15</t>
        </is>
      </c>
      <c r="C85" s="3" t="inlineStr">
        <is>
          <t>Thaddeus Underwood</t>
        </is>
      </c>
      <c r="D85" s="3" t="inlineStr">
        <is>
          <t>NJ</t>
        </is>
      </c>
      <c r="E85" s="14" t="n">
        <v>435000</v>
      </c>
      <c r="F85" s="14" t="n">
        <v>4262.86</v>
      </c>
      <c r="G85" s="14" t="n">
        <v>532.86</v>
      </c>
      <c r="H85" s="14" t="n">
        <v>532.86</v>
      </c>
      <c r="I85" s="14">
        <f>SUM(K85:T85)</f>
        <v/>
      </c>
      <c r="J85" s="14">
        <f>F85-(G85+H85+I85)</f>
        <v/>
      </c>
      <c r="K85" s="14" t="n">
        <v>319.71</v>
      </c>
      <c r="L85" s="14" t="n">
        <v>319.71</v>
      </c>
      <c r="M85" s="14" t="n">
        <v>319.71</v>
      </c>
      <c r="N85" s="14" t="n">
        <v>319.71</v>
      </c>
      <c r="O85" s="14" t="n">
        <v>319.71</v>
      </c>
      <c r="P85" s="14" t="n">
        <v>319.71</v>
      </c>
      <c r="Q85" s="14" t="n">
        <v>319.71</v>
      </c>
      <c r="R85" s="14" t="n">
        <v>319.71</v>
      </c>
      <c r="S85" s="14" t="n">
        <v>319.71</v>
      </c>
      <c r="T85" s="14" t="n">
        <v>319.71</v>
      </c>
      <c r="U85" s="14" t="n">
        <v>350</v>
      </c>
      <c r="V85" s="14" t="n">
        <v>0</v>
      </c>
      <c r="W85" s="14">
        <f>U85+V85</f>
        <v/>
      </c>
    </row>
    <row r="86">
      <c r="A86" s="15" t="inlineStr">
        <is>
          <t>CANON-202607-007764</t>
        </is>
      </c>
      <c r="B86" s="15" t="inlineStr">
        <is>
          <t>2026-07-05</t>
        </is>
      </c>
      <c r="C86" s="15" t="inlineStr">
        <is>
          <t>Desmond Vasquez</t>
        </is>
      </c>
      <c r="D86" s="15" t="inlineStr">
        <is>
          <t>NJ</t>
        </is>
      </c>
      <c r="E86" s="16" t="n">
        <v>560000</v>
      </c>
      <c r="F86" s="16" t="n">
        <v>3146.35</v>
      </c>
      <c r="G86" s="16" t="n">
        <v>393.29</v>
      </c>
      <c r="H86" s="16" t="n">
        <v>393.29</v>
      </c>
      <c r="I86" s="16">
        <f>SUM(K86:T86)</f>
        <v/>
      </c>
      <c r="J86" s="16">
        <f>F86-(G86+H86+I86)</f>
        <v/>
      </c>
      <c r="K86" s="16" t="n">
        <v>235.98</v>
      </c>
      <c r="L86" s="16" t="n">
        <v>235.98</v>
      </c>
      <c r="M86" s="16" t="n">
        <v>235.98</v>
      </c>
      <c r="N86" s="16" t="n">
        <v>235.98</v>
      </c>
      <c r="O86" s="16" t="n">
        <v>235.98</v>
      </c>
      <c r="P86" s="16" t="n">
        <v>235.98</v>
      </c>
      <c r="Q86" s="16" t="n">
        <v>235.98</v>
      </c>
      <c r="R86" s="16" t="n">
        <v>235.98</v>
      </c>
      <c r="S86" s="16" t="n">
        <v>235.98</v>
      </c>
      <c r="T86" s="16" t="n">
        <v>235.98</v>
      </c>
      <c r="U86" s="16" t="n">
        <v>350</v>
      </c>
      <c r="V86" s="16" t="n">
        <v>0</v>
      </c>
      <c r="W86" s="16">
        <f>U86+V86</f>
        <v/>
      </c>
    </row>
    <row r="87">
      <c r="A87" s="3" t="inlineStr">
        <is>
          <t>CANON-202607-007765</t>
        </is>
      </c>
      <c r="B87" s="3" t="inlineStr">
        <is>
          <t>2026-07-05</t>
        </is>
      </c>
      <c r="C87" s="3" t="inlineStr">
        <is>
          <t>Everett Ashcombe</t>
        </is>
      </c>
      <c r="D87" s="3" t="inlineStr">
        <is>
          <t>AL</t>
        </is>
      </c>
      <c r="E87" s="14" t="n">
        <v>1030000</v>
      </c>
      <c r="F87" s="14" t="n">
        <v>15025.88</v>
      </c>
      <c r="G87" s="14" t="n">
        <v>1878.23</v>
      </c>
      <c r="H87" s="14" t="n">
        <v>1878.23</v>
      </c>
      <c r="I87" s="14">
        <f>SUM(K87:T87)</f>
        <v/>
      </c>
      <c r="J87" s="14">
        <f>F87-(G87+H87+I87)</f>
        <v/>
      </c>
      <c r="K87" s="14" t="n">
        <v>1126.94</v>
      </c>
      <c r="L87" s="14" t="n">
        <v>1126.94</v>
      </c>
      <c r="M87" s="14" t="n">
        <v>1126.94</v>
      </c>
      <c r="N87" s="14" t="n">
        <v>1126.94</v>
      </c>
      <c r="O87" s="14" t="n">
        <v>1126.94</v>
      </c>
      <c r="P87" s="14" t="n">
        <v>1126.94</v>
      </c>
      <c r="Q87" s="14" t="n">
        <v>1126.94</v>
      </c>
      <c r="R87" s="14" t="n">
        <v>1126.94</v>
      </c>
      <c r="S87" s="14" t="n">
        <v>1126.94</v>
      </c>
      <c r="T87" s="14" t="n">
        <v>1126.94</v>
      </c>
      <c r="U87" s="14" t="n">
        <v>350</v>
      </c>
      <c r="V87" s="14" t="n">
        <v>250</v>
      </c>
      <c r="W87" s="14">
        <f>U87+V87</f>
        <v/>
      </c>
    </row>
    <row r="88">
      <c r="A88" s="15" t="inlineStr">
        <is>
          <t>CANON-202607-007766</t>
        </is>
      </c>
      <c r="B88" s="15" t="inlineStr">
        <is>
          <t>2026-07-20</t>
        </is>
      </c>
      <c r="C88" s="15" t="inlineStr">
        <is>
          <t>Marisol Farkas</t>
        </is>
      </c>
      <c r="D88" s="15" t="inlineStr">
        <is>
          <t>MT</t>
        </is>
      </c>
      <c r="E88" s="16" t="n">
        <v>785000</v>
      </c>
      <c r="F88" s="16" t="n">
        <v>6813.57</v>
      </c>
      <c r="G88" s="16" t="n">
        <v>851.7</v>
      </c>
      <c r="H88" s="16" t="n">
        <v>851.7</v>
      </c>
      <c r="I88" s="16">
        <f>SUM(K88:T88)</f>
        <v/>
      </c>
      <c r="J88" s="16">
        <f>F88-(G88+H88+I88)</f>
        <v/>
      </c>
      <c r="K88" s="16" t="n">
        <v>511.02</v>
      </c>
      <c r="L88" s="16" t="n">
        <v>511.02</v>
      </c>
      <c r="M88" s="16" t="n">
        <v>511.02</v>
      </c>
      <c r="N88" s="16" t="n">
        <v>511.02</v>
      </c>
      <c r="O88" s="16" t="n">
        <v>511.02</v>
      </c>
      <c r="P88" s="16" t="n">
        <v>511.02</v>
      </c>
      <c r="Q88" s="16" t="n">
        <v>511.02</v>
      </c>
      <c r="R88" s="16" t="n">
        <v>511.02</v>
      </c>
      <c r="S88" s="16" t="n">
        <v>511.02</v>
      </c>
      <c r="T88" s="16" t="n">
        <v>511.02</v>
      </c>
      <c r="U88" s="16" t="n">
        <v>350</v>
      </c>
      <c r="V88" s="16" t="n">
        <v>0</v>
      </c>
      <c r="W88" s="16">
        <f>U88+V88</f>
        <v/>
      </c>
    </row>
    <row r="89">
      <c r="A89" s="3" t="inlineStr">
        <is>
          <t>CANON-202607-007768</t>
        </is>
      </c>
      <c r="B89" s="3" t="inlineStr">
        <is>
          <t>2026-07-29</t>
        </is>
      </c>
      <c r="C89" s="3" t="inlineStr">
        <is>
          <t>Desmond Castellanos</t>
        </is>
      </c>
      <c r="D89" s="3" t="inlineStr">
        <is>
          <t>CA</t>
        </is>
      </c>
      <c r="E89" s="14" t="n">
        <v>175000</v>
      </c>
      <c r="F89" s="14" t="n">
        <v>3120.82</v>
      </c>
      <c r="G89" s="14" t="n">
        <v>390.1</v>
      </c>
      <c r="H89" s="14" t="n">
        <v>390.1</v>
      </c>
      <c r="I89" s="14">
        <f>SUM(K89:T89)</f>
        <v/>
      </c>
      <c r="J89" s="14">
        <f>F89-(G89+H89+I89)</f>
        <v/>
      </c>
      <c r="K89" s="14" t="n">
        <v>234.06</v>
      </c>
      <c r="L89" s="14" t="n">
        <v>234.06</v>
      </c>
      <c r="M89" s="14" t="n">
        <v>234.06</v>
      </c>
      <c r="N89" s="14" t="n">
        <v>234.06</v>
      </c>
      <c r="O89" s="14" t="n">
        <v>234.06</v>
      </c>
      <c r="P89" s="14" t="n">
        <v>234.06</v>
      </c>
      <c r="Q89" s="14" t="n">
        <v>234.06</v>
      </c>
      <c r="R89" s="14" t="n">
        <v>234.06</v>
      </c>
      <c r="S89" s="14" t="n">
        <v>234.06</v>
      </c>
      <c r="T89" s="14" t="n">
        <v>234.06</v>
      </c>
      <c r="U89" s="14" t="n">
        <v>350</v>
      </c>
      <c r="V89" s="14" t="n">
        <v>0</v>
      </c>
      <c r="W89" s="14">
        <f>U89+V89</f>
        <v/>
      </c>
    </row>
    <row r="90">
      <c r="A90" s="15" t="inlineStr">
        <is>
          <t>CANON-202607-007769</t>
        </is>
      </c>
      <c r="B90" s="15" t="inlineStr">
        <is>
          <t>2026-07-13</t>
        </is>
      </c>
      <c r="C90" s="15" t="inlineStr">
        <is>
          <t>Thaddeus Ashcombe</t>
        </is>
      </c>
      <c r="D90" s="15" t="inlineStr">
        <is>
          <t>NC</t>
        </is>
      </c>
      <c r="E90" s="16" t="n">
        <v>575000</v>
      </c>
      <c r="F90" s="16" t="n">
        <v>6171.46</v>
      </c>
      <c r="G90" s="16" t="n">
        <v>771.4299999999999</v>
      </c>
      <c r="H90" s="16" t="n">
        <v>771.4299999999999</v>
      </c>
      <c r="I90" s="16">
        <f>SUM(K90:T90)</f>
        <v/>
      </c>
      <c r="J90" s="16">
        <f>F90-(G90+H90+I90)</f>
        <v/>
      </c>
      <c r="K90" s="16" t="n">
        <v>462.86</v>
      </c>
      <c r="L90" s="16" t="n">
        <v>462.86</v>
      </c>
      <c r="M90" s="16" t="n">
        <v>462.86</v>
      </c>
      <c r="N90" s="16" t="n">
        <v>462.86</v>
      </c>
      <c r="O90" s="16" t="n">
        <v>462.86</v>
      </c>
      <c r="P90" s="16" t="n">
        <v>462.86</v>
      </c>
      <c r="Q90" s="16" t="n">
        <v>462.86</v>
      </c>
      <c r="R90" s="16" t="n">
        <v>462.86</v>
      </c>
      <c r="S90" s="16" t="n">
        <v>462.86</v>
      </c>
      <c r="T90" s="16" t="n">
        <v>462.86</v>
      </c>
      <c r="U90" s="16" t="n">
        <v>350</v>
      </c>
      <c r="V90" s="16" t="n">
        <v>0</v>
      </c>
      <c r="W90" s="16">
        <f>U90+V90</f>
        <v/>
      </c>
    </row>
    <row r="91">
      <c r="A91" s="3" t="inlineStr">
        <is>
          <t>CANON-202607-007770</t>
        </is>
      </c>
      <c r="B91" s="3" t="inlineStr">
        <is>
          <t>2026-07-02</t>
        </is>
      </c>
      <c r="C91" s="3" t="inlineStr">
        <is>
          <t>Marisol Merriweather</t>
        </is>
      </c>
      <c r="D91" s="3" t="inlineStr">
        <is>
          <t>AL</t>
        </is>
      </c>
      <c r="E91" s="14" t="n">
        <v>680000</v>
      </c>
      <c r="F91" s="14" t="n">
        <v>8059.99</v>
      </c>
      <c r="G91" s="14" t="n">
        <v>1007.5</v>
      </c>
      <c r="H91" s="14" t="n">
        <v>1007.5</v>
      </c>
      <c r="I91" s="14">
        <f>SUM(K91:T91)</f>
        <v/>
      </c>
      <c r="J91" s="14">
        <f>F91-(G91+H91+I91)</f>
        <v/>
      </c>
      <c r="K91" s="14" t="n">
        <v>604.5</v>
      </c>
      <c r="L91" s="14" t="n">
        <v>604.5</v>
      </c>
      <c r="M91" s="14" t="n">
        <v>604.5</v>
      </c>
      <c r="N91" s="14" t="n">
        <v>604.5</v>
      </c>
      <c r="O91" s="14" t="n">
        <v>604.5</v>
      </c>
      <c r="P91" s="14" t="n">
        <v>604.5</v>
      </c>
      <c r="Q91" s="14" t="n">
        <v>604.5</v>
      </c>
      <c r="R91" s="14" t="n">
        <v>604.5</v>
      </c>
      <c r="S91" s="14" t="n">
        <v>604.5</v>
      </c>
      <c r="T91" s="14" t="n">
        <v>604.5</v>
      </c>
      <c r="U91" s="14" t="n">
        <v>350</v>
      </c>
      <c r="V91" s="14" t="n">
        <v>0</v>
      </c>
      <c r="W91" s="14">
        <f>U91+V91</f>
        <v/>
      </c>
    </row>
    <row r="92">
      <c r="A92" s="15" t="inlineStr">
        <is>
          <t>CANON-202607-007771</t>
        </is>
      </c>
      <c r="B92" s="15" t="inlineStr">
        <is>
          <t>2026-07-14</t>
        </is>
      </c>
      <c r="C92" s="15" t="inlineStr">
        <is>
          <t>Callum Nakashima</t>
        </is>
      </c>
      <c r="D92" s="15" t="inlineStr">
        <is>
          <t>DE</t>
        </is>
      </c>
      <c r="E92" s="16" t="n">
        <v>705000</v>
      </c>
      <c r="F92" s="16" t="n">
        <v>12020.75</v>
      </c>
      <c r="G92" s="16" t="n">
        <v>1502.59</v>
      </c>
      <c r="H92" s="16" t="n">
        <v>1502.59</v>
      </c>
      <c r="I92" s="16">
        <f>SUM(K92:T92)</f>
        <v/>
      </c>
      <c r="J92" s="16">
        <f>F92-(G92+H92+I92)</f>
        <v/>
      </c>
      <c r="K92" s="16" t="n">
        <v>901.5599999999999</v>
      </c>
      <c r="L92" s="16" t="n">
        <v>901.5599999999999</v>
      </c>
      <c r="M92" s="16" t="n">
        <v>901.5599999999999</v>
      </c>
      <c r="N92" s="16" t="n">
        <v>901.5599999999999</v>
      </c>
      <c r="O92" s="16" t="n">
        <v>901.5599999999999</v>
      </c>
      <c r="P92" s="16" t="n">
        <v>901.5599999999999</v>
      </c>
      <c r="Q92" s="16" t="n">
        <v>901.5599999999999</v>
      </c>
      <c r="R92" s="16" t="n">
        <v>901.5599999999999</v>
      </c>
      <c r="S92" s="16" t="n">
        <v>901.5599999999999</v>
      </c>
      <c r="T92" s="16" t="n">
        <v>901.5599999999999</v>
      </c>
      <c r="U92" s="16" t="n">
        <v>350</v>
      </c>
      <c r="V92" s="16" t="n">
        <v>0</v>
      </c>
      <c r="W92" s="16">
        <f>U92+V92</f>
        <v/>
      </c>
    </row>
    <row r="93">
      <c r="A93" s="3" t="inlineStr">
        <is>
          <t>CANON-202607-007772</t>
        </is>
      </c>
      <c r="B93" s="3" t="inlineStr">
        <is>
          <t>2026-07-20</t>
        </is>
      </c>
      <c r="C93" s="3" t="inlineStr">
        <is>
          <t>Ingrid Castellanos</t>
        </is>
      </c>
      <c r="D93" s="3" t="inlineStr">
        <is>
          <t>PA</t>
        </is>
      </c>
      <c r="E93" s="14" t="n">
        <v>1405000</v>
      </c>
      <c r="F93" s="14" t="n">
        <v>16138.95</v>
      </c>
      <c r="G93" s="14" t="n">
        <v>2017.37</v>
      </c>
      <c r="H93" s="14" t="n">
        <v>2017.37</v>
      </c>
      <c r="I93" s="14">
        <f>SUM(K93:T93)</f>
        <v/>
      </c>
      <c r="J93" s="14">
        <f>F93-(G93+H93+I93)</f>
        <v/>
      </c>
      <c r="K93" s="14" t="n">
        <v>1210.42</v>
      </c>
      <c r="L93" s="14" t="n">
        <v>1210.42</v>
      </c>
      <c r="M93" s="14" t="n">
        <v>1210.42</v>
      </c>
      <c r="N93" s="14" t="n">
        <v>1210.42</v>
      </c>
      <c r="O93" s="14" t="n">
        <v>1210.42</v>
      </c>
      <c r="P93" s="14" t="n">
        <v>1210.42</v>
      </c>
      <c r="Q93" s="14" t="n">
        <v>1210.42</v>
      </c>
      <c r="R93" s="14" t="n">
        <v>1210.42</v>
      </c>
      <c r="S93" s="14" t="n">
        <v>1210.42</v>
      </c>
      <c r="T93" s="14" t="n">
        <v>1210.42</v>
      </c>
      <c r="U93" s="14" t="n">
        <v>350</v>
      </c>
      <c r="V93" s="14" t="n">
        <v>250</v>
      </c>
      <c r="W93" s="14">
        <f>U93+V93</f>
        <v/>
      </c>
    </row>
    <row r="94">
      <c r="A94" s="15" t="inlineStr">
        <is>
          <t>CANON-202607-007773</t>
        </is>
      </c>
      <c r="B94" s="15" t="inlineStr">
        <is>
          <t>2026-07-10</t>
        </is>
      </c>
      <c r="C94" s="15" t="inlineStr">
        <is>
          <t>Beatrix Blackwood</t>
        </is>
      </c>
      <c r="D94" s="15" t="inlineStr">
        <is>
          <t>OR</t>
        </is>
      </c>
      <c r="E94" s="16" t="n">
        <v>375000</v>
      </c>
      <c r="F94" s="16" t="n">
        <v>4563.31</v>
      </c>
      <c r="G94" s="16" t="n">
        <v>570.41</v>
      </c>
      <c r="H94" s="16" t="n">
        <v>570.41</v>
      </c>
      <c r="I94" s="16">
        <f>SUM(K94:T94)</f>
        <v/>
      </c>
      <c r="J94" s="16">
        <f>F94-(G94+H94+I94)</f>
        <v/>
      </c>
      <c r="K94" s="16" t="n">
        <v>342.25</v>
      </c>
      <c r="L94" s="16" t="n">
        <v>342.25</v>
      </c>
      <c r="M94" s="16" t="n">
        <v>342.25</v>
      </c>
      <c r="N94" s="16" t="n">
        <v>342.25</v>
      </c>
      <c r="O94" s="16" t="n">
        <v>342.25</v>
      </c>
      <c r="P94" s="16" t="n">
        <v>342.25</v>
      </c>
      <c r="Q94" s="16" t="n">
        <v>342.25</v>
      </c>
      <c r="R94" s="16" t="n">
        <v>342.25</v>
      </c>
      <c r="S94" s="16" t="n">
        <v>342.25</v>
      </c>
      <c r="T94" s="16" t="n">
        <v>342.25</v>
      </c>
      <c r="U94" s="16" t="n">
        <v>350</v>
      </c>
      <c r="V94" s="16" t="n">
        <v>0</v>
      </c>
      <c r="W94" s="16">
        <f>U94+V94</f>
        <v/>
      </c>
    </row>
    <row r="95">
      <c r="A95" s="3" t="inlineStr">
        <is>
          <t>CANON-202607-007774</t>
        </is>
      </c>
      <c r="B95" s="3" t="inlineStr">
        <is>
          <t>2026-07-28</t>
        </is>
      </c>
      <c r="C95" s="3" t="inlineStr">
        <is>
          <t>Ingrid Kingsford</t>
        </is>
      </c>
      <c r="D95" s="3" t="inlineStr">
        <is>
          <t>NV</t>
        </is>
      </c>
      <c r="E95" s="14" t="n">
        <v>785000</v>
      </c>
      <c r="F95" s="14" t="n">
        <v>8571.91</v>
      </c>
      <c r="G95" s="14" t="n">
        <v>1071.49</v>
      </c>
      <c r="H95" s="14" t="n">
        <v>1071.49</v>
      </c>
      <c r="I95" s="14">
        <f>SUM(K95:T95)</f>
        <v/>
      </c>
      <c r="J95" s="14">
        <f>F95-(G95+H95+I95)</f>
        <v/>
      </c>
      <c r="K95" s="14" t="n">
        <v>642.89</v>
      </c>
      <c r="L95" s="14" t="n">
        <v>642.89</v>
      </c>
      <c r="M95" s="14" t="n">
        <v>642.89</v>
      </c>
      <c r="N95" s="14" t="n">
        <v>642.89</v>
      </c>
      <c r="O95" s="14" t="n">
        <v>642.89</v>
      </c>
      <c r="P95" s="14" t="n">
        <v>642.89</v>
      </c>
      <c r="Q95" s="14" t="n">
        <v>642.89</v>
      </c>
      <c r="R95" s="14" t="n">
        <v>642.89</v>
      </c>
      <c r="S95" s="14" t="n">
        <v>642.89</v>
      </c>
      <c r="T95" s="14" t="n">
        <v>642.89</v>
      </c>
      <c r="U95" s="14" t="n">
        <v>350</v>
      </c>
      <c r="V95" s="14" t="n">
        <v>0</v>
      </c>
      <c r="W95" s="14">
        <f>U95+V95</f>
        <v/>
      </c>
    </row>
    <row r="96">
      <c r="A96" s="15" t="inlineStr">
        <is>
          <t>CANON-202607-007775</t>
        </is>
      </c>
      <c r="B96" s="15" t="inlineStr">
        <is>
          <t>2026-07-11</t>
        </is>
      </c>
      <c r="C96" s="15" t="inlineStr">
        <is>
          <t>Fitzgerald Kingsford</t>
        </is>
      </c>
      <c r="D96" s="15" t="inlineStr">
        <is>
          <t>GA</t>
        </is>
      </c>
      <c r="E96" s="16" t="n">
        <v>990000</v>
      </c>
      <c r="F96" s="16" t="n">
        <v>10348.45</v>
      </c>
      <c r="G96" s="16" t="n">
        <v>1293.56</v>
      </c>
      <c r="H96" s="16" t="n">
        <v>1293.56</v>
      </c>
      <c r="I96" s="16">
        <f>SUM(K96:T96)</f>
        <v/>
      </c>
      <c r="J96" s="16">
        <f>F96-(G96+H96+I96)</f>
        <v/>
      </c>
      <c r="K96" s="16" t="n">
        <v>776.13</v>
      </c>
      <c r="L96" s="16" t="n">
        <v>776.13</v>
      </c>
      <c r="M96" s="16" t="n">
        <v>776.13</v>
      </c>
      <c r="N96" s="16" t="n">
        <v>776.13</v>
      </c>
      <c r="O96" s="16" t="n">
        <v>776.13</v>
      </c>
      <c r="P96" s="16" t="n">
        <v>776.13</v>
      </c>
      <c r="Q96" s="16" t="n">
        <v>776.13</v>
      </c>
      <c r="R96" s="16" t="n">
        <v>776.13</v>
      </c>
      <c r="S96" s="16" t="n">
        <v>776.13</v>
      </c>
      <c r="T96" s="16" t="n">
        <v>776.13</v>
      </c>
      <c r="U96" s="16" t="n">
        <v>350</v>
      </c>
      <c r="V96" s="16" t="n">
        <v>0</v>
      </c>
      <c r="W96" s="16">
        <f>U96+V96</f>
        <v/>
      </c>
    </row>
    <row r="97">
      <c r="A97" s="3" t="inlineStr">
        <is>
          <t>CANON-202607-007776</t>
        </is>
      </c>
      <c r="B97" s="3" t="inlineStr">
        <is>
          <t>2026-07-22</t>
        </is>
      </c>
      <c r="C97" s="3" t="inlineStr">
        <is>
          <t>Thaddeus Delacroix</t>
        </is>
      </c>
      <c r="D97" s="3" t="inlineStr">
        <is>
          <t>CO</t>
        </is>
      </c>
      <c r="E97" s="14" t="n">
        <v>815000</v>
      </c>
      <c r="F97" s="14" t="n">
        <v>8367.049999999999</v>
      </c>
      <c r="G97" s="14" t="n">
        <v>1045.88</v>
      </c>
      <c r="H97" s="14" t="n">
        <v>1045.88</v>
      </c>
      <c r="I97" s="14">
        <f>SUM(K97:T97)</f>
        <v/>
      </c>
      <c r="J97" s="14">
        <f>F97-(G97+H97+I97)</f>
        <v/>
      </c>
      <c r="K97" s="14" t="n">
        <v>627.53</v>
      </c>
      <c r="L97" s="14" t="n">
        <v>627.53</v>
      </c>
      <c r="M97" s="14" t="n">
        <v>627.53</v>
      </c>
      <c r="N97" s="14" t="n">
        <v>627.53</v>
      </c>
      <c r="O97" s="14" t="n">
        <v>627.53</v>
      </c>
      <c r="P97" s="14" t="n">
        <v>627.53</v>
      </c>
      <c r="Q97" s="14" t="n">
        <v>627.53</v>
      </c>
      <c r="R97" s="14" t="n">
        <v>627.53</v>
      </c>
      <c r="S97" s="14" t="n">
        <v>627.53</v>
      </c>
      <c r="T97" s="14" t="n">
        <v>627.53</v>
      </c>
      <c r="U97" s="14" t="n">
        <v>350</v>
      </c>
      <c r="V97" s="14" t="n">
        <v>0</v>
      </c>
      <c r="W97" s="14">
        <f>U97+V97</f>
        <v/>
      </c>
    </row>
    <row r="98">
      <c r="A98" s="15" t="inlineStr">
        <is>
          <t>CANON-202607-007779</t>
        </is>
      </c>
      <c r="B98" s="15" t="inlineStr">
        <is>
          <t>2026-07-02</t>
        </is>
      </c>
      <c r="C98" s="15" t="inlineStr">
        <is>
          <t>Wilhelmina Delacroix</t>
        </is>
      </c>
      <c r="D98" s="15" t="inlineStr">
        <is>
          <t>TX</t>
        </is>
      </c>
      <c r="E98" s="16" t="n">
        <v>765000</v>
      </c>
      <c r="F98" s="16" t="n">
        <v>8210.73</v>
      </c>
      <c r="G98" s="16" t="n">
        <v>1026.34</v>
      </c>
      <c r="H98" s="16" t="n">
        <v>1026.34</v>
      </c>
      <c r="I98" s="16">
        <f>SUM(K98:T98)</f>
        <v/>
      </c>
      <c r="J98" s="16">
        <f>F98-(G98+H98+I98)</f>
        <v/>
      </c>
      <c r="K98" s="16" t="n">
        <v>615.8</v>
      </c>
      <c r="L98" s="16" t="n">
        <v>615.8</v>
      </c>
      <c r="M98" s="16" t="n">
        <v>615.8</v>
      </c>
      <c r="N98" s="16" t="n">
        <v>615.8</v>
      </c>
      <c r="O98" s="16" t="n">
        <v>615.8</v>
      </c>
      <c r="P98" s="16" t="n">
        <v>615.8</v>
      </c>
      <c r="Q98" s="16" t="n">
        <v>615.8</v>
      </c>
      <c r="R98" s="16" t="n">
        <v>615.8</v>
      </c>
      <c r="S98" s="16" t="n">
        <v>615.8</v>
      </c>
      <c r="T98" s="16" t="n">
        <v>615.8</v>
      </c>
      <c r="U98" s="16" t="n">
        <v>350</v>
      </c>
      <c r="V98" s="16" t="n">
        <v>0</v>
      </c>
      <c r="W98" s="16">
        <f>U98+V98</f>
        <v/>
      </c>
    </row>
    <row r="99">
      <c r="A99" s="3" t="inlineStr">
        <is>
          <t>CANON-202607-007781</t>
        </is>
      </c>
      <c r="B99" s="3" t="inlineStr">
        <is>
          <t>2026-07-30</t>
        </is>
      </c>
      <c r="C99" s="3" t="inlineStr">
        <is>
          <t>Ottilie Ashcombe</t>
        </is>
      </c>
      <c r="D99" s="3" t="inlineStr">
        <is>
          <t>MI</t>
        </is>
      </c>
      <c r="E99" s="14" t="n">
        <v>475000</v>
      </c>
      <c r="F99" s="14" t="n">
        <v>7928.58</v>
      </c>
      <c r="G99" s="14" t="n">
        <v>991.0700000000001</v>
      </c>
      <c r="H99" s="14" t="n">
        <v>991.0700000000001</v>
      </c>
      <c r="I99" s="14">
        <f>SUM(K99:T99)</f>
        <v/>
      </c>
      <c r="J99" s="14">
        <f>F99-(G99+H99+I99)</f>
        <v/>
      </c>
      <c r="K99" s="14" t="n">
        <v>594.64</v>
      </c>
      <c r="L99" s="14" t="n">
        <v>594.64</v>
      </c>
      <c r="M99" s="14" t="n">
        <v>594.64</v>
      </c>
      <c r="N99" s="14" t="n">
        <v>594.64</v>
      </c>
      <c r="O99" s="14" t="n">
        <v>594.64</v>
      </c>
      <c r="P99" s="14" t="n">
        <v>594.64</v>
      </c>
      <c r="Q99" s="14" t="n">
        <v>594.64</v>
      </c>
      <c r="R99" s="14" t="n">
        <v>594.64</v>
      </c>
      <c r="S99" s="14" t="n">
        <v>594.64</v>
      </c>
      <c r="T99" s="14" t="n">
        <v>594.64</v>
      </c>
      <c r="U99" s="14" t="n">
        <v>350</v>
      </c>
      <c r="V99" s="14" t="n">
        <v>0</v>
      </c>
      <c r="W99" s="14">
        <f>U99+V99</f>
        <v/>
      </c>
    </row>
    <row r="100">
      <c r="A100" s="15" t="inlineStr">
        <is>
          <t>CANON-202607-007782</t>
        </is>
      </c>
      <c r="B100" s="15" t="inlineStr">
        <is>
          <t>2026-07-11</t>
        </is>
      </c>
      <c r="C100" s="15" t="inlineStr">
        <is>
          <t>Emiliano Kingsford</t>
        </is>
      </c>
      <c r="D100" s="15" t="inlineStr">
        <is>
          <t>CO</t>
        </is>
      </c>
      <c r="E100" s="16" t="n">
        <v>600000</v>
      </c>
      <c r="F100" s="16" t="n">
        <v>9002.77</v>
      </c>
      <c r="G100" s="16" t="n">
        <v>1125.35</v>
      </c>
      <c r="H100" s="16" t="n">
        <v>1125.35</v>
      </c>
      <c r="I100" s="16">
        <f>SUM(K100:T100)</f>
        <v/>
      </c>
      <c r="J100" s="16">
        <f>F100-(G100+H100+I100)</f>
        <v/>
      </c>
      <c r="K100" s="16" t="n">
        <v>675.21</v>
      </c>
      <c r="L100" s="16" t="n">
        <v>675.21</v>
      </c>
      <c r="M100" s="16" t="n">
        <v>675.21</v>
      </c>
      <c r="N100" s="16" t="n">
        <v>675.21</v>
      </c>
      <c r="O100" s="16" t="n">
        <v>675.21</v>
      </c>
      <c r="P100" s="16" t="n">
        <v>675.21</v>
      </c>
      <c r="Q100" s="16" t="n">
        <v>675.21</v>
      </c>
      <c r="R100" s="16" t="n">
        <v>675.21</v>
      </c>
      <c r="S100" s="16" t="n">
        <v>675.21</v>
      </c>
      <c r="T100" s="16" t="n">
        <v>675.21</v>
      </c>
      <c r="U100" s="16" t="n">
        <v>350</v>
      </c>
      <c r="V100" s="16" t="n">
        <v>0</v>
      </c>
      <c r="W100" s="16">
        <f>U100+V100</f>
        <v/>
      </c>
    </row>
    <row r="101">
      <c r="A101" s="3" t="inlineStr">
        <is>
          <t>CANON-202607-007783</t>
        </is>
      </c>
      <c r="B101" s="3" t="inlineStr">
        <is>
          <t>2026-07-03</t>
        </is>
      </c>
      <c r="C101" s="3" t="inlineStr">
        <is>
          <t>Cassius Rourke</t>
        </is>
      </c>
      <c r="D101" s="3" t="inlineStr">
        <is>
          <t>NJ</t>
        </is>
      </c>
      <c r="E101" s="14" t="n">
        <v>190000</v>
      </c>
      <c r="F101" s="14" t="n">
        <v>2283.97</v>
      </c>
      <c r="G101" s="14" t="n">
        <v>285.5</v>
      </c>
      <c r="H101" s="14" t="n">
        <v>285.5</v>
      </c>
      <c r="I101" s="14">
        <f>SUM(K101:T101)</f>
        <v/>
      </c>
      <c r="J101" s="14">
        <f>F101-(G101+H101+I101)</f>
        <v/>
      </c>
      <c r="K101" s="14" t="n">
        <v>171.3</v>
      </c>
      <c r="L101" s="14" t="n">
        <v>171.3</v>
      </c>
      <c r="M101" s="14" t="n">
        <v>171.3</v>
      </c>
      <c r="N101" s="14" t="n">
        <v>171.3</v>
      </c>
      <c r="O101" s="14" t="n">
        <v>171.3</v>
      </c>
      <c r="P101" s="14" t="n">
        <v>171.3</v>
      </c>
      <c r="Q101" s="14" t="n">
        <v>171.3</v>
      </c>
      <c r="R101" s="14" t="n">
        <v>171.3</v>
      </c>
      <c r="S101" s="14" t="n">
        <v>171.3</v>
      </c>
      <c r="T101" s="14" t="n">
        <v>171.3</v>
      </c>
      <c r="U101" s="14" t="n">
        <v>350</v>
      </c>
      <c r="V101" s="14" t="n">
        <v>0</v>
      </c>
      <c r="W101" s="14">
        <f>U101+V101</f>
        <v/>
      </c>
    </row>
    <row r="102">
      <c r="A102" s="15" t="inlineStr">
        <is>
          <t>CANON-202607-007784</t>
        </is>
      </c>
      <c r="B102" s="15" t="inlineStr">
        <is>
          <t>2026-07-01</t>
        </is>
      </c>
      <c r="C102" s="15" t="inlineStr">
        <is>
          <t>Wilhelmina Bellandi</t>
        </is>
      </c>
      <c r="D102" s="15" t="inlineStr">
        <is>
          <t>OH</t>
        </is>
      </c>
      <c r="E102" s="16" t="n">
        <v>710000</v>
      </c>
      <c r="F102" s="16" t="n">
        <v>9210.76</v>
      </c>
      <c r="G102" s="16" t="n">
        <v>1151.35</v>
      </c>
      <c r="H102" s="16" t="n">
        <v>1151.35</v>
      </c>
      <c r="I102" s="16">
        <f>SUM(K102:T102)</f>
        <v/>
      </c>
      <c r="J102" s="16">
        <f>F102-(G102+H102+I102)</f>
        <v/>
      </c>
      <c r="K102" s="16" t="n">
        <v>690.8099999999999</v>
      </c>
      <c r="L102" s="16" t="n">
        <v>690.8099999999999</v>
      </c>
      <c r="M102" s="16" t="n">
        <v>690.8099999999999</v>
      </c>
      <c r="N102" s="16" t="n">
        <v>690.8099999999999</v>
      </c>
      <c r="O102" s="16" t="n">
        <v>690.8099999999999</v>
      </c>
      <c r="P102" s="16" t="n">
        <v>690.8099999999999</v>
      </c>
      <c r="Q102" s="16" t="n">
        <v>690.8099999999999</v>
      </c>
      <c r="R102" s="16" t="n">
        <v>690.8099999999999</v>
      </c>
      <c r="S102" s="16" t="n">
        <v>690.8099999999999</v>
      </c>
      <c r="T102" s="16" t="n">
        <v>690.8099999999999</v>
      </c>
      <c r="U102" s="16" t="n">
        <v>350</v>
      </c>
      <c r="V102" s="16" t="n">
        <v>0</v>
      </c>
      <c r="W102" s="16">
        <f>U102+V102</f>
        <v/>
      </c>
    </row>
    <row r="103">
      <c r="A103" s="3" t="inlineStr">
        <is>
          <t>CANON-202607-007785</t>
        </is>
      </c>
      <c r="B103" s="3" t="inlineStr">
        <is>
          <t>2026-07-24</t>
        </is>
      </c>
      <c r="C103" s="3" t="inlineStr">
        <is>
          <t>Callum Delacroix</t>
        </is>
      </c>
      <c r="D103" s="3" t="inlineStr">
        <is>
          <t>NJ</t>
        </is>
      </c>
      <c r="E103" s="14" t="n">
        <v>335000</v>
      </c>
      <c r="F103" s="14" t="n">
        <v>3282.89</v>
      </c>
      <c r="G103" s="14" t="n">
        <v>410.36</v>
      </c>
      <c r="H103" s="14" t="n">
        <v>410.36</v>
      </c>
      <c r="I103" s="14">
        <f>SUM(K103:T103)</f>
        <v/>
      </c>
      <c r="J103" s="14">
        <f>F103-(G103+H103+I103)</f>
        <v/>
      </c>
      <c r="K103" s="14" t="n">
        <v>246.22</v>
      </c>
      <c r="L103" s="14" t="n">
        <v>246.22</v>
      </c>
      <c r="M103" s="14" t="n">
        <v>246.22</v>
      </c>
      <c r="N103" s="14" t="n">
        <v>246.22</v>
      </c>
      <c r="O103" s="14" t="n">
        <v>246.22</v>
      </c>
      <c r="P103" s="14" t="n">
        <v>246.22</v>
      </c>
      <c r="Q103" s="14" t="n">
        <v>246.22</v>
      </c>
      <c r="R103" s="14" t="n">
        <v>246.22</v>
      </c>
      <c r="S103" s="14" t="n">
        <v>246.22</v>
      </c>
      <c r="T103" s="14" t="n">
        <v>246.22</v>
      </c>
      <c r="U103" s="14" t="n">
        <v>350</v>
      </c>
      <c r="V103" s="14" t="n">
        <v>0</v>
      </c>
      <c r="W103" s="14">
        <f>U103+V103</f>
        <v/>
      </c>
    </row>
    <row r="104">
      <c r="A104" s="15" t="inlineStr">
        <is>
          <t>CANON-202607-007787</t>
        </is>
      </c>
      <c r="B104" s="15" t="inlineStr">
        <is>
          <t>2026-07-17</t>
        </is>
      </c>
      <c r="C104" s="15" t="inlineStr">
        <is>
          <t>Horace Nakashima</t>
        </is>
      </c>
      <c r="D104" s="15" t="inlineStr">
        <is>
          <t>WY</t>
        </is>
      </c>
      <c r="E104" s="16" t="n">
        <v>640000</v>
      </c>
      <c r="F104" s="16" t="n">
        <v>6391.25</v>
      </c>
      <c r="G104" s="16" t="n">
        <v>798.91</v>
      </c>
      <c r="H104" s="16" t="n">
        <v>798.91</v>
      </c>
      <c r="I104" s="16">
        <f>SUM(K104:T104)</f>
        <v/>
      </c>
      <c r="J104" s="16">
        <f>F104-(G104+H104+I104)</f>
        <v/>
      </c>
      <c r="K104" s="16" t="n">
        <v>479.34</v>
      </c>
      <c r="L104" s="16" t="n">
        <v>479.34</v>
      </c>
      <c r="M104" s="16" t="n">
        <v>479.34</v>
      </c>
      <c r="N104" s="16" t="n">
        <v>479.34</v>
      </c>
      <c r="O104" s="16" t="n">
        <v>479.34</v>
      </c>
      <c r="P104" s="16" t="n">
        <v>479.34</v>
      </c>
      <c r="Q104" s="16" t="n">
        <v>479.34</v>
      </c>
      <c r="R104" s="16" t="n">
        <v>479.34</v>
      </c>
      <c r="S104" s="16" t="n">
        <v>479.34</v>
      </c>
      <c r="T104" s="16" t="n">
        <v>479.34</v>
      </c>
      <c r="U104" s="16" t="n">
        <v>350</v>
      </c>
      <c r="V104" s="16" t="n">
        <v>0</v>
      </c>
      <c r="W104" s="16">
        <f>U104+V104</f>
        <v/>
      </c>
    </row>
    <row r="105">
      <c r="A105" s="3" t="inlineStr">
        <is>
          <t>CANON-202607-007788</t>
        </is>
      </c>
      <c r="B105" s="3" t="inlineStr">
        <is>
          <t>2026-07-17</t>
        </is>
      </c>
      <c r="C105" s="3" t="inlineStr">
        <is>
          <t>Saoirse Okonkwo</t>
        </is>
      </c>
      <c r="D105" s="3" t="inlineStr">
        <is>
          <t>CA</t>
        </is>
      </c>
      <c r="E105" s="14" t="n">
        <v>110000</v>
      </c>
      <c r="F105" s="14" t="n">
        <v>1961.66</v>
      </c>
      <c r="G105" s="14" t="n">
        <v>245.21</v>
      </c>
      <c r="H105" s="14" t="n">
        <v>245.21</v>
      </c>
      <c r="I105" s="14">
        <f>SUM(K105:T105)</f>
        <v/>
      </c>
      <c r="J105" s="14">
        <f>F105-(G105+H105+I105)</f>
        <v/>
      </c>
      <c r="K105" s="14" t="n">
        <v>147.12</v>
      </c>
      <c r="L105" s="14" t="n">
        <v>147.12</v>
      </c>
      <c r="M105" s="14" t="n">
        <v>147.12</v>
      </c>
      <c r="N105" s="14" t="n">
        <v>147.12</v>
      </c>
      <c r="O105" s="14" t="n">
        <v>147.12</v>
      </c>
      <c r="P105" s="14" t="n">
        <v>147.12</v>
      </c>
      <c r="Q105" s="14" t="n">
        <v>147.12</v>
      </c>
      <c r="R105" s="14" t="n">
        <v>147.12</v>
      </c>
      <c r="S105" s="14" t="n">
        <v>147.12</v>
      </c>
      <c r="T105" s="14" t="n">
        <v>147.12</v>
      </c>
      <c r="U105" s="14" t="n">
        <v>350</v>
      </c>
      <c r="V105" s="14" t="n">
        <v>0</v>
      </c>
      <c r="W105" s="14">
        <f>U105+V105</f>
        <v/>
      </c>
    </row>
    <row r="106">
      <c r="A106" s="15" t="inlineStr">
        <is>
          <t>CANON-202607-007789</t>
        </is>
      </c>
      <c r="B106" s="15" t="inlineStr">
        <is>
          <t>2026-07-13</t>
        </is>
      </c>
      <c r="C106" s="15" t="inlineStr">
        <is>
          <t>Cassius Whitlock</t>
        </is>
      </c>
      <c r="D106" s="15" t="inlineStr">
        <is>
          <t>ID</t>
        </is>
      </c>
      <c r="E106" s="16" t="n">
        <v>495000</v>
      </c>
      <c r="F106" s="16" t="n">
        <v>5277.28</v>
      </c>
      <c r="G106" s="16" t="n">
        <v>659.66</v>
      </c>
      <c r="H106" s="16" t="n">
        <v>659.66</v>
      </c>
      <c r="I106" s="16">
        <f>SUM(K106:T106)</f>
        <v/>
      </c>
      <c r="J106" s="16">
        <f>F106-(G106+H106+I106)</f>
        <v/>
      </c>
      <c r="K106" s="16" t="n">
        <v>395.8</v>
      </c>
      <c r="L106" s="16" t="n">
        <v>395.8</v>
      </c>
      <c r="M106" s="16" t="n">
        <v>395.8</v>
      </c>
      <c r="N106" s="16" t="n">
        <v>395.8</v>
      </c>
      <c r="O106" s="16" t="n">
        <v>395.8</v>
      </c>
      <c r="P106" s="16" t="n">
        <v>395.8</v>
      </c>
      <c r="Q106" s="16" t="n">
        <v>395.8</v>
      </c>
      <c r="R106" s="16" t="n">
        <v>395.8</v>
      </c>
      <c r="S106" s="16" t="n">
        <v>395.8</v>
      </c>
      <c r="T106" s="16" t="n">
        <v>395.8</v>
      </c>
      <c r="U106" s="16" t="n">
        <v>350</v>
      </c>
      <c r="V106" s="16" t="n">
        <v>0</v>
      </c>
      <c r="W106" s="16">
        <f>U106+V106</f>
        <v/>
      </c>
    </row>
    <row r="107">
      <c r="A107" s="3" t="inlineStr">
        <is>
          <t>CANON-202607-007790</t>
        </is>
      </c>
      <c r="B107" s="3" t="inlineStr">
        <is>
          <t>2026-07-01</t>
        </is>
      </c>
      <c r="C107" s="3" t="inlineStr">
        <is>
          <t>Sunniva Harrington</t>
        </is>
      </c>
      <c r="D107" s="3" t="inlineStr">
        <is>
          <t>IN</t>
        </is>
      </c>
      <c r="E107" s="14" t="n">
        <v>745000</v>
      </c>
      <c r="F107" s="14" t="n">
        <v>5657.68</v>
      </c>
      <c r="G107" s="14" t="n">
        <v>707.21</v>
      </c>
      <c r="H107" s="14" t="n">
        <v>707.21</v>
      </c>
      <c r="I107" s="14">
        <f>SUM(K107:T107)</f>
        <v/>
      </c>
      <c r="J107" s="14">
        <f>F107-(G107+H107+I107)</f>
        <v/>
      </c>
      <c r="K107" s="14" t="n">
        <v>424.33</v>
      </c>
      <c r="L107" s="14" t="n">
        <v>424.33</v>
      </c>
      <c r="M107" s="14" t="n">
        <v>424.33</v>
      </c>
      <c r="N107" s="14" t="n">
        <v>424.33</v>
      </c>
      <c r="O107" s="14" t="n">
        <v>424.33</v>
      </c>
      <c r="P107" s="14" t="n">
        <v>424.33</v>
      </c>
      <c r="Q107" s="14" t="n">
        <v>424.33</v>
      </c>
      <c r="R107" s="14" t="n">
        <v>424.33</v>
      </c>
      <c r="S107" s="14" t="n">
        <v>424.33</v>
      </c>
      <c r="T107" s="14" t="n">
        <v>424.33</v>
      </c>
      <c r="U107" s="14" t="n">
        <v>350</v>
      </c>
      <c r="V107" s="14" t="n">
        <v>0</v>
      </c>
      <c r="W107" s="14">
        <f>U107+V107</f>
        <v/>
      </c>
    </row>
    <row r="108">
      <c r="A108" s="15" t="inlineStr">
        <is>
          <t>CANON-202607-007791</t>
        </is>
      </c>
      <c r="B108" s="15" t="inlineStr">
        <is>
          <t>2026-07-29</t>
        </is>
      </c>
      <c r="C108" s="15" t="inlineStr">
        <is>
          <t>Emiliano Montoya</t>
        </is>
      </c>
      <c r="D108" s="15" t="inlineStr">
        <is>
          <t>VA</t>
        </is>
      </c>
      <c r="E108" s="16" t="n">
        <v>410000</v>
      </c>
      <c r="F108" s="16" t="n">
        <v>3080.07</v>
      </c>
      <c r="G108" s="16" t="n">
        <v>385.01</v>
      </c>
      <c r="H108" s="16" t="n">
        <v>385.01</v>
      </c>
      <c r="I108" s="16">
        <f>SUM(K108:T108)</f>
        <v/>
      </c>
      <c r="J108" s="16">
        <f>F108-(G108+H108+I108)</f>
        <v/>
      </c>
      <c r="K108" s="16" t="n">
        <v>231.01</v>
      </c>
      <c r="L108" s="16" t="n">
        <v>231.01</v>
      </c>
      <c r="M108" s="16" t="n">
        <v>231.01</v>
      </c>
      <c r="N108" s="16" t="n">
        <v>231.01</v>
      </c>
      <c r="O108" s="16" t="n">
        <v>231.01</v>
      </c>
      <c r="P108" s="16" t="n">
        <v>231.01</v>
      </c>
      <c r="Q108" s="16" t="n">
        <v>231.01</v>
      </c>
      <c r="R108" s="16" t="n">
        <v>231.01</v>
      </c>
      <c r="S108" s="16" t="n">
        <v>231.01</v>
      </c>
      <c r="T108" s="16" t="n">
        <v>231.01</v>
      </c>
      <c r="U108" s="16" t="n">
        <v>350</v>
      </c>
      <c r="V108" s="16" t="n">
        <v>0</v>
      </c>
      <c r="W108" s="16">
        <f>U108+V108</f>
        <v/>
      </c>
    </row>
    <row r="109">
      <c r="A109" s="3" t="inlineStr">
        <is>
          <t>CANON-202607-007792</t>
        </is>
      </c>
      <c r="B109" s="3" t="inlineStr">
        <is>
          <t>2026-07-07</t>
        </is>
      </c>
      <c r="C109" s="3" t="inlineStr">
        <is>
          <t>Marisol Okonkwo</t>
        </is>
      </c>
      <c r="D109" s="3" t="inlineStr">
        <is>
          <t>NV</t>
        </is>
      </c>
      <c r="E109" s="14" t="n">
        <v>480000</v>
      </c>
      <c r="F109" s="14" t="n">
        <v>6047.8</v>
      </c>
      <c r="G109" s="14" t="n">
        <v>755.98</v>
      </c>
      <c r="H109" s="14" t="n">
        <v>755.98</v>
      </c>
      <c r="I109" s="14">
        <f>SUM(K109:T109)</f>
        <v/>
      </c>
      <c r="J109" s="14">
        <f>F109-(G109+H109+I109)</f>
        <v/>
      </c>
      <c r="K109" s="14" t="n">
        <v>453.58</v>
      </c>
      <c r="L109" s="14" t="n">
        <v>453.58</v>
      </c>
      <c r="M109" s="14" t="n">
        <v>453.58</v>
      </c>
      <c r="N109" s="14" t="n">
        <v>453.58</v>
      </c>
      <c r="O109" s="14" t="n">
        <v>453.58</v>
      </c>
      <c r="P109" s="14" t="n">
        <v>453.58</v>
      </c>
      <c r="Q109" s="14" t="n">
        <v>453.58</v>
      </c>
      <c r="R109" s="14" t="n">
        <v>453.58</v>
      </c>
      <c r="S109" s="14" t="n">
        <v>453.58</v>
      </c>
      <c r="T109" s="14" t="n">
        <v>453.58</v>
      </c>
      <c r="U109" s="14" t="n">
        <v>350</v>
      </c>
      <c r="V109" s="14" t="n">
        <v>0</v>
      </c>
      <c r="W109" s="14">
        <f>U109+V109</f>
        <v/>
      </c>
    </row>
    <row r="110">
      <c r="A110" s="15" t="inlineStr">
        <is>
          <t>CANON-202607-007793</t>
        </is>
      </c>
      <c r="B110" s="15" t="inlineStr">
        <is>
          <t>2026-07-14</t>
        </is>
      </c>
      <c r="C110" s="15" t="inlineStr">
        <is>
          <t>Thaddeus Delacroix</t>
        </is>
      </c>
      <c r="D110" s="15" t="inlineStr">
        <is>
          <t>NC</t>
        </is>
      </c>
      <c r="E110" s="16" t="n">
        <v>600000</v>
      </c>
      <c r="F110" s="16" t="n">
        <v>9411.99</v>
      </c>
      <c r="G110" s="16" t="n">
        <v>1176.5</v>
      </c>
      <c r="H110" s="16" t="n">
        <v>1176.5</v>
      </c>
      <c r="I110" s="16">
        <f>SUM(K110:T110)</f>
        <v/>
      </c>
      <c r="J110" s="16">
        <f>F110-(G110+H110+I110)</f>
        <v/>
      </c>
      <c r="K110" s="16" t="n">
        <v>705.9</v>
      </c>
      <c r="L110" s="16" t="n">
        <v>705.9</v>
      </c>
      <c r="M110" s="16" t="n">
        <v>705.9</v>
      </c>
      <c r="N110" s="16" t="n">
        <v>705.9</v>
      </c>
      <c r="O110" s="16" t="n">
        <v>705.9</v>
      </c>
      <c r="P110" s="16" t="n">
        <v>705.9</v>
      </c>
      <c r="Q110" s="16" t="n">
        <v>705.9</v>
      </c>
      <c r="R110" s="16" t="n">
        <v>705.9</v>
      </c>
      <c r="S110" s="16" t="n">
        <v>705.9</v>
      </c>
      <c r="T110" s="16" t="n">
        <v>705.9</v>
      </c>
      <c r="U110" s="16" t="n">
        <v>350</v>
      </c>
      <c r="V110" s="16" t="n">
        <v>0</v>
      </c>
      <c r="W110" s="16">
        <f>U110+V110</f>
        <v/>
      </c>
    </row>
    <row r="111">
      <c r="A111" s="3" t="inlineStr">
        <is>
          <t>CANON-202607-007794</t>
        </is>
      </c>
      <c r="B111" s="3" t="inlineStr">
        <is>
          <t>2026-07-19</t>
        </is>
      </c>
      <c r="C111" s="3" t="inlineStr">
        <is>
          <t>Fenwick Farkas</t>
        </is>
      </c>
      <c r="D111" s="3" t="inlineStr">
        <is>
          <t>MT</t>
        </is>
      </c>
      <c r="E111" s="14" t="n">
        <v>705000</v>
      </c>
      <c r="F111" s="14" t="n">
        <v>6119.19</v>
      </c>
      <c r="G111" s="14" t="n">
        <v>764.9</v>
      </c>
      <c r="H111" s="14" t="n">
        <v>764.9</v>
      </c>
      <c r="I111" s="14">
        <f>SUM(K111:T111)</f>
        <v/>
      </c>
      <c r="J111" s="14">
        <f>F111-(G111+H111+I111)</f>
        <v/>
      </c>
      <c r="K111" s="14" t="n">
        <v>458.94</v>
      </c>
      <c r="L111" s="14" t="n">
        <v>458.94</v>
      </c>
      <c r="M111" s="14" t="n">
        <v>458.94</v>
      </c>
      <c r="N111" s="14" t="n">
        <v>458.94</v>
      </c>
      <c r="O111" s="14" t="n">
        <v>458.94</v>
      </c>
      <c r="P111" s="14" t="n">
        <v>458.94</v>
      </c>
      <c r="Q111" s="14" t="n">
        <v>458.94</v>
      </c>
      <c r="R111" s="14" t="n">
        <v>458.94</v>
      </c>
      <c r="S111" s="14" t="n">
        <v>458.94</v>
      </c>
      <c r="T111" s="14" t="n">
        <v>458.94</v>
      </c>
      <c r="U111" s="14" t="n">
        <v>350</v>
      </c>
      <c r="V111" s="14" t="n">
        <v>0</v>
      </c>
      <c r="W111" s="14">
        <f>U111+V111</f>
        <v/>
      </c>
    </row>
    <row r="112">
      <c r="A112" s="15" t="inlineStr">
        <is>
          <t>CANON-202607-007795</t>
        </is>
      </c>
      <c r="B112" s="15" t="inlineStr">
        <is>
          <t>2026-07-02</t>
        </is>
      </c>
      <c r="C112" s="15" t="inlineStr">
        <is>
          <t>Ingrid Larsson</t>
        </is>
      </c>
      <c r="D112" s="15" t="inlineStr">
        <is>
          <t>NJ</t>
        </is>
      </c>
      <c r="E112" s="16" t="n">
        <v>710000</v>
      </c>
      <c r="F112" s="16" t="n">
        <v>6030.07</v>
      </c>
      <c r="G112" s="16" t="n">
        <v>753.76</v>
      </c>
      <c r="H112" s="16" t="n">
        <v>753.76</v>
      </c>
      <c r="I112" s="16">
        <f>SUM(K112:T112)</f>
        <v/>
      </c>
      <c r="J112" s="16">
        <f>F112-(G112+H112+I112)</f>
        <v/>
      </c>
      <c r="K112" s="16" t="n">
        <v>452.26</v>
      </c>
      <c r="L112" s="16" t="n">
        <v>452.26</v>
      </c>
      <c r="M112" s="16" t="n">
        <v>452.26</v>
      </c>
      <c r="N112" s="16" t="n">
        <v>452.26</v>
      </c>
      <c r="O112" s="16" t="n">
        <v>452.26</v>
      </c>
      <c r="P112" s="16" t="n">
        <v>452.26</v>
      </c>
      <c r="Q112" s="16" t="n">
        <v>452.26</v>
      </c>
      <c r="R112" s="16" t="n">
        <v>452.26</v>
      </c>
      <c r="S112" s="16" t="n">
        <v>452.26</v>
      </c>
      <c r="T112" s="16" t="n">
        <v>452.26</v>
      </c>
      <c r="U112" s="16" t="n">
        <v>350</v>
      </c>
      <c r="V112" s="16" t="n">
        <v>0</v>
      </c>
      <c r="W112" s="16">
        <f>U112+V112</f>
        <v/>
      </c>
    </row>
    <row r="113">
      <c r="A113" s="3" t="inlineStr">
        <is>
          <t>CANON-202607-007796</t>
        </is>
      </c>
      <c r="B113" s="3" t="inlineStr">
        <is>
          <t>2026-07-19</t>
        </is>
      </c>
      <c r="C113" s="3" t="inlineStr">
        <is>
          <t>Ingrid Vasquez</t>
        </is>
      </c>
      <c r="D113" s="3" t="inlineStr">
        <is>
          <t>ID</t>
        </is>
      </c>
      <c r="E113" s="14" t="n">
        <v>1090000</v>
      </c>
      <c r="F113" s="14" t="n">
        <v>8521.84</v>
      </c>
      <c r="G113" s="14" t="n">
        <v>1065.23</v>
      </c>
      <c r="H113" s="14" t="n">
        <v>1065.23</v>
      </c>
      <c r="I113" s="14">
        <f>SUM(K113:T113)</f>
        <v/>
      </c>
      <c r="J113" s="14">
        <f>F113-(G113+H113+I113)</f>
        <v/>
      </c>
      <c r="K113" s="14" t="n">
        <v>639.14</v>
      </c>
      <c r="L113" s="14" t="n">
        <v>639.14</v>
      </c>
      <c r="M113" s="14" t="n">
        <v>639.14</v>
      </c>
      <c r="N113" s="14" t="n">
        <v>639.14</v>
      </c>
      <c r="O113" s="14" t="n">
        <v>639.14</v>
      </c>
      <c r="P113" s="14" t="n">
        <v>639.14</v>
      </c>
      <c r="Q113" s="14" t="n">
        <v>639.14</v>
      </c>
      <c r="R113" s="14" t="n">
        <v>639.14</v>
      </c>
      <c r="S113" s="14" t="n">
        <v>639.14</v>
      </c>
      <c r="T113" s="14" t="n">
        <v>639.14</v>
      </c>
      <c r="U113" s="14" t="n">
        <v>350</v>
      </c>
      <c r="V113" s="14" t="n">
        <v>250</v>
      </c>
      <c r="W113" s="14">
        <f>U113+V113</f>
        <v/>
      </c>
    </row>
    <row r="114">
      <c r="A114" s="15" t="inlineStr">
        <is>
          <t>CANON-202607-007797</t>
        </is>
      </c>
      <c r="B114" s="15" t="inlineStr">
        <is>
          <t>2026-07-27</t>
        </is>
      </c>
      <c r="C114" s="15" t="inlineStr">
        <is>
          <t>Ottilie Chattopadhyay</t>
        </is>
      </c>
      <c r="D114" s="15" t="inlineStr">
        <is>
          <t>UT</t>
        </is>
      </c>
      <c r="E114" s="16" t="n">
        <v>200000</v>
      </c>
      <c r="F114" s="16" t="n">
        <v>3566.65</v>
      </c>
      <c r="G114" s="16" t="n">
        <v>445.83</v>
      </c>
      <c r="H114" s="16" t="n">
        <v>445.83</v>
      </c>
      <c r="I114" s="16">
        <f>SUM(K114:T114)</f>
        <v/>
      </c>
      <c r="J114" s="16">
        <f>F114-(G114+H114+I114)</f>
        <v/>
      </c>
      <c r="K114" s="16" t="n">
        <v>267.5</v>
      </c>
      <c r="L114" s="16" t="n">
        <v>267.5</v>
      </c>
      <c r="M114" s="16" t="n">
        <v>267.5</v>
      </c>
      <c r="N114" s="16" t="n">
        <v>267.5</v>
      </c>
      <c r="O114" s="16" t="n">
        <v>267.5</v>
      </c>
      <c r="P114" s="16" t="n">
        <v>267.5</v>
      </c>
      <c r="Q114" s="16" t="n">
        <v>267.5</v>
      </c>
      <c r="R114" s="16" t="n">
        <v>267.5</v>
      </c>
      <c r="S114" s="16" t="n">
        <v>267.5</v>
      </c>
      <c r="T114" s="16" t="n">
        <v>267.5</v>
      </c>
      <c r="U114" s="16" t="n">
        <v>350</v>
      </c>
      <c r="V114" s="16" t="n">
        <v>0</v>
      </c>
      <c r="W114" s="16">
        <f>U114+V114</f>
        <v/>
      </c>
    </row>
    <row r="115">
      <c r="A115" s="3" t="inlineStr">
        <is>
          <t>CANON-202607-007800</t>
        </is>
      </c>
      <c r="B115" s="3" t="inlineStr">
        <is>
          <t>2026-07-23</t>
        </is>
      </c>
      <c r="C115" s="3" t="inlineStr">
        <is>
          <t>Beatrix Kingsford</t>
        </is>
      </c>
      <c r="D115" s="3" t="inlineStr">
        <is>
          <t>KY</t>
        </is>
      </c>
      <c r="E115" s="14" t="n">
        <v>1610000</v>
      </c>
      <c r="F115" s="14" t="n">
        <v>17037.35</v>
      </c>
      <c r="G115" s="14" t="n">
        <v>2129.67</v>
      </c>
      <c r="H115" s="14" t="n">
        <v>2129.67</v>
      </c>
      <c r="I115" s="14">
        <f>SUM(K115:T115)</f>
        <v/>
      </c>
      <c r="J115" s="14">
        <f>F115-(G115+H115+I115)</f>
        <v/>
      </c>
      <c r="K115" s="14" t="n">
        <v>1277.8</v>
      </c>
      <c r="L115" s="14" t="n">
        <v>1277.8</v>
      </c>
      <c r="M115" s="14" t="n">
        <v>1277.8</v>
      </c>
      <c r="N115" s="14" t="n">
        <v>1277.8</v>
      </c>
      <c r="O115" s="14" t="n">
        <v>1277.8</v>
      </c>
      <c r="P115" s="14" t="n">
        <v>1277.8</v>
      </c>
      <c r="Q115" s="14" t="n">
        <v>1277.8</v>
      </c>
      <c r="R115" s="14" t="n">
        <v>1277.8</v>
      </c>
      <c r="S115" s="14" t="n">
        <v>1277.8</v>
      </c>
      <c r="T115" s="14" t="n">
        <v>1277.8</v>
      </c>
      <c r="U115" s="14" t="n">
        <v>350</v>
      </c>
      <c r="V115" s="14" t="n">
        <v>250</v>
      </c>
      <c r="W115" s="14">
        <f>U115+V115</f>
        <v/>
      </c>
    </row>
    <row r="116">
      <c r="A116" s="15" t="inlineStr">
        <is>
          <t>CANON-202607-007801</t>
        </is>
      </c>
      <c r="B116" s="15" t="inlineStr">
        <is>
          <t>2026-07-20</t>
        </is>
      </c>
      <c r="C116" s="15" t="inlineStr">
        <is>
          <t>Delphine Pennington</t>
        </is>
      </c>
      <c r="D116" s="15" t="inlineStr">
        <is>
          <t>NJ</t>
        </is>
      </c>
      <c r="E116" s="16" t="n">
        <v>505000</v>
      </c>
      <c r="F116" s="16" t="n">
        <v>5146.79</v>
      </c>
      <c r="G116" s="16" t="n">
        <v>643.35</v>
      </c>
      <c r="H116" s="16" t="n">
        <v>643.35</v>
      </c>
      <c r="I116" s="16">
        <f>SUM(K116:T116)</f>
        <v/>
      </c>
      <c r="J116" s="16">
        <f>F116-(G116+H116+I116)</f>
        <v/>
      </c>
      <c r="K116" s="16" t="n">
        <v>386.01</v>
      </c>
      <c r="L116" s="16" t="n">
        <v>386.01</v>
      </c>
      <c r="M116" s="16" t="n">
        <v>386.01</v>
      </c>
      <c r="N116" s="16" t="n">
        <v>386.01</v>
      </c>
      <c r="O116" s="16" t="n">
        <v>386.01</v>
      </c>
      <c r="P116" s="16" t="n">
        <v>386.01</v>
      </c>
      <c r="Q116" s="16" t="n">
        <v>386.01</v>
      </c>
      <c r="R116" s="16" t="n">
        <v>386.01</v>
      </c>
      <c r="S116" s="16" t="n">
        <v>386.01</v>
      </c>
      <c r="T116" s="16" t="n">
        <v>386.01</v>
      </c>
      <c r="U116" s="16" t="n">
        <v>350</v>
      </c>
      <c r="V116" s="16" t="n">
        <v>0</v>
      </c>
      <c r="W116" s="16">
        <f>U116+V116</f>
        <v/>
      </c>
    </row>
    <row r="117">
      <c r="A117" s="3" t="inlineStr">
        <is>
          <t>CANON-202607-007803</t>
        </is>
      </c>
      <c r="B117" s="3" t="inlineStr">
        <is>
          <t>2026-07-27</t>
        </is>
      </c>
      <c r="C117" s="3" t="inlineStr">
        <is>
          <t>Noor Bellandi</t>
        </is>
      </c>
      <c r="D117" s="3" t="inlineStr">
        <is>
          <t>AL</t>
        </is>
      </c>
      <c r="E117" s="14" t="n">
        <v>290000</v>
      </c>
      <c r="F117" s="14" t="n">
        <v>3966.17</v>
      </c>
      <c r="G117" s="14" t="n">
        <v>495.77</v>
      </c>
      <c r="H117" s="14" t="n">
        <v>495.77</v>
      </c>
      <c r="I117" s="14">
        <f>SUM(K117:T117)</f>
        <v/>
      </c>
      <c r="J117" s="14">
        <f>F117-(G117+H117+I117)</f>
        <v/>
      </c>
      <c r="K117" s="14" t="n">
        <v>297.46</v>
      </c>
      <c r="L117" s="14" t="n">
        <v>297.46</v>
      </c>
      <c r="M117" s="14" t="n">
        <v>297.46</v>
      </c>
      <c r="N117" s="14" t="n">
        <v>297.46</v>
      </c>
      <c r="O117" s="14" t="n">
        <v>297.46</v>
      </c>
      <c r="P117" s="14" t="n">
        <v>297.46</v>
      </c>
      <c r="Q117" s="14" t="n">
        <v>297.46</v>
      </c>
      <c r="R117" s="14" t="n">
        <v>297.46</v>
      </c>
      <c r="S117" s="14" t="n">
        <v>297.46</v>
      </c>
      <c r="T117" s="14" t="n">
        <v>297.46</v>
      </c>
      <c r="U117" s="14" t="n">
        <v>350</v>
      </c>
      <c r="V117" s="14" t="n">
        <v>0</v>
      </c>
      <c r="W117" s="14">
        <f>U117+V117</f>
        <v/>
      </c>
    </row>
    <row r="118">
      <c r="A118" s="15" t="inlineStr">
        <is>
          <t>CANON-202607-007804</t>
        </is>
      </c>
      <c r="B118" s="15" t="inlineStr">
        <is>
          <t>2026-07-24</t>
        </is>
      </c>
      <c r="C118" s="15" t="inlineStr">
        <is>
          <t>Horace Ashcombe</t>
        </is>
      </c>
      <c r="D118" s="15" t="inlineStr">
        <is>
          <t>CA</t>
        </is>
      </c>
      <c r="E118" s="16" t="n">
        <v>560000</v>
      </c>
      <c r="F118" s="16" t="n">
        <v>7055.76</v>
      </c>
      <c r="G118" s="16" t="n">
        <v>881.97</v>
      </c>
      <c r="H118" s="16" t="n">
        <v>881.97</v>
      </c>
      <c r="I118" s="16">
        <f>SUM(K118:T118)</f>
        <v/>
      </c>
      <c r="J118" s="16">
        <f>F118-(G118+H118+I118)</f>
        <v/>
      </c>
      <c r="K118" s="16" t="n">
        <v>529.1799999999999</v>
      </c>
      <c r="L118" s="16" t="n">
        <v>529.1799999999999</v>
      </c>
      <c r="M118" s="16" t="n">
        <v>529.1799999999999</v>
      </c>
      <c r="N118" s="16" t="n">
        <v>529.1799999999999</v>
      </c>
      <c r="O118" s="16" t="n">
        <v>529.1799999999999</v>
      </c>
      <c r="P118" s="16" t="n">
        <v>529.1799999999999</v>
      </c>
      <c r="Q118" s="16" t="n">
        <v>529.1799999999999</v>
      </c>
      <c r="R118" s="16" t="n">
        <v>529.1799999999999</v>
      </c>
      <c r="S118" s="16" t="n">
        <v>529.1799999999999</v>
      </c>
      <c r="T118" s="16" t="n">
        <v>529.1799999999999</v>
      </c>
      <c r="U118" s="16" t="n">
        <v>350</v>
      </c>
      <c r="V118" s="16" t="n">
        <v>0</v>
      </c>
      <c r="W118" s="16">
        <f>U118+V118</f>
        <v/>
      </c>
    </row>
    <row r="119">
      <c r="A119" s="3" t="inlineStr">
        <is>
          <t>CANON-202607-007805</t>
        </is>
      </c>
      <c r="B119" s="3" t="inlineStr">
        <is>
          <t>2026-07-02</t>
        </is>
      </c>
      <c r="C119" s="3" t="inlineStr">
        <is>
          <t>Fenwick Whitlock</t>
        </is>
      </c>
      <c r="D119" s="3" t="inlineStr">
        <is>
          <t>MN</t>
        </is>
      </c>
      <c r="E119" s="14" t="n">
        <v>1555000</v>
      </c>
      <c r="F119" s="14" t="n">
        <v>16209.73</v>
      </c>
      <c r="G119" s="14" t="n">
        <v>2026.22</v>
      </c>
      <c r="H119" s="14" t="n">
        <v>2026.22</v>
      </c>
      <c r="I119" s="14">
        <f>SUM(K119:T119)</f>
        <v/>
      </c>
      <c r="J119" s="14">
        <f>F119-(G119+H119+I119)</f>
        <v/>
      </c>
      <c r="K119" s="14" t="n">
        <v>1215.73</v>
      </c>
      <c r="L119" s="14" t="n">
        <v>1215.73</v>
      </c>
      <c r="M119" s="14" t="n">
        <v>1215.73</v>
      </c>
      <c r="N119" s="14" t="n">
        <v>1215.73</v>
      </c>
      <c r="O119" s="14" t="n">
        <v>1215.73</v>
      </c>
      <c r="P119" s="14" t="n">
        <v>1215.73</v>
      </c>
      <c r="Q119" s="14" t="n">
        <v>1215.73</v>
      </c>
      <c r="R119" s="14" t="n">
        <v>1215.73</v>
      </c>
      <c r="S119" s="14" t="n">
        <v>1215.73</v>
      </c>
      <c r="T119" s="14" t="n">
        <v>1215.73</v>
      </c>
      <c r="U119" s="14" t="n">
        <v>350</v>
      </c>
      <c r="V119" s="14" t="n">
        <v>250</v>
      </c>
      <c r="W119" s="14">
        <f>U119+V119</f>
        <v/>
      </c>
    </row>
    <row r="120">
      <c r="A120" s="15" t="inlineStr">
        <is>
          <t>CANON-202607-007806</t>
        </is>
      </c>
      <c r="B120" s="15" t="inlineStr">
        <is>
          <t>2026-07-06</t>
        </is>
      </c>
      <c r="C120" s="15" t="inlineStr">
        <is>
          <t>Saoirse Whitlock</t>
        </is>
      </c>
      <c r="D120" s="15" t="inlineStr">
        <is>
          <t>KY</t>
        </is>
      </c>
      <c r="E120" s="16" t="n">
        <v>680000</v>
      </c>
      <c r="F120" s="16" t="n">
        <v>5625.88</v>
      </c>
      <c r="G120" s="16" t="n">
        <v>703.24</v>
      </c>
      <c r="H120" s="16" t="n">
        <v>703.24</v>
      </c>
      <c r="I120" s="16">
        <f>SUM(K120:T120)</f>
        <v/>
      </c>
      <c r="J120" s="16">
        <f>F120-(G120+H120+I120)</f>
        <v/>
      </c>
      <c r="K120" s="16" t="n">
        <v>421.94</v>
      </c>
      <c r="L120" s="16" t="n">
        <v>421.94</v>
      </c>
      <c r="M120" s="16" t="n">
        <v>421.94</v>
      </c>
      <c r="N120" s="16" t="n">
        <v>421.94</v>
      </c>
      <c r="O120" s="16" t="n">
        <v>421.94</v>
      </c>
      <c r="P120" s="16" t="n">
        <v>421.94</v>
      </c>
      <c r="Q120" s="16" t="n">
        <v>421.94</v>
      </c>
      <c r="R120" s="16" t="n">
        <v>421.94</v>
      </c>
      <c r="S120" s="16" t="n">
        <v>421.94</v>
      </c>
      <c r="T120" s="16" t="n">
        <v>421.94</v>
      </c>
      <c r="U120" s="16" t="n">
        <v>350</v>
      </c>
      <c r="V120" s="16" t="n">
        <v>0</v>
      </c>
      <c r="W120" s="16">
        <f>U120+V120</f>
        <v/>
      </c>
    </row>
    <row r="121">
      <c r="A121" s="3" t="inlineStr">
        <is>
          <t>CANON-202607-007807</t>
        </is>
      </c>
      <c r="B121" s="3" t="inlineStr">
        <is>
          <t>2026-07-12</t>
        </is>
      </c>
      <c r="C121" s="3" t="inlineStr">
        <is>
          <t>Fenwick Larsson</t>
        </is>
      </c>
      <c r="D121" s="3" t="inlineStr">
        <is>
          <t>NE</t>
        </is>
      </c>
      <c r="E121" s="14" t="n">
        <v>480000</v>
      </c>
      <c r="F121" s="14" t="n">
        <v>10303.65</v>
      </c>
      <c r="G121" s="14" t="n">
        <v>1287.96</v>
      </c>
      <c r="H121" s="14" t="n">
        <v>1287.96</v>
      </c>
      <c r="I121" s="14">
        <f>SUM(K121:T121)</f>
        <v/>
      </c>
      <c r="J121" s="14">
        <f>F121-(G121+H121+I121)</f>
        <v/>
      </c>
      <c r="K121" s="14" t="n">
        <v>772.77</v>
      </c>
      <c r="L121" s="14" t="n">
        <v>772.77</v>
      </c>
      <c r="M121" s="14" t="n">
        <v>772.77</v>
      </c>
      <c r="N121" s="14" t="n">
        <v>772.77</v>
      </c>
      <c r="O121" s="14" t="n">
        <v>772.77</v>
      </c>
      <c r="P121" s="14" t="n">
        <v>772.77</v>
      </c>
      <c r="Q121" s="14" t="n">
        <v>772.77</v>
      </c>
      <c r="R121" s="14" t="n">
        <v>772.77</v>
      </c>
      <c r="S121" s="14" t="n">
        <v>772.77</v>
      </c>
      <c r="T121" s="14" t="n">
        <v>772.77</v>
      </c>
      <c r="U121" s="14" t="n">
        <v>350</v>
      </c>
      <c r="V121" s="14" t="n">
        <v>0</v>
      </c>
      <c r="W121" s="14">
        <f>U121+V121</f>
        <v/>
      </c>
    </row>
    <row r="122">
      <c r="A122" s="15" t="inlineStr">
        <is>
          <t>CANON-202607-007808</t>
        </is>
      </c>
      <c r="B122" s="15" t="inlineStr">
        <is>
          <t>2026-07-28</t>
        </is>
      </c>
      <c r="C122" s="15" t="inlineStr">
        <is>
          <t>Marisol Fairweather</t>
        </is>
      </c>
      <c r="D122" s="15" t="inlineStr">
        <is>
          <t>SC</t>
        </is>
      </c>
      <c r="E122" s="16" t="n">
        <v>630000</v>
      </c>
      <c r="F122" s="16" t="n">
        <v>7290.95</v>
      </c>
      <c r="G122" s="16" t="n">
        <v>911.37</v>
      </c>
      <c r="H122" s="16" t="n">
        <v>911.37</v>
      </c>
      <c r="I122" s="16">
        <f>SUM(K122:T122)</f>
        <v/>
      </c>
      <c r="J122" s="16">
        <f>F122-(G122+H122+I122)</f>
        <v/>
      </c>
      <c r="K122" s="16" t="n">
        <v>546.8200000000001</v>
      </c>
      <c r="L122" s="16" t="n">
        <v>546.8200000000001</v>
      </c>
      <c r="M122" s="16" t="n">
        <v>546.8200000000001</v>
      </c>
      <c r="N122" s="16" t="n">
        <v>546.8200000000001</v>
      </c>
      <c r="O122" s="16" t="n">
        <v>546.8200000000001</v>
      </c>
      <c r="P122" s="16" t="n">
        <v>546.8200000000001</v>
      </c>
      <c r="Q122" s="16" t="n">
        <v>546.8200000000001</v>
      </c>
      <c r="R122" s="16" t="n">
        <v>546.8200000000001</v>
      </c>
      <c r="S122" s="16" t="n">
        <v>546.8200000000001</v>
      </c>
      <c r="T122" s="16" t="n">
        <v>546.8200000000001</v>
      </c>
      <c r="U122" s="16" t="n">
        <v>350</v>
      </c>
      <c r="V122" s="16" t="n">
        <v>0</v>
      </c>
      <c r="W122" s="16">
        <f>U122+V122</f>
        <v/>
      </c>
    </row>
    <row r="123">
      <c r="A123" s="3" t="inlineStr">
        <is>
          <t>CANON-202607-007809</t>
        </is>
      </c>
      <c r="B123" s="3" t="inlineStr">
        <is>
          <t>2026-07-24</t>
        </is>
      </c>
      <c r="C123" s="3" t="inlineStr">
        <is>
          <t>Mireille Fairweather</t>
        </is>
      </c>
      <c r="D123" s="3" t="inlineStr">
        <is>
          <t>IA</t>
        </is>
      </c>
      <c r="E123" s="14" t="n">
        <v>1950000</v>
      </c>
      <c r="F123" s="14" t="n">
        <v>24639.17</v>
      </c>
      <c r="G123" s="14" t="n">
        <v>3079.9</v>
      </c>
      <c r="H123" s="14" t="n">
        <v>3079.9</v>
      </c>
      <c r="I123" s="14">
        <f>SUM(K123:T123)</f>
        <v/>
      </c>
      <c r="J123" s="14">
        <f>F123-(G123+H123+I123)</f>
        <v/>
      </c>
      <c r="K123" s="14" t="n">
        <v>1847.94</v>
      </c>
      <c r="L123" s="14" t="n">
        <v>1847.94</v>
      </c>
      <c r="M123" s="14" t="n">
        <v>1847.94</v>
      </c>
      <c r="N123" s="14" t="n">
        <v>1847.94</v>
      </c>
      <c r="O123" s="14" t="n">
        <v>1847.94</v>
      </c>
      <c r="P123" s="14" t="n">
        <v>1847.94</v>
      </c>
      <c r="Q123" s="14" t="n">
        <v>1847.94</v>
      </c>
      <c r="R123" s="14" t="n">
        <v>1847.94</v>
      </c>
      <c r="S123" s="14" t="n">
        <v>1847.94</v>
      </c>
      <c r="T123" s="14" t="n">
        <v>1847.94</v>
      </c>
      <c r="U123" s="14" t="n">
        <v>350</v>
      </c>
      <c r="V123" s="14" t="n">
        <v>250</v>
      </c>
      <c r="W123" s="14">
        <f>U123+V123</f>
        <v/>
      </c>
    </row>
    <row r="124">
      <c r="A124" s="15" t="inlineStr">
        <is>
          <t>CANON-202607-007810</t>
        </is>
      </c>
      <c r="B124" s="15" t="inlineStr">
        <is>
          <t>2026-07-21</t>
        </is>
      </c>
      <c r="C124" s="15" t="inlineStr">
        <is>
          <t>Fitzgerald Ashcombe</t>
        </is>
      </c>
      <c r="D124" s="15" t="inlineStr">
        <is>
          <t>PA</t>
        </is>
      </c>
      <c r="E124" s="16" t="n">
        <v>985000</v>
      </c>
      <c r="F124" s="16" t="n">
        <v>9193.02</v>
      </c>
      <c r="G124" s="16" t="n">
        <v>1149.13</v>
      </c>
      <c r="H124" s="16" t="n">
        <v>1149.13</v>
      </c>
      <c r="I124" s="16">
        <f>SUM(K124:T124)</f>
        <v/>
      </c>
      <c r="J124" s="16">
        <f>F124-(G124+H124+I124)</f>
        <v/>
      </c>
      <c r="K124" s="16" t="n">
        <v>689.48</v>
      </c>
      <c r="L124" s="16" t="n">
        <v>689.48</v>
      </c>
      <c r="M124" s="16" t="n">
        <v>689.48</v>
      </c>
      <c r="N124" s="16" t="n">
        <v>689.48</v>
      </c>
      <c r="O124" s="16" t="n">
        <v>689.48</v>
      </c>
      <c r="P124" s="16" t="n">
        <v>689.48</v>
      </c>
      <c r="Q124" s="16" t="n">
        <v>689.48</v>
      </c>
      <c r="R124" s="16" t="n">
        <v>689.48</v>
      </c>
      <c r="S124" s="16" t="n">
        <v>689.48</v>
      </c>
      <c r="T124" s="16" t="n">
        <v>689.48</v>
      </c>
      <c r="U124" s="16" t="n">
        <v>350</v>
      </c>
      <c r="V124" s="16" t="n">
        <v>0</v>
      </c>
      <c r="W124" s="16">
        <f>U124+V124</f>
        <v/>
      </c>
    </row>
    <row r="125">
      <c r="A125" s="3" t="inlineStr">
        <is>
          <t>CANON-202607-007811</t>
        </is>
      </c>
      <c r="B125" s="3" t="inlineStr">
        <is>
          <t>2026-07-03</t>
        </is>
      </c>
      <c r="C125" s="3" t="inlineStr">
        <is>
          <t>Thaddeus Bellandi</t>
        </is>
      </c>
      <c r="D125" s="3" t="inlineStr">
        <is>
          <t>WA</t>
        </is>
      </c>
      <c r="E125" s="14" t="n">
        <v>835000</v>
      </c>
      <c r="F125" s="14" t="n">
        <v>7481.35</v>
      </c>
      <c r="G125" s="14" t="n">
        <v>935.17</v>
      </c>
      <c r="H125" s="14" t="n">
        <v>935.17</v>
      </c>
      <c r="I125" s="14">
        <f>SUM(K125:T125)</f>
        <v/>
      </c>
      <c r="J125" s="14">
        <f>F125-(G125+H125+I125)</f>
        <v/>
      </c>
      <c r="K125" s="14" t="n">
        <v>561.1</v>
      </c>
      <c r="L125" s="14" t="n">
        <v>561.1</v>
      </c>
      <c r="M125" s="14" t="n">
        <v>561.1</v>
      </c>
      <c r="N125" s="14" t="n">
        <v>561.1</v>
      </c>
      <c r="O125" s="14" t="n">
        <v>561.1</v>
      </c>
      <c r="P125" s="14" t="n">
        <v>561.1</v>
      </c>
      <c r="Q125" s="14" t="n">
        <v>561.1</v>
      </c>
      <c r="R125" s="14" t="n">
        <v>561.1</v>
      </c>
      <c r="S125" s="14" t="n">
        <v>561.1</v>
      </c>
      <c r="T125" s="14" t="n">
        <v>561.1</v>
      </c>
      <c r="U125" s="14" t="n">
        <v>350</v>
      </c>
      <c r="V125" s="14" t="n">
        <v>0</v>
      </c>
      <c r="W125" s="14">
        <f>U125+V125</f>
        <v/>
      </c>
    </row>
    <row r="126">
      <c r="A126" s="15" t="inlineStr">
        <is>
          <t>CANON-202607-007813</t>
        </is>
      </c>
      <c r="B126" s="15" t="inlineStr">
        <is>
          <t>2026-07-02</t>
        </is>
      </c>
      <c r="C126" s="15" t="inlineStr">
        <is>
          <t>Leopold Blackwood</t>
        </is>
      </c>
      <c r="D126" s="15" t="inlineStr">
        <is>
          <t>OR</t>
        </is>
      </c>
      <c r="E126" s="16" t="n">
        <v>535000</v>
      </c>
      <c r="F126" s="16" t="n">
        <v>3298.56</v>
      </c>
      <c r="G126" s="16" t="n">
        <v>412.32</v>
      </c>
      <c r="H126" s="16" t="n">
        <v>412.32</v>
      </c>
      <c r="I126" s="16">
        <f>SUM(K126:T126)</f>
        <v/>
      </c>
      <c r="J126" s="16">
        <f>F126-(G126+H126+I126)</f>
        <v/>
      </c>
      <c r="K126" s="16" t="n">
        <v>247.39</v>
      </c>
      <c r="L126" s="16" t="n">
        <v>247.39</v>
      </c>
      <c r="M126" s="16" t="n">
        <v>247.39</v>
      </c>
      <c r="N126" s="16" t="n">
        <v>247.39</v>
      </c>
      <c r="O126" s="16" t="n">
        <v>247.39</v>
      </c>
      <c r="P126" s="16" t="n">
        <v>247.39</v>
      </c>
      <c r="Q126" s="16" t="n">
        <v>247.39</v>
      </c>
      <c r="R126" s="16" t="n">
        <v>247.39</v>
      </c>
      <c r="S126" s="16" t="n">
        <v>247.39</v>
      </c>
      <c r="T126" s="16" t="n">
        <v>247.39</v>
      </c>
      <c r="U126" s="16" t="n">
        <v>350</v>
      </c>
      <c r="V126" s="16" t="n">
        <v>0</v>
      </c>
      <c r="W126" s="16">
        <f>U126+V126</f>
        <v/>
      </c>
    </row>
    <row r="127">
      <c r="A127" s="3" t="inlineStr">
        <is>
          <t>CANON-202607-007814</t>
        </is>
      </c>
      <c r="B127" s="3" t="inlineStr">
        <is>
          <t>2026-07-06</t>
        </is>
      </c>
      <c r="C127" s="3" t="inlineStr">
        <is>
          <t>Delphine Chattopadhyay</t>
        </is>
      </c>
      <c r="D127" s="3" t="inlineStr">
        <is>
          <t>FL</t>
        </is>
      </c>
      <c r="E127" s="14" t="n">
        <v>1695000</v>
      </c>
      <c r="F127" s="14" t="n">
        <v>19007.69</v>
      </c>
      <c r="G127" s="14" t="n">
        <v>2375.96</v>
      </c>
      <c r="H127" s="14" t="n">
        <v>2375.96</v>
      </c>
      <c r="I127" s="14">
        <f>SUM(K127:T127)</f>
        <v/>
      </c>
      <c r="J127" s="14">
        <f>F127-(G127+H127+I127)</f>
        <v/>
      </c>
      <c r="K127" s="14" t="n">
        <v>1425.58</v>
      </c>
      <c r="L127" s="14" t="n">
        <v>1425.58</v>
      </c>
      <c r="M127" s="14" t="n">
        <v>1425.58</v>
      </c>
      <c r="N127" s="14" t="n">
        <v>1425.58</v>
      </c>
      <c r="O127" s="14" t="n">
        <v>1425.58</v>
      </c>
      <c r="P127" s="14" t="n">
        <v>1425.58</v>
      </c>
      <c r="Q127" s="14" t="n">
        <v>1425.58</v>
      </c>
      <c r="R127" s="14" t="n">
        <v>1425.58</v>
      </c>
      <c r="S127" s="14" t="n">
        <v>1425.58</v>
      </c>
      <c r="T127" s="14" t="n">
        <v>1425.58</v>
      </c>
      <c r="U127" s="14" t="n">
        <v>350</v>
      </c>
      <c r="V127" s="14" t="n">
        <v>250</v>
      </c>
      <c r="W127" s="14">
        <f>U127+V127</f>
        <v/>
      </c>
    </row>
    <row r="128">
      <c r="A128" s="15" t="inlineStr">
        <is>
          <t>CANON-202607-007815</t>
        </is>
      </c>
      <c r="B128" s="15" t="inlineStr">
        <is>
          <t>2026-07-19</t>
        </is>
      </c>
      <c r="C128" s="15" t="inlineStr">
        <is>
          <t>Beatrix Castellanos</t>
        </is>
      </c>
      <c r="D128" s="15" t="inlineStr">
        <is>
          <t>CT</t>
        </is>
      </c>
      <c r="E128" s="16" t="n">
        <v>945000</v>
      </c>
      <c r="F128" s="16" t="n">
        <v>9878.07</v>
      </c>
      <c r="G128" s="16" t="n">
        <v>1234.76</v>
      </c>
      <c r="H128" s="16" t="n">
        <v>1234.76</v>
      </c>
      <c r="I128" s="16">
        <f>SUM(K128:T128)</f>
        <v/>
      </c>
      <c r="J128" s="16">
        <f>F128-(G128+H128+I128)</f>
        <v/>
      </c>
      <c r="K128" s="16" t="n">
        <v>740.86</v>
      </c>
      <c r="L128" s="16" t="n">
        <v>740.86</v>
      </c>
      <c r="M128" s="16" t="n">
        <v>740.86</v>
      </c>
      <c r="N128" s="16" t="n">
        <v>740.86</v>
      </c>
      <c r="O128" s="16" t="n">
        <v>740.86</v>
      </c>
      <c r="P128" s="16" t="n">
        <v>740.86</v>
      </c>
      <c r="Q128" s="16" t="n">
        <v>740.86</v>
      </c>
      <c r="R128" s="16" t="n">
        <v>740.86</v>
      </c>
      <c r="S128" s="16" t="n">
        <v>740.86</v>
      </c>
      <c r="T128" s="16" t="n">
        <v>740.86</v>
      </c>
      <c r="U128" s="16" t="n">
        <v>350</v>
      </c>
      <c r="V128" s="16" t="n">
        <v>0</v>
      </c>
      <c r="W128" s="16">
        <f>U128+V128</f>
        <v/>
      </c>
    </row>
    <row r="129">
      <c r="A129" s="3" t="inlineStr">
        <is>
          <t>CANON-202607-007817</t>
        </is>
      </c>
      <c r="B129" s="3" t="inlineStr">
        <is>
          <t>2026-07-03</t>
        </is>
      </c>
      <c r="C129" s="3" t="inlineStr">
        <is>
          <t>Horace Bellandi</t>
        </is>
      </c>
      <c r="D129" s="3" t="inlineStr">
        <is>
          <t>DE</t>
        </is>
      </c>
      <c r="E129" s="14" t="n">
        <v>1490000</v>
      </c>
      <c r="F129" s="14" t="n">
        <v>10162.22</v>
      </c>
      <c r="G129" s="14" t="n">
        <v>1270.28</v>
      </c>
      <c r="H129" s="14" t="n">
        <v>1270.28</v>
      </c>
      <c r="I129" s="14">
        <f>SUM(K129:T129)</f>
        <v/>
      </c>
      <c r="J129" s="14">
        <f>F129-(G129+H129+I129)</f>
        <v/>
      </c>
      <c r="K129" s="14" t="n">
        <v>762.17</v>
      </c>
      <c r="L129" s="14" t="n">
        <v>762.17</v>
      </c>
      <c r="M129" s="14" t="n">
        <v>762.17</v>
      </c>
      <c r="N129" s="14" t="n">
        <v>762.17</v>
      </c>
      <c r="O129" s="14" t="n">
        <v>762.17</v>
      </c>
      <c r="P129" s="14" t="n">
        <v>762.17</v>
      </c>
      <c r="Q129" s="14" t="n">
        <v>762.17</v>
      </c>
      <c r="R129" s="14" t="n">
        <v>762.17</v>
      </c>
      <c r="S129" s="14" t="n">
        <v>762.17</v>
      </c>
      <c r="T129" s="14" t="n">
        <v>762.17</v>
      </c>
      <c r="U129" s="14" t="n">
        <v>350</v>
      </c>
      <c r="V129" s="14" t="n">
        <v>250</v>
      </c>
      <c r="W129" s="14">
        <f>U129+V129</f>
        <v/>
      </c>
    </row>
    <row r="130">
      <c r="A130" s="15" t="inlineStr">
        <is>
          <t>CANON-202607-007818</t>
        </is>
      </c>
      <c r="B130" s="15" t="inlineStr">
        <is>
          <t>2026-07-19</t>
        </is>
      </c>
      <c r="C130" s="15" t="inlineStr">
        <is>
          <t>Fenwick Farkas</t>
        </is>
      </c>
      <c r="D130" s="15" t="inlineStr">
        <is>
          <t>LA</t>
        </is>
      </c>
      <c r="E130" s="16" t="n">
        <v>540000</v>
      </c>
      <c r="F130" s="16" t="n">
        <v>6098.2</v>
      </c>
      <c r="G130" s="16" t="n">
        <v>762.27</v>
      </c>
      <c r="H130" s="16" t="n">
        <v>762.27</v>
      </c>
      <c r="I130" s="16">
        <f>SUM(K130:T130)</f>
        <v/>
      </c>
      <c r="J130" s="16">
        <f>F130-(G130+H130+I130)</f>
        <v/>
      </c>
      <c r="K130" s="16" t="n">
        <v>457.36</v>
      </c>
      <c r="L130" s="16" t="n">
        <v>457.36</v>
      </c>
      <c r="M130" s="16" t="n">
        <v>457.36</v>
      </c>
      <c r="N130" s="16" t="n">
        <v>457.36</v>
      </c>
      <c r="O130" s="16" t="n">
        <v>457.36</v>
      </c>
      <c r="P130" s="16" t="n">
        <v>457.36</v>
      </c>
      <c r="Q130" s="16" t="n">
        <v>457.36</v>
      </c>
      <c r="R130" s="16" t="n">
        <v>457.36</v>
      </c>
      <c r="S130" s="16" t="n">
        <v>457.36</v>
      </c>
      <c r="T130" s="16" t="n">
        <v>457.36</v>
      </c>
      <c r="U130" s="16" t="n">
        <v>350</v>
      </c>
      <c r="V130" s="16" t="n">
        <v>0</v>
      </c>
      <c r="W130" s="16">
        <f>U130+V130</f>
        <v/>
      </c>
    </row>
    <row r="131">
      <c r="A131" s="3" t="inlineStr">
        <is>
          <t>CANON-202607-007819</t>
        </is>
      </c>
      <c r="B131" s="3" t="inlineStr">
        <is>
          <t>2026-07-21</t>
        </is>
      </c>
      <c r="C131" s="3" t="inlineStr">
        <is>
          <t>Beatrix Montoya</t>
        </is>
      </c>
      <c r="D131" s="3" t="inlineStr">
        <is>
          <t>VA</t>
        </is>
      </c>
      <c r="E131" s="14" t="n">
        <v>425000</v>
      </c>
      <c r="F131" s="14" t="n">
        <v>4988.67</v>
      </c>
      <c r="G131" s="14" t="n">
        <v>623.58</v>
      </c>
      <c r="H131" s="14" t="n">
        <v>623.58</v>
      </c>
      <c r="I131" s="14">
        <f>SUM(K131:T131)</f>
        <v/>
      </c>
      <c r="J131" s="14">
        <f>F131-(G131+H131+I131)</f>
        <v/>
      </c>
      <c r="K131" s="14" t="n">
        <v>374.15</v>
      </c>
      <c r="L131" s="14" t="n">
        <v>374.15</v>
      </c>
      <c r="M131" s="14" t="n">
        <v>374.15</v>
      </c>
      <c r="N131" s="14" t="n">
        <v>374.15</v>
      </c>
      <c r="O131" s="14" t="n">
        <v>374.15</v>
      </c>
      <c r="P131" s="14" t="n">
        <v>374.15</v>
      </c>
      <c r="Q131" s="14" t="n">
        <v>374.15</v>
      </c>
      <c r="R131" s="14" t="n">
        <v>374.15</v>
      </c>
      <c r="S131" s="14" t="n">
        <v>374.15</v>
      </c>
      <c r="T131" s="14" t="n">
        <v>374.15</v>
      </c>
      <c r="U131" s="14" t="n">
        <v>350</v>
      </c>
      <c r="V131" s="14" t="n">
        <v>0</v>
      </c>
      <c r="W131" s="14">
        <f>U131+V131</f>
        <v/>
      </c>
    </row>
    <row r="132">
      <c r="A132" s="15" t="inlineStr">
        <is>
          <t>CANON-202607-007820</t>
        </is>
      </c>
      <c r="B132" s="15" t="inlineStr">
        <is>
          <t>2026-07-10</t>
        </is>
      </c>
      <c r="C132" s="15" t="inlineStr">
        <is>
          <t>Horace Pennington</t>
        </is>
      </c>
      <c r="D132" s="15" t="inlineStr">
        <is>
          <t>ND</t>
        </is>
      </c>
      <c r="E132" s="16" t="n">
        <v>270000</v>
      </c>
      <c r="F132" s="16" t="n">
        <v>1898.08</v>
      </c>
      <c r="G132" s="16" t="n">
        <v>237.26</v>
      </c>
      <c r="H132" s="16" t="n">
        <v>237.26</v>
      </c>
      <c r="I132" s="16">
        <f>SUM(K132:T132)</f>
        <v/>
      </c>
      <c r="J132" s="16">
        <f>F132-(G132+H132+I132)</f>
        <v/>
      </c>
      <c r="K132" s="16" t="n">
        <v>142.36</v>
      </c>
      <c r="L132" s="16" t="n">
        <v>142.36</v>
      </c>
      <c r="M132" s="16" t="n">
        <v>142.36</v>
      </c>
      <c r="N132" s="16" t="n">
        <v>142.36</v>
      </c>
      <c r="O132" s="16" t="n">
        <v>142.36</v>
      </c>
      <c r="P132" s="16" t="n">
        <v>142.36</v>
      </c>
      <c r="Q132" s="16" t="n">
        <v>142.36</v>
      </c>
      <c r="R132" s="16" t="n">
        <v>142.36</v>
      </c>
      <c r="S132" s="16" t="n">
        <v>142.36</v>
      </c>
      <c r="T132" s="16" t="n">
        <v>142.36</v>
      </c>
      <c r="U132" s="16" t="n">
        <v>350</v>
      </c>
      <c r="V132" s="16" t="n">
        <v>0</v>
      </c>
      <c r="W132" s="16">
        <f>U132+V132</f>
        <v/>
      </c>
    </row>
    <row r="133">
      <c r="A133" s="3" t="inlineStr">
        <is>
          <t>CANON-202607-007824</t>
        </is>
      </c>
      <c r="B133" s="3" t="inlineStr">
        <is>
          <t>2026-07-05</t>
        </is>
      </c>
      <c r="C133" s="3" t="inlineStr">
        <is>
          <t>Lorenzo Vandermeer</t>
        </is>
      </c>
      <c r="D133" s="3" t="inlineStr">
        <is>
          <t>GA</t>
        </is>
      </c>
      <c r="E133" s="14" t="n">
        <v>700000</v>
      </c>
      <c r="F133" s="14" t="n">
        <v>4277.68</v>
      </c>
      <c r="G133" s="14" t="n">
        <v>534.71</v>
      </c>
      <c r="H133" s="14" t="n">
        <v>534.71</v>
      </c>
      <c r="I133" s="14">
        <f>SUM(K133:T133)</f>
        <v/>
      </c>
      <c r="J133" s="14">
        <f>F133-(G133+H133+I133)</f>
        <v/>
      </c>
      <c r="K133" s="14" t="n">
        <v>320.83</v>
      </c>
      <c r="L133" s="14" t="n">
        <v>320.83</v>
      </c>
      <c r="M133" s="14" t="n">
        <v>320.83</v>
      </c>
      <c r="N133" s="14" t="n">
        <v>320.83</v>
      </c>
      <c r="O133" s="14" t="n">
        <v>320.83</v>
      </c>
      <c r="P133" s="14" t="n">
        <v>320.83</v>
      </c>
      <c r="Q133" s="14" t="n">
        <v>320.83</v>
      </c>
      <c r="R133" s="14" t="n">
        <v>320.83</v>
      </c>
      <c r="S133" s="14" t="n">
        <v>320.83</v>
      </c>
      <c r="T133" s="14" t="n">
        <v>320.83</v>
      </c>
      <c r="U133" s="14" t="n">
        <v>350</v>
      </c>
      <c r="V133" s="14" t="n">
        <v>0</v>
      </c>
      <c r="W133" s="14">
        <f>U133+V133</f>
        <v/>
      </c>
    </row>
    <row r="134">
      <c r="A134" s="15" t="inlineStr">
        <is>
          <t>CANON-202607-007825</t>
        </is>
      </c>
      <c r="B134" s="15" t="inlineStr">
        <is>
          <t>2026-07-14</t>
        </is>
      </c>
      <c r="C134" s="15" t="inlineStr">
        <is>
          <t>Wilhelmina Harrington</t>
        </is>
      </c>
      <c r="D134" s="15" t="inlineStr">
        <is>
          <t>GA</t>
        </is>
      </c>
      <c r="E134" s="16" t="n">
        <v>380000</v>
      </c>
      <c r="F134" s="16" t="n">
        <v>5377.66</v>
      </c>
      <c r="G134" s="16" t="n">
        <v>672.21</v>
      </c>
      <c r="H134" s="16" t="n">
        <v>672.21</v>
      </c>
      <c r="I134" s="16">
        <f>SUM(K134:T134)</f>
        <v/>
      </c>
      <c r="J134" s="16">
        <f>F134-(G134+H134+I134)</f>
        <v/>
      </c>
      <c r="K134" s="16" t="n">
        <v>403.32</v>
      </c>
      <c r="L134" s="16" t="n">
        <v>403.32</v>
      </c>
      <c r="M134" s="16" t="n">
        <v>403.32</v>
      </c>
      <c r="N134" s="16" t="n">
        <v>403.32</v>
      </c>
      <c r="O134" s="16" t="n">
        <v>403.32</v>
      </c>
      <c r="P134" s="16" t="n">
        <v>403.32</v>
      </c>
      <c r="Q134" s="16" t="n">
        <v>403.32</v>
      </c>
      <c r="R134" s="16" t="n">
        <v>403.32</v>
      </c>
      <c r="S134" s="16" t="n">
        <v>403.32</v>
      </c>
      <c r="T134" s="16" t="n">
        <v>403.32</v>
      </c>
      <c r="U134" s="16" t="n">
        <v>350</v>
      </c>
      <c r="V134" s="16" t="n">
        <v>0</v>
      </c>
      <c r="W134" s="16">
        <f>U134+V134</f>
        <v/>
      </c>
    </row>
    <row r="135">
      <c r="A135" s="3" t="inlineStr">
        <is>
          <t>CANON-202607-007826</t>
        </is>
      </c>
      <c r="B135" s="3" t="inlineStr">
        <is>
          <t>2026-07-06</t>
        </is>
      </c>
      <c r="C135" s="3" t="inlineStr">
        <is>
          <t>Fitzgerald Pennington</t>
        </is>
      </c>
      <c r="D135" s="3" t="inlineStr">
        <is>
          <t>NM</t>
        </is>
      </c>
      <c r="E135" s="14" t="n">
        <v>490000</v>
      </c>
      <c r="F135" s="14" t="n">
        <v>6754.23</v>
      </c>
      <c r="G135" s="14" t="n">
        <v>844.28</v>
      </c>
      <c r="H135" s="14" t="n">
        <v>844.28</v>
      </c>
      <c r="I135" s="14">
        <f>SUM(K135:T135)</f>
        <v/>
      </c>
      <c r="J135" s="14">
        <f>F135-(G135+H135+I135)</f>
        <v/>
      </c>
      <c r="K135" s="14" t="n">
        <v>506.57</v>
      </c>
      <c r="L135" s="14" t="n">
        <v>506.57</v>
      </c>
      <c r="M135" s="14" t="n">
        <v>506.57</v>
      </c>
      <c r="N135" s="14" t="n">
        <v>506.57</v>
      </c>
      <c r="O135" s="14" t="n">
        <v>506.57</v>
      </c>
      <c r="P135" s="14" t="n">
        <v>506.57</v>
      </c>
      <c r="Q135" s="14" t="n">
        <v>506.57</v>
      </c>
      <c r="R135" s="14" t="n">
        <v>506.57</v>
      </c>
      <c r="S135" s="14" t="n">
        <v>506.57</v>
      </c>
      <c r="T135" s="14" t="n">
        <v>506.57</v>
      </c>
      <c r="U135" s="14" t="n">
        <v>350</v>
      </c>
      <c r="V135" s="14" t="n">
        <v>0</v>
      </c>
      <c r="W135" s="14">
        <f>U135+V135</f>
        <v/>
      </c>
    </row>
    <row r="136">
      <c r="A136" s="15" t="inlineStr">
        <is>
          <t>CANON-202607-007827</t>
        </is>
      </c>
      <c r="B136" s="15" t="inlineStr">
        <is>
          <t>2026-07-21</t>
        </is>
      </c>
      <c r="C136" s="15" t="inlineStr">
        <is>
          <t>Noor Larsson</t>
        </is>
      </c>
      <c r="D136" s="15" t="inlineStr">
        <is>
          <t>DE</t>
        </is>
      </c>
      <c r="E136" s="16" t="n">
        <v>155000</v>
      </c>
      <c r="F136" s="16" t="n">
        <v>1585.72</v>
      </c>
      <c r="G136" s="16" t="n">
        <v>198.22</v>
      </c>
      <c r="H136" s="16" t="n">
        <v>198.22</v>
      </c>
      <c r="I136" s="16">
        <f>SUM(K136:T136)</f>
        <v/>
      </c>
      <c r="J136" s="16">
        <f>F136-(G136+H136+I136)</f>
        <v/>
      </c>
      <c r="K136" s="16" t="n">
        <v>118.93</v>
      </c>
      <c r="L136" s="16" t="n">
        <v>118.93</v>
      </c>
      <c r="M136" s="16" t="n">
        <v>118.93</v>
      </c>
      <c r="N136" s="16" t="n">
        <v>118.93</v>
      </c>
      <c r="O136" s="16" t="n">
        <v>118.93</v>
      </c>
      <c r="P136" s="16" t="n">
        <v>118.93</v>
      </c>
      <c r="Q136" s="16" t="n">
        <v>118.93</v>
      </c>
      <c r="R136" s="16" t="n">
        <v>118.93</v>
      </c>
      <c r="S136" s="16" t="n">
        <v>118.93</v>
      </c>
      <c r="T136" s="16" t="n">
        <v>118.93</v>
      </c>
      <c r="U136" s="16" t="n">
        <v>350</v>
      </c>
      <c r="V136" s="16" t="n">
        <v>0</v>
      </c>
      <c r="W136" s="16">
        <f>U136+V136</f>
        <v/>
      </c>
    </row>
    <row r="137">
      <c r="A137" s="3" t="inlineStr">
        <is>
          <t>CANON-202607-007828</t>
        </is>
      </c>
      <c r="B137" s="3" t="inlineStr">
        <is>
          <t>2026-07-03</t>
        </is>
      </c>
      <c r="C137" s="3" t="inlineStr">
        <is>
          <t>Mireille Larsson</t>
        </is>
      </c>
      <c r="D137" s="3" t="inlineStr">
        <is>
          <t>IA</t>
        </is>
      </c>
      <c r="E137" s="14" t="n">
        <v>310000</v>
      </c>
      <c r="F137" s="14" t="n">
        <v>3672.18</v>
      </c>
      <c r="G137" s="14" t="n">
        <v>459.02</v>
      </c>
      <c r="H137" s="14" t="n">
        <v>459.02</v>
      </c>
      <c r="I137" s="14">
        <f>SUM(K137:T137)</f>
        <v/>
      </c>
      <c r="J137" s="14">
        <f>F137-(G137+H137+I137)</f>
        <v/>
      </c>
      <c r="K137" s="14" t="n">
        <v>275.41</v>
      </c>
      <c r="L137" s="14" t="n">
        <v>275.41</v>
      </c>
      <c r="M137" s="14" t="n">
        <v>275.41</v>
      </c>
      <c r="N137" s="14" t="n">
        <v>275.41</v>
      </c>
      <c r="O137" s="14" t="n">
        <v>275.41</v>
      </c>
      <c r="P137" s="14" t="n">
        <v>275.41</v>
      </c>
      <c r="Q137" s="14" t="n">
        <v>275.41</v>
      </c>
      <c r="R137" s="14" t="n">
        <v>275.41</v>
      </c>
      <c r="S137" s="14" t="n">
        <v>275.41</v>
      </c>
      <c r="T137" s="14" t="n">
        <v>275.41</v>
      </c>
      <c r="U137" s="14" t="n">
        <v>350</v>
      </c>
      <c r="V137" s="14" t="n">
        <v>0</v>
      </c>
      <c r="W137" s="14">
        <f>U137+V137</f>
        <v/>
      </c>
    </row>
    <row r="138">
      <c r="A138" s="15" t="inlineStr">
        <is>
          <t>CANON-202607-007829</t>
        </is>
      </c>
      <c r="B138" s="15" t="inlineStr">
        <is>
          <t>2026-07-21</t>
        </is>
      </c>
      <c r="C138" s="15" t="inlineStr">
        <is>
          <t>Aurelio Larsson</t>
        </is>
      </c>
      <c r="D138" s="15" t="inlineStr">
        <is>
          <t>TX</t>
        </is>
      </c>
      <c r="E138" s="16" t="n">
        <v>510000</v>
      </c>
      <c r="F138" s="16" t="n">
        <v>5473.81</v>
      </c>
      <c r="G138" s="16" t="n">
        <v>684.23</v>
      </c>
      <c r="H138" s="16" t="n">
        <v>684.23</v>
      </c>
      <c r="I138" s="16">
        <f>SUM(K138:T138)</f>
        <v/>
      </c>
      <c r="J138" s="16">
        <f>F138-(G138+H138+I138)</f>
        <v/>
      </c>
      <c r="K138" s="16" t="n">
        <v>410.54</v>
      </c>
      <c r="L138" s="16" t="n">
        <v>410.54</v>
      </c>
      <c r="M138" s="16" t="n">
        <v>410.54</v>
      </c>
      <c r="N138" s="16" t="n">
        <v>410.54</v>
      </c>
      <c r="O138" s="16" t="n">
        <v>410.54</v>
      </c>
      <c r="P138" s="16" t="n">
        <v>410.54</v>
      </c>
      <c r="Q138" s="16" t="n">
        <v>410.54</v>
      </c>
      <c r="R138" s="16" t="n">
        <v>410.54</v>
      </c>
      <c r="S138" s="16" t="n">
        <v>410.54</v>
      </c>
      <c r="T138" s="16" t="n">
        <v>410.54</v>
      </c>
      <c r="U138" s="16" t="n">
        <v>350</v>
      </c>
      <c r="V138" s="16" t="n">
        <v>0</v>
      </c>
      <c r="W138" s="16">
        <f>U138+V138</f>
        <v/>
      </c>
    </row>
    <row r="139">
      <c r="A139" s="3" t="inlineStr">
        <is>
          <t>CANON-202607-007830</t>
        </is>
      </c>
      <c r="B139" s="3" t="inlineStr">
        <is>
          <t>2026-07-14</t>
        </is>
      </c>
      <c r="C139" s="3" t="inlineStr">
        <is>
          <t>Lorenzo Harrington</t>
        </is>
      </c>
      <c r="D139" s="3" t="inlineStr">
        <is>
          <t>OR</t>
        </is>
      </c>
      <c r="E139" s="14" t="n">
        <v>875000</v>
      </c>
      <c r="F139" s="14" t="n">
        <v>9228.02</v>
      </c>
      <c r="G139" s="14" t="n">
        <v>1153.5</v>
      </c>
      <c r="H139" s="14" t="n">
        <v>1153.5</v>
      </c>
      <c r="I139" s="14">
        <f>SUM(K139:T139)</f>
        <v/>
      </c>
      <c r="J139" s="14">
        <f>F139-(G139+H139+I139)</f>
        <v/>
      </c>
      <c r="K139" s="14" t="n">
        <v>692.1</v>
      </c>
      <c r="L139" s="14" t="n">
        <v>692.1</v>
      </c>
      <c r="M139" s="14" t="n">
        <v>692.1</v>
      </c>
      <c r="N139" s="14" t="n">
        <v>692.1</v>
      </c>
      <c r="O139" s="14" t="n">
        <v>692.1</v>
      </c>
      <c r="P139" s="14" t="n">
        <v>692.1</v>
      </c>
      <c r="Q139" s="14" t="n">
        <v>692.1</v>
      </c>
      <c r="R139" s="14" t="n">
        <v>692.1</v>
      </c>
      <c r="S139" s="14" t="n">
        <v>692.1</v>
      </c>
      <c r="T139" s="14" t="n">
        <v>692.1</v>
      </c>
      <c r="U139" s="14" t="n">
        <v>350</v>
      </c>
      <c r="V139" s="14" t="n">
        <v>0</v>
      </c>
      <c r="W139" s="14">
        <f>U139+V139</f>
        <v/>
      </c>
    </row>
    <row r="140">
      <c r="A140" s="15" t="inlineStr">
        <is>
          <t>CANON-202607-007831</t>
        </is>
      </c>
      <c r="B140" s="15" t="inlineStr">
        <is>
          <t>2026-07-22</t>
        </is>
      </c>
      <c r="C140" s="15" t="inlineStr">
        <is>
          <t>Priya Montoya</t>
        </is>
      </c>
      <c r="D140" s="15" t="inlineStr">
        <is>
          <t>FL</t>
        </is>
      </c>
      <c r="E140" s="16" t="n">
        <v>1735000</v>
      </c>
      <c r="F140" s="16" t="n">
        <v>19456.26</v>
      </c>
      <c r="G140" s="16" t="n">
        <v>2432.03</v>
      </c>
      <c r="H140" s="16" t="n">
        <v>2432.03</v>
      </c>
      <c r="I140" s="16">
        <f>SUM(K140:T140)</f>
        <v/>
      </c>
      <c r="J140" s="16">
        <f>F140-(G140+H140+I140)</f>
        <v/>
      </c>
      <c r="K140" s="16" t="n">
        <v>1459.22</v>
      </c>
      <c r="L140" s="16" t="n">
        <v>1459.22</v>
      </c>
      <c r="M140" s="16" t="n">
        <v>1459.22</v>
      </c>
      <c r="N140" s="16" t="n">
        <v>1459.22</v>
      </c>
      <c r="O140" s="16" t="n">
        <v>1459.22</v>
      </c>
      <c r="P140" s="16" t="n">
        <v>1459.22</v>
      </c>
      <c r="Q140" s="16" t="n">
        <v>1459.22</v>
      </c>
      <c r="R140" s="16" t="n">
        <v>1459.22</v>
      </c>
      <c r="S140" s="16" t="n">
        <v>1459.22</v>
      </c>
      <c r="T140" s="16" t="n">
        <v>1459.22</v>
      </c>
      <c r="U140" s="16" t="n">
        <v>350</v>
      </c>
      <c r="V140" s="16" t="n">
        <v>250</v>
      </c>
      <c r="W140" s="16">
        <f>U140+V140</f>
        <v/>
      </c>
    </row>
    <row r="141">
      <c r="A141" s="3" t="inlineStr">
        <is>
          <t>CANON-202607-007832</t>
        </is>
      </c>
      <c r="B141" s="3" t="inlineStr">
        <is>
          <t>2026-07-01</t>
        </is>
      </c>
      <c r="C141" s="3" t="inlineStr">
        <is>
          <t>Everett Okonkwo</t>
        </is>
      </c>
      <c r="D141" s="3" t="inlineStr">
        <is>
          <t>NY</t>
        </is>
      </c>
      <c r="E141" s="14" t="n">
        <v>860000</v>
      </c>
      <c r="F141" s="14" t="n">
        <v>10273.79</v>
      </c>
      <c r="G141" s="14" t="n">
        <v>1284.22</v>
      </c>
      <c r="H141" s="14" t="n">
        <v>1284.22</v>
      </c>
      <c r="I141" s="14">
        <f>SUM(K141:T141)</f>
        <v/>
      </c>
      <c r="J141" s="14">
        <f>F141-(G141+H141+I141)</f>
        <v/>
      </c>
      <c r="K141" s="14" t="n">
        <v>770.53</v>
      </c>
      <c r="L141" s="14" t="n">
        <v>770.53</v>
      </c>
      <c r="M141" s="14" t="n">
        <v>770.53</v>
      </c>
      <c r="N141" s="14" t="n">
        <v>770.53</v>
      </c>
      <c r="O141" s="14" t="n">
        <v>770.53</v>
      </c>
      <c r="P141" s="14" t="n">
        <v>770.53</v>
      </c>
      <c r="Q141" s="14" t="n">
        <v>770.53</v>
      </c>
      <c r="R141" s="14" t="n">
        <v>770.53</v>
      </c>
      <c r="S141" s="14" t="n">
        <v>770.53</v>
      </c>
      <c r="T141" s="14" t="n">
        <v>770.53</v>
      </c>
      <c r="U141" s="14" t="n">
        <v>350</v>
      </c>
      <c r="V141" s="14" t="n">
        <v>0</v>
      </c>
      <c r="W141" s="14">
        <f>U141+V141</f>
        <v/>
      </c>
    </row>
    <row r="142">
      <c r="A142" s="15" t="inlineStr">
        <is>
          <t>CANON-202607-007833</t>
        </is>
      </c>
      <c r="B142" s="15" t="inlineStr">
        <is>
          <t>2026-07-15</t>
        </is>
      </c>
      <c r="C142" s="15" t="inlineStr">
        <is>
          <t>Leopold Castellanos</t>
        </is>
      </c>
      <c r="D142" s="15" t="inlineStr">
        <is>
          <t>KY</t>
        </is>
      </c>
      <c r="E142" s="16" t="n">
        <v>915000</v>
      </c>
      <c r="F142" s="16" t="n">
        <v>11443.22</v>
      </c>
      <c r="G142" s="16" t="n">
        <v>1430.4</v>
      </c>
      <c r="H142" s="16" t="n">
        <v>1430.4</v>
      </c>
      <c r="I142" s="16">
        <f>SUM(K142:T142)</f>
        <v/>
      </c>
      <c r="J142" s="16">
        <f>F142-(G142+H142+I142)</f>
        <v/>
      </c>
      <c r="K142" s="16" t="n">
        <v>858.24</v>
      </c>
      <c r="L142" s="16" t="n">
        <v>858.24</v>
      </c>
      <c r="M142" s="16" t="n">
        <v>858.24</v>
      </c>
      <c r="N142" s="16" t="n">
        <v>858.24</v>
      </c>
      <c r="O142" s="16" t="n">
        <v>858.24</v>
      </c>
      <c r="P142" s="16" t="n">
        <v>858.24</v>
      </c>
      <c r="Q142" s="16" t="n">
        <v>858.24</v>
      </c>
      <c r="R142" s="16" t="n">
        <v>858.24</v>
      </c>
      <c r="S142" s="16" t="n">
        <v>858.24</v>
      </c>
      <c r="T142" s="16" t="n">
        <v>858.24</v>
      </c>
      <c r="U142" s="16" t="n">
        <v>350</v>
      </c>
      <c r="V142" s="16" t="n">
        <v>0</v>
      </c>
      <c r="W142" s="16">
        <f>U142+V142</f>
        <v/>
      </c>
    </row>
    <row r="143">
      <c r="A143" s="3" t="inlineStr">
        <is>
          <t>CANON-202607-007835</t>
        </is>
      </c>
      <c r="B143" s="3" t="inlineStr">
        <is>
          <t>2026-07-14</t>
        </is>
      </c>
      <c r="C143" s="3" t="inlineStr">
        <is>
          <t>Everett Montoya</t>
        </is>
      </c>
      <c r="D143" s="3" t="inlineStr">
        <is>
          <t>IN</t>
        </is>
      </c>
      <c r="E143" s="14" t="n">
        <v>550000</v>
      </c>
      <c r="F143" s="14" t="n">
        <v>4176.81</v>
      </c>
      <c r="G143" s="14" t="n">
        <v>522.1</v>
      </c>
      <c r="H143" s="14" t="n">
        <v>522.1</v>
      </c>
      <c r="I143" s="14">
        <f>SUM(K143:T143)</f>
        <v/>
      </c>
      <c r="J143" s="14">
        <f>F143-(G143+H143+I143)</f>
        <v/>
      </c>
      <c r="K143" s="14" t="n">
        <v>313.26</v>
      </c>
      <c r="L143" s="14" t="n">
        <v>313.26</v>
      </c>
      <c r="M143" s="14" t="n">
        <v>313.26</v>
      </c>
      <c r="N143" s="14" t="n">
        <v>313.26</v>
      </c>
      <c r="O143" s="14" t="n">
        <v>313.26</v>
      </c>
      <c r="P143" s="14" t="n">
        <v>313.26</v>
      </c>
      <c r="Q143" s="14" t="n">
        <v>313.26</v>
      </c>
      <c r="R143" s="14" t="n">
        <v>313.26</v>
      </c>
      <c r="S143" s="14" t="n">
        <v>313.26</v>
      </c>
      <c r="T143" s="14" t="n">
        <v>313.26</v>
      </c>
      <c r="U143" s="14" t="n">
        <v>350</v>
      </c>
      <c r="V143" s="14" t="n">
        <v>0</v>
      </c>
      <c r="W143" s="14">
        <f>U143+V143</f>
        <v/>
      </c>
    </row>
    <row r="144">
      <c r="A144" s="15" t="inlineStr">
        <is>
          <t>CANON-202607-007836</t>
        </is>
      </c>
      <c r="B144" s="15" t="inlineStr">
        <is>
          <t>2026-07-15</t>
        </is>
      </c>
      <c r="C144" s="15" t="inlineStr">
        <is>
          <t>Priya Pennington</t>
        </is>
      </c>
      <c r="D144" s="15" t="inlineStr">
        <is>
          <t>AK</t>
        </is>
      </c>
      <c r="E144" s="16" t="n">
        <v>1950000</v>
      </c>
      <c r="F144" s="16" t="n">
        <v>25535.14</v>
      </c>
      <c r="G144" s="16" t="n">
        <v>3191.89</v>
      </c>
      <c r="H144" s="16" t="n">
        <v>3191.89</v>
      </c>
      <c r="I144" s="16">
        <f>SUM(K144:T144)</f>
        <v/>
      </c>
      <c r="J144" s="16">
        <f>F144-(G144+H144+I144)</f>
        <v/>
      </c>
      <c r="K144" s="16" t="n">
        <v>1915.14</v>
      </c>
      <c r="L144" s="16" t="n">
        <v>1915.14</v>
      </c>
      <c r="M144" s="16" t="n">
        <v>1915.14</v>
      </c>
      <c r="N144" s="16" t="n">
        <v>1915.14</v>
      </c>
      <c r="O144" s="16" t="n">
        <v>1915.14</v>
      </c>
      <c r="P144" s="16" t="n">
        <v>1915.14</v>
      </c>
      <c r="Q144" s="16" t="n">
        <v>1915.14</v>
      </c>
      <c r="R144" s="16" t="n">
        <v>1915.14</v>
      </c>
      <c r="S144" s="16" t="n">
        <v>1915.14</v>
      </c>
      <c r="T144" s="16" t="n">
        <v>1915.14</v>
      </c>
      <c r="U144" s="16" t="n">
        <v>350</v>
      </c>
      <c r="V144" s="16" t="n">
        <v>250</v>
      </c>
      <c r="W144" s="16">
        <f>U144+V144</f>
        <v/>
      </c>
    </row>
    <row r="145">
      <c r="A145" s="3" t="inlineStr">
        <is>
          <t>CANON-202607-007837</t>
        </is>
      </c>
      <c r="B145" s="3" t="inlineStr">
        <is>
          <t>2026-07-10</t>
        </is>
      </c>
      <c r="C145" s="3" t="inlineStr">
        <is>
          <t>Aurelio Chattopadhyay</t>
        </is>
      </c>
      <c r="D145" s="3" t="inlineStr">
        <is>
          <t>TN</t>
        </is>
      </c>
      <c r="E145" s="14" t="n">
        <v>1950000</v>
      </c>
      <c r="F145" s="14" t="n">
        <v>10426.85</v>
      </c>
      <c r="G145" s="14" t="n">
        <v>1303.36</v>
      </c>
      <c r="H145" s="14" t="n">
        <v>1303.36</v>
      </c>
      <c r="I145" s="14">
        <f>SUM(K145:T145)</f>
        <v/>
      </c>
      <c r="J145" s="14">
        <f>F145-(G145+H145+I145)</f>
        <v/>
      </c>
      <c r="K145" s="14" t="n">
        <v>782.01</v>
      </c>
      <c r="L145" s="14" t="n">
        <v>782.01</v>
      </c>
      <c r="M145" s="14" t="n">
        <v>782.01</v>
      </c>
      <c r="N145" s="14" t="n">
        <v>782.01</v>
      </c>
      <c r="O145" s="14" t="n">
        <v>782.01</v>
      </c>
      <c r="P145" s="14" t="n">
        <v>782.01</v>
      </c>
      <c r="Q145" s="14" t="n">
        <v>782.01</v>
      </c>
      <c r="R145" s="14" t="n">
        <v>782.01</v>
      </c>
      <c r="S145" s="14" t="n">
        <v>782.01</v>
      </c>
      <c r="T145" s="14" t="n">
        <v>782.01</v>
      </c>
      <c r="U145" s="14" t="n">
        <v>350</v>
      </c>
      <c r="V145" s="14" t="n">
        <v>250</v>
      </c>
      <c r="W145" s="14">
        <f>U145+V145</f>
        <v/>
      </c>
    </row>
    <row r="146">
      <c r="A146" s="15" t="inlineStr">
        <is>
          <t>CANON-202607-007838</t>
        </is>
      </c>
      <c r="B146" s="15" t="inlineStr">
        <is>
          <t>2026-07-22</t>
        </is>
      </c>
      <c r="C146" s="15" t="inlineStr">
        <is>
          <t>Fenwick Castellanos</t>
        </is>
      </c>
      <c r="D146" s="15" t="inlineStr">
        <is>
          <t>FL</t>
        </is>
      </c>
      <c r="E146" s="16" t="n">
        <v>875000</v>
      </c>
      <c r="F146" s="16" t="n">
        <v>11596.28</v>
      </c>
      <c r="G146" s="16" t="n">
        <v>1449.54</v>
      </c>
      <c r="H146" s="16" t="n">
        <v>1449.54</v>
      </c>
      <c r="I146" s="16">
        <f>SUM(K146:T146)</f>
        <v/>
      </c>
      <c r="J146" s="16">
        <f>F146-(G146+H146+I146)</f>
        <v/>
      </c>
      <c r="K146" s="16" t="n">
        <v>869.72</v>
      </c>
      <c r="L146" s="16" t="n">
        <v>869.72</v>
      </c>
      <c r="M146" s="16" t="n">
        <v>869.72</v>
      </c>
      <c r="N146" s="16" t="n">
        <v>869.72</v>
      </c>
      <c r="O146" s="16" t="n">
        <v>869.72</v>
      </c>
      <c r="P146" s="16" t="n">
        <v>869.72</v>
      </c>
      <c r="Q146" s="16" t="n">
        <v>869.72</v>
      </c>
      <c r="R146" s="16" t="n">
        <v>869.72</v>
      </c>
      <c r="S146" s="16" t="n">
        <v>869.72</v>
      </c>
      <c r="T146" s="16" t="n">
        <v>869.72</v>
      </c>
      <c r="U146" s="16" t="n">
        <v>350</v>
      </c>
      <c r="V146" s="16" t="n">
        <v>0</v>
      </c>
      <c r="W146" s="16">
        <f>U146+V146</f>
        <v/>
      </c>
    </row>
    <row r="147">
      <c r="A147" s="3" t="inlineStr">
        <is>
          <t>CANON-202607-007839</t>
        </is>
      </c>
      <c r="B147" s="3" t="inlineStr">
        <is>
          <t>2026-07-05</t>
        </is>
      </c>
      <c r="C147" s="3" t="inlineStr">
        <is>
          <t>Wilhelmina Whitlock</t>
        </is>
      </c>
      <c r="D147" s="3" t="inlineStr">
        <is>
          <t>MO</t>
        </is>
      </c>
      <c r="E147" s="14" t="n">
        <v>945000</v>
      </c>
      <c r="F147" s="14" t="n">
        <v>9348.889999999999</v>
      </c>
      <c r="G147" s="14" t="n">
        <v>1168.61</v>
      </c>
      <c r="H147" s="14" t="n">
        <v>1168.61</v>
      </c>
      <c r="I147" s="14">
        <f>SUM(K147:T147)</f>
        <v/>
      </c>
      <c r="J147" s="14">
        <f>F147-(G147+H147+I147)</f>
        <v/>
      </c>
      <c r="K147" s="14" t="n">
        <v>701.17</v>
      </c>
      <c r="L147" s="14" t="n">
        <v>701.17</v>
      </c>
      <c r="M147" s="14" t="n">
        <v>701.17</v>
      </c>
      <c r="N147" s="14" t="n">
        <v>701.17</v>
      </c>
      <c r="O147" s="14" t="n">
        <v>701.17</v>
      </c>
      <c r="P147" s="14" t="n">
        <v>701.17</v>
      </c>
      <c r="Q147" s="14" t="n">
        <v>701.17</v>
      </c>
      <c r="R147" s="14" t="n">
        <v>701.17</v>
      </c>
      <c r="S147" s="14" t="n">
        <v>701.17</v>
      </c>
      <c r="T147" s="14" t="n">
        <v>701.17</v>
      </c>
      <c r="U147" s="14" t="n">
        <v>350</v>
      </c>
      <c r="V147" s="14" t="n">
        <v>0</v>
      </c>
      <c r="W147" s="14">
        <f>U147+V147</f>
        <v/>
      </c>
    </row>
    <row r="148">
      <c r="A148" s="15" t="inlineStr">
        <is>
          <t>CANON-202607-007840</t>
        </is>
      </c>
      <c r="B148" s="15" t="inlineStr">
        <is>
          <t>2026-07-25</t>
        </is>
      </c>
      <c r="C148" s="15" t="inlineStr">
        <is>
          <t>Fenwick Thistlewood</t>
        </is>
      </c>
      <c r="D148" s="15" t="inlineStr">
        <is>
          <t>AL</t>
        </is>
      </c>
      <c r="E148" s="16" t="n">
        <v>690000</v>
      </c>
      <c r="F148" s="16" t="n">
        <v>11953.22</v>
      </c>
      <c r="G148" s="16" t="n">
        <v>1494.15</v>
      </c>
      <c r="H148" s="16" t="n">
        <v>1494.15</v>
      </c>
      <c r="I148" s="16">
        <f>SUM(K148:T148)</f>
        <v/>
      </c>
      <c r="J148" s="16">
        <f>F148-(G148+H148+I148)</f>
        <v/>
      </c>
      <c r="K148" s="16" t="n">
        <v>896.49</v>
      </c>
      <c r="L148" s="16" t="n">
        <v>896.49</v>
      </c>
      <c r="M148" s="16" t="n">
        <v>896.49</v>
      </c>
      <c r="N148" s="16" t="n">
        <v>896.49</v>
      </c>
      <c r="O148" s="16" t="n">
        <v>896.49</v>
      </c>
      <c r="P148" s="16" t="n">
        <v>896.49</v>
      </c>
      <c r="Q148" s="16" t="n">
        <v>896.49</v>
      </c>
      <c r="R148" s="16" t="n">
        <v>896.49</v>
      </c>
      <c r="S148" s="16" t="n">
        <v>896.49</v>
      </c>
      <c r="T148" s="16" t="n">
        <v>896.49</v>
      </c>
      <c r="U148" s="16" t="n">
        <v>350</v>
      </c>
      <c r="V148" s="16" t="n">
        <v>0</v>
      </c>
      <c r="W148" s="16">
        <f>U148+V148</f>
        <v/>
      </c>
    </row>
    <row r="149">
      <c r="A149" s="3" t="inlineStr">
        <is>
          <t>CANON-202607-007841</t>
        </is>
      </c>
      <c r="B149" s="3" t="inlineStr">
        <is>
          <t>2026-07-24</t>
        </is>
      </c>
      <c r="C149" s="3" t="inlineStr">
        <is>
          <t>Beatrix Whitlock</t>
        </is>
      </c>
      <c r="D149" s="3" t="inlineStr">
        <is>
          <t>MI</t>
        </is>
      </c>
      <c r="E149" s="14" t="n">
        <v>320000</v>
      </c>
      <c r="F149" s="14" t="n">
        <v>5341.36</v>
      </c>
      <c r="G149" s="14" t="n">
        <v>667.67</v>
      </c>
      <c r="H149" s="14" t="n">
        <v>667.67</v>
      </c>
      <c r="I149" s="14">
        <f>SUM(K149:T149)</f>
        <v/>
      </c>
      <c r="J149" s="14">
        <f>F149-(G149+H149+I149)</f>
        <v/>
      </c>
      <c r="K149" s="14" t="n">
        <v>400.6</v>
      </c>
      <c r="L149" s="14" t="n">
        <v>400.6</v>
      </c>
      <c r="M149" s="14" t="n">
        <v>400.6</v>
      </c>
      <c r="N149" s="14" t="n">
        <v>400.6</v>
      </c>
      <c r="O149" s="14" t="n">
        <v>400.6</v>
      </c>
      <c r="P149" s="14" t="n">
        <v>400.6</v>
      </c>
      <c r="Q149" s="14" t="n">
        <v>400.6</v>
      </c>
      <c r="R149" s="14" t="n">
        <v>400.6</v>
      </c>
      <c r="S149" s="14" t="n">
        <v>400.6</v>
      </c>
      <c r="T149" s="14" t="n">
        <v>400.6</v>
      </c>
      <c r="U149" s="14" t="n">
        <v>350</v>
      </c>
      <c r="V149" s="14" t="n">
        <v>0</v>
      </c>
      <c r="W149" s="14">
        <f>U149+V149</f>
        <v/>
      </c>
    </row>
    <row r="150">
      <c r="A150" s="15" t="inlineStr">
        <is>
          <t>CANON-202607-007843</t>
        </is>
      </c>
      <c r="B150" s="15" t="inlineStr">
        <is>
          <t>2026-07-07</t>
        </is>
      </c>
      <c r="C150" s="15" t="inlineStr">
        <is>
          <t>Desmond Montoya</t>
        </is>
      </c>
      <c r="D150" s="15" t="inlineStr">
        <is>
          <t>MA</t>
        </is>
      </c>
      <c r="E150" s="16" t="n">
        <v>670000</v>
      </c>
      <c r="F150" s="16" t="n">
        <v>9379.68</v>
      </c>
      <c r="G150" s="16" t="n">
        <v>1172.46</v>
      </c>
      <c r="H150" s="16" t="n">
        <v>1172.46</v>
      </c>
      <c r="I150" s="16">
        <f>SUM(K150:T150)</f>
        <v/>
      </c>
      <c r="J150" s="16">
        <f>F150-(G150+H150+I150)</f>
        <v/>
      </c>
      <c r="K150" s="16" t="n">
        <v>703.48</v>
      </c>
      <c r="L150" s="16" t="n">
        <v>703.48</v>
      </c>
      <c r="M150" s="16" t="n">
        <v>703.48</v>
      </c>
      <c r="N150" s="16" t="n">
        <v>703.48</v>
      </c>
      <c r="O150" s="16" t="n">
        <v>703.48</v>
      </c>
      <c r="P150" s="16" t="n">
        <v>703.48</v>
      </c>
      <c r="Q150" s="16" t="n">
        <v>703.48</v>
      </c>
      <c r="R150" s="16" t="n">
        <v>703.48</v>
      </c>
      <c r="S150" s="16" t="n">
        <v>703.48</v>
      </c>
      <c r="T150" s="16" t="n">
        <v>703.48</v>
      </c>
      <c r="U150" s="16" t="n">
        <v>350</v>
      </c>
      <c r="V150" s="16" t="n">
        <v>0</v>
      </c>
      <c r="W150" s="16">
        <f>U150+V150</f>
        <v/>
      </c>
    </row>
    <row r="151">
      <c r="A151" s="3" t="inlineStr">
        <is>
          <t>CANON-202607-007844</t>
        </is>
      </c>
      <c r="B151" s="3" t="inlineStr">
        <is>
          <t>2026-07-23</t>
        </is>
      </c>
      <c r="C151" s="3" t="inlineStr">
        <is>
          <t>Ottilie Ashcombe</t>
        </is>
      </c>
      <c r="D151" s="3" t="inlineStr">
        <is>
          <t>UT</t>
        </is>
      </c>
      <c r="E151" s="14" t="n">
        <v>950000</v>
      </c>
      <c r="F151" s="14" t="n">
        <v>7918.35</v>
      </c>
      <c r="G151" s="14" t="n">
        <v>989.79</v>
      </c>
      <c r="H151" s="14" t="n">
        <v>989.79</v>
      </c>
      <c r="I151" s="14">
        <f>SUM(K151:T151)</f>
        <v/>
      </c>
      <c r="J151" s="14">
        <f>F151-(G151+H151+I151)</f>
        <v/>
      </c>
      <c r="K151" s="14" t="n">
        <v>593.88</v>
      </c>
      <c r="L151" s="14" t="n">
        <v>593.88</v>
      </c>
      <c r="M151" s="14" t="n">
        <v>593.88</v>
      </c>
      <c r="N151" s="14" t="n">
        <v>593.88</v>
      </c>
      <c r="O151" s="14" t="n">
        <v>593.88</v>
      </c>
      <c r="P151" s="14" t="n">
        <v>593.88</v>
      </c>
      <c r="Q151" s="14" t="n">
        <v>593.88</v>
      </c>
      <c r="R151" s="14" t="n">
        <v>593.88</v>
      </c>
      <c r="S151" s="14" t="n">
        <v>593.88</v>
      </c>
      <c r="T151" s="14" t="n">
        <v>593.88</v>
      </c>
      <c r="U151" s="14" t="n">
        <v>350</v>
      </c>
      <c r="V151" s="14" t="n">
        <v>0</v>
      </c>
      <c r="W151" s="14">
        <f>U151+V151</f>
        <v/>
      </c>
    </row>
    <row r="152">
      <c r="A152" s="15" t="inlineStr">
        <is>
          <t>CANON-202607-007847</t>
        </is>
      </c>
      <c r="B152" s="15" t="inlineStr">
        <is>
          <t>2026-07-24</t>
        </is>
      </c>
      <c r="C152" s="15" t="inlineStr">
        <is>
          <t>Sunniva Vandermeer</t>
        </is>
      </c>
      <c r="D152" s="15" t="inlineStr">
        <is>
          <t>TX</t>
        </is>
      </c>
      <c r="E152" s="16" t="n">
        <v>915000</v>
      </c>
      <c r="F152" s="16" t="n">
        <v>14353.28</v>
      </c>
      <c r="G152" s="16" t="n">
        <v>1794.16</v>
      </c>
      <c r="H152" s="16" t="n">
        <v>1794.16</v>
      </c>
      <c r="I152" s="16">
        <f>SUM(K152:T152)</f>
        <v/>
      </c>
      <c r="J152" s="16">
        <f>F152-(G152+H152+I152)</f>
        <v/>
      </c>
      <c r="K152" s="16" t="n">
        <v>1076.5</v>
      </c>
      <c r="L152" s="16" t="n">
        <v>1076.5</v>
      </c>
      <c r="M152" s="16" t="n">
        <v>1076.5</v>
      </c>
      <c r="N152" s="16" t="n">
        <v>1076.5</v>
      </c>
      <c r="O152" s="16" t="n">
        <v>1076.5</v>
      </c>
      <c r="P152" s="16" t="n">
        <v>1076.5</v>
      </c>
      <c r="Q152" s="16" t="n">
        <v>1076.5</v>
      </c>
      <c r="R152" s="16" t="n">
        <v>1076.5</v>
      </c>
      <c r="S152" s="16" t="n">
        <v>1076.5</v>
      </c>
      <c r="T152" s="16" t="n">
        <v>1076.5</v>
      </c>
      <c r="U152" s="16" t="n">
        <v>350</v>
      </c>
      <c r="V152" s="16" t="n">
        <v>0</v>
      </c>
      <c r="W152" s="16">
        <f>U152+V152</f>
        <v/>
      </c>
    </row>
    <row r="153">
      <c r="A153" s="3" t="inlineStr">
        <is>
          <t>CANON-202607-007848</t>
        </is>
      </c>
      <c r="B153" s="3" t="inlineStr">
        <is>
          <t>2026-07-29</t>
        </is>
      </c>
      <c r="C153" s="3" t="inlineStr">
        <is>
          <t>Lorenzo Fairweather</t>
        </is>
      </c>
      <c r="D153" s="3" t="inlineStr">
        <is>
          <t>TX</t>
        </is>
      </c>
      <c r="E153" s="14" t="n">
        <v>235000</v>
      </c>
      <c r="F153" s="14" t="n">
        <v>3569.95</v>
      </c>
      <c r="G153" s="14" t="n">
        <v>446.24</v>
      </c>
      <c r="H153" s="14" t="n">
        <v>446.24</v>
      </c>
      <c r="I153" s="14">
        <f>SUM(K153:T153)</f>
        <v/>
      </c>
      <c r="J153" s="14">
        <f>F153-(G153+H153+I153)</f>
        <v/>
      </c>
      <c r="K153" s="14" t="n">
        <v>267.75</v>
      </c>
      <c r="L153" s="14" t="n">
        <v>267.75</v>
      </c>
      <c r="M153" s="14" t="n">
        <v>267.75</v>
      </c>
      <c r="N153" s="14" t="n">
        <v>267.75</v>
      </c>
      <c r="O153" s="14" t="n">
        <v>267.75</v>
      </c>
      <c r="P153" s="14" t="n">
        <v>267.75</v>
      </c>
      <c r="Q153" s="14" t="n">
        <v>267.75</v>
      </c>
      <c r="R153" s="14" t="n">
        <v>267.75</v>
      </c>
      <c r="S153" s="14" t="n">
        <v>267.75</v>
      </c>
      <c r="T153" s="14" t="n">
        <v>267.75</v>
      </c>
      <c r="U153" s="14" t="n">
        <v>350</v>
      </c>
      <c r="V153" s="14" t="n">
        <v>0</v>
      </c>
      <c r="W153" s="14">
        <f>U153+V153</f>
        <v/>
      </c>
    </row>
    <row r="154">
      <c r="A154" s="15" t="inlineStr">
        <is>
          <t>CANON-202607-007849</t>
        </is>
      </c>
      <c r="B154" s="15" t="inlineStr">
        <is>
          <t>2026-07-12</t>
        </is>
      </c>
      <c r="C154" s="15" t="inlineStr">
        <is>
          <t>Lorenzo Ashcombe</t>
        </is>
      </c>
      <c r="D154" s="15" t="inlineStr">
        <is>
          <t>TX</t>
        </is>
      </c>
      <c r="E154" s="16" t="n">
        <v>660000</v>
      </c>
      <c r="F154" s="16" t="n">
        <v>7083.76</v>
      </c>
      <c r="G154" s="16" t="n">
        <v>885.47</v>
      </c>
      <c r="H154" s="16" t="n">
        <v>885.47</v>
      </c>
      <c r="I154" s="16">
        <f>SUM(K154:T154)</f>
        <v/>
      </c>
      <c r="J154" s="16">
        <f>F154-(G154+H154+I154)</f>
        <v/>
      </c>
      <c r="K154" s="16" t="n">
        <v>531.28</v>
      </c>
      <c r="L154" s="16" t="n">
        <v>531.28</v>
      </c>
      <c r="M154" s="16" t="n">
        <v>531.28</v>
      </c>
      <c r="N154" s="16" t="n">
        <v>531.28</v>
      </c>
      <c r="O154" s="16" t="n">
        <v>531.28</v>
      </c>
      <c r="P154" s="16" t="n">
        <v>531.28</v>
      </c>
      <c r="Q154" s="16" t="n">
        <v>531.28</v>
      </c>
      <c r="R154" s="16" t="n">
        <v>531.28</v>
      </c>
      <c r="S154" s="16" t="n">
        <v>531.28</v>
      </c>
      <c r="T154" s="16" t="n">
        <v>531.28</v>
      </c>
      <c r="U154" s="16" t="n">
        <v>350</v>
      </c>
      <c r="V154" s="16" t="n">
        <v>0</v>
      </c>
      <c r="W154" s="16">
        <f>U154+V154</f>
        <v/>
      </c>
    </row>
    <row r="155">
      <c r="A155" s="3" t="inlineStr">
        <is>
          <t>CANON-202607-007851</t>
        </is>
      </c>
      <c r="B155" s="3" t="inlineStr">
        <is>
          <t>2026-07-07</t>
        </is>
      </c>
      <c r="C155" s="3" t="inlineStr">
        <is>
          <t>Desmond Merriweather</t>
        </is>
      </c>
      <c r="D155" s="3" t="inlineStr">
        <is>
          <t>AR</t>
        </is>
      </c>
      <c r="E155" s="14" t="n">
        <v>1425000</v>
      </c>
      <c r="F155" s="14" t="n">
        <v>22588.78</v>
      </c>
      <c r="G155" s="14" t="n">
        <v>2823.6</v>
      </c>
      <c r="H155" s="14" t="n">
        <v>2823.6</v>
      </c>
      <c r="I155" s="14">
        <f>SUM(K155:T155)</f>
        <v/>
      </c>
      <c r="J155" s="14">
        <f>F155-(G155+H155+I155)</f>
        <v/>
      </c>
      <c r="K155" s="14" t="n">
        <v>1694.16</v>
      </c>
      <c r="L155" s="14" t="n">
        <v>1694.16</v>
      </c>
      <c r="M155" s="14" t="n">
        <v>1694.16</v>
      </c>
      <c r="N155" s="14" t="n">
        <v>1694.16</v>
      </c>
      <c r="O155" s="14" t="n">
        <v>1694.16</v>
      </c>
      <c r="P155" s="14" t="n">
        <v>1694.16</v>
      </c>
      <c r="Q155" s="14" t="n">
        <v>1694.16</v>
      </c>
      <c r="R155" s="14" t="n">
        <v>1694.16</v>
      </c>
      <c r="S155" s="14" t="n">
        <v>1694.16</v>
      </c>
      <c r="T155" s="14" t="n">
        <v>1694.16</v>
      </c>
      <c r="U155" s="14" t="n">
        <v>350</v>
      </c>
      <c r="V155" s="14" t="n">
        <v>250</v>
      </c>
      <c r="W155" s="14">
        <f>U155+V155</f>
        <v/>
      </c>
    </row>
    <row r="156">
      <c r="A156" s="15" t="inlineStr">
        <is>
          <t>CANON-202607-007852</t>
        </is>
      </c>
      <c r="B156" s="15" t="inlineStr">
        <is>
          <t>2026-07-11</t>
        </is>
      </c>
      <c r="C156" s="15" t="inlineStr">
        <is>
          <t>Leopold Harrington</t>
        </is>
      </c>
      <c r="D156" s="15" t="inlineStr">
        <is>
          <t>KS</t>
        </is>
      </c>
      <c r="E156" s="16" t="n">
        <v>500000</v>
      </c>
      <c r="F156" s="16" t="n">
        <v>6615.68</v>
      </c>
      <c r="G156" s="16" t="n">
        <v>826.96</v>
      </c>
      <c r="H156" s="16" t="n">
        <v>826.96</v>
      </c>
      <c r="I156" s="16">
        <f>SUM(K156:T156)</f>
        <v/>
      </c>
      <c r="J156" s="16">
        <f>F156-(G156+H156+I156)</f>
        <v/>
      </c>
      <c r="K156" s="16" t="n">
        <v>496.18</v>
      </c>
      <c r="L156" s="16" t="n">
        <v>496.18</v>
      </c>
      <c r="M156" s="16" t="n">
        <v>496.18</v>
      </c>
      <c r="N156" s="16" t="n">
        <v>496.18</v>
      </c>
      <c r="O156" s="16" t="n">
        <v>496.18</v>
      </c>
      <c r="P156" s="16" t="n">
        <v>496.18</v>
      </c>
      <c r="Q156" s="16" t="n">
        <v>496.18</v>
      </c>
      <c r="R156" s="16" t="n">
        <v>496.18</v>
      </c>
      <c r="S156" s="16" t="n">
        <v>496.18</v>
      </c>
      <c r="T156" s="16" t="n">
        <v>496.18</v>
      </c>
      <c r="U156" s="16" t="n">
        <v>350</v>
      </c>
      <c r="V156" s="16" t="n">
        <v>0</v>
      </c>
      <c r="W156" s="16">
        <f>U156+V156</f>
        <v/>
      </c>
    </row>
    <row r="157">
      <c r="A157" s="3" t="inlineStr">
        <is>
          <t>CANON-202607-007853</t>
        </is>
      </c>
      <c r="B157" s="3" t="inlineStr">
        <is>
          <t>2026-07-18</t>
        </is>
      </c>
      <c r="C157" s="3" t="inlineStr">
        <is>
          <t>Ramona Kingsford</t>
        </is>
      </c>
      <c r="D157" s="3" t="inlineStr">
        <is>
          <t>WI</t>
        </is>
      </c>
      <c r="E157" s="14" t="n">
        <v>1950000</v>
      </c>
      <c r="F157" s="14" t="n">
        <v>26879.09</v>
      </c>
      <c r="G157" s="14" t="n">
        <v>3359.89</v>
      </c>
      <c r="H157" s="14" t="n">
        <v>3359.89</v>
      </c>
      <c r="I157" s="14">
        <f>SUM(K157:T157)</f>
        <v/>
      </c>
      <c r="J157" s="14">
        <f>F157-(G157+H157+I157)</f>
        <v/>
      </c>
      <c r="K157" s="14" t="n">
        <v>2015.93</v>
      </c>
      <c r="L157" s="14" t="n">
        <v>2015.93</v>
      </c>
      <c r="M157" s="14" t="n">
        <v>2015.93</v>
      </c>
      <c r="N157" s="14" t="n">
        <v>2015.93</v>
      </c>
      <c r="O157" s="14" t="n">
        <v>2015.93</v>
      </c>
      <c r="P157" s="14" t="n">
        <v>2015.93</v>
      </c>
      <c r="Q157" s="14" t="n">
        <v>2015.93</v>
      </c>
      <c r="R157" s="14" t="n">
        <v>2015.93</v>
      </c>
      <c r="S157" s="14" t="n">
        <v>2015.93</v>
      </c>
      <c r="T157" s="14" t="n">
        <v>2015.93</v>
      </c>
      <c r="U157" s="14" t="n">
        <v>350</v>
      </c>
      <c r="V157" s="14" t="n">
        <v>250</v>
      </c>
      <c r="W157" s="14">
        <f>U157+V157</f>
        <v/>
      </c>
    </row>
    <row r="158">
      <c r="A158" s="15" t="inlineStr">
        <is>
          <t>CANON-202607-007854</t>
        </is>
      </c>
      <c r="B158" s="15" t="inlineStr">
        <is>
          <t>2026-07-11</t>
        </is>
      </c>
      <c r="C158" s="15" t="inlineStr">
        <is>
          <t>Marisol Delacroix</t>
        </is>
      </c>
      <c r="D158" s="15" t="inlineStr">
        <is>
          <t>OH</t>
        </is>
      </c>
      <c r="E158" s="16" t="n">
        <v>805000</v>
      </c>
      <c r="F158" s="16" t="n">
        <v>10443.18</v>
      </c>
      <c r="G158" s="16" t="n">
        <v>1305.4</v>
      </c>
      <c r="H158" s="16" t="n">
        <v>1305.4</v>
      </c>
      <c r="I158" s="16">
        <f>SUM(K158:T158)</f>
        <v/>
      </c>
      <c r="J158" s="16">
        <f>F158-(G158+H158+I158)</f>
        <v/>
      </c>
      <c r="K158" s="16" t="n">
        <v>783.24</v>
      </c>
      <c r="L158" s="16" t="n">
        <v>783.24</v>
      </c>
      <c r="M158" s="16" t="n">
        <v>783.24</v>
      </c>
      <c r="N158" s="16" t="n">
        <v>783.24</v>
      </c>
      <c r="O158" s="16" t="n">
        <v>783.24</v>
      </c>
      <c r="P158" s="16" t="n">
        <v>783.24</v>
      </c>
      <c r="Q158" s="16" t="n">
        <v>783.24</v>
      </c>
      <c r="R158" s="16" t="n">
        <v>783.24</v>
      </c>
      <c r="S158" s="16" t="n">
        <v>783.24</v>
      </c>
      <c r="T158" s="16" t="n">
        <v>783.24</v>
      </c>
      <c r="U158" s="16" t="n">
        <v>350</v>
      </c>
      <c r="V158" s="16" t="n">
        <v>0</v>
      </c>
      <c r="W158" s="16">
        <f>U158+V158</f>
        <v/>
      </c>
    </row>
    <row r="159">
      <c r="A159" s="3" t="inlineStr">
        <is>
          <t>CANON-202607-007856</t>
        </is>
      </c>
      <c r="B159" s="3" t="inlineStr">
        <is>
          <t>2026-07-31</t>
        </is>
      </c>
      <c r="C159" s="3" t="inlineStr">
        <is>
          <t>Emiliano Delacroix</t>
        </is>
      </c>
      <c r="D159" s="3" t="inlineStr">
        <is>
          <t>SD</t>
        </is>
      </c>
      <c r="E159" s="14" t="n">
        <v>515000</v>
      </c>
      <c r="F159" s="14" t="n">
        <v>5335.22</v>
      </c>
      <c r="G159" s="14" t="n">
        <v>666.9</v>
      </c>
      <c r="H159" s="14" t="n">
        <v>666.9</v>
      </c>
      <c r="I159" s="14">
        <f>SUM(K159:T159)</f>
        <v/>
      </c>
      <c r="J159" s="14">
        <f>F159-(G159+H159+I159)</f>
        <v/>
      </c>
      <c r="K159" s="14" t="n">
        <v>400.14</v>
      </c>
      <c r="L159" s="14" t="n">
        <v>400.14</v>
      </c>
      <c r="M159" s="14" t="n">
        <v>400.14</v>
      </c>
      <c r="N159" s="14" t="n">
        <v>400.14</v>
      </c>
      <c r="O159" s="14" t="n">
        <v>400.14</v>
      </c>
      <c r="P159" s="14" t="n">
        <v>400.14</v>
      </c>
      <c r="Q159" s="14" t="n">
        <v>400.14</v>
      </c>
      <c r="R159" s="14" t="n">
        <v>400.14</v>
      </c>
      <c r="S159" s="14" t="n">
        <v>400.14</v>
      </c>
      <c r="T159" s="14" t="n">
        <v>400.14</v>
      </c>
      <c r="U159" s="14" t="n">
        <v>350</v>
      </c>
      <c r="V159" s="14" t="n">
        <v>0</v>
      </c>
      <c r="W159" s="14">
        <f>U159+V159</f>
        <v/>
      </c>
    </row>
    <row r="160">
      <c r="A160" s="15" t="inlineStr">
        <is>
          <t>CANON-202607-007857</t>
        </is>
      </c>
      <c r="B160" s="15" t="inlineStr">
        <is>
          <t>2026-07-09</t>
        </is>
      </c>
      <c r="C160" s="15" t="inlineStr">
        <is>
          <t>Mireille Chattopadhyay</t>
        </is>
      </c>
      <c r="D160" s="15" t="inlineStr">
        <is>
          <t>IN</t>
        </is>
      </c>
      <c r="E160" s="16" t="n">
        <v>575000</v>
      </c>
      <c r="F160" s="16" t="n">
        <v>7920.93</v>
      </c>
      <c r="G160" s="16" t="n">
        <v>990.12</v>
      </c>
      <c r="H160" s="16" t="n">
        <v>990.12</v>
      </c>
      <c r="I160" s="16">
        <f>SUM(K160:T160)</f>
        <v/>
      </c>
      <c r="J160" s="16">
        <f>F160-(G160+H160+I160)</f>
        <v/>
      </c>
      <c r="K160" s="16" t="n">
        <v>594.0700000000001</v>
      </c>
      <c r="L160" s="16" t="n">
        <v>594.0700000000001</v>
      </c>
      <c r="M160" s="16" t="n">
        <v>594.0700000000001</v>
      </c>
      <c r="N160" s="16" t="n">
        <v>594.0700000000001</v>
      </c>
      <c r="O160" s="16" t="n">
        <v>594.0700000000001</v>
      </c>
      <c r="P160" s="16" t="n">
        <v>594.0700000000001</v>
      </c>
      <c r="Q160" s="16" t="n">
        <v>594.0700000000001</v>
      </c>
      <c r="R160" s="16" t="n">
        <v>594.0700000000001</v>
      </c>
      <c r="S160" s="16" t="n">
        <v>594.0700000000001</v>
      </c>
      <c r="T160" s="16" t="n">
        <v>594.0700000000001</v>
      </c>
      <c r="U160" s="16" t="n">
        <v>350</v>
      </c>
      <c r="V160" s="16" t="n">
        <v>0</v>
      </c>
      <c r="W160" s="16">
        <f>U160+V160</f>
        <v/>
      </c>
    </row>
    <row r="161">
      <c r="A161" s="3" t="inlineStr">
        <is>
          <t>CANON-202607-007858</t>
        </is>
      </c>
      <c r="B161" s="3" t="inlineStr">
        <is>
          <t>2026-07-17</t>
        </is>
      </c>
      <c r="C161" s="3" t="inlineStr">
        <is>
          <t>Cassius Vandermeer</t>
        </is>
      </c>
      <c r="D161" s="3" t="inlineStr">
        <is>
          <t>IL</t>
        </is>
      </c>
      <c r="E161" s="14" t="n">
        <v>460000</v>
      </c>
      <c r="F161" s="14" t="n">
        <v>6737</v>
      </c>
      <c r="G161" s="14" t="n">
        <v>842.12</v>
      </c>
      <c r="H161" s="14" t="n">
        <v>842.12</v>
      </c>
      <c r="I161" s="14">
        <f>SUM(K161:T161)</f>
        <v/>
      </c>
      <c r="J161" s="14">
        <f>F161-(G161+H161+I161)</f>
        <v/>
      </c>
      <c r="K161" s="14" t="n">
        <v>505.27</v>
      </c>
      <c r="L161" s="14" t="n">
        <v>505.27</v>
      </c>
      <c r="M161" s="14" t="n">
        <v>505.27</v>
      </c>
      <c r="N161" s="14" t="n">
        <v>505.27</v>
      </c>
      <c r="O161" s="14" t="n">
        <v>505.27</v>
      </c>
      <c r="P161" s="14" t="n">
        <v>505.27</v>
      </c>
      <c r="Q161" s="14" t="n">
        <v>505.27</v>
      </c>
      <c r="R161" s="14" t="n">
        <v>505.27</v>
      </c>
      <c r="S161" s="14" t="n">
        <v>505.27</v>
      </c>
      <c r="T161" s="14" t="n">
        <v>505.27</v>
      </c>
      <c r="U161" s="14" t="n">
        <v>350</v>
      </c>
      <c r="V161" s="14" t="n">
        <v>0</v>
      </c>
      <c r="W161" s="14">
        <f>U161+V161</f>
        <v/>
      </c>
    </row>
    <row r="162">
      <c r="A162" s="15" t="inlineStr">
        <is>
          <t>CANON-202607-007861</t>
        </is>
      </c>
      <c r="B162" s="15" t="inlineStr">
        <is>
          <t>2026-07-15</t>
        </is>
      </c>
      <c r="C162" s="15" t="inlineStr">
        <is>
          <t>Mireille Underwood</t>
        </is>
      </c>
      <c r="D162" s="15" t="inlineStr">
        <is>
          <t>NY</t>
        </is>
      </c>
      <c r="E162" s="16" t="n">
        <v>210000</v>
      </c>
      <c r="F162" s="16" t="n">
        <v>2199.95</v>
      </c>
      <c r="G162" s="16" t="n">
        <v>274.99</v>
      </c>
      <c r="H162" s="16" t="n">
        <v>274.99</v>
      </c>
      <c r="I162" s="16">
        <f>SUM(K162:T162)</f>
        <v/>
      </c>
      <c r="J162" s="16">
        <f>F162-(G162+H162+I162)</f>
        <v/>
      </c>
      <c r="K162" s="16" t="n">
        <v>165</v>
      </c>
      <c r="L162" s="16" t="n">
        <v>165</v>
      </c>
      <c r="M162" s="16" t="n">
        <v>165</v>
      </c>
      <c r="N162" s="16" t="n">
        <v>165</v>
      </c>
      <c r="O162" s="16" t="n">
        <v>165</v>
      </c>
      <c r="P162" s="16" t="n">
        <v>165</v>
      </c>
      <c r="Q162" s="16" t="n">
        <v>165</v>
      </c>
      <c r="R162" s="16" t="n">
        <v>165</v>
      </c>
      <c r="S162" s="16" t="n">
        <v>165</v>
      </c>
      <c r="T162" s="16" t="n">
        <v>165</v>
      </c>
      <c r="U162" s="16" t="n">
        <v>350</v>
      </c>
      <c r="V162" s="16" t="n">
        <v>0</v>
      </c>
      <c r="W162" s="16">
        <f>U162+V162</f>
        <v/>
      </c>
    </row>
    <row r="163">
      <c r="A163" s="3" t="inlineStr">
        <is>
          <t>CANON-202607-007862</t>
        </is>
      </c>
      <c r="B163" s="3" t="inlineStr">
        <is>
          <t>2026-07-29</t>
        </is>
      </c>
      <c r="C163" s="3" t="inlineStr">
        <is>
          <t>Sunniva Delacroix</t>
        </is>
      </c>
      <c r="D163" s="3" t="inlineStr">
        <is>
          <t>MA</t>
        </is>
      </c>
      <c r="E163" s="14" t="n">
        <v>1035000</v>
      </c>
      <c r="F163" s="14" t="n">
        <v>14861.04</v>
      </c>
      <c r="G163" s="14" t="n">
        <v>1857.63</v>
      </c>
      <c r="H163" s="14" t="n">
        <v>1857.63</v>
      </c>
      <c r="I163" s="14">
        <f>SUM(K163:T163)</f>
        <v/>
      </c>
      <c r="J163" s="14">
        <f>F163-(G163+H163+I163)</f>
        <v/>
      </c>
      <c r="K163" s="14" t="n">
        <v>1114.58</v>
      </c>
      <c r="L163" s="14" t="n">
        <v>1114.58</v>
      </c>
      <c r="M163" s="14" t="n">
        <v>1114.58</v>
      </c>
      <c r="N163" s="14" t="n">
        <v>1114.58</v>
      </c>
      <c r="O163" s="14" t="n">
        <v>1114.58</v>
      </c>
      <c r="P163" s="14" t="n">
        <v>1114.58</v>
      </c>
      <c r="Q163" s="14" t="n">
        <v>1114.58</v>
      </c>
      <c r="R163" s="14" t="n">
        <v>1114.58</v>
      </c>
      <c r="S163" s="14" t="n">
        <v>1114.58</v>
      </c>
      <c r="T163" s="14" t="n">
        <v>1114.58</v>
      </c>
      <c r="U163" s="14" t="n">
        <v>350</v>
      </c>
      <c r="V163" s="14" t="n">
        <v>250</v>
      </c>
      <c r="W163" s="14">
        <f>U163+V163</f>
        <v/>
      </c>
    </row>
    <row r="164">
      <c r="A164" s="15" t="inlineStr">
        <is>
          <t>CANON-202607-007864</t>
        </is>
      </c>
      <c r="B164" s="15" t="inlineStr">
        <is>
          <t>2026-07-07</t>
        </is>
      </c>
      <c r="C164" s="15" t="inlineStr">
        <is>
          <t>Beatrix Merriweather</t>
        </is>
      </c>
      <c r="D164" s="15" t="inlineStr">
        <is>
          <t>MD</t>
        </is>
      </c>
      <c r="E164" s="16" t="n">
        <v>405000</v>
      </c>
      <c r="F164" s="16" t="n">
        <v>6353.09</v>
      </c>
      <c r="G164" s="16" t="n">
        <v>794.14</v>
      </c>
      <c r="H164" s="16" t="n">
        <v>794.14</v>
      </c>
      <c r="I164" s="16">
        <f>SUM(K164:T164)</f>
        <v/>
      </c>
      <c r="J164" s="16">
        <f>F164-(G164+H164+I164)</f>
        <v/>
      </c>
      <c r="K164" s="16" t="n">
        <v>476.48</v>
      </c>
      <c r="L164" s="16" t="n">
        <v>476.48</v>
      </c>
      <c r="M164" s="16" t="n">
        <v>476.48</v>
      </c>
      <c r="N164" s="16" t="n">
        <v>476.48</v>
      </c>
      <c r="O164" s="16" t="n">
        <v>476.48</v>
      </c>
      <c r="P164" s="16" t="n">
        <v>476.48</v>
      </c>
      <c r="Q164" s="16" t="n">
        <v>476.48</v>
      </c>
      <c r="R164" s="16" t="n">
        <v>476.48</v>
      </c>
      <c r="S164" s="16" t="n">
        <v>476.48</v>
      </c>
      <c r="T164" s="16" t="n">
        <v>476.48</v>
      </c>
      <c r="U164" s="16" t="n">
        <v>350</v>
      </c>
      <c r="V164" s="16" t="n">
        <v>0</v>
      </c>
      <c r="W164" s="16">
        <f>U164+V164</f>
        <v/>
      </c>
    </row>
    <row r="165">
      <c r="A165" s="3" t="inlineStr">
        <is>
          <t>CANON-202607-007865</t>
        </is>
      </c>
      <c r="B165" s="3" t="inlineStr">
        <is>
          <t>2026-07-03</t>
        </is>
      </c>
      <c r="C165" s="3" t="inlineStr">
        <is>
          <t>Cassius Okonkwo</t>
        </is>
      </c>
      <c r="D165" s="3" t="inlineStr">
        <is>
          <t>MN</t>
        </is>
      </c>
      <c r="E165" s="14" t="n">
        <v>550000</v>
      </c>
      <c r="F165" s="14" t="n">
        <v>6775.77</v>
      </c>
      <c r="G165" s="14" t="n">
        <v>846.97</v>
      </c>
      <c r="H165" s="14" t="n">
        <v>846.97</v>
      </c>
      <c r="I165" s="14">
        <f>SUM(K165:T165)</f>
        <v/>
      </c>
      <c r="J165" s="14">
        <f>F165-(G165+H165+I165)</f>
        <v/>
      </c>
      <c r="K165" s="14" t="n">
        <v>508.18</v>
      </c>
      <c r="L165" s="14" t="n">
        <v>508.18</v>
      </c>
      <c r="M165" s="14" t="n">
        <v>508.18</v>
      </c>
      <c r="N165" s="14" t="n">
        <v>508.18</v>
      </c>
      <c r="O165" s="14" t="n">
        <v>508.18</v>
      </c>
      <c r="P165" s="14" t="n">
        <v>508.18</v>
      </c>
      <c r="Q165" s="14" t="n">
        <v>508.18</v>
      </c>
      <c r="R165" s="14" t="n">
        <v>508.18</v>
      </c>
      <c r="S165" s="14" t="n">
        <v>508.18</v>
      </c>
      <c r="T165" s="14" t="n">
        <v>508.18</v>
      </c>
      <c r="U165" s="14" t="n">
        <v>350</v>
      </c>
      <c r="V165" s="14" t="n">
        <v>0</v>
      </c>
      <c r="W165" s="14">
        <f>U165+V165</f>
        <v/>
      </c>
    </row>
    <row r="166">
      <c r="A166" s="15" t="inlineStr">
        <is>
          <t>CANON-202607-007866</t>
        </is>
      </c>
      <c r="B166" s="15" t="inlineStr">
        <is>
          <t>2026-07-09</t>
        </is>
      </c>
      <c r="C166" s="15" t="inlineStr">
        <is>
          <t>Horace Kingsford</t>
        </is>
      </c>
      <c r="D166" s="15" t="inlineStr">
        <is>
          <t>TX</t>
        </is>
      </c>
      <c r="E166" s="16" t="n">
        <v>1950000</v>
      </c>
      <c r="F166" s="16" t="n">
        <v>25759.13</v>
      </c>
      <c r="G166" s="16" t="n">
        <v>3219.89</v>
      </c>
      <c r="H166" s="16" t="n">
        <v>3219.89</v>
      </c>
      <c r="I166" s="16">
        <f>SUM(K166:T166)</f>
        <v/>
      </c>
      <c r="J166" s="16">
        <f>F166-(G166+H166+I166)</f>
        <v/>
      </c>
      <c r="K166" s="16" t="n">
        <v>1931.93</v>
      </c>
      <c r="L166" s="16" t="n">
        <v>1931.93</v>
      </c>
      <c r="M166" s="16" t="n">
        <v>1931.93</v>
      </c>
      <c r="N166" s="16" t="n">
        <v>1931.93</v>
      </c>
      <c r="O166" s="16" t="n">
        <v>1931.93</v>
      </c>
      <c r="P166" s="16" t="n">
        <v>1931.93</v>
      </c>
      <c r="Q166" s="16" t="n">
        <v>1931.93</v>
      </c>
      <c r="R166" s="16" t="n">
        <v>1931.93</v>
      </c>
      <c r="S166" s="16" t="n">
        <v>1931.93</v>
      </c>
      <c r="T166" s="16" t="n">
        <v>1931.93</v>
      </c>
      <c r="U166" s="16" t="n">
        <v>350</v>
      </c>
      <c r="V166" s="16" t="n">
        <v>250</v>
      </c>
      <c r="W166" s="16">
        <f>U166+V166</f>
        <v/>
      </c>
    </row>
    <row r="167">
      <c r="A167" s="3" t="inlineStr">
        <is>
          <t>CANON-202607-007867</t>
        </is>
      </c>
      <c r="B167" s="3" t="inlineStr">
        <is>
          <t>2026-07-16</t>
        </is>
      </c>
      <c r="C167" s="3" t="inlineStr">
        <is>
          <t>Callum Castellanos</t>
        </is>
      </c>
      <c r="D167" s="3" t="inlineStr">
        <is>
          <t>WV</t>
        </is>
      </c>
      <c r="E167" s="14" t="n">
        <v>550000</v>
      </c>
      <c r="F167" s="14" t="n">
        <v>4516.39</v>
      </c>
      <c r="G167" s="14" t="n">
        <v>564.55</v>
      </c>
      <c r="H167" s="14" t="n">
        <v>564.55</v>
      </c>
      <c r="I167" s="14">
        <f>SUM(K167:T167)</f>
        <v/>
      </c>
      <c r="J167" s="14">
        <f>F167-(G167+H167+I167)</f>
        <v/>
      </c>
      <c r="K167" s="14" t="n">
        <v>338.73</v>
      </c>
      <c r="L167" s="14" t="n">
        <v>338.73</v>
      </c>
      <c r="M167" s="14" t="n">
        <v>338.73</v>
      </c>
      <c r="N167" s="14" t="n">
        <v>338.73</v>
      </c>
      <c r="O167" s="14" t="n">
        <v>338.73</v>
      </c>
      <c r="P167" s="14" t="n">
        <v>338.73</v>
      </c>
      <c r="Q167" s="14" t="n">
        <v>338.73</v>
      </c>
      <c r="R167" s="14" t="n">
        <v>338.73</v>
      </c>
      <c r="S167" s="14" t="n">
        <v>338.73</v>
      </c>
      <c r="T167" s="14" t="n">
        <v>338.73</v>
      </c>
      <c r="U167" s="14" t="n">
        <v>350</v>
      </c>
      <c r="V167" s="14" t="n">
        <v>0</v>
      </c>
      <c r="W167" s="14">
        <f>U167+V167</f>
        <v/>
      </c>
    </row>
    <row r="168">
      <c r="A168" s="15" t="inlineStr">
        <is>
          <t>CANON-202607-007868</t>
        </is>
      </c>
      <c r="B168" s="15" t="inlineStr">
        <is>
          <t>2026-07-22</t>
        </is>
      </c>
      <c r="C168" s="15" t="inlineStr">
        <is>
          <t>Thaddeus Chattopadhyay</t>
        </is>
      </c>
      <c r="D168" s="15" t="inlineStr">
        <is>
          <t>OR</t>
        </is>
      </c>
      <c r="E168" s="16" t="n">
        <v>530000</v>
      </c>
      <c r="F168" s="16" t="n">
        <v>5589.55</v>
      </c>
      <c r="G168" s="16" t="n">
        <v>698.6900000000001</v>
      </c>
      <c r="H168" s="16" t="n">
        <v>698.6900000000001</v>
      </c>
      <c r="I168" s="16">
        <f>SUM(K168:T168)</f>
        <v/>
      </c>
      <c r="J168" s="16">
        <f>F168-(G168+H168+I168)</f>
        <v/>
      </c>
      <c r="K168" s="16" t="n">
        <v>419.22</v>
      </c>
      <c r="L168" s="16" t="n">
        <v>419.22</v>
      </c>
      <c r="M168" s="16" t="n">
        <v>419.22</v>
      </c>
      <c r="N168" s="16" t="n">
        <v>419.22</v>
      </c>
      <c r="O168" s="16" t="n">
        <v>419.22</v>
      </c>
      <c r="P168" s="16" t="n">
        <v>419.22</v>
      </c>
      <c r="Q168" s="16" t="n">
        <v>419.22</v>
      </c>
      <c r="R168" s="16" t="n">
        <v>419.22</v>
      </c>
      <c r="S168" s="16" t="n">
        <v>419.22</v>
      </c>
      <c r="T168" s="16" t="n">
        <v>419.22</v>
      </c>
      <c r="U168" s="16" t="n">
        <v>350</v>
      </c>
      <c r="V168" s="16" t="n">
        <v>0</v>
      </c>
      <c r="W168" s="16">
        <f>U168+V168</f>
        <v/>
      </c>
    </row>
    <row r="169">
      <c r="A169" s="3" t="inlineStr">
        <is>
          <t>CANON-202607-007870</t>
        </is>
      </c>
      <c r="B169" s="3" t="inlineStr">
        <is>
          <t>2026-07-25</t>
        </is>
      </c>
      <c r="C169" s="3" t="inlineStr">
        <is>
          <t>Ingrid Bellandi</t>
        </is>
      </c>
      <c r="D169" s="3" t="inlineStr">
        <is>
          <t>TN</t>
        </is>
      </c>
      <c r="E169" s="14" t="n">
        <v>440000</v>
      </c>
      <c r="F169" s="14" t="n">
        <v>4643.54</v>
      </c>
      <c r="G169" s="14" t="n">
        <v>580.4400000000001</v>
      </c>
      <c r="H169" s="14" t="n">
        <v>580.4400000000001</v>
      </c>
      <c r="I169" s="14">
        <f>SUM(K169:T169)</f>
        <v/>
      </c>
      <c r="J169" s="14">
        <f>F169-(G169+H169+I169)</f>
        <v/>
      </c>
      <c r="K169" s="14" t="n">
        <v>348.27</v>
      </c>
      <c r="L169" s="14" t="n">
        <v>348.27</v>
      </c>
      <c r="M169" s="14" t="n">
        <v>348.27</v>
      </c>
      <c r="N169" s="14" t="n">
        <v>348.27</v>
      </c>
      <c r="O169" s="14" t="n">
        <v>348.27</v>
      </c>
      <c r="P169" s="14" t="n">
        <v>348.27</v>
      </c>
      <c r="Q169" s="14" t="n">
        <v>348.27</v>
      </c>
      <c r="R169" s="14" t="n">
        <v>348.27</v>
      </c>
      <c r="S169" s="14" t="n">
        <v>348.27</v>
      </c>
      <c r="T169" s="14" t="n">
        <v>348.27</v>
      </c>
      <c r="U169" s="14" t="n">
        <v>350</v>
      </c>
      <c r="V169" s="14" t="n">
        <v>0</v>
      </c>
      <c r="W169" s="14">
        <f>U169+V169</f>
        <v/>
      </c>
    </row>
    <row r="170">
      <c r="A170" s="15" t="inlineStr">
        <is>
          <t>CANON-202607-007871</t>
        </is>
      </c>
      <c r="B170" s="15" t="inlineStr">
        <is>
          <t>2026-07-07</t>
        </is>
      </c>
      <c r="C170" s="15" t="inlineStr">
        <is>
          <t>Mireille Castellanos</t>
        </is>
      </c>
      <c r="D170" s="15" t="inlineStr">
        <is>
          <t>CT</t>
        </is>
      </c>
      <c r="E170" s="16" t="n">
        <v>1190000</v>
      </c>
      <c r="F170" s="16" t="n">
        <v>15309.6</v>
      </c>
      <c r="G170" s="16" t="n">
        <v>1913.7</v>
      </c>
      <c r="H170" s="16" t="n">
        <v>1913.7</v>
      </c>
      <c r="I170" s="16">
        <f>SUM(K170:T170)</f>
        <v/>
      </c>
      <c r="J170" s="16">
        <f>F170-(G170+H170+I170)</f>
        <v/>
      </c>
      <c r="K170" s="16" t="n">
        <v>1148.22</v>
      </c>
      <c r="L170" s="16" t="n">
        <v>1148.22</v>
      </c>
      <c r="M170" s="16" t="n">
        <v>1148.22</v>
      </c>
      <c r="N170" s="16" t="n">
        <v>1148.22</v>
      </c>
      <c r="O170" s="16" t="n">
        <v>1148.22</v>
      </c>
      <c r="P170" s="16" t="n">
        <v>1148.22</v>
      </c>
      <c r="Q170" s="16" t="n">
        <v>1148.22</v>
      </c>
      <c r="R170" s="16" t="n">
        <v>1148.22</v>
      </c>
      <c r="S170" s="16" t="n">
        <v>1148.22</v>
      </c>
      <c r="T170" s="16" t="n">
        <v>1148.22</v>
      </c>
      <c r="U170" s="16" t="n">
        <v>350</v>
      </c>
      <c r="V170" s="16" t="n">
        <v>250</v>
      </c>
      <c r="W170" s="16">
        <f>U170+V170</f>
        <v/>
      </c>
    </row>
    <row r="171">
      <c r="A171" s="3" t="inlineStr">
        <is>
          <t>CANON-202607-007872</t>
        </is>
      </c>
      <c r="B171" s="3" t="inlineStr">
        <is>
          <t>2026-07-14</t>
        </is>
      </c>
      <c r="C171" s="3" t="inlineStr">
        <is>
          <t>Ingrid Kingsford</t>
        </is>
      </c>
      <c r="D171" s="3" t="inlineStr">
        <is>
          <t>NJ</t>
        </is>
      </c>
      <c r="E171" s="14" t="n">
        <v>240000</v>
      </c>
      <c r="F171" s="14" t="n">
        <v>2885.02</v>
      </c>
      <c r="G171" s="14" t="n">
        <v>360.63</v>
      </c>
      <c r="H171" s="14" t="n">
        <v>360.63</v>
      </c>
      <c r="I171" s="14">
        <f>SUM(K171:T171)</f>
        <v/>
      </c>
      <c r="J171" s="14">
        <f>F171-(G171+H171+I171)</f>
        <v/>
      </c>
      <c r="K171" s="14" t="n">
        <v>216.38</v>
      </c>
      <c r="L171" s="14" t="n">
        <v>216.38</v>
      </c>
      <c r="M171" s="14" t="n">
        <v>216.38</v>
      </c>
      <c r="N171" s="14" t="n">
        <v>216.38</v>
      </c>
      <c r="O171" s="14" t="n">
        <v>216.38</v>
      </c>
      <c r="P171" s="14" t="n">
        <v>216.38</v>
      </c>
      <c r="Q171" s="14" t="n">
        <v>216.38</v>
      </c>
      <c r="R171" s="14" t="n">
        <v>216.38</v>
      </c>
      <c r="S171" s="14" t="n">
        <v>216.38</v>
      </c>
      <c r="T171" s="14" t="n">
        <v>216.38</v>
      </c>
      <c r="U171" s="14" t="n">
        <v>350</v>
      </c>
      <c r="V171" s="14" t="n">
        <v>0</v>
      </c>
      <c r="W171" s="14">
        <f>U171+V171</f>
        <v/>
      </c>
    </row>
    <row r="172">
      <c r="A172" s="15" t="inlineStr">
        <is>
          <t>CANON-202607-007873</t>
        </is>
      </c>
      <c r="B172" s="15" t="inlineStr">
        <is>
          <t>2026-07-21</t>
        </is>
      </c>
      <c r="C172" s="15" t="inlineStr">
        <is>
          <t>Emiliano Kingsford</t>
        </is>
      </c>
      <c r="D172" s="15" t="inlineStr">
        <is>
          <t>TX</t>
        </is>
      </c>
      <c r="E172" s="16" t="n">
        <v>340000</v>
      </c>
      <c r="F172" s="16" t="n">
        <v>4210.63</v>
      </c>
      <c r="G172" s="16" t="n">
        <v>526.33</v>
      </c>
      <c r="H172" s="16" t="n">
        <v>526.33</v>
      </c>
      <c r="I172" s="16">
        <f>SUM(K172:T172)</f>
        <v/>
      </c>
      <c r="J172" s="16">
        <f>F172-(G172+H172+I172)</f>
        <v/>
      </c>
      <c r="K172" s="16" t="n">
        <v>315.8</v>
      </c>
      <c r="L172" s="16" t="n">
        <v>315.8</v>
      </c>
      <c r="M172" s="16" t="n">
        <v>315.8</v>
      </c>
      <c r="N172" s="16" t="n">
        <v>315.8</v>
      </c>
      <c r="O172" s="16" t="n">
        <v>315.8</v>
      </c>
      <c r="P172" s="16" t="n">
        <v>315.8</v>
      </c>
      <c r="Q172" s="16" t="n">
        <v>315.8</v>
      </c>
      <c r="R172" s="16" t="n">
        <v>315.8</v>
      </c>
      <c r="S172" s="16" t="n">
        <v>315.8</v>
      </c>
      <c r="T172" s="16" t="n">
        <v>315.8</v>
      </c>
      <c r="U172" s="16" t="n">
        <v>350</v>
      </c>
      <c r="V172" s="16" t="n">
        <v>0</v>
      </c>
      <c r="W172" s="16">
        <f>U172+V172</f>
        <v/>
      </c>
    </row>
    <row r="173">
      <c r="A173" s="3" t="inlineStr">
        <is>
          <t>CANON-202607-007875</t>
        </is>
      </c>
      <c r="B173" s="3" t="inlineStr">
        <is>
          <t>2026-07-02</t>
        </is>
      </c>
      <c r="C173" s="3" t="inlineStr">
        <is>
          <t>Ottilie Merriweather</t>
        </is>
      </c>
      <c r="D173" s="3" t="inlineStr">
        <is>
          <t>NJ</t>
        </is>
      </c>
      <c r="E173" s="14" t="n">
        <v>370000</v>
      </c>
      <c r="F173" s="14" t="n">
        <v>3625.88</v>
      </c>
      <c r="G173" s="14" t="n">
        <v>453.24</v>
      </c>
      <c r="H173" s="14" t="n">
        <v>453.24</v>
      </c>
      <c r="I173" s="14">
        <f>SUM(K173:T173)</f>
        <v/>
      </c>
      <c r="J173" s="14">
        <f>F173-(G173+H173+I173)</f>
        <v/>
      </c>
      <c r="K173" s="14" t="n">
        <v>271.94</v>
      </c>
      <c r="L173" s="14" t="n">
        <v>271.94</v>
      </c>
      <c r="M173" s="14" t="n">
        <v>271.94</v>
      </c>
      <c r="N173" s="14" t="n">
        <v>271.94</v>
      </c>
      <c r="O173" s="14" t="n">
        <v>271.94</v>
      </c>
      <c r="P173" s="14" t="n">
        <v>271.94</v>
      </c>
      <c r="Q173" s="14" t="n">
        <v>271.94</v>
      </c>
      <c r="R173" s="14" t="n">
        <v>271.94</v>
      </c>
      <c r="S173" s="14" t="n">
        <v>271.94</v>
      </c>
      <c r="T173" s="14" t="n">
        <v>271.94</v>
      </c>
      <c r="U173" s="14" t="n">
        <v>350</v>
      </c>
      <c r="V173" s="14" t="n">
        <v>0</v>
      </c>
      <c r="W173" s="14">
        <f>U173+V173</f>
        <v/>
      </c>
    </row>
    <row r="174">
      <c r="A174" s="15" t="inlineStr">
        <is>
          <t>CANON-202607-007876</t>
        </is>
      </c>
      <c r="B174" s="15" t="inlineStr">
        <is>
          <t>2026-07-22</t>
        </is>
      </c>
      <c r="C174" s="15" t="inlineStr">
        <is>
          <t>Everett Vasquez</t>
        </is>
      </c>
      <c r="D174" s="15" t="inlineStr">
        <is>
          <t>CA</t>
        </is>
      </c>
      <c r="E174" s="16" t="n">
        <v>560000</v>
      </c>
      <c r="F174" s="16" t="n">
        <v>10312.27</v>
      </c>
      <c r="G174" s="16" t="n">
        <v>1289.03</v>
      </c>
      <c r="H174" s="16" t="n">
        <v>1289.03</v>
      </c>
      <c r="I174" s="16">
        <f>SUM(K174:T174)</f>
        <v/>
      </c>
      <c r="J174" s="16">
        <f>F174-(G174+H174+I174)</f>
        <v/>
      </c>
      <c r="K174" s="16" t="n">
        <v>773.42</v>
      </c>
      <c r="L174" s="16" t="n">
        <v>773.42</v>
      </c>
      <c r="M174" s="16" t="n">
        <v>773.42</v>
      </c>
      <c r="N174" s="16" t="n">
        <v>773.42</v>
      </c>
      <c r="O174" s="16" t="n">
        <v>773.42</v>
      </c>
      <c r="P174" s="16" t="n">
        <v>773.42</v>
      </c>
      <c r="Q174" s="16" t="n">
        <v>773.42</v>
      </c>
      <c r="R174" s="16" t="n">
        <v>773.42</v>
      </c>
      <c r="S174" s="16" t="n">
        <v>773.42</v>
      </c>
      <c r="T174" s="16" t="n">
        <v>773.42</v>
      </c>
      <c r="U174" s="16" t="n">
        <v>350</v>
      </c>
      <c r="V174" s="16" t="n">
        <v>0</v>
      </c>
      <c r="W174" s="16">
        <f>U174+V174</f>
        <v/>
      </c>
    </row>
    <row r="175">
      <c r="A175" s="3" t="inlineStr">
        <is>
          <t>CANON-202607-007878</t>
        </is>
      </c>
      <c r="B175" s="3" t="inlineStr">
        <is>
          <t>2026-07-20</t>
        </is>
      </c>
      <c r="C175" s="3" t="inlineStr">
        <is>
          <t>Cassius Bellandi</t>
        </is>
      </c>
      <c r="D175" s="3" t="inlineStr">
        <is>
          <t>DE</t>
        </is>
      </c>
      <c r="E175" s="14" t="n">
        <v>1545000</v>
      </c>
      <c r="F175" s="14" t="n">
        <v>15251.41</v>
      </c>
      <c r="G175" s="14" t="n">
        <v>1906.43</v>
      </c>
      <c r="H175" s="14" t="n">
        <v>1906.43</v>
      </c>
      <c r="I175" s="14">
        <f>SUM(K175:T175)</f>
        <v/>
      </c>
      <c r="J175" s="14">
        <f>F175-(G175+H175+I175)</f>
        <v/>
      </c>
      <c r="K175" s="14" t="n">
        <v>1143.86</v>
      </c>
      <c r="L175" s="14" t="n">
        <v>1143.86</v>
      </c>
      <c r="M175" s="14" t="n">
        <v>1143.86</v>
      </c>
      <c r="N175" s="14" t="n">
        <v>1143.86</v>
      </c>
      <c r="O175" s="14" t="n">
        <v>1143.86</v>
      </c>
      <c r="P175" s="14" t="n">
        <v>1143.86</v>
      </c>
      <c r="Q175" s="14" t="n">
        <v>1143.86</v>
      </c>
      <c r="R175" s="14" t="n">
        <v>1143.86</v>
      </c>
      <c r="S175" s="14" t="n">
        <v>1143.86</v>
      </c>
      <c r="T175" s="14" t="n">
        <v>1143.86</v>
      </c>
      <c r="U175" s="14" t="n">
        <v>350</v>
      </c>
      <c r="V175" s="14" t="n">
        <v>250</v>
      </c>
      <c r="W175" s="14">
        <f>U175+V175</f>
        <v/>
      </c>
    </row>
    <row r="176">
      <c r="A176" s="15" t="inlineStr">
        <is>
          <t>CANON-202607-007879</t>
        </is>
      </c>
      <c r="B176" s="15" t="inlineStr">
        <is>
          <t>2026-07-07</t>
        </is>
      </c>
      <c r="C176" s="15" t="inlineStr">
        <is>
          <t>Ottilie Castellanos</t>
        </is>
      </c>
      <c r="D176" s="15" t="inlineStr">
        <is>
          <t>TX</t>
        </is>
      </c>
      <c r="E176" s="16" t="n">
        <v>825000</v>
      </c>
      <c r="F176" s="16" t="n">
        <v>5857.73</v>
      </c>
      <c r="G176" s="16" t="n">
        <v>732.22</v>
      </c>
      <c r="H176" s="16" t="n">
        <v>732.22</v>
      </c>
      <c r="I176" s="16">
        <f>SUM(K176:T176)</f>
        <v/>
      </c>
      <c r="J176" s="16">
        <f>F176-(G176+H176+I176)</f>
        <v/>
      </c>
      <c r="K176" s="16" t="n">
        <v>439.33</v>
      </c>
      <c r="L176" s="16" t="n">
        <v>439.33</v>
      </c>
      <c r="M176" s="16" t="n">
        <v>439.33</v>
      </c>
      <c r="N176" s="16" t="n">
        <v>439.33</v>
      </c>
      <c r="O176" s="16" t="n">
        <v>439.33</v>
      </c>
      <c r="P176" s="16" t="n">
        <v>439.33</v>
      </c>
      <c r="Q176" s="16" t="n">
        <v>439.33</v>
      </c>
      <c r="R176" s="16" t="n">
        <v>439.33</v>
      </c>
      <c r="S176" s="16" t="n">
        <v>439.33</v>
      </c>
      <c r="T176" s="16" t="n">
        <v>439.33</v>
      </c>
      <c r="U176" s="16" t="n">
        <v>350</v>
      </c>
      <c r="V176" s="16" t="n">
        <v>0</v>
      </c>
      <c r="W176" s="16">
        <f>U176+V176</f>
        <v/>
      </c>
    </row>
    <row r="177">
      <c r="A177" s="3" t="inlineStr">
        <is>
          <t>CANON-202607-007881</t>
        </is>
      </c>
      <c r="B177" s="3" t="inlineStr">
        <is>
          <t>2026-07-18</t>
        </is>
      </c>
      <c r="C177" s="3" t="inlineStr">
        <is>
          <t>Fitzgerald Vandermeer</t>
        </is>
      </c>
      <c r="D177" s="3" t="inlineStr">
        <is>
          <t>CO</t>
        </is>
      </c>
      <c r="E177" s="14" t="n">
        <v>525000</v>
      </c>
      <c r="F177" s="14" t="n">
        <v>5389.82</v>
      </c>
      <c r="G177" s="14" t="n">
        <v>673.73</v>
      </c>
      <c r="H177" s="14" t="n">
        <v>673.73</v>
      </c>
      <c r="I177" s="14">
        <f>SUM(K177:T177)</f>
        <v/>
      </c>
      <c r="J177" s="14">
        <f>F177-(G177+H177+I177)</f>
        <v/>
      </c>
      <c r="K177" s="14" t="n">
        <v>404.24</v>
      </c>
      <c r="L177" s="14" t="n">
        <v>404.24</v>
      </c>
      <c r="M177" s="14" t="n">
        <v>404.24</v>
      </c>
      <c r="N177" s="14" t="n">
        <v>404.24</v>
      </c>
      <c r="O177" s="14" t="n">
        <v>404.24</v>
      </c>
      <c r="P177" s="14" t="n">
        <v>404.24</v>
      </c>
      <c r="Q177" s="14" t="n">
        <v>404.24</v>
      </c>
      <c r="R177" s="14" t="n">
        <v>404.24</v>
      </c>
      <c r="S177" s="14" t="n">
        <v>404.24</v>
      </c>
      <c r="T177" s="14" t="n">
        <v>404.24</v>
      </c>
      <c r="U177" s="14" t="n">
        <v>350</v>
      </c>
      <c r="V177" s="14" t="n">
        <v>0</v>
      </c>
      <c r="W177" s="14">
        <f>U177+V177</f>
        <v/>
      </c>
    </row>
    <row r="178">
      <c r="A178" s="15" t="inlineStr">
        <is>
          <t>CANON-202607-007883</t>
        </is>
      </c>
      <c r="B178" s="15" t="inlineStr">
        <is>
          <t>2026-07-14</t>
        </is>
      </c>
      <c r="C178" s="15" t="inlineStr">
        <is>
          <t>Leopold Kingsford</t>
        </is>
      </c>
      <c r="D178" s="15" t="inlineStr">
        <is>
          <t>IL</t>
        </is>
      </c>
      <c r="E178" s="16" t="n">
        <v>1950000</v>
      </c>
      <c r="F178" s="16" t="n">
        <v>14469.91</v>
      </c>
      <c r="G178" s="16" t="n">
        <v>1808.74</v>
      </c>
      <c r="H178" s="16" t="n">
        <v>1808.74</v>
      </c>
      <c r="I178" s="16">
        <f>SUM(K178:T178)</f>
        <v/>
      </c>
      <c r="J178" s="16">
        <f>F178-(G178+H178+I178)</f>
        <v/>
      </c>
      <c r="K178" s="16" t="n">
        <v>1085.24</v>
      </c>
      <c r="L178" s="16" t="n">
        <v>1085.24</v>
      </c>
      <c r="M178" s="16" t="n">
        <v>1085.24</v>
      </c>
      <c r="N178" s="16" t="n">
        <v>1085.24</v>
      </c>
      <c r="O178" s="16" t="n">
        <v>1085.24</v>
      </c>
      <c r="P178" s="16" t="n">
        <v>1085.24</v>
      </c>
      <c r="Q178" s="16" t="n">
        <v>1085.24</v>
      </c>
      <c r="R178" s="16" t="n">
        <v>1085.24</v>
      </c>
      <c r="S178" s="16" t="n">
        <v>1085.24</v>
      </c>
      <c r="T178" s="16" t="n">
        <v>1085.24</v>
      </c>
      <c r="U178" s="16" t="n">
        <v>350</v>
      </c>
      <c r="V178" s="16" t="n">
        <v>250</v>
      </c>
      <c r="W178" s="16">
        <f>U178+V178</f>
        <v/>
      </c>
    </row>
    <row r="179">
      <c r="A179" s="3" t="inlineStr">
        <is>
          <t>CANON-202607-007884</t>
        </is>
      </c>
      <c r="B179" s="3" t="inlineStr">
        <is>
          <t>2026-07-09</t>
        </is>
      </c>
      <c r="C179" s="3" t="inlineStr">
        <is>
          <t>Leopold Larsson</t>
        </is>
      </c>
      <c r="D179" s="3" t="inlineStr">
        <is>
          <t>SC</t>
        </is>
      </c>
      <c r="E179" s="14" t="n">
        <v>505000</v>
      </c>
      <c r="F179" s="14" t="n">
        <v>8541.719999999999</v>
      </c>
      <c r="G179" s="14" t="n">
        <v>1067.71</v>
      </c>
      <c r="H179" s="14" t="n">
        <v>1067.71</v>
      </c>
      <c r="I179" s="14">
        <f>SUM(K179:T179)</f>
        <v/>
      </c>
      <c r="J179" s="14">
        <f>F179-(G179+H179+I179)</f>
        <v/>
      </c>
      <c r="K179" s="14" t="n">
        <v>640.63</v>
      </c>
      <c r="L179" s="14" t="n">
        <v>640.63</v>
      </c>
      <c r="M179" s="14" t="n">
        <v>640.63</v>
      </c>
      <c r="N179" s="14" t="n">
        <v>640.63</v>
      </c>
      <c r="O179" s="14" t="n">
        <v>640.63</v>
      </c>
      <c r="P179" s="14" t="n">
        <v>640.63</v>
      </c>
      <c r="Q179" s="14" t="n">
        <v>640.63</v>
      </c>
      <c r="R179" s="14" t="n">
        <v>640.63</v>
      </c>
      <c r="S179" s="14" t="n">
        <v>640.63</v>
      </c>
      <c r="T179" s="14" t="n">
        <v>640.63</v>
      </c>
      <c r="U179" s="14" t="n">
        <v>350</v>
      </c>
      <c r="V179" s="14" t="n">
        <v>0</v>
      </c>
      <c r="W179" s="14">
        <f>U179+V179</f>
        <v/>
      </c>
    </row>
    <row r="180">
      <c r="A180" s="15" t="inlineStr">
        <is>
          <t>CANON-202607-007886</t>
        </is>
      </c>
      <c r="B180" s="15" t="inlineStr">
        <is>
          <t>2026-07-04</t>
        </is>
      </c>
      <c r="C180" s="15" t="inlineStr">
        <is>
          <t>Noor Merriweather</t>
        </is>
      </c>
      <c r="D180" s="15" t="inlineStr">
        <is>
          <t>GA</t>
        </is>
      </c>
      <c r="E180" s="16" t="n">
        <v>330000</v>
      </c>
      <c r="F180" s="16" t="n">
        <v>3980.17</v>
      </c>
      <c r="G180" s="16" t="n">
        <v>497.52</v>
      </c>
      <c r="H180" s="16" t="n">
        <v>497.52</v>
      </c>
      <c r="I180" s="16">
        <f>SUM(K180:T180)</f>
        <v/>
      </c>
      <c r="J180" s="16">
        <f>F180-(G180+H180+I180)</f>
        <v/>
      </c>
      <c r="K180" s="16" t="n">
        <v>298.51</v>
      </c>
      <c r="L180" s="16" t="n">
        <v>298.51</v>
      </c>
      <c r="M180" s="16" t="n">
        <v>298.51</v>
      </c>
      <c r="N180" s="16" t="n">
        <v>298.51</v>
      </c>
      <c r="O180" s="16" t="n">
        <v>298.51</v>
      </c>
      <c r="P180" s="16" t="n">
        <v>298.51</v>
      </c>
      <c r="Q180" s="16" t="n">
        <v>298.51</v>
      </c>
      <c r="R180" s="16" t="n">
        <v>298.51</v>
      </c>
      <c r="S180" s="16" t="n">
        <v>298.51</v>
      </c>
      <c r="T180" s="16" t="n">
        <v>298.51</v>
      </c>
      <c r="U180" s="16" t="n">
        <v>350</v>
      </c>
      <c r="V180" s="16" t="n">
        <v>0</v>
      </c>
      <c r="W180" s="16">
        <f>U180+V180</f>
        <v/>
      </c>
    </row>
    <row r="181">
      <c r="A181" s="3" t="inlineStr">
        <is>
          <t>CANON-202607-007887</t>
        </is>
      </c>
      <c r="B181" s="3" t="inlineStr">
        <is>
          <t>2026-07-28</t>
        </is>
      </c>
      <c r="C181" s="3" t="inlineStr">
        <is>
          <t>Anouk Montoya</t>
        </is>
      </c>
      <c r="D181" s="3" t="inlineStr">
        <is>
          <t>RI</t>
        </is>
      </c>
      <c r="E181" s="14" t="n">
        <v>830000</v>
      </c>
      <c r="F181" s="14" t="n">
        <v>15510.69</v>
      </c>
      <c r="G181" s="14" t="n">
        <v>1938.84</v>
      </c>
      <c r="H181" s="14" t="n">
        <v>1938.84</v>
      </c>
      <c r="I181" s="14">
        <f>SUM(K181:T181)</f>
        <v/>
      </c>
      <c r="J181" s="14">
        <f>F181-(G181+H181+I181)</f>
        <v/>
      </c>
      <c r="K181" s="14" t="n">
        <v>1163.3</v>
      </c>
      <c r="L181" s="14" t="n">
        <v>1163.3</v>
      </c>
      <c r="M181" s="14" t="n">
        <v>1163.3</v>
      </c>
      <c r="N181" s="14" t="n">
        <v>1163.3</v>
      </c>
      <c r="O181" s="14" t="n">
        <v>1163.3</v>
      </c>
      <c r="P181" s="14" t="n">
        <v>1163.3</v>
      </c>
      <c r="Q181" s="14" t="n">
        <v>1163.3</v>
      </c>
      <c r="R181" s="14" t="n">
        <v>1163.3</v>
      </c>
      <c r="S181" s="14" t="n">
        <v>1163.3</v>
      </c>
      <c r="T181" s="14" t="n">
        <v>1163.3</v>
      </c>
      <c r="U181" s="14" t="n">
        <v>350</v>
      </c>
      <c r="V181" s="14" t="n">
        <v>0</v>
      </c>
      <c r="W181" s="14">
        <f>U181+V181</f>
        <v/>
      </c>
    </row>
    <row r="182">
      <c r="A182" s="15" t="inlineStr">
        <is>
          <t>CANON-202607-007888</t>
        </is>
      </c>
      <c r="B182" s="15" t="inlineStr">
        <is>
          <t>2026-07-22</t>
        </is>
      </c>
      <c r="C182" s="15" t="inlineStr">
        <is>
          <t>Emiliano Farkas</t>
        </is>
      </c>
      <c r="D182" s="15" t="inlineStr">
        <is>
          <t>NC</t>
        </is>
      </c>
      <c r="E182" s="16" t="n">
        <v>770000</v>
      </c>
      <c r="F182" s="16" t="n">
        <v>8264.389999999999</v>
      </c>
      <c r="G182" s="16" t="n">
        <v>1033.05</v>
      </c>
      <c r="H182" s="16" t="n">
        <v>1033.05</v>
      </c>
      <c r="I182" s="16">
        <f>SUM(K182:T182)</f>
        <v/>
      </c>
      <c r="J182" s="16">
        <f>F182-(G182+H182+I182)</f>
        <v/>
      </c>
      <c r="K182" s="16" t="n">
        <v>619.83</v>
      </c>
      <c r="L182" s="16" t="n">
        <v>619.83</v>
      </c>
      <c r="M182" s="16" t="n">
        <v>619.83</v>
      </c>
      <c r="N182" s="16" t="n">
        <v>619.83</v>
      </c>
      <c r="O182" s="16" t="n">
        <v>619.83</v>
      </c>
      <c r="P182" s="16" t="n">
        <v>619.83</v>
      </c>
      <c r="Q182" s="16" t="n">
        <v>619.83</v>
      </c>
      <c r="R182" s="16" t="n">
        <v>619.83</v>
      </c>
      <c r="S182" s="16" t="n">
        <v>619.83</v>
      </c>
      <c r="T182" s="16" t="n">
        <v>619.83</v>
      </c>
      <c r="U182" s="16" t="n">
        <v>350</v>
      </c>
      <c r="V182" s="16" t="n">
        <v>0</v>
      </c>
      <c r="W182" s="16">
        <f>U182+V182</f>
        <v/>
      </c>
    </row>
    <row r="183">
      <c r="A183" s="3" t="inlineStr">
        <is>
          <t>CANON-202607-007889</t>
        </is>
      </c>
      <c r="B183" s="3" t="inlineStr">
        <is>
          <t>2026-07-09</t>
        </is>
      </c>
      <c r="C183" s="3" t="inlineStr">
        <is>
          <t>Noor Okonkwo</t>
        </is>
      </c>
      <c r="D183" s="3" t="inlineStr">
        <is>
          <t>CA</t>
        </is>
      </c>
      <c r="E183" s="14" t="n">
        <v>990000</v>
      </c>
      <c r="F183" s="14" t="n">
        <v>18230.61</v>
      </c>
      <c r="G183" s="14" t="n">
        <v>2278.83</v>
      </c>
      <c r="H183" s="14" t="n">
        <v>2278.83</v>
      </c>
      <c r="I183" s="14">
        <f>SUM(K183:T183)</f>
        <v/>
      </c>
      <c r="J183" s="14">
        <f>F183-(G183+H183+I183)</f>
        <v/>
      </c>
      <c r="K183" s="14" t="n">
        <v>1367.3</v>
      </c>
      <c r="L183" s="14" t="n">
        <v>1367.3</v>
      </c>
      <c r="M183" s="14" t="n">
        <v>1367.3</v>
      </c>
      <c r="N183" s="14" t="n">
        <v>1367.3</v>
      </c>
      <c r="O183" s="14" t="n">
        <v>1367.3</v>
      </c>
      <c r="P183" s="14" t="n">
        <v>1367.3</v>
      </c>
      <c r="Q183" s="14" t="n">
        <v>1367.3</v>
      </c>
      <c r="R183" s="14" t="n">
        <v>1367.3</v>
      </c>
      <c r="S183" s="14" t="n">
        <v>1367.3</v>
      </c>
      <c r="T183" s="14" t="n">
        <v>1367.3</v>
      </c>
      <c r="U183" s="14" t="n">
        <v>350</v>
      </c>
      <c r="V183" s="14" t="n">
        <v>0</v>
      </c>
      <c r="W183" s="14">
        <f>U183+V183</f>
        <v/>
      </c>
    </row>
    <row r="184">
      <c r="A184" s="15" t="inlineStr">
        <is>
          <t>CANON-202607-007891</t>
        </is>
      </c>
      <c r="B184" s="15" t="inlineStr">
        <is>
          <t>2026-07-15</t>
        </is>
      </c>
      <c r="C184" s="15" t="inlineStr">
        <is>
          <t>Cassius Kingsford</t>
        </is>
      </c>
      <c r="D184" s="15" t="inlineStr">
        <is>
          <t>NC</t>
        </is>
      </c>
      <c r="E184" s="16" t="n">
        <v>990000</v>
      </c>
      <c r="F184" s="16" t="n">
        <v>10625.65</v>
      </c>
      <c r="G184" s="16" t="n">
        <v>1328.21</v>
      </c>
      <c r="H184" s="16" t="n">
        <v>1328.21</v>
      </c>
      <c r="I184" s="16">
        <f>SUM(K184:T184)</f>
        <v/>
      </c>
      <c r="J184" s="16">
        <f>F184-(G184+H184+I184)</f>
        <v/>
      </c>
      <c r="K184" s="16" t="n">
        <v>796.92</v>
      </c>
      <c r="L184" s="16" t="n">
        <v>796.92</v>
      </c>
      <c r="M184" s="16" t="n">
        <v>796.92</v>
      </c>
      <c r="N184" s="16" t="n">
        <v>796.92</v>
      </c>
      <c r="O184" s="16" t="n">
        <v>796.92</v>
      </c>
      <c r="P184" s="16" t="n">
        <v>796.92</v>
      </c>
      <c r="Q184" s="16" t="n">
        <v>796.92</v>
      </c>
      <c r="R184" s="16" t="n">
        <v>796.92</v>
      </c>
      <c r="S184" s="16" t="n">
        <v>796.92</v>
      </c>
      <c r="T184" s="16" t="n">
        <v>796.92</v>
      </c>
      <c r="U184" s="16" t="n">
        <v>350</v>
      </c>
      <c r="V184" s="16" t="n">
        <v>0</v>
      </c>
      <c r="W184" s="16">
        <f>U184+V184</f>
        <v/>
      </c>
    </row>
    <row r="185">
      <c r="A185" s="3" t="inlineStr">
        <is>
          <t>CANON-202607-007892</t>
        </is>
      </c>
      <c r="B185" s="3" t="inlineStr">
        <is>
          <t>2026-07-03</t>
        </is>
      </c>
      <c r="C185" s="3" t="inlineStr">
        <is>
          <t>Callum Pennington</t>
        </is>
      </c>
      <c r="D185" s="3" t="inlineStr">
        <is>
          <t>AR</t>
        </is>
      </c>
      <c r="E185" s="14" t="n">
        <v>1575000</v>
      </c>
      <c r="F185" s="14" t="n">
        <v>17164.5</v>
      </c>
      <c r="G185" s="14" t="n">
        <v>2145.56</v>
      </c>
      <c r="H185" s="14" t="n">
        <v>2145.56</v>
      </c>
      <c r="I185" s="14">
        <f>SUM(K185:T185)</f>
        <v/>
      </c>
      <c r="J185" s="14">
        <f>F185-(G185+H185+I185)</f>
        <v/>
      </c>
      <c r="K185" s="14" t="n">
        <v>1287.34</v>
      </c>
      <c r="L185" s="14" t="n">
        <v>1287.34</v>
      </c>
      <c r="M185" s="14" t="n">
        <v>1287.34</v>
      </c>
      <c r="N185" s="14" t="n">
        <v>1287.34</v>
      </c>
      <c r="O185" s="14" t="n">
        <v>1287.34</v>
      </c>
      <c r="P185" s="14" t="n">
        <v>1287.34</v>
      </c>
      <c r="Q185" s="14" t="n">
        <v>1287.34</v>
      </c>
      <c r="R185" s="14" t="n">
        <v>1287.34</v>
      </c>
      <c r="S185" s="14" t="n">
        <v>1287.34</v>
      </c>
      <c r="T185" s="14" t="n">
        <v>1287.34</v>
      </c>
      <c r="U185" s="14" t="n">
        <v>350</v>
      </c>
      <c r="V185" s="14" t="n">
        <v>250</v>
      </c>
      <c r="W185" s="14">
        <f>U185+V185</f>
        <v/>
      </c>
    </row>
    <row r="186">
      <c r="A186" s="15" t="inlineStr">
        <is>
          <t>CANON-202607-007893</t>
        </is>
      </c>
      <c r="B186" s="15" t="inlineStr">
        <is>
          <t>2026-07-17</t>
        </is>
      </c>
      <c r="C186" s="15" t="inlineStr">
        <is>
          <t>Beatrix Chattopadhyay</t>
        </is>
      </c>
      <c r="D186" s="15" t="inlineStr">
        <is>
          <t>TX</t>
        </is>
      </c>
      <c r="E186" s="16" t="n">
        <v>1950000</v>
      </c>
      <c r="F186" s="16" t="n">
        <v>12235.59</v>
      </c>
      <c r="G186" s="16" t="n">
        <v>1529.45</v>
      </c>
      <c r="H186" s="16" t="n">
        <v>1529.45</v>
      </c>
      <c r="I186" s="16">
        <f>SUM(K186:T186)</f>
        <v/>
      </c>
      <c r="J186" s="16">
        <f>F186-(G186+H186+I186)</f>
        <v/>
      </c>
      <c r="K186" s="16" t="n">
        <v>917.67</v>
      </c>
      <c r="L186" s="16" t="n">
        <v>917.67</v>
      </c>
      <c r="M186" s="16" t="n">
        <v>917.67</v>
      </c>
      <c r="N186" s="16" t="n">
        <v>917.67</v>
      </c>
      <c r="O186" s="16" t="n">
        <v>917.67</v>
      </c>
      <c r="P186" s="16" t="n">
        <v>917.67</v>
      </c>
      <c r="Q186" s="16" t="n">
        <v>917.67</v>
      </c>
      <c r="R186" s="16" t="n">
        <v>917.67</v>
      </c>
      <c r="S186" s="16" t="n">
        <v>917.67</v>
      </c>
      <c r="T186" s="16" t="n">
        <v>917.67</v>
      </c>
      <c r="U186" s="16" t="n">
        <v>350</v>
      </c>
      <c r="V186" s="16" t="n">
        <v>250</v>
      </c>
      <c r="W186" s="16">
        <f>U186+V186</f>
        <v/>
      </c>
    </row>
    <row r="187">
      <c r="A187" s="3" t="inlineStr">
        <is>
          <t>CANON-202607-007895</t>
        </is>
      </c>
      <c r="B187" s="3" t="inlineStr">
        <is>
          <t>2026-07-07</t>
        </is>
      </c>
      <c r="C187" s="3" t="inlineStr">
        <is>
          <t>Desmond Chattopadhyay</t>
        </is>
      </c>
      <c r="D187" s="3" t="inlineStr">
        <is>
          <t>NV</t>
        </is>
      </c>
      <c r="E187" s="14" t="n">
        <v>210000</v>
      </c>
      <c r="F187" s="14" t="n">
        <v>3245.65</v>
      </c>
      <c r="G187" s="14" t="n">
        <v>405.71</v>
      </c>
      <c r="H187" s="14" t="n">
        <v>405.71</v>
      </c>
      <c r="I187" s="14">
        <f>SUM(K187:T187)</f>
        <v/>
      </c>
      <c r="J187" s="14">
        <f>F187-(G187+H187+I187)</f>
        <v/>
      </c>
      <c r="K187" s="14" t="n">
        <v>243.42</v>
      </c>
      <c r="L187" s="14" t="n">
        <v>243.42</v>
      </c>
      <c r="M187" s="14" t="n">
        <v>243.42</v>
      </c>
      <c r="N187" s="14" t="n">
        <v>243.42</v>
      </c>
      <c r="O187" s="14" t="n">
        <v>243.42</v>
      </c>
      <c r="P187" s="14" t="n">
        <v>243.42</v>
      </c>
      <c r="Q187" s="14" t="n">
        <v>243.42</v>
      </c>
      <c r="R187" s="14" t="n">
        <v>243.42</v>
      </c>
      <c r="S187" s="14" t="n">
        <v>243.42</v>
      </c>
      <c r="T187" s="14" t="n">
        <v>243.42</v>
      </c>
      <c r="U187" s="14" t="n">
        <v>350</v>
      </c>
      <c r="V187" s="14" t="n">
        <v>0</v>
      </c>
      <c r="W187" s="14">
        <f>U187+V187</f>
        <v/>
      </c>
    </row>
    <row r="188">
      <c r="A188" s="15" t="inlineStr">
        <is>
          <t>CANON-202607-007896</t>
        </is>
      </c>
      <c r="B188" s="15" t="inlineStr">
        <is>
          <t>2026-07-03</t>
        </is>
      </c>
      <c r="C188" s="15" t="inlineStr">
        <is>
          <t>Aurelio Farkas</t>
        </is>
      </c>
      <c r="D188" s="15" t="inlineStr">
        <is>
          <t>MI</t>
        </is>
      </c>
      <c r="E188" s="16" t="n">
        <v>405000</v>
      </c>
      <c r="F188" s="16" t="n">
        <v>10365.57</v>
      </c>
      <c r="G188" s="16" t="n">
        <v>1295.7</v>
      </c>
      <c r="H188" s="16" t="n">
        <v>1295.7</v>
      </c>
      <c r="I188" s="16">
        <f>SUM(K188:T188)</f>
        <v/>
      </c>
      <c r="J188" s="16">
        <f>F188-(G188+H188+I188)</f>
        <v/>
      </c>
      <c r="K188" s="16" t="n">
        <v>777.42</v>
      </c>
      <c r="L188" s="16" t="n">
        <v>777.42</v>
      </c>
      <c r="M188" s="16" t="n">
        <v>777.42</v>
      </c>
      <c r="N188" s="16" t="n">
        <v>777.42</v>
      </c>
      <c r="O188" s="16" t="n">
        <v>777.42</v>
      </c>
      <c r="P188" s="16" t="n">
        <v>777.42</v>
      </c>
      <c r="Q188" s="16" t="n">
        <v>777.42</v>
      </c>
      <c r="R188" s="16" t="n">
        <v>777.42</v>
      </c>
      <c r="S188" s="16" t="n">
        <v>777.42</v>
      </c>
      <c r="T188" s="16" t="n">
        <v>777.42</v>
      </c>
      <c r="U188" s="16" t="n">
        <v>350</v>
      </c>
      <c r="V188" s="16" t="n">
        <v>0</v>
      </c>
      <c r="W188" s="16">
        <f>U188+V188</f>
        <v/>
      </c>
    </row>
    <row r="189">
      <c r="A189" s="3" t="inlineStr">
        <is>
          <t>CANON-202607-007897</t>
        </is>
      </c>
      <c r="B189" s="3" t="inlineStr">
        <is>
          <t>2026-07-20</t>
        </is>
      </c>
      <c r="C189" s="3" t="inlineStr">
        <is>
          <t>Saoirse Merriweather</t>
        </is>
      </c>
      <c r="D189" s="3" t="inlineStr">
        <is>
          <t>AL</t>
        </is>
      </c>
      <c r="E189" s="14" t="n">
        <v>495000</v>
      </c>
      <c r="F189" s="14" t="n">
        <v>6769.85</v>
      </c>
      <c r="G189" s="14" t="n">
        <v>846.23</v>
      </c>
      <c r="H189" s="14" t="n">
        <v>846.23</v>
      </c>
      <c r="I189" s="14">
        <f>SUM(K189:T189)</f>
        <v/>
      </c>
      <c r="J189" s="14">
        <f>F189-(G189+H189+I189)</f>
        <v/>
      </c>
      <c r="K189" s="14" t="n">
        <v>507.74</v>
      </c>
      <c r="L189" s="14" t="n">
        <v>507.74</v>
      </c>
      <c r="M189" s="14" t="n">
        <v>507.74</v>
      </c>
      <c r="N189" s="14" t="n">
        <v>507.74</v>
      </c>
      <c r="O189" s="14" t="n">
        <v>507.74</v>
      </c>
      <c r="P189" s="14" t="n">
        <v>507.74</v>
      </c>
      <c r="Q189" s="14" t="n">
        <v>507.74</v>
      </c>
      <c r="R189" s="14" t="n">
        <v>507.74</v>
      </c>
      <c r="S189" s="14" t="n">
        <v>507.74</v>
      </c>
      <c r="T189" s="14" t="n">
        <v>507.74</v>
      </c>
      <c r="U189" s="14" t="n">
        <v>350</v>
      </c>
      <c r="V189" s="14" t="n">
        <v>0</v>
      </c>
      <c r="W189" s="14">
        <f>U189+V189</f>
        <v/>
      </c>
    </row>
    <row r="190">
      <c r="A190" s="15" t="inlineStr">
        <is>
          <t>CANON-202607-007899</t>
        </is>
      </c>
      <c r="B190" s="15" t="inlineStr">
        <is>
          <t>2026-07-18</t>
        </is>
      </c>
      <c r="C190" s="15" t="inlineStr">
        <is>
          <t>Desmond Underwood</t>
        </is>
      </c>
      <c r="D190" s="15" t="inlineStr">
        <is>
          <t>CA</t>
        </is>
      </c>
      <c r="E190" s="16" t="n">
        <v>635000</v>
      </c>
      <c r="F190" s="16" t="n">
        <v>8000.73</v>
      </c>
      <c r="G190" s="16" t="n">
        <v>1000.09</v>
      </c>
      <c r="H190" s="16" t="n">
        <v>1000.09</v>
      </c>
      <c r="I190" s="16">
        <f>SUM(K190:T190)</f>
        <v/>
      </c>
      <c r="J190" s="16">
        <f>F190-(G190+H190+I190)</f>
        <v/>
      </c>
      <c r="K190" s="16" t="n">
        <v>600.05</v>
      </c>
      <c r="L190" s="16" t="n">
        <v>600.05</v>
      </c>
      <c r="M190" s="16" t="n">
        <v>600.05</v>
      </c>
      <c r="N190" s="16" t="n">
        <v>600.05</v>
      </c>
      <c r="O190" s="16" t="n">
        <v>600.05</v>
      </c>
      <c r="P190" s="16" t="n">
        <v>600.05</v>
      </c>
      <c r="Q190" s="16" t="n">
        <v>600.05</v>
      </c>
      <c r="R190" s="16" t="n">
        <v>600.05</v>
      </c>
      <c r="S190" s="16" t="n">
        <v>600.05</v>
      </c>
      <c r="T190" s="16" t="n">
        <v>600.05</v>
      </c>
      <c r="U190" s="16" t="n">
        <v>350</v>
      </c>
      <c r="V190" s="16" t="n">
        <v>0</v>
      </c>
      <c r="W190" s="16">
        <f>U190+V190</f>
        <v/>
      </c>
    </row>
    <row r="191">
      <c r="A191" s="3" t="inlineStr">
        <is>
          <t>CANON-202607-007902</t>
        </is>
      </c>
      <c r="B191" s="3" t="inlineStr">
        <is>
          <t>2026-07-31</t>
        </is>
      </c>
      <c r="C191" s="3" t="inlineStr">
        <is>
          <t>Sunniva Pennington</t>
        </is>
      </c>
      <c r="D191" s="3" t="inlineStr">
        <is>
          <t>NH</t>
        </is>
      </c>
      <c r="E191" s="14" t="n">
        <v>570000</v>
      </c>
      <c r="F191" s="14" t="n">
        <v>5532.61</v>
      </c>
      <c r="G191" s="14" t="n">
        <v>691.58</v>
      </c>
      <c r="H191" s="14" t="n">
        <v>691.58</v>
      </c>
      <c r="I191" s="14">
        <f>SUM(K191:T191)</f>
        <v/>
      </c>
      <c r="J191" s="14">
        <f>F191-(G191+H191+I191)</f>
        <v/>
      </c>
      <c r="K191" s="14" t="n">
        <v>414.95</v>
      </c>
      <c r="L191" s="14" t="n">
        <v>414.95</v>
      </c>
      <c r="M191" s="14" t="n">
        <v>414.95</v>
      </c>
      <c r="N191" s="14" t="n">
        <v>414.95</v>
      </c>
      <c r="O191" s="14" t="n">
        <v>414.95</v>
      </c>
      <c r="P191" s="14" t="n">
        <v>414.95</v>
      </c>
      <c r="Q191" s="14" t="n">
        <v>414.95</v>
      </c>
      <c r="R191" s="14" t="n">
        <v>414.95</v>
      </c>
      <c r="S191" s="14" t="n">
        <v>414.95</v>
      </c>
      <c r="T191" s="14" t="n">
        <v>414.95</v>
      </c>
      <c r="U191" s="14" t="n">
        <v>350</v>
      </c>
      <c r="V191" s="14" t="n">
        <v>0</v>
      </c>
      <c r="W191" s="14">
        <f>U191+V191</f>
        <v/>
      </c>
    </row>
    <row r="192">
      <c r="A192" s="15" t="inlineStr">
        <is>
          <t>CANON-202607-007903</t>
        </is>
      </c>
      <c r="B192" s="15" t="inlineStr">
        <is>
          <t>2026-07-30</t>
        </is>
      </c>
      <c r="C192" s="15" t="inlineStr">
        <is>
          <t>Cassius Farkas</t>
        </is>
      </c>
      <c r="D192" s="15" t="inlineStr">
        <is>
          <t>AZ</t>
        </is>
      </c>
      <c r="E192" s="16" t="n">
        <v>435000</v>
      </c>
      <c r="F192" s="16" t="n">
        <v>7254.67</v>
      </c>
      <c r="G192" s="16" t="n">
        <v>906.83</v>
      </c>
      <c r="H192" s="16" t="n">
        <v>906.83</v>
      </c>
      <c r="I192" s="16">
        <f>SUM(K192:T192)</f>
        <v/>
      </c>
      <c r="J192" s="16">
        <f>F192-(G192+H192+I192)</f>
        <v/>
      </c>
      <c r="K192" s="16" t="n">
        <v>544.1</v>
      </c>
      <c r="L192" s="16" t="n">
        <v>544.1</v>
      </c>
      <c r="M192" s="16" t="n">
        <v>544.1</v>
      </c>
      <c r="N192" s="16" t="n">
        <v>544.1</v>
      </c>
      <c r="O192" s="16" t="n">
        <v>544.1</v>
      </c>
      <c r="P192" s="16" t="n">
        <v>544.1</v>
      </c>
      <c r="Q192" s="16" t="n">
        <v>544.1</v>
      </c>
      <c r="R192" s="16" t="n">
        <v>544.1</v>
      </c>
      <c r="S192" s="16" t="n">
        <v>544.1</v>
      </c>
      <c r="T192" s="16" t="n">
        <v>544.1</v>
      </c>
      <c r="U192" s="16" t="n">
        <v>350</v>
      </c>
      <c r="V192" s="16" t="n">
        <v>0</v>
      </c>
      <c r="W192" s="16">
        <f>U192+V192</f>
        <v/>
      </c>
    </row>
    <row r="193">
      <c r="A193" s="3" t="inlineStr">
        <is>
          <t>CANON-202607-007904</t>
        </is>
      </c>
      <c r="B193" s="3" t="inlineStr">
        <is>
          <t>2026-07-13</t>
        </is>
      </c>
      <c r="C193" s="3" t="inlineStr">
        <is>
          <t>Cassius Pennington</t>
        </is>
      </c>
      <c r="D193" s="3" t="inlineStr">
        <is>
          <t>MD</t>
        </is>
      </c>
      <c r="E193" s="14" t="n">
        <v>235000</v>
      </c>
      <c r="F193" s="14" t="n">
        <v>2949.09</v>
      </c>
      <c r="G193" s="14" t="n">
        <v>368.64</v>
      </c>
      <c r="H193" s="14" t="n">
        <v>368.64</v>
      </c>
      <c r="I193" s="14">
        <f>SUM(K193:T193)</f>
        <v/>
      </c>
      <c r="J193" s="14">
        <f>F193-(G193+H193+I193)</f>
        <v/>
      </c>
      <c r="K193" s="14" t="n">
        <v>221.18</v>
      </c>
      <c r="L193" s="14" t="n">
        <v>221.18</v>
      </c>
      <c r="M193" s="14" t="n">
        <v>221.18</v>
      </c>
      <c r="N193" s="14" t="n">
        <v>221.18</v>
      </c>
      <c r="O193" s="14" t="n">
        <v>221.18</v>
      </c>
      <c r="P193" s="14" t="n">
        <v>221.18</v>
      </c>
      <c r="Q193" s="14" t="n">
        <v>221.18</v>
      </c>
      <c r="R193" s="14" t="n">
        <v>221.18</v>
      </c>
      <c r="S193" s="14" t="n">
        <v>221.18</v>
      </c>
      <c r="T193" s="14" t="n">
        <v>221.18</v>
      </c>
      <c r="U193" s="14" t="n">
        <v>350</v>
      </c>
      <c r="V193" s="14" t="n">
        <v>0</v>
      </c>
      <c r="W193" s="14">
        <f>U193+V193</f>
        <v/>
      </c>
    </row>
    <row r="194">
      <c r="A194" s="15" t="inlineStr">
        <is>
          <t>CANON-202607-007906</t>
        </is>
      </c>
      <c r="B194" s="15" t="inlineStr">
        <is>
          <t>2026-07-07</t>
        </is>
      </c>
      <c r="C194" s="15" t="inlineStr">
        <is>
          <t>Anouk Castellanos</t>
        </is>
      </c>
      <c r="D194" s="15" t="inlineStr">
        <is>
          <t>OH</t>
        </is>
      </c>
      <c r="E194" s="16" t="n">
        <v>905000</v>
      </c>
      <c r="F194" s="16" t="n">
        <v>11740.47</v>
      </c>
      <c r="G194" s="16" t="n">
        <v>1467.56</v>
      </c>
      <c r="H194" s="16" t="n">
        <v>1467.56</v>
      </c>
      <c r="I194" s="16">
        <f>SUM(K194:T194)</f>
        <v/>
      </c>
      <c r="J194" s="16">
        <f>F194-(G194+H194+I194)</f>
        <v/>
      </c>
      <c r="K194" s="16" t="n">
        <v>880.54</v>
      </c>
      <c r="L194" s="16" t="n">
        <v>880.54</v>
      </c>
      <c r="M194" s="16" t="n">
        <v>880.54</v>
      </c>
      <c r="N194" s="16" t="n">
        <v>880.54</v>
      </c>
      <c r="O194" s="16" t="n">
        <v>880.54</v>
      </c>
      <c r="P194" s="16" t="n">
        <v>880.54</v>
      </c>
      <c r="Q194" s="16" t="n">
        <v>880.54</v>
      </c>
      <c r="R194" s="16" t="n">
        <v>880.54</v>
      </c>
      <c r="S194" s="16" t="n">
        <v>880.54</v>
      </c>
      <c r="T194" s="16" t="n">
        <v>880.54</v>
      </c>
      <c r="U194" s="16" t="n">
        <v>350</v>
      </c>
      <c r="V194" s="16" t="n">
        <v>0</v>
      </c>
      <c r="W194" s="16">
        <f>U194+V194</f>
        <v/>
      </c>
    </row>
    <row r="195">
      <c r="A195" s="3" t="inlineStr">
        <is>
          <t>CANON-202607-007911</t>
        </is>
      </c>
      <c r="B195" s="3" t="inlineStr">
        <is>
          <t>2026-07-12</t>
        </is>
      </c>
      <c r="C195" s="3" t="inlineStr">
        <is>
          <t>Horace Vandermeer</t>
        </is>
      </c>
      <c r="D195" s="3" t="inlineStr">
        <is>
          <t>WI</t>
        </is>
      </c>
      <c r="E195" s="14" t="n">
        <v>600000</v>
      </c>
      <c r="F195" s="14" t="n">
        <v>6719.77</v>
      </c>
      <c r="G195" s="14" t="n">
        <v>839.97</v>
      </c>
      <c r="H195" s="14" t="n">
        <v>839.97</v>
      </c>
      <c r="I195" s="14">
        <f>SUM(K195:T195)</f>
        <v/>
      </c>
      <c r="J195" s="14">
        <f>F195-(G195+H195+I195)</f>
        <v/>
      </c>
      <c r="K195" s="14" t="n">
        <v>503.98</v>
      </c>
      <c r="L195" s="14" t="n">
        <v>503.98</v>
      </c>
      <c r="M195" s="14" t="n">
        <v>503.98</v>
      </c>
      <c r="N195" s="14" t="n">
        <v>503.98</v>
      </c>
      <c r="O195" s="14" t="n">
        <v>503.98</v>
      </c>
      <c r="P195" s="14" t="n">
        <v>503.98</v>
      </c>
      <c r="Q195" s="14" t="n">
        <v>503.98</v>
      </c>
      <c r="R195" s="14" t="n">
        <v>503.98</v>
      </c>
      <c r="S195" s="14" t="n">
        <v>503.98</v>
      </c>
      <c r="T195" s="14" t="n">
        <v>503.98</v>
      </c>
      <c r="U195" s="14" t="n">
        <v>350</v>
      </c>
      <c r="V195" s="14" t="n">
        <v>0</v>
      </c>
      <c r="W195" s="14">
        <f>U195+V195</f>
        <v/>
      </c>
    </row>
    <row r="196">
      <c r="A196" s="15" t="inlineStr">
        <is>
          <t>CANON-202607-007913</t>
        </is>
      </c>
      <c r="B196" s="15" t="inlineStr">
        <is>
          <t>2026-07-21</t>
        </is>
      </c>
      <c r="C196" s="15" t="inlineStr">
        <is>
          <t>Saoirse Fairweather</t>
        </is>
      </c>
      <c r="D196" s="15" t="inlineStr">
        <is>
          <t>OK</t>
        </is>
      </c>
      <c r="E196" s="16" t="n">
        <v>315000</v>
      </c>
      <c r="F196" s="16" t="n">
        <v>4274.16</v>
      </c>
      <c r="G196" s="16" t="n">
        <v>534.27</v>
      </c>
      <c r="H196" s="16" t="n">
        <v>534.27</v>
      </c>
      <c r="I196" s="16">
        <f>SUM(K196:T196)</f>
        <v/>
      </c>
      <c r="J196" s="16">
        <f>F196-(G196+H196+I196)</f>
        <v/>
      </c>
      <c r="K196" s="16" t="n">
        <v>320.56</v>
      </c>
      <c r="L196" s="16" t="n">
        <v>320.56</v>
      </c>
      <c r="M196" s="16" t="n">
        <v>320.56</v>
      </c>
      <c r="N196" s="16" t="n">
        <v>320.56</v>
      </c>
      <c r="O196" s="16" t="n">
        <v>320.56</v>
      </c>
      <c r="P196" s="16" t="n">
        <v>320.56</v>
      </c>
      <c r="Q196" s="16" t="n">
        <v>320.56</v>
      </c>
      <c r="R196" s="16" t="n">
        <v>320.56</v>
      </c>
      <c r="S196" s="16" t="n">
        <v>320.56</v>
      </c>
      <c r="T196" s="16" t="n">
        <v>320.56</v>
      </c>
      <c r="U196" s="16" t="n">
        <v>350</v>
      </c>
      <c r="V196" s="16" t="n">
        <v>0</v>
      </c>
      <c r="W196" s="16">
        <f>U196+V196</f>
        <v/>
      </c>
    </row>
    <row r="197">
      <c r="A197" s="3" t="inlineStr">
        <is>
          <t>CANON-202607-007914</t>
        </is>
      </c>
      <c r="B197" s="3" t="inlineStr">
        <is>
          <t>2026-07-16</t>
        </is>
      </c>
      <c r="C197" s="3" t="inlineStr">
        <is>
          <t>Ingrid Farkas</t>
        </is>
      </c>
      <c r="D197" s="3" t="inlineStr">
        <is>
          <t>TN</t>
        </is>
      </c>
      <c r="E197" s="14" t="n">
        <v>690000</v>
      </c>
      <c r="F197" s="14" t="n">
        <v>3689.5</v>
      </c>
      <c r="G197" s="14" t="n">
        <v>461.19</v>
      </c>
      <c r="H197" s="14" t="n">
        <v>461.19</v>
      </c>
      <c r="I197" s="14">
        <f>SUM(K197:T197)</f>
        <v/>
      </c>
      <c r="J197" s="14">
        <f>F197-(G197+H197+I197)</f>
        <v/>
      </c>
      <c r="K197" s="14" t="n">
        <v>276.71</v>
      </c>
      <c r="L197" s="14" t="n">
        <v>276.71</v>
      </c>
      <c r="M197" s="14" t="n">
        <v>276.71</v>
      </c>
      <c r="N197" s="14" t="n">
        <v>276.71</v>
      </c>
      <c r="O197" s="14" t="n">
        <v>276.71</v>
      </c>
      <c r="P197" s="14" t="n">
        <v>276.71</v>
      </c>
      <c r="Q197" s="14" t="n">
        <v>276.71</v>
      </c>
      <c r="R197" s="14" t="n">
        <v>276.71</v>
      </c>
      <c r="S197" s="14" t="n">
        <v>276.71</v>
      </c>
      <c r="T197" s="14" t="n">
        <v>276.71</v>
      </c>
      <c r="U197" s="14" t="n">
        <v>350</v>
      </c>
      <c r="V197" s="14" t="n">
        <v>0</v>
      </c>
      <c r="W197" s="14">
        <f>U197+V197</f>
        <v/>
      </c>
    </row>
    <row r="198">
      <c r="A198" s="15" t="inlineStr">
        <is>
          <t>CANON-202607-007915</t>
        </is>
      </c>
      <c r="B198" s="15" t="inlineStr">
        <is>
          <t>2026-07-30</t>
        </is>
      </c>
      <c r="C198" s="15" t="inlineStr">
        <is>
          <t>Delphine Merriweather</t>
        </is>
      </c>
      <c r="D198" s="15" t="inlineStr">
        <is>
          <t>WI</t>
        </is>
      </c>
      <c r="E198" s="16" t="n">
        <v>250000</v>
      </c>
      <c r="F198" s="16" t="n">
        <v>3230.66</v>
      </c>
      <c r="G198" s="16" t="n">
        <v>403.83</v>
      </c>
      <c r="H198" s="16" t="n">
        <v>403.83</v>
      </c>
      <c r="I198" s="16">
        <f>SUM(K198:T198)</f>
        <v/>
      </c>
      <c r="J198" s="16">
        <f>F198-(G198+H198+I198)</f>
        <v/>
      </c>
      <c r="K198" s="16" t="n">
        <v>242.3</v>
      </c>
      <c r="L198" s="16" t="n">
        <v>242.3</v>
      </c>
      <c r="M198" s="16" t="n">
        <v>242.3</v>
      </c>
      <c r="N198" s="16" t="n">
        <v>242.3</v>
      </c>
      <c r="O198" s="16" t="n">
        <v>242.3</v>
      </c>
      <c r="P198" s="16" t="n">
        <v>242.3</v>
      </c>
      <c r="Q198" s="16" t="n">
        <v>242.3</v>
      </c>
      <c r="R198" s="16" t="n">
        <v>242.3</v>
      </c>
      <c r="S198" s="16" t="n">
        <v>242.3</v>
      </c>
      <c r="T198" s="16" t="n">
        <v>242.3</v>
      </c>
      <c r="U198" s="16" t="n">
        <v>350</v>
      </c>
      <c r="V198" s="16" t="n">
        <v>0</v>
      </c>
      <c r="W198" s="16">
        <f>U198+V198</f>
        <v/>
      </c>
    </row>
    <row r="199">
      <c r="A199" s="3" t="inlineStr">
        <is>
          <t>CANON-202607-007920</t>
        </is>
      </c>
      <c r="B199" s="3" t="inlineStr">
        <is>
          <t>2026-07-29</t>
        </is>
      </c>
      <c r="C199" s="3" t="inlineStr">
        <is>
          <t>Emiliano Underwood</t>
        </is>
      </c>
      <c r="D199" s="3" t="inlineStr">
        <is>
          <t>NE</t>
        </is>
      </c>
      <c r="E199" s="14" t="n">
        <v>180000</v>
      </c>
      <c r="F199" s="14" t="n">
        <v>3527.88</v>
      </c>
      <c r="G199" s="14" t="n">
        <v>440.99</v>
      </c>
      <c r="H199" s="14" t="n">
        <v>440.99</v>
      </c>
      <c r="I199" s="14">
        <f>SUM(K199:T199)</f>
        <v/>
      </c>
      <c r="J199" s="14">
        <f>F199-(G199+H199+I199)</f>
        <v/>
      </c>
      <c r="K199" s="14" t="n">
        <v>264.59</v>
      </c>
      <c r="L199" s="14" t="n">
        <v>264.59</v>
      </c>
      <c r="M199" s="14" t="n">
        <v>264.59</v>
      </c>
      <c r="N199" s="14" t="n">
        <v>264.59</v>
      </c>
      <c r="O199" s="14" t="n">
        <v>264.59</v>
      </c>
      <c r="P199" s="14" t="n">
        <v>264.59</v>
      </c>
      <c r="Q199" s="14" t="n">
        <v>264.59</v>
      </c>
      <c r="R199" s="14" t="n">
        <v>264.59</v>
      </c>
      <c r="S199" s="14" t="n">
        <v>264.59</v>
      </c>
      <c r="T199" s="14" t="n">
        <v>264.59</v>
      </c>
      <c r="U199" s="14" t="n">
        <v>350</v>
      </c>
      <c r="V199" s="14" t="n">
        <v>0</v>
      </c>
      <c r="W199" s="14">
        <f>U199+V199</f>
        <v/>
      </c>
    </row>
    <row r="200">
      <c r="A200" s="15" t="inlineStr">
        <is>
          <t>CANON-202607-007921</t>
        </is>
      </c>
      <c r="B200" s="15" t="inlineStr">
        <is>
          <t>2026-07-04</t>
        </is>
      </c>
      <c r="C200" s="15" t="inlineStr">
        <is>
          <t>Marisol Whitlock</t>
        </is>
      </c>
      <c r="D200" s="15" t="inlineStr">
        <is>
          <t>VA</t>
        </is>
      </c>
      <c r="E200" s="16" t="n">
        <v>835000</v>
      </c>
      <c r="F200" s="16" t="n">
        <v>10193.34</v>
      </c>
      <c r="G200" s="16" t="n">
        <v>1274.17</v>
      </c>
      <c r="H200" s="16" t="n">
        <v>1274.17</v>
      </c>
      <c r="I200" s="16">
        <f>SUM(K200:T200)</f>
        <v/>
      </c>
      <c r="J200" s="16">
        <f>F200-(G200+H200+I200)</f>
        <v/>
      </c>
      <c r="K200" s="16" t="n">
        <v>764.5</v>
      </c>
      <c r="L200" s="16" t="n">
        <v>764.5</v>
      </c>
      <c r="M200" s="16" t="n">
        <v>764.5</v>
      </c>
      <c r="N200" s="16" t="n">
        <v>764.5</v>
      </c>
      <c r="O200" s="16" t="n">
        <v>764.5</v>
      </c>
      <c r="P200" s="16" t="n">
        <v>764.5</v>
      </c>
      <c r="Q200" s="16" t="n">
        <v>764.5</v>
      </c>
      <c r="R200" s="16" t="n">
        <v>764.5</v>
      </c>
      <c r="S200" s="16" t="n">
        <v>764.5</v>
      </c>
      <c r="T200" s="16" t="n">
        <v>764.5</v>
      </c>
      <c r="U200" s="16" t="n">
        <v>350</v>
      </c>
      <c r="V200" s="16" t="n">
        <v>0</v>
      </c>
      <c r="W200" s="16">
        <f>U200+V200</f>
        <v/>
      </c>
    </row>
    <row r="201">
      <c r="A201" s="3" t="inlineStr">
        <is>
          <t>CANON-202607-007923</t>
        </is>
      </c>
      <c r="B201" s="3" t="inlineStr">
        <is>
          <t>2026-07-22</t>
        </is>
      </c>
      <c r="C201" s="3" t="inlineStr">
        <is>
          <t>Sunniva Delacroix</t>
        </is>
      </c>
      <c r="D201" s="3" t="inlineStr">
        <is>
          <t>ID</t>
        </is>
      </c>
      <c r="E201" s="14" t="n">
        <v>1005000</v>
      </c>
      <c r="F201" s="14" t="n">
        <v>7857.29</v>
      </c>
      <c r="G201" s="14" t="n">
        <v>982.16</v>
      </c>
      <c r="H201" s="14" t="n">
        <v>982.16</v>
      </c>
      <c r="I201" s="14">
        <f>SUM(K201:T201)</f>
        <v/>
      </c>
      <c r="J201" s="14">
        <f>F201-(G201+H201+I201)</f>
        <v/>
      </c>
      <c r="K201" s="14" t="n">
        <v>589.3</v>
      </c>
      <c r="L201" s="14" t="n">
        <v>589.3</v>
      </c>
      <c r="M201" s="14" t="n">
        <v>589.3</v>
      </c>
      <c r="N201" s="14" t="n">
        <v>589.3</v>
      </c>
      <c r="O201" s="14" t="n">
        <v>589.3</v>
      </c>
      <c r="P201" s="14" t="n">
        <v>589.3</v>
      </c>
      <c r="Q201" s="14" t="n">
        <v>589.3</v>
      </c>
      <c r="R201" s="14" t="n">
        <v>589.3</v>
      </c>
      <c r="S201" s="14" t="n">
        <v>589.3</v>
      </c>
      <c r="T201" s="14" t="n">
        <v>589.3</v>
      </c>
      <c r="U201" s="14" t="n">
        <v>350</v>
      </c>
      <c r="V201" s="14" t="n">
        <v>250</v>
      </c>
      <c r="W201" s="14">
        <f>U201+V201</f>
        <v/>
      </c>
    </row>
    <row r="202">
      <c r="A202" s="15" t="inlineStr">
        <is>
          <t>CANON-202607-007924</t>
        </is>
      </c>
      <c r="B202" s="15" t="inlineStr">
        <is>
          <t>2026-07-10</t>
        </is>
      </c>
      <c r="C202" s="15" t="inlineStr">
        <is>
          <t>Saoirse Kingsford</t>
        </is>
      </c>
      <c r="D202" s="15" t="inlineStr">
        <is>
          <t>IA</t>
        </is>
      </c>
      <c r="E202" s="16" t="n">
        <v>440000</v>
      </c>
      <c r="F202" s="16" t="n">
        <v>5212.13</v>
      </c>
      <c r="G202" s="16" t="n">
        <v>651.52</v>
      </c>
      <c r="H202" s="16" t="n">
        <v>651.52</v>
      </c>
      <c r="I202" s="16">
        <f>SUM(K202:T202)</f>
        <v/>
      </c>
      <c r="J202" s="16">
        <f>F202-(G202+H202+I202)</f>
        <v/>
      </c>
      <c r="K202" s="16" t="n">
        <v>390.91</v>
      </c>
      <c r="L202" s="16" t="n">
        <v>390.91</v>
      </c>
      <c r="M202" s="16" t="n">
        <v>390.91</v>
      </c>
      <c r="N202" s="16" t="n">
        <v>390.91</v>
      </c>
      <c r="O202" s="16" t="n">
        <v>390.91</v>
      </c>
      <c r="P202" s="16" t="n">
        <v>390.91</v>
      </c>
      <c r="Q202" s="16" t="n">
        <v>390.91</v>
      </c>
      <c r="R202" s="16" t="n">
        <v>390.91</v>
      </c>
      <c r="S202" s="16" t="n">
        <v>390.91</v>
      </c>
      <c r="T202" s="16" t="n">
        <v>390.91</v>
      </c>
      <c r="U202" s="16" t="n">
        <v>350</v>
      </c>
      <c r="V202" s="16" t="n">
        <v>0</v>
      </c>
      <c r="W202" s="16">
        <f>U202+V202</f>
        <v/>
      </c>
    </row>
    <row r="203">
      <c r="A203" s="3" t="inlineStr">
        <is>
          <t>CANON-202607-007925</t>
        </is>
      </c>
      <c r="B203" s="3" t="inlineStr">
        <is>
          <t>2026-07-13</t>
        </is>
      </c>
      <c r="C203" s="3" t="inlineStr">
        <is>
          <t>Cassius Blackwood</t>
        </is>
      </c>
      <c r="D203" s="3" t="inlineStr">
        <is>
          <t>MA</t>
        </is>
      </c>
      <c r="E203" s="14" t="n">
        <v>745000</v>
      </c>
      <c r="F203" s="14" t="n">
        <v>5749.67</v>
      </c>
      <c r="G203" s="14" t="n">
        <v>718.71</v>
      </c>
      <c r="H203" s="14" t="n">
        <v>718.71</v>
      </c>
      <c r="I203" s="14">
        <f>SUM(K203:T203)</f>
        <v/>
      </c>
      <c r="J203" s="14">
        <f>F203-(G203+H203+I203)</f>
        <v/>
      </c>
      <c r="K203" s="14" t="n">
        <v>431.23</v>
      </c>
      <c r="L203" s="14" t="n">
        <v>431.23</v>
      </c>
      <c r="M203" s="14" t="n">
        <v>431.23</v>
      </c>
      <c r="N203" s="14" t="n">
        <v>431.23</v>
      </c>
      <c r="O203" s="14" t="n">
        <v>431.23</v>
      </c>
      <c r="P203" s="14" t="n">
        <v>431.23</v>
      </c>
      <c r="Q203" s="14" t="n">
        <v>431.23</v>
      </c>
      <c r="R203" s="14" t="n">
        <v>431.23</v>
      </c>
      <c r="S203" s="14" t="n">
        <v>431.23</v>
      </c>
      <c r="T203" s="14" t="n">
        <v>431.23</v>
      </c>
      <c r="U203" s="14" t="n">
        <v>350</v>
      </c>
      <c r="V203" s="14" t="n">
        <v>0</v>
      </c>
      <c r="W203" s="14">
        <f>U203+V203</f>
        <v/>
      </c>
    </row>
    <row r="204">
      <c r="A204" s="15" t="inlineStr">
        <is>
          <t>CANON-202607-007926</t>
        </is>
      </c>
      <c r="B204" s="15" t="inlineStr">
        <is>
          <t>2026-07-06</t>
        </is>
      </c>
      <c r="C204" s="15" t="inlineStr">
        <is>
          <t>Ottilie Kingsford</t>
        </is>
      </c>
      <c r="D204" s="15" t="inlineStr">
        <is>
          <t>VA</t>
        </is>
      </c>
      <c r="E204" s="16" t="n">
        <v>445000</v>
      </c>
      <c r="F204" s="16" t="n">
        <v>5223.44</v>
      </c>
      <c r="G204" s="16" t="n">
        <v>652.9299999999999</v>
      </c>
      <c r="H204" s="16" t="n">
        <v>652.9299999999999</v>
      </c>
      <c r="I204" s="16">
        <f>SUM(K204:T204)</f>
        <v/>
      </c>
      <c r="J204" s="16">
        <f>F204-(G204+H204+I204)</f>
        <v/>
      </c>
      <c r="K204" s="16" t="n">
        <v>391.76</v>
      </c>
      <c r="L204" s="16" t="n">
        <v>391.76</v>
      </c>
      <c r="M204" s="16" t="n">
        <v>391.76</v>
      </c>
      <c r="N204" s="16" t="n">
        <v>391.76</v>
      </c>
      <c r="O204" s="16" t="n">
        <v>391.76</v>
      </c>
      <c r="P204" s="16" t="n">
        <v>391.76</v>
      </c>
      <c r="Q204" s="16" t="n">
        <v>391.76</v>
      </c>
      <c r="R204" s="16" t="n">
        <v>391.76</v>
      </c>
      <c r="S204" s="16" t="n">
        <v>391.76</v>
      </c>
      <c r="T204" s="16" t="n">
        <v>391.76</v>
      </c>
      <c r="U204" s="16" t="n">
        <v>350</v>
      </c>
      <c r="V204" s="16" t="n">
        <v>0</v>
      </c>
      <c r="W204" s="16">
        <f>U204+V204</f>
        <v/>
      </c>
    </row>
    <row r="205">
      <c r="A205" s="3" t="inlineStr">
        <is>
          <t>CANON-202607-007927</t>
        </is>
      </c>
      <c r="B205" s="3" t="inlineStr">
        <is>
          <t>2026-07-10</t>
        </is>
      </c>
      <c r="C205" s="3" t="inlineStr">
        <is>
          <t>Cassius Fairweather</t>
        </is>
      </c>
      <c r="D205" s="3" t="inlineStr">
        <is>
          <t>VT</t>
        </is>
      </c>
      <c r="E205" s="14" t="n">
        <v>520000</v>
      </c>
      <c r="F205" s="14" t="n">
        <v>3916.88</v>
      </c>
      <c r="G205" s="14" t="n">
        <v>489.61</v>
      </c>
      <c r="H205" s="14" t="n">
        <v>489.61</v>
      </c>
      <c r="I205" s="14">
        <f>SUM(K205:T205)</f>
        <v/>
      </c>
      <c r="J205" s="14">
        <f>F205-(G205+H205+I205)</f>
        <v/>
      </c>
      <c r="K205" s="14" t="n">
        <v>293.77</v>
      </c>
      <c r="L205" s="14" t="n">
        <v>293.77</v>
      </c>
      <c r="M205" s="14" t="n">
        <v>293.77</v>
      </c>
      <c r="N205" s="14" t="n">
        <v>293.77</v>
      </c>
      <c r="O205" s="14" t="n">
        <v>293.77</v>
      </c>
      <c r="P205" s="14" t="n">
        <v>293.77</v>
      </c>
      <c r="Q205" s="14" t="n">
        <v>293.77</v>
      </c>
      <c r="R205" s="14" t="n">
        <v>293.77</v>
      </c>
      <c r="S205" s="14" t="n">
        <v>293.77</v>
      </c>
      <c r="T205" s="14" t="n">
        <v>293.77</v>
      </c>
      <c r="U205" s="14" t="n">
        <v>350</v>
      </c>
      <c r="V205" s="14" t="n">
        <v>0</v>
      </c>
      <c r="W205" s="14">
        <f>U205+V205</f>
        <v/>
      </c>
    </row>
    <row r="206">
      <c r="A206" s="15" t="inlineStr">
        <is>
          <t>CANON-202607-007928</t>
        </is>
      </c>
      <c r="B206" s="15" t="inlineStr">
        <is>
          <t>2026-07-24</t>
        </is>
      </c>
      <c r="C206" s="15" t="inlineStr">
        <is>
          <t>Fenwick Okonkwo</t>
        </is>
      </c>
      <c r="D206" s="15" t="inlineStr">
        <is>
          <t>NJ</t>
        </is>
      </c>
      <c r="E206" s="16" t="n">
        <v>700000</v>
      </c>
      <c r="F206" s="16" t="n">
        <v>5945.13</v>
      </c>
      <c r="G206" s="16" t="n">
        <v>743.14</v>
      </c>
      <c r="H206" s="16" t="n">
        <v>743.14</v>
      </c>
      <c r="I206" s="16">
        <f>SUM(K206:T206)</f>
        <v/>
      </c>
      <c r="J206" s="16">
        <f>F206-(G206+H206+I206)</f>
        <v/>
      </c>
      <c r="K206" s="16" t="n">
        <v>445.88</v>
      </c>
      <c r="L206" s="16" t="n">
        <v>445.88</v>
      </c>
      <c r="M206" s="16" t="n">
        <v>445.88</v>
      </c>
      <c r="N206" s="16" t="n">
        <v>445.88</v>
      </c>
      <c r="O206" s="16" t="n">
        <v>445.88</v>
      </c>
      <c r="P206" s="16" t="n">
        <v>445.88</v>
      </c>
      <c r="Q206" s="16" t="n">
        <v>445.88</v>
      </c>
      <c r="R206" s="16" t="n">
        <v>445.88</v>
      </c>
      <c r="S206" s="16" t="n">
        <v>445.88</v>
      </c>
      <c r="T206" s="16" t="n">
        <v>445.88</v>
      </c>
      <c r="U206" s="16" t="n">
        <v>350</v>
      </c>
      <c r="V206" s="16" t="n">
        <v>0</v>
      </c>
      <c r="W206" s="16">
        <f>U206+V206</f>
        <v/>
      </c>
    </row>
    <row r="207">
      <c r="A207" s="3" t="inlineStr">
        <is>
          <t>CANON-202607-007929</t>
        </is>
      </c>
      <c r="B207" s="3" t="inlineStr">
        <is>
          <t>2026-07-05</t>
        </is>
      </c>
      <c r="C207" s="3" t="inlineStr">
        <is>
          <t>Ottilie Rourke</t>
        </is>
      </c>
      <c r="D207" s="3" t="inlineStr">
        <is>
          <t>NM</t>
        </is>
      </c>
      <c r="E207" s="14" t="n">
        <v>945000</v>
      </c>
      <c r="F207" s="14" t="n">
        <v>11289.22</v>
      </c>
      <c r="G207" s="14" t="n">
        <v>1411.15</v>
      </c>
      <c r="H207" s="14" t="n">
        <v>1411.15</v>
      </c>
      <c r="I207" s="14">
        <f>SUM(K207:T207)</f>
        <v/>
      </c>
      <c r="J207" s="14">
        <f>F207-(G207+H207+I207)</f>
        <v/>
      </c>
      <c r="K207" s="14" t="n">
        <v>846.6900000000001</v>
      </c>
      <c r="L207" s="14" t="n">
        <v>846.6900000000001</v>
      </c>
      <c r="M207" s="14" t="n">
        <v>846.6900000000001</v>
      </c>
      <c r="N207" s="14" t="n">
        <v>846.6900000000001</v>
      </c>
      <c r="O207" s="14" t="n">
        <v>846.6900000000001</v>
      </c>
      <c r="P207" s="14" t="n">
        <v>846.6900000000001</v>
      </c>
      <c r="Q207" s="14" t="n">
        <v>846.6900000000001</v>
      </c>
      <c r="R207" s="14" t="n">
        <v>846.6900000000001</v>
      </c>
      <c r="S207" s="14" t="n">
        <v>846.6900000000001</v>
      </c>
      <c r="T207" s="14" t="n">
        <v>846.6900000000001</v>
      </c>
      <c r="U207" s="14" t="n">
        <v>350</v>
      </c>
      <c r="V207" s="14" t="n">
        <v>0</v>
      </c>
      <c r="W207" s="14">
        <f>U207+V207</f>
        <v/>
      </c>
    </row>
    <row r="208">
      <c r="A208" s="15" t="inlineStr">
        <is>
          <t>CANON-202607-007930</t>
        </is>
      </c>
      <c r="B208" s="15" t="inlineStr">
        <is>
          <t>2026-07-13</t>
        </is>
      </c>
      <c r="C208" s="15" t="inlineStr">
        <is>
          <t>Leopold Underwood</t>
        </is>
      </c>
      <c r="D208" s="15" t="inlineStr">
        <is>
          <t>MD</t>
        </is>
      </c>
      <c r="E208" s="16" t="n">
        <v>1950000</v>
      </c>
      <c r="F208" s="16" t="n">
        <v>10107.66</v>
      </c>
      <c r="G208" s="16" t="n">
        <v>1263.46</v>
      </c>
      <c r="H208" s="16" t="n">
        <v>1263.46</v>
      </c>
      <c r="I208" s="16">
        <f>SUM(K208:T208)</f>
        <v/>
      </c>
      <c r="J208" s="16">
        <f>F208-(G208+H208+I208)</f>
        <v/>
      </c>
      <c r="K208" s="16" t="n">
        <v>758.0700000000001</v>
      </c>
      <c r="L208" s="16" t="n">
        <v>758.0700000000001</v>
      </c>
      <c r="M208" s="16" t="n">
        <v>758.0700000000001</v>
      </c>
      <c r="N208" s="16" t="n">
        <v>758.0700000000001</v>
      </c>
      <c r="O208" s="16" t="n">
        <v>758.0700000000001</v>
      </c>
      <c r="P208" s="16" t="n">
        <v>758.0700000000001</v>
      </c>
      <c r="Q208" s="16" t="n">
        <v>758.0700000000001</v>
      </c>
      <c r="R208" s="16" t="n">
        <v>758.0700000000001</v>
      </c>
      <c r="S208" s="16" t="n">
        <v>758.0700000000001</v>
      </c>
      <c r="T208" s="16" t="n">
        <v>758.0700000000001</v>
      </c>
      <c r="U208" s="16" t="n">
        <v>350</v>
      </c>
      <c r="V208" s="16" t="n">
        <v>250</v>
      </c>
      <c r="W208" s="16">
        <f>U208+V208</f>
        <v/>
      </c>
    </row>
    <row r="209">
      <c r="A209" s="3" t="inlineStr">
        <is>
          <t>CANON-202607-007932</t>
        </is>
      </c>
      <c r="B209" s="3" t="inlineStr">
        <is>
          <t>2026-07-06</t>
        </is>
      </c>
      <c r="C209" s="3" t="inlineStr">
        <is>
          <t>Leopold Whitlock</t>
        </is>
      </c>
      <c r="D209" s="3" t="inlineStr">
        <is>
          <t>FL</t>
        </is>
      </c>
      <c r="E209" s="14" t="n">
        <v>545000</v>
      </c>
      <c r="F209" s="14" t="n">
        <v>10556.43</v>
      </c>
      <c r="G209" s="14" t="n">
        <v>1319.55</v>
      </c>
      <c r="H209" s="14" t="n">
        <v>1319.55</v>
      </c>
      <c r="I209" s="14">
        <f>SUM(K209:T209)</f>
        <v/>
      </c>
      <c r="J209" s="14">
        <f>F209-(G209+H209+I209)</f>
        <v/>
      </c>
      <c r="K209" s="14" t="n">
        <v>791.73</v>
      </c>
      <c r="L209" s="14" t="n">
        <v>791.73</v>
      </c>
      <c r="M209" s="14" t="n">
        <v>791.73</v>
      </c>
      <c r="N209" s="14" t="n">
        <v>791.73</v>
      </c>
      <c r="O209" s="14" t="n">
        <v>791.73</v>
      </c>
      <c r="P209" s="14" t="n">
        <v>791.73</v>
      </c>
      <c r="Q209" s="14" t="n">
        <v>791.73</v>
      </c>
      <c r="R209" s="14" t="n">
        <v>791.73</v>
      </c>
      <c r="S209" s="14" t="n">
        <v>791.73</v>
      </c>
      <c r="T209" s="14" t="n">
        <v>791.73</v>
      </c>
      <c r="U209" s="14" t="n">
        <v>350</v>
      </c>
      <c r="V209" s="14" t="n">
        <v>0</v>
      </c>
      <c r="W209" s="14">
        <f>U209+V209</f>
        <v/>
      </c>
    </row>
    <row r="210">
      <c r="A210" s="15" t="inlineStr">
        <is>
          <t>CANON-202607-007934</t>
        </is>
      </c>
      <c r="B210" s="15" t="inlineStr">
        <is>
          <t>2026-07-29</t>
        </is>
      </c>
      <c r="C210" s="15" t="inlineStr">
        <is>
          <t>Lorenzo Fairweather</t>
        </is>
      </c>
      <c r="D210" s="15" t="inlineStr">
        <is>
          <t>OH</t>
        </is>
      </c>
      <c r="E210" s="16" t="n">
        <v>220000</v>
      </c>
      <c r="F210" s="16" t="n">
        <v>4039.56</v>
      </c>
      <c r="G210" s="16" t="n">
        <v>504.94</v>
      </c>
      <c r="H210" s="16" t="n">
        <v>504.94</v>
      </c>
      <c r="I210" s="16">
        <f>SUM(K210:T210)</f>
        <v/>
      </c>
      <c r="J210" s="16">
        <f>F210-(G210+H210+I210)</f>
        <v/>
      </c>
      <c r="K210" s="16" t="n">
        <v>302.97</v>
      </c>
      <c r="L210" s="16" t="n">
        <v>302.97</v>
      </c>
      <c r="M210" s="16" t="n">
        <v>302.97</v>
      </c>
      <c r="N210" s="16" t="n">
        <v>302.97</v>
      </c>
      <c r="O210" s="16" t="n">
        <v>302.97</v>
      </c>
      <c r="P210" s="16" t="n">
        <v>302.97</v>
      </c>
      <c r="Q210" s="16" t="n">
        <v>302.97</v>
      </c>
      <c r="R210" s="16" t="n">
        <v>302.97</v>
      </c>
      <c r="S210" s="16" t="n">
        <v>302.97</v>
      </c>
      <c r="T210" s="16" t="n">
        <v>302.97</v>
      </c>
      <c r="U210" s="16" t="n">
        <v>350</v>
      </c>
      <c r="V210" s="16" t="n">
        <v>0</v>
      </c>
      <c r="W210" s="16">
        <f>U210+V210</f>
        <v/>
      </c>
    </row>
    <row r="211">
      <c r="A211" s="3" t="inlineStr">
        <is>
          <t>CANON-202607-007935</t>
        </is>
      </c>
      <c r="B211" s="3" t="inlineStr">
        <is>
          <t>2026-07-04</t>
        </is>
      </c>
      <c r="C211" s="3" t="inlineStr">
        <is>
          <t>Desmond Vasquez</t>
        </is>
      </c>
      <c r="D211" s="3" t="inlineStr">
        <is>
          <t>PA</t>
        </is>
      </c>
      <c r="E211" s="14" t="n">
        <v>755000</v>
      </c>
      <c r="F211" s="14" t="n">
        <v>7046.43</v>
      </c>
      <c r="G211" s="14" t="n">
        <v>880.8</v>
      </c>
      <c r="H211" s="14" t="n">
        <v>880.8</v>
      </c>
      <c r="I211" s="14">
        <f>SUM(K211:T211)</f>
        <v/>
      </c>
      <c r="J211" s="14">
        <f>F211-(G211+H211+I211)</f>
        <v/>
      </c>
      <c r="K211" s="14" t="n">
        <v>528.48</v>
      </c>
      <c r="L211" s="14" t="n">
        <v>528.48</v>
      </c>
      <c r="M211" s="14" t="n">
        <v>528.48</v>
      </c>
      <c r="N211" s="14" t="n">
        <v>528.48</v>
      </c>
      <c r="O211" s="14" t="n">
        <v>528.48</v>
      </c>
      <c r="P211" s="14" t="n">
        <v>528.48</v>
      </c>
      <c r="Q211" s="14" t="n">
        <v>528.48</v>
      </c>
      <c r="R211" s="14" t="n">
        <v>528.48</v>
      </c>
      <c r="S211" s="14" t="n">
        <v>528.48</v>
      </c>
      <c r="T211" s="14" t="n">
        <v>528.48</v>
      </c>
      <c r="U211" s="14" t="n">
        <v>350</v>
      </c>
      <c r="V211" s="14" t="n">
        <v>0</v>
      </c>
      <c r="W211" s="14">
        <f>U211+V211</f>
        <v/>
      </c>
    </row>
    <row r="212">
      <c r="A212" s="15" t="inlineStr">
        <is>
          <t>CANON-202607-007936</t>
        </is>
      </c>
      <c r="B212" s="15" t="inlineStr">
        <is>
          <t>2026-07-06</t>
        </is>
      </c>
      <c r="C212" s="15" t="inlineStr">
        <is>
          <t>Emiliano Underwood</t>
        </is>
      </c>
      <c r="D212" s="15" t="inlineStr">
        <is>
          <t>NH</t>
        </is>
      </c>
      <c r="E212" s="16" t="n">
        <v>1335000</v>
      </c>
      <c r="F212" s="16" t="n">
        <v>7575.43</v>
      </c>
      <c r="G212" s="16" t="n">
        <v>946.9299999999999</v>
      </c>
      <c r="H212" s="16" t="n">
        <v>946.9299999999999</v>
      </c>
      <c r="I212" s="16">
        <f>SUM(K212:T212)</f>
        <v/>
      </c>
      <c r="J212" s="16">
        <f>F212-(G212+H212+I212)</f>
        <v/>
      </c>
      <c r="K212" s="16" t="n">
        <v>568.16</v>
      </c>
      <c r="L212" s="16" t="n">
        <v>568.16</v>
      </c>
      <c r="M212" s="16" t="n">
        <v>568.16</v>
      </c>
      <c r="N212" s="16" t="n">
        <v>568.16</v>
      </c>
      <c r="O212" s="16" t="n">
        <v>568.16</v>
      </c>
      <c r="P212" s="16" t="n">
        <v>568.16</v>
      </c>
      <c r="Q212" s="16" t="n">
        <v>568.16</v>
      </c>
      <c r="R212" s="16" t="n">
        <v>568.16</v>
      </c>
      <c r="S212" s="16" t="n">
        <v>568.16</v>
      </c>
      <c r="T212" s="16" t="n">
        <v>568.16</v>
      </c>
      <c r="U212" s="16" t="n">
        <v>350</v>
      </c>
      <c r="V212" s="16" t="n">
        <v>250</v>
      </c>
      <c r="W212" s="16">
        <f>U212+V212</f>
        <v/>
      </c>
    </row>
    <row r="213">
      <c r="A213" s="3" t="inlineStr">
        <is>
          <t>CANON-202607-007937</t>
        </is>
      </c>
      <c r="B213" s="3" t="inlineStr">
        <is>
          <t>2026-07-09</t>
        </is>
      </c>
      <c r="C213" s="3" t="inlineStr">
        <is>
          <t>Fenwick Delacroix</t>
        </is>
      </c>
      <c r="D213" s="3" t="inlineStr">
        <is>
          <t>VA</t>
        </is>
      </c>
      <c r="E213" s="14" t="n">
        <v>340000</v>
      </c>
      <c r="F213" s="14" t="n">
        <v>3990.94</v>
      </c>
      <c r="G213" s="14" t="n">
        <v>498.87</v>
      </c>
      <c r="H213" s="14" t="n">
        <v>498.87</v>
      </c>
      <c r="I213" s="14">
        <f>SUM(K213:T213)</f>
        <v/>
      </c>
      <c r="J213" s="14">
        <f>F213-(G213+H213+I213)</f>
        <v/>
      </c>
      <c r="K213" s="14" t="n">
        <v>299.32</v>
      </c>
      <c r="L213" s="14" t="n">
        <v>299.32</v>
      </c>
      <c r="M213" s="14" t="n">
        <v>299.32</v>
      </c>
      <c r="N213" s="14" t="n">
        <v>299.32</v>
      </c>
      <c r="O213" s="14" t="n">
        <v>299.32</v>
      </c>
      <c r="P213" s="14" t="n">
        <v>299.32</v>
      </c>
      <c r="Q213" s="14" t="n">
        <v>299.32</v>
      </c>
      <c r="R213" s="14" t="n">
        <v>299.32</v>
      </c>
      <c r="S213" s="14" t="n">
        <v>299.32</v>
      </c>
      <c r="T213" s="14" t="n">
        <v>299.32</v>
      </c>
      <c r="U213" s="14" t="n">
        <v>350</v>
      </c>
      <c r="V213" s="14" t="n">
        <v>0</v>
      </c>
      <c r="W213" s="14">
        <f>U213+V213</f>
        <v/>
      </c>
    </row>
    <row r="214">
      <c r="A214" s="15" t="inlineStr">
        <is>
          <t>CANON-202607-007938</t>
        </is>
      </c>
      <c r="B214" s="15" t="inlineStr">
        <is>
          <t>2026-07-23</t>
        </is>
      </c>
      <c r="C214" s="15" t="inlineStr">
        <is>
          <t>Ottilie Fairweather</t>
        </is>
      </c>
      <c r="D214" s="15" t="inlineStr">
        <is>
          <t>MI</t>
        </is>
      </c>
      <c r="E214" s="16" t="n">
        <v>420000</v>
      </c>
      <c r="F214" s="16" t="n">
        <v>7010.53</v>
      </c>
      <c r="G214" s="16" t="n">
        <v>876.3200000000001</v>
      </c>
      <c r="H214" s="16" t="n">
        <v>876.3200000000001</v>
      </c>
      <c r="I214" s="16">
        <f>SUM(K214:T214)</f>
        <v/>
      </c>
      <c r="J214" s="16">
        <f>F214-(G214+H214+I214)</f>
        <v/>
      </c>
      <c r="K214" s="16" t="n">
        <v>525.79</v>
      </c>
      <c r="L214" s="16" t="n">
        <v>525.79</v>
      </c>
      <c r="M214" s="16" t="n">
        <v>525.79</v>
      </c>
      <c r="N214" s="16" t="n">
        <v>525.79</v>
      </c>
      <c r="O214" s="16" t="n">
        <v>525.79</v>
      </c>
      <c r="P214" s="16" t="n">
        <v>525.79</v>
      </c>
      <c r="Q214" s="16" t="n">
        <v>525.79</v>
      </c>
      <c r="R214" s="16" t="n">
        <v>525.79</v>
      </c>
      <c r="S214" s="16" t="n">
        <v>525.79</v>
      </c>
      <c r="T214" s="16" t="n">
        <v>525.79</v>
      </c>
      <c r="U214" s="16" t="n">
        <v>350</v>
      </c>
      <c r="V214" s="16" t="n">
        <v>0</v>
      </c>
      <c r="W214" s="16">
        <f>U214+V214</f>
        <v/>
      </c>
    </row>
    <row r="215">
      <c r="A215" s="3" t="inlineStr">
        <is>
          <t>CANON-202607-007940</t>
        </is>
      </c>
      <c r="B215" s="3" t="inlineStr">
        <is>
          <t>2026-07-12</t>
        </is>
      </c>
      <c r="C215" s="3" t="inlineStr">
        <is>
          <t>Horace Merriweather</t>
        </is>
      </c>
      <c r="D215" s="3" t="inlineStr">
        <is>
          <t>KS</t>
        </is>
      </c>
      <c r="E215" s="14" t="n">
        <v>515000</v>
      </c>
      <c r="F215" s="14" t="n">
        <v>4662.31</v>
      </c>
      <c r="G215" s="14" t="n">
        <v>582.79</v>
      </c>
      <c r="H215" s="14" t="n">
        <v>582.79</v>
      </c>
      <c r="I215" s="14">
        <f>SUM(K215:T215)</f>
        <v/>
      </c>
      <c r="J215" s="14">
        <f>F215-(G215+H215+I215)</f>
        <v/>
      </c>
      <c r="K215" s="14" t="n">
        <v>349.67</v>
      </c>
      <c r="L215" s="14" t="n">
        <v>349.67</v>
      </c>
      <c r="M215" s="14" t="n">
        <v>349.67</v>
      </c>
      <c r="N215" s="14" t="n">
        <v>349.67</v>
      </c>
      <c r="O215" s="14" t="n">
        <v>349.67</v>
      </c>
      <c r="P215" s="14" t="n">
        <v>349.67</v>
      </c>
      <c r="Q215" s="14" t="n">
        <v>349.67</v>
      </c>
      <c r="R215" s="14" t="n">
        <v>349.67</v>
      </c>
      <c r="S215" s="14" t="n">
        <v>349.67</v>
      </c>
      <c r="T215" s="14" t="n">
        <v>349.67</v>
      </c>
      <c r="U215" s="14" t="n">
        <v>350</v>
      </c>
      <c r="V215" s="14" t="n">
        <v>0</v>
      </c>
      <c r="W215" s="14">
        <f>U215+V215</f>
        <v/>
      </c>
    </row>
    <row r="216">
      <c r="A216" s="15" t="inlineStr">
        <is>
          <t>CANON-202607-007941</t>
        </is>
      </c>
      <c r="B216" s="15" t="inlineStr">
        <is>
          <t>2026-07-16</t>
        </is>
      </c>
      <c r="C216" s="15" t="inlineStr">
        <is>
          <t>Marisol Chattopadhyay</t>
        </is>
      </c>
      <c r="D216" s="15" t="inlineStr">
        <is>
          <t>NY</t>
        </is>
      </c>
      <c r="E216" s="16" t="n">
        <v>460000</v>
      </c>
      <c r="F216" s="16" t="n">
        <v>4058.06</v>
      </c>
      <c r="G216" s="16" t="n">
        <v>507.26</v>
      </c>
      <c r="H216" s="16" t="n">
        <v>507.26</v>
      </c>
      <c r="I216" s="16">
        <f>SUM(K216:T216)</f>
        <v/>
      </c>
      <c r="J216" s="16">
        <f>F216-(G216+H216+I216)</f>
        <v/>
      </c>
      <c r="K216" s="16" t="n">
        <v>304.35</v>
      </c>
      <c r="L216" s="16" t="n">
        <v>304.35</v>
      </c>
      <c r="M216" s="16" t="n">
        <v>304.35</v>
      </c>
      <c r="N216" s="16" t="n">
        <v>304.35</v>
      </c>
      <c r="O216" s="16" t="n">
        <v>304.35</v>
      </c>
      <c r="P216" s="16" t="n">
        <v>304.35</v>
      </c>
      <c r="Q216" s="16" t="n">
        <v>304.35</v>
      </c>
      <c r="R216" s="16" t="n">
        <v>304.35</v>
      </c>
      <c r="S216" s="16" t="n">
        <v>304.35</v>
      </c>
      <c r="T216" s="16" t="n">
        <v>304.35</v>
      </c>
      <c r="U216" s="16" t="n">
        <v>350</v>
      </c>
      <c r="V216" s="16" t="n">
        <v>0</v>
      </c>
      <c r="W216" s="16">
        <f>U216+V216</f>
        <v/>
      </c>
    </row>
    <row r="217">
      <c r="A217" s="3" t="inlineStr">
        <is>
          <t>CANON-202607-007942</t>
        </is>
      </c>
      <c r="B217" s="3" t="inlineStr">
        <is>
          <t>2026-07-04</t>
        </is>
      </c>
      <c r="C217" s="3" t="inlineStr">
        <is>
          <t>Priya Blackwood</t>
        </is>
      </c>
      <c r="D217" s="3" t="inlineStr">
        <is>
          <t>NH</t>
        </is>
      </c>
      <c r="E217" s="14" t="n">
        <v>330000</v>
      </c>
      <c r="F217" s="14" t="n">
        <v>2365.36</v>
      </c>
      <c r="G217" s="14" t="n">
        <v>295.67</v>
      </c>
      <c r="H217" s="14" t="n">
        <v>295.67</v>
      </c>
      <c r="I217" s="14">
        <f>SUM(K217:T217)</f>
        <v/>
      </c>
      <c r="J217" s="14">
        <f>F217-(G217+H217+I217)</f>
        <v/>
      </c>
      <c r="K217" s="14" t="n">
        <v>177.4</v>
      </c>
      <c r="L217" s="14" t="n">
        <v>177.4</v>
      </c>
      <c r="M217" s="14" t="n">
        <v>177.4</v>
      </c>
      <c r="N217" s="14" t="n">
        <v>177.4</v>
      </c>
      <c r="O217" s="14" t="n">
        <v>177.4</v>
      </c>
      <c r="P217" s="14" t="n">
        <v>177.4</v>
      </c>
      <c r="Q217" s="14" t="n">
        <v>177.4</v>
      </c>
      <c r="R217" s="14" t="n">
        <v>177.4</v>
      </c>
      <c r="S217" s="14" t="n">
        <v>177.4</v>
      </c>
      <c r="T217" s="14" t="n">
        <v>177.4</v>
      </c>
      <c r="U217" s="14" t="n">
        <v>350</v>
      </c>
      <c r="V217" s="14" t="n">
        <v>0</v>
      </c>
      <c r="W217" s="14">
        <f>U217+V217</f>
        <v/>
      </c>
    </row>
    <row r="218">
      <c r="A218" s="15" t="inlineStr">
        <is>
          <t>CANON-202607-007943</t>
        </is>
      </c>
      <c r="B218" s="15" t="inlineStr">
        <is>
          <t>2026-07-21</t>
        </is>
      </c>
      <c r="C218" s="15" t="inlineStr">
        <is>
          <t>Delphine Delacroix</t>
        </is>
      </c>
      <c r="D218" s="15" t="inlineStr">
        <is>
          <t>UT</t>
        </is>
      </c>
      <c r="E218" s="16" t="n">
        <v>725000</v>
      </c>
      <c r="F218" s="16" t="n">
        <v>13350.7</v>
      </c>
      <c r="G218" s="16" t="n">
        <v>1668.84</v>
      </c>
      <c r="H218" s="16" t="n">
        <v>1668.84</v>
      </c>
      <c r="I218" s="16">
        <f>SUM(K218:T218)</f>
        <v/>
      </c>
      <c r="J218" s="16">
        <f>F218-(G218+H218+I218)</f>
        <v/>
      </c>
      <c r="K218" s="16" t="n">
        <v>1001.3</v>
      </c>
      <c r="L218" s="16" t="n">
        <v>1001.3</v>
      </c>
      <c r="M218" s="16" t="n">
        <v>1001.3</v>
      </c>
      <c r="N218" s="16" t="n">
        <v>1001.3</v>
      </c>
      <c r="O218" s="16" t="n">
        <v>1001.3</v>
      </c>
      <c r="P218" s="16" t="n">
        <v>1001.3</v>
      </c>
      <c r="Q218" s="16" t="n">
        <v>1001.3</v>
      </c>
      <c r="R218" s="16" t="n">
        <v>1001.3</v>
      </c>
      <c r="S218" s="16" t="n">
        <v>1001.3</v>
      </c>
      <c r="T218" s="16" t="n">
        <v>1001.3</v>
      </c>
      <c r="U218" s="16" t="n">
        <v>350</v>
      </c>
      <c r="V218" s="16" t="n">
        <v>0</v>
      </c>
      <c r="W218" s="16">
        <f>U218+V218</f>
        <v/>
      </c>
    </row>
    <row r="219">
      <c r="A219" s="3" t="inlineStr">
        <is>
          <t>CANON-202607-007945</t>
        </is>
      </c>
      <c r="B219" s="3" t="inlineStr">
        <is>
          <t>2026-07-21</t>
        </is>
      </c>
      <c r="C219" s="3" t="inlineStr">
        <is>
          <t>Mireille Merriweather</t>
        </is>
      </c>
      <c r="D219" s="3" t="inlineStr">
        <is>
          <t>MI</t>
        </is>
      </c>
      <c r="E219" s="14" t="n">
        <v>445000</v>
      </c>
      <c r="F219" s="14" t="n">
        <v>4159.58</v>
      </c>
      <c r="G219" s="14" t="n">
        <v>519.95</v>
      </c>
      <c r="H219" s="14" t="n">
        <v>519.95</v>
      </c>
      <c r="I219" s="14">
        <f>SUM(K219:T219)</f>
        <v/>
      </c>
      <c r="J219" s="14">
        <f>F219-(G219+H219+I219)</f>
        <v/>
      </c>
      <c r="K219" s="14" t="n">
        <v>311.97</v>
      </c>
      <c r="L219" s="14" t="n">
        <v>311.97</v>
      </c>
      <c r="M219" s="14" t="n">
        <v>311.97</v>
      </c>
      <c r="N219" s="14" t="n">
        <v>311.97</v>
      </c>
      <c r="O219" s="14" t="n">
        <v>311.97</v>
      </c>
      <c r="P219" s="14" t="n">
        <v>311.97</v>
      </c>
      <c r="Q219" s="14" t="n">
        <v>311.97</v>
      </c>
      <c r="R219" s="14" t="n">
        <v>311.97</v>
      </c>
      <c r="S219" s="14" t="n">
        <v>311.97</v>
      </c>
      <c r="T219" s="14" t="n">
        <v>311.97</v>
      </c>
      <c r="U219" s="14" t="n">
        <v>350</v>
      </c>
      <c r="V219" s="14" t="n">
        <v>0</v>
      </c>
      <c r="W219" s="14">
        <f>U219+V219</f>
        <v/>
      </c>
    </row>
    <row r="220">
      <c r="A220" s="15" t="inlineStr">
        <is>
          <t>CANON-202607-007947</t>
        </is>
      </c>
      <c r="B220" s="15" t="inlineStr">
        <is>
          <t>2026-07-27</t>
        </is>
      </c>
      <c r="C220" s="15" t="inlineStr">
        <is>
          <t>Anouk Nakashima</t>
        </is>
      </c>
      <c r="D220" s="15" t="inlineStr">
        <is>
          <t>ND</t>
        </is>
      </c>
      <c r="E220" s="16" t="n">
        <v>225000</v>
      </c>
      <c r="F220" s="16" t="n">
        <v>4679.29</v>
      </c>
      <c r="G220" s="16" t="n">
        <v>584.91</v>
      </c>
      <c r="H220" s="16" t="n">
        <v>584.91</v>
      </c>
      <c r="I220" s="16">
        <f>SUM(K220:T220)</f>
        <v/>
      </c>
      <c r="J220" s="16">
        <f>F220-(G220+H220+I220)</f>
        <v/>
      </c>
      <c r="K220" s="16" t="n">
        <v>350.95</v>
      </c>
      <c r="L220" s="16" t="n">
        <v>350.95</v>
      </c>
      <c r="M220" s="16" t="n">
        <v>350.95</v>
      </c>
      <c r="N220" s="16" t="n">
        <v>350.95</v>
      </c>
      <c r="O220" s="16" t="n">
        <v>350.95</v>
      </c>
      <c r="P220" s="16" t="n">
        <v>350.95</v>
      </c>
      <c r="Q220" s="16" t="n">
        <v>350.95</v>
      </c>
      <c r="R220" s="16" t="n">
        <v>350.95</v>
      </c>
      <c r="S220" s="16" t="n">
        <v>350.95</v>
      </c>
      <c r="T220" s="16" t="n">
        <v>350.95</v>
      </c>
      <c r="U220" s="16" t="n">
        <v>350</v>
      </c>
      <c r="V220" s="16" t="n">
        <v>0</v>
      </c>
      <c r="W220" s="16">
        <f>U220+V220</f>
        <v/>
      </c>
    </row>
    <row r="221">
      <c r="A221" s="3" t="inlineStr">
        <is>
          <t>CANON-202607-007949</t>
        </is>
      </c>
      <c r="B221" s="3" t="inlineStr">
        <is>
          <t>2026-07-15</t>
        </is>
      </c>
      <c r="C221" s="3" t="inlineStr">
        <is>
          <t>Horace Bellandi</t>
        </is>
      </c>
      <c r="D221" s="3" t="inlineStr">
        <is>
          <t>NM</t>
        </is>
      </c>
      <c r="E221" s="14" t="n">
        <v>235000</v>
      </c>
      <c r="F221" s="14" t="n">
        <v>2461.85</v>
      </c>
      <c r="G221" s="14" t="n">
        <v>307.73</v>
      </c>
      <c r="H221" s="14" t="n">
        <v>307.73</v>
      </c>
      <c r="I221" s="14">
        <f>SUM(K221:T221)</f>
        <v/>
      </c>
      <c r="J221" s="14">
        <f>F221-(G221+H221+I221)</f>
        <v/>
      </c>
      <c r="K221" s="14" t="n">
        <v>184.64</v>
      </c>
      <c r="L221" s="14" t="n">
        <v>184.64</v>
      </c>
      <c r="M221" s="14" t="n">
        <v>184.64</v>
      </c>
      <c r="N221" s="14" t="n">
        <v>184.64</v>
      </c>
      <c r="O221" s="14" t="n">
        <v>184.64</v>
      </c>
      <c r="P221" s="14" t="n">
        <v>184.64</v>
      </c>
      <c r="Q221" s="14" t="n">
        <v>184.64</v>
      </c>
      <c r="R221" s="14" t="n">
        <v>184.64</v>
      </c>
      <c r="S221" s="14" t="n">
        <v>184.64</v>
      </c>
      <c r="T221" s="14" t="n">
        <v>184.64</v>
      </c>
      <c r="U221" s="14" t="n">
        <v>350</v>
      </c>
      <c r="V221" s="14" t="n">
        <v>0</v>
      </c>
      <c r="W221" s="14">
        <f>U221+V221</f>
        <v/>
      </c>
    </row>
    <row r="222">
      <c r="A222" s="15" t="inlineStr">
        <is>
          <t>CANON-202607-007954</t>
        </is>
      </c>
      <c r="B222" s="15" t="inlineStr">
        <is>
          <t>2026-07-27</t>
        </is>
      </c>
      <c r="C222" s="15" t="inlineStr">
        <is>
          <t>Lorenzo Bellandi</t>
        </is>
      </c>
      <c r="D222" s="15" t="inlineStr">
        <is>
          <t>TX</t>
        </is>
      </c>
      <c r="E222" s="16" t="n">
        <v>730000</v>
      </c>
      <c r="F222" s="16" t="n">
        <v>5183.2</v>
      </c>
      <c r="G222" s="16" t="n">
        <v>647.9</v>
      </c>
      <c r="H222" s="16" t="n">
        <v>647.9</v>
      </c>
      <c r="I222" s="16">
        <f>SUM(K222:T222)</f>
        <v/>
      </c>
      <c r="J222" s="16">
        <f>F222-(G222+H222+I222)</f>
        <v/>
      </c>
      <c r="K222" s="16" t="n">
        <v>388.74</v>
      </c>
      <c r="L222" s="16" t="n">
        <v>388.74</v>
      </c>
      <c r="M222" s="16" t="n">
        <v>388.74</v>
      </c>
      <c r="N222" s="16" t="n">
        <v>388.74</v>
      </c>
      <c r="O222" s="16" t="n">
        <v>388.74</v>
      </c>
      <c r="P222" s="16" t="n">
        <v>388.74</v>
      </c>
      <c r="Q222" s="16" t="n">
        <v>388.74</v>
      </c>
      <c r="R222" s="16" t="n">
        <v>388.74</v>
      </c>
      <c r="S222" s="16" t="n">
        <v>388.74</v>
      </c>
      <c r="T222" s="16" t="n">
        <v>388.74</v>
      </c>
      <c r="U222" s="16" t="n">
        <v>350</v>
      </c>
      <c r="V222" s="16" t="n">
        <v>0</v>
      </c>
      <c r="W222" s="16">
        <f>U222+V222</f>
        <v/>
      </c>
    </row>
    <row r="223">
      <c r="A223" s="3" t="inlineStr">
        <is>
          <t>CANON-202607-007956</t>
        </is>
      </c>
      <c r="B223" s="3" t="inlineStr">
        <is>
          <t>2026-07-31</t>
        </is>
      </c>
      <c r="C223" s="3" t="inlineStr">
        <is>
          <t>Noor Fairweather</t>
        </is>
      </c>
      <c r="D223" s="3" t="inlineStr">
        <is>
          <t>TN</t>
        </is>
      </c>
      <c r="E223" s="14" t="n">
        <v>280000</v>
      </c>
      <c r="F223" s="14" t="n">
        <v>2954.98</v>
      </c>
      <c r="G223" s="14" t="n">
        <v>369.37</v>
      </c>
      <c r="H223" s="14" t="n">
        <v>369.37</v>
      </c>
      <c r="I223" s="14">
        <f>SUM(K223:T223)</f>
        <v/>
      </c>
      <c r="J223" s="14">
        <f>F223-(G223+H223+I223)</f>
        <v/>
      </c>
      <c r="K223" s="14" t="n">
        <v>221.62</v>
      </c>
      <c r="L223" s="14" t="n">
        <v>221.62</v>
      </c>
      <c r="M223" s="14" t="n">
        <v>221.62</v>
      </c>
      <c r="N223" s="14" t="n">
        <v>221.62</v>
      </c>
      <c r="O223" s="14" t="n">
        <v>221.62</v>
      </c>
      <c r="P223" s="14" t="n">
        <v>221.62</v>
      </c>
      <c r="Q223" s="14" t="n">
        <v>221.62</v>
      </c>
      <c r="R223" s="14" t="n">
        <v>221.62</v>
      </c>
      <c r="S223" s="14" t="n">
        <v>221.62</v>
      </c>
      <c r="T223" s="14" t="n">
        <v>221.62</v>
      </c>
      <c r="U223" s="14" t="n">
        <v>350</v>
      </c>
      <c r="V223" s="14" t="n">
        <v>0</v>
      </c>
      <c r="W223" s="14">
        <f>U223+V223</f>
        <v/>
      </c>
    </row>
    <row r="224">
      <c r="A224" s="15" t="inlineStr">
        <is>
          <t>CANON-202607-007957</t>
        </is>
      </c>
      <c r="B224" s="15" t="inlineStr">
        <is>
          <t>2026-07-09</t>
        </is>
      </c>
      <c r="C224" s="15" t="inlineStr">
        <is>
          <t>Priya Okonkwo</t>
        </is>
      </c>
      <c r="D224" s="15" t="inlineStr">
        <is>
          <t>CT</t>
        </is>
      </c>
      <c r="E224" s="16" t="n">
        <v>450000</v>
      </c>
      <c r="F224" s="16" t="n">
        <v>5427.51</v>
      </c>
      <c r="G224" s="16" t="n">
        <v>678.4400000000001</v>
      </c>
      <c r="H224" s="16" t="n">
        <v>678.4400000000001</v>
      </c>
      <c r="I224" s="16">
        <f>SUM(K224:T224)</f>
        <v/>
      </c>
      <c r="J224" s="16">
        <f>F224-(G224+H224+I224)</f>
        <v/>
      </c>
      <c r="K224" s="16" t="n">
        <v>407.06</v>
      </c>
      <c r="L224" s="16" t="n">
        <v>407.06</v>
      </c>
      <c r="M224" s="16" t="n">
        <v>407.06</v>
      </c>
      <c r="N224" s="16" t="n">
        <v>407.06</v>
      </c>
      <c r="O224" s="16" t="n">
        <v>407.06</v>
      </c>
      <c r="P224" s="16" t="n">
        <v>407.06</v>
      </c>
      <c r="Q224" s="16" t="n">
        <v>407.06</v>
      </c>
      <c r="R224" s="16" t="n">
        <v>407.06</v>
      </c>
      <c r="S224" s="16" t="n">
        <v>407.06</v>
      </c>
      <c r="T224" s="16" t="n">
        <v>407.06</v>
      </c>
      <c r="U224" s="16" t="n">
        <v>350</v>
      </c>
      <c r="V224" s="16" t="n">
        <v>0</v>
      </c>
      <c r="W224" s="16">
        <f>U224+V224</f>
        <v/>
      </c>
    </row>
    <row r="225">
      <c r="A225" s="3" t="inlineStr">
        <is>
          <t>CANON-202607-007959</t>
        </is>
      </c>
      <c r="B225" s="3" t="inlineStr">
        <is>
          <t>2026-07-20</t>
        </is>
      </c>
      <c r="C225" s="3" t="inlineStr">
        <is>
          <t>Anouk Kingsford</t>
        </is>
      </c>
      <c r="D225" s="3" t="inlineStr">
        <is>
          <t>PA</t>
        </is>
      </c>
      <c r="E225" s="14" t="n">
        <v>340000</v>
      </c>
      <c r="F225" s="14" t="n">
        <v>3661.41</v>
      </c>
      <c r="G225" s="14" t="n">
        <v>457.68</v>
      </c>
      <c r="H225" s="14" t="n">
        <v>457.68</v>
      </c>
      <c r="I225" s="14">
        <f>SUM(K225:T225)</f>
        <v/>
      </c>
      <c r="J225" s="14">
        <f>F225-(G225+H225+I225)</f>
        <v/>
      </c>
      <c r="K225" s="14" t="n">
        <v>274.61</v>
      </c>
      <c r="L225" s="14" t="n">
        <v>274.61</v>
      </c>
      <c r="M225" s="14" t="n">
        <v>274.61</v>
      </c>
      <c r="N225" s="14" t="n">
        <v>274.61</v>
      </c>
      <c r="O225" s="14" t="n">
        <v>274.61</v>
      </c>
      <c r="P225" s="14" t="n">
        <v>274.61</v>
      </c>
      <c r="Q225" s="14" t="n">
        <v>274.61</v>
      </c>
      <c r="R225" s="14" t="n">
        <v>274.61</v>
      </c>
      <c r="S225" s="14" t="n">
        <v>274.61</v>
      </c>
      <c r="T225" s="14" t="n">
        <v>274.61</v>
      </c>
      <c r="U225" s="14" t="n">
        <v>350</v>
      </c>
      <c r="V225" s="14" t="n">
        <v>0</v>
      </c>
      <c r="W225" s="14">
        <f>U225+V225</f>
        <v/>
      </c>
    </row>
    <row r="226">
      <c r="A226" s="15" t="inlineStr">
        <is>
          <t>CANON-202607-007960</t>
        </is>
      </c>
      <c r="B226" s="15" t="inlineStr">
        <is>
          <t>2026-07-05</t>
        </is>
      </c>
      <c r="C226" s="15" t="inlineStr">
        <is>
          <t>Cassius Rourke</t>
        </is>
      </c>
      <c r="D226" s="15" t="inlineStr">
        <is>
          <t>MA</t>
        </is>
      </c>
      <c r="E226" s="16" t="n">
        <v>340000</v>
      </c>
      <c r="F226" s="16" t="n">
        <v>7017.71</v>
      </c>
      <c r="G226" s="16" t="n">
        <v>877.21</v>
      </c>
      <c r="H226" s="16" t="n">
        <v>877.21</v>
      </c>
      <c r="I226" s="16">
        <f>SUM(K226:T226)</f>
        <v/>
      </c>
      <c r="J226" s="16">
        <f>F226-(G226+H226+I226)</f>
        <v/>
      </c>
      <c r="K226" s="16" t="n">
        <v>526.33</v>
      </c>
      <c r="L226" s="16" t="n">
        <v>526.33</v>
      </c>
      <c r="M226" s="16" t="n">
        <v>526.33</v>
      </c>
      <c r="N226" s="16" t="n">
        <v>526.33</v>
      </c>
      <c r="O226" s="16" t="n">
        <v>526.33</v>
      </c>
      <c r="P226" s="16" t="n">
        <v>526.33</v>
      </c>
      <c r="Q226" s="16" t="n">
        <v>526.33</v>
      </c>
      <c r="R226" s="16" t="n">
        <v>526.33</v>
      </c>
      <c r="S226" s="16" t="n">
        <v>526.33</v>
      </c>
      <c r="T226" s="16" t="n">
        <v>526.33</v>
      </c>
      <c r="U226" s="16" t="n">
        <v>350</v>
      </c>
      <c r="V226" s="16" t="n">
        <v>0</v>
      </c>
      <c r="W226" s="16">
        <f>U226+V226</f>
        <v/>
      </c>
    </row>
    <row r="227">
      <c r="A227" s="3" t="inlineStr">
        <is>
          <t>CANON-202607-007961</t>
        </is>
      </c>
      <c r="B227" s="3" t="inlineStr">
        <is>
          <t>2026-07-03</t>
        </is>
      </c>
      <c r="C227" s="3" t="inlineStr">
        <is>
          <t>Anouk Ashcombe</t>
        </is>
      </c>
      <c r="D227" s="3" t="inlineStr">
        <is>
          <t>CT</t>
        </is>
      </c>
      <c r="E227" s="14" t="n">
        <v>715000</v>
      </c>
      <c r="F227" s="14" t="n">
        <v>7473.88</v>
      </c>
      <c r="G227" s="14" t="n">
        <v>934.24</v>
      </c>
      <c r="H227" s="14" t="n">
        <v>934.24</v>
      </c>
      <c r="I227" s="14">
        <f>SUM(K227:T227)</f>
        <v/>
      </c>
      <c r="J227" s="14">
        <f>F227-(G227+H227+I227)</f>
        <v/>
      </c>
      <c r="K227" s="14" t="n">
        <v>560.54</v>
      </c>
      <c r="L227" s="14" t="n">
        <v>560.54</v>
      </c>
      <c r="M227" s="14" t="n">
        <v>560.54</v>
      </c>
      <c r="N227" s="14" t="n">
        <v>560.54</v>
      </c>
      <c r="O227" s="14" t="n">
        <v>560.54</v>
      </c>
      <c r="P227" s="14" t="n">
        <v>560.54</v>
      </c>
      <c r="Q227" s="14" t="n">
        <v>560.54</v>
      </c>
      <c r="R227" s="14" t="n">
        <v>560.54</v>
      </c>
      <c r="S227" s="14" t="n">
        <v>560.54</v>
      </c>
      <c r="T227" s="14" t="n">
        <v>560.54</v>
      </c>
      <c r="U227" s="14" t="n">
        <v>350</v>
      </c>
      <c r="V227" s="14" t="n">
        <v>0</v>
      </c>
      <c r="W227" s="14">
        <f>U227+V227</f>
        <v/>
      </c>
    </row>
    <row r="228">
      <c r="A228" s="15" t="inlineStr">
        <is>
          <t>CANON-202607-007962</t>
        </is>
      </c>
      <c r="B228" s="15" t="inlineStr">
        <is>
          <t>2026-07-19</t>
        </is>
      </c>
      <c r="C228" s="15" t="inlineStr">
        <is>
          <t>Anouk Larsson</t>
        </is>
      </c>
      <c r="D228" s="15" t="inlineStr">
        <is>
          <t>IL</t>
        </is>
      </c>
      <c r="E228" s="16" t="n">
        <v>280000</v>
      </c>
      <c r="F228" s="16" t="n">
        <v>4100.79</v>
      </c>
      <c r="G228" s="16" t="n">
        <v>512.6</v>
      </c>
      <c r="H228" s="16" t="n">
        <v>512.6</v>
      </c>
      <c r="I228" s="16">
        <f>SUM(K228:T228)</f>
        <v/>
      </c>
      <c r="J228" s="16">
        <f>F228-(G228+H228+I228)</f>
        <v/>
      </c>
      <c r="K228" s="16" t="n">
        <v>307.56</v>
      </c>
      <c r="L228" s="16" t="n">
        <v>307.56</v>
      </c>
      <c r="M228" s="16" t="n">
        <v>307.56</v>
      </c>
      <c r="N228" s="16" t="n">
        <v>307.56</v>
      </c>
      <c r="O228" s="16" t="n">
        <v>307.56</v>
      </c>
      <c r="P228" s="16" t="n">
        <v>307.56</v>
      </c>
      <c r="Q228" s="16" t="n">
        <v>307.56</v>
      </c>
      <c r="R228" s="16" t="n">
        <v>307.56</v>
      </c>
      <c r="S228" s="16" t="n">
        <v>307.56</v>
      </c>
      <c r="T228" s="16" t="n">
        <v>307.56</v>
      </c>
      <c r="U228" s="16" t="n">
        <v>350</v>
      </c>
      <c r="V228" s="16" t="n">
        <v>0</v>
      </c>
      <c r="W228" s="16">
        <f>U228+V228</f>
        <v/>
      </c>
    </row>
    <row r="229">
      <c r="A229" s="3" t="inlineStr">
        <is>
          <t>CANON-202607-007963</t>
        </is>
      </c>
      <c r="B229" s="3" t="inlineStr">
        <is>
          <t>2026-07-12</t>
        </is>
      </c>
      <c r="C229" s="3" t="inlineStr">
        <is>
          <t>Aurelio Nakashima</t>
        </is>
      </c>
      <c r="D229" s="3" t="inlineStr">
        <is>
          <t>SD</t>
        </is>
      </c>
      <c r="E229" s="14" t="n">
        <v>1465000</v>
      </c>
      <c r="F229" s="14" t="n">
        <v>12841.98</v>
      </c>
      <c r="G229" s="14" t="n">
        <v>1605.25</v>
      </c>
      <c r="H229" s="14" t="n">
        <v>1605.25</v>
      </c>
      <c r="I229" s="14">
        <f>SUM(K229:T229)</f>
        <v/>
      </c>
      <c r="J229" s="14">
        <f>F229-(G229+H229+I229)</f>
        <v/>
      </c>
      <c r="K229" s="14" t="n">
        <v>963.15</v>
      </c>
      <c r="L229" s="14" t="n">
        <v>963.15</v>
      </c>
      <c r="M229" s="14" t="n">
        <v>963.15</v>
      </c>
      <c r="N229" s="14" t="n">
        <v>963.15</v>
      </c>
      <c r="O229" s="14" t="n">
        <v>963.15</v>
      </c>
      <c r="P229" s="14" t="n">
        <v>963.15</v>
      </c>
      <c r="Q229" s="14" t="n">
        <v>963.15</v>
      </c>
      <c r="R229" s="14" t="n">
        <v>963.15</v>
      </c>
      <c r="S229" s="14" t="n">
        <v>963.15</v>
      </c>
      <c r="T229" s="14" t="n">
        <v>963.15</v>
      </c>
      <c r="U229" s="14" t="n">
        <v>350</v>
      </c>
      <c r="V229" s="14" t="n">
        <v>250</v>
      </c>
      <c r="W229" s="14">
        <f>U229+V229</f>
        <v/>
      </c>
    </row>
    <row r="230">
      <c r="A230" s="15" t="inlineStr">
        <is>
          <t>CANON-202607-007964</t>
        </is>
      </c>
      <c r="B230" s="15" t="inlineStr">
        <is>
          <t>2026-07-14</t>
        </is>
      </c>
      <c r="C230" s="15" t="inlineStr">
        <is>
          <t>Lorenzo Merriweather</t>
        </is>
      </c>
      <c r="D230" s="15" t="inlineStr">
        <is>
          <t>KS</t>
        </is>
      </c>
      <c r="E230" s="16" t="n">
        <v>1120000</v>
      </c>
      <c r="F230" s="16" t="n">
        <v>12479.25</v>
      </c>
      <c r="G230" s="16" t="n">
        <v>1559.91</v>
      </c>
      <c r="H230" s="16" t="n">
        <v>1559.91</v>
      </c>
      <c r="I230" s="16">
        <f>SUM(K230:T230)</f>
        <v/>
      </c>
      <c r="J230" s="16">
        <f>F230-(G230+H230+I230)</f>
        <v/>
      </c>
      <c r="K230" s="16" t="n">
        <v>935.9400000000001</v>
      </c>
      <c r="L230" s="16" t="n">
        <v>935.9400000000001</v>
      </c>
      <c r="M230" s="16" t="n">
        <v>935.9400000000001</v>
      </c>
      <c r="N230" s="16" t="n">
        <v>935.9400000000001</v>
      </c>
      <c r="O230" s="16" t="n">
        <v>935.9400000000001</v>
      </c>
      <c r="P230" s="16" t="n">
        <v>935.9400000000001</v>
      </c>
      <c r="Q230" s="16" t="n">
        <v>935.9400000000001</v>
      </c>
      <c r="R230" s="16" t="n">
        <v>935.9400000000001</v>
      </c>
      <c r="S230" s="16" t="n">
        <v>935.9400000000001</v>
      </c>
      <c r="T230" s="16" t="n">
        <v>935.9400000000001</v>
      </c>
      <c r="U230" s="16" t="n">
        <v>350</v>
      </c>
      <c r="V230" s="16" t="n">
        <v>250</v>
      </c>
      <c r="W230" s="16">
        <f>U230+V230</f>
        <v/>
      </c>
    </row>
    <row r="231">
      <c r="A231" s="3" t="inlineStr">
        <is>
          <t>CANON-202607-007965</t>
        </is>
      </c>
      <c r="B231" s="3" t="inlineStr">
        <is>
          <t>2026-07-12</t>
        </is>
      </c>
      <c r="C231" s="3" t="inlineStr">
        <is>
          <t>Cassius Bellandi</t>
        </is>
      </c>
      <c r="D231" s="3" t="inlineStr">
        <is>
          <t>UT</t>
        </is>
      </c>
      <c r="E231" s="14" t="n">
        <v>640000</v>
      </c>
      <c r="F231" s="14" t="n">
        <v>11785.45</v>
      </c>
      <c r="G231" s="14" t="n">
        <v>1473.18</v>
      </c>
      <c r="H231" s="14" t="n">
        <v>1473.18</v>
      </c>
      <c r="I231" s="14">
        <f>SUM(K231:T231)</f>
        <v/>
      </c>
      <c r="J231" s="14">
        <f>F231-(G231+H231+I231)</f>
        <v/>
      </c>
      <c r="K231" s="14" t="n">
        <v>883.91</v>
      </c>
      <c r="L231" s="14" t="n">
        <v>883.91</v>
      </c>
      <c r="M231" s="14" t="n">
        <v>883.91</v>
      </c>
      <c r="N231" s="14" t="n">
        <v>883.91</v>
      </c>
      <c r="O231" s="14" t="n">
        <v>883.91</v>
      </c>
      <c r="P231" s="14" t="n">
        <v>883.91</v>
      </c>
      <c r="Q231" s="14" t="n">
        <v>883.91</v>
      </c>
      <c r="R231" s="14" t="n">
        <v>883.91</v>
      </c>
      <c r="S231" s="14" t="n">
        <v>883.91</v>
      </c>
      <c r="T231" s="14" t="n">
        <v>883.91</v>
      </c>
      <c r="U231" s="14" t="n">
        <v>350</v>
      </c>
      <c r="V231" s="14" t="n">
        <v>0</v>
      </c>
      <c r="W231" s="14">
        <f>U231+V231</f>
        <v/>
      </c>
    </row>
    <row r="232">
      <c r="A232" s="15" t="inlineStr">
        <is>
          <t>CANON-202607-007967</t>
        </is>
      </c>
      <c r="B232" s="15" t="inlineStr">
        <is>
          <t>2026-07-15</t>
        </is>
      </c>
      <c r="C232" s="15" t="inlineStr">
        <is>
          <t>Thaddeus Pennington</t>
        </is>
      </c>
      <c r="D232" s="15" t="inlineStr">
        <is>
          <t>ND</t>
        </is>
      </c>
      <c r="E232" s="16" t="n">
        <v>270000</v>
      </c>
      <c r="F232" s="16" t="n">
        <v>2965.75</v>
      </c>
      <c r="G232" s="16" t="n">
        <v>370.72</v>
      </c>
      <c r="H232" s="16" t="n">
        <v>370.72</v>
      </c>
      <c r="I232" s="16">
        <f>SUM(K232:T232)</f>
        <v/>
      </c>
      <c r="J232" s="16">
        <f>F232-(G232+H232+I232)</f>
        <v/>
      </c>
      <c r="K232" s="16" t="n">
        <v>222.43</v>
      </c>
      <c r="L232" s="16" t="n">
        <v>222.43</v>
      </c>
      <c r="M232" s="16" t="n">
        <v>222.43</v>
      </c>
      <c r="N232" s="16" t="n">
        <v>222.43</v>
      </c>
      <c r="O232" s="16" t="n">
        <v>222.43</v>
      </c>
      <c r="P232" s="16" t="n">
        <v>222.43</v>
      </c>
      <c r="Q232" s="16" t="n">
        <v>222.43</v>
      </c>
      <c r="R232" s="16" t="n">
        <v>222.43</v>
      </c>
      <c r="S232" s="16" t="n">
        <v>222.43</v>
      </c>
      <c r="T232" s="16" t="n">
        <v>222.43</v>
      </c>
      <c r="U232" s="16" t="n">
        <v>350</v>
      </c>
      <c r="V232" s="16" t="n">
        <v>0</v>
      </c>
      <c r="W232" s="16">
        <f>U232+V232</f>
        <v/>
      </c>
    </row>
    <row r="233">
      <c r="A233" s="3" t="inlineStr">
        <is>
          <t>CANON-202607-007968</t>
        </is>
      </c>
      <c r="B233" s="3" t="inlineStr">
        <is>
          <t>2026-07-16</t>
        </is>
      </c>
      <c r="C233" s="3" t="inlineStr">
        <is>
          <t>Thaddeus Farkas</t>
        </is>
      </c>
      <c r="D233" s="3" t="inlineStr">
        <is>
          <t>FL</t>
        </is>
      </c>
      <c r="E233" s="14" t="n">
        <v>445000</v>
      </c>
      <c r="F233" s="14" t="n">
        <v>6804.85</v>
      </c>
      <c r="G233" s="14" t="n">
        <v>850.61</v>
      </c>
      <c r="H233" s="14" t="n">
        <v>850.61</v>
      </c>
      <c r="I233" s="14">
        <f>SUM(K233:T233)</f>
        <v/>
      </c>
      <c r="J233" s="14">
        <f>F233-(G233+H233+I233)</f>
        <v/>
      </c>
      <c r="K233" s="14" t="n">
        <v>510.36</v>
      </c>
      <c r="L233" s="14" t="n">
        <v>510.36</v>
      </c>
      <c r="M233" s="14" t="n">
        <v>510.36</v>
      </c>
      <c r="N233" s="14" t="n">
        <v>510.36</v>
      </c>
      <c r="O233" s="14" t="n">
        <v>510.36</v>
      </c>
      <c r="P233" s="14" t="n">
        <v>510.36</v>
      </c>
      <c r="Q233" s="14" t="n">
        <v>510.36</v>
      </c>
      <c r="R233" s="14" t="n">
        <v>510.36</v>
      </c>
      <c r="S233" s="14" t="n">
        <v>510.36</v>
      </c>
      <c r="T233" s="14" t="n">
        <v>510.36</v>
      </c>
      <c r="U233" s="14" t="n">
        <v>350</v>
      </c>
      <c r="V233" s="14" t="n">
        <v>0</v>
      </c>
      <c r="W233" s="14">
        <f>U233+V233</f>
        <v/>
      </c>
    </row>
    <row r="234">
      <c r="A234" s="15" t="inlineStr">
        <is>
          <t>CANON-202607-007971</t>
        </is>
      </c>
      <c r="B234" s="15" t="inlineStr">
        <is>
          <t>2026-07-24</t>
        </is>
      </c>
      <c r="C234" s="15" t="inlineStr">
        <is>
          <t>Cassius Bellandi</t>
        </is>
      </c>
      <c r="D234" s="15" t="inlineStr">
        <is>
          <t>PA</t>
        </is>
      </c>
      <c r="E234" s="16" t="n">
        <v>140000</v>
      </c>
      <c r="F234" s="16" t="n">
        <v>1005.09</v>
      </c>
      <c r="G234" s="16" t="n">
        <v>125.64</v>
      </c>
      <c r="H234" s="16" t="n">
        <v>125.64</v>
      </c>
      <c r="I234" s="16">
        <f>SUM(K234:T234)</f>
        <v/>
      </c>
      <c r="J234" s="16">
        <f>F234-(G234+H234+I234)</f>
        <v/>
      </c>
      <c r="K234" s="16" t="n">
        <v>75.38</v>
      </c>
      <c r="L234" s="16" t="n">
        <v>75.38</v>
      </c>
      <c r="M234" s="16" t="n">
        <v>75.38</v>
      </c>
      <c r="N234" s="16" t="n">
        <v>75.38</v>
      </c>
      <c r="O234" s="16" t="n">
        <v>75.38</v>
      </c>
      <c r="P234" s="16" t="n">
        <v>75.38</v>
      </c>
      <c r="Q234" s="16" t="n">
        <v>75.38</v>
      </c>
      <c r="R234" s="16" t="n">
        <v>75.38</v>
      </c>
      <c r="S234" s="16" t="n">
        <v>75.38</v>
      </c>
      <c r="T234" s="16" t="n">
        <v>75.38</v>
      </c>
      <c r="U234" s="16" t="n">
        <v>350</v>
      </c>
      <c r="V234" s="16" t="n">
        <v>0</v>
      </c>
      <c r="W234" s="16">
        <f>U234+V234</f>
        <v/>
      </c>
    </row>
    <row r="235">
      <c r="A235" s="3" t="inlineStr">
        <is>
          <t>CANON-202607-007972</t>
        </is>
      </c>
      <c r="B235" s="3" t="inlineStr">
        <is>
          <t>2026-07-19</t>
        </is>
      </c>
      <c r="C235" s="3" t="inlineStr">
        <is>
          <t>Ramona Chattopadhyay</t>
        </is>
      </c>
      <c r="D235" s="3" t="inlineStr">
        <is>
          <t>WA</t>
        </is>
      </c>
      <c r="E235" s="14" t="n">
        <v>655000</v>
      </c>
      <c r="F235" s="14" t="n">
        <v>3430.88</v>
      </c>
      <c r="G235" s="14" t="n">
        <v>428.86</v>
      </c>
      <c r="H235" s="14" t="n">
        <v>428.86</v>
      </c>
      <c r="I235" s="14">
        <f>SUM(K235:T235)</f>
        <v/>
      </c>
      <c r="J235" s="14">
        <f>F235-(G235+H235+I235)</f>
        <v/>
      </c>
      <c r="K235" s="14" t="n">
        <v>257.32</v>
      </c>
      <c r="L235" s="14" t="n">
        <v>257.32</v>
      </c>
      <c r="M235" s="14" t="n">
        <v>257.32</v>
      </c>
      <c r="N235" s="14" t="n">
        <v>257.32</v>
      </c>
      <c r="O235" s="14" t="n">
        <v>257.32</v>
      </c>
      <c r="P235" s="14" t="n">
        <v>257.32</v>
      </c>
      <c r="Q235" s="14" t="n">
        <v>257.32</v>
      </c>
      <c r="R235" s="14" t="n">
        <v>257.32</v>
      </c>
      <c r="S235" s="14" t="n">
        <v>257.32</v>
      </c>
      <c r="T235" s="14" t="n">
        <v>257.32</v>
      </c>
      <c r="U235" s="14" t="n">
        <v>350</v>
      </c>
      <c r="V235" s="14" t="n">
        <v>0</v>
      </c>
      <c r="W235" s="14">
        <f>U235+V235</f>
        <v/>
      </c>
    </row>
    <row r="236">
      <c r="A236" s="15" t="inlineStr">
        <is>
          <t>CANON-202607-007974</t>
        </is>
      </c>
      <c r="B236" s="15" t="inlineStr">
        <is>
          <t>2026-07-24</t>
        </is>
      </c>
      <c r="C236" s="15" t="inlineStr">
        <is>
          <t>Wilhelmina Thistlewood</t>
        </is>
      </c>
      <c r="D236" s="15" t="inlineStr">
        <is>
          <t>NM</t>
        </is>
      </c>
      <c r="E236" s="16" t="n">
        <v>175000</v>
      </c>
      <c r="F236" s="16" t="n">
        <v>2959</v>
      </c>
      <c r="G236" s="16" t="n">
        <v>369.88</v>
      </c>
      <c r="H236" s="16" t="n">
        <v>369.88</v>
      </c>
      <c r="I236" s="16">
        <f>SUM(K236:T236)</f>
        <v/>
      </c>
      <c r="J236" s="16">
        <f>F236-(G236+H236+I236)</f>
        <v/>
      </c>
      <c r="K236" s="16" t="n">
        <v>221.92</v>
      </c>
      <c r="L236" s="16" t="n">
        <v>221.92</v>
      </c>
      <c r="M236" s="16" t="n">
        <v>221.92</v>
      </c>
      <c r="N236" s="16" t="n">
        <v>221.92</v>
      </c>
      <c r="O236" s="16" t="n">
        <v>221.92</v>
      </c>
      <c r="P236" s="16" t="n">
        <v>221.92</v>
      </c>
      <c r="Q236" s="16" t="n">
        <v>221.92</v>
      </c>
      <c r="R236" s="16" t="n">
        <v>221.92</v>
      </c>
      <c r="S236" s="16" t="n">
        <v>221.92</v>
      </c>
      <c r="T236" s="16" t="n">
        <v>221.92</v>
      </c>
      <c r="U236" s="16" t="n">
        <v>350</v>
      </c>
      <c r="V236" s="16" t="n">
        <v>0</v>
      </c>
      <c r="W236" s="16">
        <f>U236+V236</f>
        <v/>
      </c>
    </row>
    <row r="237">
      <c r="A237" s="3" t="inlineStr">
        <is>
          <t>CANON-202607-007975</t>
        </is>
      </c>
      <c r="B237" s="3" t="inlineStr">
        <is>
          <t>2026-07-21</t>
        </is>
      </c>
      <c r="C237" s="3" t="inlineStr">
        <is>
          <t>Fenwick Kingsford</t>
        </is>
      </c>
      <c r="D237" s="3" t="inlineStr">
        <is>
          <t>PA</t>
        </is>
      </c>
      <c r="E237" s="14" t="n">
        <v>655000</v>
      </c>
      <c r="F237" s="14" t="n">
        <v>6113.13</v>
      </c>
      <c r="G237" s="14" t="n">
        <v>764.14</v>
      </c>
      <c r="H237" s="14" t="n">
        <v>764.14</v>
      </c>
      <c r="I237" s="14">
        <f>SUM(K237:T237)</f>
        <v/>
      </c>
      <c r="J237" s="14">
        <f>F237-(G237+H237+I237)</f>
        <v/>
      </c>
      <c r="K237" s="14" t="n">
        <v>458.48</v>
      </c>
      <c r="L237" s="14" t="n">
        <v>458.48</v>
      </c>
      <c r="M237" s="14" t="n">
        <v>458.48</v>
      </c>
      <c r="N237" s="14" t="n">
        <v>458.48</v>
      </c>
      <c r="O237" s="14" t="n">
        <v>458.48</v>
      </c>
      <c r="P237" s="14" t="n">
        <v>458.48</v>
      </c>
      <c r="Q237" s="14" t="n">
        <v>458.48</v>
      </c>
      <c r="R237" s="14" t="n">
        <v>458.48</v>
      </c>
      <c r="S237" s="14" t="n">
        <v>458.48</v>
      </c>
      <c r="T237" s="14" t="n">
        <v>458.48</v>
      </c>
      <c r="U237" s="14" t="n">
        <v>350</v>
      </c>
      <c r="V237" s="14" t="n">
        <v>0</v>
      </c>
      <c r="W237" s="14">
        <f>U237+V237</f>
        <v/>
      </c>
    </row>
    <row r="238">
      <c r="A238" s="15" t="inlineStr">
        <is>
          <t>CANON-202607-007976</t>
        </is>
      </c>
      <c r="B238" s="15" t="inlineStr">
        <is>
          <t>2026-07-10</t>
        </is>
      </c>
      <c r="C238" s="15" t="inlineStr">
        <is>
          <t>Saoirse Larsson</t>
        </is>
      </c>
      <c r="D238" s="15" t="inlineStr">
        <is>
          <t>FL</t>
        </is>
      </c>
      <c r="E238" s="16" t="n">
        <v>350000</v>
      </c>
      <c r="F238" s="16" t="n">
        <v>5352.13</v>
      </c>
      <c r="G238" s="16" t="n">
        <v>669.02</v>
      </c>
      <c r="H238" s="16" t="n">
        <v>669.02</v>
      </c>
      <c r="I238" s="16">
        <f>SUM(K238:T238)</f>
        <v/>
      </c>
      <c r="J238" s="16">
        <f>F238-(G238+H238+I238)</f>
        <v/>
      </c>
      <c r="K238" s="16" t="n">
        <v>401.41</v>
      </c>
      <c r="L238" s="16" t="n">
        <v>401.41</v>
      </c>
      <c r="M238" s="16" t="n">
        <v>401.41</v>
      </c>
      <c r="N238" s="16" t="n">
        <v>401.41</v>
      </c>
      <c r="O238" s="16" t="n">
        <v>401.41</v>
      </c>
      <c r="P238" s="16" t="n">
        <v>401.41</v>
      </c>
      <c r="Q238" s="16" t="n">
        <v>401.41</v>
      </c>
      <c r="R238" s="16" t="n">
        <v>401.41</v>
      </c>
      <c r="S238" s="16" t="n">
        <v>401.41</v>
      </c>
      <c r="T238" s="16" t="n">
        <v>401.41</v>
      </c>
      <c r="U238" s="16" t="n">
        <v>350</v>
      </c>
      <c r="V238" s="16" t="n">
        <v>0</v>
      </c>
      <c r="W238" s="16">
        <f>U238+V238</f>
        <v/>
      </c>
    </row>
    <row r="239">
      <c r="A239" s="3" t="inlineStr">
        <is>
          <t>CANON-202607-007977</t>
        </is>
      </c>
      <c r="B239" s="3" t="inlineStr">
        <is>
          <t>2026-07-01</t>
        </is>
      </c>
      <c r="C239" s="3" t="inlineStr">
        <is>
          <t>Horace Okonkwo</t>
        </is>
      </c>
      <c r="D239" s="3" t="inlineStr">
        <is>
          <t>WA</t>
        </is>
      </c>
      <c r="E239" s="14" t="n">
        <v>735000</v>
      </c>
      <c r="F239" s="14" t="n">
        <v>6585.37</v>
      </c>
      <c r="G239" s="14" t="n">
        <v>823.17</v>
      </c>
      <c r="H239" s="14" t="n">
        <v>823.17</v>
      </c>
      <c r="I239" s="14">
        <f>SUM(K239:T239)</f>
        <v/>
      </c>
      <c r="J239" s="14">
        <f>F239-(G239+H239+I239)</f>
        <v/>
      </c>
      <c r="K239" s="14" t="n">
        <v>493.9</v>
      </c>
      <c r="L239" s="14" t="n">
        <v>493.9</v>
      </c>
      <c r="M239" s="14" t="n">
        <v>493.9</v>
      </c>
      <c r="N239" s="14" t="n">
        <v>493.9</v>
      </c>
      <c r="O239" s="14" t="n">
        <v>493.9</v>
      </c>
      <c r="P239" s="14" t="n">
        <v>493.9</v>
      </c>
      <c r="Q239" s="14" t="n">
        <v>493.9</v>
      </c>
      <c r="R239" s="14" t="n">
        <v>493.9</v>
      </c>
      <c r="S239" s="14" t="n">
        <v>493.9</v>
      </c>
      <c r="T239" s="14" t="n">
        <v>493.9</v>
      </c>
      <c r="U239" s="14" t="n">
        <v>350</v>
      </c>
      <c r="V239" s="14" t="n">
        <v>0</v>
      </c>
      <c r="W239" s="14">
        <f>U239+V239</f>
        <v/>
      </c>
    </row>
    <row r="240">
      <c r="A240" s="15" t="inlineStr">
        <is>
          <t>CANON-202607-007979</t>
        </is>
      </c>
      <c r="B240" s="15" t="inlineStr">
        <is>
          <t>2026-07-16</t>
        </is>
      </c>
      <c r="C240" s="15" t="inlineStr">
        <is>
          <t>Cassius Underwood</t>
        </is>
      </c>
      <c r="D240" s="15" t="inlineStr">
        <is>
          <t>VT</t>
        </is>
      </c>
      <c r="E240" s="16" t="n">
        <v>585000</v>
      </c>
      <c r="F240" s="16" t="n">
        <v>4406.49</v>
      </c>
      <c r="G240" s="16" t="n">
        <v>550.8099999999999</v>
      </c>
      <c r="H240" s="16" t="n">
        <v>550.8099999999999</v>
      </c>
      <c r="I240" s="16">
        <f>SUM(K240:T240)</f>
        <v/>
      </c>
      <c r="J240" s="16">
        <f>F240-(G240+H240+I240)</f>
        <v/>
      </c>
      <c r="K240" s="16" t="n">
        <v>330.49</v>
      </c>
      <c r="L240" s="16" t="n">
        <v>330.49</v>
      </c>
      <c r="M240" s="16" t="n">
        <v>330.49</v>
      </c>
      <c r="N240" s="16" t="n">
        <v>330.49</v>
      </c>
      <c r="O240" s="16" t="n">
        <v>330.49</v>
      </c>
      <c r="P240" s="16" t="n">
        <v>330.49</v>
      </c>
      <c r="Q240" s="16" t="n">
        <v>330.49</v>
      </c>
      <c r="R240" s="16" t="n">
        <v>330.49</v>
      </c>
      <c r="S240" s="16" t="n">
        <v>330.49</v>
      </c>
      <c r="T240" s="16" t="n">
        <v>330.49</v>
      </c>
      <c r="U240" s="16" t="n">
        <v>350</v>
      </c>
      <c r="V240" s="16" t="n">
        <v>0</v>
      </c>
      <c r="W240" s="16">
        <f>U240+V240</f>
        <v/>
      </c>
    </row>
    <row r="241">
      <c r="A241" s="3" t="inlineStr">
        <is>
          <t>CANON-202607-007980</t>
        </is>
      </c>
      <c r="B241" s="3" t="inlineStr">
        <is>
          <t>2026-07-18</t>
        </is>
      </c>
      <c r="C241" s="3" t="inlineStr">
        <is>
          <t>Desmond Ashcombe</t>
        </is>
      </c>
      <c r="D241" s="3" t="inlineStr">
        <is>
          <t>RI</t>
        </is>
      </c>
      <c r="E241" s="14" t="n">
        <v>330000</v>
      </c>
      <c r="F241" s="14" t="n">
        <v>4868.6</v>
      </c>
      <c r="G241" s="14" t="n">
        <v>608.58</v>
      </c>
      <c r="H241" s="14" t="n">
        <v>608.58</v>
      </c>
      <c r="I241" s="14">
        <f>SUM(K241:T241)</f>
        <v/>
      </c>
      <c r="J241" s="14">
        <f>F241-(G241+H241+I241)</f>
        <v/>
      </c>
      <c r="K241" s="14" t="n">
        <v>365.15</v>
      </c>
      <c r="L241" s="14" t="n">
        <v>365.15</v>
      </c>
      <c r="M241" s="14" t="n">
        <v>365.15</v>
      </c>
      <c r="N241" s="14" t="n">
        <v>365.15</v>
      </c>
      <c r="O241" s="14" t="n">
        <v>365.15</v>
      </c>
      <c r="P241" s="14" t="n">
        <v>365.15</v>
      </c>
      <c r="Q241" s="14" t="n">
        <v>365.15</v>
      </c>
      <c r="R241" s="14" t="n">
        <v>365.15</v>
      </c>
      <c r="S241" s="14" t="n">
        <v>365.15</v>
      </c>
      <c r="T241" s="14" t="n">
        <v>365.15</v>
      </c>
      <c r="U241" s="14" t="n">
        <v>350</v>
      </c>
      <c r="V241" s="14" t="n">
        <v>0</v>
      </c>
      <c r="W241" s="14">
        <f>U241+V241</f>
        <v/>
      </c>
    </row>
    <row r="242">
      <c r="A242" s="15" t="inlineStr">
        <is>
          <t>CANON-202607-007981</t>
        </is>
      </c>
      <c r="B242" s="15" t="inlineStr">
        <is>
          <t>2026-07-05</t>
        </is>
      </c>
      <c r="C242" s="15" t="inlineStr">
        <is>
          <t>Leopold Delacroix</t>
        </is>
      </c>
      <c r="D242" s="15" t="inlineStr">
        <is>
          <t>IL</t>
        </is>
      </c>
      <c r="E242" s="16" t="n">
        <v>1770000</v>
      </c>
      <c r="F242" s="16" t="n">
        <v>19010.07</v>
      </c>
      <c r="G242" s="16" t="n">
        <v>2376.26</v>
      </c>
      <c r="H242" s="16" t="n">
        <v>2376.26</v>
      </c>
      <c r="I242" s="16">
        <f>SUM(K242:T242)</f>
        <v/>
      </c>
      <c r="J242" s="16">
        <f>F242-(G242+H242+I242)</f>
        <v/>
      </c>
      <c r="K242" s="16" t="n">
        <v>1425.76</v>
      </c>
      <c r="L242" s="16" t="n">
        <v>1425.76</v>
      </c>
      <c r="M242" s="16" t="n">
        <v>1425.76</v>
      </c>
      <c r="N242" s="16" t="n">
        <v>1425.76</v>
      </c>
      <c r="O242" s="16" t="n">
        <v>1425.76</v>
      </c>
      <c r="P242" s="16" t="n">
        <v>1425.76</v>
      </c>
      <c r="Q242" s="16" t="n">
        <v>1425.76</v>
      </c>
      <c r="R242" s="16" t="n">
        <v>1425.76</v>
      </c>
      <c r="S242" s="16" t="n">
        <v>1425.76</v>
      </c>
      <c r="T242" s="16" t="n">
        <v>1425.76</v>
      </c>
      <c r="U242" s="16" t="n">
        <v>350</v>
      </c>
      <c r="V242" s="16" t="n">
        <v>250</v>
      </c>
      <c r="W242" s="16">
        <f>U242+V242</f>
        <v/>
      </c>
    </row>
    <row r="243">
      <c r="A243" s="3" t="inlineStr">
        <is>
          <t>CANON-202607-007982</t>
        </is>
      </c>
      <c r="B243" s="3" t="inlineStr">
        <is>
          <t>2026-07-28</t>
        </is>
      </c>
      <c r="C243" s="3" t="inlineStr">
        <is>
          <t>Anouk Blackwood</t>
        </is>
      </c>
      <c r="D243" s="3" t="inlineStr">
        <is>
          <t>VT</t>
        </is>
      </c>
      <c r="E243" s="14" t="n">
        <v>1950000</v>
      </c>
      <c r="F243" s="14" t="n">
        <v>12980.36</v>
      </c>
      <c r="G243" s="14" t="n">
        <v>1622.55</v>
      </c>
      <c r="H243" s="14" t="n">
        <v>1622.55</v>
      </c>
      <c r="I243" s="14">
        <f>SUM(K243:T243)</f>
        <v/>
      </c>
      <c r="J243" s="14">
        <f>F243-(G243+H243+I243)</f>
        <v/>
      </c>
      <c r="K243" s="14" t="n">
        <v>973.53</v>
      </c>
      <c r="L243" s="14" t="n">
        <v>973.53</v>
      </c>
      <c r="M243" s="14" t="n">
        <v>973.53</v>
      </c>
      <c r="N243" s="14" t="n">
        <v>973.53</v>
      </c>
      <c r="O243" s="14" t="n">
        <v>973.53</v>
      </c>
      <c r="P243" s="14" t="n">
        <v>973.53</v>
      </c>
      <c r="Q243" s="14" t="n">
        <v>973.53</v>
      </c>
      <c r="R243" s="14" t="n">
        <v>973.53</v>
      </c>
      <c r="S243" s="14" t="n">
        <v>973.53</v>
      </c>
      <c r="T243" s="14" t="n">
        <v>973.53</v>
      </c>
      <c r="U243" s="14" t="n">
        <v>350</v>
      </c>
      <c r="V243" s="14" t="n">
        <v>250</v>
      </c>
      <c r="W243" s="14">
        <f>U243+V243</f>
        <v/>
      </c>
    </row>
    <row r="244">
      <c r="A244" s="15" t="inlineStr">
        <is>
          <t>CANON-202607-007983</t>
        </is>
      </c>
      <c r="B244" s="15" t="inlineStr">
        <is>
          <t>2026-07-31</t>
        </is>
      </c>
      <c r="C244" s="15" t="inlineStr">
        <is>
          <t>Callum Nakashima</t>
        </is>
      </c>
      <c r="D244" s="15" t="inlineStr">
        <is>
          <t>WI</t>
        </is>
      </c>
      <c r="E244" s="16" t="n">
        <v>710000</v>
      </c>
      <c r="F244" s="16" t="n">
        <v>7951.73</v>
      </c>
      <c r="G244" s="16" t="n">
        <v>993.97</v>
      </c>
      <c r="H244" s="16" t="n">
        <v>993.97</v>
      </c>
      <c r="I244" s="16">
        <f>SUM(K244:T244)</f>
        <v/>
      </c>
      <c r="J244" s="16">
        <f>F244-(G244+H244+I244)</f>
        <v/>
      </c>
      <c r="K244" s="16" t="n">
        <v>596.38</v>
      </c>
      <c r="L244" s="16" t="n">
        <v>596.38</v>
      </c>
      <c r="M244" s="16" t="n">
        <v>596.38</v>
      </c>
      <c r="N244" s="16" t="n">
        <v>596.38</v>
      </c>
      <c r="O244" s="16" t="n">
        <v>596.38</v>
      </c>
      <c r="P244" s="16" t="n">
        <v>596.38</v>
      </c>
      <c r="Q244" s="16" t="n">
        <v>596.38</v>
      </c>
      <c r="R244" s="16" t="n">
        <v>596.38</v>
      </c>
      <c r="S244" s="16" t="n">
        <v>596.38</v>
      </c>
      <c r="T244" s="16" t="n">
        <v>596.38</v>
      </c>
      <c r="U244" s="16" t="n">
        <v>350</v>
      </c>
      <c r="V244" s="16" t="n">
        <v>0</v>
      </c>
      <c r="W244" s="16">
        <f>U244+V244</f>
        <v/>
      </c>
    </row>
    <row r="245">
      <c r="A245" s="3" t="inlineStr">
        <is>
          <t>CANON-202607-007984</t>
        </is>
      </c>
      <c r="B245" s="3" t="inlineStr">
        <is>
          <t>2026-07-13</t>
        </is>
      </c>
      <c r="C245" s="3" t="inlineStr">
        <is>
          <t>Saoirse Castellanos</t>
        </is>
      </c>
      <c r="D245" s="3" t="inlineStr">
        <is>
          <t>MA</t>
        </is>
      </c>
      <c r="E245" s="14" t="n">
        <v>1000000</v>
      </c>
      <c r="F245" s="14" t="n">
        <v>14358.49</v>
      </c>
      <c r="G245" s="14" t="n">
        <v>1794.81</v>
      </c>
      <c r="H245" s="14" t="n">
        <v>1794.81</v>
      </c>
      <c r="I245" s="14">
        <f>SUM(K245:T245)</f>
        <v/>
      </c>
      <c r="J245" s="14">
        <f>F245-(G245+H245+I245)</f>
        <v/>
      </c>
      <c r="K245" s="14" t="n">
        <v>1076.89</v>
      </c>
      <c r="L245" s="14" t="n">
        <v>1076.89</v>
      </c>
      <c r="M245" s="14" t="n">
        <v>1076.89</v>
      </c>
      <c r="N245" s="14" t="n">
        <v>1076.89</v>
      </c>
      <c r="O245" s="14" t="n">
        <v>1076.89</v>
      </c>
      <c r="P245" s="14" t="n">
        <v>1076.89</v>
      </c>
      <c r="Q245" s="14" t="n">
        <v>1076.89</v>
      </c>
      <c r="R245" s="14" t="n">
        <v>1076.89</v>
      </c>
      <c r="S245" s="14" t="n">
        <v>1076.89</v>
      </c>
      <c r="T245" s="14" t="n">
        <v>1076.89</v>
      </c>
      <c r="U245" s="14" t="n">
        <v>350</v>
      </c>
      <c r="V245" s="14" t="n">
        <v>250</v>
      </c>
      <c r="W245" s="14">
        <f>U245+V245</f>
        <v/>
      </c>
    </row>
    <row r="246">
      <c r="A246" s="15" t="inlineStr">
        <is>
          <t>CANON-202607-007985</t>
        </is>
      </c>
      <c r="B246" s="15" t="inlineStr">
        <is>
          <t>2026-07-24</t>
        </is>
      </c>
      <c r="C246" s="15" t="inlineStr">
        <is>
          <t>Marisol Merriweather</t>
        </is>
      </c>
      <c r="D246" s="15" t="inlineStr">
        <is>
          <t>ID</t>
        </is>
      </c>
      <c r="E246" s="16" t="n">
        <v>355000</v>
      </c>
      <c r="F246" s="16" t="n">
        <v>3784.72</v>
      </c>
      <c r="G246" s="16" t="n">
        <v>473.09</v>
      </c>
      <c r="H246" s="16" t="n">
        <v>473.09</v>
      </c>
      <c r="I246" s="16">
        <f>SUM(K246:T246)</f>
        <v/>
      </c>
      <c r="J246" s="16">
        <f>F246-(G246+H246+I246)</f>
        <v/>
      </c>
      <c r="K246" s="16" t="n">
        <v>283.85</v>
      </c>
      <c r="L246" s="16" t="n">
        <v>283.85</v>
      </c>
      <c r="M246" s="16" t="n">
        <v>283.85</v>
      </c>
      <c r="N246" s="16" t="n">
        <v>283.85</v>
      </c>
      <c r="O246" s="16" t="n">
        <v>283.85</v>
      </c>
      <c r="P246" s="16" t="n">
        <v>283.85</v>
      </c>
      <c r="Q246" s="16" t="n">
        <v>283.85</v>
      </c>
      <c r="R246" s="16" t="n">
        <v>283.85</v>
      </c>
      <c r="S246" s="16" t="n">
        <v>283.85</v>
      </c>
      <c r="T246" s="16" t="n">
        <v>283.85</v>
      </c>
      <c r="U246" s="16" t="n">
        <v>350</v>
      </c>
      <c r="V246" s="16" t="n">
        <v>0</v>
      </c>
      <c r="W246" s="16">
        <f>U246+V246</f>
        <v/>
      </c>
    </row>
    <row r="247">
      <c r="A247" s="3" t="inlineStr">
        <is>
          <t>CANON-202607-007986</t>
        </is>
      </c>
      <c r="B247" s="3" t="inlineStr">
        <is>
          <t>2026-07-21</t>
        </is>
      </c>
      <c r="C247" s="3" t="inlineStr">
        <is>
          <t>Saoirse Blackwood</t>
        </is>
      </c>
      <c r="D247" s="3" t="inlineStr">
        <is>
          <t>IN</t>
        </is>
      </c>
      <c r="E247" s="14" t="n">
        <v>585000</v>
      </c>
      <c r="F247" s="14" t="n">
        <v>9815.07</v>
      </c>
      <c r="G247" s="14" t="n">
        <v>1226.88</v>
      </c>
      <c r="H247" s="14" t="n">
        <v>1226.88</v>
      </c>
      <c r="I247" s="14">
        <f>SUM(K247:T247)</f>
        <v/>
      </c>
      <c r="J247" s="14">
        <f>F247-(G247+H247+I247)</f>
        <v/>
      </c>
      <c r="K247" s="14" t="n">
        <v>736.13</v>
      </c>
      <c r="L247" s="14" t="n">
        <v>736.13</v>
      </c>
      <c r="M247" s="14" t="n">
        <v>736.13</v>
      </c>
      <c r="N247" s="14" t="n">
        <v>736.13</v>
      </c>
      <c r="O247" s="14" t="n">
        <v>736.13</v>
      </c>
      <c r="P247" s="14" t="n">
        <v>736.13</v>
      </c>
      <c r="Q247" s="14" t="n">
        <v>736.13</v>
      </c>
      <c r="R247" s="14" t="n">
        <v>736.13</v>
      </c>
      <c r="S247" s="14" t="n">
        <v>736.13</v>
      </c>
      <c r="T247" s="14" t="n">
        <v>736.13</v>
      </c>
      <c r="U247" s="14" t="n">
        <v>350</v>
      </c>
      <c r="V247" s="14" t="n">
        <v>0</v>
      </c>
      <c r="W247" s="14">
        <f>U247+V247</f>
        <v/>
      </c>
    </row>
    <row r="248">
      <c r="A248" s="15" t="inlineStr">
        <is>
          <t>CANON-202607-007987</t>
        </is>
      </c>
      <c r="B248" s="15" t="inlineStr">
        <is>
          <t>2026-07-27</t>
        </is>
      </c>
      <c r="C248" s="15" t="inlineStr">
        <is>
          <t>Ingrid Delacroix</t>
        </is>
      </c>
      <c r="D248" s="15" t="inlineStr">
        <is>
          <t>OH</t>
        </is>
      </c>
      <c r="E248" s="16" t="n">
        <v>375000</v>
      </c>
      <c r="F248" s="16" t="n">
        <v>5613.27</v>
      </c>
      <c r="G248" s="16" t="n">
        <v>701.66</v>
      </c>
      <c r="H248" s="16" t="n">
        <v>701.66</v>
      </c>
      <c r="I248" s="16">
        <f>SUM(K248:T248)</f>
        <v/>
      </c>
      <c r="J248" s="16">
        <f>F248-(G248+H248+I248)</f>
        <v/>
      </c>
      <c r="K248" s="16" t="n">
        <v>421</v>
      </c>
      <c r="L248" s="16" t="n">
        <v>421</v>
      </c>
      <c r="M248" s="16" t="n">
        <v>421</v>
      </c>
      <c r="N248" s="16" t="n">
        <v>421</v>
      </c>
      <c r="O248" s="16" t="n">
        <v>421</v>
      </c>
      <c r="P248" s="16" t="n">
        <v>421</v>
      </c>
      <c r="Q248" s="16" t="n">
        <v>421</v>
      </c>
      <c r="R248" s="16" t="n">
        <v>421</v>
      </c>
      <c r="S248" s="16" t="n">
        <v>421</v>
      </c>
      <c r="T248" s="16" t="n">
        <v>421</v>
      </c>
      <c r="U248" s="16" t="n">
        <v>350</v>
      </c>
      <c r="V248" s="16" t="n">
        <v>0</v>
      </c>
      <c r="W248" s="16">
        <f>U248+V248</f>
        <v/>
      </c>
    </row>
    <row r="249">
      <c r="A249" s="3" t="inlineStr">
        <is>
          <t>CANON-202607-007988</t>
        </is>
      </c>
      <c r="B249" s="3" t="inlineStr">
        <is>
          <t>2026-07-20</t>
        </is>
      </c>
      <c r="C249" s="3" t="inlineStr">
        <is>
          <t>Horace Merriweather</t>
        </is>
      </c>
      <c r="D249" s="3" t="inlineStr">
        <is>
          <t>WA</t>
        </is>
      </c>
      <c r="E249" s="14" t="n">
        <v>330000</v>
      </c>
      <c r="F249" s="14" t="n">
        <v>3411.58</v>
      </c>
      <c r="G249" s="14" t="n">
        <v>426.45</v>
      </c>
      <c r="H249" s="14" t="n">
        <v>426.45</v>
      </c>
      <c r="I249" s="14">
        <f>SUM(K249:T249)</f>
        <v/>
      </c>
      <c r="J249" s="14">
        <f>F249-(G249+H249+I249)</f>
        <v/>
      </c>
      <c r="K249" s="14" t="n">
        <v>255.87</v>
      </c>
      <c r="L249" s="14" t="n">
        <v>255.87</v>
      </c>
      <c r="M249" s="14" t="n">
        <v>255.87</v>
      </c>
      <c r="N249" s="14" t="n">
        <v>255.87</v>
      </c>
      <c r="O249" s="14" t="n">
        <v>255.87</v>
      </c>
      <c r="P249" s="14" t="n">
        <v>255.87</v>
      </c>
      <c r="Q249" s="14" t="n">
        <v>255.87</v>
      </c>
      <c r="R249" s="14" t="n">
        <v>255.87</v>
      </c>
      <c r="S249" s="14" t="n">
        <v>255.87</v>
      </c>
      <c r="T249" s="14" t="n">
        <v>255.87</v>
      </c>
      <c r="U249" s="14" t="n">
        <v>350</v>
      </c>
      <c r="V249" s="14" t="n">
        <v>0</v>
      </c>
      <c r="W249" s="14">
        <f>U249+V249</f>
        <v/>
      </c>
    </row>
    <row r="250">
      <c r="A250" s="15" t="inlineStr">
        <is>
          <t>CANON-202607-007989</t>
        </is>
      </c>
      <c r="B250" s="15" t="inlineStr">
        <is>
          <t>2026-07-24</t>
        </is>
      </c>
      <c r="C250" s="15" t="inlineStr">
        <is>
          <t>Fenwick Chattopadhyay</t>
        </is>
      </c>
      <c r="D250" s="15" t="inlineStr">
        <is>
          <t>VT</t>
        </is>
      </c>
      <c r="E250" s="16" t="n">
        <v>950000</v>
      </c>
      <c r="F250" s="16" t="n">
        <v>15809.42</v>
      </c>
      <c r="G250" s="16" t="n">
        <v>1976.18</v>
      </c>
      <c r="H250" s="16" t="n">
        <v>1976.18</v>
      </c>
      <c r="I250" s="16">
        <f>SUM(K250:T250)</f>
        <v/>
      </c>
      <c r="J250" s="16">
        <f>F250-(G250+H250+I250)</f>
        <v/>
      </c>
      <c r="K250" s="16" t="n">
        <v>1185.71</v>
      </c>
      <c r="L250" s="16" t="n">
        <v>1185.71</v>
      </c>
      <c r="M250" s="16" t="n">
        <v>1185.71</v>
      </c>
      <c r="N250" s="16" t="n">
        <v>1185.71</v>
      </c>
      <c r="O250" s="16" t="n">
        <v>1185.71</v>
      </c>
      <c r="P250" s="16" t="n">
        <v>1185.71</v>
      </c>
      <c r="Q250" s="16" t="n">
        <v>1185.71</v>
      </c>
      <c r="R250" s="16" t="n">
        <v>1185.71</v>
      </c>
      <c r="S250" s="16" t="n">
        <v>1185.71</v>
      </c>
      <c r="T250" s="16" t="n">
        <v>1185.71</v>
      </c>
      <c r="U250" s="16" t="n">
        <v>350</v>
      </c>
      <c r="V250" s="16" t="n">
        <v>0</v>
      </c>
      <c r="W250" s="16">
        <f>U250+V250</f>
        <v/>
      </c>
    </row>
    <row r="251">
      <c r="A251" s="3" t="inlineStr">
        <is>
          <t>CANON-202607-007991</t>
        </is>
      </c>
      <c r="B251" s="3" t="inlineStr">
        <is>
          <t>2026-07-16</t>
        </is>
      </c>
      <c r="C251" s="3" t="inlineStr">
        <is>
          <t>Fenwick Pennington</t>
        </is>
      </c>
      <c r="D251" s="3" t="inlineStr">
        <is>
          <t>CT</t>
        </is>
      </c>
      <c r="E251" s="14" t="n">
        <v>1740000</v>
      </c>
      <c r="F251" s="14" t="n">
        <v>22385.46</v>
      </c>
      <c r="G251" s="14" t="n">
        <v>2798.18</v>
      </c>
      <c r="H251" s="14" t="n">
        <v>2798.18</v>
      </c>
      <c r="I251" s="14">
        <f>SUM(K251:T251)</f>
        <v/>
      </c>
      <c r="J251" s="14">
        <f>F251-(G251+H251+I251)</f>
        <v/>
      </c>
      <c r="K251" s="14" t="n">
        <v>1678.91</v>
      </c>
      <c r="L251" s="14" t="n">
        <v>1678.91</v>
      </c>
      <c r="M251" s="14" t="n">
        <v>1678.91</v>
      </c>
      <c r="N251" s="14" t="n">
        <v>1678.91</v>
      </c>
      <c r="O251" s="14" t="n">
        <v>1678.91</v>
      </c>
      <c r="P251" s="14" t="n">
        <v>1678.91</v>
      </c>
      <c r="Q251" s="14" t="n">
        <v>1678.91</v>
      </c>
      <c r="R251" s="14" t="n">
        <v>1678.91</v>
      </c>
      <c r="S251" s="14" t="n">
        <v>1678.91</v>
      </c>
      <c r="T251" s="14" t="n">
        <v>1678.91</v>
      </c>
      <c r="U251" s="14" t="n">
        <v>350</v>
      </c>
      <c r="V251" s="14" t="n">
        <v>250</v>
      </c>
      <c r="W251" s="14">
        <f>U251+V251</f>
        <v/>
      </c>
    </row>
    <row r="252">
      <c r="A252" s="15" t="inlineStr">
        <is>
          <t>CANON-202607-007992</t>
        </is>
      </c>
      <c r="B252" s="15" t="inlineStr">
        <is>
          <t>2026-07-18</t>
        </is>
      </c>
      <c r="C252" s="15" t="inlineStr">
        <is>
          <t>Ottilie Farkas</t>
        </is>
      </c>
      <c r="D252" s="15" t="inlineStr">
        <is>
          <t>MT</t>
        </is>
      </c>
      <c r="E252" s="16" t="n">
        <v>400000</v>
      </c>
      <c r="F252" s="16" t="n">
        <v>4006.02</v>
      </c>
      <c r="G252" s="16" t="n">
        <v>500.75</v>
      </c>
      <c r="H252" s="16" t="n">
        <v>500.75</v>
      </c>
      <c r="I252" s="16">
        <f>SUM(K252:T252)</f>
        <v/>
      </c>
      <c r="J252" s="16">
        <f>F252-(G252+H252+I252)</f>
        <v/>
      </c>
      <c r="K252" s="16" t="n">
        <v>300.45</v>
      </c>
      <c r="L252" s="16" t="n">
        <v>300.45</v>
      </c>
      <c r="M252" s="16" t="n">
        <v>300.45</v>
      </c>
      <c r="N252" s="16" t="n">
        <v>300.45</v>
      </c>
      <c r="O252" s="16" t="n">
        <v>300.45</v>
      </c>
      <c r="P252" s="16" t="n">
        <v>300.45</v>
      </c>
      <c r="Q252" s="16" t="n">
        <v>300.45</v>
      </c>
      <c r="R252" s="16" t="n">
        <v>300.45</v>
      </c>
      <c r="S252" s="16" t="n">
        <v>300.45</v>
      </c>
      <c r="T252" s="16" t="n">
        <v>300.45</v>
      </c>
      <c r="U252" s="16" t="n">
        <v>350</v>
      </c>
      <c r="V252" s="16" t="n">
        <v>0</v>
      </c>
      <c r="W252" s="16">
        <f>U252+V252</f>
        <v/>
      </c>
    </row>
    <row r="253">
      <c r="A253" s="3" t="inlineStr">
        <is>
          <t>CANON-202607-007993</t>
        </is>
      </c>
      <c r="B253" s="3" t="inlineStr">
        <is>
          <t>2026-07-19</t>
        </is>
      </c>
      <c r="C253" s="3" t="inlineStr">
        <is>
          <t>Sunniva Nakashima</t>
        </is>
      </c>
      <c r="D253" s="3" t="inlineStr">
        <is>
          <t>NV</t>
        </is>
      </c>
      <c r="E253" s="14" t="n">
        <v>870000</v>
      </c>
      <c r="F253" s="14" t="n">
        <v>9500.08</v>
      </c>
      <c r="G253" s="14" t="n">
        <v>1187.51</v>
      </c>
      <c r="H253" s="14" t="n">
        <v>1187.51</v>
      </c>
      <c r="I253" s="14">
        <f>SUM(K253:T253)</f>
        <v/>
      </c>
      <c r="J253" s="14">
        <f>F253-(G253+H253+I253)</f>
        <v/>
      </c>
      <c r="K253" s="14" t="n">
        <v>712.51</v>
      </c>
      <c r="L253" s="14" t="n">
        <v>712.51</v>
      </c>
      <c r="M253" s="14" t="n">
        <v>712.51</v>
      </c>
      <c r="N253" s="14" t="n">
        <v>712.51</v>
      </c>
      <c r="O253" s="14" t="n">
        <v>712.51</v>
      </c>
      <c r="P253" s="14" t="n">
        <v>712.51</v>
      </c>
      <c r="Q253" s="14" t="n">
        <v>712.51</v>
      </c>
      <c r="R253" s="14" t="n">
        <v>712.51</v>
      </c>
      <c r="S253" s="14" t="n">
        <v>712.51</v>
      </c>
      <c r="T253" s="14" t="n">
        <v>712.51</v>
      </c>
      <c r="U253" s="14" t="n">
        <v>350</v>
      </c>
      <c r="V253" s="14" t="n">
        <v>0</v>
      </c>
      <c r="W253" s="14">
        <f>U253+V253</f>
        <v/>
      </c>
    </row>
    <row r="254">
      <c r="A254" s="15" t="inlineStr">
        <is>
          <t>CANON-202607-007996</t>
        </is>
      </c>
      <c r="B254" s="15" t="inlineStr">
        <is>
          <t>2026-07-22</t>
        </is>
      </c>
      <c r="C254" s="15" t="inlineStr">
        <is>
          <t>Thaddeus Blackwood</t>
        </is>
      </c>
      <c r="D254" s="15" t="inlineStr">
        <is>
          <t>MA</t>
        </is>
      </c>
      <c r="E254" s="16" t="n">
        <v>795000</v>
      </c>
      <c r="F254" s="16" t="n">
        <v>9274.690000000001</v>
      </c>
      <c r="G254" s="16" t="n">
        <v>1159.34</v>
      </c>
      <c r="H254" s="16" t="n">
        <v>1159.34</v>
      </c>
      <c r="I254" s="16">
        <f>SUM(K254:T254)</f>
        <v/>
      </c>
      <c r="J254" s="16">
        <f>F254-(G254+H254+I254)</f>
        <v/>
      </c>
      <c r="K254" s="16" t="n">
        <v>695.6</v>
      </c>
      <c r="L254" s="16" t="n">
        <v>695.6</v>
      </c>
      <c r="M254" s="16" t="n">
        <v>695.6</v>
      </c>
      <c r="N254" s="16" t="n">
        <v>695.6</v>
      </c>
      <c r="O254" s="16" t="n">
        <v>695.6</v>
      </c>
      <c r="P254" s="16" t="n">
        <v>695.6</v>
      </c>
      <c r="Q254" s="16" t="n">
        <v>695.6</v>
      </c>
      <c r="R254" s="16" t="n">
        <v>695.6</v>
      </c>
      <c r="S254" s="16" t="n">
        <v>695.6</v>
      </c>
      <c r="T254" s="16" t="n">
        <v>695.6</v>
      </c>
      <c r="U254" s="16" t="n">
        <v>350</v>
      </c>
      <c r="V254" s="16" t="n">
        <v>0</v>
      </c>
      <c r="W254" s="16">
        <f>U254+V254</f>
        <v/>
      </c>
    </row>
    <row r="255">
      <c r="A255" s="3" t="inlineStr">
        <is>
          <t>CANON-202607-007997</t>
        </is>
      </c>
      <c r="B255" s="3" t="inlineStr">
        <is>
          <t>2026-07-06</t>
        </is>
      </c>
      <c r="C255" s="3" t="inlineStr">
        <is>
          <t>Marisol Farkas</t>
        </is>
      </c>
      <c r="D255" s="3" t="inlineStr">
        <is>
          <t>CA</t>
        </is>
      </c>
      <c r="E255" s="14" t="n">
        <v>505000</v>
      </c>
      <c r="F255" s="14" t="n">
        <v>6362.78</v>
      </c>
      <c r="G255" s="14" t="n">
        <v>795.35</v>
      </c>
      <c r="H255" s="14" t="n">
        <v>795.35</v>
      </c>
      <c r="I255" s="14">
        <f>SUM(K255:T255)</f>
        <v/>
      </c>
      <c r="J255" s="14">
        <f>F255-(G255+H255+I255)</f>
        <v/>
      </c>
      <c r="K255" s="14" t="n">
        <v>477.21</v>
      </c>
      <c r="L255" s="14" t="n">
        <v>477.21</v>
      </c>
      <c r="M255" s="14" t="n">
        <v>477.21</v>
      </c>
      <c r="N255" s="14" t="n">
        <v>477.21</v>
      </c>
      <c r="O255" s="14" t="n">
        <v>477.21</v>
      </c>
      <c r="P255" s="14" t="n">
        <v>477.21</v>
      </c>
      <c r="Q255" s="14" t="n">
        <v>477.21</v>
      </c>
      <c r="R255" s="14" t="n">
        <v>477.21</v>
      </c>
      <c r="S255" s="14" t="n">
        <v>477.21</v>
      </c>
      <c r="T255" s="14" t="n">
        <v>477.21</v>
      </c>
      <c r="U255" s="14" t="n">
        <v>350</v>
      </c>
      <c r="V255" s="14" t="n">
        <v>0</v>
      </c>
      <c r="W255" s="14">
        <f>U255+V255</f>
        <v/>
      </c>
    </row>
    <row r="256">
      <c r="A256" s="15" t="inlineStr">
        <is>
          <t>CANON-202607-007998</t>
        </is>
      </c>
      <c r="B256" s="15" t="inlineStr">
        <is>
          <t>2026-07-24</t>
        </is>
      </c>
      <c r="C256" s="15" t="inlineStr">
        <is>
          <t>Emiliano Fairweather</t>
        </is>
      </c>
      <c r="D256" s="15" t="inlineStr">
        <is>
          <t>PA</t>
        </is>
      </c>
      <c r="E256" s="16" t="n">
        <v>1040000</v>
      </c>
      <c r="F256" s="16" t="n">
        <v>11946.26</v>
      </c>
      <c r="G256" s="16" t="n">
        <v>1493.28</v>
      </c>
      <c r="H256" s="16" t="n">
        <v>1493.28</v>
      </c>
      <c r="I256" s="16">
        <f>SUM(K256:T256)</f>
        <v/>
      </c>
      <c r="J256" s="16">
        <f>F256-(G256+H256+I256)</f>
        <v/>
      </c>
      <c r="K256" s="16" t="n">
        <v>895.97</v>
      </c>
      <c r="L256" s="16" t="n">
        <v>895.97</v>
      </c>
      <c r="M256" s="16" t="n">
        <v>895.97</v>
      </c>
      <c r="N256" s="16" t="n">
        <v>895.97</v>
      </c>
      <c r="O256" s="16" t="n">
        <v>895.97</v>
      </c>
      <c r="P256" s="16" t="n">
        <v>895.97</v>
      </c>
      <c r="Q256" s="16" t="n">
        <v>895.97</v>
      </c>
      <c r="R256" s="16" t="n">
        <v>895.97</v>
      </c>
      <c r="S256" s="16" t="n">
        <v>895.97</v>
      </c>
      <c r="T256" s="16" t="n">
        <v>895.97</v>
      </c>
      <c r="U256" s="16" t="n">
        <v>350</v>
      </c>
      <c r="V256" s="16" t="n">
        <v>250</v>
      </c>
      <c r="W256" s="16">
        <f>U256+V256</f>
        <v/>
      </c>
    </row>
    <row r="257">
      <c r="A257" s="3" t="inlineStr">
        <is>
          <t>CANON-202607-008000</t>
        </is>
      </c>
      <c r="B257" s="3" t="inlineStr">
        <is>
          <t>2026-07-07</t>
        </is>
      </c>
      <c r="C257" s="3" t="inlineStr">
        <is>
          <t>Emiliano Chattopadhyay</t>
        </is>
      </c>
      <c r="D257" s="3" t="inlineStr">
        <is>
          <t>DE</t>
        </is>
      </c>
      <c r="E257" s="14" t="n">
        <v>270000</v>
      </c>
      <c r="F257" s="14" t="n">
        <v>3634.49</v>
      </c>
      <c r="G257" s="14" t="n">
        <v>454.31</v>
      </c>
      <c r="H257" s="14" t="n">
        <v>454.31</v>
      </c>
      <c r="I257" s="14">
        <f>SUM(K257:T257)</f>
        <v/>
      </c>
      <c r="J257" s="14">
        <f>F257-(G257+H257+I257)</f>
        <v/>
      </c>
      <c r="K257" s="14" t="n">
        <v>272.59</v>
      </c>
      <c r="L257" s="14" t="n">
        <v>272.59</v>
      </c>
      <c r="M257" s="14" t="n">
        <v>272.59</v>
      </c>
      <c r="N257" s="14" t="n">
        <v>272.59</v>
      </c>
      <c r="O257" s="14" t="n">
        <v>272.59</v>
      </c>
      <c r="P257" s="14" t="n">
        <v>272.59</v>
      </c>
      <c r="Q257" s="14" t="n">
        <v>272.59</v>
      </c>
      <c r="R257" s="14" t="n">
        <v>272.59</v>
      </c>
      <c r="S257" s="14" t="n">
        <v>272.59</v>
      </c>
      <c r="T257" s="14" t="n">
        <v>272.59</v>
      </c>
      <c r="U257" s="14" t="n">
        <v>350</v>
      </c>
      <c r="V257" s="14" t="n">
        <v>0</v>
      </c>
      <c r="W257" s="14">
        <f>U257+V257</f>
        <v/>
      </c>
    </row>
    <row r="258">
      <c r="A258" s="15" t="inlineStr">
        <is>
          <t>CANON-202607-008002</t>
        </is>
      </c>
      <c r="B258" s="15" t="inlineStr">
        <is>
          <t>2026-07-29</t>
        </is>
      </c>
      <c r="C258" s="15" t="inlineStr">
        <is>
          <t>Delphine Larsson</t>
        </is>
      </c>
      <c r="D258" s="15" t="inlineStr">
        <is>
          <t>MA</t>
        </is>
      </c>
      <c r="E258" s="16" t="n">
        <v>1950000</v>
      </c>
      <c r="F258" s="16" t="n">
        <v>19249.35</v>
      </c>
      <c r="G258" s="16" t="n">
        <v>2406.17</v>
      </c>
      <c r="H258" s="16" t="n">
        <v>2406.17</v>
      </c>
      <c r="I258" s="16">
        <f>SUM(K258:T258)</f>
        <v/>
      </c>
      <c r="J258" s="16">
        <f>F258-(G258+H258+I258)</f>
        <v/>
      </c>
      <c r="K258" s="16" t="n">
        <v>1443.7</v>
      </c>
      <c r="L258" s="16" t="n">
        <v>1443.7</v>
      </c>
      <c r="M258" s="16" t="n">
        <v>1443.7</v>
      </c>
      <c r="N258" s="16" t="n">
        <v>1443.7</v>
      </c>
      <c r="O258" s="16" t="n">
        <v>1443.7</v>
      </c>
      <c r="P258" s="16" t="n">
        <v>1443.7</v>
      </c>
      <c r="Q258" s="16" t="n">
        <v>1443.7</v>
      </c>
      <c r="R258" s="16" t="n">
        <v>1443.7</v>
      </c>
      <c r="S258" s="16" t="n">
        <v>1443.7</v>
      </c>
      <c r="T258" s="16" t="n">
        <v>1443.7</v>
      </c>
      <c r="U258" s="16" t="n">
        <v>350</v>
      </c>
      <c r="V258" s="16" t="n">
        <v>250</v>
      </c>
      <c r="W258" s="16">
        <f>U258+V258</f>
        <v/>
      </c>
    </row>
    <row r="259">
      <c r="A259" s="3" t="inlineStr">
        <is>
          <t>CANON-202607-008003</t>
        </is>
      </c>
      <c r="B259" s="3" t="inlineStr">
        <is>
          <t>2026-07-19</t>
        </is>
      </c>
      <c r="C259" s="3" t="inlineStr">
        <is>
          <t>Mireille Merriweather</t>
        </is>
      </c>
      <c r="D259" s="3" t="inlineStr">
        <is>
          <t>HI</t>
        </is>
      </c>
      <c r="E259" s="14" t="n">
        <v>1175000</v>
      </c>
      <c r="F259" s="14" t="n">
        <v>12062.93</v>
      </c>
      <c r="G259" s="14" t="n">
        <v>1507.87</v>
      </c>
      <c r="H259" s="14" t="n">
        <v>1507.87</v>
      </c>
      <c r="I259" s="14">
        <f>SUM(K259:T259)</f>
        <v/>
      </c>
      <c r="J259" s="14">
        <f>F259-(G259+H259+I259)</f>
        <v/>
      </c>
      <c r="K259" s="14" t="n">
        <v>904.72</v>
      </c>
      <c r="L259" s="14" t="n">
        <v>904.72</v>
      </c>
      <c r="M259" s="14" t="n">
        <v>904.72</v>
      </c>
      <c r="N259" s="14" t="n">
        <v>904.72</v>
      </c>
      <c r="O259" s="14" t="n">
        <v>904.72</v>
      </c>
      <c r="P259" s="14" t="n">
        <v>904.72</v>
      </c>
      <c r="Q259" s="14" t="n">
        <v>904.72</v>
      </c>
      <c r="R259" s="14" t="n">
        <v>904.72</v>
      </c>
      <c r="S259" s="14" t="n">
        <v>904.72</v>
      </c>
      <c r="T259" s="14" t="n">
        <v>904.72</v>
      </c>
      <c r="U259" s="14" t="n">
        <v>350</v>
      </c>
      <c r="V259" s="14" t="n">
        <v>250</v>
      </c>
      <c r="W259" s="14">
        <f>U259+V259</f>
        <v/>
      </c>
    </row>
    <row r="260">
      <c r="A260" s="15" t="inlineStr">
        <is>
          <t>CANON-202607-008004</t>
        </is>
      </c>
      <c r="B260" s="15" t="inlineStr">
        <is>
          <t>2026-07-24</t>
        </is>
      </c>
      <c r="C260" s="15" t="inlineStr">
        <is>
          <t>Delphine Farkas</t>
        </is>
      </c>
      <c r="D260" s="15" t="inlineStr">
        <is>
          <t>WV</t>
        </is>
      </c>
      <c r="E260" s="16" t="n">
        <v>225000</v>
      </c>
      <c r="F260" s="16" t="n">
        <v>3953.04</v>
      </c>
      <c r="G260" s="16" t="n">
        <v>494.13</v>
      </c>
      <c r="H260" s="16" t="n">
        <v>494.13</v>
      </c>
      <c r="I260" s="16">
        <f>SUM(K260:T260)</f>
        <v/>
      </c>
      <c r="J260" s="16">
        <f>F260-(G260+H260+I260)</f>
        <v/>
      </c>
      <c r="K260" s="16" t="n">
        <v>296.48</v>
      </c>
      <c r="L260" s="16" t="n">
        <v>296.48</v>
      </c>
      <c r="M260" s="16" t="n">
        <v>296.48</v>
      </c>
      <c r="N260" s="16" t="n">
        <v>296.48</v>
      </c>
      <c r="O260" s="16" t="n">
        <v>296.48</v>
      </c>
      <c r="P260" s="16" t="n">
        <v>296.48</v>
      </c>
      <c r="Q260" s="16" t="n">
        <v>296.48</v>
      </c>
      <c r="R260" s="16" t="n">
        <v>296.48</v>
      </c>
      <c r="S260" s="16" t="n">
        <v>296.48</v>
      </c>
      <c r="T260" s="16" t="n">
        <v>296.48</v>
      </c>
      <c r="U260" s="16" t="n">
        <v>350</v>
      </c>
      <c r="V260" s="16" t="n">
        <v>0</v>
      </c>
      <c r="W260" s="16">
        <f>U260+V260</f>
        <v/>
      </c>
    </row>
    <row r="261">
      <c r="A261" s="3" t="inlineStr">
        <is>
          <t>CANON-202607-008007</t>
        </is>
      </c>
      <c r="B261" s="3" t="inlineStr">
        <is>
          <t>2026-07-20</t>
        </is>
      </c>
      <c r="C261" s="3" t="inlineStr">
        <is>
          <t>Wilhelmina Underwood</t>
        </is>
      </c>
      <c r="D261" s="3" t="inlineStr">
        <is>
          <t>WA</t>
        </is>
      </c>
      <c r="E261" s="14" t="n">
        <v>535000</v>
      </c>
      <c r="F261" s="14" t="n">
        <v>2802.32</v>
      </c>
      <c r="G261" s="14" t="n">
        <v>350.29</v>
      </c>
      <c r="H261" s="14" t="n">
        <v>350.29</v>
      </c>
      <c r="I261" s="14">
        <f>SUM(K261:T261)</f>
        <v/>
      </c>
      <c r="J261" s="14">
        <f>F261-(G261+H261+I261)</f>
        <v/>
      </c>
      <c r="K261" s="14" t="n">
        <v>210.17</v>
      </c>
      <c r="L261" s="14" t="n">
        <v>210.17</v>
      </c>
      <c r="M261" s="14" t="n">
        <v>210.17</v>
      </c>
      <c r="N261" s="14" t="n">
        <v>210.17</v>
      </c>
      <c r="O261" s="14" t="n">
        <v>210.17</v>
      </c>
      <c r="P261" s="14" t="n">
        <v>210.17</v>
      </c>
      <c r="Q261" s="14" t="n">
        <v>210.17</v>
      </c>
      <c r="R261" s="14" t="n">
        <v>210.17</v>
      </c>
      <c r="S261" s="14" t="n">
        <v>210.17</v>
      </c>
      <c r="T261" s="14" t="n">
        <v>210.17</v>
      </c>
      <c r="U261" s="14" t="n">
        <v>350</v>
      </c>
      <c r="V261" s="14" t="n">
        <v>0</v>
      </c>
      <c r="W261" s="14">
        <f>U261+V261</f>
        <v/>
      </c>
    </row>
    <row r="262">
      <c r="A262" s="15" t="inlineStr">
        <is>
          <t>CANON-202607-008010</t>
        </is>
      </c>
      <c r="B262" s="15" t="inlineStr">
        <is>
          <t>2026-07-29</t>
        </is>
      </c>
      <c r="C262" s="15" t="inlineStr">
        <is>
          <t>Cassius Whitlock</t>
        </is>
      </c>
      <c r="D262" s="15" t="inlineStr">
        <is>
          <t>MS</t>
        </is>
      </c>
      <c r="E262" s="16" t="n">
        <v>325000</v>
      </c>
      <c r="F262" s="16" t="n">
        <v>4164.86</v>
      </c>
      <c r="G262" s="16" t="n">
        <v>520.61</v>
      </c>
      <c r="H262" s="16" t="n">
        <v>520.61</v>
      </c>
      <c r="I262" s="16">
        <f>SUM(K262:T262)</f>
        <v/>
      </c>
      <c r="J262" s="16">
        <f>F262-(G262+H262+I262)</f>
        <v/>
      </c>
      <c r="K262" s="16" t="n">
        <v>312.36</v>
      </c>
      <c r="L262" s="16" t="n">
        <v>312.36</v>
      </c>
      <c r="M262" s="16" t="n">
        <v>312.36</v>
      </c>
      <c r="N262" s="16" t="n">
        <v>312.36</v>
      </c>
      <c r="O262" s="16" t="n">
        <v>312.36</v>
      </c>
      <c r="P262" s="16" t="n">
        <v>312.36</v>
      </c>
      <c r="Q262" s="16" t="n">
        <v>312.36</v>
      </c>
      <c r="R262" s="16" t="n">
        <v>312.36</v>
      </c>
      <c r="S262" s="16" t="n">
        <v>312.36</v>
      </c>
      <c r="T262" s="16" t="n">
        <v>312.36</v>
      </c>
      <c r="U262" s="16" t="n">
        <v>350</v>
      </c>
      <c r="V262" s="16" t="n">
        <v>0</v>
      </c>
      <c r="W262" s="16">
        <f>U262+V262</f>
        <v/>
      </c>
    </row>
    <row r="263">
      <c r="A263" s="3" t="inlineStr">
        <is>
          <t>CANON-202607-008011</t>
        </is>
      </c>
      <c r="B263" s="3" t="inlineStr">
        <is>
          <t>2026-07-05</t>
        </is>
      </c>
      <c r="C263" s="3" t="inlineStr">
        <is>
          <t>Delphine Whitlock</t>
        </is>
      </c>
      <c r="D263" s="3" t="inlineStr">
        <is>
          <t>SC</t>
        </is>
      </c>
      <c r="E263" s="14" t="n">
        <v>425000</v>
      </c>
      <c r="F263" s="14" t="n">
        <v>5675.2</v>
      </c>
      <c r="G263" s="14" t="n">
        <v>709.4</v>
      </c>
      <c r="H263" s="14" t="n">
        <v>709.4</v>
      </c>
      <c r="I263" s="14">
        <f>SUM(K263:T263)</f>
        <v/>
      </c>
      <c r="J263" s="14">
        <f>F263-(G263+H263+I263)</f>
        <v/>
      </c>
      <c r="K263" s="14" t="n">
        <v>425.64</v>
      </c>
      <c r="L263" s="14" t="n">
        <v>425.64</v>
      </c>
      <c r="M263" s="14" t="n">
        <v>425.64</v>
      </c>
      <c r="N263" s="14" t="n">
        <v>425.64</v>
      </c>
      <c r="O263" s="14" t="n">
        <v>425.64</v>
      </c>
      <c r="P263" s="14" t="n">
        <v>425.64</v>
      </c>
      <c r="Q263" s="14" t="n">
        <v>425.64</v>
      </c>
      <c r="R263" s="14" t="n">
        <v>425.64</v>
      </c>
      <c r="S263" s="14" t="n">
        <v>425.64</v>
      </c>
      <c r="T263" s="14" t="n">
        <v>425.64</v>
      </c>
      <c r="U263" s="14" t="n">
        <v>350</v>
      </c>
      <c r="V263" s="14" t="n">
        <v>0</v>
      </c>
      <c r="W263" s="14">
        <f>U263+V263</f>
        <v/>
      </c>
    </row>
    <row r="264">
      <c r="A264" s="15" t="inlineStr">
        <is>
          <t>CANON-202607-008014</t>
        </is>
      </c>
      <c r="B264" s="15" t="inlineStr">
        <is>
          <t>2026-07-02</t>
        </is>
      </c>
      <c r="C264" s="15" t="inlineStr">
        <is>
          <t>Wilhelmina Montoya</t>
        </is>
      </c>
      <c r="D264" s="15" t="inlineStr">
        <is>
          <t>TX</t>
        </is>
      </c>
      <c r="E264" s="16" t="n">
        <v>505000</v>
      </c>
      <c r="F264" s="16" t="n">
        <v>7921.76</v>
      </c>
      <c r="G264" s="16" t="n">
        <v>990.22</v>
      </c>
      <c r="H264" s="16" t="n">
        <v>990.22</v>
      </c>
      <c r="I264" s="16">
        <f>SUM(K264:T264)</f>
        <v/>
      </c>
      <c r="J264" s="16">
        <f>F264-(G264+H264+I264)</f>
        <v/>
      </c>
      <c r="K264" s="16" t="n">
        <v>594.13</v>
      </c>
      <c r="L264" s="16" t="n">
        <v>594.13</v>
      </c>
      <c r="M264" s="16" t="n">
        <v>594.13</v>
      </c>
      <c r="N264" s="16" t="n">
        <v>594.13</v>
      </c>
      <c r="O264" s="16" t="n">
        <v>594.13</v>
      </c>
      <c r="P264" s="16" t="n">
        <v>594.13</v>
      </c>
      <c r="Q264" s="16" t="n">
        <v>594.13</v>
      </c>
      <c r="R264" s="16" t="n">
        <v>594.13</v>
      </c>
      <c r="S264" s="16" t="n">
        <v>594.13</v>
      </c>
      <c r="T264" s="16" t="n">
        <v>594.13</v>
      </c>
      <c r="U264" s="16" t="n">
        <v>350</v>
      </c>
      <c r="V264" s="16" t="n">
        <v>0</v>
      </c>
      <c r="W264" s="16">
        <f>U264+V264</f>
        <v/>
      </c>
    </row>
    <row r="265">
      <c r="A265" s="3" t="inlineStr">
        <is>
          <t>CANON-202607-008017</t>
        </is>
      </c>
      <c r="B265" s="3" t="inlineStr">
        <is>
          <t>2026-07-27</t>
        </is>
      </c>
      <c r="C265" s="3" t="inlineStr">
        <is>
          <t>Mireille Rourke</t>
        </is>
      </c>
      <c r="D265" s="3" t="inlineStr">
        <is>
          <t>SC</t>
        </is>
      </c>
      <c r="E265" s="14" t="n">
        <v>870000</v>
      </c>
      <c r="F265" s="14" t="n">
        <v>14715.44</v>
      </c>
      <c r="G265" s="14" t="n">
        <v>1839.43</v>
      </c>
      <c r="H265" s="14" t="n">
        <v>1839.43</v>
      </c>
      <c r="I265" s="14">
        <f>SUM(K265:T265)</f>
        <v/>
      </c>
      <c r="J265" s="14">
        <f>F265-(G265+H265+I265)</f>
        <v/>
      </c>
      <c r="K265" s="14" t="n">
        <v>1103.66</v>
      </c>
      <c r="L265" s="14" t="n">
        <v>1103.66</v>
      </c>
      <c r="M265" s="14" t="n">
        <v>1103.66</v>
      </c>
      <c r="N265" s="14" t="n">
        <v>1103.66</v>
      </c>
      <c r="O265" s="14" t="n">
        <v>1103.66</v>
      </c>
      <c r="P265" s="14" t="n">
        <v>1103.66</v>
      </c>
      <c r="Q265" s="14" t="n">
        <v>1103.66</v>
      </c>
      <c r="R265" s="14" t="n">
        <v>1103.66</v>
      </c>
      <c r="S265" s="14" t="n">
        <v>1103.66</v>
      </c>
      <c r="T265" s="14" t="n">
        <v>1103.66</v>
      </c>
      <c r="U265" s="14" t="n">
        <v>350</v>
      </c>
      <c r="V265" s="14" t="n">
        <v>0</v>
      </c>
      <c r="W265" s="14">
        <f>U265+V265</f>
        <v/>
      </c>
    </row>
    <row r="266">
      <c r="A266" s="15" t="inlineStr">
        <is>
          <t>CANON-202607-008018</t>
        </is>
      </c>
      <c r="B266" s="15" t="inlineStr">
        <is>
          <t>2026-07-03</t>
        </is>
      </c>
      <c r="C266" s="15" t="inlineStr">
        <is>
          <t>Thaddeus Farkas</t>
        </is>
      </c>
      <c r="D266" s="15" t="inlineStr">
        <is>
          <t>MO</t>
        </is>
      </c>
      <c r="E266" s="16" t="n">
        <v>450000</v>
      </c>
      <c r="F266" s="16" t="n">
        <v>5136.75</v>
      </c>
      <c r="G266" s="16" t="n">
        <v>642.09</v>
      </c>
      <c r="H266" s="16" t="n">
        <v>642.09</v>
      </c>
      <c r="I266" s="16">
        <f>SUM(K266:T266)</f>
        <v/>
      </c>
      <c r="J266" s="16">
        <f>F266-(G266+H266+I266)</f>
        <v/>
      </c>
      <c r="K266" s="16" t="n">
        <v>385.26</v>
      </c>
      <c r="L266" s="16" t="n">
        <v>385.26</v>
      </c>
      <c r="M266" s="16" t="n">
        <v>385.26</v>
      </c>
      <c r="N266" s="16" t="n">
        <v>385.26</v>
      </c>
      <c r="O266" s="16" t="n">
        <v>385.26</v>
      </c>
      <c r="P266" s="16" t="n">
        <v>385.26</v>
      </c>
      <c r="Q266" s="16" t="n">
        <v>385.26</v>
      </c>
      <c r="R266" s="16" t="n">
        <v>385.26</v>
      </c>
      <c r="S266" s="16" t="n">
        <v>385.26</v>
      </c>
      <c r="T266" s="16" t="n">
        <v>385.26</v>
      </c>
      <c r="U266" s="16" t="n">
        <v>350</v>
      </c>
      <c r="V266" s="16" t="n">
        <v>0</v>
      </c>
      <c r="W266" s="16">
        <f>U266+V266</f>
        <v/>
      </c>
    </row>
    <row r="267">
      <c r="A267" s="3" t="inlineStr">
        <is>
          <t>CANON-202607-008019</t>
        </is>
      </c>
      <c r="B267" s="3" t="inlineStr">
        <is>
          <t>2026-07-25</t>
        </is>
      </c>
      <c r="C267" s="3" t="inlineStr">
        <is>
          <t>Horace Rourke</t>
        </is>
      </c>
      <c r="D267" s="3" t="inlineStr">
        <is>
          <t>SC</t>
        </is>
      </c>
      <c r="E267" s="14" t="n">
        <v>1780000</v>
      </c>
      <c r="F267" s="14" t="n">
        <v>17430.64</v>
      </c>
      <c r="G267" s="14" t="n">
        <v>2178.83</v>
      </c>
      <c r="H267" s="14" t="n">
        <v>2178.83</v>
      </c>
      <c r="I267" s="14">
        <f>SUM(K267:T267)</f>
        <v/>
      </c>
      <c r="J267" s="14">
        <f>F267-(G267+H267+I267)</f>
        <v/>
      </c>
      <c r="K267" s="14" t="n">
        <v>1307.3</v>
      </c>
      <c r="L267" s="14" t="n">
        <v>1307.3</v>
      </c>
      <c r="M267" s="14" t="n">
        <v>1307.3</v>
      </c>
      <c r="N267" s="14" t="n">
        <v>1307.3</v>
      </c>
      <c r="O267" s="14" t="n">
        <v>1307.3</v>
      </c>
      <c r="P267" s="14" t="n">
        <v>1307.3</v>
      </c>
      <c r="Q267" s="14" t="n">
        <v>1307.3</v>
      </c>
      <c r="R267" s="14" t="n">
        <v>1307.3</v>
      </c>
      <c r="S267" s="14" t="n">
        <v>1307.3</v>
      </c>
      <c r="T267" s="14" t="n">
        <v>1307.3</v>
      </c>
      <c r="U267" s="14" t="n">
        <v>350</v>
      </c>
      <c r="V267" s="14" t="n">
        <v>250</v>
      </c>
      <c r="W267" s="14">
        <f>U267+V267</f>
        <v/>
      </c>
    </row>
    <row r="268">
      <c r="A268" s="15" t="inlineStr">
        <is>
          <t>CANON-202607-008021</t>
        </is>
      </c>
      <c r="B268" s="15" t="inlineStr">
        <is>
          <t>2026-07-12</t>
        </is>
      </c>
      <c r="C268" s="15" t="inlineStr">
        <is>
          <t>Fenwick Okonkwo</t>
        </is>
      </c>
      <c r="D268" s="15" t="inlineStr">
        <is>
          <t>PA</t>
        </is>
      </c>
      <c r="E268" s="16" t="n">
        <v>650000</v>
      </c>
      <c r="F268" s="16" t="n">
        <v>4013.19</v>
      </c>
      <c r="G268" s="16" t="n">
        <v>501.65</v>
      </c>
      <c r="H268" s="16" t="n">
        <v>501.65</v>
      </c>
      <c r="I268" s="16">
        <f>SUM(K268:T268)</f>
        <v/>
      </c>
      <c r="J268" s="16">
        <f>F268-(G268+H268+I268)</f>
        <v/>
      </c>
      <c r="K268" s="16" t="n">
        <v>300.99</v>
      </c>
      <c r="L268" s="16" t="n">
        <v>300.99</v>
      </c>
      <c r="M268" s="16" t="n">
        <v>300.99</v>
      </c>
      <c r="N268" s="16" t="n">
        <v>300.99</v>
      </c>
      <c r="O268" s="16" t="n">
        <v>300.99</v>
      </c>
      <c r="P268" s="16" t="n">
        <v>300.99</v>
      </c>
      <c r="Q268" s="16" t="n">
        <v>300.99</v>
      </c>
      <c r="R268" s="16" t="n">
        <v>300.99</v>
      </c>
      <c r="S268" s="16" t="n">
        <v>300.99</v>
      </c>
      <c r="T268" s="16" t="n">
        <v>300.99</v>
      </c>
      <c r="U268" s="16" t="n">
        <v>350</v>
      </c>
      <c r="V268" s="16" t="n">
        <v>0</v>
      </c>
      <c r="W268" s="16">
        <f>U268+V268</f>
        <v/>
      </c>
    </row>
    <row r="269">
      <c r="A269" s="3" t="inlineStr">
        <is>
          <t>CANON-202607-008024</t>
        </is>
      </c>
      <c r="B269" s="3" t="inlineStr">
        <is>
          <t>2026-07-08</t>
        </is>
      </c>
      <c r="C269" s="3" t="inlineStr">
        <is>
          <t>Desmond Okonkwo</t>
        </is>
      </c>
      <c r="D269" s="3" t="inlineStr">
        <is>
          <t>MA</t>
        </is>
      </c>
      <c r="E269" s="14" t="n">
        <v>190000</v>
      </c>
      <c r="F269" s="14" t="n">
        <v>3137.33</v>
      </c>
      <c r="G269" s="14" t="n">
        <v>392.17</v>
      </c>
      <c r="H269" s="14" t="n">
        <v>392.17</v>
      </c>
      <c r="I269" s="14">
        <f>SUM(K269:T269)</f>
        <v/>
      </c>
      <c r="J269" s="14">
        <f>F269-(G269+H269+I269)</f>
        <v/>
      </c>
      <c r="K269" s="14" t="n">
        <v>235.3</v>
      </c>
      <c r="L269" s="14" t="n">
        <v>235.3</v>
      </c>
      <c r="M269" s="14" t="n">
        <v>235.3</v>
      </c>
      <c r="N269" s="14" t="n">
        <v>235.3</v>
      </c>
      <c r="O269" s="14" t="n">
        <v>235.3</v>
      </c>
      <c r="P269" s="14" t="n">
        <v>235.3</v>
      </c>
      <c r="Q269" s="14" t="n">
        <v>235.3</v>
      </c>
      <c r="R269" s="14" t="n">
        <v>235.3</v>
      </c>
      <c r="S269" s="14" t="n">
        <v>235.3</v>
      </c>
      <c r="T269" s="14" t="n">
        <v>235.3</v>
      </c>
      <c r="U269" s="14" t="n">
        <v>350</v>
      </c>
      <c r="V269" s="14" t="n">
        <v>0</v>
      </c>
      <c r="W269" s="14">
        <f>U269+V269</f>
        <v/>
      </c>
    </row>
    <row r="270">
      <c r="A270" s="15" t="inlineStr">
        <is>
          <t>CANON-202607-008025</t>
        </is>
      </c>
      <c r="B270" s="15" t="inlineStr">
        <is>
          <t>2026-07-23</t>
        </is>
      </c>
      <c r="C270" s="15" t="inlineStr">
        <is>
          <t>Lorenzo Kingsford</t>
        </is>
      </c>
      <c r="D270" s="15" t="inlineStr">
        <is>
          <t>HI</t>
        </is>
      </c>
      <c r="E270" s="16" t="n">
        <v>645000</v>
      </c>
      <c r="F270" s="16" t="n">
        <v>5177.02</v>
      </c>
      <c r="G270" s="16" t="n">
        <v>647.13</v>
      </c>
      <c r="H270" s="16" t="n">
        <v>647.13</v>
      </c>
      <c r="I270" s="16">
        <f>SUM(K270:T270)</f>
        <v/>
      </c>
      <c r="J270" s="16">
        <f>F270-(G270+H270+I270)</f>
        <v/>
      </c>
      <c r="K270" s="16" t="n">
        <v>388.28</v>
      </c>
      <c r="L270" s="16" t="n">
        <v>388.28</v>
      </c>
      <c r="M270" s="16" t="n">
        <v>388.28</v>
      </c>
      <c r="N270" s="16" t="n">
        <v>388.28</v>
      </c>
      <c r="O270" s="16" t="n">
        <v>388.28</v>
      </c>
      <c r="P270" s="16" t="n">
        <v>388.28</v>
      </c>
      <c r="Q270" s="16" t="n">
        <v>388.28</v>
      </c>
      <c r="R270" s="16" t="n">
        <v>388.28</v>
      </c>
      <c r="S270" s="16" t="n">
        <v>388.28</v>
      </c>
      <c r="T270" s="16" t="n">
        <v>388.28</v>
      </c>
      <c r="U270" s="16" t="n">
        <v>350</v>
      </c>
      <c r="V270" s="16" t="n">
        <v>0</v>
      </c>
      <c r="W270" s="16">
        <f>U270+V270</f>
        <v/>
      </c>
    </row>
    <row r="271">
      <c r="A271" s="3" t="inlineStr">
        <is>
          <t>CANON-202607-008027</t>
        </is>
      </c>
      <c r="B271" s="3" t="inlineStr">
        <is>
          <t>2026-07-02</t>
        </is>
      </c>
      <c r="C271" s="3" t="inlineStr">
        <is>
          <t>Ottilie Merriweather</t>
        </is>
      </c>
      <c r="D271" s="3" t="inlineStr">
        <is>
          <t>MA</t>
        </is>
      </c>
      <c r="E271" s="14" t="n">
        <v>760000</v>
      </c>
      <c r="F271" s="14" t="n">
        <v>5865.45</v>
      </c>
      <c r="G271" s="14" t="n">
        <v>733.1799999999999</v>
      </c>
      <c r="H271" s="14" t="n">
        <v>733.1799999999999</v>
      </c>
      <c r="I271" s="14">
        <f>SUM(K271:T271)</f>
        <v/>
      </c>
      <c r="J271" s="14">
        <f>F271-(G271+H271+I271)</f>
        <v/>
      </c>
      <c r="K271" s="14" t="n">
        <v>439.91</v>
      </c>
      <c r="L271" s="14" t="n">
        <v>439.91</v>
      </c>
      <c r="M271" s="14" t="n">
        <v>439.91</v>
      </c>
      <c r="N271" s="14" t="n">
        <v>439.91</v>
      </c>
      <c r="O271" s="14" t="n">
        <v>439.91</v>
      </c>
      <c r="P271" s="14" t="n">
        <v>439.91</v>
      </c>
      <c r="Q271" s="14" t="n">
        <v>439.91</v>
      </c>
      <c r="R271" s="14" t="n">
        <v>439.91</v>
      </c>
      <c r="S271" s="14" t="n">
        <v>439.91</v>
      </c>
      <c r="T271" s="14" t="n">
        <v>439.91</v>
      </c>
      <c r="U271" s="14" t="n">
        <v>350</v>
      </c>
      <c r="V271" s="14" t="n">
        <v>0</v>
      </c>
      <c r="W271" s="14">
        <f>U271+V271</f>
        <v/>
      </c>
    </row>
    <row r="272">
      <c r="A272" s="15" t="inlineStr">
        <is>
          <t>CANON-202607-008029</t>
        </is>
      </c>
      <c r="B272" s="15" t="inlineStr">
        <is>
          <t>2026-07-30</t>
        </is>
      </c>
      <c r="C272" s="15" t="inlineStr">
        <is>
          <t>Saoirse Harrington</t>
        </is>
      </c>
      <c r="D272" s="15" t="inlineStr">
        <is>
          <t>VT</t>
        </is>
      </c>
      <c r="E272" s="16" t="n">
        <v>920000</v>
      </c>
      <c r="F272" s="16" t="n">
        <v>15310.17</v>
      </c>
      <c r="G272" s="16" t="n">
        <v>1913.77</v>
      </c>
      <c r="H272" s="16" t="n">
        <v>1913.77</v>
      </c>
      <c r="I272" s="16">
        <f>SUM(K272:T272)</f>
        <v/>
      </c>
      <c r="J272" s="16">
        <f>F272-(G272+H272+I272)</f>
        <v/>
      </c>
      <c r="K272" s="16" t="n">
        <v>1148.26</v>
      </c>
      <c r="L272" s="16" t="n">
        <v>1148.26</v>
      </c>
      <c r="M272" s="16" t="n">
        <v>1148.26</v>
      </c>
      <c r="N272" s="16" t="n">
        <v>1148.26</v>
      </c>
      <c r="O272" s="16" t="n">
        <v>1148.26</v>
      </c>
      <c r="P272" s="16" t="n">
        <v>1148.26</v>
      </c>
      <c r="Q272" s="16" t="n">
        <v>1148.26</v>
      </c>
      <c r="R272" s="16" t="n">
        <v>1148.26</v>
      </c>
      <c r="S272" s="16" t="n">
        <v>1148.26</v>
      </c>
      <c r="T272" s="16" t="n">
        <v>1148.26</v>
      </c>
      <c r="U272" s="16" t="n">
        <v>350</v>
      </c>
      <c r="V272" s="16" t="n">
        <v>0</v>
      </c>
      <c r="W272" s="16">
        <f>U272+V272</f>
        <v/>
      </c>
    </row>
    <row r="273">
      <c r="A273" s="3" t="inlineStr">
        <is>
          <t>CANON-202607-008030</t>
        </is>
      </c>
      <c r="B273" s="3" t="inlineStr">
        <is>
          <t>2026-07-14</t>
        </is>
      </c>
      <c r="C273" s="3" t="inlineStr">
        <is>
          <t>Saoirse Harrington</t>
        </is>
      </c>
      <c r="D273" s="3" t="inlineStr">
        <is>
          <t>OH</t>
        </is>
      </c>
      <c r="E273" s="14" t="n">
        <v>540000</v>
      </c>
      <c r="F273" s="14" t="n">
        <v>7005.36</v>
      </c>
      <c r="G273" s="14" t="n">
        <v>875.67</v>
      </c>
      <c r="H273" s="14" t="n">
        <v>875.67</v>
      </c>
      <c r="I273" s="14">
        <f>SUM(K273:T273)</f>
        <v/>
      </c>
      <c r="J273" s="14">
        <f>F273-(G273+H273+I273)</f>
        <v/>
      </c>
      <c r="K273" s="14" t="n">
        <v>525.4</v>
      </c>
      <c r="L273" s="14" t="n">
        <v>525.4</v>
      </c>
      <c r="M273" s="14" t="n">
        <v>525.4</v>
      </c>
      <c r="N273" s="14" t="n">
        <v>525.4</v>
      </c>
      <c r="O273" s="14" t="n">
        <v>525.4</v>
      </c>
      <c r="P273" s="14" t="n">
        <v>525.4</v>
      </c>
      <c r="Q273" s="14" t="n">
        <v>525.4</v>
      </c>
      <c r="R273" s="14" t="n">
        <v>525.4</v>
      </c>
      <c r="S273" s="14" t="n">
        <v>525.4</v>
      </c>
      <c r="T273" s="14" t="n">
        <v>525.4</v>
      </c>
      <c r="U273" s="14" t="n">
        <v>350</v>
      </c>
      <c r="V273" s="14" t="n">
        <v>0</v>
      </c>
      <c r="W273" s="14">
        <f>U273+V273</f>
        <v/>
      </c>
    </row>
    <row r="274">
      <c r="A274" s="15" t="inlineStr">
        <is>
          <t>CANON-202607-008031</t>
        </is>
      </c>
      <c r="B274" s="15" t="inlineStr">
        <is>
          <t>2026-07-11</t>
        </is>
      </c>
      <c r="C274" s="15" t="inlineStr">
        <is>
          <t>Mireille Merriweather</t>
        </is>
      </c>
      <c r="D274" s="15" t="inlineStr">
        <is>
          <t>TN</t>
        </is>
      </c>
      <c r="E274" s="16" t="n">
        <v>530000</v>
      </c>
      <c r="F274" s="16" t="n">
        <v>4847.57</v>
      </c>
      <c r="G274" s="16" t="n">
        <v>605.95</v>
      </c>
      <c r="H274" s="16" t="n">
        <v>605.95</v>
      </c>
      <c r="I274" s="16">
        <f>SUM(K274:T274)</f>
        <v/>
      </c>
      <c r="J274" s="16">
        <f>F274-(G274+H274+I274)</f>
        <v/>
      </c>
      <c r="K274" s="16" t="n">
        <v>363.57</v>
      </c>
      <c r="L274" s="16" t="n">
        <v>363.57</v>
      </c>
      <c r="M274" s="16" t="n">
        <v>363.57</v>
      </c>
      <c r="N274" s="16" t="n">
        <v>363.57</v>
      </c>
      <c r="O274" s="16" t="n">
        <v>363.57</v>
      </c>
      <c r="P274" s="16" t="n">
        <v>363.57</v>
      </c>
      <c r="Q274" s="16" t="n">
        <v>363.57</v>
      </c>
      <c r="R274" s="16" t="n">
        <v>363.57</v>
      </c>
      <c r="S274" s="16" t="n">
        <v>363.57</v>
      </c>
      <c r="T274" s="16" t="n">
        <v>363.57</v>
      </c>
      <c r="U274" s="16" t="n">
        <v>350</v>
      </c>
      <c r="V274" s="16" t="n">
        <v>0</v>
      </c>
      <c r="W274" s="16">
        <f>U274+V274</f>
        <v/>
      </c>
    </row>
    <row r="275">
      <c r="A275" s="3" t="inlineStr">
        <is>
          <t>CANON-202607-008032</t>
        </is>
      </c>
      <c r="B275" s="3" t="inlineStr">
        <is>
          <t>2026-07-16</t>
        </is>
      </c>
      <c r="C275" s="3" t="inlineStr">
        <is>
          <t>Noor Pennington</t>
        </is>
      </c>
      <c r="D275" s="3" t="inlineStr">
        <is>
          <t>FL</t>
        </is>
      </c>
      <c r="E275" s="14" t="n">
        <v>845000</v>
      </c>
      <c r="F275" s="14" t="n">
        <v>11198.69</v>
      </c>
      <c r="G275" s="14" t="n">
        <v>1399.84</v>
      </c>
      <c r="H275" s="14" t="n">
        <v>1399.84</v>
      </c>
      <c r="I275" s="14">
        <f>SUM(K275:T275)</f>
        <v/>
      </c>
      <c r="J275" s="14">
        <f>F275-(G275+H275+I275)</f>
        <v/>
      </c>
      <c r="K275" s="14" t="n">
        <v>839.9</v>
      </c>
      <c r="L275" s="14" t="n">
        <v>839.9</v>
      </c>
      <c r="M275" s="14" t="n">
        <v>839.9</v>
      </c>
      <c r="N275" s="14" t="n">
        <v>839.9</v>
      </c>
      <c r="O275" s="14" t="n">
        <v>839.9</v>
      </c>
      <c r="P275" s="14" t="n">
        <v>839.9</v>
      </c>
      <c r="Q275" s="14" t="n">
        <v>839.9</v>
      </c>
      <c r="R275" s="14" t="n">
        <v>839.9</v>
      </c>
      <c r="S275" s="14" t="n">
        <v>839.9</v>
      </c>
      <c r="T275" s="14" t="n">
        <v>839.9</v>
      </c>
      <c r="U275" s="14" t="n">
        <v>350</v>
      </c>
      <c r="V275" s="14" t="n">
        <v>0</v>
      </c>
      <c r="W275" s="14">
        <f>U275+V275</f>
        <v/>
      </c>
    </row>
    <row r="276">
      <c r="A276" s="15" t="inlineStr">
        <is>
          <t>CANON-202607-008033</t>
        </is>
      </c>
      <c r="B276" s="15" t="inlineStr">
        <is>
          <t>2026-07-06</t>
        </is>
      </c>
      <c r="C276" s="15" t="inlineStr">
        <is>
          <t>Everett Nakashima</t>
        </is>
      </c>
      <c r="D276" s="15" t="inlineStr">
        <is>
          <t>NY</t>
        </is>
      </c>
      <c r="E276" s="16" t="n">
        <v>350000</v>
      </c>
      <c r="F276" s="16" t="n">
        <v>4824.45</v>
      </c>
      <c r="G276" s="16" t="n">
        <v>603.0599999999999</v>
      </c>
      <c r="H276" s="16" t="n">
        <v>603.0599999999999</v>
      </c>
      <c r="I276" s="16">
        <f>SUM(K276:T276)</f>
        <v/>
      </c>
      <c r="J276" s="16">
        <f>F276-(G276+H276+I276)</f>
        <v/>
      </c>
      <c r="K276" s="16" t="n">
        <v>361.83</v>
      </c>
      <c r="L276" s="16" t="n">
        <v>361.83</v>
      </c>
      <c r="M276" s="16" t="n">
        <v>361.83</v>
      </c>
      <c r="N276" s="16" t="n">
        <v>361.83</v>
      </c>
      <c r="O276" s="16" t="n">
        <v>361.83</v>
      </c>
      <c r="P276" s="16" t="n">
        <v>361.83</v>
      </c>
      <c r="Q276" s="16" t="n">
        <v>361.83</v>
      </c>
      <c r="R276" s="16" t="n">
        <v>361.83</v>
      </c>
      <c r="S276" s="16" t="n">
        <v>361.83</v>
      </c>
      <c r="T276" s="16" t="n">
        <v>361.83</v>
      </c>
      <c r="U276" s="16" t="n">
        <v>350</v>
      </c>
      <c r="V276" s="16" t="n">
        <v>0</v>
      </c>
      <c r="W276" s="16">
        <f>U276+V276</f>
        <v/>
      </c>
    </row>
    <row r="277">
      <c r="A277" s="3" t="inlineStr">
        <is>
          <t>CANON-202607-008034</t>
        </is>
      </c>
      <c r="B277" s="3" t="inlineStr">
        <is>
          <t>2026-07-24</t>
        </is>
      </c>
      <c r="C277" s="3" t="inlineStr">
        <is>
          <t>Priya Vandermeer</t>
        </is>
      </c>
      <c r="D277" s="3" t="inlineStr">
        <is>
          <t>NV</t>
        </is>
      </c>
      <c r="E277" s="14" t="n">
        <v>515000</v>
      </c>
      <c r="F277" s="14" t="n">
        <v>5623.61</v>
      </c>
      <c r="G277" s="14" t="n">
        <v>702.95</v>
      </c>
      <c r="H277" s="14" t="n">
        <v>702.95</v>
      </c>
      <c r="I277" s="14">
        <f>SUM(K277:T277)</f>
        <v/>
      </c>
      <c r="J277" s="14">
        <f>F277-(G277+H277+I277)</f>
        <v/>
      </c>
      <c r="K277" s="14" t="n">
        <v>421.77</v>
      </c>
      <c r="L277" s="14" t="n">
        <v>421.77</v>
      </c>
      <c r="M277" s="14" t="n">
        <v>421.77</v>
      </c>
      <c r="N277" s="14" t="n">
        <v>421.77</v>
      </c>
      <c r="O277" s="14" t="n">
        <v>421.77</v>
      </c>
      <c r="P277" s="14" t="n">
        <v>421.77</v>
      </c>
      <c r="Q277" s="14" t="n">
        <v>421.77</v>
      </c>
      <c r="R277" s="14" t="n">
        <v>421.77</v>
      </c>
      <c r="S277" s="14" t="n">
        <v>421.77</v>
      </c>
      <c r="T277" s="14" t="n">
        <v>421.77</v>
      </c>
      <c r="U277" s="14" t="n">
        <v>350</v>
      </c>
      <c r="V277" s="14" t="n">
        <v>0</v>
      </c>
      <c r="W277" s="14">
        <f>U277+V277</f>
        <v/>
      </c>
    </row>
    <row r="278">
      <c r="A278" s="15" t="inlineStr">
        <is>
          <t>CANON-202607-008036</t>
        </is>
      </c>
      <c r="B278" s="15" t="inlineStr">
        <is>
          <t>2026-07-14</t>
        </is>
      </c>
      <c r="C278" s="15" t="inlineStr">
        <is>
          <t>Leopold Vasquez</t>
        </is>
      </c>
      <c r="D278" s="15" t="inlineStr">
        <is>
          <t>CA</t>
        </is>
      </c>
      <c r="E278" s="16" t="n">
        <v>720000</v>
      </c>
      <c r="F278" s="16" t="n">
        <v>9071.690000000001</v>
      </c>
      <c r="G278" s="16" t="n">
        <v>1133.96</v>
      </c>
      <c r="H278" s="16" t="n">
        <v>1133.96</v>
      </c>
      <c r="I278" s="16">
        <f>SUM(K278:T278)</f>
        <v/>
      </c>
      <c r="J278" s="16">
        <f>F278-(G278+H278+I278)</f>
        <v/>
      </c>
      <c r="K278" s="16" t="n">
        <v>680.38</v>
      </c>
      <c r="L278" s="16" t="n">
        <v>680.38</v>
      </c>
      <c r="M278" s="16" t="n">
        <v>680.38</v>
      </c>
      <c r="N278" s="16" t="n">
        <v>680.38</v>
      </c>
      <c r="O278" s="16" t="n">
        <v>680.38</v>
      </c>
      <c r="P278" s="16" t="n">
        <v>680.38</v>
      </c>
      <c r="Q278" s="16" t="n">
        <v>680.38</v>
      </c>
      <c r="R278" s="16" t="n">
        <v>680.38</v>
      </c>
      <c r="S278" s="16" t="n">
        <v>680.38</v>
      </c>
      <c r="T278" s="16" t="n">
        <v>680.38</v>
      </c>
      <c r="U278" s="16" t="n">
        <v>350</v>
      </c>
      <c r="V278" s="16" t="n">
        <v>0</v>
      </c>
      <c r="W278" s="16">
        <f>U278+V278</f>
        <v/>
      </c>
    </row>
    <row r="279">
      <c r="A279" s="3" t="inlineStr">
        <is>
          <t>CANON-202607-008039</t>
        </is>
      </c>
      <c r="B279" s="3" t="inlineStr">
        <is>
          <t>2026-07-27</t>
        </is>
      </c>
      <c r="C279" s="3" t="inlineStr">
        <is>
          <t>Emiliano Montoya</t>
        </is>
      </c>
      <c r="D279" s="3" t="inlineStr">
        <is>
          <t>LA</t>
        </is>
      </c>
      <c r="E279" s="14" t="n">
        <v>845000</v>
      </c>
      <c r="F279" s="14" t="n">
        <v>9542.540000000001</v>
      </c>
      <c r="G279" s="14" t="n">
        <v>1192.82</v>
      </c>
      <c r="H279" s="14" t="n">
        <v>1192.82</v>
      </c>
      <c r="I279" s="14">
        <f>SUM(K279:T279)</f>
        <v/>
      </c>
      <c r="J279" s="14">
        <f>F279-(G279+H279+I279)</f>
        <v/>
      </c>
      <c r="K279" s="14" t="n">
        <v>715.6900000000001</v>
      </c>
      <c r="L279" s="14" t="n">
        <v>715.6900000000001</v>
      </c>
      <c r="M279" s="14" t="n">
        <v>715.6900000000001</v>
      </c>
      <c r="N279" s="14" t="n">
        <v>715.6900000000001</v>
      </c>
      <c r="O279" s="14" t="n">
        <v>715.6900000000001</v>
      </c>
      <c r="P279" s="14" t="n">
        <v>715.6900000000001</v>
      </c>
      <c r="Q279" s="14" t="n">
        <v>715.6900000000001</v>
      </c>
      <c r="R279" s="14" t="n">
        <v>715.6900000000001</v>
      </c>
      <c r="S279" s="14" t="n">
        <v>715.6900000000001</v>
      </c>
      <c r="T279" s="14" t="n">
        <v>715.6900000000001</v>
      </c>
      <c r="U279" s="14" t="n">
        <v>350</v>
      </c>
      <c r="V279" s="14" t="n">
        <v>0</v>
      </c>
      <c r="W279" s="14">
        <f>U279+V279</f>
        <v/>
      </c>
    </row>
    <row r="280">
      <c r="A280" s="15" t="inlineStr">
        <is>
          <t>CANON-202607-008040</t>
        </is>
      </c>
      <c r="B280" s="15" t="inlineStr">
        <is>
          <t>2026-07-01</t>
        </is>
      </c>
      <c r="C280" s="15" t="inlineStr">
        <is>
          <t>Marisol Vasquez</t>
        </is>
      </c>
      <c r="D280" s="15" t="inlineStr">
        <is>
          <t>ND</t>
        </is>
      </c>
      <c r="E280" s="16" t="n">
        <v>1500000</v>
      </c>
      <c r="F280" s="16" t="n">
        <v>7469.28</v>
      </c>
      <c r="G280" s="16" t="n">
        <v>933.66</v>
      </c>
      <c r="H280" s="16" t="n">
        <v>933.66</v>
      </c>
      <c r="I280" s="16">
        <f>SUM(K280:T280)</f>
        <v/>
      </c>
      <c r="J280" s="16">
        <f>F280-(G280+H280+I280)</f>
        <v/>
      </c>
      <c r="K280" s="16" t="n">
        <v>560.2</v>
      </c>
      <c r="L280" s="16" t="n">
        <v>560.2</v>
      </c>
      <c r="M280" s="16" t="n">
        <v>560.2</v>
      </c>
      <c r="N280" s="16" t="n">
        <v>560.2</v>
      </c>
      <c r="O280" s="16" t="n">
        <v>560.2</v>
      </c>
      <c r="P280" s="16" t="n">
        <v>560.2</v>
      </c>
      <c r="Q280" s="16" t="n">
        <v>560.2</v>
      </c>
      <c r="R280" s="16" t="n">
        <v>560.2</v>
      </c>
      <c r="S280" s="16" t="n">
        <v>560.2</v>
      </c>
      <c r="T280" s="16" t="n">
        <v>560.2</v>
      </c>
      <c r="U280" s="16" t="n">
        <v>350</v>
      </c>
      <c r="V280" s="16" t="n">
        <v>250</v>
      </c>
      <c r="W280" s="16">
        <f>U280+V280</f>
        <v/>
      </c>
    </row>
    <row r="281">
      <c r="A281" s="3" t="inlineStr">
        <is>
          <t>CANON-202607-008041</t>
        </is>
      </c>
      <c r="B281" s="3" t="inlineStr">
        <is>
          <t>2026-07-09</t>
        </is>
      </c>
      <c r="C281" s="3" t="inlineStr">
        <is>
          <t>Desmond Merriweather</t>
        </is>
      </c>
      <c r="D281" s="3" t="inlineStr">
        <is>
          <t>VT</t>
        </is>
      </c>
      <c r="E281" s="14" t="n">
        <v>550000</v>
      </c>
      <c r="F281" s="14" t="n">
        <v>6262.46</v>
      </c>
      <c r="G281" s="14" t="n">
        <v>782.8099999999999</v>
      </c>
      <c r="H281" s="14" t="n">
        <v>782.8099999999999</v>
      </c>
      <c r="I281" s="14">
        <f>SUM(K281:T281)</f>
        <v/>
      </c>
      <c r="J281" s="14">
        <f>F281-(G281+H281+I281)</f>
        <v/>
      </c>
      <c r="K281" s="14" t="n">
        <v>469.68</v>
      </c>
      <c r="L281" s="14" t="n">
        <v>469.68</v>
      </c>
      <c r="M281" s="14" t="n">
        <v>469.68</v>
      </c>
      <c r="N281" s="14" t="n">
        <v>469.68</v>
      </c>
      <c r="O281" s="14" t="n">
        <v>469.68</v>
      </c>
      <c r="P281" s="14" t="n">
        <v>469.68</v>
      </c>
      <c r="Q281" s="14" t="n">
        <v>469.68</v>
      </c>
      <c r="R281" s="14" t="n">
        <v>469.68</v>
      </c>
      <c r="S281" s="14" t="n">
        <v>469.68</v>
      </c>
      <c r="T281" s="14" t="n">
        <v>469.68</v>
      </c>
      <c r="U281" s="14" t="n">
        <v>350</v>
      </c>
      <c r="V281" s="14" t="n">
        <v>0</v>
      </c>
      <c r="W281" s="14">
        <f>U281+V281</f>
        <v/>
      </c>
    </row>
    <row r="282">
      <c r="A282" s="15" t="inlineStr">
        <is>
          <t>CANON-202607-008042</t>
        </is>
      </c>
      <c r="B282" s="15" t="inlineStr">
        <is>
          <t>2026-07-10</t>
        </is>
      </c>
      <c r="C282" s="15" t="inlineStr">
        <is>
          <t>Beatrix Harrington</t>
        </is>
      </c>
      <c r="D282" s="15" t="inlineStr">
        <is>
          <t>TX</t>
        </is>
      </c>
      <c r="E282" s="16" t="n">
        <v>1260000</v>
      </c>
      <c r="F282" s="16" t="n">
        <v>7906.07</v>
      </c>
      <c r="G282" s="16" t="n">
        <v>988.26</v>
      </c>
      <c r="H282" s="16" t="n">
        <v>988.26</v>
      </c>
      <c r="I282" s="16">
        <f>SUM(K282:T282)</f>
        <v/>
      </c>
      <c r="J282" s="16">
        <f>F282-(G282+H282+I282)</f>
        <v/>
      </c>
      <c r="K282" s="16" t="n">
        <v>592.96</v>
      </c>
      <c r="L282" s="16" t="n">
        <v>592.96</v>
      </c>
      <c r="M282" s="16" t="n">
        <v>592.96</v>
      </c>
      <c r="N282" s="16" t="n">
        <v>592.96</v>
      </c>
      <c r="O282" s="16" t="n">
        <v>592.96</v>
      </c>
      <c r="P282" s="16" t="n">
        <v>592.96</v>
      </c>
      <c r="Q282" s="16" t="n">
        <v>592.96</v>
      </c>
      <c r="R282" s="16" t="n">
        <v>592.96</v>
      </c>
      <c r="S282" s="16" t="n">
        <v>592.96</v>
      </c>
      <c r="T282" s="16" t="n">
        <v>592.96</v>
      </c>
      <c r="U282" s="16" t="n">
        <v>350</v>
      </c>
      <c r="V282" s="16" t="n">
        <v>250</v>
      </c>
      <c r="W282" s="16">
        <f>U282+V282</f>
        <v/>
      </c>
    </row>
    <row r="283">
      <c r="A283" s="3" t="inlineStr">
        <is>
          <t>CANON-202607-008043</t>
        </is>
      </c>
      <c r="B283" s="3" t="inlineStr">
        <is>
          <t>2026-07-06</t>
        </is>
      </c>
      <c r="C283" s="3" t="inlineStr">
        <is>
          <t>Callum Vandermeer</t>
        </is>
      </c>
      <c r="D283" s="3" t="inlineStr">
        <is>
          <t>ID</t>
        </is>
      </c>
      <c r="E283" s="14" t="n">
        <v>695000</v>
      </c>
      <c r="F283" s="14" t="n">
        <v>6421.58</v>
      </c>
      <c r="G283" s="14" t="n">
        <v>802.7</v>
      </c>
      <c r="H283" s="14" t="n">
        <v>802.7</v>
      </c>
      <c r="I283" s="14">
        <f>SUM(K283:T283)</f>
        <v/>
      </c>
      <c r="J283" s="14">
        <f>F283-(G283+H283+I283)</f>
        <v/>
      </c>
      <c r="K283" s="14" t="n">
        <v>481.62</v>
      </c>
      <c r="L283" s="14" t="n">
        <v>481.62</v>
      </c>
      <c r="M283" s="14" t="n">
        <v>481.62</v>
      </c>
      <c r="N283" s="14" t="n">
        <v>481.62</v>
      </c>
      <c r="O283" s="14" t="n">
        <v>481.62</v>
      </c>
      <c r="P283" s="14" t="n">
        <v>481.62</v>
      </c>
      <c r="Q283" s="14" t="n">
        <v>481.62</v>
      </c>
      <c r="R283" s="14" t="n">
        <v>481.62</v>
      </c>
      <c r="S283" s="14" t="n">
        <v>481.62</v>
      </c>
      <c r="T283" s="14" t="n">
        <v>481.62</v>
      </c>
      <c r="U283" s="14" t="n">
        <v>350</v>
      </c>
      <c r="V283" s="14" t="n">
        <v>0</v>
      </c>
      <c r="W283" s="14">
        <f>U283+V283</f>
        <v/>
      </c>
    </row>
    <row r="284">
      <c r="A284" s="15" t="inlineStr">
        <is>
          <t>CANON-202607-008044</t>
        </is>
      </c>
      <c r="B284" s="15" t="inlineStr">
        <is>
          <t>2026-07-28</t>
        </is>
      </c>
      <c r="C284" s="15" t="inlineStr">
        <is>
          <t>Marisol Farkas</t>
        </is>
      </c>
      <c r="D284" s="15" t="inlineStr">
        <is>
          <t>OK</t>
        </is>
      </c>
      <c r="E284" s="16" t="n">
        <v>425000</v>
      </c>
      <c r="F284" s="16" t="n">
        <v>5766.73</v>
      </c>
      <c r="G284" s="16" t="n">
        <v>720.84</v>
      </c>
      <c r="H284" s="16" t="n">
        <v>720.84</v>
      </c>
      <c r="I284" s="16">
        <f>SUM(K284:T284)</f>
        <v/>
      </c>
      <c r="J284" s="16">
        <f>F284-(G284+H284+I284)</f>
        <v/>
      </c>
      <c r="K284" s="16" t="n">
        <v>432.5</v>
      </c>
      <c r="L284" s="16" t="n">
        <v>432.5</v>
      </c>
      <c r="M284" s="16" t="n">
        <v>432.5</v>
      </c>
      <c r="N284" s="16" t="n">
        <v>432.5</v>
      </c>
      <c r="O284" s="16" t="n">
        <v>432.5</v>
      </c>
      <c r="P284" s="16" t="n">
        <v>432.5</v>
      </c>
      <c r="Q284" s="16" t="n">
        <v>432.5</v>
      </c>
      <c r="R284" s="16" t="n">
        <v>432.5</v>
      </c>
      <c r="S284" s="16" t="n">
        <v>432.5</v>
      </c>
      <c r="T284" s="16" t="n">
        <v>432.5</v>
      </c>
      <c r="U284" s="16" t="n">
        <v>350</v>
      </c>
      <c r="V284" s="16" t="n">
        <v>0</v>
      </c>
      <c r="W284" s="16">
        <f>U284+V284</f>
        <v/>
      </c>
    </row>
    <row r="285">
      <c r="A285" s="3" t="inlineStr">
        <is>
          <t>CANON-202607-008045</t>
        </is>
      </c>
      <c r="B285" s="3" t="inlineStr">
        <is>
          <t>2026-07-06</t>
        </is>
      </c>
      <c r="C285" s="3" t="inlineStr">
        <is>
          <t>Mireille Castellanos</t>
        </is>
      </c>
      <c r="D285" s="3" t="inlineStr">
        <is>
          <t>NM</t>
        </is>
      </c>
      <c r="E285" s="14" t="n">
        <v>630000</v>
      </c>
      <c r="F285" s="14" t="n">
        <v>4978.83</v>
      </c>
      <c r="G285" s="14" t="n">
        <v>622.35</v>
      </c>
      <c r="H285" s="14" t="n">
        <v>622.35</v>
      </c>
      <c r="I285" s="14">
        <f>SUM(K285:T285)</f>
        <v/>
      </c>
      <c r="J285" s="14">
        <f>F285-(G285+H285+I285)</f>
        <v/>
      </c>
      <c r="K285" s="14" t="n">
        <v>373.41</v>
      </c>
      <c r="L285" s="14" t="n">
        <v>373.41</v>
      </c>
      <c r="M285" s="14" t="n">
        <v>373.41</v>
      </c>
      <c r="N285" s="14" t="n">
        <v>373.41</v>
      </c>
      <c r="O285" s="14" t="n">
        <v>373.41</v>
      </c>
      <c r="P285" s="14" t="n">
        <v>373.41</v>
      </c>
      <c r="Q285" s="14" t="n">
        <v>373.41</v>
      </c>
      <c r="R285" s="14" t="n">
        <v>373.41</v>
      </c>
      <c r="S285" s="14" t="n">
        <v>373.41</v>
      </c>
      <c r="T285" s="14" t="n">
        <v>373.41</v>
      </c>
      <c r="U285" s="14" t="n">
        <v>350</v>
      </c>
      <c r="V285" s="14" t="n">
        <v>0</v>
      </c>
      <c r="W285" s="14">
        <f>U285+V285</f>
        <v/>
      </c>
    </row>
    <row r="286">
      <c r="A286" s="15" t="inlineStr">
        <is>
          <t>CANON-202607-008046</t>
        </is>
      </c>
      <c r="B286" s="15" t="inlineStr">
        <is>
          <t>2026-07-11</t>
        </is>
      </c>
      <c r="C286" s="15" t="inlineStr">
        <is>
          <t>Callum Bellandi</t>
        </is>
      </c>
      <c r="D286" s="15" t="inlineStr">
        <is>
          <t>TX</t>
        </is>
      </c>
      <c r="E286" s="16" t="n">
        <v>605000</v>
      </c>
      <c r="F286" s="16" t="n">
        <v>6493.45</v>
      </c>
      <c r="G286" s="16" t="n">
        <v>811.6799999999999</v>
      </c>
      <c r="H286" s="16" t="n">
        <v>811.6799999999999</v>
      </c>
      <c r="I286" s="16">
        <f>SUM(K286:T286)</f>
        <v/>
      </c>
      <c r="J286" s="16">
        <f>F286-(G286+H286+I286)</f>
        <v/>
      </c>
      <c r="K286" s="16" t="n">
        <v>487.01</v>
      </c>
      <c r="L286" s="16" t="n">
        <v>487.01</v>
      </c>
      <c r="M286" s="16" t="n">
        <v>487.01</v>
      </c>
      <c r="N286" s="16" t="n">
        <v>487.01</v>
      </c>
      <c r="O286" s="16" t="n">
        <v>487.01</v>
      </c>
      <c r="P286" s="16" t="n">
        <v>487.01</v>
      </c>
      <c r="Q286" s="16" t="n">
        <v>487.01</v>
      </c>
      <c r="R286" s="16" t="n">
        <v>487.01</v>
      </c>
      <c r="S286" s="16" t="n">
        <v>487.01</v>
      </c>
      <c r="T286" s="16" t="n">
        <v>487.01</v>
      </c>
      <c r="U286" s="16" t="n">
        <v>350</v>
      </c>
      <c r="V286" s="16" t="n">
        <v>0</v>
      </c>
      <c r="W286" s="16">
        <f>U286+V286</f>
        <v/>
      </c>
    </row>
    <row r="287">
      <c r="A287" s="3" t="inlineStr">
        <is>
          <t>CANON-202607-008047</t>
        </is>
      </c>
      <c r="B287" s="3" t="inlineStr">
        <is>
          <t>2026-07-22</t>
        </is>
      </c>
      <c r="C287" s="3" t="inlineStr">
        <is>
          <t>Cassius Merriweather</t>
        </is>
      </c>
      <c r="D287" s="3" t="inlineStr">
        <is>
          <t>HI</t>
        </is>
      </c>
      <c r="E287" s="14" t="n">
        <v>350000</v>
      </c>
      <c r="F287" s="14" t="n">
        <v>4899.84</v>
      </c>
      <c r="G287" s="14" t="n">
        <v>612.48</v>
      </c>
      <c r="H287" s="14" t="n">
        <v>612.48</v>
      </c>
      <c r="I287" s="14">
        <f>SUM(K287:T287)</f>
        <v/>
      </c>
      <c r="J287" s="14">
        <f>F287-(G287+H287+I287)</f>
        <v/>
      </c>
      <c r="K287" s="14" t="n">
        <v>367.49</v>
      </c>
      <c r="L287" s="14" t="n">
        <v>367.49</v>
      </c>
      <c r="M287" s="14" t="n">
        <v>367.49</v>
      </c>
      <c r="N287" s="14" t="n">
        <v>367.49</v>
      </c>
      <c r="O287" s="14" t="n">
        <v>367.49</v>
      </c>
      <c r="P287" s="14" t="n">
        <v>367.49</v>
      </c>
      <c r="Q287" s="14" t="n">
        <v>367.49</v>
      </c>
      <c r="R287" s="14" t="n">
        <v>367.49</v>
      </c>
      <c r="S287" s="14" t="n">
        <v>367.49</v>
      </c>
      <c r="T287" s="14" t="n">
        <v>367.49</v>
      </c>
      <c r="U287" s="14" t="n">
        <v>350</v>
      </c>
      <c r="V287" s="14" t="n">
        <v>0</v>
      </c>
      <c r="W287" s="14">
        <f>U287+V287</f>
        <v/>
      </c>
    </row>
    <row r="288">
      <c r="A288" s="15" t="inlineStr">
        <is>
          <t>CANON-202607-008048</t>
        </is>
      </c>
      <c r="B288" s="15" t="inlineStr">
        <is>
          <t>2026-07-18</t>
        </is>
      </c>
      <c r="C288" s="15" t="inlineStr">
        <is>
          <t>Anouk Okonkwo</t>
        </is>
      </c>
      <c r="D288" s="15" t="inlineStr">
        <is>
          <t>SD</t>
        </is>
      </c>
      <c r="E288" s="16" t="n">
        <v>465000</v>
      </c>
      <c r="F288" s="16" t="n">
        <v>5558.35</v>
      </c>
      <c r="G288" s="16" t="n">
        <v>694.79</v>
      </c>
      <c r="H288" s="16" t="n">
        <v>694.79</v>
      </c>
      <c r="I288" s="16">
        <f>SUM(K288:T288)</f>
        <v/>
      </c>
      <c r="J288" s="16">
        <f>F288-(G288+H288+I288)</f>
        <v/>
      </c>
      <c r="K288" s="16" t="n">
        <v>416.88</v>
      </c>
      <c r="L288" s="16" t="n">
        <v>416.88</v>
      </c>
      <c r="M288" s="16" t="n">
        <v>416.88</v>
      </c>
      <c r="N288" s="16" t="n">
        <v>416.88</v>
      </c>
      <c r="O288" s="16" t="n">
        <v>416.88</v>
      </c>
      <c r="P288" s="16" t="n">
        <v>416.88</v>
      </c>
      <c r="Q288" s="16" t="n">
        <v>416.88</v>
      </c>
      <c r="R288" s="16" t="n">
        <v>416.88</v>
      </c>
      <c r="S288" s="16" t="n">
        <v>416.88</v>
      </c>
      <c r="T288" s="16" t="n">
        <v>416.88</v>
      </c>
      <c r="U288" s="16" t="n">
        <v>350</v>
      </c>
      <c r="V288" s="16" t="n">
        <v>0</v>
      </c>
      <c r="W288" s="16">
        <f>U288+V288</f>
        <v/>
      </c>
    </row>
    <row r="289">
      <c r="A289" s="3" t="inlineStr">
        <is>
          <t>CANON-202607-008049</t>
        </is>
      </c>
      <c r="B289" s="3" t="inlineStr">
        <is>
          <t>2026-07-30</t>
        </is>
      </c>
      <c r="C289" s="3" t="inlineStr">
        <is>
          <t>Horace Larsson</t>
        </is>
      </c>
      <c r="D289" s="3" t="inlineStr">
        <is>
          <t>SC</t>
        </is>
      </c>
      <c r="E289" s="14" t="n">
        <v>510000</v>
      </c>
      <c r="F289" s="14" t="n">
        <v>5902.2</v>
      </c>
      <c r="G289" s="14" t="n">
        <v>737.77</v>
      </c>
      <c r="H289" s="14" t="n">
        <v>737.77</v>
      </c>
      <c r="I289" s="14">
        <f>SUM(K289:T289)</f>
        <v/>
      </c>
      <c r="J289" s="14">
        <f>F289-(G289+H289+I289)</f>
        <v/>
      </c>
      <c r="K289" s="14" t="n">
        <v>442.66</v>
      </c>
      <c r="L289" s="14" t="n">
        <v>442.66</v>
      </c>
      <c r="M289" s="14" t="n">
        <v>442.66</v>
      </c>
      <c r="N289" s="14" t="n">
        <v>442.66</v>
      </c>
      <c r="O289" s="14" t="n">
        <v>442.66</v>
      </c>
      <c r="P289" s="14" t="n">
        <v>442.66</v>
      </c>
      <c r="Q289" s="14" t="n">
        <v>442.66</v>
      </c>
      <c r="R289" s="14" t="n">
        <v>442.66</v>
      </c>
      <c r="S289" s="14" t="n">
        <v>442.66</v>
      </c>
      <c r="T289" s="14" t="n">
        <v>442.66</v>
      </c>
      <c r="U289" s="14" t="n">
        <v>350</v>
      </c>
      <c r="V289" s="14" t="n">
        <v>0</v>
      </c>
      <c r="W289" s="14">
        <f>U289+V289</f>
        <v/>
      </c>
    </row>
    <row r="290">
      <c r="A290" s="15" t="inlineStr">
        <is>
          <t>CANON-202607-008052</t>
        </is>
      </c>
      <c r="B290" s="15" t="inlineStr">
        <is>
          <t>2026-07-04</t>
        </is>
      </c>
      <c r="C290" s="15" t="inlineStr">
        <is>
          <t>Ramona Farkas</t>
        </is>
      </c>
      <c r="D290" s="15" t="inlineStr">
        <is>
          <t>AL</t>
        </is>
      </c>
      <c r="E290" s="16" t="n">
        <v>895000</v>
      </c>
      <c r="F290" s="16" t="n">
        <v>10608.38</v>
      </c>
      <c r="G290" s="16" t="n">
        <v>1326.05</v>
      </c>
      <c r="H290" s="16" t="n">
        <v>1326.05</v>
      </c>
      <c r="I290" s="16">
        <f>SUM(K290:T290)</f>
        <v/>
      </c>
      <c r="J290" s="16">
        <f>F290-(G290+H290+I290)</f>
        <v/>
      </c>
      <c r="K290" s="16" t="n">
        <v>795.63</v>
      </c>
      <c r="L290" s="16" t="n">
        <v>795.63</v>
      </c>
      <c r="M290" s="16" t="n">
        <v>795.63</v>
      </c>
      <c r="N290" s="16" t="n">
        <v>795.63</v>
      </c>
      <c r="O290" s="16" t="n">
        <v>795.63</v>
      </c>
      <c r="P290" s="16" t="n">
        <v>795.63</v>
      </c>
      <c r="Q290" s="16" t="n">
        <v>795.63</v>
      </c>
      <c r="R290" s="16" t="n">
        <v>795.63</v>
      </c>
      <c r="S290" s="16" t="n">
        <v>795.63</v>
      </c>
      <c r="T290" s="16" t="n">
        <v>795.63</v>
      </c>
      <c r="U290" s="16" t="n">
        <v>350</v>
      </c>
      <c r="V290" s="16" t="n">
        <v>0</v>
      </c>
      <c r="W290" s="16">
        <f>U290+V290</f>
        <v/>
      </c>
    </row>
    <row r="291">
      <c r="A291" s="3" t="inlineStr">
        <is>
          <t>CANON-202607-008055</t>
        </is>
      </c>
      <c r="B291" s="3" t="inlineStr">
        <is>
          <t>2026-07-09</t>
        </is>
      </c>
      <c r="C291" s="3" t="inlineStr">
        <is>
          <t>Everett Thistlewood</t>
        </is>
      </c>
      <c r="D291" s="3" t="inlineStr">
        <is>
          <t>PA</t>
        </is>
      </c>
      <c r="E291" s="14" t="n">
        <v>690000</v>
      </c>
      <c r="F291" s="14" t="n">
        <v>6439.78</v>
      </c>
      <c r="G291" s="14" t="n">
        <v>804.97</v>
      </c>
      <c r="H291" s="14" t="n">
        <v>804.97</v>
      </c>
      <c r="I291" s="14">
        <f>SUM(K291:T291)</f>
        <v/>
      </c>
      <c r="J291" s="14">
        <f>F291-(G291+H291+I291)</f>
        <v/>
      </c>
      <c r="K291" s="14" t="n">
        <v>482.98</v>
      </c>
      <c r="L291" s="14" t="n">
        <v>482.98</v>
      </c>
      <c r="M291" s="14" t="n">
        <v>482.98</v>
      </c>
      <c r="N291" s="14" t="n">
        <v>482.98</v>
      </c>
      <c r="O291" s="14" t="n">
        <v>482.98</v>
      </c>
      <c r="P291" s="14" t="n">
        <v>482.98</v>
      </c>
      <c r="Q291" s="14" t="n">
        <v>482.98</v>
      </c>
      <c r="R291" s="14" t="n">
        <v>482.98</v>
      </c>
      <c r="S291" s="14" t="n">
        <v>482.98</v>
      </c>
      <c r="T291" s="14" t="n">
        <v>482.98</v>
      </c>
      <c r="U291" s="14" t="n">
        <v>350</v>
      </c>
      <c r="V291" s="14" t="n">
        <v>0</v>
      </c>
      <c r="W291" s="14">
        <f>U291+V291</f>
        <v/>
      </c>
    </row>
    <row r="292">
      <c r="A292" s="15" t="inlineStr">
        <is>
          <t>CANON-202607-008056</t>
        </is>
      </c>
      <c r="B292" s="15" t="inlineStr">
        <is>
          <t>2026-07-21</t>
        </is>
      </c>
      <c r="C292" s="15" t="inlineStr">
        <is>
          <t>Aurelio Harrington</t>
        </is>
      </c>
      <c r="D292" s="15" t="inlineStr">
        <is>
          <t>IN</t>
        </is>
      </c>
      <c r="E292" s="16" t="n">
        <v>1155000</v>
      </c>
      <c r="F292" s="16" t="n">
        <v>11219.11</v>
      </c>
      <c r="G292" s="16" t="n">
        <v>1402.39</v>
      </c>
      <c r="H292" s="16" t="n">
        <v>1402.39</v>
      </c>
      <c r="I292" s="16">
        <f>SUM(K292:T292)</f>
        <v/>
      </c>
      <c r="J292" s="16">
        <f>F292-(G292+H292+I292)</f>
        <v/>
      </c>
      <c r="K292" s="16" t="n">
        <v>841.4299999999999</v>
      </c>
      <c r="L292" s="16" t="n">
        <v>841.4299999999999</v>
      </c>
      <c r="M292" s="16" t="n">
        <v>841.4299999999999</v>
      </c>
      <c r="N292" s="16" t="n">
        <v>841.4299999999999</v>
      </c>
      <c r="O292" s="16" t="n">
        <v>841.4299999999999</v>
      </c>
      <c r="P292" s="16" t="n">
        <v>841.4299999999999</v>
      </c>
      <c r="Q292" s="16" t="n">
        <v>841.4299999999999</v>
      </c>
      <c r="R292" s="16" t="n">
        <v>841.4299999999999</v>
      </c>
      <c r="S292" s="16" t="n">
        <v>841.4299999999999</v>
      </c>
      <c r="T292" s="16" t="n">
        <v>841.4299999999999</v>
      </c>
      <c r="U292" s="16" t="n">
        <v>350</v>
      </c>
      <c r="V292" s="16" t="n">
        <v>250</v>
      </c>
      <c r="W292" s="16">
        <f>U292+V292</f>
        <v/>
      </c>
    </row>
    <row r="293">
      <c r="A293" s="3" t="inlineStr">
        <is>
          <t>CANON-202607-008058</t>
        </is>
      </c>
      <c r="B293" s="3" t="inlineStr">
        <is>
          <t>2026-07-10</t>
        </is>
      </c>
      <c r="C293" s="3" t="inlineStr">
        <is>
          <t>Wilhelmina Chattopadhyay</t>
        </is>
      </c>
      <c r="D293" s="3" t="inlineStr">
        <is>
          <t>ND</t>
        </is>
      </c>
      <c r="E293" s="14" t="n">
        <v>420000</v>
      </c>
      <c r="F293" s="14" t="n">
        <v>4613.38</v>
      </c>
      <c r="G293" s="14" t="n">
        <v>576.67</v>
      </c>
      <c r="H293" s="14" t="n">
        <v>576.67</v>
      </c>
      <c r="I293" s="14">
        <f>SUM(K293:T293)</f>
        <v/>
      </c>
      <c r="J293" s="14">
        <f>F293-(G293+H293+I293)</f>
        <v/>
      </c>
      <c r="K293" s="14" t="n">
        <v>346</v>
      </c>
      <c r="L293" s="14" t="n">
        <v>346</v>
      </c>
      <c r="M293" s="14" t="n">
        <v>346</v>
      </c>
      <c r="N293" s="14" t="n">
        <v>346</v>
      </c>
      <c r="O293" s="14" t="n">
        <v>346</v>
      </c>
      <c r="P293" s="14" t="n">
        <v>346</v>
      </c>
      <c r="Q293" s="14" t="n">
        <v>346</v>
      </c>
      <c r="R293" s="14" t="n">
        <v>346</v>
      </c>
      <c r="S293" s="14" t="n">
        <v>346</v>
      </c>
      <c r="T293" s="14" t="n">
        <v>346</v>
      </c>
      <c r="U293" s="14" t="n">
        <v>350</v>
      </c>
      <c r="V293" s="14" t="n">
        <v>0</v>
      </c>
      <c r="W293" s="14">
        <f>U293+V293</f>
        <v/>
      </c>
    </row>
    <row r="294">
      <c r="A294" s="15" t="inlineStr">
        <is>
          <t>CANON-202607-008059</t>
        </is>
      </c>
      <c r="B294" s="15" t="inlineStr">
        <is>
          <t>2026-07-10</t>
        </is>
      </c>
      <c r="C294" s="15" t="inlineStr">
        <is>
          <t>Horace Montoya</t>
        </is>
      </c>
      <c r="D294" s="15" t="inlineStr">
        <is>
          <t>WA</t>
        </is>
      </c>
      <c r="E294" s="16" t="n">
        <v>315000</v>
      </c>
      <c r="F294" s="16" t="n">
        <v>4993.31</v>
      </c>
      <c r="G294" s="16" t="n">
        <v>624.16</v>
      </c>
      <c r="H294" s="16" t="n">
        <v>624.16</v>
      </c>
      <c r="I294" s="16">
        <f>SUM(K294:T294)</f>
        <v/>
      </c>
      <c r="J294" s="16">
        <f>F294-(G294+H294+I294)</f>
        <v/>
      </c>
      <c r="K294" s="16" t="n">
        <v>374.5</v>
      </c>
      <c r="L294" s="16" t="n">
        <v>374.5</v>
      </c>
      <c r="M294" s="16" t="n">
        <v>374.5</v>
      </c>
      <c r="N294" s="16" t="n">
        <v>374.5</v>
      </c>
      <c r="O294" s="16" t="n">
        <v>374.5</v>
      </c>
      <c r="P294" s="16" t="n">
        <v>374.5</v>
      </c>
      <c r="Q294" s="16" t="n">
        <v>374.5</v>
      </c>
      <c r="R294" s="16" t="n">
        <v>374.5</v>
      </c>
      <c r="S294" s="16" t="n">
        <v>374.5</v>
      </c>
      <c r="T294" s="16" t="n">
        <v>374.5</v>
      </c>
      <c r="U294" s="16" t="n">
        <v>350</v>
      </c>
      <c r="V294" s="16" t="n">
        <v>0</v>
      </c>
      <c r="W294" s="16">
        <f>U294+V294</f>
        <v/>
      </c>
    </row>
    <row r="295">
      <c r="A295" s="3" t="inlineStr">
        <is>
          <t>CANON-202607-008061</t>
        </is>
      </c>
      <c r="B295" s="3" t="inlineStr">
        <is>
          <t>2026-07-31</t>
        </is>
      </c>
      <c r="C295" s="3" t="inlineStr">
        <is>
          <t>Aurelio Thistlewood</t>
        </is>
      </c>
      <c r="D295" s="3" t="inlineStr">
        <is>
          <t>TX</t>
        </is>
      </c>
      <c r="E295" s="14" t="n">
        <v>695000</v>
      </c>
      <c r="F295" s="14" t="n">
        <v>10902.22</v>
      </c>
      <c r="G295" s="14" t="n">
        <v>1362.78</v>
      </c>
      <c r="H295" s="14" t="n">
        <v>1362.78</v>
      </c>
      <c r="I295" s="14">
        <f>SUM(K295:T295)</f>
        <v/>
      </c>
      <c r="J295" s="14">
        <f>F295-(G295+H295+I295)</f>
        <v/>
      </c>
      <c r="K295" s="14" t="n">
        <v>817.67</v>
      </c>
      <c r="L295" s="14" t="n">
        <v>817.67</v>
      </c>
      <c r="M295" s="14" t="n">
        <v>817.67</v>
      </c>
      <c r="N295" s="14" t="n">
        <v>817.67</v>
      </c>
      <c r="O295" s="14" t="n">
        <v>817.67</v>
      </c>
      <c r="P295" s="14" t="n">
        <v>817.67</v>
      </c>
      <c r="Q295" s="14" t="n">
        <v>817.67</v>
      </c>
      <c r="R295" s="14" t="n">
        <v>817.67</v>
      </c>
      <c r="S295" s="14" t="n">
        <v>817.67</v>
      </c>
      <c r="T295" s="14" t="n">
        <v>817.67</v>
      </c>
      <c r="U295" s="14" t="n">
        <v>350</v>
      </c>
      <c r="V295" s="14" t="n">
        <v>0</v>
      </c>
      <c r="W295" s="14">
        <f>U295+V295</f>
        <v/>
      </c>
    </row>
    <row r="296">
      <c r="A296" s="15" t="inlineStr">
        <is>
          <t>CANON-202607-008062</t>
        </is>
      </c>
      <c r="B296" s="15" t="inlineStr">
        <is>
          <t>2026-07-27</t>
        </is>
      </c>
      <c r="C296" s="15" t="inlineStr">
        <is>
          <t>Leopold Castellanos</t>
        </is>
      </c>
      <c r="D296" s="15" t="inlineStr">
        <is>
          <t>TN</t>
        </is>
      </c>
      <c r="E296" s="16" t="n">
        <v>495000</v>
      </c>
      <c r="F296" s="16" t="n">
        <v>8010.1</v>
      </c>
      <c r="G296" s="16" t="n">
        <v>1001.26</v>
      </c>
      <c r="H296" s="16" t="n">
        <v>1001.26</v>
      </c>
      <c r="I296" s="16">
        <f>SUM(K296:T296)</f>
        <v/>
      </c>
      <c r="J296" s="16">
        <f>F296-(G296+H296+I296)</f>
        <v/>
      </c>
      <c r="K296" s="16" t="n">
        <v>600.76</v>
      </c>
      <c r="L296" s="16" t="n">
        <v>600.76</v>
      </c>
      <c r="M296" s="16" t="n">
        <v>600.76</v>
      </c>
      <c r="N296" s="16" t="n">
        <v>600.76</v>
      </c>
      <c r="O296" s="16" t="n">
        <v>600.76</v>
      </c>
      <c r="P296" s="16" t="n">
        <v>600.76</v>
      </c>
      <c r="Q296" s="16" t="n">
        <v>600.76</v>
      </c>
      <c r="R296" s="16" t="n">
        <v>600.76</v>
      </c>
      <c r="S296" s="16" t="n">
        <v>600.76</v>
      </c>
      <c r="T296" s="16" t="n">
        <v>600.76</v>
      </c>
      <c r="U296" s="16" t="n">
        <v>350</v>
      </c>
      <c r="V296" s="16" t="n">
        <v>0</v>
      </c>
      <c r="W296" s="16">
        <f>U296+V296</f>
        <v/>
      </c>
    </row>
    <row r="297">
      <c r="A297" s="3" t="inlineStr">
        <is>
          <t>CANON-202607-008064</t>
        </is>
      </c>
      <c r="B297" s="3" t="inlineStr">
        <is>
          <t>2026-07-14</t>
        </is>
      </c>
      <c r="C297" s="3" t="inlineStr">
        <is>
          <t>Ramona Fairweather</t>
        </is>
      </c>
      <c r="D297" s="3" t="inlineStr">
        <is>
          <t>MI</t>
        </is>
      </c>
      <c r="E297" s="14" t="n">
        <v>1150000</v>
      </c>
      <c r="F297" s="14" t="n">
        <v>20475.21</v>
      </c>
      <c r="G297" s="14" t="n">
        <v>2559.4</v>
      </c>
      <c r="H297" s="14" t="n">
        <v>2559.4</v>
      </c>
      <c r="I297" s="14">
        <f>SUM(K297:T297)</f>
        <v/>
      </c>
      <c r="J297" s="14">
        <f>F297-(G297+H297+I297)</f>
        <v/>
      </c>
      <c r="K297" s="14" t="n">
        <v>1535.64</v>
      </c>
      <c r="L297" s="14" t="n">
        <v>1535.64</v>
      </c>
      <c r="M297" s="14" t="n">
        <v>1535.64</v>
      </c>
      <c r="N297" s="14" t="n">
        <v>1535.64</v>
      </c>
      <c r="O297" s="14" t="n">
        <v>1535.64</v>
      </c>
      <c r="P297" s="14" t="n">
        <v>1535.64</v>
      </c>
      <c r="Q297" s="14" t="n">
        <v>1535.64</v>
      </c>
      <c r="R297" s="14" t="n">
        <v>1535.64</v>
      </c>
      <c r="S297" s="14" t="n">
        <v>1535.64</v>
      </c>
      <c r="T297" s="14" t="n">
        <v>1535.64</v>
      </c>
      <c r="U297" s="14" t="n">
        <v>350</v>
      </c>
      <c r="V297" s="14" t="n">
        <v>250</v>
      </c>
      <c r="W297" s="14">
        <f>U297+V297</f>
        <v/>
      </c>
    </row>
    <row r="298">
      <c r="A298" s="15" t="inlineStr">
        <is>
          <t>CANON-202607-008065</t>
        </is>
      </c>
      <c r="B298" s="15" t="inlineStr">
        <is>
          <t>2026-07-22</t>
        </is>
      </c>
      <c r="C298" s="15" t="inlineStr">
        <is>
          <t>Horace Fairweather</t>
        </is>
      </c>
      <c r="D298" s="15" t="inlineStr">
        <is>
          <t>PA</t>
        </is>
      </c>
      <c r="E298" s="16" t="n">
        <v>735000</v>
      </c>
      <c r="F298" s="16" t="n">
        <v>4538</v>
      </c>
      <c r="G298" s="16" t="n">
        <v>567.25</v>
      </c>
      <c r="H298" s="16" t="n">
        <v>567.25</v>
      </c>
      <c r="I298" s="16">
        <f>SUM(K298:T298)</f>
        <v/>
      </c>
      <c r="J298" s="16">
        <f>F298-(G298+H298+I298)</f>
        <v/>
      </c>
      <c r="K298" s="16" t="n">
        <v>340.35</v>
      </c>
      <c r="L298" s="16" t="n">
        <v>340.35</v>
      </c>
      <c r="M298" s="16" t="n">
        <v>340.35</v>
      </c>
      <c r="N298" s="16" t="n">
        <v>340.35</v>
      </c>
      <c r="O298" s="16" t="n">
        <v>340.35</v>
      </c>
      <c r="P298" s="16" t="n">
        <v>340.35</v>
      </c>
      <c r="Q298" s="16" t="n">
        <v>340.35</v>
      </c>
      <c r="R298" s="16" t="n">
        <v>340.35</v>
      </c>
      <c r="S298" s="16" t="n">
        <v>340.35</v>
      </c>
      <c r="T298" s="16" t="n">
        <v>340.35</v>
      </c>
      <c r="U298" s="16" t="n">
        <v>350</v>
      </c>
      <c r="V298" s="16" t="n">
        <v>0</v>
      </c>
      <c r="W298" s="16">
        <f>U298+V298</f>
        <v/>
      </c>
    </row>
    <row r="299">
      <c r="A299" s="3" t="inlineStr">
        <is>
          <t>CANON-202607-008066</t>
        </is>
      </c>
      <c r="B299" s="3" t="inlineStr">
        <is>
          <t>2026-07-17</t>
        </is>
      </c>
      <c r="C299" s="3" t="inlineStr">
        <is>
          <t>Leopold Blackwood</t>
        </is>
      </c>
      <c r="D299" s="3" t="inlineStr">
        <is>
          <t>WV</t>
        </is>
      </c>
      <c r="E299" s="14" t="n">
        <v>425000</v>
      </c>
      <c r="F299" s="14" t="n">
        <v>6087.1</v>
      </c>
      <c r="G299" s="14" t="n">
        <v>760.89</v>
      </c>
      <c r="H299" s="14" t="n">
        <v>760.89</v>
      </c>
      <c r="I299" s="14">
        <f>SUM(K299:T299)</f>
        <v/>
      </c>
      <c r="J299" s="14">
        <f>F299-(G299+H299+I299)</f>
        <v/>
      </c>
      <c r="K299" s="14" t="n">
        <v>456.53</v>
      </c>
      <c r="L299" s="14" t="n">
        <v>456.53</v>
      </c>
      <c r="M299" s="14" t="n">
        <v>456.53</v>
      </c>
      <c r="N299" s="14" t="n">
        <v>456.53</v>
      </c>
      <c r="O299" s="14" t="n">
        <v>456.53</v>
      </c>
      <c r="P299" s="14" t="n">
        <v>456.53</v>
      </c>
      <c r="Q299" s="14" t="n">
        <v>456.53</v>
      </c>
      <c r="R299" s="14" t="n">
        <v>456.53</v>
      </c>
      <c r="S299" s="14" t="n">
        <v>456.53</v>
      </c>
      <c r="T299" s="14" t="n">
        <v>456.53</v>
      </c>
      <c r="U299" s="14" t="n">
        <v>350</v>
      </c>
      <c r="V299" s="14" t="n">
        <v>0</v>
      </c>
      <c r="W299" s="14">
        <f>U299+V299</f>
        <v/>
      </c>
    </row>
    <row r="300">
      <c r="A300" s="15" t="inlineStr">
        <is>
          <t>CANON-202607-008067</t>
        </is>
      </c>
      <c r="B300" s="15" t="inlineStr">
        <is>
          <t>2026-07-17</t>
        </is>
      </c>
      <c r="C300" s="15" t="inlineStr">
        <is>
          <t>Marisol Ashcombe</t>
        </is>
      </c>
      <c r="D300" s="15" t="inlineStr">
        <is>
          <t>NJ</t>
        </is>
      </c>
      <c r="E300" s="16" t="n">
        <v>355000</v>
      </c>
      <c r="F300" s="16" t="n">
        <v>3478.88</v>
      </c>
      <c r="G300" s="16" t="n">
        <v>434.86</v>
      </c>
      <c r="H300" s="16" t="n">
        <v>434.86</v>
      </c>
      <c r="I300" s="16">
        <f>SUM(K300:T300)</f>
        <v/>
      </c>
      <c r="J300" s="16">
        <f>F300-(G300+H300+I300)</f>
        <v/>
      </c>
      <c r="K300" s="16" t="n">
        <v>260.92</v>
      </c>
      <c r="L300" s="16" t="n">
        <v>260.92</v>
      </c>
      <c r="M300" s="16" t="n">
        <v>260.92</v>
      </c>
      <c r="N300" s="16" t="n">
        <v>260.92</v>
      </c>
      <c r="O300" s="16" t="n">
        <v>260.92</v>
      </c>
      <c r="P300" s="16" t="n">
        <v>260.92</v>
      </c>
      <c r="Q300" s="16" t="n">
        <v>260.92</v>
      </c>
      <c r="R300" s="16" t="n">
        <v>260.92</v>
      </c>
      <c r="S300" s="16" t="n">
        <v>260.92</v>
      </c>
      <c r="T300" s="16" t="n">
        <v>260.92</v>
      </c>
      <c r="U300" s="16" t="n">
        <v>350</v>
      </c>
      <c r="V300" s="16" t="n">
        <v>0</v>
      </c>
      <c r="W300" s="16">
        <f>U300+V300</f>
        <v/>
      </c>
    </row>
    <row r="301">
      <c r="A301" s="3" t="inlineStr">
        <is>
          <t>CANON-202607-008070</t>
        </is>
      </c>
      <c r="B301" s="3" t="inlineStr">
        <is>
          <t>2026-07-29</t>
        </is>
      </c>
      <c r="C301" s="3" t="inlineStr">
        <is>
          <t>Desmond Ashcombe</t>
        </is>
      </c>
      <c r="D301" s="3" t="inlineStr">
        <is>
          <t>IL</t>
        </is>
      </c>
      <c r="E301" s="14" t="n">
        <v>210000</v>
      </c>
      <c r="F301" s="14" t="n">
        <v>3772.72</v>
      </c>
      <c r="G301" s="14" t="n">
        <v>471.59</v>
      </c>
      <c r="H301" s="14" t="n">
        <v>471.59</v>
      </c>
      <c r="I301" s="14">
        <f>SUM(K301:T301)</f>
        <v/>
      </c>
      <c r="J301" s="14">
        <f>F301-(G301+H301+I301)</f>
        <v/>
      </c>
      <c r="K301" s="14" t="n">
        <v>282.95</v>
      </c>
      <c r="L301" s="14" t="n">
        <v>282.95</v>
      </c>
      <c r="M301" s="14" t="n">
        <v>282.95</v>
      </c>
      <c r="N301" s="14" t="n">
        <v>282.95</v>
      </c>
      <c r="O301" s="14" t="n">
        <v>282.95</v>
      </c>
      <c r="P301" s="14" t="n">
        <v>282.95</v>
      </c>
      <c r="Q301" s="14" t="n">
        <v>282.95</v>
      </c>
      <c r="R301" s="14" t="n">
        <v>282.95</v>
      </c>
      <c r="S301" s="14" t="n">
        <v>282.95</v>
      </c>
      <c r="T301" s="14" t="n">
        <v>282.95</v>
      </c>
      <c r="U301" s="14" t="n">
        <v>350</v>
      </c>
      <c r="V301" s="14" t="n">
        <v>0</v>
      </c>
      <c r="W301" s="14">
        <f>U301+V301</f>
        <v/>
      </c>
    </row>
    <row r="302">
      <c r="A302" s="15" t="inlineStr">
        <is>
          <t>CANON-202607-008071</t>
        </is>
      </c>
      <c r="B302" s="15" t="inlineStr">
        <is>
          <t>2026-07-28</t>
        </is>
      </c>
      <c r="C302" s="15" t="inlineStr">
        <is>
          <t>Horace Vandermeer</t>
        </is>
      </c>
      <c r="D302" s="15" t="inlineStr">
        <is>
          <t>CA</t>
        </is>
      </c>
      <c r="E302" s="16" t="n">
        <v>430000</v>
      </c>
      <c r="F302" s="16" t="n">
        <v>6251.33</v>
      </c>
      <c r="G302" s="16" t="n">
        <v>781.42</v>
      </c>
      <c r="H302" s="16" t="n">
        <v>781.42</v>
      </c>
      <c r="I302" s="16">
        <f>SUM(K302:T302)</f>
        <v/>
      </c>
      <c r="J302" s="16">
        <f>F302-(G302+H302+I302)</f>
        <v/>
      </c>
      <c r="K302" s="16" t="n">
        <v>468.85</v>
      </c>
      <c r="L302" s="16" t="n">
        <v>468.85</v>
      </c>
      <c r="M302" s="16" t="n">
        <v>468.85</v>
      </c>
      <c r="N302" s="16" t="n">
        <v>468.85</v>
      </c>
      <c r="O302" s="16" t="n">
        <v>468.85</v>
      </c>
      <c r="P302" s="16" t="n">
        <v>468.85</v>
      </c>
      <c r="Q302" s="16" t="n">
        <v>468.85</v>
      </c>
      <c r="R302" s="16" t="n">
        <v>468.85</v>
      </c>
      <c r="S302" s="16" t="n">
        <v>468.85</v>
      </c>
      <c r="T302" s="16" t="n">
        <v>468.85</v>
      </c>
      <c r="U302" s="16" t="n">
        <v>350</v>
      </c>
      <c r="V302" s="16" t="n">
        <v>0</v>
      </c>
      <c r="W302" s="16">
        <f>U302+V302</f>
        <v/>
      </c>
    </row>
    <row r="303">
      <c r="A303" s="3" t="inlineStr">
        <is>
          <t>CANON-202607-008072</t>
        </is>
      </c>
      <c r="B303" s="3" t="inlineStr">
        <is>
          <t>2026-07-31</t>
        </is>
      </c>
      <c r="C303" s="3" t="inlineStr">
        <is>
          <t>Anouk Bellandi</t>
        </is>
      </c>
      <c r="D303" s="3" t="inlineStr">
        <is>
          <t>IL</t>
        </is>
      </c>
      <c r="E303" s="14" t="n">
        <v>280000</v>
      </c>
      <c r="F303" s="14" t="n">
        <v>2624.5</v>
      </c>
      <c r="G303" s="14" t="n">
        <v>328.06</v>
      </c>
      <c r="H303" s="14" t="n">
        <v>328.06</v>
      </c>
      <c r="I303" s="14">
        <f>SUM(K303:T303)</f>
        <v/>
      </c>
      <c r="J303" s="14">
        <f>F303-(G303+H303+I303)</f>
        <v/>
      </c>
      <c r="K303" s="14" t="n">
        <v>196.84</v>
      </c>
      <c r="L303" s="14" t="n">
        <v>196.84</v>
      </c>
      <c r="M303" s="14" t="n">
        <v>196.84</v>
      </c>
      <c r="N303" s="14" t="n">
        <v>196.84</v>
      </c>
      <c r="O303" s="14" t="n">
        <v>196.84</v>
      </c>
      <c r="P303" s="14" t="n">
        <v>196.84</v>
      </c>
      <c r="Q303" s="14" t="n">
        <v>196.84</v>
      </c>
      <c r="R303" s="14" t="n">
        <v>196.84</v>
      </c>
      <c r="S303" s="14" t="n">
        <v>196.84</v>
      </c>
      <c r="T303" s="14" t="n">
        <v>196.84</v>
      </c>
      <c r="U303" s="14" t="n">
        <v>350</v>
      </c>
      <c r="V303" s="14" t="n">
        <v>0</v>
      </c>
      <c r="W303" s="14">
        <f>U303+V303</f>
        <v/>
      </c>
    </row>
    <row r="304">
      <c r="A304" s="15" t="inlineStr">
        <is>
          <t>CANON-202607-008075</t>
        </is>
      </c>
      <c r="B304" s="15" t="inlineStr">
        <is>
          <t>2026-07-13</t>
        </is>
      </c>
      <c r="C304" s="15" t="inlineStr">
        <is>
          <t>Cassius Thistlewood</t>
        </is>
      </c>
      <c r="D304" s="15" t="inlineStr">
        <is>
          <t>VA</t>
        </is>
      </c>
      <c r="E304" s="16" t="n">
        <v>405000</v>
      </c>
      <c r="F304" s="16" t="n">
        <v>3042.51</v>
      </c>
      <c r="G304" s="16" t="n">
        <v>380.31</v>
      </c>
      <c r="H304" s="16" t="n">
        <v>380.31</v>
      </c>
      <c r="I304" s="16">
        <f>SUM(K304:T304)</f>
        <v/>
      </c>
      <c r="J304" s="16">
        <f>F304-(G304+H304+I304)</f>
        <v/>
      </c>
      <c r="K304" s="16" t="n">
        <v>228.19</v>
      </c>
      <c r="L304" s="16" t="n">
        <v>228.19</v>
      </c>
      <c r="M304" s="16" t="n">
        <v>228.19</v>
      </c>
      <c r="N304" s="16" t="n">
        <v>228.19</v>
      </c>
      <c r="O304" s="16" t="n">
        <v>228.19</v>
      </c>
      <c r="P304" s="16" t="n">
        <v>228.19</v>
      </c>
      <c r="Q304" s="16" t="n">
        <v>228.19</v>
      </c>
      <c r="R304" s="16" t="n">
        <v>228.19</v>
      </c>
      <c r="S304" s="16" t="n">
        <v>228.19</v>
      </c>
      <c r="T304" s="16" t="n">
        <v>228.19</v>
      </c>
      <c r="U304" s="16" t="n">
        <v>350</v>
      </c>
      <c r="V304" s="16" t="n">
        <v>0</v>
      </c>
      <c r="W304" s="16">
        <f>U304+V304</f>
        <v/>
      </c>
    </row>
    <row r="305">
      <c r="A305" s="3" t="inlineStr">
        <is>
          <t>CANON-202607-008077</t>
        </is>
      </c>
      <c r="B305" s="3" t="inlineStr">
        <is>
          <t>2026-07-09</t>
        </is>
      </c>
      <c r="C305" s="3" t="inlineStr">
        <is>
          <t>Wilhelmina Montoya</t>
        </is>
      </c>
      <c r="D305" s="3" t="inlineStr">
        <is>
          <t>CT</t>
        </is>
      </c>
      <c r="E305" s="14" t="n">
        <v>1950000</v>
      </c>
      <c r="F305" s="14" t="n">
        <v>25087.16</v>
      </c>
      <c r="G305" s="14" t="n">
        <v>3135.89</v>
      </c>
      <c r="H305" s="14" t="n">
        <v>3135.89</v>
      </c>
      <c r="I305" s="14">
        <f>SUM(K305:T305)</f>
        <v/>
      </c>
      <c r="J305" s="14">
        <f>F305-(G305+H305+I305)</f>
        <v/>
      </c>
      <c r="K305" s="14" t="n">
        <v>1881.54</v>
      </c>
      <c r="L305" s="14" t="n">
        <v>1881.54</v>
      </c>
      <c r="M305" s="14" t="n">
        <v>1881.54</v>
      </c>
      <c r="N305" s="14" t="n">
        <v>1881.54</v>
      </c>
      <c r="O305" s="14" t="n">
        <v>1881.54</v>
      </c>
      <c r="P305" s="14" t="n">
        <v>1881.54</v>
      </c>
      <c r="Q305" s="14" t="n">
        <v>1881.54</v>
      </c>
      <c r="R305" s="14" t="n">
        <v>1881.54</v>
      </c>
      <c r="S305" s="14" t="n">
        <v>1881.54</v>
      </c>
      <c r="T305" s="14" t="n">
        <v>1881.54</v>
      </c>
      <c r="U305" s="14" t="n">
        <v>350</v>
      </c>
      <c r="V305" s="14" t="n">
        <v>250</v>
      </c>
      <c r="W305" s="14">
        <f>U305+V305</f>
        <v/>
      </c>
    </row>
    <row r="306">
      <c r="A306" s="15" t="inlineStr">
        <is>
          <t>CANON-202607-008078</t>
        </is>
      </c>
      <c r="B306" s="15" t="inlineStr">
        <is>
          <t>2026-07-16</t>
        </is>
      </c>
      <c r="C306" s="15" t="inlineStr">
        <is>
          <t>Sunniva Okonkwo</t>
        </is>
      </c>
      <c r="D306" s="15" t="inlineStr">
        <is>
          <t>CO</t>
        </is>
      </c>
      <c r="E306" s="16" t="n">
        <v>300000</v>
      </c>
      <c r="F306" s="16" t="n">
        <v>5449.05</v>
      </c>
      <c r="G306" s="16" t="n">
        <v>681.13</v>
      </c>
      <c r="H306" s="16" t="n">
        <v>681.13</v>
      </c>
      <c r="I306" s="16">
        <f>SUM(K306:T306)</f>
        <v/>
      </c>
      <c r="J306" s="16">
        <f>F306-(G306+H306+I306)</f>
        <v/>
      </c>
      <c r="K306" s="16" t="n">
        <v>408.68</v>
      </c>
      <c r="L306" s="16" t="n">
        <v>408.68</v>
      </c>
      <c r="M306" s="16" t="n">
        <v>408.68</v>
      </c>
      <c r="N306" s="16" t="n">
        <v>408.68</v>
      </c>
      <c r="O306" s="16" t="n">
        <v>408.68</v>
      </c>
      <c r="P306" s="16" t="n">
        <v>408.68</v>
      </c>
      <c r="Q306" s="16" t="n">
        <v>408.68</v>
      </c>
      <c r="R306" s="16" t="n">
        <v>408.68</v>
      </c>
      <c r="S306" s="16" t="n">
        <v>408.68</v>
      </c>
      <c r="T306" s="16" t="n">
        <v>408.68</v>
      </c>
      <c r="U306" s="16" t="n">
        <v>350</v>
      </c>
      <c r="V306" s="16" t="n">
        <v>0</v>
      </c>
      <c r="W306" s="16">
        <f>U306+V306</f>
        <v/>
      </c>
    </row>
    <row r="307">
      <c r="A307" s="3" t="inlineStr">
        <is>
          <t>CANON-202607-008079</t>
        </is>
      </c>
      <c r="B307" s="3" t="inlineStr">
        <is>
          <t>2026-07-30</t>
        </is>
      </c>
      <c r="C307" s="3" t="inlineStr">
        <is>
          <t>Cassius Kingsford</t>
        </is>
      </c>
      <c r="D307" s="3" t="inlineStr">
        <is>
          <t>WI</t>
        </is>
      </c>
      <c r="E307" s="14" t="n">
        <v>620000</v>
      </c>
      <c r="F307" s="14" t="n">
        <v>6943.77</v>
      </c>
      <c r="G307" s="14" t="n">
        <v>867.97</v>
      </c>
      <c r="H307" s="14" t="n">
        <v>867.97</v>
      </c>
      <c r="I307" s="14">
        <f>SUM(K307:T307)</f>
        <v/>
      </c>
      <c r="J307" s="14">
        <f>F307-(G307+H307+I307)</f>
        <v/>
      </c>
      <c r="K307" s="14" t="n">
        <v>520.78</v>
      </c>
      <c r="L307" s="14" t="n">
        <v>520.78</v>
      </c>
      <c r="M307" s="14" t="n">
        <v>520.78</v>
      </c>
      <c r="N307" s="14" t="n">
        <v>520.78</v>
      </c>
      <c r="O307" s="14" t="n">
        <v>520.78</v>
      </c>
      <c r="P307" s="14" t="n">
        <v>520.78</v>
      </c>
      <c r="Q307" s="14" t="n">
        <v>520.78</v>
      </c>
      <c r="R307" s="14" t="n">
        <v>520.78</v>
      </c>
      <c r="S307" s="14" t="n">
        <v>520.78</v>
      </c>
      <c r="T307" s="14" t="n">
        <v>520.78</v>
      </c>
      <c r="U307" s="14" t="n">
        <v>350</v>
      </c>
      <c r="V307" s="14" t="n">
        <v>0</v>
      </c>
      <c r="W307" s="14">
        <f>U307+V307</f>
        <v/>
      </c>
    </row>
    <row r="308">
      <c r="A308" s="15" t="inlineStr">
        <is>
          <t>CANON-202607-008080</t>
        </is>
      </c>
      <c r="B308" s="15" t="inlineStr">
        <is>
          <t>2026-07-24</t>
        </is>
      </c>
      <c r="C308" s="15" t="inlineStr">
        <is>
          <t>Ottilie Delacroix</t>
        </is>
      </c>
      <c r="D308" s="15" t="inlineStr">
        <is>
          <t>CO</t>
        </is>
      </c>
      <c r="E308" s="16" t="n">
        <v>285000</v>
      </c>
      <c r="F308" s="16" t="n">
        <v>3376.04</v>
      </c>
      <c r="G308" s="16" t="n">
        <v>422</v>
      </c>
      <c r="H308" s="16" t="n">
        <v>422</v>
      </c>
      <c r="I308" s="16">
        <f>SUM(K308:T308)</f>
        <v/>
      </c>
      <c r="J308" s="16">
        <f>F308-(G308+H308+I308)</f>
        <v/>
      </c>
      <c r="K308" s="16" t="n">
        <v>253.2</v>
      </c>
      <c r="L308" s="16" t="n">
        <v>253.2</v>
      </c>
      <c r="M308" s="16" t="n">
        <v>253.2</v>
      </c>
      <c r="N308" s="16" t="n">
        <v>253.2</v>
      </c>
      <c r="O308" s="16" t="n">
        <v>253.2</v>
      </c>
      <c r="P308" s="16" t="n">
        <v>253.2</v>
      </c>
      <c r="Q308" s="16" t="n">
        <v>253.2</v>
      </c>
      <c r="R308" s="16" t="n">
        <v>253.2</v>
      </c>
      <c r="S308" s="16" t="n">
        <v>253.2</v>
      </c>
      <c r="T308" s="16" t="n">
        <v>253.2</v>
      </c>
      <c r="U308" s="16" t="n">
        <v>350</v>
      </c>
      <c r="V308" s="16" t="n">
        <v>0</v>
      </c>
      <c r="W308" s="16">
        <f>U308+V308</f>
        <v/>
      </c>
    </row>
    <row r="309">
      <c r="A309" s="3" t="inlineStr">
        <is>
          <t>CANON-202607-008082</t>
        </is>
      </c>
      <c r="B309" s="3" t="inlineStr">
        <is>
          <t>2026-07-13</t>
        </is>
      </c>
      <c r="C309" s="3" t="inlineStr">
        <is>
          <t>Delphine Bellandi</t>
        </is>
      </c>
      <c r="D309" s="3" t="inlineStr">
        <is>
          <t>SC</t>
        </is>
      </c>
      <c r="E309" s="14" t="n">
        <v>390000</v>
      </c>
      <c r="F309" s="14" t="n">
        <v>6110.51</v>
      </c>
      <c r="G309" s="14" t="n">
        <v>763.8099999999999</v>
      </c>
      <c r="H309" s="14" t="n">
        <v>763.8099999999999</v>
      </c>
      <c r="I309" s="14">
        <f>SUM(K309:T309)</f>
        <v/>
      </c>
      <c r="J309" s="14">
        <f>F309-(G309+H309+I309)</f>
        <v/>
      </c>
      <c r="K309" s="14" t="n">
        <v>458.29</v>
      </c>
      <c r="L309" s="14" t="n">
        <v>458.29</v>
      </c>
      <c r="M309" s="14" t="n">
        <v>458.29</v>
      </c>
      <c r="N309" s="14" t="n">
        <v>458.29</v>
      </c>
      <c r="O309" s="14" t="n">
        <v>458.29</v>
      </c>
      <c r="P309" s="14" t="n">
        <v>458.29</v>
      </c>
      <c r="Q309" s="14" t="n">
        <v>458.29</v>
      </c>
      <c r="R309" s="14" t="n">
        <v>458.29</v>
      </c>
      <c r="S309" s="14" t="n">
        <v>458.29</v>
      </c>
      <c r="T309" s="14" t="n">
        <v>458.29</v>
      </c>
      <c r="U309" s="14" t="n">
        <v>350</v>
      </c>
      <c r="V309" s="14" t="n">
        <v>0</v>
      </c>
      <c r="W309" s="14">
        <f>U309+V309</f>
        <v/>
      </c>
    </row>
    <row r="310">
      <c r="A310" s="15" t="inlineStr">
        <is>
          <t>CANON-202607-008083</t>
        </is>
      </c>
      <c r="B310" s="15" t="inlineStr">
        <is>
          <t>2026-07-05</t>
        </is>
      </c>
      <c r="C310" s="15" t="inlineStr">
        <is>
          <t>Mireille Nakashima</t>
        </is>
      </c>
      <c r="D310" s="15" t="inlineStr">
        <is>
          <t>WA</t>
        </is>
      </c>
      <c r="E310" s="16" t="n">
        <v>805000</v>
      </c>
      <c r="F310" s="16" t="n">
        <v>4216.57</v>
      </c>
      <c r="G310" s="16" t="n">
        <v>527.0700000000001</v>
      </c>
      <c r="H310" s="16" t="n">
        <v>527.0700000000001</v>
      </c>
      <c r="I310" s="16">
        <f>SUM(K310:T310)</f>
        <v/>
      </c>
      <c r="J310" s="16">
        <f>F310-(G310+H310+I310)</f>
        <v/>
      </c>
      <c r="K310" s="16" t="n">
        <v>316.24</v>
      </c>
      <c r="L310" s="16" t="n">
        <v>316.24</v>
      </c>
      <c r="M310" s="16" t="n">
        <v>316.24</v>
      </c>
      <c r="N310" s="16" t="n">
        <v>316.24</v>
      </c>
      <c r="O310" s="16" t="n">
        <v>316.24</v>
      </c>
      <c r="P310" s="16" t="n">
        <v>316.24</v>
      </c>
      <c r="Q310" s="16" t="n">
        <v>316.24</v>
      </c>
      <c r="R310" s="16" t="n">
        <v>316.24</v>
      </c>
      <c r="S310" s="16" t="n">
        <v>316.24</v>
      </c>
      <c r="T310" s="16" t="n">
        <v>316.24</v>
      </c>
      <c r="U310" s="16" t="n">
        <v>350</v>
      </c>
      <c r="V310" s="16" t="n">
        <v>0</v>
      </c>
      <c r="W310" s="16">
        <f>U310+V310</f>
        <v/>
      </c>
    </row>
    <row r="311">
      <c r="A311" s="3" t="inlineStr">
        <is>
          <t>CANON-202607-008084</t>
        </is>
      </c>
      <c r="B311" s="3" t="inlineStr">
        <is>
          <t>2026-07-22</t>
        </is>
      </c>
      <c r="C311" s="3" t="inlineStr">
        <is>
          <t>Cassius Fairweather</t>
        </is>
      </c>
      <c r="D311" s="3" t="inlineStr">
        <is>
          <t>NJ</t>
        </is>
      </c>
      <c r="E311" s="14" t="n">
        <v>765000</v>
      </c>
      <c r="F311" s="14" t="n">
        <v>6497.18</v>
      </c>
      <c r="G311" s="14" t="n">
        <v>812.15</v>
      </c>
      <c r="H311" s="14" t="n">
        <v>812.15</v>
      </c>
      <c r="I311" s="14">
        <f>SUM(K311:T311)</f>
        <v/>
      </c>
      <c r="J311" s="14">
        <f>F311-(G311+H311+I311)</f>
        <v/>
      </c>
      <c r="K311" s="14" t="n">
        <v>487.29</v>
      </c>
      <c r="L311" s="14" t="n">
        <v>487.29</v>
      </c>
      <c r="M311" s="14" t="n">
        <v>487.29</v>
      </c>
      <c r="N311" s="14" t="n">
        <v>487.29</v>
      </c>
      <c r="O311" s="14" t="n">
        <v>487.29</v>
      </c>
      <c r="P311" s="14" t="n">
        <v>487.29</v>
      </c>
      <c r="Q311" s="14" t="n">
        <v>487.29</v>
      </c>
      <c r="R311" s="14" t="n">
        <v>487.29</v>
      </c>
      <c r="S311" s="14" t="n">
        <v>487.29</v>
      </c>
      <c r="T311" s="14" t="n">
        <v>487.29</v>
      </c>
      <c r="U311" s="14" t="n">
        <v>350</v>
      </c>
      <c r="V311" s="14" t="n">
        <v>0</v>
      </c>
      <c r="W311" s="14">
        <f>U311+V311</f>
        <v/>
      </c>
    </row>
    <row r="312">
      <c r="A312" s="15" t="inlineStr">
        <is>
          <t>CANON-202607-008087</t>
        </is>
      </c>
      <c r="B312" s="15" t="inlineStr">
        <is>
          <t>2026-07-23</t>
        </is>
      </c>
      <c r="C312" s="15" t="inlineStr">
        <is>
          <t>Ottilie Merriweather</t>
        </is>
      </c>
      <c r="D312" s="15" t="inlineStr">
        <is>
          <t>WI</t>
        </is>
      </c>
      <c r="E312" s="16" t="n">
        <v>350000</v>
      </c>
      <c r="F312" s="16" t="n">
        <v>4522.93</v>
      </c>
      <c r="G312" s="16" t="n">
        <v>565.37</v>
      </c>
      <c r="H312" s="16" t="n">
        <v>565.37</v>
      </c>
      <c r="I312" s="16">
        <f>SUM(K312:T312)</f>
        <v/>
      </c>
      <c r="J312" s="16">
        <f>F312-(G312+H312+I312)</f>
        <v/>
      </c>
      <c r="K312" s="16" t="n">
        <v>339.22</v>
      </c>
      <c r="L312" s="16" t="n">
        <v>339.22</v>
      </c>
      <c r="M312" s="16" t="n">
        <v>339.22</v>
      </c>
      <c r="N312" s="16" t="n">
        <v>339.22</v>
      </c>
      <c r="O312" s="16" t="n">
        <v>339.22</v>
      </c>
      <c r="P312" s="16" t="n">
        <v>339.22</v>
      </c>
      <c r="Q312" s="16" t="n">
        <v>339.22</v>
      </c>
      <c r="R312" s="16" t="n">
        <v>339.22</v>
      </c>
      <c r="S312" s="16" t="n">
        <v>339.22</v>
      </c>
      <c r="T312" s="16" t="n">
        <v>339.22</v>
      </c>
      <c r="U312" s="16" t="n">
        <v>350</v>
      </c>
      <c r="V312" s="16" t="n">
        <v>0</v>
      </c>
      <c r="W312" s="16">
        <f>U312+V312</f>
        <v/>
      </c>
    </row>
    <row r="313">
      <c r="A313" s="3" t="inlineStr">
        <is>
          <t>CANON-202607-008088</t>
        </is>
      </c>
      <c r="B313" s="3" t="inlineStr">
        <is>
          <t>2026-07-26</t>
        </is>
      </c>
      <c r="C313" s="3" t="inlineStr">
        <is>
          <t>Thaddeus Vandermeer</t>
        </is>
      </c>
      <c r="D313" s="3" t="inlineStr">
        <is>
          <t>OK</t>
        </is>
      </c>
      <c r="E313" s="14" t="n">
        <v>910000</v>
      </c>
      <c r="F313" s="14" t="n">
        <v>7079.28</v>
      </c>
      <c r="G313" s="14" t="n">
        <v>884.91</v>
      </c>
      <c r="H313" s="14" t="n">
        <v>884.91</v>
      </c>
      <c r="I313" s="14">
        <f>SUM(K313:T313)</f>
        <v/>
      </c>
      <c r="J313" s="14">
        <f>F313-(G313+H313+I313)</f>
        <v/>
      </c>
      <c r="K313" s="14" t="n">
        <v>530.95</v>
      </c>
      <c r="L313" s="14" t="n">
        <v>530.95</v>
      </c>
      <c r="M313" s="14" t="n">
        <v>530.95</v>
      </c>
      <c r="N313" s="14" t="n">
        <v>530.95</v>
      </c>
      <c r="O313" s="14" t="n">
        <v>530.95</v>
      </c>
      <c r="P313" s="14" t="n">
        <v>530.95</v>
      </c>
      <c r="Q313" s="14" t="n">
        <v>530.95</v>
      </c>
      <c r="R313" s="14" t="n">
        <v>530.95</v>
      </c>
      <c r="S313" s="14" t="n">
        <v>530.95</v>
      </c>
      <c r="T313" s="14" t="n">
        <v>530.95</v>
      </c>
      <c r="U313" s="14" t="n">
        <v>350</v>
      </c>
      <c r="V313" s="14" t="n">
        <v>0</v>
      </c>
      <c r="W313" s="14">
        <f>U313+V313</f>
        <v/>
      </c>
    </row>
    <row r="314">
      <c r="A314" s="15" t="inlineStr">
        <is>
          <t>CANON-202607-008089</t>
        </is>
      </c>
      <c r="B314" s="15" t="inlineStr">
        <is>
          <t>2026-07-01</t>
        </is>
      </c>
      <c r="C314" s="15" t="inlineStr">
        <is>
          <t>Fenwick Harrington</t>
        </is>
      </c>
      <c r="D314" s="15" t="inlineStr">
        <is>
          <t>SC</t>
        </is>
      </c>
      <c r="E314" s="16" t="n">
        <v>165000</v>
      </c>
      <c r="F314" s="16" t="n">
        <v>2702.73</v>
      </c>
      <c r="G314" s="16" t="n">
        <v>337.84</v>
      </c>
      <c r="H314" s="16" t="n">
        <v>337.84</v>
      </c>
      <c r="I314" s="16">
        <f>SUM(K314:T314)</f>
        <v/>
      </c>
      <c r="J314" s="16">
        <f>F314-(G314+H314+I314)</f>
        <v/>
      </c>
      <c r="K314" s="16" t="n">
        <v>202.7</v>
      </c>
      <c r="L314" s="16" t="n">
        <v>202.7</v>
      </c>
      <c r="M314" s="16" t="n">
        <v>202.7</v>
      </c>
      <c r="N314" s="16" t="n">
        <v>202.7</v>
      </c>
      <c r="O314" s="16" t="n">
        <v>202.7</v>
      </c>
      <c r="P314" s="16" t="n">
        <v>202.7</v>
      </c>
      <c r="Q314" s="16" t="n">
        <v>202.7</v>
      </c>
      <c r="R314" s="16" t="n">
        <v>202.7</v>
      </c>
      <c r="S314" s="16" t="n">
        <v>202.7</v>
      </c>
      <c r="T314" s="16" t="n">
        <v>202.7</v>
      </c>
      <c r="U314" s="16" t="n">
        <v>350</v>
      </c>
      <c r="V314" s="16" t="n">
        <v>0</v>
      </c>
      <c r="W314" s="16">
        <f>U314+V314</f>
        <v/>
      </c>
    </row>
    <row r="315">
      <c r="A315" s="3" t="inlineStr">
        <is>
          <t>CANON-202607-008090</t>
        </is>
      </c>
      <c r="B315" s="3" t="inlineStr">
        <is>
          <t>2026-07-18</t>
        </is>
      </c>
      <c r="C315" s="3" t="inlineStr">
        <is>
          <t>Mireille Ashcombe</t>
        </is>
      </c>
      <c r="D315" s="3" t="inlineStr">
        <is>
          <t>WI</t>
        </is>
      </c>
      <c r="E315" s="14" t="n">
        <v>545000</v>
      </c>
      <c r="F315" s="14" t="n">
        <v>6103.79</v>
      </c>
      <c r="G315" s="14" t="n">
        <v>762.97</v>
      </c>
      <c r="H315" s="14" t="n">
        <v>762.97</v>
      </c>
      <c r="I315" s="14">
        <f>SUM(K315:T315)</f>
        <v/>
      </c>
      <c r="J315" s="14">
        <f>F315-(G315+H315+I315)</f>
        <v/>
      </c>
      <c r="K315" s="14" t="n">
        <v>457.78</v>
      </c>
      <c r="L315" s="14" t="n">
        <v>457.78</v>
      </c>
      <c r="M315" s="14" t="n">
        <v>457.78</v>
      </c>
      <c r="N315" s="14" t="n">
        <v>457.78</v>
      </c>
      <c r="O315" s="14" t="n">
        <v>457.78</v>
      </c>
      <c r="P315" s="14" t="n">
        <v>457.78</v>
      </c>
      <c r="Q315" s="14" t="n">
        <v>457.78</v>
      </c>
      <c r="R315" s="14" t="n">
        <v>457.78</v>
      </c>
      <c r="S315" s="14" t="n">
        <v>457.78</v>
      </c>
      <c r="T315" s="14" t="n">
        <v>457.78</v>
      </c>
      <c r="U315" s="14" t="n">
        <v>350</v>
      </c>
      <c r="V315" s="14" t="n">
        <v>0</v>
      </c>
      <c r="W315" s="14">
        <f>U315+V315</f>
        <v/>
      </c>
    </row>
    <row r="316">
      <c r="A316" s="15" t="inlineStr">
        <is>
          <t>CANON-202607-008093</t>
        </is>
      </c>
      <c r="B316" s="15" t="inlineStr">
        <is>
          <t>2026-07-10</t>
        </is>
      </c>
      <c r="C316" s="15" t="inlineStr">
        <is>
          <t>Callum Kingsford</t>
        </is>
      </c>
      <c r="D316" s="15" t="inlineStr">
        <is>
          <t>NE</t>
        </is>
      </c>
      <c r="E316" s="16" t="n">
        <v>585000</v>
      </c>
      <c r="F316" s="16" t="n">
        <v>7097.76</v>
      </c>
      <c r="G316" s="16" t="n">
        <v>887.22</v>
      </c>
      <c r="H316" s="16" t="n">
        <v>887.22</v>
      </c>
      <c r="I316" s="16">
        <f>SUM(K316:T316)</f>
        <v/>
      </c>
      <c r="J316" s="16">
        <f>F316-(G316+H316+I316)</f>
        <v/>
      </c>
      <c r="K316" s="16" t="n">
        <v>532.33</v>
      </c>
      <c r="L316" s="16" t="n">
        <v>532.33</v>
      </c>
      <c r="M316" s="16" t="n">
        <v>532.33</v>
      </c>
      <c r="N316" s="16" t="n">
        <v>532.33</v>
      </c>
      <c r="O316" s="16" t="n">
        <v>532.33</v>
      </c>
      <c r="P316" s="16" t="n">
        <v>532.33</v>
      </c>
      <c r="Q316" s="16" t="n">
        <v>532.33</v>
      </c>
      <c r="R316" s="16" t="n">
        <v>532.33</v>
      </c>
      <c r="S316" s="16" t="n">
        <v>532.33</v>
      </c>
      <c r="T316" s="16" t="n">
        <v>532.33</v>
      </c>
      <c r="U316" s="16" t="n">
        <v>350</v>
      </c>
      <c r="V316" s="16" t="n">
        <v>0</v>
      </c>
      <c r="W316" s="16">
        <f>U316+V316</f>
        <v/>
      </c>
    </row>
    <row r="317">
      <c r="A317" s="3" t="inlineStr">
        <is>
          <t>CANON-202607-008094</t>
        </is>
      </c>
      <c r="B317" s="3" t="inlineStr">
        <is>
          <t>2026-07-29</t>
        </is>
      </c>
      <c r="C317" s="3" t="inlineStr">
        <is>
          <t>Delphine Montoya</t>
        </is>
      </c>
      <c r="D317" s="3" t="inlineStr">
        <is>
          <t>TX</t>
        </is>
      </c>
      <c r="E317" s="14" t="n">
        <v>885000</v>
      </c>
      <c r="F317" s="14" t="n">
        <v>5553.08</v>
      </c>
      <c r="G317" s="14" t="n">
        <v>694.13</v>
      </c>
      <c r="H317" s="14" t="n">
        <v>694.13</v>
      </c>
      <c r="I317" s="14">
        <f>SUM(K317:T317)</f>
        <v/>
      </c>
      <c r="J317" s="14">
        <f>F317-(G317+H317+I317)</f>
        <v/>
      </c>
      <c r="K317" s="14" t="n">
        <v>416.48</v>
      </c>
      <c r="L317" s="14" t="n">
        <v>416.48</v>
      </c>
      <c r="M317" s="14" t="n">
        <v>416.48</v>
      </c>
      <c r="N317" s="14" t="n">
        <v>416.48</v>
      </c>
      <c r="O317" s="14" t="n">
        <v>416.48</v>
      </c>
      <c r="P317" s="14" t="n">
        <v>416.48</v>
      </c>
      <c r="Q317" s="14" t="n">
        <v>416.48</v>
      </c>
      <c r="R317" s="14" t="n">
        <v>416.48</v>
      </c>
      <c r="S317" s="14" t="n">
        <v>416.48</v>
      </c>
      <c r="T317" s="14" t="n">
        <v>416.48</v>
      </c>
      <c r="U317" s="14" t="n">
        <v>350</v>
      </c>
      <c r="V317" s="14" t="n">
        <v>0</v>
      </c>
      <c r="W317" s="14">
        <f>U317+V317</f>
        <v/>
      </c>
    </row>
    <row r="318">
      <c r="A318" s="15" t="inlineStr">
        <is>
          <t>CANON-202607-008095</t>
        </is>
      </c>
      <c r="B318" s="15" t="inlineStr">
        <is>
          <t>2026-07-06</t>
        </is>
      </c>
      <c r="C318" s="15" t="inlineStr">
        <is>
          <t>Cassius Okonkwo</t>
        </is>
      </c>
      <c r="D318" s="15" t="inlineStr">
        <is>
          <t>NY</t>
        </is>
      </c>
      <c r="E318" s="16" t="n">
        <v>1300000</v>
      </c>
      <c r="F318" s="16" t="n">
        <v>13140.89</v>
      </c>
      <c r="G318" s="16" t="n">
        <v>1642.61</v>
      </c>
      <c r="H318" s="16" t="n">
        <v>1642.61</v>
      </c>
      <c r="I318" s="16">
        <f>SUM(K318:T318)</f>
        <v/>
      </c>
      <c r="J318" s="16">
        <f>F318-(G318+H318+I318)</f>
        <v/>
      </c>
      <c r="K318" s="16" t="n">
        <v>985.5700000000001</v>
      </c>
      <c r="L318" s="16" t="n">
        <v>985.5700000000001</v>
      </c>
      <c r="M318" s="16" t="n">
        <v>985.5700000000001</v>
      </c>
      <c r="N318" s="16" t="n">
        <v>985.5700000000001</v>
      </c>
      <c r="O318" s="16" t="n">
        <v>985.5700000000001</v>
      </c>
      <c r="P318" s="16" t="n">
        <v>985.5700000000001</v>
      </c>
      <c r="Q318" s="16" t="n">
        <v>985.5700000000001</v>
      </c>
      <c r="R318" s="16" t="n">
        <v>985.5700000000001</v>
      </c>
      <c r="S318" s="16" t="n">
        <v>985.5700000000001</v>
      </c>
      <c r="T318" s="16" t="n">
        <v>985.5700000000001</v>
      </c>
      <c r="U318" s="16" t="n">
        <v>350</v>
      </c>
      <c r="V318" s="16" t="n">
        <v>250</v>
      </c>
      <c r="W318" s="16">
        <f>U318+V318</f>
        <v/>
      </c>
    </row>
    <row r="319">
      <c r="A319" s="3" t="inlineStr">
        <is>
          <t>CANON-202607-008098</t>
        </is>
      </c>
      <c r="B319" s="3" t="inlineStr">
        <is>
          <t>2026-07-15</t>
        </is>
      </c>
      <c r="C319" s="3" t="inlineStr">
        <is>
          <t>Marisol Whitlock</t>
        </is>
      </c>
      <c r="D319" s="3" t="inlineStr">
        <is>
          <t>NJ</t>
        </is>
      </c>
      <c r="E319" s="14" t="n">
        <v>930000</v>
      </c>
      <c r="F319" s="14" t="n">
        <v>11544.01</v>
      </c>
      <c r="G319" s="14" t="n">
        <v>1443</v>
      </c>
      <c r="H319" s="14" t="n">
        <v>1443</v>
      </c>
      <c r="I319" s="14">
        <f>SUM(K319:T319)</f>
        <v/>
      </c>
      <c r="J319" s="14">
        <f>F319-(G319+H319+I319)</f>
        <v/>
      </c>
      <c r="K319" s="14" t="n">
        <v>865.8</v>
      </c>
      <c r="L319" s="14" t="n">
        <v>865.8</v>
      </c>
      <c r="M319" s="14" t="n">
        <v>865.8</v>
      </c>
      <c r="N319" s="14" t="n">
        <v>865.8</v>
      </c>
      <c r="O319" s="14" t="n">
        <v>865.8</v>
      </c>
      <c r="P319" s="14" t="n">
        <v>865.8</v>
      </c>
      <c r="Q319" s="14" t="n">
        <v>865.8</v>
      </c>
      <c r="R319" s="14" t="n">
        <v>865.8</v>
      </c>
      <c r="S319" s="14" t="n">
        <v>865.8</v>
      </c>
      <c r="T319" s="14" t="n">
        <v>865.8</v>
      </c>
      <c r="U319" s="14" t="n">
        <v>350</v>
      </c>
      <c r="V319" s="14" t="n">
        <v>0</v>
      </c>
      <c r="W319" s="14">
        <f>U319+V319</f>
        <v/>
      </c>
    </row>
    <row r="320">
      <c r="A320" s="15" t="inlineStr">
        <is>
          <t>CANON-202607-008100</t>
        </is>
      </c>
      <c r="B320" s="15" t="inlineStr">
        <is>
          <t>2026-07-20</t>
        </is>
      </c>
      <c r="C320" s="15" t="inlineStr">
        <is>
          <t>Everett Underwood</t>
        </is>
      </c>
      <c r="D320" s="15" t="inlineStr">
        <is>
          <t>SC</t>
        </is>
      </c>
      <c r="E320" s="16" t="n">
        <v>315000</v>
      </c>
      <c r="F320" s="16" t="n">
        <v>4206.32</v>
      </c>
      <c r="G320" s="16" t="n">
        <v>525.79</v>
      </c>
      <c r="H320" s="16" t="n">
        <v>525.79</v>
      </c>
      <c r="I320" s="16">
        <f>SUM(K320:T320)</f>
        <v/>
      </c>
      <c r="J320" s="16">
        <f>F320-(G320+H320+I320)</f>
        <v/>
      </c>
      <c r="K320" s="16" t="n">
        <v>315.47</v>
      </c>
      <c r="L320" s="16" t="n">
        <v>315.47</v>
      </c>
      <c r="M320" s="16" t="n">
        <v>315.47</v>
      </c>
      <c r="N320" s="16" t="n">
        <v>315.47</v>
      </c>
      <c r="O320" s="16" t="n">
        <v>315.47</v>
      </c>
      <c r="P320" s="16" t="n">
        <v>315.47</v>
      </c>
      <c r="Q320" s="16" t="n">
        <v>315.47</v>
      </c>
      <c r="R320" s="16" t="n">
        <v>315.47</v>
      </c>
      <c r="S320" s="16" t="n">
        <v>315.47</v>
      </c>
      <c r="T320" s="16" t="n">
        <v>315.47</v>
      </c>
      <c r="U320" s="16" t="n">
        <v>350</v>
      </c>
      <c r="V320" s="16" t="n">
        <v>0</v>
      </c>
      <c r="W320" s="16">
        <f>U320+V320</f>
        <v/>
      </c>
    </row>
    <row r="321">
      <c r="A321" s="3" t="inlineStr">
        <is>
          <t>CANON-202607-008102</t>
        </is>
      </c>
      <c r="B321" s="3" t="inlineStr">
        <is>
          <t>2026-07-11</t>
        </is>
      </c>
      <c r="C321" s="3" t="inlineStr">
        <is>
          <t>Lorenzo Delacroix</t>
        </is>
      </c>
      <c r="D321" s="3" t="inlineStr">
        <is>
          <t>GA</t>
        </is>
      </c>
      <c r="E321" s="14" t="n">
        <v>510000</v>
      </c>
      <c r="F321" s="14" t="n">
        <v>5331.02</v>
      </c>
      <c r="G321" s="14" t="n">
        <v>666.38</v>
      </c>
      <c r="H321" s="14" t="n">
        <v>666.38</v>
      </c>
      <c r="I321" s="14">
        <f>SUM(K321:T321)</f>
        <v/>
      </c>
      <c r="J321" s="14">
        <f>F321-(G321+H321+I321)</f>
        <v/>
      </c>
      <c r="K321" s="14" t="n">
        <v>399.83</v>
      </c>
      <c r="L321" s="14" t="n">
        <v>399.83</v>
      </c>
      <c r="M321" s="14" t="n">
        <v>399.83</v>
      </c>
      <c r="N321" s="14" t="n">
        <v>399.83</v>
      </c>
      <c r="O321" s="14" t="n">
        <v>399.83</v>
      </c>
      <c r="P321" s="14" t="n">
        <v>399.83</v>
      </c>
      <c r="Q321" s="14" t="n">
        <v>399.83</v>
      </c>
      <c r="R321" s="14" t="n">
        <v>399.83</v>
      </c>
      <c r="S321" s="14" t="n">
        <v>399.83</v>
      </c>
      <c r="T321" s="14" t="n">
        <v>399.83</v>
      </c>
      <c r="U321" s="14" t="n">
        <v>350</v>
      </c>
      <c r="V321" s="14" t="n">
        <v>0</v>
      </c>
      <c r="W321" s="14">
        <f>U321+V321</f>
        <v/>
      </c>
    </row>
    <row r="322">
      <c r="A322" s="15" t="inlineStr">
        <is>
          <t>CANON-202607-008103</t>
        </is>
      </c>
      <c r="B322" s="15" t="inlineStr">
        <is>
          <t>2026-07-02</t>
        </is>
      </c>
      <c r="C322" s="15" t="inlineStr">
        <is>
          <t>Thaddeus Rourke</t>
        </is>
      </c>
      <c r="D322" s="15" t="inlineStr">
        <is>
          <t>NY</t>
        </is>
      </c>
      <c r="E322" s="16" t="n">
        <v>450000</v>
      </c>
      <c r="F322" s="16" t="n">
        <v>6202.87</v>
      </c>
      <c r="G322" s="16" t="n">
        <v>775.36</v>
      </c>
      <c r="H322" s="16" t="n">
        <v>775.36</v>
      </c>
      <c r="I322" s="16">
        <f>SUM(K322:T322)</f>
        <v/>
      </c>
      <c r="J322" s="16">
        <f>F322-(G322+H322+I322)</f>
        <v/>
      </c>
      <c r="K322" s="16" t="n">
        <v>465.22</v>
      </c>
      <c r="L322" s="16" t="n">
        <v>465.22</v>
      </c>
      <c r="M322" s="16" t="n">
        <v>465.22</v>
      </c>
      <c r="N322" s="16" t="n">
        <v>465.22</v>
      </c>
      <c r="O322" s="16" t="n">
        <v>465.22</v>
      </c>
      <c r="P322" s="16" t="n">
        <v>465.22</v>
      </c>
      <c r="Q322" s="16" t="n">
        <v>465.22</v>
      </c>
      <c r="R322" s="16" t="n">
        <v>465.22</v>
      </c>
      <c r="S322" s="16" t="n">
        <v>465.22</v>
      </c>
      <c r="T322" s="16" t="n">
        <v>465.22</v>
      </c>
      <c r="U322" s="16" t="n">
        <v>350</v>
      </c>
      <c r="V322" s="16" t="n">
        <v>0</v>
      </c>
      <c r="W322" s="16">
        <f>U322+V322</f>
        <v/>
      </c>
    </row>
    <row r="323">
      <c r="A323" s="3" t="inlineStr">
        <is>
          <t>CANON-202607-008105</t>
        </is>
      </c>
      <c r="B323" s="3" t="inlineStr">
        <is>
          <t>2026-07-06</t>
        </is>
      </c>
      <c r="C323" s="3" t="inlineStr">
        <is>
          <t>Emiliano Bellandi</t>
        </is>
      </c>
      <c r="D323" s="3" t="inlineStr">
        <is>
          <t>CA</t>
        </is>
      </c>
      <c r="E323" s="14" t="n">
        <v>1070000</v>
      </c>
      <c r="F323" s="14" t="n">
        <v>11407.46</v>
      </c>
      <c r="G323" s="14" t="n">
        <v>1425.93</v>
      </c>
      <c r="H323" s="14" t="n">
        <v>1425.93</v>
      </c>
      <c r="I323" s="14">
        <f>SUM(K323:T323)</f>
        <v/>
      </c>
      <c r="J323" s="14">
        <f>F323-(G323+H323+I323)</f>
        <v/>
      </c>
      <c r="K323" s="14" t="n">
        <v>855.5599999999999</v>
      </c>
      <c r="L323" s="14" t="n">
        <v>855.5599999999999</v>
      </c>
      <c r="M323" s="14" t="n">
        <v>855.5599999999999</v>
      </c>
      <c r="N323" s="14" t="n">
        <v>855.5599999999999</v>
      </c>
      <c r="O323" s="14" t="n">
        <v>855.5599999999999</v>
      </c>
      <c r="P323" s="14" t="n">
        <v>855.5599999999999</v>
      </c>
      <c r="Q323" s="14" t="n">
        <v>855.5599999999999</v>
      </c>
      <c r="R323" s="14" t="n">
        <v>855.5599999999999</v>
      </c>
      <c r="S323" s="14" t="n">
        <v>855.5599999999999</v>
      </c>
      <c r="T323" s="14" t="n">
        <v>855.5599999999999</v>
      </c>
      <c r="U323" s="14" t="n">
        <v>350</v>
      </c>
      <c r="V323" s="14" t="n">
        <v>250</v>
      </c>
      <c r="W323" s="14">
        <f>U323+V323</f>
        <v/>
      </c>
    </row>
    <row r="324">
      <c r="A324" s="15" t="inlineStr">
        <is>
          <t>CANON-202607-008106</t>
        </is>
      </c>
      <c r="B324" s="15" t="inlineStr">
        <is>
          <t>2026-07-04</t>
        </is>
      </c>
      <c r="C324" s="15" t="inlineStr">
        <is>
          <t>Fenwick Larsson</t>
        </is>
      </c>
      <c r="D324" s="15" t="inlineStr">
        <is>
          <t>CA</t>
        </is>
      </c>
      <c r="E324" s="16" t="n">
        <v>335000</v>
      </c>
      <c r="F324" s="16" t="n">
        <v>4870.22</v>
      </c>
      <c r="G324" s="16" t="n">
        <v>608.78</v>
      </c>
      <c r="H324" s="16" t="n">
        <v>608.78</v>
      </c>
      <c r="I324" s="16">
        <f>SUM(K324:T324)</f>
        <v/>
      </c>
      <c r="J324" s="16">
        <f>F324-(G324+H324+I324)</f>
        <v/>
      </c>
      <c r="K324" s="16" t="n">
        <v>365.27</v>
      </c>
      <c r="L324" s="16" t="n">
        <v>365.27</v>
      </c>
      <c r="M324" s="16" t="n">
        <v>365.27</v>
      </c>
      <c r="N324" s="16" t="n">
        <v>365.27</v>
      </c>
      <c r="O324" s="16" t="n">
        <v>365.27</v>
      </c>
      <c r="P324" s="16" t="n">
        <v>365.27</v>
      </c>
      <c r="Q324" s="16" t="n">
        <v>365.27</v>
      </c>
      <c r="R324" s="16" t="n">
        <v>365.27</v>
      </c>
      <c r="S324" s="16" t="n">
        <v>365.27</v>
      </c>
      <c r="T324" s="16" t="n">
        <v>365.27</v>
      </c>
      <c r="U324" s="16" t="n">
        <v>350</v>
      </c>
      <c r="V324" s="16" t="n">
        <v>0</v>
      </c>
      <c r="W324" s="16">
        <f>U324+V324</f>
        <v/>
      </c>
    </row>
    <row r="325">
      <c r="A325" s="3" t="inlineStr">
        <is>
          <t>CANON-202607-008107</t>
        </is>
      </c>
      <c r="B325" s="3" t="inlineStr">
        <is>
          <t>2026-07-21</t>
        </is>
      </c>
      <c r="C325" s="3" t="inlineStr">
        <is>
          <t>Fenwick Delacroix</t>
        </is>
      </c>
      <c r="D325" s="3" t="inlineStr">
        <is>
          <t>NJ</t>
        </is>
      </c>
      <c r="E325" s="14" t="n">
        <v>860000</v>
      </c>
      <c r="F325" s="14" t="n">
        <v>7304.02</v>
      </c>
      <c r="G325" s="14" t="n">
        <v>913</v>
      </c>
      <c r="H325" s="14" t="n">
        <v>913</v>
      </c>
      <c r="I325" s="14">
        <f>SUM(K325:T325)</f>
        <v/>
      </c>
      <c r="J325" s="14">
        <f>F325-(G325+H325+I325)</f>
        <v/>
      </c>
      <c r="K325" s="14" t="n">
        <v>547.8</v>
      </c>
      <c r="L325" s="14" t="n">
        <v>547.8</v>
      </c>
      <c r="M325" s="14" t="n">
        <v>547.8</v>
      </c>
      <c r="N325" s="14" t="n">
        <v>547.8</v>
      </c>
      <c r="O325" s="14" t="n">
        <v>547.8</v>
      </c>
      <c r="P325" s="14" t="n">
        <v>547.8</v>
      </c>
      <c r="Q325" s="14" t="n">
        <v>547.8</v>
      </c>
      <c r="R325" s="14" t="n">
        <v>547.8</v>
      </c>
      <c r="S325" s="14" t="n">
        <v>547.8</v>
      </c>
      <c r="T325" s="14" t="n">
        <v>547.8</v>
      </c>
      <c r="U325" s="14" t="n">
        <v>350</v>
      </c>
      <c r="V325" s="14" t="n">
        <v>0</v>
      </c>
      <c r="W325" s="14">
        <f>U325+V325</f>
        <v/>
      </c>
    </row>
    <row r="326">
      <c r="A326" s="15" t="inlineStr">
        <is>
          <t>CANON-202607-008108</t>
        </is>
      </c>
      <c r="B326" s="15" t="inlineStr">
        <is>
          <t>2026-07-29</t>
        </is>
      </c>
      <c r="C326" s="15" t="inlineStr">
        <is>
          <t>Ottilie Fairweather</t>
        </is>
      </c>
      <c r="D326" s="15" t="inlineStr">
        <is>
          <t>ID</t>
        </is>
      </c>
      <c r="E326" s="16" t="n">
        <v>915000</v>
      </c>
      <c r="F326" s="16" t="n">
        <v>8454.309999999999</v>
      </c>
      <c r="G326" s="16" t="n">
        <v>1056.79</v>
      </c>
      <c r="H326" s="16" t="n">
        <v>1056.79</v>
      </c>
      <c r="I326" s="16">
        <f>SUM(K326:T326)</f>
        <v/>
      </c>
      <c r="J326" s="16">
        <f>F326-(G326+H326+I326)</f>
        <v/>
      </c>
      <c r="K326" s="16" t="n">
        <v>634.0700000000001</v>
      </c>
      <c r="L326" s="16" t="n">
        <v>634.0700000000001</v>
      </c>
      <c r="M326" s="16" t="n">
        <v>634.0700000000001</v>
      </c>
      <c r="N326" s="16" t="n">
        <v>634.0700000000001</v>
      </c>
      <c r="O326" s="16" t="n">
        <v>634.0700000000001</v>
      </c>
      <c r="P326" s="16" t="n">
        <v>634.0700000000001</v>
      </c>
      <c r="Q326" s="16" t="n">
        <v>634.0700000000001</v>
      </c>
      <c r="R326" s="16" t="n">
        <v>634.0700000000001</v>
      </c>
      <c r="S326" s="16" t="n">
        <v>634.0700000000001</v>
      </c>
      <c r="T326" s="16" t="n">
        <v>634.0700000000001</v>
      </c>
      <c r="U326" s="16" t="n">
        <v>350</v>
      </c>
      <c r="V326" s="16" t="n">
        <v>0</v>
      </c>
      <c r="W326" s="16">
        <f>U326+V326</f>
        <v/>
      </c>
    </row>
    <row r="327">
      <c r="A327" s="3" t="inlineStr">
        <is>
          <t>CANON-202607-008110</t>
        </is>
      </c>
      <c r="B327" s="3" t="inlineStr">
        <is>
          <t>2026-07-19</t>
        </is>
      </c>
      <c r="C327" s="3" t="inlineStr">
        <is>
          <t>Sunniva Whitlock</t>
        </is>
      </c>
      <c r="D327" s="3" t="inlineStr">
        <is>
          <t>FL</t>
        </is>
      </c>
      <c r="E327" s="14" t="n">
        <v>745000</v>
      </c>
      <c r="F327" s="14" t="n">
        <v>11848.08</v>
      </c>
      <c r="G327" s="14" t="n">
        <v>1481.01</v>
      </c>
      <c r="H327" s="14" t="n">
        <v>1481.01</v>
      </c>
      <c r="I327" s="14">
        <f>SUM(K327:T327)</f>
        <v/>
      </c>
      <c r="J327" s="14">
        <f>F327-(G327+H327+I327)</f>
        <v/>
      </c>
      <c r="K327" s="14" t="n">
        <v>888.61</v>
      </c>
      <c r="L327" s="14" t="n">
        <v>888.61</v>
      </c>
      <c r="M327" s="14" t="n">
        <v>888.61</v>
      </c>
      <c r="N327" s="14" t="n">
        <v>888.61</v>
      </c>
      <c r="O327" s="14" t="n">
        <v>888.61</v>
      </c>
      <c r="P327" s="14" t="n">
        <v>888.61</v>
      </c>
      <c r="Q327" s="14" t="n">
        <v>888.61</v>
      </c>
      <c r="R327" s="14" t="n">
        <v>888.61</v>
      </c>
      <c r="S327" s="14" t="n">
        <v>888.61</v>
      </c>
      <c r="T327" s="14" t="n">
        <v>888.61</v>
      </c>
      <c r="U327" s="14" t="n">
        <v>350</v>
      </c>
      <c r="V327" s="14" t="n">
        <v>0</v>
      </c>
      <c r="W327" s="14">
        <f>U327+V327</f>
        <v/>
      </c>
    </row>
    <row r="328">
      <c r="A328" s="15" t="inlineStr">
        <is>
          <t>CANON-202607-008112</t>
        </is>
      </c>
      <c r="B328" s="15" t="inlineStr">
        <is>
          <t>2026-07-01</t>
        </is>
      </c>
      <c r="C328" s="15" t="inlineStr">
        <is>
          <t>Desmond Montoya</t>
        </is>
      </c>
      <c r="D328" s="15" t="inlineStr">
        <is>
          <t>OH</t>
        </is>
      </c>
      <c r="E328" s="16" t="n">
        <v>410000</v>
      </c>
      <c r="F328" s="16" t="n">
        <v>6137.18</v>
      </c>
      <c r="G328" s="16" t="n">
        <v>767.15</v>
      </c>
      <c r="H328" s="16" t="n">
        <v>767.15</v>
      </c>
      <c r="I328" s="16">
        <f>SUM(K328:T328)</f>
        <v/>
      </c>
      <c r="J328" s="16">
        <f>F328-(G328+H328+I328)</f>
        <v/>
      </c>
      <c r="K328" s="16" t="n">
        <v>460.29</v>
      </c>
      <c r="L328" s="16" t="n">
        <v>460.29</v>
      </c>
      <c r="M328" s="16" t="n">
        <v>460.29</v>
      </c>
      <c r="N328" s="16" t="n">
        <v>460.29</v>
      </c>
      <c r="O328" s="16" t="n">
        <v>460.29</v>
      </c>
      <c r="P328" s="16" t="n">
        <v>460.29</v>
      </c>
      <c r="Q328" s="16" t="n">
        <v>460.29</v>
      </c>
      <c r="R328" s="16" t="n">
        <v>460.29</v>
      </c>
      <c r="S328" s="16" t="n">
        <v>460.29</v>
      </c>
      <c r="T328" s="16" t="n">
        <v>460.29</v>
      </c>
      <c r="U328" s="16" t="n">
        <v>350</v>
      </c>
      <c r="V328" s="16" t="n">
        <v>0</v>
      </c>
      <c r="W328" s="16">
        <f>U328+V328</f>
        <v/>
      </c>
    </row>
    <row r="329">
      <c r="A329" s="3" t="inlineStr">
        <is>
          <t>CANON-202607-008113</t>
        </is>
      </c>
      <c r="B329" s="3" t="inlineStr">
        <is>
          <t>2026-07-30</t>
        </is>
      </c>
      <c r="C329" s="3" t="inlineStr">
        <is>
          <t>Marisol Chattopadhyay</t>
        </is>
      </c>
      <c r="D329" s="3" t="inlineStr">
        <is>
          <t>ME</t>
        </is>
      </c>
      <c r="E329" s="14" t="n">
        <v>1500000</v>
      </c>
      <c r="F329" s="14" t="n">
        <v>18608.6</v>
      </c>
      <c r="G329" s="14" t="n">
        <v>2326.07</v>
      </c>
      <c r="H329" s="14" t="n">
        <v>2326.07</v>
      </c>
      <c r="I329" s="14">
        <f>SUM(K329:T329)</f>
        <v/>
      </c>
      <c r="J329" s="14">
        <f>F329-(G329+H329+I329)</f>
        <v/>
      </c>
      <c r="K329" s="14" t="n">
        <v>1395.64</v>
      </c>
      <c r="L329" s="14" t="n">
        <v>1395.64</v>
      </c>
      <c r="M329" s="14" t="n">
        <v>1395.64</v>
      </c>
      <c r="N329" s="14" t="n">
        <v>1395.64</v>
      </c>
      <c r="O329" s="14" t="n">
        <v>1395.64</v>
      </c>
      <c r="P329" s="14" t="n">
        <v>1395.64</v>
      </c>
      <c r="Q329" s="14" t="n">
        <v>1395.64</v>
      </c>
      <c r="R329" s="14" t="n">
        <v>1395.64</v>
      </c>
      <c r="S329" s="14" t="n">
        <v>1395.64</v>
      </c>
      <c r="T329" s="14" t="n">
        <v>1395.64</v>
      </c>
      <c r="U329" s="14" t="n">
        <v>350</v>
      </c>
      <c r="V329" s="14" t="n">
        <v>250</v>
      </c>
      <c r="W329" s="14">
        <f>U329+V329</f>
        <v/>
      </c>
    </row>
    <row r="330">
      <c r="A330" s="15" t="inlineStr">
        <is>
          <t>CANON-202607-008114</t>
        </is>
      </c>
      <c r="B330" s="15" t="inlineStr">
        <is>
          <t>2026-07-15</t>
        </is>
      </c>
      <c r="C330" s="15" t="inlineStr">
        <is>
          <t>Priya Fairweather</t>
        </is>
      </c>
      <c r="D330" s="15" t="inlineStr">
        <is>
          <t>MT</t>
        </is>
      </c>
      <c r="E330" s="16" t="n">
        <v>220000</v>
      </c>
      <c r="F330" s="16" t="n">
        <v>2702.73</v>
      </c>
      <c r="G330" s="16" t="n">
        <v>337.84</v>
      </c>
      <c r="H330" s="16" t="n">
        <v>337.84</v>
      </c>
      <c r="I330" s="16">
        <f>SUM(K330:T330)</f>
        <v/>
      </c>
      <c r="J330" s="16">
        <f>F330-(G330+H330+I330)</f>
        <v/>
      </c>
      <c r="K330" s="16" t="n">
        <v>202.7</v>
      </c>
      <c r="L330" s="16" t="n">
        <v>202.7</v>
      </c>
      <c r="M330" s="16" t="n">
        <v>202.7</v>
      </c>
      <c r="N330" s="16" t="n">
        <v>202.7</v>
      </c>
      <c r="O330" s="16" t="n">
        <v>202.7</v>
      </c>
      <c r="P330" s="16" t="n">
        <v>202.7</v>
      </c>
      <c r="Q330" s="16" t="n">
        <v>202.7</v>
      </c>
      <c r="R330" s="16" t="n">
        <v>202.7</v>
      </c>
      <c r="S330" s="16" t="n">
        <v>202.7</v>
      </c>
      <c r="T330" s="16" t="n">
        <v>202.7</v>
      </c>
      <c r="U330" s="16" t="n">
        <v>350</v>
      </c>
      <c r="V330" s="16" t="n">
        <v>0</v>
      </c>
      <c r="W330" s="16">
        <f>U330+V330</f>
        <v/>
      </c>
    </row>
    <row r="331">
      <c r="A331" s="3" t="inlineStr">
        <is>
          <t>CANON-202607-008115</t>
        </is>
      </c>
      <c r="B331" s="3" t="inlineStr">
        <is>
          <t>2026-07-01</t>
        </is>
      </c>
      <c r="C331" s="3" t="inlineStr">
        <is>
          <t>Everett Ashcombe</t>
        </is>
      </c>
      <c r="D331" s="3" t="inlineStr">
        <is>
          <t>AZ</t>
        </is>
      </c>
      <c r="E331" s="14" t="n">
        <v>835000</v>
      </c>
      <c r="F331" s="14" t="n">
        <v>11503.77</v>
      </c>
      <c r="G331" s="14" t="n">
        <v>1437.97</v>
      </c>
      <c r="H331" s="14" t="n">
        <v>1437.97</v>
      </c>
      <c r="I331" s="14">
        <f>SUM(K331:T331)</f>
        <v/>
      </c>
      <c r="J331" s="14">
        <f>F331-(G331+H331+I331)</f>
        <v/>
      </c>
      <c r="K331" s="14" t="n">
        <v>862.78</v>
      </c>
      <c r="L331" s="14" t="n">
        <v>862.78</v>
      </c>
      <c r="M331" s="14" t="n">
        <v>862.78</v>
      </c>
      <c r="N331" s="14" t="n">
        <v>862.78</v>
      </c>
      <c r="O331" s="14" t="n">
        <v>862.78</v>
      </c>
      <c r="P331" s="14" t="n">
        <v>862.78</v>
      </c>
      <c r="Q331" s="14" t="n">
        <v>862.78</v>
      </c>
      <c r="R331" s="14" t="n">
        <v>862.78</v>
      </c>
      <c r="S331" s="14" t="n">
        <v>862.78</v>
      </c>
      <c r="T331" s="14" t="n">
        <v>862.78</v>
      </c>
      <c r="U331" s="14" t="n">
        <v>350</v>
      </c>
      <c r="V331" s="14" t="n">
        <v>0</v>
      </c>
      <c r="W331" s="14">
        <f>U331+V331</f>
        <v/>
      </c>
    </row>
    <row r="332">
      <c r="A332" s="15" t="inlineStr">
        <is>
          <t>CANON-202607-008116</t>
        </is>
      </c>
      <c r="B332" s="15" t="inlineStr">
        <is>
          <t>2026-07-23</t>
        </is>
      </c>
      <c r="C332" s="15" t="inlineStr">
        <is>
          <t>Everett Vandermeer</t>
        </is>
      </c>
      <c r="D332" s="15" t="inlineStr">
        <is>
          <t>VA</t>
        </is>
      </c>
      <c r="E332" s="16" t="n">
        <v>1105000</v>
      </c>
      <c r="F332" s="16" t="n">
        <v>9511.75</v>
      </c>
      <c r="G332" s="16" t="n">
        <v>1188.97</v>
      </c>
      <c r="H332" s="16" t="n">
        <v>1188.97</v>
      </c>
      <c r="I332" s="16">
        <f>SUM(K332:T332)</f>
        <v/>
      </c>
      <c r="J332" s="16">
        <f>F332-(G332+H332+I332)</f>
        <v/>
      </c>
      <c r="K332" s="16" t="n">
        <v>713.38</v>
      </c>
      <c r="L332" s="16" t="n">
        <v>713.38</v>
      </c>
      <c r="M332" s="16" t="n">
        <v>713.38</v>
      </c>
      <c r="N332" s="16" t="n">
        <v>713.38</v>
      </c>
      <c r="O332" s="16" t="n">
        <v>713.38</v>
      </c>
      <c r="P332" s="16" t="n">
        <v>713.38</v>
      </c>
      <c r="Q332" s="16" t="n">
        <v>713.38</v>
      </c>
      <c r="R332" s="16" t="n">
        <v>713.38</v>
      </c>
      <c r="S332" s="16" t="n">
        <v>713.38</v>
      </c>
      <c r="T332" s="16" t="n">
        <v>713.38</v>
      </c>
      <c r="U332" s="16" t="n">
        <v>350</v>
      </c>
      <c r="V332" s="16" t="n">
        <v>250</v>
      </c>
      <c r="W332" s="16">
        <f>U332+V332</f>
        <v/>
      </c>
    </row>
    <row r="333">
      <c r="A333" s="3" t="inlineStr">
        <is>
          <t>CANON-202607-008118</t>
        </is>
      </c>
      <c r="B333" s="3" t="inlineStr">
        <is>
          <t>2026-07-22</t>
        </is>
      </c>
      <c r="C333" s="3" t="inlineStr">
        <is>
          <t>Cassius Chattopadhyay</t>
        </is>
      </c>
      <c r="D333" s="3" t="inlineStr">
        <is>
          <t>AR</t>
        </is>
      </c>
      <c r="E333" s="14" t="n">
        <v>160000</v>
      </c>
      <c r="F333" s="14" t="n">
        <v>2916.72</v>
      </c>
      <c r="G333" s="14" t="n">
        <v>364.59</v>
      </c>
      <c r="H333" s="14" t="n">
        <v>364.59</v>
      </c>
      <c r="I333" s="14">
        <f>SUM(K333:T333)</f>
        <v/>
      </c>
      <c r="J333" s="14">
        <f>F333-(G333+H333+I333)</f>
        <v/>
      </c>
      <c r="K333" s="14" t="n">
        <v>218.75</v>
      </c>
      <c r="L333" s="14" t="n">
        <v>218.75</v>
      </c>
      <c r="M333" s="14" t="n">
        <v>218.75</v>
      </c>
      <c r="N333" s="14" t="n">
        <v>218.75</v>
      </c>
      <c r="O333" s="14" t="n">
        <v>218.75</v>
      </c>
      <c r="P333" s="14" t="n">
        <v>218.75</v>
      </c>
      <c r="Q333" s="14" t="n">
        <v>218.75</v>
      </c>
      <c r="R333" s="14" t="n">
        <v>218.75</v>
      </c>
      <c r="S333" s="14" t="n">
        <v>218.75</v>
      </c>
      <c r="T333" s="14" t="n">
        <v>218.75</v>
      </c>
      <c r="U333" s="14" t="n">
        <v>350</v>
      </c>
      <c r="V333" s="14" t="n">
        <v>0</v>
      </c>
      <c r="W333" s="14">
        <f>U333+V333</f>
        <v/>
      </c>
    </row>
    <row r="334">
      <c r="A334" s="15" t="inlineStr">
        <is>
          <t>CANON-202607-008120</t>
        </is>
      </c>
      <c r="B334" s="15" t="inlineStr">
        <is>
          <t>2026-07-23</t>
        </is>
      </c>
      <c r="C334" s="15" t="inlineStr">
        <is>
          <t>Cassius Delacroix</t>
        </is>
      </c>
      <c r="D334" s="15" t="inlineStr">
        <is>
          <t>PA</t>
        </is>
      </c>
      <c r="E334" s="16" t="n">
        <v>860000</v>
      </c>
      <c r="F334" s="16" t="n">
        <v>8026.4</v>
      </c>
      <c r="G334" s="16" t="n">
        <v>1003.3</v>
      </c>
      <c r="H334" s="16" t="n">
        <v>1003.3</v>
      </c>
      <c r="I334" s="16">
        <f>SUM(K334:T334)</f>
        <v/>
      </c>
      <c r="J334" s="16">
        <f>F334-(G334+H334+I334)</f>
        <v/>
      </c>
      <c r="K334" s="16" t="n">
        <v>601.98</v>
      </c>
      <c r="L334" s="16" t="n">
        <v>601.98</v>
      </c>
      <c r="M334" s="16" t="n">
        <v>601.98</v>
      </c>
      <c r="N334" s="16" t="n">
        <v>601.98</v>
      </c>
      <c r="O334" s="16" t="n">
        <v>601.98</v>
      </c>
      <c r="P334" s="16" t="n">
        <v>601.98</v>
      </c>
      <c r="Q334" s="16" t="n">
        <v>601.98</v>
      </c>
      <c r="R334" s="16" t="n">
        <v>601.98</v>
      </c>
      <c r="S334" s="16" t="n">
        <v>601.98</v>
      </c>
      <c r="T334" s="16" t="n">
        <v>601.98</v>
      </c>
      <c r="U334" s="16" t="n">
        <v>350</v>
      </c>
      <c r="V334" s="16" t="n">
        <v>0</v>
      </c>
      <c r="W334" s="16">
        <f>U334+V334</f>
        <v/>
      </c>
    </row>
    <row r="335">
      <c r="A335" s="3" t="inlineStr">
        <is>
          <t>CANON-202607-008121</t>
        </is>
      </c>
      <c r="B335" s="3" t="inlineStr">
        <is>
          <t>2026-07-19</t>
        </is>
      </c>
      <c r="C335" s="3" t="inlineStr">
        <is>
          <t>Saoirse Castellanos</t>
        </is>
      </c>
      <c r="D335" s="3" t="inlineStr">
        <is>
          <t>FL</t>
        </is>
      </c>
      <c r="E335" s="14" t="n">
        <v>435000</v>
      </c>
      <c r="F335" s="14" t="n">
        <v>6651.93</v>
      </c>
      <c r="G335" s="14" t="n">
        <v>831.49</v>
      </c>
      <c r="H335" s="14" t="n">
        <v>831.49</v>
      </c>
      <c r="I335" s="14">
        <f>SUM(K335:T335)</f>
        <v/>
      </c>
      <c r="J335" s="14">
        <f>F335-(G335+H335+I335)</f>
        <v/>
      </c>
      <c r="K335" s="14" t="n">
        <v>498.89</v>
      </c>
      <c r="L335" s="14" t="n">
        <v>498.89</v>
      </c>
      <c r="M335" s="14" t="n">
        <v>498.89</v>
      </c>
      <c r="N335" s="14" t="n">
        <v>498.89</v>
      </c>
      <c r="O335" s="14" t="n">
        <v>498.89</v>
      </c>
      <c r="P335" s="14" t="n">
        <v>498.89</v>
      </c>
      <c r="Q335" s="14" t="n">
        <v>498.89</v>
      </c>
      <c r="R335" s="14" t="n">
        <v>498.89</v>
      </c>
      <c r="S335" s="14" t="n">
        <v>498.89</v>
      </c>
      <c r="T335" s="14" t="n">
        <v>498.89</v>
      </c>
      <c r="U335" s="14" t="n">
        <v>350</v>
      </c>
      <c r="V335" s="14" t="n">
        <v>0</v>
      </c>
      <c r="W335" s="14">
        <f>U335+V335</f>
        <v/>
      </c>
    </row>
    <row r="336">
      <c r="A336" s="15" t="inlineStr">
        <is>
          <t>CANON-202607-008122</t>
        </is>
      </c>
      <c r="B336" s="15" t="inlineStr">
        <is>
          <t>2026-07-23</t>
        </is>
      </c>
      <c r="C336" s="15" t="inlineStr">
        <is>
          <t>Everett Farkas</t>
        </is>
      </c>
      <c r="D336" s="15" t="inlineStr">
        <is>
          <t>NY</t>
        </is>
      </c>
      <c r="E336" s="16" t="n">
        <v>530000</v>
      </c>
      <c r="F336" s="16" t="n">
        <v>6331.52</v>
      </c>
      <c r="G336" s="16" t="n">
        <v>791.4400000000001</v>
      </c>
      <c r="H336" s="16" t="n">
        <v>791.4400000000001</v>
      </c>
      <c r="I336" s="16">
        <f>SUM(K336:T336)</f>
        <v/>
      </c>
      <c r="J336" s="16">
        <f>F336-(G336+H336+I336)</f>
        <v/>
      </c>
      <c r="K336" s="16" t="n">
        <v>474.86</v>
      </c>
      <c r="L336" s="16" t="n">
        <v>474.86</v>
      </c>
      <c r="M336" s="16" t="n">
        <v>474.86</v>
      </c>
      <c r="N336" s="16" t="n">
        <v>474.86</v>
      </c>
      <c r="O336" s="16" t="n">
        <v>474.86</v>
      </c>
      <c r="P336" s="16" t="n">
        <v>474.86</v>
      </c>
      <c r="Q336" s="16" t="n">
        <v>474.86</v>
      </c>
      <c r="R336" s="16" t="n">
        <v>474.86</v>
      </c>
      <c r="S336" s="16" t="n">
        <v>474.86</v>
      </c>
      <c r="T336" s="16" t="n">
        <v>474.86</v>
      </c>
      <c r="U336" s="16" t="n">
        <v>350</v>
      </c>
      <c r="V336" s="16" t="n">
        <v>0</v>
      </c>
      <c r="W336" s="16">
        <f>U336+V336</f>
        <v/>
      </c>
    </row>
    <row r="337">
      <c r="A337" s="3" t="inlineStr">
        <is>
          <t>CANON-202607-008123</t>
        </is>
      </c>
      <c r="B337" s="3" t="inlineStr">
        <is>
          <t>2026-07-10</t>
        </is>
      </c>
      <c r="C337" s="3" t="inlineStr">
        <is>
          <t>Callum Castellanos</t>
        </is>
      </c>
      <c r="D337" s="3" t="inlineStr">
        <is>
          <t>CA</t>
        </is>
      </c>
      <c r="E337" s="14" t="n">
        <v>1735000</v>
      </c>
      <c r="F337" s="14" t="n">
        <v>18497.15</v>
      </c>
      <c r="G337" s="14" t="n">
        <v>2312.14</v>
      </c>
      <c r="H337" s="14" t="n">
        <v>2312.14</v>
      </c>
      <c r="I337" s="14">
        <f>SUM(K337:T337)</f>
        <v/>
      </c>
      <c r="J337" s="14">
        <f>F337-(G337+H337+I337)</f>
        <v/>
      </c>
      <c r="K337" s="14" t="n">
        <v>1387.29</v>
      </c>
      <c r="L337" s="14" t="n">
        <v>1387.29</v>
      </c>
      <c r="M337" s="14" t="n">
        <v>1387.29</v>
      </c>
      <c r="N337" s="14" t="n">
        <v>1387.29</v>
      </c>
      <c r="O337" s="14" t="n">
        <v>1387.29</v>
      </c>
      <c r="P337" s="14" t="n">
        <v>1387.29</v>
      </c>
      <c r="Q337" s="14" t="n">
        <v>1387.29</v>
      </c>
      <c r="R337" s="14" t="n">
        <v>1387.29</v>
      </c>
      <c r="S337" s="14" t="n">
        <v>1387.29</v>
      </c>
      <c r="T337" s="14" t="n">
        <v>1387.29</v>
      </c>
      <c r="U337" s="14" t="n">
        <v>350</v>
      </c>
      <c r="V337" s="14" t="n">
        <v>250</v>
      </c>
      <c r="W337" s="14">
        <f>U337+V337</f>
        <v/>
      </c>
    </row>
    <row r="338">
      <c r="A338" s="15" t="inlineStr">
        <is>
          <t>CANON-202607-008124</t>
        </is>
      </c>
      <c r="B338" s="15" t="inlineStr">
        <is>
          <t>2026-07-27</t>
        </is>
      </c>
      <c r="C338" s="15" t="inlineStr">
        <is>
          <t>Noor Chattopadhyay</t>
        </is>
      </c>
      <c r="D338" s="15" t="inlineStr">
        <is>
          <t>WA</t>
        </is>
      </c>
      <c r="E338" s="16" t="n">
        <v>245000</v>
      </c>
      <c r="F338" s="16" t="n">
        <v>3106.95</v>
      </c>
      <c r="G338" s="16" t="n">
        <v>388.37</v>
      </c>
      <c r="H338" s="16" t="n">
        <v>388.37</v>
      </c>
      <c r="I338" s="16">
        <f>SUM(K338:T338)</f>
        <v/>
      </c>
      <c r="J338" s="16">
        <f>F338-(G338+H338+I338)</f>
        <v/>
      </c>
      <c r="K338" s="16" t="n">
        <v>233.02</v>
      </c>
      <c r="L338" s="16" t="n">
        <v>233.02</v>
      </c>
      <c r="M338" s="16" t="n">
        <v>233.02</v>
      </c>
      <c r="N338" s="16" t="n">
        <v>233.02</v>
      </c>
      <c r="O338" s="16" t="n">
        <v>233.02</v>
      </c>
      <c r="P338" s="16" t="n">
        <v>233.02</v>
      </c>
      <c r="Q338" s="16" t="n">
        <v>233.02</v>
      </c>
      <c r="R338" s="16" t="n">
        <v>233.02</v>
      </c>
      <c r="S338" s="16" t="n">
        <v>233.02</v>
      </c>
      <c r="T338" s="16" t="n">
        <v>233.02</v>
      </c>
      <c r="U338" s="16" t="n">
        <v>350</v>
      </c>
      <c r="V338" s="16" t="n">
        <v>0</v>
      </c>
      <c r="W338" s="16">
        <f>U338+V338</f>
        <v/>
      </c>
    </row>
    <row r="339">
      <c r="A339" s="3" t="inlineStr">
        <is>
          <t>CANON-202607-008126</t>
        </is>
      </c>
      <c r="B339" s="3" t="inlineStr">
        <is>
          <t>2026-07-29</t>
        </is>
      </c>
      <c r="C339" s="3" t="inlineStr">
        <is>
          <t>Lorenzo Whitlock</t>
        </is>
      </c>
      <c r="D339" s="3" t="inlineStr">
        <is>
          <t>CA</t>
        </is>
      </c>
      <c r="E339" s="14" t="n">
        <v>425000</v>
      </c>
      <c r="F339" s="14" t="n">
        <v>6178.64</v>
      </c>
      <c r="G339" s="14" t="n">
        <v>772.33</v>
      </c>
      <c r="H339" s="14" t="n">
        <v>772.33</v>
      </c>
      <c r="I339" s="14">
        <f>SUM(K339:T339)</f>
        <v/>
      </c>
      <c r="J339" s="14">
        <f>F339-(G339+H339+I339)</f>
        <v/>
      </c>
      <c r="K339" s="14" t="n">
        <v>463.4</v>
      </c>
      <c r="L339" s="14" t="n">
        <v>463.4</v>
      </c>
      <c r="M339" s="14" t="n">
        <v>463.4</v>
      </c>
      <c r="N339" s="14" t="n">
        <v>463.4</v>
      </c>
      <c r="O339" s="14" t="n">
        <v>463.4</v>
      </c>
      <c r="P339" s="14" t="n">
        <v>463.4</v>
      </c>
      <c r="Q339" s="14" t="n">
        <v>463.4</v>
      </c>
      <c r="R339" s="14" t="n">
        <v>463.4</v>
      </c>
      <c r="S339" s="14" t="n">
        <v>463.4</v>
      </c>
      <c r="T339" s="14" t="n">
        <v>463.4</v>
      </c>
      <c r="U339" s="14" t="n">
        <v>350</v>
      </c>
      <c r="V339" s="14" t="n">
        <v>0</v>
      </c>
      <c r="W339" s="14">
        <f>U339+V339</f>
        <v/>
      </c>
    </row>
    <row r="340">
      <c r="A340" s="15" t="inlineStr">
        <is>
          <t>CANON-202607-008127</t>
        </is>
      </c>
      <c r="B340" s="15" t="inlineStr">
        <is>
          <t>2026-07-18</t>
        </is>
      </c>
      <c r="C340" s="15" t="inlineStr">
        <is>
          <t>Everett Farkas</t>
        </is>
      </c>
      <c r="D340" s="15" t="inlineStr">
        <is>
          <t>RI</t>
        </is>
      </c>
      <c r="E340" s="16" t="n">
        <v>1385000</v>
      </c>
      <c r="F340" s="16" t="n">
        <v>9263.139999999999</v>
      </c>
      <c r="G340" s="16" t="n">
        <v>1157.89</v>
      </c>
      <c r="H340" s="16" t="n">
        <v>1157.89</v>
      </c>
      <c r="I340" s="16">
        <f>SUM(K340:T340)</f>
        <v/>
      </c>
      <c r="J340" s="16">
        <f>F340-(G340+H340+I340)</f>
        <v/>
      </c>
      <c r="K340" s="16" t="n">
        <v>694.74</v>
      </c>
      <c r="L340" s="16" t="n">
        <v>694.74</v>
      </c>
      <c r="M340" s="16" t="n">
        <v>694.74</v>
      </c>
      <c r="N340" s="16" t="n">
        <v>694.74</v>
      </c>
      <c r="O340" s="16" t="n">
        <v>694.74</v>
      </c>
      <c r="P340" s="16" t="n">
        <v>694.74</v>
      </c>
      <c r="Q340" s="16" t="n">
        <v>694.74</v>
      </c>
      <c r="R340" s="16" t="n">
        <v>694.74</v>
      </c>
      <c r="S340" s="16" t="n">
        <v>694.74</v>
      </c>
      <c r="T340" s="16" t="n">
        <v>694.74</v>
      </c>
      <c r="U340" s="16" t="n">
        <v>350</v>
      </c>
      <c r="V340" s="16" t="n">
        <v>250</v>
      </c>
      <c r="W340" s="16">
        <f>U340+V340</f>
        <v/>
      </c>
    </row>
    <row r="341">
      <c r="A341" s="3" t="inlineStr">
        <is>
          <t>CANON-202607-008128</t>
        </is>
      </c>
      <c r="B341" s="3" t="inlineStr">
        <is>
          <t>2026-07-23</t>
        </is>
      </c>
      <c r="C341" s="3" t="inlineStr">
        <is>
          <t>Wilhelmina Harrington</t>
        </is>
      </c>
      <c r="D341" s="3" t="inlineStr">
        <is>
          <t>OH</t>
        </is>
      </c>
      <c r="E341" s="14" t="n">
        <v>350000</v>
      </c>
      <c r="F341" s="14" t="n">
        <v>6147.16</v>
      </c>
      <c r="G341" s="14" t="n">
        <v>768.39</v>
      </c>
      <c r="H341" s="14" t="n">
        <v>768.39</v>
      </c>
      <c r="I341" s="14">
        <f>SUM(K341:T341)</f>
        <v/>
      </c>
      <c r="J341" s="14">
        <f>F341-(G341+H341+I341)</f>
        <v/>
      </c>
      <c r="K341" s="14" t="n">
        <v>461.04</v>
      </c>
      <c r="L341" s="14" t="n">
        <v>461.04</v>
      </c>
      <c r="M341" s="14" t="n">
        <v>461.04</v>
      </c>
      <c r="N341" s="14" t="n">
        <v>461.04</v>
      </c>
      <c r="O341" s="14" t="n">
        <v>461.04</v>
      </c>
      <c r="P341" s="14" t="n">
        <v>461.04</v>
      </c>
      <c r="Q341" s="14" t="n">
        <v>461.04</v>
      </c>
      <c r="R341" s="14" t="n">
        <v>461.04</v>
      </c>
      <c r="S341" s="14" t="n">
        <v>461.04</v>
      </c>
      <c r="T341" s="14" t="n">
        <v>461.04</v>
      </c>
      <c r="U341" s="14" t="n">
        <v>350</v>
      </c>
      <c r="V341" s="14" t="n">
        <v>0</v>
      </c>
      <c r="W341" s="14">
        <f>U341+V341</f>
        <v/>
      </c>
    </row>
    <row r="342">
      <c r="A342" s="15" t="inlineStr">
        <is>
          <t>CANON-202607-008129</t>
        </is>
      </c>
      <c r="B342" s="15" t="inlineStr">
        <is>
          <t>2026-07-13</t>
        </is>
      </c>
      <c r="C342" s="15" t="inlineStr">
        <is>
          <t>Ingrid Merriweather</t>
        </is>
      </c>
      <c r="D342" s="15" t="inlineStr">
        <is>
          <t>OH</t>
        </is>
      </c>
      <c r="E342" s="16" t="n">
        <v>150000</v>
      </c>
      <c r="F342" s="16" t="n">
        <v>1706.44</v>
      </c>
      <c r="G342" s="16" t="n">
        <v>213.31</v>
      </c>
      <c r="H342" s="16" t="n">
        <v>213.31</v>
      </c>
      <c r="I342" s="16">
        <f>SUM(K342:T342)</f>
        <v/>
      </c>
      <c r="J342" s="16">
        <f>F342-(G342+H342+I342)</f>
        <v/>
      </c>
      <c r="K342" s="16" t="n">
        <v>127.98</v>
      </c>
      <c r="L342" s="16" t="n">
        <v>127.98</v>
      </c>
      <c r="M342" s="16" t="n">
        <v>127.98</v>
      </c>
      <c r="N342" s="16" t="n">
        <v>127.98</v>
      </c>
      <c r="O342" s="16" t="n">
        <v>127.98</v>
      </c>
      <c r="P342" s="16" t="n">
        <v>127.98</v>
      </c>
      <c r="Q342" s="16" t="n">
        <v>127.98</v>
      </c>
      <c r="R342" s="16" t="n">
        <v>127.98</v>
      </c>
      <c r="S342" s="16" t="n">
        <v>127.98</v>
      </c>
      <c r="T342" s="16" t="n">
        <v>127.98</v>
      </c>
      <c r="U342" s="16" t="n">
        <v>350</v>
      </c>
      <c r="V342" s="16" t="n">
        <v>0</v>
      </c>
      <c r="W342" s="16">
        <f>U342+V342</f>
        <v/>
      </c>
    </row>
    <row r="343">
      <c r="A343" s="3" t="inlineStr">
        <is>
          <t>CANON-202607-008130</t>
        </is>
      </c>
      <c r="B343" s="3" t="inlineStr">
        <is>
          <t>2026-07-16</t>
        </is>
      </c>
      <c r="C343" s="3" t="inlineStr">
        <is>
          <t>Lorenzo Larsson</t>
        </is>
      </c>
      <c r="D343" s="3" t="inlineStr">
        <is>
          <t>TX</t>
        </is>
      </c>
      <c r="E343" s="14" t="n">
        <v>320000</v>
      </c>
      <c r="F343" s="14" t="n">
        <v>3962.95</v>
      </c>
      <c r="G343" s="14" t="n">
        <v>495.37</v>
      </c>
      <c r="H343" s="14" t="n">
        <v>495.37</v>
      </c>
      <c r="I343" s="14">
        <f>SUM(K343:T343)</f>
        <v/>
      </c>
      <c r="J343" s="14">
        <f>F343-(G343+H343+I343)</f>
        <v/>
      </c>
      <c r="K343" s="14" t="n">
        <v>297.22</v>
      </c>
      <c r="L343" s="14" t="n">
        <v>297.22</v>
      </c>
      <c r="M343" s="14" t="n">
        <v>297.22</v>
      </c>
      <c r="N343" s="14" t="n">
        <v>297.22</v>
      </c>
      <c r="O343" s="14" t="n">
        <v>297.22</v>
      </c>
      <c r="P343" s="14" t="n">
        <v>297.22</v>
      </c>
      <c r="Q343" s="14" t="n">
        <v>297.22</v>
      </c>
      <c r="R343" s="14" t="n">
        <v>297.22</v>
      </c>
      <c r="S343" s="14" t="n">
        <v>297.22</v>
      </c>
      <c r="T343" s="14" t="n">
        <v>297.22</v>
      </c>
      <c r="U343" s="14" t="n">
        <v>350</v>
      </c>
      <c r="V343" s="14" t="n">
        <v>0</v>
      </c>
      <c r="W343" s="14">
        <f>U343+V343</f>
        <v/>
      </c>
    </row>
    <row r="344">
      <c r="A344" s="15" t="inlineStr">
        <is>
          <t>CANON-202607-008131</t>
        </is>
      </c>
      <c r="B344" s="15" t="inlineStr">
        <is>
          <t>2026-07-18</t>
        </is>
      </c>
      <c r="C344" s="15" t="inlineStr">
        <is>
          <t>Anouk Larsson</t>
        </is>
      </c>
      <c r="D344" s="15" t="inlineStr">
        <is>
          <t>PA</t>
        </is>
      </c>
      <c r="E344" s="16" t="n">
        <v>420000</v>
      </c>
      <c r="F344" s="16" t="n">
        <v>6935.15</v>
      </c>
      <c r="G344" s="16" t="n">
        <v>866.89</v>
      </c>
      <c r="H344" s="16" t="n">
        <v>866.89</v>
      </c>
      <c r="I344" s="16">
        <f>SUM(K344:T344)</f>
        <v/>
      </c>
      <c r="J344" s="16">
        <f>F344-(G344+H344+I344)</f>
        <v/>
      </c>
      <c r="K344" s="16" t="n">
        <v>520.14</v>
      </c>
      <c r="L344" s="16" t="n">
        <v>520.14</v>
      </c>
      <c r="M344" s="16" t="n">
        <v>520.14</v>
      </c>
      <c r="N344" s="16" t="n">
        <v>520.14</v>
      </c>
      <c r="O344" s="16" t="n">
        <v>520.14</v>
      </c>
      <c r="P344" s="16" t="n">
        <v>520.14</v>
      </c>
      <c r="Q344" s="16" t="n">
        <v>520.14</v>
      </c>
      <c r="R344" s="16" t="n">
        <v>520.14</v>
      </c>
      <c r="S344" s="16" t="n">
        <v>520.14</v>
      </c>
      <c r="T344" s="16" t="n">
        <v>520.14</v>
      </c>
      <c r="U344" s="16" t="n">
        <v>350</v>
      </c>
      <c r="V344" s="16" t="n">
        <v>0</v>
      </c>
      <c r="W344" s="16">
        <f>U344+V344</f>
        <v/>
      </c>
    </row>
    <row r="345">
      <c r="A345" s="3" t="inlineStr">
        <is>
          <t>CANON-202607-008133</t>
        </is>
      </c>
      <c r="B345" s="3" t="inlineStr">
        <is>
          <t>2026-07-01</t>
        </is>
      </c>
      <c r="C345" s="3" t="inlineStr">
        <is>
          <t>Mireille Larsson</t>
        </is>
      </c>
      <c r="D345" s="3" t="inlineStr">
        <is>
          <t>WI</t>
        </is>
      </c>
      <c r="E345" s="14" t="n">
        <v>1950000</v>
      </c>
      <c r="F345" s="14" t="n">
        <v>26879.09</v>
      </c>
      <c r="G345" s="14" t="n">
        <v>3359.89</v>
      </c>
      <c r="H345" s="14" t="n">
        <v>3359.89</v>
      </c>
      <c r="I345" s="14">
        <f>SUM(K345:T345)</f>
        <v/>
      </c>
      <c r="J345" s="14">
        <f>F345-(G345+H345+I345)</f>
        <v/>
      </c>
      <c r="K345" s="14" t="n">
        <v>2015.93</v>
      </c>
      <c r="L345" s="14" t="n">
        <v>2015.93</v>
      </c>
      <c r="M345" s="14" t="n">
        <v>2015.93</v>
      </c>
      <c r="N345" s="14" t="n">
        <v>2015.93</v>
      </c>
      <c r="O345" s="14" t="n">
        <v>2015.93</v>
      </c>
      <c r="P345" s="14" t="n">
        <v>2015.93</v>
      </c>
      <c r="Q345" s="14" t="n">
        <v>2015.93</v>
      </c>
      <c r="R345" s="14" t="n">
        <v>2015.93</v>
      </c>
      <c r="S345" s="14" t="n">
        <v>2015.93</v>
      </c>
      <c r="T345" s="14" t="n">
        <v>2015.93</v>
      </c>
      <c r="U345" s="14" t="n">
        <v>350</v>
      </c>
      <c r="V345" s="14" t="n">
        <v>250</v>
      </c>
      <c r="W345" s="14">
        <f>U345+V345</f>
        <v/>
      </c>
    </row>
    <row r="346">
      <c r="A346" s="15" t="inlineStr">
        <is>
          <t>CANON-202607-008134</t>
        </is>
      </c>
      <c r="B346" s="15" t="inlineStr">
        <is>
          <t>2026-07-08</t>
        </is>
      </c>
      <c r="C346" s="15" t="inlineStr">
        <is>
          <t>Fenwick Pennington</t>
        </is>
      </c>
      <c r="D346" s="15" t="inlineStr">
        <is>
          <t>TX</t>
        </is>
      </c>
      <c r="E346" s="16" t="n">
        <v>250000</v>
      </c>
      <c r="F346" s="16" t="n">
        <v>3096.05</v>
      </c>
      <c r="G346" s="16" t="n">
        <v>387.01</v>
      </c>
      <c r="H346" s="16" t="n">
        <v>387.01</v>
      </c>
      <c r="I346" s="16">
        <f>SUM(K346:T346)</f>
        <v/>
      </c>
      <c r="J346" s="16">
        <f>F346-(G346+H346+I346)</f>
        <v/>
      </c>
      <c r="K346" s="16" t="n">
        <v>232.2</v>
      </c>
      <c r="L346" s="16" t="n">
        <v>232.2</v>
      </c>
      <c r="M346" s="16" t="n">
        <v>232.2</v>
      </c>
      <c r="N346" s="16" t="n">
        <v>232.2</v>
      </c>
      <c r="O346" s="16" t="n">
        <v>232.2</v>
      </c>
      <c r="P346" s="16" t="n">
        <v>232.2</v>
      </c>
      <c r="Q346" s="16" t="n">
        <v>232.2</v>
      </c>
      <c r="R346" s="16" t="n">
        <v>232.2</v>
      </c>
      <c r="S346" s="16" t="n">
        <v>232.2</v>
      </c>
      <c r="T346" s="16" t="n">
        <v>232.2</v>
      </c>
      <c r="U346" s="16" t="n">
        <v>350</v>
      </c>
      <c r="V346" s="16" t="n">
        <v>0</v>
      </c>
      <c r="W346" s="16">
        <f>U346+V346</f>
        <v/>
      </c>
    </row>
    <row r="347">
      <c r="A347" s="3" t="inlineStr">
        <is>
          <t>CANON-202607-008135</t>
        </is>
      </c>
      <c r="B347" s="3" t="inlineStr">
        <is>
          <t>2026-07-04</t>
        </is>
      </c>
      <c r="C347" s="3" t="inlineStr">
        <is>
          <t>Thaddeus Vandermeer</t>
        </is>
      </c>
      <c r="D347" s="3" t="inlineStr">
        <is>
          <t>NJ</t>
        </is>
      </c>
      <c r="E347" s="14" t="n">
        <v>480000</v>
      </c>
      <c r="F347" s="14" t="n">
        <v>4703.84</v>
      </c>
      <c r="G347" s="14" t="n">
        <v>587.98</v>
      </c>
      <c r="H347" s="14" t="n">
        <v>587.98</v>
      </c>
      <c r="I347" s="14">
        <f>SUM(K347:T347)</f>
        <v/>
      </c>
      <c r="J347" s="14">
        <f>F347-(G347+H347+I347)</f>
        <v/>
      </c>
      <c r="K347" s="14" t="n">
        <v>352.79</v>
      </c>
      <c r="L347" s="14" t="n">
        <v>352.79</v>
      </c>
      <c r="M347" s="14" t="n">
        <v>352.79</v>
      </c>
      <c r="N347" s="14" t="n">
        <v>352.79</v>
      </c>
      <c r="O347" s="14" t="n">
        <v>352.79</v>
      </c>
      <c r="P347" s="14" t="n">
        <v>352.79</v>
      </c>
      <c r="Q347" s="14" t="n">
        <v>352.79</v>
      </c>
      <c r="R347" s="14" t="n">
        <v>352.79</v>
      </c>
      <c r="S347" s="14" t="n">
        <v>352.79</v>
      </c>
      <c r="T347" s="14" t="n">
        <v>352.79</v>
      </c>
      <c r="U347" s="14" t="n">
        <v>350</v>
      </c>
      <c r="V347" s="14" t="n">
        <v>0</v>
      </c>
      <c r="W347" s="14">
        <f>U347+V347</f>
        <v/>
      </c>
    </row>
    <row r="348">
      <c r="A348" s="15" t="inlineStr">
        <is>
          <t>CANON-202607-008136</t>
        </is>
      </c>
      <c r="B348" s="15" t="inlineStr">
        <is>
          <t>2026-07-02</t>
        </is>
      </c>
      <c r="C348" s="15" t="inlineStr">
        <is>
          <t>Priya Pennington</t>
        </is>
      </c>
      <c r="D348" s="15" t="inlineStr">
        <is>
          <t>NY</t>
        </is>
      </c>
      <c r="E348" s="16" t="n">
        <v>1005000</v>
      </c>
      <c r="F348" s="16" t="n">
        <v>14776.61</v>
      </c>
      <c r="G348" s="16" t="n">
        <v>1847.08</v>
      </c>
      <c r="H348" s="16" t="n">
        <v>1847.08</v>
      </c>
      <c r="I348" s="16">
        <f>SUM(K348:T348)</f>
        <v/>
      </c>
      <c r="J348" s="16">
        <f>F348-(G348+H348+I348)</f>
        <v/>
      </c>
      <c r="K348" s="16" t="n">
        <v>1108.25</v>
      </c>
      <c r="L348" s="16" t="n">
        <v>1108.25</v>
      </c>
      <c r="M348" s="16" t="n">
        <v>1108.25</v>
      </c>
      <c r="N348" s="16" t="n">
        <v>1108.25</v>
      </c>
      <c r="O348" s="16" t="n">
        <v>1108.25</v>
      </c>
      <c r="P348" s="16" t="n">
        <v>1108.25</v>
      </c>
      <c r="Q348" s="16" t="n">
        <v>1108.25</v>
      </c>
      <c r="R348" s="16" t="n">
        <v>1108.25</v>
      </c>
      <c r="S348" s="16" t="n">
        <v>1108.25</v>
      </c>
      <c r="T348" s="16" t="n">
        <v>1108.25</v>
      </c>
      <c r="U348" s="16" t="n">
        <v>350</v>
      </c>
      <c r="V348" s="16" t="n">
        <v>250</v>
      </c>
      <c r="W348" s="16">
        <f>U348+V348</f>
        <v/>
      </c>
    </row>
    <row r="349">
      <c r="A349" s="3" t="inlineStr">
        <is>
          <t>CANON-202607-008137</t>
        </is>
      </c>
      <c r="B349" s="3" t="inlineStr">
        <is>
          <t>2026-07-24</t>
        </is>
      </c>
      <c r="C349" s="3" t="inlineStr">
        <is>
          <t>Wilhelmina Castellanos</t>
        </is>
      </c>
      <c r="D349" s="3" t="inlineStr">
        <is>
          <t>NJ</t>
        </is>
      </c>
      <c r="E349" s="14" t="n">
        <v>855000</v>
      </c>
      <c r="F349" s="14" t="n">
        <v>7261.55</v>
      </c>
      <c r="G349" s="14" t="n">
        <v>907.6900000000001</v>
      </c>
      <c r="H349" s="14" t="n">
        <v>907.6900000000001</v>
      </c>
      <c r="I349" s="14">
        <f>SUM(K349:T349)</f>
        <v/>
      </c>
      <c r="J349" s="14">
        <f>F349-(G349+H349+I349)</f>
        <v/>
      </c>
      <c r="K349" s="14" t="n">
        <v>544.62</v>
      </c>
      <c r="L349" s="14" t="n">
        <v>544.62</v>
      </c>
      <c r="M349" s="14" t="n">
        <v>544.62</v>
      </c>
      <c r="N349" s="14" t="n">
        <v>544.62</v>
      </c>
      <c r="O349" s="14" t="n">
        <v>544.62</v>
      </c>
      <c r="P349" s="14" t="n">
        <v>544.62</v>
      </c>
      <c r="Q349" s="14" t="n">
        <v>544.62</v>
      </c>
      <c r="R349" s="14" t="n">
        <v>544.62</v>
      </c>
      <c r="S349" s="14" t="n">
        <v>544.62</v>
      </c>
      <c r="T349" s="14" t="n">
        <v>544.62</v>
      </c>
      <c r="U349" s="14" t="n">
        <v>350</v>
      </c>
      <c r="V349" s="14" t="n">
        <v>0</v>
      </c>
      <c r="W349" s="14">
        <f>U349+V349</f>
        <v/>
      </c>
    </row>
    <row r="350">
      <c r="A350" s="15" t="inlineStr">
        <is>
          <t>CANON-202607-008138</t>
        </is>
      </c>
      <c r="B350" s="15" t="inlineStr">
        <is>
          <t>2026-07-03</t>
        </is>
      </c>
      <c r="C350" s="15" t="inlineStr">
        <is>
          <t>Cassius Harrington</t>
        </is>
      </c>
      <c r="D350" s="15" t="inlineStr">
        <is>
          <t>WY</t>
        </is>
      </c>
      <c r="E350" s="16" t="n">
        <v>355000</v>
      </c>
      <c r="F350" s="16" t="n">
        <v>4090.56</v>
      </c>
      <c r="G350" s="16" t="n">
        <v>511.32</v>
      </c>
      <c r="H350" s="16" t="n">
        <v>511.32</v>
      </c>
      <c r="I350" s="16">
        <f>SUM(K350:T350)</f>
        <v/>
      </c>
      <c r="J350" s="16">
        <f>F350-(G350+H350+I350)</f>
        <v/>
      </c>
      <c r="K350" s="16" t="n">
        <v>306.79</v>
      </c>
      <c r="L350" s="16" t="n">
        <v>306.79</v>
      </c>
      <c r="M350" s="16" t="n">
        <v>306.79</v>
      </c>
      <c r="N350" s="16" t="n">
        <v>306.79</v>
      </c>
      <c r="O350" s="16" t="n">
        <v>306.79</v>
      </c>
      <c r="P350" s="16" t="n">
        <v>306.79</v>
      </c>
      <c r="Q350" s="16" t="n">
        <v>306.79</v>
      </c>
      <c r="R350" s="16" t="n">
        <v>306.79</v>
      </c>
      <c r="S350" s="16" t="n">
        <v>306.79</v>
      </c>
      <c r="T350" s="16" t="n">
        <v>306.79</v>
      </c>
      <c r="U350" s="16" t="n">
        <v>350</v>
      </c>
      <c r="V350" s="16" t="n">
        <v>0</v>
      </c>
      <c r="W350" s="16">
        <f>U350+V350</f>
        <v/>
      </c>
    </row>
    <row r="351">
      <c r="A351" s="3" t="inlineStr">
        <is>
          <t>CANON-202607-008141</t>
        </is>
      </c>
      <c r="B351" s="3" t="inlineStr">
        <is>
          <t>2026-07-11</t>
        </is>
      </c>
      <c r="C351" s="3" t="inlineStr">
        <is>
          <t>Saoirse Delacroix</t>
        </is>
      </c>
      <c r="D351" s="3" t="inlineStr">
        <is>
          <t>VA</t>
        </is>
      </c>
      <c r="E351" s="14" t="n">
        <v>420000</v>
      </c>
      <c r="F351" s="14" t="n">
        <v>3155.19</v>
      </c>
      <c r="G351" s="14" t="n">
        <v>394.4</v>
      </c>
      <c r="H351" s="14" t="n">
        <v>394.4</v>
      </c>
      <c r="I351" s="14">
        <f>SUM(K351:T351)</f>
        <v/>
      </c>
      <c r="J351" s="14">
        <f>F351-(G351+H351+I351)</f>
        <v/>
      </c>
      <c r="K351" s="14" t="n">
        <v>236.64</v>
      </c>
      <c r="L351" s="14" t="n">
        <v>236.64</v>
      </c>
      <c r="M351" s="14" t="n">
        <v>236.64</v>
      </c>
      <c r="N351" s="14" t="n">
        <v>236.64</v>
      </c>
      <c r="O351" s="14" t="n">
        <v>236.64</v>
      </c>
      <c r="P351" s="14" t="n">
        <v>236.64</v>
      </c>
      <c r="Q351" s="14" t="n">
        <v>236.64</v>
      </c>
      <c r="R351" s="14" t="n">
        <v>236.64</v>
      </c>
      <c r="S351" s="14" t="n">
        <v>236.64</v>
      </c>
      <c r="T351" s="14" t="n">
        <v>236.64</v>
      </c>
      <c r="U351" s="14" t="n">
        <v>350</v>
      </c>
      <c r="V351" s="14" t="n">
        <v>0</v>
      </c>
      <c r="W351" s="14">
        <f>U351+V351</f>
        <v/>
      </c>
    </row>
    <row r="352">
      <c r="A352" s="15" t="inlineStr">
        <is>
          <t>CANON-202607-008142</t>
        </is>
      </c>
      <c r="B352" s="15" t="inlineStr">
        <is>
          <t>2026-07-25</t>
        </is>
      </c>
      <c r="C352" s="15" t="inlineStr">
        <is>
          <t>Noor Underwood</t>
        </is>
      </c>
      <c r="D352" s="15" t="inlineStr">
        <is>
          <t>WA</t>
        </is>
      </c>
      <c r="E352" s="16" t="n">
        <v>955000</v>
      </c>
      <c r="F352" s="16" t="n">
        <v>8556.51</v>
      </c>
      <c r="G352" s="16" t="n">
        <v>1069.56</v>
      </c>
      <c r="H352" s="16" t="n">
        <v>1069.56</v>
      </c>
      <c r="I352" s="16">
        <f>SUM(K352:T352)</f>
        <v/>
      </c>
      <c r="J352" s="16">
        <f>F352-(G352+H352+I352)</f>
        <v/>
      </c>
      <c r="K352" s="16" t="n">
        <v>641.74</v>
      </c>
      <c r="L352" s="16" t="n">
        <v>641.74</v>
      </c>
      <c r="M352" s="16" t="n">
        <v>641.74</v>
      </c>
      <c r="N352" s="16" t="n">
        <v>641.74</v>
      </c>
      <c r="O352" s="16" t="n">
        <v>641.74</v>
      </c>
      <c r="P352" s="16" t="n">
        <v>641.74</v>
      </c>
      <c r="Q352" s="16" t="n">
        <v>641.74</v>
      </c>
      <c r="R352" s="16" t="n">
        <v>641.74</v>
      </c>
      <c r="S352" s="16" t="n">
        <v>641.74</v>
      </c>
      <c r="T352" s="16" t="n">
        <v>641.74</v>
      </c>
      <c r="U352" s="16" t="n">
        <v>350</v>
      </c>
      <c r="V352" s="16" t="n">
        <v>0</v>
      </c>
      <c r="W352" s="16">
        <f>U352+V352</f>
        <v/>
      </c>
    </row>
    <row r="353">
      <c r="A353" s="3" t="inlineStr">
        <is>
          <t>CANON-202607-008143</t>
        </is>
      </c>
      <c r="B353" s="3" t="inlineStr">
        <is>
          <t>2026-07-11</t>
        </is>
      </c>
      <c r="C353" s="3" t="inlineStr">
        <is>
          <t>Emiliano Vandermeer</t>
        </is>
      </c>
      <c r="D353" s="3" t="inlineStr">
        <is>
          <t>AK</t>
        </is>
      </c>
      <c r="E353" s="14" t="n">
        <v>1055000</v>
      </c>
      <c r="F353" s="14" t="n">
        <v>9497.93</v>
      </c>
      <c r="G353" s="14" t="n">
        <v>1187.24</v>
      </c>
      <c r="H353" s="14" t="n">
        <v>1187.24</v>
      </c>
      <c r="I353" s="14">
        <f>SUM(K353:T353)</f>
        <v/>
      </c>
      <c r="J353" s="14">
        <f>F353-(G353+H353+I353)</f>
        <v/>
      </c>
      <c r="K353" s="14" t="n">
        <v>712.34</v>
      </c>
      <c r="L353" s="14" t="n">
        <v>712.34</v>
      </c>
      <c r="M353" s="14" t="n">
        <v>712.34</v>
      </c>
      <c r="N353" s="14" t="n">
        <v>712.34</v>
      </c>
      <c r="O353" s="14" t="n">
        <v>712.34</v>
      </c>
      <c r="P353" s="14" t="n">
        <v>712.34</v>
      </c>
      <c r="Q353" s="14" t="n">
        <v>712.34</v>
      </c>
      <c r="R353" s="14" t="n">
        <v>712.34</v>
      </c>
      <c r="S353" s="14" t="n">
        <v>712.34</v>
      </c>
      <c r="T353" s="14" t="n">
        <v>712.34</v>
      </c>
      <c r="U353" s="14" t="n">
        <v>350</v>
      </c>
      <c r="V353" s="14" t="n">
        <v>250</v>
      </c>
      <c r="W353" s="14">
        <f>U353+V353</f>
        <v/>
      </c>
    </row>
    <row r="354">
      <c r="A354" s="15" t="inlineStr">
        <is>
          <t>CANON-202607-008145</t>
        </is>
      </c>
      <c r="B354" s="15" t="inlineStr">
        <is>
          <t>2026-07-16</t>
        </is>
      </c>
      <c r="C354" s="15" t="inlineStr">
        <is>
          <t>Leopold Kingsford</t>
        </is>
      </c>
      <c r="D354" s="15" t="inlineStr">
        <is>
          <t>ID</t>
        </is>
      </c>
      <c r="E354" s="16" t="n">
        <v>530000</v>
      </c>
      <c r="F354" s="16" t="n">
        <v>4897.03</v>
      </c>
      <c r="G354" s="16" t="n">
        <v>612.13</v>
      </c>
      <c r="H354" s="16" t="n">
        <v>612.13</v>
      </c>
      <c r="I354" s="16">
        <f>SUM(K354:T354)</f>
        <v/>
      </c>
      <c r="J354" s="16">
        <f>F354-(G354+H354+I354)</f>
        <v/>
      </c>
      <c r="K354" s="16" t="n">
        <v>367.28</v>
      </c>
      <c r="L354" s="16" t="n">
        <v>367.28</v>
      </c>
      <c r="M354" s="16" t="n">
        <v>367.28</v>
      </c>
      <c r="N354" s="16" t="n">
        <v>367.28</v>
      </c>
      <c r="O354" s="16" t="n">
        <v>367.28</v>
      </c>
      <c r="P354" s="16" t="n">
        <v>367.28</v>
      </c>
      <c r="Q354" s="16" t="n">
        <v>367.28</v>
      </c>
      <c r="R354" s="16" t="n">
        <v>367.28</v>
      </c>
      <c r="S354" s="16" t="n">
        <v>367.28</v>
      </c>
      <c r="T354" s="16" t="n">
        <v>367.28</v>
      </c>
      <c r="U354" s="16" t="n">
        <v>350</v>
      </c>
      <c r="V354" s="16" t="n">
        <v>0</v>
      </c>
      <c r="W354" s="16">
        <f>U354+V354</f>
        <v/>
      </c>
    </row>
    <row r="355">
      <c r="A355" s="3" t="inlineStr">
        <is>
          <t>CANON-202607-008146</t>
        </is>
      </c>
      <c r="B355" s="3" t="inlineStr">
        <is>
          <t>2026-07-14</t>
        </is>
      </c>
      <c r="C355" s="3" t="inlineStr">
        <is>
          <t>Noor Rourke</t>
        </is>
      </c>
      <c r="D355" s="3" t="inlineStr">
        <is>
          <t>MD</t>
        </is>
      </c>
      <c r="E355" s="14" t="n">
        <v>1120000</v>
      </c>
      <c r="F355" s="14" t="n">
        <v>5805.43</v>
      </c>
      <c r="G355" s="14" t="n">
        <v>725.6799999999999</v>
      </c>
      <c r="H355" s="14" t="n">
        <v>725.6799999999999</v>
      </c>
      <c r="I355" s="14">
        <f>SUM(K355:T355)</f>
        <v/>
      </c>
      <c r="J355" s="14">
        <f>F355-(G355+H355+I355)</f>
        <v/>
      </c>
      <c r="K355" s="14" t="n">
        <v>435.41</v>
      </c>
      <c r="L355" s="14" t="n">
        <v>435.41</v>
      </c>
      <c r="M355" s="14" t="n">
        <v>435.41</v>
      </c>
      <c r="N355" s="14" t="n">
        <v>435.41</v>
      </c>
      <c r="O355" s="14" t="n">
        <v>435.41</v>
      </c>
      <c r="P355" s="14" t="n">
        <v>435.41</v>
      </c>
      <c r="Q355" s="14" t="n">
        <v>435.41</v>
      </c>
      <c r="R355" s="14" t="n">
        <v>435.41</v>
      </c>
      <c r="S355" s="14" t="n">
        <v>435.41</v>
      </c>
      <c r="T355" s="14" t="n">
        <v>435.41</v>
      </c>
      <c r="U355" s="14" t="n">
        <v>350</v>
      </c>
      <c r="V355" s="14" t="n">
        <v>250</v>
      </c>
      <c r="W355" s="14">
        <f>U355+V355</f>
        <v/>
      </c>
    </row>
    <row r="356">
      <c r="A356" s="15" t="inlineStr">
        <is>
          <t>CANON-202607-008147</t>
        </is>
      </c>
      <c r="B356" s="15" t="inlineStr">
        <is>
          <t>2026-07-13</t>
        </is>
      </c>
      <c r="C356" s="15" t="inlineStr">
        <is>
          <t>Priya Fairweather</t>
        </is>
      </c>
      <c r="D356" s="15" t="inlineStr">
        <is>
          <t>NC</t>
        </is>
      </c>
      <c r="E356" s="16" t="n">
        <v>1150000</v>
      </c>
      <c r="F356" s="16" t="n">
        <v>10444.01</v>
      </c>
      <c r="G356" s="16" t="n">
        <v>1305.5</v>
      </c>
      <c r="H356" s="16" t="n">
        <v>1305.5</v>
      </c>
      <c r="I356" s="16">
        <f>SUM(K356:T356)</f>
        <v/>
      </c>
      <c r="J356" s="16">
        <f>F356-(G356+H356+I356)</f>
        <v/>
      </c>
      <c r="K356" s="16" t="n">
        <v>783.3</v>
      </c>
      <c r="L356" s="16" t="n">
        <v>783.3</v>
      </c>
      <c r="M356" s="16" t="n">
        <v>783.3</v>
      </c>
      <c r="N356" s="16" t="n">
        <v>783.3</v>
      </c>
      <c r="O356" s="16" t="n">
        <v>783.3</v>
      </c>
      <c r="P356" s="16" t="n">
        <v>783.3</v>
      </c>
      <c r="Q356" s="16" t="n">
        <v>783.3</v>
      </c>
      <c r="R356" s="16" t="n">
        <v>783.3</v>
      </c>
      <c r="S356" s="16" t="n">
        <v>783.3</v>
      </c>
      <c r="T356" s="16" t="n">
        <v>783.3</v>
      </c>
      <c r="U356" s="16" t="n">
        <v>350</v>
      </c>
      <c r="V356" s="16" t="n">
        <v>250</v>
      </c>
      <c r="W356" s="16">
        <f>U356+V356</f>
        <v/>
      </c>
    </row>
    <row r="357">
      <c r="A357" s="3" t="inlineStr">
        <is>
          <t>CANON-202607-008148</t>
        </is>
      </c>
      <c r="B357" s="3" t="inlineStr">
        <is>
          <t>2026-07-20</t>
        </is>
      </c>
      <c r="C357" s="3" t="inlineStr">
        <is>
          <t>Noor Underwood</t>
        </is>
      </c>
      <c r="D357" s="3" t="inlineStr">
        <is>
          <t>IN</t>
        </is>
      </c>
      <c r="E357" s="14" t="n">
        <v>620000</v>
      </c>
      <c r="F357" s="14" t="n">
        <v>7117.36</v>
      </c>
      <c r="G357" s="14" t="n">
        <v>889.67</v>
      </c>
      <c r="H357" s="14" t="n">
        <v>889.67</v>
      </c>
      <c r="I357" s="14">
        <f>SUM(K357:T357)</f>
        <v/>
      </c>
      <c r="J357" s="14">
        <f>F357-(G357+H357+I357)</f>
        <v/>
      </c>
      <c r="K357" s="14" t="n">
        <v>533.8</v>
      </c>
      <c r="L357" s="14" t="n">
        <v>533.8</v>
      </c>
      <c r="M357" s="14" t="n">
        <v>533.8</v>
      </c>
      <c r="N357" s="14" t="n">
        <v>533.8</v>
      </c>
      <c r="O357" s="14" t="n">
        <v>533.8</v>
      </c>
      <c r="P357" s="14" t="n">
        <v>533.8</v>
      </c>
      <c r="Q357" s="14" t="n">
        <v>533.8</v>
      </c>
      <c r="R357" s="14" t="n">
        <v>533.8</v>
      </c>
      <c r="S357" s="14" t="n">
        <v>533.8</v>
      </c>
      <c r="T357" s="14" t="n">
        <v>533.8</v>
      </c>
      <c r="U357" s="14" t="n">
        <v>350</v>
      </c>
      <c r="V357" s="14" t="n">
        <v>0</v>
      </c>
      <c r="W357" s="14">
        <f>U357+V357</f>
        <v/>
      </c>
    </row>
    <row r="358">
      <c r="A358" s="15" t="inlineStr">
        <is>
          <t>CANON-202607-008151</t>
        </is>
      </c>
      <c r="B358" s="15" t="inlineStr">
        <is>
          <t>2026-07-27</t>
        </is>
      </c>
      <c r="C358" s="15" t="inlineStr">
        <is>
          <t>Fenwick Bellandi</t>
        </is>
      </c>
      <c r="D358" s="15" t="inlineStr">
        <is>
          <t>MA</t>
        </is>
      </c>
      <c r="E358" s="16" t="n">
        <v>1105000</v>
      </c>
      <c r="F358" s="16" t="n">
        <v>15866.13</v>
      </c>
      <c r="G358" s="16" t="n">
        <v>1983.27</v>
      </c>
      <c r="H358" s="16" t="n">
        <v>1983.27</v>
      </c>
      <c r="I358" s="16">
        <f>SUM(K358:T358)</f>
        <v/>
      </c>
      <c r="J358" s="16">
        <f>F358-(G358+H358+I358)</f>
        <v/>
      </c>
      <c r="K358" s="16" t="n">
        <v>1189.96</v>
      </c>
      <c r="L358" s="16" t="n">
        <v>1189.96</v>
      </c>
      <c r="M358" s="16" t="n">
        <v>1189.96</v>
      </c>
      <c r="N358" s="16" t="n">
        <v>1189.96</v>
      </c>
      <c r="O358" s="16" t="n">
        <v>1189.96</v>
      </c>
      <c r="P358" s="16" t="n">
        <v>1189.96</v>
      </c>
      <c r="Q358" s="16" t="n">
        <v>1189.96</v>
      </c>
      <c r="R358" s="16" t="n">
        <v>1189.96</v>
      </c>
      <c r="S358" s="16" t="n">
        <v>1189.96</v>
      </c>
      <c r="T358" s="16" t="n">
        <v>1189.96</v>
      </c>
      <c r="U358" s="16" t="n">
        <v>350</v>
      </c>
      <c r="V358" s="16" t="n">
        <v>250</v>
      </c>
      <c r="W358" s="16">
        <f>U358+V358</f>
        <v/>
      </c>
    </row>
    <row r="359">
      <c r="A359" s="3" t="inlineStr">
        <is>
          <t>CANON-202607-008154</t>
        </is>
      </c>
      <c r="B359" s="3" t="inlineStr">
        <is>
          <t>2026-07-28</t>
        </is>
      </c>
      <c r="C359" s="3" t="inlineStr">
        <is>
          <t>Thaddeus Thistlewood</t>
        </is>
      </c>
      <c r="D359" s="3" t="inlineStr">
        <is>
          <t>NM</t>
        </is>
      </c>
      <c r="E359" s="14" t="n">
        <v>430000</v>
      </c>
      <c r="F359" s="14" t="n">
        <v>5927.19</v>
      </c>
      <c r="G359" s="14" t="n">
        <v>740.9</v>
      </c>
      <c r="H359" s="14" t="n">
        <v>740.9</v>
      </c>
      <c r="I359" s="14">
        <f>SUM(K359:T359)</f>
        <v/>
      </c>
      <c r="J359" s="14">
        <f>F359-(G359+H359+I359)</f>
        <v/>
      </c>
      <c r="K359" s="14" t="n">
        <v>444.54</v>
      </c>
      <c r="L359" s="14" t="n">
        <v>444.54</v>
      </c>
      <c r="M359" s="14" t="n">
        <v>444.54</v>
      </c>
      <c r="N359" s="14" t="n">
        <v>444.54</v>
      </c>
      <c r="O359" s="14" t="n">
        <v>444.54</v>
      </c>
      <c r="P359" s="14" t="n">
        <v>444.54</v>
      </c>
      <c r="Q359" s="14" t="n">
        <v>444.54</v>
      </c>
      <c r="R359" s="14" t="n">
        <v>444.54</v>
      </c>
      <c r="S359" s="14" t="n">
        <v>444.54</v>
      </c>
      <c r="T359" s="14" t="n">
        <v>444.54</v>
      </c>
      <c r="U359" s="14" t="n">
        <v>350</v>
      </c>
      <c r="V359" s="14" t="n">
        <v>0</v>
      </c>
      <c r="W359" s="14">
        <f>U359+V359</f>
        <v/>
      </c>
    </row>
    <row r="360">
      <c r="A360" s="15" t="inlineStr">
        <is>
          <t>CANON-202607-008155</t>
        </is>
      </c>
      <c r="B360" s="15" t="inlineStr">
        <is>
          <t>2026-07-27</t>
        </is>
      </c>
      <c r="C360" s="15" t="inlineStr">
        <is>
          <t>Everett Delacroix</t>
        </is>
      </c>
      <c r="D360" s="15" t="inlineStr">
        <is>
          <t>CA</t>
        </is>
      </c>
      <c r="E360" s="16" t="n">
        <v>465000</v>
      </c>
      <c r="F360" s="16" t="n">
        <v>6760.15</v>
      </c>
      <c r="G360" s="16" t="n">
        <v>845.02</v>
      </c>
      <c r="H360" s="16" t="n">
        <v>845.02</v>
      </c>
      <c r="I360" s="16">
        <f>SUM(K360:T360)</f>
        <v/>
      </c>
      <c r="J360" s="16">
        <f>F360-(G360+H360+I360)</f>
        <v/>
      </c>
      <c r="K360" s="16" t="n">
        <v>507.01</v>
      </c>
      <c r="L360" s="16" t="n">
        <v>507.01</v>
      </c>
      <c r="M360" s="16" t="n">
        <v>507.01</v>
      </c>
      <c r="N360" s="16" t="n">
        <v>507.01</v>
      </c>
      <c r="O360" s="16" t="n">
        <v>507.01</v>
      </c>
      <c r="P360" s="16" t="n">
        <v>507.01</v>
      </c>
      <c r="Q360" s="16" t="n">
        <v>507.01</v>
      </c>
      <c r="R360" s="16" t="n">
        <v>507.01</v>
      </c>
      <c r="S360" s="16" t="n">
        <v>507.01</v>
      </c>
      <c r="T360" s="16" t="n">
        <v>507.01</v>
      </c>
      <c r="U360" s="16" t="n">
        <v>350</v>
      </c>
      <c r="V360" s="16" t="n">
        <v>0</v>
      </c>
      <c r="W360" s="16">
        <f>U360+V360</f>
        <v/>
      </c>
    </row>
    <row r="361">
      <c r="A361" s="3" t="inlineStr">
        <is>
          <t>CANON-202607-008157</t>
        </is>
      </c>
      <c r="B361" s="3" t="inlineStr">
        <is>
          <t>2026-07-08</t>
        </is>
      </c>
      <c r="C361" s="3" t="inlineStr">
        <is>
          <t>Desmond Blackwood</t>
        </is>
      </c>
      <c r="D361" s="3" t="inlineStr">
        <is>
          <t>NM</t>
        </is>
      </c>
      <c r="E361" s="14" t="n">
        <v>400000</v>
      </c>
      <c r="F361" s="14" t="n">
        <v>5513.66</v>
      </c>
      <c r="G361" s="14" t="n">
        <v>689.21</v>
      </c>
      <c r="H361" s="14" t="n">
        <v>689.21</v>
      </c>
      <c r="I361" s="14">
        <f>SUM(K361:T361)</f>
        <v/>
      </c>
      <c r="J361" s="14">
        <f>F361-(G361+H361+I361)</f>
        <v/>
      </c>
      <c r="K361" s="14" t="n">
        <v>413.52</v>
      </c>
      <c r="L361" s="14" t="n">
        <v>413.52</v>
      </c>
      <c r="M361" s="14" t="n">
        <v>413.52</v>
      </c>
      <c r="N361" s="14" t="n">
        <v>413.52</v>
      </c>
      <c r="O361" s="14" t="n">
        <v>413.52</v>
      </c>
      <c r="P361" s="14" t="n">
        <v>413.52</v>
      </c>
      <c r="Q361" s="14" t="n">
        <v>413.52</v>
      </c>
      <c r="R361" s="14" t="n">
        <v>413.52</v>
      </c>
      <c r="S361" s="14" t="n">
        <v>413.52</v>
      </c>
      <c r="T361" s="14" t="n">
        <v>413.52</v>
      </c>
      <c r="U361" s="14" t="n">
        <v>350</v>
      </c>
      <c r="V361" s="14" t="n">
        <v>0</v>
      </c>
      <c r="W361" s="14">
        <f>U361+V361</f>
        <v/>
      </c>
    </row>
    <row r="362">
      <c r="A362" s="15" t="inlineStr">
        <is>
          <t>CANON-202607-008158</t>
        </is>
      </c>
      <c r="B362" s="15" t="inlineStr">
        <is>
          <t>2026-07-22</t>
        </is>
      </c>
      <c r="C362" s="15" t="inlineStr">
        <is>
          <t>Emiliano Bellandi</t>
        </is>
      </c>
      <c r="D362" s="15" t="inlineStr">
        <is>
          <t>VT</t>
        </is>
      </c>
      <c r="E362" s="16" t="n">
        <v>430000</v>
      </c>
      <c r="F362" s="16" t="n">
        <v>3615.58</v>
      </c>
      <c r="G362" s="16" t="n">
        <v>451.95</v>
      </c>
      <c r="H362" s="16" t="n">
        <v>451.95</v>
      </c>
      <c r="I362" s="16">
        <f>SUM(K362:T362)</f>
        <v/>
      </c>
      <c r="J362" s="16">
        <f>F362-(G362+H362+I362)</f>
        <v/>
      </c>
      <c r="K362" s="16" t="n">
        <v>271.17</v>
      </c>
      <c r="L362" s="16" t="n">
        <v>271.17</v>
      </c>
      <c r="M362" s="16" t="n">
        <v>271.17</v>
      </c>
      <c r="N362" s="16" t="n">
        <v>271.17</v>
      </c>
      <c r="O362" s="16" t="n">
        <v>271.17</v>
      </c>
      <c r="P362" s="16" t="n">
        <v>271.17</v>
      </c>
      <c r="Q362" s="16" t="n">
        <v>271.17</v>
      </c>
      <c r="R362" s="16" t="n">
        <v>271.17</v>
      </c>
      <c r="S362" s="16" t="n">
        <v>271.17</v>
      </c>
      <c r="T362" s="16" t="n">
        <v>271.17</v>
      </c>
      <c r="U362" s="16" t="n">
        <v>350</v>
      </c>
      <c r="V362" s="16" t="n">
        <v>0</v>
      </c>
      <c r="W362" s="16">
        <f>U362+V362</f>
        <v/>
      </c>
    </row>
    <row r="363">
      <c r="A363" s="3" t="inlineStr">
        <is>
          <t>CANON-202607-008159</t>
        </is>
      </c>
      <c r="B363" s="3" t="inlineStr">
        <is>
          <t>2026-07-11</t>
        </is>
      </c>
      <c r="C363" s="3" t="inlineStr">
        <is>
          <t>Lorenzo Delacroix</t>
        </is>
      </c>
      <c r="D363" s="3" t="inlineStr">
        <is>
          <t>MA</t>
        </is>
      </c>
      <c r="E363" s="14" t="n">
        <v>665000</v>
      </c>
      <c r="F363" s="14" t="n">
        <v>4535.49</v>
      </c>
      <c r="G363" s="14" t="n">
        <v>566.9400000000001</v>
      </c>
      <c r="H363" s="14" t="n">
        <v>566.9400000000001</v>
      </c>
      <c r="I363" s="14">
        <f>SUM(K363:T363)</f>
        <v/>
      </c>
      <c r="J363" s="14">
        <f>F363-(G363+H363+I363)</f>
        <v/>
      </c>
      <c r="K363" s="14" t="n">
        <v>340.16</v>
      </c>
      <c r="L363" s="14" t="n">
        <v>340.16</v>
      </c>
      <c r="M363" s="14" t="n">
        <v>340.16</v>
      </c>
      <c r="N363" s="14" t="n">
        <v>340.16</v>
      </c>
      <c r="O363" s="14" t="n">
        <v>340.16</v>
      </c>
      <c r="P363" s="14" t="n">
        <v>340.16</v>
      </c>
      <c r="Q363" s="14" t="n">
        <v>340.16</v>
      </c>
      <c r="R363" s="14" t="n">
        <v>340.16</v>
      </c>
      <c r="S363" s="14" t="n">
        <v>340.16</v>
      </c>
      <c r="T363" s="14" t="n">
        <v>340.16</v>
      </c>
      <c r="U363" s="14" t="n">
        <v>350</v>
      </c>
      <c r="V363" s="14" t="n">
        <v>0</v>
      </c>
      <c r="W363" s="14">
        <f>U363+V363</f>
        <v/>
      </c>
    </row>
    <row r="364">
      <c r="A364" s="15" t="inlineStr">
        <is>
          <t>CANON-202607-008160</t>
        </is>
      </c>
      <c r="B364" s="15" t="inlineStr">
        <is>
          <t>2026-07-24</t>
        </is>
      </c>
      <c r="C364" s="15" t="inlineStr">
        <is>
          <t>Ottilie Farkas</t>
        </is>
      </c>
      <c r="D364" s="15" t="inlineStr">
        <is>
          <t>ND</t>
        </is>
      </c>
      <c r="E364" s="16" t="n">
        <v>1950000</v>
      </c>
      <c r="F364" s="16" t="n">
        <v>22847.23</v>
      </c>
      <c r="G364" s="16" t="n">
        <v>2855.9</v>
      </c>
      <c r="H364" s="16" t="n">
        <v>2855.9</v>
      </c>
      <c r="I364" s="16">
        <f>SUM(K364:T364)</f>
        <v/>
      </c>
      <c r="J364" s="16">
        <f>F364-(G364+H364+I364)</f>
        <v/>
      </c>
      <c r="K364" s="16" t="n">
        <v>1713.54</v>
      </c>
      <c r="L364" s="16" t="n">
        <v>1713.54</v>
      </c>
      <c r="M364" s="16" t="n">
        <v>1713.54</v>
      </c>
      <c r="N364" s="16" t="n">
        <v>1713.54</v>
      </c>
      <c r="O364" s="16" t="n">
        <v>1713.54</v>
      </c>
      <c r="P364" s="16" t="n">
        <v>1713.54</v>
      </c>
      <c r="Q364" s="16" t="n">
        <v>1713.54</v>
      </c>
      <c r="R364" s="16" t="n">
        <v>1713.54</v>
      </c>
      <c r="S364" s="16" t="n">
        <v>1713.54</v>
      </c>
      <c r="T364" s="16" t="n">
        <v>1713.54</v>
      </c>
      <c r="U364" s="16" t="n">
        <v>350</v>
      </c>
      <c r="V364" s="16" t="n">
        <v>250</v>
      </c>
      <c r="W364" s="16">
        <f>U364+V364</f>
        <v/>
      </c>
    </row>
    <row r="365">
      <c r="A365" s="3" t="inlineStr">
        <is>
          <t>CANON-202607-008161</t>
        </is>
      </c>
      <c r="B365" s="3" t="inlineStr">
        <is>
          <t>2026-07-27</t>
        </is>
      </c>
      <c r="C365" s="3" t="inlineStr">
        <is>
          <t>Anouk Larsson</t>
        </is>
      </c>
      <c r="D365" s="3" t="inlineStr">
        <is>
          <t>IL</t>
        </is>
      </c>
      <c r="E365" s="14" t="n">
        <v>300000</v>
      </c>
      <c r="F365" s="14" t="n">
        <v>4393.69</v>
      </c>
      <c r="G365" s="14" t="n">
        <v>549.21</v>
      </c>
      <c r="H365" s="14" t="n">
        <v>549.21</v>
      </c>
      <c r="I365" s="14">
        <f>SUM(K365:T365)</f>
        <v/>
      </c>
      <c r="J365" s="14">
        <f>F365-(G365+H365+I365)</f>
        <v/>
      </c>
      <c r="K365" s="14" t="n">
        <v>329.53</v>
      </c>
      <c r="L365" s="14" t="n">
        <v>329.53</v>
      </c>
      <c r="M365" s="14" t="n">
        <v>329.53</v>
      </c>
      <c r="N365" s="14" t="n">
        <v>329.53</v>
      </c>
      <c r="O365" s="14" t="n">
        <v>329.53</v>
      </c>
      <c r="P365" s="14" t="n">
        <v>329.53</v>
      </c>
      <c r="Q365" s="14" t="n">
        <v>329.53</v>
      </c>
      <c r="R365" s="14" t="n">
        <v>329.53</v>
      </c>
      <c r="S365" s="14" t="n">
        <v>329.53</v>
      </c>
      <c r="T365" s="14" t="n">
        <v>329.53</v>
      </c>
      <c r="U365" s="14" t="n">
        <v>350</v>
      </c>
      <c r="V365" s="14" t="n">
        <v>0</v>
      </c>
      <c r="W365" s="14">
        <f>U365+V365</f>
        <v/>
      </c>
    </row>
    <row r="366">
      <c r="A366" s="15" t="inlineStr">
        <is>
          <t>CANON-202607-008162</t>
        </is>
      </c>
      <c r="B366" s="15" t="inlineStr">
        <is>
          <t>2026-07-28</t>
        </is>
      </c>
      <c r="C366" s="15" t="inlineStr">
        <is>
          <t>Leopold Blackwood</t>
        </is>
      </c>
      <c r="D366" s="15" t="inlineStr">
        <is>
          <t>OK</t>
        </is>
      </c>
      <c r="E366" s="16" t="n">
        <v>290000</v>
      </c>
      <c r="F366" s="16" t="n">
        <v>2518.36</v>
      </c>
      <c r="G366" s="16" t="n">
        <v>314.8</v>
      </c>
      <c r="H366" s="16" t="n">
        <v>314.8</v>
      </c>
      <c r="I366" s="16">
        <f>SUM(K366:T366)</f>
        <v/>
      </c>
      <c r="J366" s="16">
        <f>F366-(G366+H366+I366)</f>
        <v/>
      </c>
      <c r="K366" s="16" t="n">
        <v>188.88</v>
      </c>
      <c r="L366" s="16" t="n">
        <v>188.88</v>
      </c>
      <c r="M366" s="16" t="n">
        <v>188.88</v>
      </c>
      <c r="N366" s="16" t="n">
        <v>188.88</v>
      </c>
      <c r="O366" s="16" t="n">
        <v>188.88</v>
      </c>
      <c r="P366" s="16" t="n">
        <v>188.88</v>
      </c>
      <c r="Q366" s="16" t="n">
        <v>188.88</v>
      </c>
      <c r="R366" s="16" t="n">
        <v>188.88</v>
      </c>
      <c r="S366" s="16" t="n">
        <v>188.88</v>
      </c>
      <c r="T366" s="16" t="n">
        <v>188.88</v>
      </c>
      <c r="U366" s="16" t="n">
        <v>350</v>
      </c>
      <c r="V366" s="16" t="n">
        <v>0</v>
      </c>
      <c r="W366" s="16">
        <f>U366+V366</f>
        <v/>
      </c>
    </row>
    <row r="367">
      <c r="A367" s="3" t="inlineStr">
        <is>
          <t>CANON-202607-008163</t>
        </is>
      </c>
      <c r="B367" s="3" t="inlineStr">
        <is>
          <t>2026-07-13</t>
        </is>
      </c>
      <c r="C367" s="3" t="inlineStr">
        <is>
          <t>Priya Vandermeer</t>
        </is>
      </c>
      <c r="D367" s="3" t="inlineStr">
        <is>
          <t>TX</t>
        </is>
      </c>
      <c r="E367" s="14" t="n">
        <v>350000</v>
      </c>
      <c r="F367" s="14" t="n">
        <v>4334.47</v>
      </c>
      <c r="G367" s="14" t="n">
        <v>541.8099999999999</v>
      </c>
      <c r="H367" s="14" t="n">
        <v>541.8099999999999</v>
      </c>
      <c r="I367" s="14">
        <f>SUM(K367:T367)</f>
        <v/>
      </c>
      <c r="J367" s="14">
        <f>F367-(G367+H367+I367)</f>
        <v/>
      </c>
      <c r="K367" s="14" t="n">
        <v>325.09</v>
      </c>
      <c r="L367" s="14" t="n">
        <v>325.09</v>
      </c>
      <c r="M367" s="14" t="n">
        <v>325.09</v>
      </c>
      <c r="N367" s="14" t="n">
        <v>325.09</v>
      </c>
      <c r="O367" s="14" t="n">
        <v>325.09</v>
      </c>
      <c r="P367" s="14" t="n">
        <v>325.09</v>
      </c>
      <c r="Q367" s="14" t="n">
        <v>325.09</v>
      </c>
      <c r="R367" s="14" t="n">
        <v>325.09</v>
      </c>
      <c r="S367" s="14" t="n">
        <v>325.09</v>
      </c>
      <c r="T367" s="14" t="n">
        <v>325.09</v>
      </c>
      <c r="U367" s="14" t="n">
        <v>350</v>
      </c>
      <c r="V367" s="14" t="n">
        <v>0</v>
      </c>
      <c r="W367" s="14">
        <f>U367+V367</f>
        <v/>
      </c>
    </row>
    <row r="368">
      <c r="A368" s="15" t="inlineStr">
        <is>
          <t>CANON-202607-008165</t>
        </is>
      </c>
      <c r="B368" s="15" t="inlineStr">
        <is>
          <t>2026-07-16</t>
        </is>
      </c>
      <c r="C368" s="15" t="inlineStr">
        <is>
          <t>Marisol Rourke</t>
        </is>
      </c>
      <c r="D368" s="15" t="inlineStr">
        <is>
          <t>AL</t>
        </is>
      </c>
      <c r="E368" s="16" t="n">
        <v>235000</v>
      </c>
      <c r="F368" s="16" t="n">
        <v>3942.47</v>
      </c>
      <c r="G368" s="16" t="n">
        <v>492.81</v>
      </c>
      <c r="H368" s="16" t="n">
        <v>492.81</v>
      </c>
      <c r="I368" s="16">
        <f>SUM(K368:T368)</f>
        <v/>
      </c>
      <c r="J368" s="16">
        <f>F368-(G368+H368+I368)</f>
        <v/>
      </c>
      <c r="K368" s="16" t="n">
        <v>295.69</v>
      </c>
      <c r="L368" s="16" t="n">
        <v>295.69</v>
      </c>
      <c r="M368" s="16" t="n">
        <v>295.69</v>
      </c>
      <c r="N368" s="16" t="n">
        <v>295.69</v>
      </c>
      <c r="O368" s="16" t="n">
        <v>295.69</v>
      </c>
      <c r="P368" s="16" t="n">
        <v>295.69</v>
      </c>
      <c r="Q368" s="16" t="n">
        <v>295.69</v>
      </c>
      <c r="R368" s="16" t="n">
        <v>295.69</v>
      </c>
      <c r="S368" s="16" t="n">
        <v>295.69</v>
      </c>
      <c r="T368" s="16" t="n">
        <v>295.69</v>
      </c>
      <c r="U368" s="16" t="n">
        <v>350</v>
      </c>
      <c r="V368" s="16" t="n">
        <v>0</v>
      </c>
      <c r="W368" s="16">
        <f>U368+V368</f>
        <v/>
      </c>
    </row>
    <row r="369">
      <c r="A369" s="3" t="inlineStr">
        <is>
          <t>CANON-202607-008166</t>
        </is>
      </c>
      <c r="B369" s="3" t="inlineStr">
        <is>
          <t>2026-07-08</t>
        </is>
      </c>
      <c r="C369" s="3" t="inlineStr">
        <is>
          <t>Ingrid Chattopadhyay</t>
        </is>
      </c>
      <c r="D369" s="3" t="inlineStr">
        <is>
          <t>OH</t>
        </is>
      </c>
      <c r="E369" s="14" t="n">
        <v>935000</v>
      </c>
      <c r="F369" s="14" t="n">
        <v>12129.66</v>
      </c>
      <c r="G369" s="14" t="n">
        <v>1516.21</v>
      </c>
      <c r="H369" s="14" t="n">
        <v>1516.21</v>
      </c>
      <c r="I369" s="14">
        <f>SUM(K369:T369)</f>
        <v/>
      </c>
      <c r="J369" s="14">
        <f>F369-(G369+H369+I369)</f>
        <v/>
      </c>
      <c r="K369" s="14" t="n">
        <v>909.72</v>
      </c>
      <c r="L369" s="14" t="n">
        <v>909.72</v>
      </c>
      <c r="M369" s="14" t="n">
        <v>909.72</v>
      </c>
      <c r="N369" s="14" t="n">
        <v>909.72</v>
      </c>
      <c r="O369" s="14" t="n">
        <v>909.72</v>
      </c>
      <c r="P369" s="14" t="n">
        <v>909.72</v>
      </c>
      <c r="Q369" s="14" t="n">
        <v>909.72</v>
      </c>
      <c r="R369" s="14" t="n">
        <v>909.72</v>
      </c>
      <c r="S369" s="14" t="n">
        <v>909.72</v>
      </c>
      <c r="T369" s="14" t="n">
        <v>909.72</v>
      </c>
      <c r="U369" s="14" t="n">
        <v>350</v>
      </c>
      <c r="V369" s="14" t="n">
        <v>0</v>
      </c>
      <c r="W369" s="14">
        <f>U369+V369</f>
        <v/>
      </c>
    </row>
    <row r="370">
      <c r="A370" s="15" t="inlineStr">
        <is>
          <t>CANON-202607-008167</t>
        </is>
      </c>
      <c r="B370" s="15" t="inlineStr">
        <is>
          <t>2026-07-18</t>
        </is>
      </c>
      <c r="C370" s="15" t="inlineStr">
        <is>
          <t>Saoirse Delacroix</t>
        </is>
      </c>
      <c r="D370" s="15" t="inlineStr">
        <is>
          <t>NY</t>
        </is>
      </c>
      <c r="E370" s="16" t="n">
        <v>330000</v>
      </c>
      <c r="F370" s="16" t="n">
        <v>4548.77</v>
      </c>
      <c r="G370" s="16" t="n">
        <v>568.6</v>
      </c>
      <c r="H370" s="16" t="n">
        <v>568.6</v>
      </c>
      <c r="I370" s="16">
        <f>SUM(K370:T370)</f>
        <v/>
      </c>
      <c r="J370" s="16">
        <f>F370-(G370+H370+I370)</f>
        <v/>
      </c>
      <c r="K370" s="16" t="n">
        <v>341.16</v>
      </c>
      <c r="L370" s="16" t="n">
        <v>341.16</v>
      </c>
      <c r="M370" s="16" t="n">
        <v>341.16</v>
      </c>
      <c r="N370" s="16" t="n">
        <v>341.16</v>
      </c>
      <c r="O370" s="16" t="n">
        <v>341.16</v>
      </c>
      <c r="P370" s="16" t="n">
        <v>341.16</v>
      </c>
      <c r="Q370" s="16" t="n">
        <v>341.16</v>
      </c>
      <c r="R370" s="16" t="n">
        <v>341.16</v>
      </c>
      <c r="S370" s="16" t="n">
        <v>341.16</v>
      </c>
      <c r="T370" s="16" t="n">
        <v>341.16</v>
      </c>
      <c r="U370" s="16" t="n">
        <v>350</v>
      </c>
      <c r="V370" s="16" t="n">
        <v>0</v>
      </c>
      <c r="W370" s="16">
        <f>U370+V370</f>
        <v/>
      </c>
    </row>
    <row r="371">
      <c r="A371" s="3" t="inlineStr">
        <is>
          <t>CANON-202607-008168</t>
        </is>
      </c>
      <c r="B371" s="3" t="inlineStr">
        <is>
          <t>2026-07-12</t>
        </is>
      </c>
      <c r="C371" s="3" t="inlineStr">
        <is>
          <t>Noor Blackwood</t>
        </is>
      </c>
      <c r="D371" s="3" t="inlineStr">
        <is>
          <t>WA</t>
        </is>
      </c>
      <c r="E371" s="14" t="n">
        <v>295000</v>
      </c>
      <c r="F371" s="14" t="n">
        <v>3049.75</v>
      </c>
      <c r="G371" s="14" t="n">
        <v>381.22</v>
      </c>
      <c r="H371" s="14" t="n">
        <v>381.22</v>
      </c>
      <c r="I371" s="14">
        <f>SUM(K371:T371)</f>
        <v/>
      </c>
      <c r="J371" s="14">
        <f>F371-(G371+H371+I371)</f>
        <v/>
      </c>
      <c r="K371" s="14" t="n">
        <v>228.73</v>
      </c>
      <c r="L371" s="14" t="n">
        <v>228.73</v>
      </c>
      <c r="M371" s="14" t="n">
        <v>228.73</v>
      </c>
      <c r="N371" s="14" t="n">
        <v>228.73</v>
      </c>
      <c r="O371" s="14" t="n">
        <v>228.73</v>
      </c>
      <c r="P371" s="14" t="n">
        <v>228.73</v>
      </c>
      <c r="Q371" s="14" t="n">
        <v>228.73</v>
      </c>
      <c r="R371" s="14" t="n">
        <v>228.73</v>
      </c>
      <c r="S371" s="14" t="n">
        <v>228.73</v>
      </c>
      <c r="T371" s="14" t="n">
        <v>228.73</v>
      </c>
      <c r="U371" s="14" t="n">
        <v>350</v>
      </c>
      <c r="V371" s="14" t="n">
        <v>0</v>
      </c>
      <c r="W371" s="14">
        <f>U371+V371</f>
        <v/>
      </c>
    </row>
    <row r="372">
      <c r="A372" s="15" t="inlineStr">
        <is>
          <t>CANON-202607-008169</t>
        </is>
      </c>
      <c r="B372" s="15" t="inlineStr">
        <is>
          <t>2026-07-01</t>
        </is>
      </c>
      <c r="C372" s="15" t="inlineStr">
        <is>
          <t>Saoirse Whitlock</t>
        </is>
      </c>
      <c r="D372" s="15" t="inlineStr">
        <is>
          <t>CO</t>
        </is>
      </c>
      <c r="E372" s="16" t="n">
        <v>1350000</v>
      </c>
      <c r="F372" s="16" t="n">
        <v>17057.88</v>
      </c>
      <c r="G372" s="16" t="n">
        <v>2132.24</v>
      </c>
      <c r="H372" s="16" t="n">
        <v>2132.24</v>
      </c>
      <c r="I372" s="16">
        <f>SUM(K372:T372)</f>
        <v/>
      </c>
      <c r="J372" s="16">
        <f>F372-(G372+H372+I372)</f>
        <v/>
      </c>
      <c r="K372" s="16" t="n">
        <v>1279.34</v>
      </c>
      <c r="L372" s="16" t="n">
        <v>1279.34</v>
      </c>
      <c r="M372" s="16" t="n">
        <v>1279.34</v>
      </c>
      <c r="N372" s="16" t="n">
        <v>1279.34</v>
      </c>
      <c r="O372" s="16" t="n">
        <v>1279.34</v>
      </c>
      <c r="P372" s="16" t="n">
        <v>1279.34</v>
      </c>
      <c r="Q372" s="16" t="n">
        <v>1279.34</v>
      </c>
      <c r="R372" s="16" t="n">
        <v>1279.34</v>
      </c>
      <c r="S372" s="16" t="n">
        <v>1279.34</v>
      </c>
      <c r="T372" s="16" t="n">
        <v>1279.34</v>
      </c>
      <c r="U372" s="16" t="n">
        <v>350</v>
      </c>
      <c r="V372" s="16" t="n">
        <v>250</v>
      </c>
      <c r="W372" s="16">
        <f>U372+V372</f>
        <v/>
      </c>
    </row>
    <row r="373">
      <c r="A373" s="3" t="inlineStr">
        <is>
          <t>CANON-202607-008170</t>
        </is>
      </c>
      <c r="B373" s="3" t="inlineStr">
        <is>
          <t>2026-07-10</t>
        </is>
      </c>
      <c r="C373" s="3" t="inlineStr">
        <is>
          <t>Ingrid Bellandi</t>
        </is>
      </c>
      <c r="D373" s="3" t="inlineStr">
        <is>
          <t>MS</t>
        </is>
      </c>
      <c r="E373" s="14" t="n">
        <v>425000</v>
      </c>
      <c r="F373" s="14" t="n">
        <v>5446.36</v>
      </c>
      <c r="G373" s="14" t="n">
        <v>680.79</v>
      </c>
      <c r="H373" s="14" t="n">
        <v>680.79</v>
      </c>
      <c r="I373" s="14">
        <f>SUM(K373:T373)</f>
        <v/>
      </c>
      <c r="J373" s="14">
        <f>F373-(G373+H373+I373)</f>
        <v/>
      </c>
      <c r="K373" s="14" t="n">
        <v>408.48</v>
      </c>
      <c r="L373" s="14" t="n">
        <v>408.48</v>
      </c>
      <c r="M373" s="14" t="n">
        <v>408.48</v>
      </c>
      <c r="N373" s="14" t="n">
        <v>408.48</v>
      </c>
      <c r="O373" s="14" t="n">
        <v>408.48</v>
      </c>
      <c r="P373" s="14" t="n">
        <v>408.48</v>
      </c>
      <c r="Q373" s="14" t="n">
        <v>408.48</v>
      </c>
      <c r="R373" s="14" t="n">
        <v>408.48</v>
      </c>
      <c r="S373" s="14" t="n">
        <v>408.48</v>
      </c>
      <c r="T373" s="14" t="n">
        <v>408.48</v>
      </c>
      <c r="U373" s="14" t="n">
        <v>350</v>
      </c>
      <c r="V373" s="14" t="n">
        <v>0</v>
      </c>
      <c r="W373" s="14">
        <f>U373+V373</f>
        <v/>
      </c>
    </row>
    <row r="374">
      <c r="A374" s="15" t="inlineStr">
        <is>
          <t>CANON-202607-008171</t>
        </is>
      </c>
      <c r="B374" s="15" t="inlineStr">
        <is>
          <t>2026-07-28</t>
        </is>
      </c>
      <c r="C374" s="15" t="inlineStr">
        <is>
          <t>Noor Merriweather</t>
        </is>
      </c>
      <c r="D374" s="15" t="inlineStr">
        <is>
          <t>PA</t>
        </is>
      </c>
      <c r="E374" s="16" t="n">
        <v>1570000</v>
      </c>
      <c r="F374" s="16" t="n">
        <v>18034.26</v>
      </c>
      <c r="G374" s="16" t="n">
        <v>2254.28</v>
      </c>
      <c r="H374" s="16" t="n">
        <v>2254.28</v>
      </c>
      <c r="I374" s="16">
        <f>SUM(K374:T374)</f>
        <v/>
      </c>
      <c r="J374" s="16">
        <f>F374-(G374+H374+I374)</f>
        <v/>
      </c>
      <c r="K374" s="16" t="n">
        <v>1352.57</v>
      </c>
      <c r="L374" s="16" t="n">
        <v>1352.57</v>
      </c>
      <c r="M374" s="16" t="n">
        <v>1352.57</v>
      </c>
      <c r="N374" s="16" t="n">
        <v>1352.57</v>
      </c>
      <c r="O374" s="16" t="n">
        <v>1352.57</v>
      </c>
      <c r="P374" s="16" t="n">
        <v>1352.57</v>
      </c>
      <c r="Q374" s="16" t="n">
        <v>1352.57</v>
      </c>
      <c r="R374" s="16" t="n">
        <v>1352.57</v>
      </c>
      <c r="S374" s="16" t="n">
        <v>1352.57</v>
      </c>
      <c r="T374" s="16" t="n">
        <v>1352.57</v>
      </c>
      <c r="U374" s="16" t="n">
        <v>350</v>
      </c>
      <c r="V374" s="16" t="n">
        <v>250</v>
      </c>
      <c r="W374" s="16">
        <f>U374+V374</f>
        <v/>
      </c>
    </row>
    <row r="375">
      <c r="A375" s="3" t="inlineStr">
        <is>
          <t>CANON-202607-008172</t>
        </is>
      </c>
      <c r="B375" s="3" t="inlineStr">
        <is>
          <t>2026-07-17</t>
        </is>
      </c>
      <c r="C375" s="3" t="inlineStr">
        <is>
          <t>Callum Underwood</t>
        </is>
      </c>
      <c r="D375" s="3" t="inlineStr">
        <is>
          <t>NE</t>
        </is>
      </c>
      <c r="E375" s="14" t="n">
        <v>150000</v>
      </c>
      <c r="F375" s="14" t="n">
        <v>2575.92</v>
      </c>
      <c r="G375" s="14" t="n">
        <v>321.99</v>
      </c>
      <c r="H375" s="14" t="n">
        <v>321.99</v>
      </c>
      <c r="I375" s="14">
        <f>SUM(K375:T375)</f>
        <v/>
      </c>
      <c r="J375" s="14">
        <f>F375-(G375+H375+I375)</f>
        <v/>
      </c>
      <c r="K375" s="14" t="n">
        <v>193.19</v>
      </c>
      <c r="L375" s="14" t="n">
        <v>193.19</v>
      </c>
      <c r="M375" s="14" t="n">
        <v>193.19</v>
      </c>
      <c r="N375" s="14" t="n">
        <v>193.19</v>
      </c>
      <c r="O375" s="14" t="n">
        <v>193.19</v>
      </c>
      <c r="P375" s="14" t="n">
        <v>193.19</v>
      </c>
      <c r="Q375" s="14" t="n">
        <v>193.19</v>
      </c>
      <c r="R375" s="14" t="n">
        <v>193.19</v>
      </c>
      <c r="S375" s="14" t="n">
        <v>193.19</v>
      </c>
      <c r="T375" s="14" t="n">
        <v>193.19</v>
      </c>
      <c r="U375" s="14" t="n">
        <v>350</v>
      </c>
      <c r="V375" s="14" t="n">
        <v>0</v>
      </c>
      <c r="W375" s="14">
        <f>U375+V375</f>
        <v/>
      </c>
    </row>
    <row r="376">
      <c r="A376" s="15" t="inlineStr">
        <is>
          <t>CANON-202607-008173</t>
        </is>
      </c>
      <c r="B376" s="15" t="inlineStr">
        <is>
          <t>2026-07-15</t>
        </is>
      </c>
      <c r="C376" s="15" t="inlineStr">
        <is>
          <t>Beatrix Ashcombe</t>
        </is>
      </c>
      <c r="D376" s="15" t="inlineStr">
        <is>
          <t>VA</t>
        </is>
      </c>
      <c r="E376" s="16" t="n">
        <v>590000</v>
      </c>
      <c r="F376" s="16" t="n">
        <v>6002.07</v>
      </c>
      <c r="G376" s="16" t="n">
        <v>750.26</v>
      </c>
      <c r="H376" s="16" t="n">
        <v>750.26</v>
      </c>
      <c r="I376" s="16">
        <f>SUM(K376:T376)</f>
        <v/>
      </c>
      <c r="J376" s="16">
        <f>F376-(G376+H376+I376)</f>
        <v/>
      </c>
      <c r="K376" s="16" t="n">
        <v>450.16</v>
      </c>
      <c r="L376" s="16" t="n">
        <v>450.16</v>
      </c>
      <c r="M376" s="16" t="n">
        <v>450.16</v>
      </c>
      <c r="N376" s="16" t="n">
        <v>450.16</v>
      </c>
      <c r="O376" s="16" t="n">
        <v>450.16</v>
      </c>
      <c r="P376" s="16" t="n">
        <v>450.16</v>
      </c>
      <c r="Q376" s="16" t="n">
        <v>450.16</v>
      </c>
      <c r="R376" s="16" t="n">
        <v>450.16</v>
      </c>
      <c r="S376" s="16" t="n">
        <v>450.16</v>
      </c>
      <c r="T376" s="16" t="n">
        <v>450.16</v>
      </c>
      <c r="U376" s="16" t="n">
        <v>350</v>
      </c>
      <c r="V376" s="16" t="n">
        <v>0</v>
      </c>
      <c r="W376" s="16">
        <f>U376+V376</f>
        <v/>
      </c>
    </row>
    <row r="377">
      <c r="A377" s="3" t="inlineStr">
        <is>
          <t>CANON-202607-008174</t>
        </is>
      </c>
      <c r="B377" s="3" t="inlineStr">
        <is>
          <t>2026-07-25</t>
        </is>
      </c>
      <c r="C377" s="3" t="inlineStr">
        <is>
          <t>Horace Vandermeer</t>
        </is>
      </c>
      <c r="D377" s="3" t="inlineStr">
        <is>
          <t>WA</t>
        </is>
      </c>
      <c r="E377" s="14" t="n">
        <v>950000</v>
      </c>
      <c r="F377" s="14" t="n">
        <v>8511.719999999999</v>
      </c>
      <c r="G377" s="14" t="n">
        <v>1063.96</v>
      </c>
      <c r="H377" s="14" t="n">
        <v>1063.96</v>
      </c>
      <c r="I377" s="14">
        <f>SUM(K377:T377)</f>
        <v/>
      </c>
      <c r="J377" s="14">
        <f>F377-(G377+H377+I377)</f>
        <v/>
      </c>
      <c r="K377" s="14" t="n">
        <v>638.38</v>
      </c>
      <c r="L377" s="14" t="n">
        <v>638.38</v>
      </c>
      <c r="M377" s="14" t="n">
        <v>638.38</v>
      </c>
      <c r="N377" s="14" t="n">
        <v>638.38</v>
      </c>
      <c r="O377" s="14" t="n">
        <v>638.38</v>
      </c>
      <c r="P377" s="14" t="n">
        <v>638.38</v>
      </c>
      <c r="Q377" s="14" t="n">
        <v>638.38</v>
      </c>
      <c r="R377" s="14" t="n">
        <v>638.38</v>
      </c>
      <c r="S377" s="14" t="n">
        <v>638.38</v>
      </c>
      <c r="T377" s="14" t="n">
        <v>638.38</v>
      </c>
      <c r="U377" s="14" t="n">
        <v>350</v>
      </c>
      <c r="V377" s="14" t="n">
        <v>0</v>
      </c>
      <c r="W377" s="14">
        <f>U377+V377</f>
        <v/>
      </c>
    </row>
    <row r="378">
      <c r="A378" s="15" t="inlineStr">
        <is>
          <t>CANON-202607-008175</t>
        </is>
      </c>
      <c r="B378" s="15" t="inlineStr">
        <is>
          <t>2026-07-12</t>
        </is>
      </c>
      <c r="C378" s="15" t="inlineStr">
        <is>
          <t>Everett Castellanos</t>
        </is>
      </c>
      <c r="D378" s="15" t="inlineStr">
        <is>
          <t>FL</t>
        </is>
      </c>
      <c r="E378" s="16" t="n">
        <v>505000</v>
      </c>
      <c r="F378" s="16" t="n">
        <v>6692.71</v>
      </c>
      <c r="G378" s="16" t="n">
        <v>836.59</v>
      </c>
      <c r="H378" s="16" t="n">
        <v>836.59</v>
      </c>
      <c r="I378" s="16">
        <f>SUM(K378:T378)</f>
        <v/>
      </c>
      <c r="J378" s="16">
        <f>F378-(G378+H378+I378)</f>
        <v/>
      </c>
      <c r="K378" s="16" t="n">
        <v>501.95</v>
      </c>
      <c r="L378" s="16" t="n">
        <v>501.95</v>
      </c>
      <c r="M378" s="16" t="n">
        <v>501.95</v>
      </c>
      <c r="N378" s="16" t="n">
        <v>501.95</v>
      </c>
      <c r="O378" s="16" t="n">
        <v>501.95</v>
      </c>
      <c r="P378" s="16" t="n">
        <v>501.95</v>
      </c>
      <c r="Q378" s="16" t="n">
        <v>501.95</v>
      </c>
      <c r="R378" s="16" t="n">
        <v>501.95</v>
      </c>
      <c r="S378" s="16" t="n">
        <v>501.95</v>
      </c>
      <c r="T378" s="16" t="n">
        <v>501.95</v>
      </c>
      <c r="U378" s="16" t="n">
        <v>350</v>
      </c>
      <c r="V378" s="16" t="n">
        <v>0</v>
      </c>
      <c r="W378" s="16">
        <f>U378+V378</f>
        <v/>
      </c>
    </row>
    <row r="379">
      <c r="A379" s="3" t="inlineStr">
        <is>
          <t>CANON-202607-008176</t>
        </is>
      </c>
      <c r="B379" s="3" t="inlineStr">
        <is>
          <t>2026-07-19</t>
        </is>
      </c>
      <c r="C379" s="3" t="inlineStr">
        <is>
          <t>Horace Fairweather</t>
        </is>
      </c>
      <c r="D379" s="3" t="inlineStr">
        <is>
          <t>NY</t>
        </is>
      </c>
      <c r="E379" s="14" t="n">
        <v>565000</v>
      </c>
      <c r="F379" s="14" t="n">
        <v>6749.64</v>
      </c>
      <c r="G379" s="14" t="n">
        <v>843.71</v>
      </c>
      <c r="H379" s="14" t="n">
        <v>843.71</v>
      </c>
      <c r="I379" s="14">
        <f>SUM(K379:T379)</f>
        <v/>
      </c>
      <c r="J379" s="14">
        <f>F379-(G379+H379+I379)</f>
        <v/>
      </c>
      <c r="K379" s="14" t="n">
        <v>506.22</v>
      </c>
      <c r="L379" s="14" t="n">
        <v>506.22</v>
      </c>
      <c r="M379" s="14" t="n">
        <v>506.22</v>
      </c>
      <c r="N379" s="14" t="n">
        <v>506.22</v>
      </c>
      <c r="O379" s="14" t="n">
        <v>506.22</v>
      </c>
      <c r="P379" s="14" t="n">
        <v>506.22</v>
      </c>
      <c r="Q379" s="14" t="n">
        <v>506.22</v>
      </c>
      <c r="R379" s="14" t="n">
        <v>506.22</v>
      </c>
      <c r="S379" s="14" t="n">
        <v>506.22</v>
      </c>
      <c r="T379" s="14" t="n">
        <v>506.22</v>
      </c>
      <c r="U379" s="14" t="n">
        <v>350</v>
      </c>
      <c r="V379" s="14" t="n">
        <v>0</v>
      </c>
      <c r="W379" s="14">
        <f>U379+V379</f>
        <v/>
      </c>
    </row>
    <row r="380">
      <c r="A380" s="15" t="inlineStr">
        <is>
          <t>CANON-202607-008180</t>
        </is>
      </c>
      <c r="B380" s="15" t="inlineStr">
        <is>
          <t>2026-07-25</t>
        </is>
      </c>
      <c r="C380" s="15" t="inlineStr">
        <is>
          <t>Marisol Larsson</t>
        </is>
      </c>
      <c r="D380" s="15" t="inlineStr">
        <is>
          <t>MI</t>
        </is>
      </c>
      <c r="E380" s="16" t="n">
        <v>495000</v>
      </c>
      <c r="F380" s="16" t="n">
        <v>8262.41</v>
      </c>
      <c r="G380" s="16" t="n">
        <v>1032.8</v>
      </c>
      <c r="H380" s="16" t="n">
        <v>1032.8</v>
      </c>
      <c r="I380" s="16">
        <f>SUM(K380:T380)</f>
        <v/>
      </c>
      <c r="J380" s="16">
        <f>F380-(G380+H380+I380)</f>
        <v/>
      </c>
      <c r="K380" s="16" t="n">
        <v>619.6799999999999</v>
      </c>
      <c r="L380" s="16" t="n">
        <v>619.6799999999999</v>
      </c>
      <c r="M380" s="16" t="n">
        <v>619.6799999999999</v>
      </c>
      <c r="N380" s="16" t="n">
        <v>619.6799999999999</v>
      </c>
      <c r="O380" s="16" t="n">
        <v>619.6799999999999</v>
      </c>
      <c r="P380" s="16" t="n">
        <v>619.6799999999999</v>
      </c>
      <c r="Q380" s="16" t="n">
        <v>619.6799999999999</v>
      </c>
      <c r="R380" s="16" t="n">
        <v>619.6799999999999</v>
      </c>
      <c r="S380" s="16" t="n">
        <v>619.6799999999999</v>
      </c>
      <c r="T380" s="16" t="n">
        <v>619.6799999999999</v>
      </c>
      <c r="U380" s="16" t="n">
        <v>350</v>
      </c>
      <c r="V380" s="16" t="n">
        <v>0</v>
      </c>
      <c r="W380" s="16">
        <f>U380+V380</f>
        <v/>
      </c>
    </row>
    <row r="381">
      <c r="A381" s="3" t="inlineStr">
        <is>
          <t>CANON-202607-008182</t>
        </is>
      </c>
      <c r="B381" s="3" t="inlineStr">
        <is>
          <t>2026-07-30</t>
        </is>
      </c>
      <c r="C381" s="3" t="inlineStr">
        <is>
          <t>Desmond Larsson</t>
        </is>
      </c>
      <c r="D381" s="3" t="inlineStr">
        <is>
          <t>CA</t>
        </is>
      </c>
      <c r="E381" s="14" t="n">
        <v>395000</v>
      </c>
      <c r="F381" s="14" t="n">
        <v>5742.5</v>
      </c>
      <c r="G381" s="14" t="n">
        <v>717.8099999999999</v>
      </c>
      <c r="H381" s="14" t="n">
        <v>717.8099999999999</v>
      </c>
      <c r="I381" s="14">
        <f>SUM(K381:T381)</f>
        <v/>
      </c>
      <c r="J381" s="14">
        <f>F381-(G381+H381+I381)</f>
        <v/>
      </c>
      <c r="K381" s="14" t="n">
        <v>430.69</v>
      </c>
      <c r="L381" s="14" t="n">
        <v>430.69</v>
      </c>
      <c r="M381" s="14" t="n">
        <v>430.69</v>
      </c>
      <c r="N381" s="14" t="n">
        <v>430.69</v>
      </c>
      <c r="O381" s="14" t="n">
        <v>430.69</v>
      </c>
      <c r="P381" s="14" t="n">
        <v>430.69</v>
      </c>
      <c r="Q381" s="14" t="n">
        <v>430.69</v>
      </c>
      <c r="R381" s="14" t="n">
        <v>430.69</v>
      </c>
      <c r="S381" s="14" t="n">
        <v>430.69</v>
      </c>
      <c r="T381" s="14" t="n">
        <v>430.69</v>
      </c>
      <c r="U381" s="14" t="n">
        <v>350</v>
      </c>
      <c r="V381" s="14" t="n">
        <v>0</v>
      </c>
      <c r="W381" s="14">
        <f>U381+V381</f>
        <v/>
      </c>
    </row>
    <row r="382">
      <c r="A382" s="15" t="inlineStr">
        <is>
          <t>CANON-202607-008183</t>
        </is>
      </c>
      <c r="B382" s="15" t="inlineStr">
        <is>
          <t>2026-07-20</t>
        </is>
      </c>
      <c r="C382" s="15" t="inlineStr">
        <is>
          <t>Marisol Nakashima</t>
        </is>
      </c>
      <c r="D382" s="15" t="inlineStr">
        <is>
          <t>AZ</t>
        </is>
      </c>
      <c r="E382" s="16" t="n">
        <v>325000</v>
      </c>
      <c r="F382" s="16" t="n">
        <v>3534.88</v>
      </c>
      <c r="G382" s="16" t="n">
        <v>441.86</v>
      </c>
      <c r="H382" s="16" t="n">
        <v>441.86</v>
      </c>
      <c r="I382" s="16">
        <f>SUM(K382:T382)</f>
        <v/>
      </c>
      <c r="J382" s="16">
        <f>F382-(G382+H382+I382)</f>
        <v/>
      </c>
      <c r="K382" s="16" t="n">
        <v>265.12</v>
      </c>
      <c r="L382" s="16" t="n">
        <v>265.12</v>
      </c>
      <c r="M382" s="16" t="n">
        <v>265.12</v>
      </c>
      <c r="N382" s="16" t="n">
        <v>265.12</v>
      </c>
      <c r="O382" s="16" t="n">
        <v>265.12</v>
      </c>
      <c r="P382" s="16" t="n">
        <v>265.12</v>
      </c>
      <c r="Q382" s="16" t="n">
        <v>265.12</v>
      </c>
      <c r="R382" s="16" t="n">
        <v>265.12</v>
      </c>
      <c r="S382" s="16" t="n">
        <v>265.12</v>
      </c>
      <c r="T382" s="16" t="n">
        <v>265.12</v>
      </c>
      <c r="U382" s="16" t="n">
        <v>350</v>
      </c>
      <c r="V382" s="16" t="n">
        <v>0</v>
      </c>
      <c r="W382" s="16">
        <f>U382+V382</f>
        <v/>
      </c>
    </row>
    <row r="383">
      <c r="A383" s="3" t="inlineStr">
        <is>
          <t>CANON-202607-008184</t>
        </is>
      </c>
      <c r="B383" s="3" t="inlineStr">
        <is>
          <t>2026-07-31</t>
        </is>
      </c>
      <c r="C383" s="3" t="inlineStr">
        <is>
          <t>Ramona Delacroix</t>
        </is>
      </c>
      <c r="D383" s="3" t="inlineStr">
        <is>
          <t>MI</t>
        </is>
      </c>
      <c r="E383" s="14" t="n">
        <v>1950000</v>
      </c>
      <c r="F383" s="14" t="n">
        <v>16491.44</v>
      </c>
      <c r="G383" s="14" t="n">
        <v>2061.43</v>
      </c>
      <c r="H383" s="14" t="n">
        <v>2061.43</v>
      </c>
      <c r="I383" s="14">
        <f>SUM(K383:T383)</f>
        <v/>
      </c>
      <c r="J383" s="14">
        <f>F383-(G383+H383+I383)</f>
        <v/>
      </c>
      <c r="K383" s="14" t="n">
        <v>1236.86</v>
      </c>
      <c r="L383" s="14" t="n">
        <v>1236.86</v>
      </c>
      <c r="M383" s="14" t="n">
        <v>1236.86</v>
      </c>
      <c r="N383" s="14" t="n">
        <v>1236.86</v>
      </c>
      <c r="O383" s="14" t="n">
        <v>1236.86</v>
      </c>
      <c r="P383" s="14" t="n">
        <v>1236.86</v>
      </c>
      <c r="Q383" s="14" t="n">
        <v>1236.86</v>
      </c>
      <c r="R383" s="14" t="n">
        <v>1236.86</v>
      </c>
      <c r="S383" s="14" t="n">
        <v>1236.86</v>
      </c>
      <c r="T383" s="14" t="n">
        <v>1236.86</v>
      </c>
      <c r="U383" s="14" t="n">
        <v>350</v>
      </c>
      <c r="V383" s="14" t="n">
        <v>250</v>
      </c>
      <c r="W383" s="14">
        <f>U383+V383</f>
        <v/>
      </c>
    </row>
    <row r="384">
      <c r="A384" s="15" t="inlineStr">
        <is>
          <t>CANON-202607-008185</t>
        </is>
      </c>
      <c r="B384" s="15" t="inlineStr">
        <is>
          <t>2026-07-19</t>
        </is>
      </c>
      <c r="C384" s="15" t="inlineStr">
        <is>
          <t>Mireille Fairweather</t>
        </is>
      </c>
      <c r="D384" s="15" t="inlineStr">
        <is>
          <t>NC</t>
        </is>
      </c>
      <c r="E384" s="16" t="n">
        <v>1805000</v>
      </c>
      <c r="F384" s="16" t="n">
        <v>23843.71</v>
      </c>
      <c r="G384" s="16" t="n">
        <v>2980.46</v>
      </c>
      <c r="H384" s="16" t="n">
        <v>2980.46</v>
      </c>
      <c r="I384" s="16">
        <f>SUM(K384:T384)</f>
        <v/>
      </c>
      <c r="J384" s="16">
        <f>F384-(G384+H384+I384)</f>
        <v/>
      </c>
      <c r="K384" s="16" t="n">
        <v>1788.28</v>
      </c>
      <c r="L384" s="16" t="n">
        <v>1788.28</v>
      </c>
      <c r="M384" s="16" t="n">
        <v>1788.28</v>
      </c>
      <c r="N384" s="16" t="n">
        <v>1788.28</v>
      </c>
      <c r="O384" s="16" t="n">
        <v>1788.28</v>
      </c>
      <c r="P384" s="16" t="n">
        <v>1788.28</v>
      </c>
      <c r="Q384" s="16" t="n">
        <v>1788.28</v>
      </c>
      <c r="R384" s="16" t="n">
        <v>1788.28</v>
      </c>
      <c r="S384" s="16" t="n">
        <v>1788.28</v>
      </c>
      <c r="T384" s="16" t="n">
        <v>1788.28</v>
      </c>
      <c r="U384" s="16" t="n">
        <v>350</v>
      </c>
      <c r="V384" s="16" t="n">
        <v>250</v>
      </c>
      <c r="W384" s="16">
        <f>U384+V384</f>
        <v/>
      </c>
    </row>
    <row r="385">
      <c r="A385" s="3" t="inlineStr">
        <is>
          <t>CANON-202607-008186</t>
        </is>
      </c>
      <c r="B385" s="3" t="inlineStr">
        <is>
          <t>2026-07-11</t>
        </is>
      </c>
      <c r="C385" s="3" t="inlineStr">
        <is>
          <t>Desmond Nakashima</t>
        </is>
      </c>
      <c r="D385" s="3" t="inlineStr">
        <is>
          <t>GA</t>
        </is>
      </c>
      <c r="E385" s="14" t="n">
        <v>215000</v>
      </c>
      <c r="F385" s="14" t="n">
        <v>3180.92</v>
      </c>
      <c r="G385" s="14" t="n">
        <v>397.62</v>
      </c>
      <c r="H385" s="14" t="n">
        <v>397.62</v>
      </c>
      <c r="I385" s="14">
        <f>SUM(K385:T385)</f>
        <v/>
      </c>
      <c r="J385" s="14">
        <f>F385-(G385+H385+I385)</f>
        <v/>
      </c>
      <c r="K385" s="14" t="n">
        <v>238.57</v>
      </c>
      <c r="L385" s="14" t="n">
        <v>238.57</v>
      </c>
      <c r="M385" s="14" t="n">
        <v>238.57</v>
      </c>
      <c r="N385" s="14" t="n">
        <v>238.57</v>
      </c>
      <c r="O385" s="14" t="n">
        <v>238.57</v>
      </c>
      <c r="P385" s="14" t="n">
        <v>238.57</v>
      </c>
      <c r="Q385" s="14" t="n">
        <v>238.57</v>
      </c>
      <c r="R385" s="14" t="n">
        <v>238.57</v>
      </c>
      <c r="S385" s="14" t="n">
        <v>238.57</v>
      </c>
      <c r="T385" s="14" t="n">
        <v>238.57</v>
      </c>
      <c r="U385" s="14" t="n">
        <v>350</v>
      </c>
      <c r="V385" s="14" t="n">
        <v>0</v>
      </c>
      <c r="W385" s="14">
        <f>U385+V385</f>
        <v/>
      </c>
    </row>
    <row r="386">
      <c r="A386" s="15" t="inlineStr">
        <is>
          <t>CANON-202607-008187</t>
        </is>
      </c>
      <c r="B386" s="15" t="inlineStr">
        <is>
          <t>2026-07-15</t>
        </is>
      </c>
      <c r="C386" s="15" t="inlineStr">
        <is>
          <t>Desmond Nakashima</t>
        </is>
      </c>
      <c r="D386" s="15" t="inlineStr">
        <is>
          <t>NV</t>
        </is>
      </c>
      <c r="E386" s="16" t="n">
        <v>625000</v>
      </c>
      <c r="F386" s="16" t="n">
        <v>6824.77</v>
      </c>
      <c r="G386" s="16" t="n">
        <v>853.1</v>
      </c>
      <c r="H386" s="16" t="n">
        <v>853.1</v>
      </c>
      <c r="I386" s="16">
        <f>SUM(K386:T386)</f>
        <v/>
      </c>
      <c r="J386" s="16">
        <f>F386-(G386+H386+I386)</f>
        <v/>
      </c>
      <c r="K386" s="16" t="n">
        <v>511.86</v>
      </c>
      <c r="L386" s="16" t="n">
        <v>511.86</v>
      </c>
      <c r="M386" s="16" t="n">
        <v>511.86</v>
      </c>
      <c r="N386" s="16" t="n">
        <v>511.86</v>
      </c>
      <c r="O386" s="16" t="n">
        <v>511.86</v>
      </c>
      <c r="P386" s="16" t="n">
        <v>511.86</v>
      </c>
      <c r="Q386" s="16" t="n">
        <v>511.86</v>
      </c>
      <c r="R386" s="16" t="n">
        <v>511.86</v>
      </c>
      <c r="S386" s="16" t="n">
        <v>511.86</v>
      </c>
      <c r="T386" s="16" t="n">
        <v>511.86</v>
      </c>
      <c r="U386" s="16" t="n">
        <v>350</v>
      </c>
      <c r="V386" s="16" t="n">
        <v>0</v>
      </c>
      <c r="W386" s="16">
        <f>U386+V386</f>
        <v/>
      </c>
    </row>
    <row r="387">
      <c r="A387" s="3" t="inlineStr">
        <is>
          <t>CANON-202607-008188</t>
        </is>
      </c>
      <c r="B387" s="3" t="inlineStr">
        <is>
          <t>2026-07-05</t>
        </is>
      </c>
      <c r="C387" s="3" t="inlineStr">
        <is>
          <t>Everett Delacroix</t>
        </is>
      </c>
      <c r="D387" s="3" t="inlineStr">
        <is>
          <t>NC</t>
        </is>
      </c>
      <c r="E387" s="14" t="n">
        <v>840000</v>
      </c>
      <c r="F387" s="14" t="n">
        <v>13176.78</v>
      </c>
      <c r="G387" s="14" t="n">
        <v>1647.1</v>
      </c>
      <c r="H387" s="14" t="n">
        <v>1647.1</v>
      </c>
      <c r="I387" s="14">
        <f>SUM(K387:T387)</f>
        <v/>
      </c>
      <c r="J387" s="14">
        <f>F387-(G387+H387+I387)</f>
        <v/>
      </c>
      <c r="K387" s="14" t="n">
        <v>988.26</v>
      </c>
      <c r="L387" s="14" t="n">
        <v>988.26</v>
      </c>
      <c r="M387" s="14" t="n">
        <v>988.26</v>
      </c>
      <c r="N387" s="14" t="n">
        <v>988.26</v>
      </c>
      <c r="O387" s="14" t="n">
        <v>988.26</v>
      </c>
      <c r="P387" s="14" t="n">
        <v>988.26</v>
      </c>
      <c r="Q387" s="14" t="n">
        <v>988.26</v>
      </c>
      <c r="R387" s="14" t="n">
        <v>988.26</v>
      </c>
      <c r="S387" s="14" t="n">
        <v>988.26</v>
      </c>
      <c r="T387" s="14" t="n">
        <v>988.26</v>
      </c>
      <c r="U387" s="14" t="n">
        <v>350</v>
      </c>
      <c r="V387" s="14" t="n">
        <v>0</v>
      </c>
      <c r="W387" s="14">
        <f>U387+V387</f>
        <v/>
      </c>
    </row>
    <row r="388">
      <c r="A388" s="15" t="inlineStr">
        <is>
          <t>CANON-202607-008189</t>
        </is>
      </c>
      <c r="B388" s="15" t="inlineStr">
        <is>
          <t>2026-07-04</t>
        </is>
      </c>
      <c r="C388" s="15" t="inlineStr">
        <is>
          <t>Sunniva Montoya</t>
        </is>
      </c>
      <c r="D388" s="15" t="inlineStr">
        <is>
          <t>NJ</t>
        </is>
      </c>
      <c r="E388" s="16" t="n">
        <v>415000</v>
      </c>
      <c r="F388" s="16" t="n">
        <v>4066.86</v>
      </c>
      <c r="G388" s="16" t="n">
        <v>508.36</v>
      </c>
      <c r="H388" s="16" t="n">
        <v>508.36</v>
      </c>
      <c r="I388" s="16">
        <f>SUM(K388:T388)</f>
        <v/>
      </c>
      <c r="J388" s="16">
        <f>F388-(G388+H388+I388)</f>
        <v/>
      </c>
      <c r="K388" s="16" t="n">
        <v>305.01</v>
      </c>
      <c r="L388" s="16" t="n">
        <v>305.01</v>
      </c>
      <c r="M388" s="16" t="n">
        <v>305.01</v>
      </c>
      <c r="N388" s="16" t="n">
        <v>305.01</v>
      </c>
      <c r="O388" s="16" t="n">
        <v>305.01</v>
      </c>
      <c r="P388" s="16" t="n">
        <v>305.01</v>
      </c>
      <c r="Q388" s="16" t="n">
        <v>305.01</v>
      </c>
      <c r="R388" s="16" t="n">
        <v>305.01</v>
      </c>
      <c r="S388" s="16" t="n">
        <v>305.01</v>
      </c>
      <c r="T388" s="16" t="n">
        <v>305.01</v>
      </c>
      <c r="U388" s="16" t="n">
        <v>350</v>
      </c>
      <c r="V388" s="16" t="n">
        <v>0</v>
      </c>
      <c r="W388" s="16">
        <f>U388+V388</f>
        <v/>
      </c>
    </row>
    <row r="389">
      <c r="A389" s="3" t="inlineStr">
        <is>
          <t>CANON-202607-008190</t>
        </is>
      </c>
      <c r="B389" s="3" t="inlineStr">
        <is>
          <t>2026-07-02</t>
        </is>
      </c>
      <c r="C389" s="3" t="inlineStr">
        <is>
          <t>Lorenzo Blackwood</t>
        </is>
      </c>
      <c r="D389" s="3" t="inlineStr">
        <is>
          <t>OR</t>
        </is>
      </c>
      <c r="E389" s="14" t="n">
        <v>790000</v>
      </c>
      <c r="F389" s="14" t="n">
        <v>8331.59</v>
      </c>
      <c r="G389" s="14" t="n">
        <v>1041.45</v>
      </c>
      <c r="H389" s="14" t="n">
        <v>1041.45</v>
      </c>
      <c r="I389" s="14">
        <f>SUM(K389:T389)</f>
        <v/>
      </c>
      <c r="J389" s="14">
        <f>F389-(G389+H389+I389)</f>
        <v/>
      </c>
      <c r="K389" s="14" t="n">
        <v>624.87</v>
      </c>
      <c r="L389" s="14" t="n">
        <v>624.87</v>
      </c>
      <c r="M389" s="14" t="n">
        <v>624.87</v>
      </c>
      <c r="N389" s="14" t="n">
        <v>624.87</v>
      </c>
      <c r="O389" s="14" t="n">
        <v>624.87</v>
      </c>
      <c r="P389" s="14" t="n">
        <v>624.87</v>
      </c>
      <c r="Q389" s="14" t="n">
        <v>624.87</v>
      </c>
      <c r="R389" s="14" t="n">
        <v>624.87</v>
      </c>
      <c r="S389" s="14" t="n">
        <v>624.87</v>
      </c>
      <c r="T389" s="14" t="n">
        <v>624.87</v>
      </c>
      <c r="U389" s="14" t="n">
        <v>350</v>
      </c>
      <c r="V389" s="14" t="n">
        <v>0</v>
      </c>
      <c r="W389" s="14">
        <f>U389+V389</f>
        <v/>
      </c>
    </row>
    <row r="390">
      <c r="A390" s="15" t="inlineStr">
        <is>
          <t>CANON-202607-008192</t>
        </is>
      </c>
      <c r="B390" s="15" t="inlineStr">
        <is>
          <t>2026-07-27</t>
        </is>
      </c>
      <c r="C390" s="15" t="inlineStr">
        <is>
          <t>Fitzgerald Chattopadhyay</t>
        </is>
      </c>
      <c r="D390" s="15" t="inlineStr">
        <is>
          <t>TX</t>
        </is>
      </c>
      <c r="E390" s="16" t="n">
        <v>195000</v>
      </c>
      <c r="F390" s="16" t="n">
        <v>2962.3</v>
      </c>
      <c r="G390" s="16" t="n">
        <v>370.29</v>
      </c>
      <c r="H390" s="16" t="n">
        <v>370.29</v>
      </c>
      <c r="I390" s="16">
        <f>SUM(K390:T390)</f>
        <v/>
      </c>
      <c r="J390" s="16">
        <f>F390-(G390+H390+I390)</f>
        <v/>
      </c>
      <c r="K390" s="16" t="n">
        <v>222.17</v>
      </c>
      <c r="L390" s="16" t="n">
        <v>222.17</v>
      </c>
      <c r="M390" s="16" t="n">
        <v>222.17</v>
      </c>
      <c r="N390" s="16" t="n">
        <v>222.17</v>
      </c>
      <c r="O390" s="16" t="n">
        <v>222.17</v>
      </c>
      <c r="P390" s="16" t="n">
        <v>222.17</v>
      </c>
      <c r="Q390" s="16" t="n">
        <v>222.17</v>
      </c>
      <c r="R390" s="16" t="n">
        <v>222.17</v>
      </c>
      <c r="S390" s="16" t="n">
        <v>222.17</v>
      </c>
      <c r="T390" s="16" t="n">
        <v>222.17</v>
      </c>
      <c r="U390" s="16" t="n">
        <v>350</v>
      </c>
      <c r="V390" s="16" t="n">
        <v>0</v>
      </c>
      <c r="W390" s="16">
        <f>U390+V390</f>
        <v/>
      </c>
    </row>
    <row r="391">
      <c r="A391" s="3" t="inlineStr">
        <is>
          <t>CANON-202607-008193</t>
        </is>
      </c>
      <c r="B391" s="3" t="inlineStr">
        <is>
          <t>2026-07-30</t>
        </is>
      </c>
      <c r="C391" s="3" t="inlineStr">
        <is>
          <t>Ramona Delacroix</t>
        </is>
      </c>
      <c r="D391" s="3" t="inlineStr">
        <is>
          <t>MN</t>
        </is>
      </c>
      <c r="E391" s="14" t="n">
        <v>1950000</v>
      </c>
      <c r="F391" s="14" t="n">
        <v>29567</v>
      </c>
      <c r="G391" s="14" t="n">
        <v>3695.88</v>
      </c>
      <c r="H391" s="14" t="n">
        <v>3695.88</v>
      </c>
      <c r="I391" s="14">
        <f>SUM(K391:T391)</f>
        <v/>
      </c>
      <c r="J391" s="14">
        <f>F391-(G391+H391+I391)</f>
        <v/>
      </c>
      <c r="K391" s="14" t="n">
        <v>2217.53</v>
      </c>
      <c r="L391" s="14" t="n">
        <v>2217.53</v>
      </c>
      <c r="M391" s="14" t="n">
        <v>2217.53</v>
      </c>
      <c r="N391" s="14" t="n">
        <v>2217.53</v>
      </c>
      <c r="O391" s="14" t="n">
        <v>2217.53</v>
      </c>
      <c r="P391" s="14" t="n">
        <v>2217.53</v>
      </c>
      <c r="Q391" s="14" t="n">
        <v>2217.53</v>
      </c>
      <c r="R391" s="14" t="n">
        <v>2217.53</v>
      </c>
      <c r="S391" s="14" t="n">
        <v>2217.53</v>
      </c>
      <c r="T391" s="14" t="n">
        <v>2217.53</v>
      </c>
      <c r="U391" s="14" t="n">
        <v>350</v>
      </c>
      <c r="V391" s="14" t="n">
        <v>250</v>
      </c>
      <c r="W391" s="14">
        <f>U391+V391</f>
        <v/>
      </c>
    </row>
    <row r="392">
      <c r="A392" s="15" t="inlineStr">
        <is>
          <t>CANON-202607-008194</t>
        </is>
      </c>
      <c r="B392" s="15" t="inlineStr">
        <is>
          <t>2026-07-02</t>
        </is>
      </c>
      <c r="C392" s="15" t="inlineStr">
        <is>
          <t>Thaddeus Larsson</t>
        </is>
      </c>
      <c r="D392" s="15" t="inlineStr">
        <is>
          <t>MS</t>
        </is>
      </c>
      <c r="E392" s="16" t="n">
        <v>660000</v>
      </c>
      <c r="F392" s="16" t="n">
        <v>10713.3</v>
      </c>
      <c r="G392" s="16" t="n">
        <v>1339.16</v>
      </c>
      <c r="H392" s="16" t="n">
        <v>1339.16</v>
      </c>
      <c r="I392" s="16">
        <f>SUM(K392:T392)</f>
        <v/>
      </c>
      <c r="J392" s="16">
        <f>F392-(G392+H392+I392)</f>
        <v/>
      </c>
      <c r="K392" s="16" t="n">
        <v>803.5</v>
      </c>
      <c r="L392" s="16" t="n">
        <v>803.5</v>
      </c>
      <c r="M392" s="16" t="n">
        <v>803.5</v>
      </c>
      <c r="N392" s="16" t="n">
        <v>803.5</v>
      </c>
      <c r="O392" s="16" t="n">
        <v>803.5</v>
      </c>
      <c r="P392" s="16" t="n">
        <v>803.5</v>
      </c>
      <c r="Q392" s="16" t="n">
        <v>803.5</v>
      </c>
      <c r="R392" s="16" t="n">
        <v>803.5</v>
      </c>
      <c r="S392" s="16" t="n">
        <v>803.5</v>
      </c>
      <c r="T392" s="16" t="n">
        <v>803.5</v>
      </c>
      <c r="U392" s="16" t="n">
        <v>350</v>
      </c>
      <c r="V392" s="16" t="n">
        <v>0</v>
      </c>
      <c r="W392" s="16">
        <f>U392+V392</f>
        <v/>
      </c>
    </row>
    <row r="393">
      <c r="A393" s="3" t="inlineStr">
        <is>
          <t>CANON-202607-008195</t>
        </is>
      </c>
      <c r="B393" s="3" t="inlineStr">
        <is>
          <t>2026-07-07</t>
        </is>
      </c>
      <c r="C393" s="3" t="inlineStr">
        <is>
          <t>Delphine Kingsford</t>
        </is>
      </c>
      <c r="D393" s="3" t="inlineStr">
        <is>
          <t>AK</t>
        </is>
      </c>
      <c r="E393" s="14" t="n">
        <v>1250000</v>
      </c>
      <c r="F393" s="14" t="n">
        <v>11253.47</v>
      </c>
      <c r="G393" s="14" t="n">
        <v>1406.68</v>
      </c>
      <c r="H393" s="14" t="n">
        <v>1406.68</v>
      </c>
      <c r="I393" s="14">
        <f>SUM(K393:T393)</f>
        <v/>
      </c>
      <c r="J393" s="14">
        <f>F393-(G393+H393+I393)</f>
        <v/>
      </c>
      <c r="K393" s="14" t="n">
        <v>844.01</v>
      </c>
      <c r="L393" s="14" t="n">
        <v>844.01</v>
      </c>
      <c r="M393" s="14" t="n">
        <v>844.01</v>
      </c>
      <c r="N393" s="14" t="n">
        <v>844.01</v>
      </c>
      <c r="O393" s="14" t="n">
        <v>844.01</v>
      </c>
      <c r="P393" s="14" t="n">
        <v>844.01</v>
      </c>
      <c r="Q393" s="14" t="n">
        <v>844.01</v>
      </c>
      <c r="R393" s="14" t="n">
        <v>844.01</v>
      </c>
      <c r="S393" s="14" t="n">
        <v>844.01</v>
      </c>
      <c r="T393" s="14" t="n">
        <v>844.01</v>
      </c>
      <c r="U393" s="14" t="n">
        <v>350</v>
      </c>
      <c r="V393" s="14" t="n">
        <v>250</v>
      </c>
      <c r="W393" s="14">
        <f>U393+V393</f>
        <v/>
      </c>
    </row>
    <row r="394">
      <c r="A394" s="15" t="inlineStr">
        <is>
          <t>CANON-202607-008197</t>
        </is>
      </c>
      <c r="B394" s="15" t="inlineStr">
        <is>
          <t>2026-07-26</t>
        </is>
      </c>
      <c r="C394" s="15" t="inlineStr">
        <is>
          <t>Thaddeus Whitlock</t>
        </is>
      </c>
      <c r="D394" s="15" t="inlineStr">
        <is>
          <t>MI</t>
        </is>
      </c>
      <c r="E394" s="16" t="n">
        <v>1105000</v>
      </c>
      <c r="F394" s="16" t="n">
        <v>13525.88</v>
      </c>
      <c r="G394" s="16" t="n">
        <v>1690.73</v>
      </c>
      <c r="H394" s="16" t="n">
        <v>1690.73</v>
      </c>
      <c r="I394" s="16">
        <f>SUM(K394:T394)</f>
        <v/>
      </c>
      <c r="J394" s="16">
        <f>F394-(G394+H394+I394)</f>
        <v/>
      </c>
      <c r="K394" s="16" t="n">
        <v>1014.44</v>
      </c>
      <c r="L394" s="16" t="n">
        <v>1014.44</v>
      </c>
      <c r="M394" s="16" t="n">
        <v>1014.44</v>
      </c>
      <c r="N394" s="16" t="n">
        <v>1014.44</v>
      </c>
      <c r="O394" s="16" t="n">
        <v>1014.44</v>
      </c>
      <c r="P394" s="16" t="n">
        <v>1014.44</v>
      </c>
      <c r="Q394" s="16" t="n">
        <v>1014.44</v>
      </c>
      <c r="R394" s="16" t="n">
        <v>1014.44</v>
      </c>
      <c r="S394" s="16" t="n">
        <v>1014.44</v>
      </c>
      <c r="T394" s="16" t="n">
        <v>1014.44</v>
      </c>
      <c r="U394" s="16" t="n">
        <v>350</v>
      </c>
      <c r="V394" s="16" t="n">
        <v>250</v>
      </c>
      <c r="W394" s="16">
        <f>U394+V394</f>
        <v/>
      </c>
    </row>
    <row r="395">
      <c r="A395" s="3" t="inlineStr">
        <is>
          <t>CANON-202607-008199</t>
        </is>
      </c>
      <c r="B395" s="3" t="inlineStr">
        <is>
          <t>2026-07-02</t>
        </is>
      </c>
      <c r="C395" s="3" t="inlineStr">
        <is>
          <t>Marisol Harrington</t>
        </is>
      </c>
      <c r="D395" s="3" t="inlineStr">
        <is>
          <t>CA</t>
        </is>
      </c>
      <c r="E395" s="14" t="n">
        <v>445000</v>
      </c>
      <c r="F395" s="14" t="n">
        <v>6469.4</v>
      </c>
      <c r="G395" s="14" t="n">
        <v>808.67</v>
      </c>
      <c r="H395" s="14" t="n">
        <v>808.67</v>
      </c>
      <c r="I395" s="14">
        <f>SUM(K395:T395)</f>
        <v/>
      </c>
      <c r="J395" s="14">
        <f>F395-(G395+H395+I395)</f>
        <v/>
      </c>
      <c r="K395" s="14" t="n">
        <v>485.2</v>
      </c>
      <c r="L395" s="14" t="n">
        <v>485.2</v>
      </c>
      <c r="M395" s="14" t="n">
        <v>485.2</v>
      </c>
      <c r="N395" s="14" t="n">
        <v>485.2</v>
      </c>
      <c r="O395" s="14" t="n">
        <v>485.2</v>
      </c>
      <c r="P395" s="14" t="n">
        <v>485.2</v>
      </c>
      <c r="Q395" s="14" t="n">
        <v>485.2</v>
      </c>
      <c r="R395" s="14" t="n">
        <v>485.2</v>
      </c>
      <c r="S395" s="14" t="n">
        <v>485.2</v>
      </c>
      <c r="T395" s="14" t="n">
        <v>485.2</v>
      </c>
      <c r="U395" s="14" t="n">
        <v>350</v>
      </c>
      <c r="V395" s="14" t="n">
        <v>0</v>
      </c>
      <c r="W395" s="14">
        <f>U395+V395</f>
        <v/>
      </c>
    </row>
    <row r="396">
      <c r="A396" s="15" t="inlineStr">
        <is>
          <t>CANON-202607-008201</t>
        </is>
      </c>
      <c r="B396" s="15" t="inlineStr">
        <is>
          <t>2026-07-10</t>
        </is>
      </c>
      <c r="C396" s="15" t="inlineStr">
        <is>
          <t>Lorenzo Nakashima</t>
        </is>
      </c>
      <c r="D396" s="15" t="inlineStr">
        <is>
          <t>TN</t>
        </is>
      </c>
      <c r="E396" s="16" t="n">
        <v>770000</v>
      </c>
      <c r="F396" s="16" t="n">
        <v>4659.02</v>
      </c>
      <c r="G396" s="16" t="n">
        <v>582.38</v>
      </c>
      <c r="H396" s="16" t="n">
        <v>582.38</v>
      </c>
      <c r="I396" s="16">
        <f>SUM(K396:T396)</f>
        <v/>
      </c>
      <c r="J396" s="16">
        <f>F396-(G396+H396+I396)</f>
        <v/>
      </c>
      <c r="K396" s="16" t="n">
        <v>349.43</v>
      </c>
      <c r="L396" s="16" t="n">
        <v>349.43</v>
      </c>
      <c r="M396" s="16" t="n">
        <v>349.43</v>
      </c>
      <c r="N396" s="16" t="n">
        <v>349.43</v>
      </c>
      <c r="O396" s="16" t="n">
        <v>349.43</v>
      </c>
      <c r="P396" s="16" t="n">
        <v>349.43</v>
      </c>
      <c r="Q396" s="16" t="n">
        <v>349.43</v>
      </c>
      <c r="R396" s="16" t="n">
        <v>349.43</v>
      </c>
      <c r="S396" s="16" t="n">
        <v>349.43</v>
      </c>
      <c r="T396" s="16" t="n">
        <v>349.43</v>
      </c>
      <c r="U396" s="16" t="n">
        <v>350</v>
      </c>
      <c r="V396" s="16" t="n">
        <v>0</v>
      </c>
      <c r="W396" s="16">
        <f>U396+V396</f>
        <v/>
      </c>
    </row>
    <row r="397">
      <c r="A397" s="3" t="inlineStr">
        <is>
          <t>CANON-202607-008202</t>
        </is>
      </c>
      <c r="B397" s="3" t="inlineStr">
        <is>
          <t>2026-07-19</t>
        </is>
      </c>
      <c r="C397" s="3" t="inlineStr">
        <is>
          <t>Priya Larsson</t>
        </is>
      </c>
      <c r="D397" s="3" t="inlineStr">
        <is>
          <t>ND</t>
        </is>
      </c>
      <c r="E397" s="14" t="n">
        <v>420000</v>
      </c>
      <c r="F397" s="14" t="n">
        <v>7073.85</v>
      </c>
      <c r="G397" s="14" t="n">
        <v>884.23</v>
      </c>
      <c r="H397" s="14" t="n">
        <v>884.23</v>
      </c>
      <c r="I397" s="14">
        <f>SUM(K397:T397)</f>
        <v/>
      </c>
      <c r="J397" s="14">
        <f>F397-(G397+H397+I397)</f>
        <v/>
      </c>
      <c r="K397" s="14" t="n">
        <v>530.54</v>
      </c>
      <c r="L397" s="14" t="n">
        <v>530.54</v>
      </c>
      <c r="M397" s="14" t="n">
        <v>530.54</v>
      </c>
      <c r="N397" s="14" t="n">
        <v>530.54</v>
      </c>
      <c r="O397" s="14" t="n">
        <v>530.54</v>
      </c>
      <c r="P397" s="14" t="n">
        <v>530.54</v>
      </c>
      <c r="Q397" s="14" t="n">
        <v>530.54</v>
      </c>
      <c r="R397" s="14" t="n">
        <v>530.54</v>
      </c>
      <c r="S397" s="14" t="n">
        <v>530.54</v>
      </c>
      <c r="T397" s="14" t="n">
        <v>530.54</v>
      </c>
      <c r="U397" s="14" t="n">
        <v>350</v>
      </c>
      <c r="V397" s="14" t="n">
        <v>0</v>
      </c>
      <c r="W397" s="14">
        <f>U397+V397</f>
        <v/>
      </c>
    </row>
    <row r="398">
      <c r="A398" s="15" t="inlineStr">
        <is>
          <t>CANON-202607-008204</t>
        </is>
      </c>
      <c r="B398" s="15" t="inlineStr">
        <is>
          <t>2026-07-28</t>
        </is>
      </c>
      <c r="C398" s="15" t="inlineStr">
        <is>
          <t>Anouk Merriweather</t>
        </is>
      </c>
      <c r="D398" s="15" t="inlineStr">
        <is>
          <t>TX</t>
        </is>
      </c>
      <c r="E398" s="16" t="n">
        <v>335000</v>
      </c>
      <c r="F398" s="16" t="n">
        <v>4148.71</v>
      </c>
      <c r="G398" s="16" t="n">
        <v>518.59</v>
      </c>
      <c r="H398" s="16" t="n">
        <v>518.59</v>
      </c>
      <c r="I398" s="16">
        <f>SUM(K398:T398)</f>
        <v/>
      </c>
      <c r="J398" s="16">
        <f>F398-(G398+H398+I398)</f>
        <v/>
      </c>
      <c r="K398" s="16" t="n">
        <v>311.15</v>
      </c>
      <c r="L398" s="16" t="n">
        <v>311.15</v>
      </c>
      <c r="M398" s="16" t="n">
        <v>311.15</v>
      </c>
      <c r="N398" s="16" t="n">
        <v>311.15</v>
      </c>
      <c r="O398" s="16" t="n">
        <v>311.15</v>
      </c>
      <c r="P398" s="16" t="n">
        <v>311.15</v>
      </c>
      <c r="Q398" s="16" t="n">
        <v>311.15</v>
      </c>
      <c r="R398" s="16" t="n">
        <v>311.15</v>
      </c>
      <c r="S398" s="16" t="n">
        <v>311.15</v>
      </c>
      <c r="T398" s="16" t="n">
        <v>311.15</v>
      </c>
      <c r="U398" s="16" t="n">
        <v>350</v>
      </c>
      <c r="V398" s="16" t="n">
        <v>0</v>
      </c>
      <c r="W398" s="16">
        <f>U398+V398</f>
        <v/>
      </c>
    </row>
    <row r="399">
      <c r="A399" s="3" t="inlineStr">
        <is>
          <t>CANON-202607-008205</t>
        </is>
      </c>
      <c r="B399" s="3" t="inlineStr">
        <is>
          <t>2026-07-13</t>
        </is>
      </c>
      <c r="C399" s="3" t="inlineStr">
        <is>
          <t>Fenwick Vasquez</t>
        </is>
      </c>
      <c r="D399" s="3" t="inlineStr">
        <is>
          <t>WV</t>
        </is>
      </c>
      <c r="E399" s="14" t="n">
        <v>480000</v>
      </c>
      <c r="F399" s="14" t="n">
        <v>6874.84</v>
      </c>
      <c r="G399" s="14" t="n">
        <v>859.36</v>
      </c>
      <c r="H399" s="14" t="n">
        <v>859.36</v>
      </c>
      <c r="I399" s="14">
        <f>SUM(K399:T399)</f>
        <v/>
      </c>
      <c r="J399" s="14">
        <f>F399-(G399+H399+I399)</f>
        <v/>
      </c>
      <c r="K399" s="14" t="n">
        <v>515.61</v>
      </c>
      <c r="L399" s="14" t="n">
        <v>515.61</v>
      </c>
      <c r="M399" s="14" t="n">
        <v>515.61</v>
      </c>
      <c r="N399" s="14" t="n">
        <v>515.61</v>
      </c>
      <c r="O399" s="14" t="n">
        <v>515.61</v>
      </c>
      <c r="P399" s="14" t="n">
        <v>515.61</v>
      </c>
      <c r="Q399" s="14" t="n">
        <v>515.61</v>
      </c>
      <c r="R399" s="14" t="n">
        <v>515.61</v>
      </c>
      <c r="S399" s="14" t="n">
        <v>515.61</v>
      </c>
      <c r="T399" s="14" t="n">
        <v>515.61</v>
      </c>
      <c r="U399" s="14" t="n">
        <v>350</v>
      </c>
      <c r="V399" s="14" t="n">
        <v>0</v>
      </c>
      <c r="W399" s="14">
        <f>U399+V399</f>
        <v/>
      </c>
    </row>
    <row r="400">
      <c r="A400" s="15" t="inlineStr">
        <is>
          <t>CANON-202607-008206</t>
        </is>
      </c>
      <c r="B400" s="15" t="inlineStr">
        <is>
          <t>2026-07-29</t>
        </is>
      </c>
      <c r="C400" s="15" t="inlineStr">
        <is>
          <t>Lorenzo Rourke</t>
        </is>
      </c>
      <c r="D400" s="15" t="inlineStr">
        <is>
          <t>MS</t>
        </is>
      </c>
      <c r="E400" s="16" t="n">
        <v>640000</v>
      </c>
      <c r="F400" s="16" t="n">
        <v>7108.03</v>
      </c>
      <c r="G400" s="16" t="n">
        <v>888.5</v>
      </c>
      <c r="H400" s="16" t="n">
        <v>888.5</v>
      </c>
      <c r="I400" s="16">
        <f>SUM(K400:T400)</f>
        <v/>
      </c>
      <c r="J400" s="16">
        <f>F400-(G400+H400+I400)</f>
        <v/>
      </c>
      <c r="K400" s="16" t="n">
        <v>533.1</v>
      </c>
      <c r="L400" s="16" t="n">
        <v>533.1</v>
      </c>
      <c r="M400" s="16" t="n">
        <v>533.1</v>
      </c>
      <c r="N400" s="16" t="n">
        <v>533.1</v>
      </c>
      <c r="O400" s="16" t="n">
        <v>533.1</v>
      </c>
      <c r="P400" s="16" t="n">
        <v>533.1</v>
      </c>
      <c r="Q400" s="16" t="n">
        <v>533.1</v>
      </c>
      <c r="R400" s="16" t="n">
        <v>533.1</v>
      </c>
      <c r="S400" s="16" t="n">
        <v>533.1</v>
      </c>
      <c r="T400" s="16" t="n">
        <v>533.1</v>
      </c>
      <c r="U400" s="16" t="n">
        <v>350</v>
      </c>
      <c r="V400" s="16" t="n">
        <v>0</v>
      </c>
      <c r="W400" s="16">
        <f>U400+V400</f>
        <v/>
      </c>
    </row>
    <row r="401">
      <c r="A401" s="3" t="inlineStr">
        <is>
          <t>CANON-202607-008208</t>
        </is>
      </c>
      <c r="B401" s="3" t="inlineStr">
        <is>
          <t>2026-07-15</t>
        </is>
      </c>
      <c r="C401" s="3" t="inlineStr">
        <is>
          <t>Ramona Underwood</t>
        </is>
      </c>
      <c r="D401" s="3" t="inlineStr">
        <is>
          <t>WY</t>
        </is>
      </c>
      <c r="E401" s="14" t="n">
        <v>385000</v>
      </c>
      <c r="F401" s="14" t="n">
        <v>4436.23</v>
      </c>
      <c r="G401" s="14" t="n">
        <v>554.53</v>
      </c>
      <c r="H401" s="14" t="n">
        <v>554.53</v>
      </c>
      <c r="I401" s="14">
        <f>SUM(K401:T401)</f>
        <v/>
      </c>
      <c r="J401" s="14">
        <f>F401-(G401+H401+I401)</f>
        <v/>
      </c>
      <c r="K401" s="14" t="n">
        <v>332.72</v>
      </c>
      <c r="L401" s="14" t="n">
        <v>332.72</v>
      </c>
      <c r="M401" s="14" t="n">
        <v>332.72</v>
      </c>
      <c r="N401" s="14" t="n">
        <v>332.72</v>
      </c>
      <c r="O401" s="14" t="n">
        <v>332.72</v>
      </c>
      <c r="P401" s="14" t="n">
        <v>332.72</v>
      </c>
      <c r="Q401" s="14" t="n">
        <v>332.72</v>
      </c>
      <c r="R401" s="14" t="n">
        <v>332.72</v>
      </c>
      <c r="S401" s="14" t="n">
        <v>332.72</v>
      </c>
      <c r="T401" s="14" t="n">
        <v>332.72</v>
      </c>
      <c r="U401" s="14" t="n">
        <v>350</v>
      </c>
      <c r="V401" s="14" t="n">
        <v>0</v>
      </c>
      <c r="W401" s="14">
        <f>U401+V401</f>
        <v/>
      </c>
    </row>
    <row r="402">
      <c r="A402" s="15" t="inlineStr">
        <is>
          <t>CANON-202607-008209</t>
        </is>
      </c>
      <c r="B402" s="15" t="inlineStr">
        <is>
          <t>2026-07-24</t>
        </is>
      </c>
      <c r="C402" s="15" t="inlineStr">
        <is>
          <t>Aurelio Ashcombe</t>
        </is>
      </c>
      <c r="D402" s="15" t="inlineStr">
        <is>
          <t>MA</t>
        </is>
      </c>
      <c r="E402" s="16" t="n">
        <v>210000</v>
      </c>
      <c r="F402" s="16" t="n">
        <v>3467.57</v>
      </c>
      <c r="G402" s="16" t="n">
        <v>433.45</v>
      </c>
      <c r="H402" s="16" t="n">
        <v>433.45</v>
      </c>
      <c r="I402" s="16">
        <f>SUM(K402:T402)</f>
        <v/>
      </c>
      <c r="J402" s="16">
        <f>F402-(G402+H402+I402)</f>
        <v/>
      </c>
      <c r="K402" s="16" t="n">
        <v>260.07</v>
      </c>
      <c r="L402" s="16" t="n">
        <v>260.07</v>
      </c>
      <c r="M402" s="16" t="n">
        <v>260.07</v>
      </c>
      <c r="N402" s="16" t="n">
        <v>260.07</v>
      </c>
      <c r="O402" s="16" t="n">
        <v>260.07</v>
      </c>
      <c r="P402" s="16" t="n">
        <v>260.07</v>
      </c>
      <c r="Q402" s="16" t="n">
        <v>260.07</v>
      </c>
      <c r="R402" s="16" t="n">
        <v>260.07</v>
      </c>
      <c r="S402" s="16" t="n">
        <v>260.07</v>
      </c>
      <c r="T402" s="16" t="n">
        <v>260.07</v>
      </c>
      <c r="U402" s="16" t="n">
        <v>350</v>
      </c>
      <c r="V402" s="16" t="n">
        <v>0</v>
      </c>
      <c r="W402" s="16">
        <f>U402+V402</f>
        <v/>
      </c>
    </row>
    <row r="403">
      <c r="A403" s="3" t="inlineStr">
        <is>
          <t>CANON-202607-008210</t>
        </is>
      </c>
      <c r="B403" s="3" t="inlineStr">
        <is>
          <t>2026-07-03</t>
        </is>
      </c>
      <c r="C403" s="3" t="inlineStr">
        <is>
          <t>Ingrid Vandermeer</t>
        </is>
      </c>
      <c r="D403" s="3" t="inlineStr">
        <is>
          <t>MA</t>
        </is>
      </c>
      <c r="E403" s="14" t="n">
        <v>1420000</v>
      </c>
      <c r="F403" s="14" t="n">
        <v>14017.48</v>
      </c>
      <c r="G403" s="14" t="n">
        <v>1752.18</v>
      </c>
      <c r="H403" s="14" t="n">
        <v>1752.18</v>
      </c>
      <c r="I403" s="14">
        <f>SUM(K403:T403)</f>
        <v/>
      </c>
      <c r="J403" s="14">
        <f>F403-(G403+H403+I403)</f>
        <v/>
      </c>
      <c r="K403" s="14" t="n">
        <v>1051.31</v>
      </c>
      <c r="L403" s="14" t="n">
        <v>1051.31</v>
      </c>
      <c r="M403" s="14" t="n">
        <v>1051.31</v>
      </c>
      <c r="N403" s="14" t="n">
        <v>1051.31</v>
      </c>
      <c r="O403" s="14" t="n">
        <v>1051.31</v>
      </c>
      <c r="P403" s="14" t="n">
        <v>1051.31</v>
      </c>
      <c r="Q403" s="14" t="n">
        <v>1051.31</v>
      </c>
      <c r="R403" s="14" t="n">
        <v>1051.31</v>
      </c>
      <c r="S403" s="14" t="n">
        <v>1051.31</v>
      </c>
      <c r="T403" s="14" t="n">
        <v>1051.31</v>
      </c>
      <c r="U403" s="14" t="n">
        <v>350</v>
      </c>
      <c r="V403" s="14" t="n">
        <v>250</v>
      </c>
      <c r="W403" s="14">
        <f>U403+V403</f>
        <v/>
      </c>
    </row>
    <row r="404">
      <c r="A404" s="15" t="inlineStr">
        <is>
          <t>CANON-202607-008213</t>
        </is>
      </c>
      <c r="B404" s="15" t="inlineStr">
        <is>
          <t>2026-07-18</t>
        </is>
      </c>
      <c r="C404" s="15" t="inlineStr">
        <is>
          <t>Lorenzo Kingsford</t>
        </is>
      </c>
      <c r="D404" s="15" t="inlineStr">
        <is>
          <t>AZ</t>
        </is>
      </c>
      <c r="E404" s="16" t="n">
        <v>535000</v>
      </c>
      <c r="F404" s="16" t="n">
        <v>5043.09</v>
      </c>
      <c r="G404" s="16" t="n">
        <v>630.39</v>
      </c>
      <c r="H404" s="16" t="n">
        <v>630.39</v>
      </c>
      <c r="I404" s="16">
        <f>SUM(K404:T404)</f>
        <v/>
      </c>
      <c r="J404" s="16">
        <f>F404-(G404+H404+I404)</f>
        <v/>
      </c>
      <c r="K404" s="16" t="n">
        <v>378.23</v>
      </c>
      <c r="L404" s="16" t="n">
        <v>378.23</v>
      </c>
      <c r="M404" s="16" t="n">
        <v>378.23</v>
      </c>
      <c r="N404" s="16" t="n">
        <v>378.23</v>
      </c>
      <c r="O404" s="16" t="n">
        <v>378.23</v>
      </c>
      <c r="P404" s="16" t="n">
        <v>378.23</v>
      </c>
      <c r="Q404" s="16" t="n">
        <v>378.23</v>
      </c>
      <c r="R404" s="16" t="n">
        <v>378.23</v>
      </c>
      <c r="S404" s="16" t="n">
        <v>378.23</v>
      </c>
      <c r="T404" s="16" t="n">
        <v>378.23</v>
      </c>
      <c r="U404" s="16" t="n">
        <v>350</v>
      </c>
      <c r="V404" s="16" t="n">
        <v>0</v>
      </c>
      <c r="W404" s="16">
        <f>U404+V404</f>
        <v/>
      </c>
    </row>
    <row r="405">
      <c r="A405" s="3" t="inlineStr">
        <is>
          <t>CANON-202607-008214</t>
        </is>
      </c>
      <c r="B405" s="3" t="inlineStr">
        <is>
          <t>2026-07-27</t>
        </is>
      </c>
      <c r="C405" s="3" t="inlineStr">
        <is>
          <t>Marisol Harrington</t>
        </is>
      </c>
      <c r="D405" s="3" t="inlineStr">
        <is>
          <t>IN</t>
        </is>
      </c>
      <c r="E405" s="14" t="n">
        <v>720000</v>
      </c>
      <c r="F405" s="14" t="n">
        <v>8265.32</v>
      </c>
      <c r="G405" s="14" t="n">
        <v>1033.16</v>
      </c>
      <c r="H405" s="14" t="n">
        <v>1033.16</v>
      </c>
      <c r="I405" s="14">
        <f>SUM(K405:T405)</f>
        <v/>
      </c>
      <c r="J405" s="14">
        <f>F405-(G405+H405+I405)</f>
        <v/>
      </c>
      <c r="K405" s="14" t="n">
        <v>619.9</v>
      </c>
      <c r="L405" s="14" t="n">
        <v>619.9</v>
      </c>
      <c r="M405" s="14" t="n">
        <v>619.9</v>
      </c>
      <c r="N405" s="14" t="n">
        <v>619.9</v>
      </c>
      <c r="O405" s="14" t="n">
        <v>619.9</v>
      </c>
      <c r="P405" s="14" t="n">
        <v>619.9</v>
      </c>
      <c r="Q405" s="14" t="n">
        <v>619.9</v>
      </c>
      <c r="R405" s="14" t="n">
        <v>619.9</v>
      </c>
      <c r="S405" s="14" t="n">
        <v>619.9</v>
      </c>
      <c r="T405" s="14" t="n">
        <v>619.9</v>
      </c>
      <c r="U405" s="14" t="n">
        <v>350</v>
      </c>
      <c r="V405" s="14" t="n">
        <v>0</v>
      </c>
      <c r="W405" s="14">
        <f>U405+V405</f>
        <v/>
      </c>
    </row>
    <row r="406">
      <c r="A406" s="15" t="inlineStr">
        <is>
          <t>CANON-202607-008215</t>
        </is>
      </c>
      <c r="B406" s="15" t="inlineStr">
        <is>
          <t>2026-07-25</t>
        </is>
      </c>
      <c r="C406" s="15" t="inlineStr">
        <is>
          <t>Emiliano Larsson</t>
        </is>
      </c>
      <c r="D406" s="15" t="inlineStr">
        <is>
          <t>NJ</t>
        </is>
      </c>
      <c r="E406" s="16" t="n">
        <v>1045000</v>
      </c>
      <c r="F406" s="16" t="n">
        <v>10923.36</v>
      </c>
      <c r="G406" s="16" t="n">
        <v>1365.42</v>
      </c>
      <c r="H406" s="16" t="n">
        <v>1365.42</v>
      </c>
      <c r="I406" s="16">
        <f>SUM(K406:T406)</f>
        <v/>
      </c>
      <c r="J406" s="16">
        <f>F406-(G406+H406+I406)</f>
        <v/>
      </c>
      <c r="K406" s="16" t="n">
        <v>819.25</v>
      </c>
      <c r="L406" s="16" t="n">
        <v>819.25</v>
      </c>
      <c r="M406" s="16" t="n">
        <v>819.25</v>
      </c>
      <c r="N406" s="16" t="n">
        <v>819.25</v>
      </c>
      <c r="O406" s="16" t="n">
        <v>819.25</v>
      </c>
      <c r="P406" s="16" t="n">
        <v>819.25</v>
      </c>
      <c r="Q406" s="16" t="n">
        <v>819.25</v>
      </c>
      <c r="R406" s="16" t="n">
        <v>819.25</v>
      </c>
      <c r="S406" s="16" t="n">
        <v>819.25</v>
      </c>
      <c r="T406" s="16" t="n">
        <v>819.25</v>
      </c>
      <c r="U406" s="16" t="n">
        <v>350</v>
      </c>
      <c r="V406" s="16" t="n">
        <v>250</v>
      </c>
      <c r="W406" s="16">
        <f>U406+V406</f>
        <v/>
      </c>
    </row>
    <row r="407">
      <c r="A407" s="3" t="inlineStr">
        <is>
          <t>CANON-202607-008216</t>
        </is>
      </c>
      <c r="B407" s="3" t="inlineStr">
        <is>
          <t>2026-07-08</t>
        </is>
      </c>
      <c r="C407" s="3" t="inlineStr">
        <is>
          <t>Noor Thistlewood</t>
        </is>
      </c>
      <c r="D407" s="3" t="inlineStr">
        <is>
          <t>NY</t>
        </is>
      </c>
      <c r="E407" s="14" t="n">
        <v>235000</v>
      </c>
      <c r="F407" s="14" t="n">
        <v>4534.99</v>
      </c>
      <c r="G407" s="14" t="n">
        <v>566.87</v>
      </c>
      <c r="H407" s="14" t="n">
        <v>566.87</v>
      </c>
      <c r="I407" s="14">
        <f>SUM(K407:T407)</f>
        <v/>
      </c>
      <c r="J407" s="14">
        <f>F407-(G407+H407+I407)</f>
        <v/>
      </c>
      <c r="K407" s="14" t="n">
        <v>340.12</v>
      </c>
      <c r="L407" s="14" t="n">
        <v>340.12</v>
      </c>
      <c r="M407" s="14" t="n">
        <v>340.12</v>
      </c>
      <c r="N407" s="14" t="n">
        <v>340.12</v>
      </c>
      <c r="O407" s="14" t="n">
        <v>340.12</v>
      </c>
      <c r="P407" s="14" t="n">
        <v>340.12</v>
      </c>
      <c r="Q407" s="14" t="n">
        <v>340.12</v>
      </c>
      <c r="R407" s="14" t="n">
        <v>340.12</v>
      </c>
      <c r="S407" s="14" t="n">
        <v>340.12</v>
      </c>
      <c r="T407" s="14" t="n">
        <v>340.12</v>
      </c>
      <c r="U407" s="14" t="n">
        <v>350</v>
      </c>
      <c r="V407" s="14" t="n">
        <v>0</v>
      </c>
      <c r="W407" s="14">
        <f>U407+V407</f>
        <v/>
      </c>
    </row>
    <row r="408">
      <c r="A408" s="15" t="inlineStr">
        <is>
          <t>CANON-202607-008217</t>
        </is>
      </c>
      <c r="B408" s="15" t="inlineStr">
        <is>
          <t>2026-07-17</t>
        </is>
      </c>
      <c r="C408" s="15" t="inlineStr">
        <is>
          <t>Beatrix Montoya</t>
        </is>
      </c>
      <c r="D408" s="15" t="inlineStr">
        <is>
          <t>NJ</t>
        </is>
      </c>
      <c r="E408" s="16" t="n">
        <v>455000</v>
      </c>
      <c r="F408" s="16" t="n">
        <v>6836.9</v>
      </c>
      <c r="G408" s="16" t="n">
        <v>854.61</v>
      </c>
      <c r="H408" s="16" t="n">
        <v>854.61</v>
      </c>
      <c r="I408" s="16">
        <f>SUM(K408:T408)</f>
        <v/>
      </c>
      <c r="J408" s="16">
        <f>F408-(G408+H408+I408)</f>
        <v/>
      </c>
      <c r="K408" s="16" t="n">
        <v>512.77</v>
      </c>
      <c r="L408" s="16" t="n">
        <v>512.77</v>
      </c>
      <c r="M408" s="16" t="n">
        <v>512.77</v>
      </c>
      <c r="N408" s="16" t="n">
        <v>512.77</v>
      </c>
      <c r="O408" s="16" t="n">
        <v>512.77</v>
      </c>
      <c r="P408" s="16" t="n">
        <v>512.77</v>
      </c>
      <c r="Q408" s="16" t="n">
        <v>512.77</v>
      </c>
      <c r="R408" s="16" t="n">
        <v>512.77</v>
      </c>
      <c r="S408" s="16" t="n">
        <v>512.77</v>
      </c>
      <c r="T408" s="16" t="n">
        <v>512.77</v>
      </c>
      <c r="U408" s="16" t="n">
        <v>350</v>
      </c>
      <c r="V408" s="16" t="n">
        <v>0</v>
      </c>
      <c r="W408" s="16">
        <f>U408+V408</f>
        <v/>
      </c>
    </row>
    <row r="409">
      <c r="A409" s="3" t="inlineStr">
        <is>
          <t>CANON-202607-008218</t>
        </is>
      </c>
      <c r="B409" s="3" t="inlineStr">
        <is>
          <t>2026-07-06</t>
        </is>
      </c>
      <c r="C409" s="3" t="inlineStr">
        <is>
          <t>Callum Vasquez</t>
        </is>
      </c>
      <c r="D409" s="3" t="inlineStr">
        <is>
          <t>CO</t>
        </is>
      </c>
      <c r="E409" s="14" t="n">
        <v>235000</v>
      </c>
      <c r="F409" s="14" t="n">
        <v>3414.74</v>
      </c>
      <c r="G409" s="14" t="n">
        <v>426.84</v>
      </c>
      <c r="H409" s="14" t="n">
        <v>426.84</v>
      </c>
      <c r="I409" s="14">
        <f>SUM(K409:T409)</f>
        <v/>
      </c>
      <c r="J409" s="14">
        <f>F409-(G409+H409+I409)</f>
        <v/>
      </c>
      <c r="K409" s="14" t="n">
        <v>256.11</v>
      </c>
      <c r="L409" s="14" t="n">
        <v>256.11</v>
      </c>
      <c r="M409" s="14" t="n">
        <v>256.11</v>
      </c>
      <c r="N409" s="14" t="n">
        <v>256.11</v>
      </c>
      <c r="O409" s="14" t="n">
        <v>256.11</v>
      </c>
      <c r="P409" s="14" t="n">
        <v>256.11</v>
      </c>
      <c r="Q409" s="14" t="n">
        <v>256.11</v>
      </c>
      <c r="R409" s="14" t="n">
        <v>256.11</v>
      </c>
      <c r="S409" s="14" t="n">
        <v>256.11</v>
      </c>
      <c r="T409" s="14" t="n">
        <v>256.11</v>
      </c>
      <c r="U409" s="14" t="n">
        <v>350</v>
      </c>
      <c r="V409" s="14" t="n">
        <v>0</v>
      </c>
      <c r="W409" s="14">
        <f>U409+V409</f>
        <v/>
      </c>
    </row>
    <row r="410">
      <c r="A410" s="15" t="inlineStr">
        <is>
          <t>CANON-202607-008219</t>
        </is>
      </c>
      <c r="B410" s="15" t="inlineStr">
        <is>
          <t>2026-07-10</t>
        </is>
      </c>
      <c r="C410" s="15" t="inlineStr">
        <is>
          <t>Emiliano Vandermeer</t>
        </is>
      </c>
      <c r="D410" s="15" t="inlineStr">
        <is>
          <t>RI</t>
        </is>
      </c>
      <c r="E410" s="16" t="n">
        <v>815000</v>
      </c>
      <c r="F410" s="16" t="n">
        <v>6092.15</v>
      </c>
      <c r="G410" s="16" t="n">
        <v>761.52</v>
      </c>
      <c r="H410" s="16" t="n">
        <v>761.52</v>
      </c>
      <c r="I410" s="16">
        <f>SUM(K410:T410)</f>
        <v/>
      </c>
      <c r="J410" s="16">
        <f>F410-(G410+H410+I410)</f>
        <v/>
      </c>
      <c r="K410" s="16" t="n">
        <v>456.91</v>
      </c>
      <c r="L410" s="16" t="n">
        <v>456.91</v>
      </c>
      <c r="M410" s="16" t="n">
        <v>456.91</v>
      </c>
      <c r="N410" s="16" t="n">
        <v>456.91</v>
      </c>
      <c r="O410" s="16" t="n">
        <v>456.91</v>
      </c>
      <c r="P410" s="16" t="n">
        <v>456.91</v>
      </c>
      <c r="Q410" s="16" t="n">
        <v>456.91</v>
      </c>
      <c r="R410" s="16" t="n">
        <v>456.91</v>
      </c>
      <c r="S410" s="16" t="n">
        <v>456.91</v>
      </c>
      <c r="T410" s="16" t="n">
        <v>456.91</v>
      </c>
      <c r="U410" s="16" t="n">
        <v>350</v>
      </c>
      <c r="V410" s="16" t="n">
        <v>0</v>
      </c>
      <c r="W410" s="16">
        <f>U410+V410</f>
        <v/>
      </c>
    </row>
    <row r="411">
      <c r="A411" s="3" t="inlineStr">
        <is>
          <t>CANON-202607-008220</t>
        </is>
      </c>
      <c r="B411" s="3" t="inlineStr">
        <is>
          <t>2026-07-03</t>
        </is>
      </c>
      <c r="C411" s="3" t="inlineStr">
        <is>
          <t>Desmond Underwood</t>
        </is>
      </c>
      <c r="D411" s="3" t="inlineStr">
        <is>
          <t>FL</t>
        </is>
      </c>
      <c r="E411" s="14" t="n">
        <v>345000</v>
      </c>
      <c r="F411" s="14" t="n">
        <v>8089.36</v>
      </c>
      <c r="G411" s="14" t="n">
        <v>1011.17</v>
      </c>
      <c r="H411" s="14" t="n">
        <v>1011.17</v>
      </c>
      <c r="I411" s="14">
        <f>SUM(K411:T411)</f>
        <v/>
      </c>
      <c r="J411" s="14">
        <f>F411-(G411+H411+I411)</f>
        <v/>
      </c>
      <c r="K411" s="14" t="n">
        <v>606.7</v>
      </c>
      <c r="L411" s="14" t="n">
        <v>606.7</v>
      </c>
      <c r="M411" s="14" t="n">
        <v>606.7</v>
      </c>
      <c r="N411" s="14" t="n">
        <v>606.7</v>
      </c>
      <c r="O411" s="14" t="n">
        <v>606.7</v>
      </c>
      <c r="P411" s="14" t="n">
        <v>606.7</v>
      </c>
      <c r="Q411" s="14" t="n">
        <v>606.7</v>
      </c>
      <c r="R411" s="14" t="n">
        <v>606.7</v>
      </c>
      <c r="S411" s="14" t="n">
        <v>606.7</v>
      </c>
      <c r="T411" s="14" t="n">
        <v>606.7</v>
      </c>
      <c r="U411" s="14" t="n">
        <v>350</v>
      </c>
      <c r="V411" s="14" t="n">
        <v>0</v>
      </c>
      <c r="W411" s="14">
        <f>U411+V411</f>
        <v/>
      </c>
    </row>
    <row r="412">
      <c r="A412" s="15" t="inlineStr">
        <is>
          <t>CANON-202607-008221</t>
        </is>
      </c>
      <c r="B412" s="15" t="inlineStr">
        <is>
          <t>2026-07-21</t>
        </is>
      </c>
      <c r="C412" s="15" t="inlineStr">
        <is>
          <t>Delphine Pennington</t>
        </is>
      </c>
      <c r="D412" s="15" t="inlineStr">
        <is>
          <t>WY</t>
        </is>
      </c>
      <c r="E412" s="16" t="n">
        <v>875000</v>
      </c>
      <c r="F412" s="16" t="n">
        <v>12770.98</v>
      </c>
      <c r="G412" s="16" t="n">
        <v>1596.37</v>
      </c>
      <c r="H412" s="16" t="n">
        <v>1596.37</v>
      </c>
      <c r="I412" s="16">
        <f>SUM(K412:T412)</f>
        <v/>
      </c>
      <c r="J412" s="16">
        <f>F412-(G412+H412+I412)</f>
        <v/>
      </c>
      <c r="K412" s="16" t="n">
        <v>957.8200000000001</v>
      </c>
      <c r="L412" s="16" t="n">
        <v>957.8200000000001</v>
      </c>
      <c r="M412" s="16" t="n">
        <v>957.8200000000001</v>
      </c>
      <c r="N412" s="16" t="n">
        <v>957.8200000000001</v>
      </c>
      <c r="O412" s="16" t="n">
        <v>957.8200000000001</v>
      </c>
      <c r="P412" s="16" t="n">
        <v>957.8200000000001</v>
      </c>
      <c r="Q412" s="16" t="n">
        <v>957.8200000000001</v>
      </c>
      <c r="R412" s="16" t="n">
        <v>957.8200000000001</v>
      </c>
      <c r="S412" s="16" t="n">
        <v>957.8200000000001</v>
      </c>
      <c r="T412" s="16" t="n">
        <v>957.8200000000001</v>
      </c>
      <c r="U412" s="16" t="n">
        <v>350</v>
      </c>
      <c r="V412" s="16" t="n">
        <v>0</v>
      </c>
      <c r="W412" s="16">
        <f>U412+V412</f>
        <v/>
      </c>
    </row>
    <row r="413">
      <c r="A413" s="3" t="inlineStr">
        <is>
          <t>CANON-202607-008222</t>
        </is>
      </c>
      <c r="B413" s="3" t="inlineStr">
        <is>
          <t>2026-07-17</t>
        </is>
      </c>
      <c r="C413" s="3" t="inlineStr">
        <is>
          <t>Ottilie Underwood</t>
        </is>
      </c>
      <c r="D413" s="3" t="inlineStr">
        <is>
          <t>TX</t>
        </is>
      </c>
      <c r="E413" s="14" t="n">
        <v>765000</v>
      </c>
      <c r="F413" s="14" t="n">
        <v>8210.73</v>
      </c>
      <c r="G413" s="14" t="n">
        <v>1026.34</v>
      </c>
      <c r="H413" s="14" t="n">
        <v>1026.34</v>
      </c>
      <c r="I413" s="14">
        <f>SUM(K413:T413)</f>
        <v/>
      </c>
      <c r="J413" s="14">
        <f>F413-(G413+H413+I413)</f>
        <v/>
      </c>
      <c r="K413" s="14" t="n">
        <v>615.8</v>
      </c>
      <c r="L413" s="14" t="n">
        <v>615.8</v>
      </c>
      <c r="M413" s="14" t="n">
        <v>615.8</v>
      </c>
      <c r="N413" s="14" t="n">
        <v>615.8</v>
      </c>
      <c r="O413" s="14" t="n">
        <v>615.8</v>
      </c>
      <c r="P413" s="14" t="n">
        <v>615.8</v>
      </c>
      <c r="Q413" s="14" t="n">
        <v>615.8</v>
      </c>
      <c r="R413" s="14" t="n">
        <v>615.8</v>
      </c>
      <c r="S413" s="14" t="n">
        <v>615.8</v>
      </c>
      <c r="T413" s="14" t="n">
        <v>615.8</v>
      </c>
      <c r="U413" s="14" t="n">
        <v>350</v>
      </c>
      <c r="V413" s="14" t="n">
        <v>0</v>
      </c>
      <c r="W413" s="14">
        <f>U413+V413</f>
        <v/>
      </c>
    </row>
    <row r="414">
      <c r="A414" s="15" t="inlineStr">
        <is>
          <t>CANON-202607-008224</t>
        </is>
      </c>
      <c r="B414" s="15" t="inlineStr">
        <is>
          <t>2026-07-07</t>
        </is>
      </c>
      <c r="C414" s="15" t="inlineStr">
        <is>
          <t>Wilhelmina Pennington</t>
        </is>
      </c>
      <c r="D414" s="15" t="inlineStr">
        <is>
          <t>NE</t>
        </is>
      </c>
      <c r="E414" s="16" t="n">
        <v>645000</v>
      </c>
      <c r="F414" s="16" t="n">
        <v>7825.74</v>
      </c>
      <c r="G414" s="16" t="n">
        <v>978.22</v>
      </c>
      <c r="H414" s="16" t="n">
        <v>978.22</v>
      </c>
      <c r="I414" s="16">
        <f>SUM(K414:T414)</f>
        <v/>
      </c>
      <c r="J414" s="16">
        <f>F414-(G414+H414+I414)</f>
        <v/>
      </c>
      <c r="K414" s="16" t="n">
        <v>586.9299999999999</v>
      </c>
      <c r="L414" s="16" t="n">
        <v>586.9299999999999</v>
      </c>
      <c r="M414" s="16" t="n">
        <v>586.9299999999999</v>
      </c>
      <c r="N414" s="16" t="n">
        <v>586.9299999999999</v>
      </c>
      <c r="O414" s="16" t="n">
        <v>586.9299999999999</v>
      </c>
      <c r="P414" s="16" t="n">
        <v>586.9299999999999</v>
      </c>
      <c r="Q414" s="16" t="n">
        <v>586.9299999999999</v>
      </c>
      <c r="R414" s="16" t="n">
        <v>586.9299999999999</v>
      </c>
      <c r="S414" s="16" t="n">
        <v>586.9299999999999</v>
      </c>
      <c r="T414" s="16" t="n">
        <v>586.9299999999999</v>
      </c>
      <c r="U414" s="16" t="n">
        <v>350</v>
      </c>
      <c r="V414" s="16" t="n">
        <v>0</v>
      </c>
      <c r="W414" s="16">
        <f>U414+V414</f>
        <v/>
      </c>
    </row>
    <row r="415">
      <c r="A415" s="3" t="inlineStr">
        <is>
          <t>CANON-202607-008225</t>
        </is>
      </c>
      <c r="B415" s="3" t="inlineStr">
        <is>
          <t>2026-07-29</t>
        </is>
      </c>
      <c r="C415" s="3" t="inlineStr">
        <is>
          <t>Anouk Vandermeer</t>
        </is>
      </c>
      <c r="D415" s="3" t="inlineStr">
        <is>
          <t>CT</t>
        </is>
      </c>
      <c r="E415" s="14" t="n">
        <v>990000</v>
      </c>
      <c r="F415" s="14" t="n">
        <v>15124.66</v>
      </c>
      <c r="G415" s="14" t="n">
        <v>1890.58</v>
      </c>
      <c r="H415" s="14" t="n">
        <v>1890.58</v>
      </c>
      <c r="I415" s="14">
        <f>SUM(K415:T415)</f>
        <v/>
      </c>
      <c r="J415" s="14">
        <f>F415-(G415+H415+I415)</f>
        <v/>
      </c>
      <c r="K415" s="14" t="n">
        <v>1134.35</v>
      </c>
      <c r="L415" s="14" t="n">
        <v>1134.35</v>
      </c>
      <c r="M415" s="14" t="n">
        <v>1134.35</v>
      </c>
      <c r="N415" s="14" t="n">
        <v>1134.35</v>
      </c>
      <c r="O415" s="14" t="n">
        <v>1134.35</v>
      </c>
      <c r="P415" s="14" t="n">
        <v>1134.35</v>
      </c>
      <c r="Q415" s="14" t="n">
        <v>1134.35</v>
      </c>
      <c r="R415" s="14" t="n">
        <v>1134.35</v>
      </c>
      <c r="S415" s="14" t="n">
        <v>1134.35</v>
      </c>
      <c r="T415" s="14" t="n">
        <v>1134.35</v>
      </c>
      <c r="U415" s="14" t="n">
        <v>350</v>
      </c>
      <c r="V415" s="14" t="n">
        <v>0</v>
      </c>
      <c r="W415" s="14">
        <f>U415+V415</f>
        <v/>
      </c>
    </row>
    <row r="416">
      <c r="A416" s="15" t="inlineStr">
        <is>
          <t>CANON-202607-008226</t>
        </is>
      </c>
      <c r="B416" s="15" t="inlineStr">
        <is>
          <t>2026-07-16</t>
        </is>
      </c>
      <c r="C416" s="15" t="inlineStr">
        <is>
          <t>Saoirse Fairweather</t>
        </is>
      </c>
      <c r="D416" s="15" t="inlineStr">
        <is>
          <t>MA</t>
        </is>
      </c>
      <c r="E416" s="16" t="n">
        <v>230000</v>
      </c>
      <c r="F416" s="16" t="n">
        <v>3797.82</v>
      </c>
      <c r="G416" s="16" t="n">
        <v>474.73</v>
      </c>
      <c r="H416" s="16" t="n">
        <v>474.73</v>
      </c>
      <c r="I416" s="16">
        <f>SUM(K416:T416)</f>
        <v/>
      </c>
      <c r="J416" s="16">
        <f>F416-(G416+H416+I416)</f>
        <v/>
      </c>
      <c r="K416" s="16" t="n">
        <v>284.84</v>
      </c>
      <c r="L416" s="16" t="n">
        <v>284.84</v>
      </c>
      <c r="M416" s="16" t="n">
        <v>284.84</v>
      </c>
      <c r="N416" s="16" t="n">
        <v>284.84</v>
      </c>
      <c r="O416" s="16" t="n">
        <v>284.84</v>
      </c>
      <c r="P416" s="16" t="n">
        <v>284.84</v>
      </c>
      <c r="Q416" s="16" t="n">
        <v>284.84</v>
      </c>
      <c r="R416" s="16" t="n">
        <v>284.84</v>
      </c>
      <c r="S416" s="16" t="n">
        <v>284.84</v>
      </c>
      <c r="T416" s="16" t="n">
        <v>284.84</v>
      </c>
      <c r="U416" s="16" t="n">
        <v>350</v>
      </c>
      <c r="V416" s="16" t="n">
        <v>0</v>
      </c>
      <c r="W416" s="16">
        <f>U416+V416</f>
        <v/>
      </c>
    </row>
    <row r="417">
      <c r="A417" s="3" t="inlineStr">
        <is>
          <t>CANON-202607-008227</t>
        </is>
      </c>
      <c r="B417" s="3" t="inlineStr">
        <is>
          <t>2026-07-21</t>
        </is>
      </c>
      <c r="C417" s="3" t="inlineStr">
        <is>
          <t>Ottilie Fairweather</t>
        </is>
      </c>
      <c r="D417" s="3" t="inlineStr">
        <is>
          <t>TX</t>
        </is>
      </c>
      <c r="E417" s="14" t="n">
        <v>760000</v>
      </c>
      <c r="F417" s="14" t="n">
        <v>8157.06</v>
      </c>
      <c r="G417" s="14" t="n">
        <v>1019.63</v>
      </c>
      <c r="H417" s="14" t="n">
        <v>1019.63</v>
      </c>
      <c r="I417" s="14">
        <f>SUM(K417:T417)</f>
        <v/>
      </c>
      <c r="J417" s="14">
        <f>F417-(G417+H417+I417)</f>
        <v/>
      </c>
      <c r="K417" s="14" t="n">
        <v>611.78</v>
      </c>
      <c r="L417" s="14" t="n">
        <v>611.78</v>
      </c>
      <c r="M417" s="14" t="n">
        <v>611.78</v>
      </c>
      <c r="N417" s="14" t="n">
        <v>611.78</v>
      </c>
      <c r="O417" s="14" t="n">
        <v>611.78</v>
      </c>
      <c r="P417" s="14" t="n">
        <v>611.78</v>
      </c>
      <c r="Q417" s="14" t="n">
        <v>611.78</v>
      </c>
      <c r="R417" s="14" t="n">
        <v>611.78</v>
      </c>
      <c r="S417" s="14" t="n">
        <v>611.78</v>
      </c>
      <c r="T417" s="14" t="n">
        <v>611.78</v>
      </c>
      <c r="U417" s="14" t="n">
        <v>350</v>
      </c>
      <c r="V417" s="14" t="n">
        <v>0</v>
      </c>
      <c r="W417" s="14">
        <f>U417+V417</f>
        <v/>
      </c>
    </row>
    <row r="418">
      <c r="A418" s="15" t="inlineStr">
        <is>
          <t>CANON-202607-008228</t>
        </is>
      </c>
      <c r="B418" s="15" t="inlineStr">
        <is>
          <t>2026-07-12</t>
        </is>
      </c>
      <c r="C418" s="15" t="inlineStr">
        <is>
          <t>Callum Nakashima</t>
        </is>
      </c>
      <c r="D418" s="15" t="inlineStr">
        <is>
          <t>TX</t>
        </is>
      </c>
      <c r="E418" s="16" t="n">
        <v>1090000</v>
      </c>
      <c r="F418" s="16" t="n">
        <v>9899.1</v>
      </c>
      <c r="G418" s="16" t="n">
        <v>1237.39</v>
      </c>
      <c r="H418" s="16" t="n">
        <v>1237.39</v>
      </c>
      <c r="I418" s="16">
        <f>SUM(K418:T418)</f>
        <v/>
      </c>
      <c r="J418" s="16">
        <f>F418-(G418+H418+I418)</f>
        <v/>
      </c>
      <c r="K418" s="16" t="n">
        <v>742.4299999999999</v>
      </c>
      <c r="L418" s="16" t="n">
        <v>742.4299999999999</v>
      </c>
      <c r="M418" s="16" t="n">
        <v>742.4299999999999</v>
      </c>
      <c r="N418" s="16" t="n">
        <v>742.4299999999999</v>
      </c>
      <c r="O418" s="16" t="n">
        <v>742.4299999999999</v>
      </c>
      <c r="P418" s="16" t="n">
        <v>742.4299999999999</v>
      </c>
      <c r="Q418" s="16" t="n">
        <v>742.4299999999999</v>
      </c>
      <c r="R418" s="16" t="n">
        <v>742.4299999999999</v>
      </c>
      <c r="S418" s="16" t="n">
        <v>742.4299999999999</v>
      </c>
      <c r="T418" s="16" t="n">
        <v>742.4299999999999</v>
      </c>
      <c r="U418" s="16" t="n">
        <v>350</v>
      </c>
      <c r="V418" s="16" t="n">
        <v>250</v>
      </c>
      <c r="W418" s="16">
        <f>U418+V418</f>
        <v/>
      </c>
    </row>
    <row r="419">
      <c r="A419" s="3" t="inlineStr">
        <is>
          <t>CANON-202607-008230</t>
        </is>
      </c>
      <c r="B419" s="3" t="inlineStr">
        <is>
          <t>2026-07-04</t>
        </is>
      </c>
      <c r="C419" s="3" t="inlineStr">
        <is>
          <t>Callum Harrington</t>
        </is>
      </c>
      <c r="D419" s="3" t="inlineStr">
        <is>
          <t>CO</t>
        </is>
      </c>
      <c r="E419" s="14" t="n">
        <v>400000</v>
      </c>
      <c r="F419" s="14" t="n">
        <v>7265.4</v>
      </c>
      <c r="G419" s="14" t="n">
        <v>908.17</v>
      </c>
      <c r="H419" s="14" t="n">
        <v>908.17</v>
      </c>
      <c r="I419" s="14">
        <f>SUM(K419:T419)</f>
        <v/>
      </c>
      <c r="J419" s="14">
        <f>F419-(G419+H419+I419)</f>
        <v/>
      </c>
      <c r="K419" s="14" t="n">
        <v>544.9</v>
      </c>
      <c r="L419" s="14" t="n">
        <v>544.9</v>
      </c>
      <c r="M419" s="14" t="n">
        <v>544.9</v>
      </c>
      <c r="N419" s="14" t="n">
        <v>544.9</v>
      </c>
      <c r="O419" s="14" t="n">
        <v>544.9</v>
      </c>
      <c r="P419" s="14" t="n">
        <v>544.9</v>
      </c>
      <c r="Q419" s="14" t="n">
        <v>544.9</v>
      </c>
      <c r="R419" s="14" t="n">
        <v>544.9</v>
      </c>
      <c r="S419" s="14" t="n">
        <v>544.9</v>
      </c>
      <c r="T419" s="14" t="n">
        <v>544.9</v>
      </c>
      <c r="U419" s="14" t="n">
        <v>350</v>
      </c>
      <c r="V419" s="14" t="n">
        <v>0</v>
      </c>
      <c r="W419" s="14">
        <f>U419+V419</f>
        <v/>
      </c>
    </row>
    <row r="420">
      <c r="A420" s="15" t="inlineStr">
        <is>
          <t>CANON-202607-008231</t>
        </is>
      </c>
      <c r="B420" s="15" t="inlineStr">
        <is>
          <t>2026-07-01</t>
        </is>
      </c>
      <c r="C420" s="15" t="inlineStr">
        <is>
          <t>Ingrid Rourke</t>
        </is>
      </c>
      <c r="D420" s="15" t="inlineStr">
        <is>
          <t>TX</t>
        </is>
      </c>
      <c r="E420" s="16" t="n">
        <v>275000</v>
      </c>
      <c r="F420" s="16" t="n">
        <v>3405.66</v>
      </c>
      <c r="G420" s="16" t="n">
        <v>425.71</v>
      </c>
      <c r="H420" s="16" t="n">
        <v>425.71</v>
      </c>
      <c r="I420" s="16">
        <f>SUM(K420:T420)</f>
        <v/>
      </c>
      <c r="J420" s="16">
        <f>F420-(G420+H420+I420)</f>
        <v/>
      </c>
      <c r="K420" s="16" t="n">
        <v>255.42</v>
      </c>
      <c r="L420" s="16" t="n">
        <v>255.42</v>
      </c>
      <c r="M420" s="16" t="n">
        <v>255.42</v>
      </c>
      <c r="N420" s="16" t="n">
        <v>255.42</v>
      </c>
      <c r="O420" s="16" t="n">
        <v>255.42</v>
      </c>
      <c r="P420" s="16" t="n">
        <v>255.42</v>
      </c>
      <c r="Q420" s="16" t="n">
        <v>255.42</v>
      </c>
      <c r="R420" s="16" t="n">
        <v>255.42</v>
      </c>
      <c r="S420" s="16" t="n">
        <v>255.42</v>
      </c>
      <c r="T420" s="16" t="n">
        <v>255.42</v>
      </c>
      <c r="U420" s="16" t="n">
        <v>350</v>
      </c>
      <c r="V420" s="16" t="n">
        <v>0</v>
      </c>
      <c r="W420" s="16">
        <f>U420+V420</f>
        <v/>
      </c>
    </row>
    <row r="421">
      <c r="A421" s="3" t="inlineStr">
        <is>
          <t>CANON-202607-008232</t>
        </is>
      </c>
      <c r="B421" s="3" t="inlineStr">
        <is>
          <t>2026-07-26</t>
        </is>
      </c>
      <c r="C421" s="3" t="inlineStr">
        <is>
          <t>Desmond Larsson</t>
        </is>
      </c>
      <c r="D421" s="3" t="inlineStr">
        <is>
          <t>HI</t>
        </is>
      </c>
      <c r="E421" s="14" t="n">
        <v>640000</v>
      </c>
      <c r="F421" s="14" t="n">
        <v>7765.07</v>
      </c>
      <c r="G421" s="14" t="n">
        <v>970.63</v>
      </c>
      <c r="H421" s="14" t="n">
        <v>970.63</v>
      </c>
      <c r="I421" s="14">
        <f>SUM(K421:T421)</f>
        <v/>
      </c>
      <c r="J421" s="14">
        <f>F421-(G421+H421+I421)</f>
        <v/>
      </c>
      <c r="K421" s="14" t="n">
        <v>582.38</v>
      </c>
      <c r="L421" s="14" t="n">
        <v>582.38</v>
      </c>
      <c r="M421" s="14" t="n">
        <v>582.38</v>
      </c>
      <c r="N421" s="14" t="n">
        <v>582.38</v>
      </c>
      <c r="O421" s="14" t="n">
        <v>582.38</v>
      </c>
      <c r="P421" s="14" t="n">
        <v>582.38</v>
      </c>
      <c r="Q421" s="14" t="n">
        <v>582.38</v>
      </c>
      <c r="R421" s="14" t="n">
        <v>582.38</v>
      </c>
      <c r="S421" s="14" t="n">
        <v>582.38</v>
      </c>
      <c r="T421" s="14" t="n">
        <v>582.38</v>
      </c>
      <c r="U421" s="14" t="n">
        <v>350</v>
      </c>
      <c r="V421" s="14" t="n">
        <v>0</v>
      </c>
      <c r="W421" s="14">
        <f>U421+V421</f>
        <v/>
      </c>
    </row>
    <row r="422">
      <c r="A422" s="15" t="inlineStr">
        <is>
          <t>CANON-202607-008233</t>
        </is>
      </c>
      <c r="B422" s="15" t="inlineStr">
        <is>
          <t>2026-07-16</t>
        </is>
      </c>
      <c r="C422" s="15" t="inlineStr">
        <is>
          <t>Fitzgerald Rourke</t>
        </is>
      </c>
      <c r="D422" s="15" t="inlineStr">
        <is>
          <t>SC</t>
        </is>
      </c>
      <c r="E422" s="16" t="n">
        <v>880000</v>
      </c>
      <c r="F422" s="16" t="n">
        <v>6737.23</v>
      </c>
      <c r="G422" s="16" t="n">
        <v>842.15</v>
      </c>
      <c r="H422" s="16" t="n">
        <v>842.15</v>
      </c>
      <c r="I422" s="16">
        <f>SUM(K422:T422)</f>
        <v/>
      </c>
      <c r="J422" s="16">
        <f>F422-(G422+H422+I422)</f>
        <v/>
      </c>
      <c r="K422" s="16" t="n">
        <v>505.29</v>
      </c>
      <c r="L422" s="16" t="n">
        <v>505.29</v>
      </c>
      <c r="M422" s="16" t="n">
        <v>505.29</v>
      </c>
      <c r="N422" s="16" t="n">
        <v>505.29</v>
      </c>
      <c r="O422" s="16" t="n">
        <v>505.29</v>
      </c>
      <c r="P422" s="16" t="n">
        <v>505.29</v>
      </c>
      <c r="Q422" s="16" t="n">
        <v>505.29</v>
      </c>
      <c r="R422" s="16" t="n">
        <v>505.29</v>
      </c>
      <c r="S422" s="16" t="n">
        <v>505.29</v>
      </c>
      <c r="T422" s="16" t="n">
        <v>505.29</v>
      </c>
      <c r="U422" s="16" t="n">
        <v>350</v>
      </c>
      <c r="V422" s="16" t="n">
        <v>0</v>
      </c>
      <c r="W422" s="16">
        <f>U422+V422</f>
        <v/>
      </c>
    </row>
    <row r="423">
      <c r="A423" s="3" t="inlineStr">
        <is>
          <t>CANON-202607-008235</t>
        </is>
      </c>
      <c r="B423" s="3" t="inlineStr">
        <is>
          <t>2026-07-03</t>
        </is>
      </c>
      <c r="C423" s="3" t="inlineStr">
        <is>
          <t>Marisol Vandermeer</t>
        </is>
      </c>
      <c r="D423" s="3" t="inlineStr">
        <is>
          <t>CO</t>
        </is>
      </c>
      <c r="E423" s="14" t="n">
        <v>275000</v>
      </c>
      <c r="F423" s="14" t="n">
        <v>3257.58</v>
      </c>
      <c r="G423" s="14" t="n">
        <v>407.2</v>
      </c>
      <c r="H423" s="14" t="n">
        <v>407.2</v>
      </c>
      <c r="I423" s="14">
        <f>SUM(K423:T423)</f>
        <v/>
      </c>
      <c r="J423" s="14">
        <f>F423-(G423+H423+I423)</f>
        <v/>
      </c>
      <c r="K423" s="14" t="n">
        <v>244.32</v>
      </c>
      <c r="L423" s="14" t="n">
        <v>244.32</v>
      </c>
      <c r="M423" s="14" t="n">
        <v>244.32</v>
      </c>
      <c r="N423" s="14" t="n">
        <v>244.32</v>
      </c>
      <c r="O423" s="14" t="n">
        <v>244.32</v>
      </c>
      <c r="P423" s="14" t="n">
        <v>244.32</v>
      </c>
      <c r="Q423" s="14" t="n">
        <v>244.32</v>
      </c>
      <c r="R423" s="14" t="n">
        <v>244.32</v>
      </c>
      <c r="S423" s="14" t="n">
        <v>244.32</v>
      </c>
      <c r="T423" s="14" t="n">
        <v>244.32</v>
      </c>
      <c r="U423" s="14" t="n">
        <v>350</v>
      </c>
      <c r="V423" s="14" t="n">
        <v>0</v>
      </c>
      <c r="W423" s="14">
        <f>U423+V423</f>
        <v/>
      </c>
    </row>
    <row r="424">
      <c r="A424" s="15" t="inlineStr">
        <is>
          <t>CANON-202607-008236</t>
        </is>
      </c>
      <c r="B424" s="15" t="inlineStr">
        <is>
          <t>2026-07-12</t>
        </is>
      </c>
      <c r="C424" s="15" t="inlineStr">
        <is>
          <t>Desmond Nakashima</t>
        </is>
      </c>
      <c r="D424" s="15" t="inlineStr">
        <is>
          <t>MT</t>
        </is>
      </c>
      <c r="E424" s="16" t="n">
        <v>275000</v>
      </c>
      <c r="F424" s="16" t="n">
        <v>2754.14</v>
      </c>
      <c r="G424" s="16" t="n">
        <v>344.27</v>
      </c>
      <c r="H424" s="16" t="n">
        <v>344.27</v>
      </c>
      <c r="I424" s="16">
        <f>SUM(K424:T424)</f>
        <v/>
      </c>
      <c r="J424" s="16">
        <f>F424-(G424+H424+I424)</f>
        <v/>
      </c>
      <c r="K424" s="16" t="n">
        <v>206.56</v>
      </c>
      <c r="L424" s="16" t="n">
        <v>206.56</v>
      </c>
      <c r="M424" s="16" t="n">
        <v>206.56</v>
      </c>
      <c r="N424" s="16" t="n">
        <v>206.56</v>
      </c>
      <c r="O424" s="16" t="n">
        <v>206.56</v>
      </c>
      <c r="P424" s="16" t="n">
        <v>206.56</v>
      </c>
      <c r="Q424" s="16" t="n">
        <v>206.56</v>
      </c>
      <c r="R424" s="16" t="n">
        <v>206.56</v>
      </c>
      <c r="S424" s="16" t="n">
        <v>206.56</v>
      </c>
      <c r="T424" s="16" t="n">
        <v>206.56</v>
      </c>
      <c r="U424" s="16" t="n">
        <v>350</v>
      </c>
      <c r="V424" s="16" t="n">
        <v>0</v>
      </c>
      <c r="W424" s="16">
        <f>U424+V424</f>
        <v/>
      </c>
    </row>
    <row r="425">
      <c r="A425" s="3" t="inlineStr">
        <is>
          <t>CANON-202607-008237</t>
        </is>
      </c>
      <c r="B425" s="3" t="inlineStr">
        <is>
          <t>2026-07-07</t>
        </is>
      </c>
      <c r="C425" s="3" t="inlineStr">
        <is>
          <t>Horace Castellanos</t>
        </is>
      </c>
      <c r="D425" s="3" t="inlineStr">
        <is>
          <t>NY</t>
        </is>
      </c>
      <c r="E425" s="14" t="n">
        <v>845000</v>
      </c>
      <c r="F425" s="14" t="n">
        <v>10094.6</v>
      </c>
      <c r="G425" s="14" t="n">
        <v>1261.83</v>
      </c>
      <c r="H425" s="14" t="n">
        <v>1261.83</v>
      </c>
      <c r="I425" s="14">
        <f>SUM(K425:T425)</f>
        <v/>
      </c>
      <c r="J425" s="14">
        <f>F425-(G425+H425+I425)</f>
        <v/>
      </c>
      <c r="K425" s="14" t="n">
        <v>757.1</v>
      </c>
      <c r="L425" s="14" t="n">
        <v>757.1</v>
      </c>
      <c r="M425" s="14" t="n">
        <v>757.1</v>
      </c>
      <c r="N425" s="14" t="n">
        <v>757.1</v>
      </c>
      <c r="O425" s="14" t="n">
        <v>757.1</v>
      </c>
      <c r="P425" s="14" t="n">
        <v>757.1</v>
      </c>
      <c r="Q425" s="14" t="n">
        <v>757.1</v>
      </c>
      <c r="R425" s="14" t="n">
        <v>757.1</v>
      </c>
      <c r="S425" s="14" t="n">
        <v>757.1</v>
      </c>
      <c r="T425" s="14" t="n">
        <v>757.1</v>
      </c>
      <c r="U425" s="14" t="n">
        <v>350</v>
      </c>
      <c r="V425" s="14" t="n">
        <v>0</v>
      </c>
      <c r="W425" s="14">
        <f>U425+V425</f>
        <v/>
      </c>
    </row>
    <row r="426">
      <c r="A426" s="15" t="inlineStr">
        <is>
          <t>CANON-202607-008239</t>
        </is>
      </c>
      <c r="B426" s="15" t="inlineStr">
        <is>
          <t>2026-07-13</t>
        </is>
      </c>
      <c r="C426" s="15" t="inlineStr">
        <is>
          <t>Saoirse Montoya</t>
        </is>
      </c>
      <c r="D426" s="15" t="inlineStr">
        <is>
          <t>OR</t>
        </is>
      </c>
      <c r="E426" s="16" t="n">
        <v>275000</v>
      </c>
      <c r="F426" s="16" t="n">
        <v>3346.43</v>
      </c>
      <c r="G426" s="16" t="n">
        <v>418.3</v>
      </c>
      <c r="H426" s="16" t="n">
        <v>418.3</v>
      </c>
      <c r="I426" s="16">
        <f>SUM(K426:T426)</f>
        <v/>
      </c>
      <c r="J426" s="16">
        <f>F426-(G426+H426+I426)</f>
        <v/>
      </c>
      <c r="K426" s="16" t="n">
        <v>250.98</v>
      </c>
      <c r="L426" s="16" t="n">
        <v>250.98</v>
      </c>
      <c r="M426" s="16" t="n">
        <v>250.98</v>
      </c>
      <c r="N426" s="16" t="n">
        <v>250.98</v>
      </c>
      <c r="O426" s="16" t="n">
        <v>250.98</v>
      </c>
      <c r="P426" s="16" t="n">
        <v>250.98</v>
      </c>
      <c r="Q426" s="16" t="n">
        <v>250.98</v>
      </c>
      <c r="R426" s="16" t="n">
        <v>250.98</v>
      </c>
      <c r="S426" s="16" t="n">
        <v>250.98</v>
      </c>
      <c r="T426" s="16" t="n">
        <v>250.98</v>
      </c>
      <c r="U426" s="16" t="n">
        <v>350</v>
      </c>
      <c r="V426" s="16" t="n">
        <v>0</v>
      </c>
      <c r="W426" s="16">
        <f>U426+V426</f>
        <v/>
      </c>
    </row>
    <row r="427">
      <c r="A427" s="3" t="inlineStr">
        <is>
          <t>CANON-202607-008240</t>
        </is>
      </c>
      <c r="B427" s="3" t="inlineStr">
        <is>
          <t>2026-07-28</t>
        </is>
      </c>
      <c r="C427" s="3" t="inlineStr">
        <is>
          <t>Fenwick Vandermeer</t>
        </is>
      </c>
      <c r="D427" s="3" t="inlineStr">
        <is>
          <t>CA</t>
        </is>
      </c>
      <c r="E427" s="14" t="n">
        <v>320000</v>
      </c>
      <c r="F427" s="14" t="n">
        <v>4652.15</v>
      </c>
      <c r="G427" s="14" t="n">
        <v>581.52</v>
      </c>
      <c r="H427" s="14" t="n">
        <v>581.52</v>
      </c>
      <c r="I427" s="14">
        <f>SUM(K427:T427)</f>
        <v/>
      </c>
      <c r="J427" s="14">
        <f>F427-(G427+H427+I427)</f>
        <v/>
      </c>
      <c r="K427" s="14" t="n">
        <v>348.91</v>
      </c>
      <c r="L427" s="14" t="n">
        <v>348.91</v>
      </c>
      <c r="M427" s="14" t="n">
        <v>348.91</v>
      </c>
      <c r="N427" s="14" t="n">
        <v>348.91</v>
      </c>
      <c r="O427" s="14" t="n">
        <v>348.91</v>
      </c>
      <c r="P427" s="14" t="n">
        <v>348.91</v>
      </c>
      <c r="Q427" s="14" t="n">
        <v>348.91</v>
      </c>
      <c r="R427" s="14" t="n">
        <v>348.91</v>
      </c>
      <c r="S427" s="14" t="n">
        <v>348.91</v>
      </c>
      <c r="T427" s="14" t="n">
        <v>348.91</v>
      </c>
      <c r="U427" s="14" t="n">
        <v>350</v>
      </c>
      <c r="V427" s="14" t="n">
        <v>0</v>
      </c>
      <c r="W427" s="14">
        <f>U427+V427</f>
        <v/>
      </c>
    </row>
    <row r="428">
      <c r="A428" s="15" t="inlineStr">
        <is>
          <t>CANON-202607-008241</t>
        </is>
      </c>
      <c r="B428" s="15" t="inlineStr">
        <is>
          <t>2026-07-06</t>
        </is>
      </c>
      <c r="C428" s="15" t="inlineStr">
        <is>
          <t>Ingrid Montoya</t>
        </is>
      </c>
      <c r="D428" s="15" t="inlineStr">
        <is>
          <t>LA</t>
        </is>
      </c>
      <c r="E428" s="16" t="n">
        <v>660000</v>
      </c>
      <c r="F428" s="16" t="n">
        <v>7453.35</v>
      </c>
      <c r="G428" s="16" t="n">
        <v>931.67</v>
      </c>
      <c r="H428" s="16" t="n">
        <v>931.67</v>
      </c>
      <c r="I428" s="16">
        <f>SUM(K428:T428)</f>
        <v/>
      </c>
      <c r="J428" s="16">
        <f>F428-(G428+H428+I428)</f>
        <v/>
      </c>
      <c r="K428" s="16" t="n">
        <v>559</v>
      </c>
      <c r="L428" s="16" t="n">
        <v>559</v>
      </c>
      <c r="M428" s="16" t="n">
        <v>559</v>
      </c>
      <c r="N428" s="16" t="n">
        <v>559</v>
      </c>
      <c r="O428" s="16" t="n">
        <v>559</v>
      </c>
      <c r="P428" s="16" t="n">
        <v>559</v>
      </c>
      <c r="Q428" s="16" t="n">
        <v>559</v>
      </c>
      <c r="R428" s="16" t="n">
        <v>559</v>
      </c>
      <c r="S428" s="16" t="n">
        <v>559</v>
      </c>
      <c r="T428" s="16" t="n">
        <v>559</v>
      </c>
      <c r="U428" s="16" t="n">
        <v>350</v>
      </c>
      <c r="V428" s="16" t="n">
        <v>0</v>
      </c>
      <c r="W428" s="16">
        <f>U428+V428</f>
        <v/>
      </c>
    </row>
    <row r="429">
      <c r="A429" s="3" t="inlineStr">
        <is>
          <t>CANON-202607-008242</t>
        </is>
      </c>
      <c r="B429" s="3" t="inlineStr">
        <is>
          <t>2026-07-25</t>
        </is>
      </c>
      <c r="C429" s="3" t="inlineStr">
        <is>
          <t>Marisol Pennington</t>
        </is>
      </c>
      <c r="D429" s="3" t="inlineStr">
        <is>
          <t>SC</t>
        </is>
      </c>
      <c r="E429" s="14" t="n">
        <v>290000</v>
      </c>
      <c r="F429" s="14" t="n">
        <v>3872.49</v>
      </c>
      <c r="G429" s="14" t="n">
        <v>484.06</v>
      </c>
      <c r="H429" s="14" t="n">
        <v>484.06</v>
      </c>
      <c r="I429" s="14">
        <f>SUM(K429:T429)</f>
        <v/>
      </c>
      <c r="J429" s="14">
        <f>F429-(G429+H429+I429)</f>
        <v/>
      </c>
      <c r="K429" s="14" t="n">
        <v>290.44</v>
      </c>
      <c r="L429" s="14" t="n">
        <v>290.44</v>
      </c>
      <c r="M429" s="14" t="n">
        <v>290.44</v>
      </c>
      <c r="N429" s="14" t="n">
        <v>290.44</v>
      </c>
      <c r="O429" s="14" t="n">
        <v>290.44</v>
      </c>
      <c r="P429" s="14" t="n">
        <v>290.44</v>
      </c>
      <c r="Q429" s="14" t="n">
        <v>290.44</v>
      </c>
      <c r="R429" s="14" t="n">
        <v>290.44</v>
      </c>
      <c r="S429" s="14" t="n">
        <v>290.44</v>
      </c>
      <c r="T429" s="14" t="n">
        <v>290.44</v>
      </c>
      <c r="U429" s="14" t="n">
        <v>350</v>
      </c>
      <c r="V429" s="14" t="n">
        <v>0</v>
      </c>
      <c r="W429" s="14">
        <f>U429+V429</f>
        <v/>
      </c>
    </row>
    <row r="430">
      <c r="A430" s="15" t="inlineStr">
        <is>
          <t>CANON-202607-008243</t>
        </is>
      </c>
      <c r="B430" s="15" t="inlineStr">
        <is>
          <t>2026-07-12</t>
        </is>
      </c>
      <c r="C430" s="15" t="inlineStr">
        <is>
          <t>Cassius Harrington</t>
        </is>
      </c>
      <c r="D430" s="15" t="inlineStr">
        <is>
          <t>CA</t>
        </is>
      </c>
      <c r="E430" s="16" t="n">
        <v>295000</v>
      </c>
      <c r="F430" s="16" t="n">
        <v>4288.7</v>
      </c>
      <c r="G430" s="16" t="n">
        <v>536.09</v>
      </c>
      <c r="H430" s="16" t="n">
        <v>536.09</v>
      </c>
      <c r="I430" s="16">
        <f>SUM(K430:T430)</f>
        <v/>
      </c>
      <c r="J430" s="16">
        <f>F430-(G430+H430+I430)</f>
        <v/>
      </c>
      <c r="K430" s="16" t="n">
        <v>321.65</v>
      </c>
      <c r="L430" s="16" t="n">
        <v>321.65</v>
      </c>
      <c r="M430" s="16" t="n">
        <v>321.65</v>
      </c>
      <c r="N430" s="16" t="n">
        <v>321.65</v>
      </c>
      <c r="O430" s="16" t="n">
        <v>321.65</v>
      </c>
      <c r="P430" s="16" t="n">
        <v>321.65</v>
      </c>
      <c r="Q430" s="16" t="n">
        <v>321.65</v>
      </c>
      <c r="R430" s="16" t="n">
        <v>321.65</v>
      </c>
      <c r="S430" s="16" t="n">
        <v>321.65</v>
      </c>
      <c r="T430" s="16" t="n">
        <v>321.65</v>
      </c>
      <c r="U430" s="16" t="n">
        <v>350</v>
      </c>
      <c r="V430" s="16" t="n">
        <v>0</v>
      </c>
      <c r="W430" s="16">
        <f>U430+V430</f>
        <v/>
      </c>
    </row>
    <row r="431">
      <c r="A431" s="3" t="inlineStr">
        <is>
          <t>CANON-202607-008244</t>
        </is>
      </c>
      <c r="B431" s="3" t="inlineStr">
        <is>
          <t>2026-07-13</t>
        </is>
      </c>
      <c r="C431" s="3" t="inlineStr">
        <is>
          <t>Horace Farkas</t>
        </is>
      </c>
      <c r="D431" s="3" t="inlineStr">
        <is>
          <t>IL</t>
        </is>
      </c>
      <c r="E431" s="14" t="n">
        <v>200000</v>
      </c>
      <c r="F431" s="14" t="n">
        <v>2226.14</v>
      </c>
      <c r="G431" s="14" t="n">
        <v>278.27</v>
      </c>
      <c r="H431" s="14" t="n">
        <v>278.27</v>
      </c>
      <c r="I431" s="14">
        <f>SUM(K431:T431)</f>
        <v/>
      </c>
      <c r="J431" s="14">
        <f>F431-(G431+H431+I431)</f>
        <v/>
      </c>
      <c r="K431" s="14" t="n">
        <v>166.96</v>
      </c>
      <c r="L431" s="14" t="n">
        <v>166.96</v>
      </c>
      <c r="M431" s="14" t="n">
        <v>166.96</v>
      </c>
      <c r="N431" s="14" t="n">
        <v>166.96</v>
      </c>
      <c r="O431" s="14" t="n">
        <v>166.96</v>
      </c>
      <c r="P431" s="14" t="n">
        <v>166.96</v>
      </c>
      <c r="Q431" s="14" t="n">
        <v>166.96</v>
      </c>
      <c r="R431" s="14" t="n">
        <v>166.96</v>
      </c>
      <c r="S431" s="14" t="n">
        <v>166.96</v>
      </c>
      <c r="T431" s="14" t="n">
        <v>166.96</v>
      </c>
      <c r="U431" s="14" t="n">
        <v>350</v>
      </c>
      <c r="V431" s="14" t="n">
        <v>0</v>
      </c>
      <c r="W431" s="14">
        <f>U431+V431</f>
        <v/>
      </c>
    </row>
    <row r="432">
      <c r="A432" s="15" t="inlineStr">
        <is>
          <t>CANON-202607-008246</t>
        </is>
      </c>
      <c r="B432" s="15" t="inlineStr">
        <is>
          <t>2026-07-04</t>
        </is>
      </c>
      <c r="C432" s="15" t="inlineStr">
        <is>
          <t>Everett Thistlewood</t>
        </is>
      </c>
      <c r="D432" s="15" t="inlineStr">
        <is>
          <t>NM</t>
        </is>
      </c>
      <c r="E432" s="16" t="n">
        <v>570000</v>
      </c>
      <c r="F432" s="16" t="n">
        <v>9952.16</v>
      </c>
      <c r="G432" s="16" t="n">
        <v>1244.02</v>
      </c>
      <c r="H432" s="16" t="n">
        <v>1244.02</v>
      </c>
      <c r="I432" s="16">
        <f>SUM(K432:T432)</f>
        <v/>
      </c>
      <c r="J432" s="16">
        <f>F432-(G432+H432+I432)</f>
        <v/>
      </c>
      <c r="K432" s="16" t="n">
        <v>746.41</v>
      </c>
      <c r="L432" s="16" t="n">
        <v>746.41</v>
      </c>
      <c r="M432" s="16" t="n">
        <v>746.41</v>
      </c>
      <c r="N432" s="16" t="n">
        <v>746.41</v>
      </c>
      <c r="O432" s="16" t="n">
        <v>746.41</v>
      </c>
      <c r="P432" s="16" t="n">
        <v>746.41</v>
      </c>
      <c r="Q432" s="16" t="n">
        <v>746.41</v>
      </c>
      <c r="R432" s="16" t="n">
        <v>746.41</v>
      </c>
      <c r="S432" s="16" t="n">
        <v>746.41</v>
      </c>
      <c r="T432" s="16" t="n">
        <v>746.41</v>
      </c>
      <c r="U432" s="16" t="n">
        <v>350</v>
      </c>
      <c r="V432" s="16" t="n">
        <v>0</v>
      </c>
      <c r="W432" s="16">
        <f>U432+V432</f>
        <v/>
      </c>
    </row>
    <row r="433">
      <c r="A433" s="3" t="inlineStr">
        <is>
          <t>CANON-202607-008248</t>
        </is>
      </c>
      <c r="B433" s="3" t="inlineStr">
        <is>
          <t>2026-07-29</t>
        </is>
      </c>
      <c r="C433" s="3" t="inlineStr">
        <is>
          <t>Ingrid Merriweather</t>
        </is>
      </c>
      <c r="D433" s="3" t="inlineStr">
        <is>
          <t>SC</t>
        </is>
      </c>
      <c r="E433" s="14" t="n">
        <v>695000</v>
      </c>
      <c r="F433" s="14" t="n">
        <v>11755.44</v>
      </c>
      <c r="G433" s="14" t="n">
        <v>1469.43</v>
      </c>
      <c r="H433" s="14" t="n">
        <v>1469.43</v>
      </c>
      <c r="I433" s="14">
        <f>SUM(K433:T433)</f>
        <v/>
      </c>
      <c r="J433" s="14">
        <f>F433-(G433+H433+I433)</f>
        <v/>
      </c>
      <c r="K433" s="14" t="n">
        <v>881.66</v>
      </c>
      <c r="L433" s="14" t="n">
        <v>881.66</v>
      </c>
      <c r="M433" s="14" t="n">
        <v>881.66</v>
      </c>
      <c r="N433" s="14" t="n">
        <v>881.66</v>
      </c>
      <c r="O433" s="14" t="n">
        <v>881.66</v>
      </c>
      <c r="P433" s="14" t="n">
        <v>881.66</v>
      </c>
      <c r="Q433" s="14" t="n">
        <v>881.66</v>
      </c>
      <c r="R433" s="14" t="n">
        <v>881.66</v>
      </c>
      <c r="S433" s="14" t="n">
        <v>881.66</v>
      </c>
      <c r="T433" s="14" t="n">
        <v>881.66</v>
      </c>
      <c r="U433" s="14" t="n">
        <v>350</v>
      </c>
      <c r="V433" s="14" t="n">
        <v>0</v>
      </c>
      <c r="W433" s="14">
        <f>U433+V433</f>
        <v/>
      </c>
    </row>
    <row r="434">
      <c r="A434" s="15" t="inlineStr">
        <is>
          <t>CANON-202607-008250</t>
        </is>
      </c>
      <c r="B434" s="15" t="inlineStr">
        <is>
          <t>2026-07-30</t>
        </is>
      </c>
      <c r="C434" s="15" t="inlineStr">
        <is>
          <t>Sunniva Farkas</t>
        </is>
      </c>
      <c r="D434" s="15" t="inlineStr">
        <is>
          <t>PA</t>
        </is>
      </c>
      <c r="E434" s="16" t="n">
        <v>320000</v>
      </c>
      <c r="F434" s="16" t="n">
        <v>3446.04</v>
      </c>
      <c r="G434" s="16" t="n">
        <v>430.75</v>
      </c>
      <c r="H434" s="16" t="n">
        <v>430.75</v>
      </c>
      <c r="I434" s="16">
        <f>SUM(K434:T434)</f>
        <v/>
      </c>
      <c r="J434" s="16">
        <f>F434-(G434+H434+I434)</f>
        <v/>
      </c>
      <c r="K434" s="16" t="n">
        <v>258.45</v>
      </c>
      <c r="L434" s="16" t="n">
        <v>258.45</v>
      </c>
      <c r="M434" s="16" t="n">
        <v>258.45</v>
      </c>
      <c r="N434" s="16" t="n">
        <v>258.45</v>
      </c>
      <c r="O434" s="16" t="n">
        <v>258.45</v>
      </c>
      <c r="P434" s="16" t="n">
        <v>258.45</v>
      </c>
      <c r="Q434" s="16" t="n">
        <v>258.45</v>
      </c>
      <c r="R434" s="16" t="n">
        <v>258.45</v>
      </c>
      <c r="S434" s="16" t="n">
        <v>258.45</v>
      </c>
      <c r="T434" s="16" t="n">
        <v>258.45</v>
      </c>
      <c r="U434" s="16" t="n">
        <v>350</v>
      </c>
      <c r="V434" s="16" t="n">
        <v>0</v>
      </c>
      <c r="W434" s="16">
        <f>U434+V434</f>
        <v/>
      </c>
    </row>
    <row r="435">
      <c r="A435" s="3" t="inlineStr">
        <is>
          <t>CANON-202607-008251</t>
        </is>
      </c>
      <c r="B435" s="3" t="inlineStr">
        <is>
          <t>2026-07-27</t>
        </is>
      </c>
      <c r="C435" s="3" t="inlineStr">
        <is>
          <t>Cassius Vasquez</t>
        </is>
      </c>
      <c r="D435" s="3" t="inlineStr">
        <is>
          <t>NY</t>
        </is>
      </c>
      <c r="E435" s="14" t="n">
        <v>650000</v>
      </c>
      <c r="F435" s="14" t="n">
        <v>5136.89</v>
      </c>
      <c r="G435" s="14" t="n">
        <v>642.11</v>
      </c>
      <c r="H435" s="14" t="n">
        <v>642.11</v>
      </c>
      <c r="I435" s="14">
        <f>SUM(K435:T435)</f>
        <v/>
      </c>
      <c r="J435" s="14">
        <f>F435-(G435+H435+I435)</f>
        <v/>
      </c>
      <c r="K435" s="14" t="n">
        <v>385.27</v>
      </c>
      <c r="L435" s="14" t="n">
        <v>385.27</v>
      </c>
      <c r="M435" s="14" t="n">
        <v>385.27</v>
      </c>
      <c r="N435" s="14" t="n">
        <v>385.27</v>
      </c>
      <c r="O435" s="14" t="n">
        <v>385.27</v>
      </c>
      <c r="P435" s="14" t="n">
        <v>385.27</v>
      </c>
      <c r="Q435" s="14" t="n">
        <v>385.27</v>
      </c>
      <c r="R435" s="14" t="n">
        <v>385.27</v>
      </c>
      <c r="S435" s="14" t="n">
        <v>385.27</v>
      </c>
      <c r="T435" s="14" t="n">
        <v>385.27</v>
      </c>
      <c r="U435" s="14" t="n">
        <v>350</v>
      </c>
      <c r="V435" s="14" t="n">
        <v>0</v>
      </c>
      <c r="W435" s="14">
        <f>U435+V435</f>
        <v/>
      </c>
    </row>
    <row r="436">
      <c r="A436" s="15" t="inlineStr">
        <is>
          <t>CANON-202607-008252</t>
        </is>
      </c>
      <c r="B436" s="15" t="inlineStr">
        <is>
          <t>2026-07-31</t>
        </is>
      </c>
      <c r="C436" s="15" t="inlineStr">
        <is>
          <t>Beatrix Ashcombe</t>
        </is>
      </c>
      <c r="D436" s="15" t="inlineStr">
        <is>
          <t>IL</t>
        </is>
      </c>
      <c r="E436" s="16" t="n">
        <v>620000</v>
      </c>
      <c r="F436" s="16" t="n">
        <v>7869.6</v>
      </c>
      <c r="G436" s="16" t="n">
        <v>983.7</v>
      </c>
      <c r="H436" s="16" t="n">
        <v>983.7</v>
      </c>
      <c r="I436" s="16">
        <f>SUM(K436:T436)</f>
        <v/>
      </c>
      <c r="J436" s="16">
        <f>F436-(G436+H436+I436)</f>
        <v/>
      </c>
      <c r="K436" s="16" t="n">
        <v>590.22</v>
      </c>
      <c r="L436" s="16" t="n">
        <v>590.22</v>
      </c>
      <c r="M436" s="16" t="n">
        <v>590.22</v>
      </c>
      <c r="N436" s="16" t="n">
        <v>590.22</v>
      </c>
      <c r="O436" s="16" t="n">
        <v>590.22</v>
      </c>
      <c r="P436" s="16" t="n">
        <v>590.22</v>
      </c>
      <c r="Q436" s="16" t="n">
        <v>590.22</v>
      </c>
      <c r="R436" s="16" t="n">
        <v>590.22</v>
      </c>
      <c r="S436" s="16" t="n">
        <v>590.22</v>
      </c>
      <c r="T436" s="16" t="n">
        <v>590.22</v>
      </c>
      <c r="U436" s="16" t="n">
        <v>350</v>
      </c>
      <c r="V436" s="16" t="n">
        <v>0</v>
      </c>
      <c r="W436" s="16">
        <f>U436+V436</f>
        <v/>
      </c>
    </row>
    <row r="437">
      <c r="A437" s="3" t="inlineStr">
        <is>
          <t>CANON-202607-008254</t>
        </is>
      </c>
      <c r="B437" s="3" t="inlineStr">
        <is>
          <t>2026-07-10</t>
        </is>
      </c>
      <c r="C437" s="3" t="inlineStr">
        <is>
          <t>Cassius Blackwood</t>
        </is>
      </c>
      <c r="D437" s="3" t="inlineStr">
        <is>
          <t>OR</t>
        </is>
      </c>
      <c r="E437" s="14" t="n">
        <v>625000</v>
      </c>
      <c r="F437" s="14" t="n">
        <v>9633.65</v>
      </c>
      <c r="G437" s="14" t="n">
        <v>1204.21</v>
      </c>
      <c r="H437" s="14" t="n">
        <v>1204.21</v>
      </c>
      <c r="I437" s="14">
        <f>SUM(K437:T437)</f>
        <v/>
      </c>
      <c r="J437" s="14">
        <f>F437-(G437+H437+I437)</f>
        <v/>
      </c>
      <c r="K437" s="14" t="n">
        <v>722.52</v>
      </c>
      <c r="L437" s="14" t="n">
        <v>722.52</v>
      </c>
      <c r="M437" s="14" t="n">
        <v>722.52</v>
      </c>
      <c r="N437" s="14" t="n">
        <v>722.52</v>
      </c>
      <c r="O437" s="14" t="n">
        <v>722.52</v>
      </c>
      <c r="P437" s="14" t="n">
        <v>722.52</v>
      </c>
      <c r="Q437" s="14" t="n">
        <v>722.52</v>
      </c>
      <c r="R437" s="14" t="n">
        <v>722.52</v>
      </c>
      <c r="S437" s="14" t="n">
        <v>722.52</v>
      </c>
      <c r="T437" s="14" t="n">
        <v>722.52</v>
      </c>
      <c r="U437" s="14" t="n">
        <v>350</v>
      </c>
      <c r="V437" s="14" t="n">
        <v>0</v>
      </c>
      <c r="W437" s="14">
        <f>U437+V437</f>
        <v/>
      </c>
    </row>
    <row r="438">
      <c r="A438" s="15" t="inlineStr">
        <is>
          <t>CANON-202607-008255</t>
        </is>
      </c>
      <c r="B438" s="15" t="inlineStr">
        <is>
          <t>2026-07-05</t>
        </is>
      </c>
      <c r="C438" s="15" t="inlineStr">
        <is>
          <t>Thaddeus Harrington</t>
        </is>
      </c>
      <c r="D438" s="15" t="inlineStr">
        <is>
          <t>NY</t>
        </is>
      </c>
      <c r="E438" s="16" t="n">
        <v>800000</v>
      </c>
      <c r="F438" s="16" t="n">
        <v>9557.01</v>
      </c>
      <c r="G438" s="16" t="n">
        <v>1194.63</v>
      </c>
      <c r="H438" s="16" t="n">
        <v>1194.63</v>
      </c>
      <c r="I438" s="16">
        <f>SUM(K438:T438)</f>
        <v/>
      </c>
      <c r="J438" s="16">
        <f>F438-(G438+H438+I438)</f>
        <v/>
      </c>
      <c r="K438" s="16" t="n">
        <v>716.78</v>
      </c>
      <c r="L438" s="16" t="n">
        <v>716.78</v>
      </c>
      <c r="M438" s="16" t="n">
        <v>716.78</v>
      </c>
      <c r="N438" s="16" t="n">
        <v>716.78</v>
      </c>
      <c r="O438" s="16" t="n">
        <v>716.78</v>
      </c>
      <c r="P438" s="16" t="n">
        <v>716.78</v>
      </c>
      <c r="Q438" s="16" t="n">
        <v>716.78</v>
      </c>
      <c r="R438" s="16" t="n">
        <v>716.78</v>
      </c>
      <c r="S438" s="16" t="n">
        <v>716.78</v>
      </c>
      <c r="T438" s="16" t="n">
        <v>716.78</v>
      </c>
      <c r="U438" s="16" t="n">
        <v>350</v>
      </c>
      <c r="V438" s="16" t="n">
        <v>0</v>
      </c>
      <c r="W438" s="16">
        <f>U438+V438</f>
        <v/>
      </c>
    </row>
    <row r="439">
      <c r="A439" s="3" t="inlineStr">
        <is>
          <t>CANON-202607-008256</t>
        </is>
      </c>
      <c r="B439" s="3" t="inlineStr">
        <is>
          <t>2026-07-13</t>
        </is>
      </c>
      <c r="C439" s="3" t="inlineStr">
        <is>
          <t>Ingrid Bellandi</t>
        </is>
      </c>
      <c r="D439" s="3" t="inlineStr">
        <is>
          <t>ND</t>
        </is>
      </c>
      <c r="E439" s="14" t="n">
        <v>1125000</v>
      </c>
      <c r="F439" s="14" t="n">
        <v>9062</v>
      </c>
      <c r="G439" s="14" t="n">
        <v>1132.75</v>
      </c>
      <c r="H439" s="14" t="n">
        <v>1132.75</v>
      </c>
      <c r="I439" s="14">
        <f>SUM(K439:T439)</f>
        <v/>
      </c>
      <c r="J439" s="14">
        <f>F439-(G439+H439+I439)</f>
        <v/>
      </c>
      <c r="K439" s="14" t="n">
        <v>679.65</v>
      </c>
      <c r="L439" s="14" t="n">
        <v>679.65</v>
      </c>
      <c r="M439" s="14" t="n">
        <v>679.65</v>
      </c>
      <c r="N439" s="14" t="n">
        <v>679.65</v>
      </c>
      <c r="O439" s="14" t="n">
        <v>679.65</v>
      </c>
      <c r="P439" s="14" t="n">
        <v>679.65</v>
      </c>
      <c r="Q439" s="14" t="n">
        <v>679.65</v>
      </c>
      <c r="R439" s="14" t="n">
        <v>679.65</v>
      </c>
      <c r="S439" s="14" t="n">
        <v>679.65</v>
      </c>
      <c r="T439" s="14" t="n">
        <v>679.65</v>
      </c>
      <c r="U439" s="14" t="n">
        <v>350</v>
      </c>
      <c r="V439" s="14" t="n">
        <v>250</v>
      </c>
      <c r="W439" s="14">
        <f>U439+V439</f>
        <v/>
      </c>
    </row>
    <row r="440">
      <c r="A440" s="15" t="inlineStr">
        <is>
          <t>CANON-202607-008257</t>
        </is>
      </c>
      <c r="B440" s="15" t="inlineStr">
        <is>
          <t>2026-07-08</t>
        </is>
      </c>
      <c r="C440" s="15" t="inlineStr">
        <is>
          <t>Callum Nakashima</t>
        </is>
      </c>
      <c r="D440" s="15" t="inlineStr">
        <is>
          <t>PA</t>
        </is>
      </c>
      <c r="E440" s="16" t="n">
        <v>410000</v>
      </c>
      <c r="F440" s="16" t="n">
        <v>2825.75</v>
      </c>
      <c r="G440" s="16" t="n">
        <v>353.22</v>
      </c>
      <c r="H440" s="16" t="n">
        <v>353.22</v>
      </c>
      <c r="I440" s="16">
        <f>SUM(K440:T440)</f>
        <v/>
      </c>
      <c r="J440" s="16">
        <f>F440-(G440+H440+I440)</f>
        <v/>
      </c>
      <c r="K440" s="16" t="n">
        <v>211.93</v>
      </c>
      <c r="L440" s="16" t="n">
        <v>211.93</v>
      </c>
      <c r="M440" s="16" t="n">
        <v>211.93</v>
      </c>
      <c r="N440" s="16" t="n">
        <v>211.93</v>
      </c>
      <c r="O440" s="16" t="n">
        <v>211.93</v>
      </c>
      <c r="P440" s="16" t="n">
        <v>211.93</v>
      </c>
      <c r="Q440" s="16" t="n">
        <v>211.93</v>
      </c>
      <c r="R440" s="16" t="n">
        <v>211.93</v>
      </c>
      <c r="S440" s="16" t="n">
        <v>211.93</v>
      </c>
      <c r="T440" s="16" t="n">
        <v>211.93</v>
      </c>
      <c r="U440" s="16" t="n">
        <v>350</v>
      </c>
      <c r="V440" s="16" t="n">
        <v>0</v>
      </c>
      <c r="W440" s="16">
        <f>U440+V440</f>
        <v/>
      </c>
    </row>
    <row r="441">
      <c r="A441" s="3" t="inlineStr">
        <is>
          <t>CANON-202607-008258</t>
        </is>
      </c>
      <c r="B441" s="3" t="inlineStr">
        <is>
          <t>2026-07-22</t>
        </is>
      </c>
      <c r="C441" s="3" t="inlineStr">
        <is>
          <t>Aurelio Fairweather</t>
        </is>
      </c>
      <c r="D441" s="3" t="inlineStr">
        <is>
          <t>CA</t>
        </is>
      </c>
      <c r="E441" s="14" t="n">
        <v>1595000</v>
      </c>
      <c r="F441" s="14" t="n">
        <v>11748.62</v>
      </c>
      <c r="G441" s="14" t="n">
        <v>1468.58</v>
      </c>
      <c r="H441" s="14" t="n">
        <v>1468.58</v>
      </c>
      <c r="I441" s="14">
        <f>SUM(K441:T441)</f>
        <v/>
      </c>
      <c r="J441" s="14">
        <f>F441-(G441+H441+I441)</f>
        <v/>
      </c>
      <c r="K441" s="14" t="n">
        <v>881.15</v>
      </c>
      <c r="L441" s="14" t="n">
        <v>881.15</v>
      </c>
      <c r="M441" s="14" t="n">
        <v>881.15</v>
      </c>
      <c r="N441" s="14" t="n">
        <v>881.15</v>
      </c>
      <c r="O441" s="14" t="n">
        <v>881.15</v>
      </c>
      <c r="P441" s="14" t="n">
        <v>881.15</v>
      </c>
      <c r="Q441" s="14" t="n">
        <v>881.15</v>
      </c>
      <c r="R441" s="14" t="n">
        <v>881.15</v>
      </c>
      <c r="S441" s="14" t="n">
        <v>881.15</v>
      </c>
      <c r="T441" s="14" t="n">
        <v>881.15</v>
      </c>
      <c r="U441" s="14" t="n">
        <v>350</v>
      </c>
      <c r="V441" s="14" t="n">
        <v>250</v>
      </c>
      <c r="W441" s="14">
        <f>U441+V441</f>
        <v/>
      </c>
    </row>
    <row r="442">
      <c r="A442" s="15" t="inlineStr">
        <is>
          <t>CANON-202607-008259</t>
        </is>
      </c>
      <c r="B442" s="15" t="inlineStr">
        <is>
          <t>2026-07-08</t>
        </is>
      </c>
      <c r="C442" s="15" t="inlineStr">
        <is>
          <t>Emiliano Rourke</t>
        </is>
      </c>
      <c r="D442" s="15" t="inlineStr">
        <is>
          <t>VA</t>
        </is>
      </c>
      <c r="E442" s="16" t="n">
        <v>1740000</v>
      </c>
      <c r="F442" s="16" t="n">
        <v>14977.77</v>
      </c>
      <c r="G442" s="16" t="n">
        <v>1872.22</v>
      </c>
      <c r="H442" s="16" t="n">
        <v>1872.22</v>
      </c>
      <c r="I442" s="16">
        <f>SUM(K442:T442)</f>
        <v/>
      </c>
      <c r="J442" s="16">
        <f>F442-(G442+H442+I442)</f>
        <v/>
      </c>
      <c r="K442" s="16" t="n">
        <v>1123.33</v>
      </c>
      <c r="L442" s="16" t="n">
        <v>1123.33</v>
      </c>
      <c r="M442" s="16" t="n">
        <v>1123.33</v>
      </c>
      <c r="N442" s="16" t="n">
        <v>1123.33</v>
      </c>
      <c r="O442" s="16" t="n">
        <v>1123.33</v>
      </c>
      <c r="P442" s="16" t="n">
        <v>1123.33</v>
      </c>
      <c r="Q442" s="16" t="n">
        <v>1123.33</v>
      </c>
      <c r="R442" s="16" t="n">
        <v>1123.33</v>
      </c>
      <c r="S442" s="16" t="n">
        <v>1123.33</v>
      </c>
      <c r="T442" s="16" t="n">
        <v>1123.33</v>
      </c>
      <c r="U442" s="16" t="n">
        <v>350</v>
      </c>
      <c r="V442" s="16" t="n">
        <v>250</v>
      </c>
      <c r="W442" s="16">
        <f>U442+V442</f>
        <v/>
      </c>
    </row>
    <row r="443">
      <c r="A443" s="3" t="inlineStr">
        <is>
          <t>CANON-202607-008260</t>
        </is>
      </c>
      <c r="B443" s="3" t="inlineStr">
        <is>
          <t>2026-07-25</t>
        </is>
      </c>
      <c r="C443" s="3" t="inlineStr">
        <is>
          <t>Thaddeus Delacroix</t>
        </is>
      </c>
      <c r="D443" s="3" t="inlineStr">
        <is>
          <t>CA</t>
        </is>
      </c>
      <c r="E443" s="14" t="n">
        <v>345000</v>
      </c>
      <c r="F443" s="14" t="n">
        <v>3209.98</v>
      </c>
      <c r="G443" s="14" t="n">
        <v>401.25</v>
      </c>
      <c r="H443" s="14" t="n">
        <v>401.25</v>
      </c>
      <c r="I443" s="14">
        <f>SUM(K443:T443)</f>
        <v/>
      </c>
      <c r="J443" s="14">
        <f>F443-(G443+H443+I443)</f>
        <v/>
      </c>
      <c r="K443" s="14" t="n">
        <v>240.75</v>
      </c>
      <c r="L443" s="14" t="n">
        <v>240.75</v>
      </c>
      <c r="M443" s="14" t="n">
        <v>240.75</v>
      </c>
      <c r="N443" s="14" t="n">
        <v>240.75</v>
      </c>
      <c r="O443" s="14" t="n">
        <v>240.75</v>
      </c>
      <c r="P443" s="14" t="n">
        <v>240.75</v>
      </c>
      <c r="Q443" s="14" t="n">
        <v>240.75</v>
      </c>
      <c r="R443" s="14" t="n">
        <v>240.75</v>
      </c>
      <c r="S443" s="14" t="n">
        <v>240.75</v>
      </c>
      <c r="T443" s="14" t="n">
        <v>240.75</v>
      </c>
      <c r="U443" s="14" t="n">
        <v>350</v>
      </c>
      <c r="V443" s="14" t="n">
        <v>0</v>
      </c>
      <c r="W443" s="14">
        <f>U443+V443</f>
        <v/>
      </c>
    </row>
    <row r="444">
      <c r="A444" s="15" t="inlineStr">
        <is>
          <t>CANON-202607-008261</t>
        </is>
      </c>
      <c r="B444" s="15" t="inlineStr">
        <is>
          <t>2026-07-18</t>
        </is>
      </c>
      <c r="C444" s="15" t="inlineStr">
        <is>
          <t>Fenwick Whitlock</t>
        </is>
      </c>
      <c r="D444" s="15" t="inlineStr">
        <is>
          <t>NY</t>
        </is>
      </c>
      <c r="E444" s="16" t="n">
        <v>765000</v>
      </c>
      <c r="F444" s="16" t="n">
        <v>9138.889999999999</v>
      </c>
      <c r="G444" s="16" t="n">
        <v>1142.36</v>
      </c>
      <c r="H444" s="16" t="n">
        <v>1142.36</v>
      </c>
      <c r="I444" s="16">
        <f>SUM(K444:T444)</f>
        <v/>
      </c>
      <c r="J444" s="16">
        <f>F444-(G444+H444+I444)</f>
        <v/>
      </c>
      <c r="K444" s="16" t="n">
        <v>685.42</v>
      </c>
      <c r="L444" s="16" t="n">
        <v>685.42</v>
      </c>
      <c r="M444" s="16" t="n">
        <v>685.42</v>
      </c>
      <c r="N444" s="16" t="n">
        <v>685.42</v>
      </c>
      <c r="O444" s="16" t="n">
        <v>685.42</v>
      </c>
      <c r="P444" s="16" t="n">
        <v>685.42</v>
      </c>
      <c r="Q444" s="16" t="n">
        <v>685.42</v>
      </c>
      <c r="R444" s="16" t="n">
        <v>685.42</v>
      </c>
      <c r="S444" s="16" t="n">
        <v>685.42</v>
      </c>
      <c r="T444" s="16" t="n">
        <v>685.42</v>
      </c>
      <c r="U444" s="16" t="n">
        <v>350</v>
      </c>
      <c r="V444" s="16" t="n">
        <v>0</v>
      </c>
      <c r="W444" s="16">
        <f>U444+V444</f>
        <v/>
      </c>
    </row>
    <row r="445">
      <c r="A445" s="3" t="inlineStr">
        <is>
          <t>CANON-202607-008262</t>
        </is>
      </c>
      <c r="B445" s="3" t="inlineStr">
        <is>
          <t>2026-07-05</t>
        </is>
      </c>
      <c r="C445" s="3" t="inlineStr">
        <is>
          <t>Beatrix Kingsford</t>
        </is>
      </c>
      <c r="D445" s="3" t="inlineStr">
        <is>
          <t>VT</t>
        </is>
      </c>
      <c r="E445" s="14" t="n">
        <v>585000</v>
      </c>
      <c r="F445" s="14" t="n">
        <v>6660.97</v>
      </c>
      <c r="G445" s="14" t="n">
        <v>832.62</v>
      </c>
      <c r="H445" s="14" t="n">
        <v>832.62</v>
      </c>
      <c r="I445" s="14">
        <f>SUM(K445:T445)</f>
        <v/>
      </c>
      <c r="J445" s="14">
        <f>F445-(G445+H445+I445)</f>
        <v/>
      </c>
      <c r="K445" s="14" t="n">
        <v>499.57</v>
      </c>
      <c r="L445" s="14" t="n">
        <v>499.57</v>
      </c>
      <c r="M445" s="14" t="n">
        <v>499.57</v>
      </c>
      <c r="N445" s="14" t="n">
        <v>499.57</v>
      </c>
      <c r="O445" s="14" t="n">
        <v>499.57</v>
      </c>
      <c r="P445" s="14" t="n">
        <v>499.57</v>
      </c>
      <c r="Q445" s="14" t="n">
        <v>499.57</v>
      </c>
      <c r="R445" s="14" t="n">
        <v>499.57</v>
      </c>
      <c r="S445" s="14" t="n">
        <v>499.57</v>
      </c>
      <c r="T445" s="14" t="n">
        <v>499.57</v>
      </c>
      <c r="U445" s="14" t="n">
        <v>350</v>
      </c>
      <c r="V445" s="14" t="n">
        <v>0</v>
      </c>
      <c r="W445" s="14">
        <f>U445+V445</f>
        <v/>
      </c>
    </row>
    <row r="446">
      <c r="A446" s="15" t="inlineStr">
        <is>
          <t>CANON-202607-008264</t>
        </is>
      </c>
      <c r="B446" s="15" t="inlineStr">
        <is>
          <t>2026-07-28</t>
        </is>
      </c>
      <c r="C446" s="15" t="inlineStr">
        <is>
          <t>Fenwick Ashcombe</t>
        </is>
      </c>
      <c r="D446" s="15" t="inlineStr">
        <is>
          <t>NY</t>
        </is>
      </c>
      <c r="E446" s="16" t="n">
        <v>290000</v>
      </c>
      <c r="F446" s="16" t="n">
        <v>3997.4</v>
      </c>
      <c r="G446" s="16" t="n">
        <v>499.68</v>
      </c>
      <c r="H446" s="16" t="n">
        <v>499.68</v>
      </c>
      <c r="I446" s="16">
        <f>SUM(K446:T446)</f>
        <v/>
      </c>
      <c r="J446" s="16">
        <f>F446-(G446+H446+I446)</f>
        <v/>
      </c>
      <c r="K446" s="16" t="n">
        <v>299.81</v>
      </c>
      <c r="L446" s="16" t="n">
        <v>299.81</v>
      </c>
      <c r="M446" s="16" t="n">
        <v>299.81</v>
      </c>
      <c r="N446" s="16" t="n">
        <v>299.81</v>
      </c>
      <c r="O446" s="16" t="n">
        <v>299.81</v>
      </c>
      <c r="P446" s="16" t="n">
        <v>299.81</v>
      </c>
      <c r="Q446" s="16" t="n">
        <v>299.81</v>
      </c>
      <c r="R446" s="16" t="n">
        <v>299.81</v>
      </c>
      <c r="S446" s="16" t="n">
        <v>299.81</v>
      </c>
      <c r="T446" s="16" t="n">
        <v>299.81</v>
      </c>
      <c r="U446" s="16" t="n">
        <v>350</v>
      </c>
      <c r="V446" s="16" t="n">
        <v>0</v>
      </c>
      <c r="W446" s="16">
        <f>U446+V446</f>
        <v/>
      </c>
    </row>
    <row r="447">
      <c r="A447" s="3" t="inlineStr">
        <is>
          <t>CANON-202607-008265</t>
        </is>
      </c>
      <c r="B447" s="3" t="inlineStr">
        <is>
          <t>2026-07-24</t>
        </is>
      </c>
      <c r="C447" s="3" t="inlineStr">
        <is>
          <t>Emiliano Vasquez</t>
        </is>
      </c>
      <c r="D447" s="3" t="inlineStr">
        <is>
          <t>GA</t>
        </is>
      </c>
      <c r="E447" s="14" t="n">
        <v>1360000</v>
      </c>
      <c r="F447" s="14" t="n">
        <v>17496.68</v>
      </c>
      <c r="G447" s="14" t="n">
        <v>2187.09</v>
      </c>
      <c r="H447" s="14" t="n">
        <v>2187.09</v>
      </c>
      <c r="I447" s="14">
        <f>SUM(K447:T447)</f>
        <v/>
      </c>
      <c r="J447" s="14">
        <f>F447-(G447+H447+I447)</f>
        <v/>
      </c>
      <c r="K447" s="14" t="n">
        <v>1312.25</v>
      </c>
      <c r="L447" s="14" t="n">
        <v>1312.25</v>
      </c>
      <c r="M447" s="14" t="n">
        <v>1312.25</v>
      </c>
      <c r="N447" s="14" t="n">
        <v>1312.25</v>
      </c>
      <c r="O447" s="14" t="n">
        <v>1312.25</v>
      </c>
      <c r="P447" s="14" t="n">
        <v>1312.25</v>
      </c>
      <c r="Q447" s="14" t="n">
        <v>1312.25</v>
      </c>
      <c r="R447" s="14" t="n">
        <v>1312.25</v>
      </c>
      <c r="S447" s="14" t="n">
        <v>1312.25</v>
      </c>
      <c r="T447" s="14" t="n">
        <v>1312.25</v>
      </c>
      <c r="U447" s="14" t="n">
        <v>350</v>
      </c>
      <c r="V447" s="14" t="n">
        <v>250</v>
      </c>
      <c r="W447" s="14">
        <f>U447+V447</f>
        <v/>
      </c>
    </row>
    <row r="448">
      <c r="A448" s="15" t="inlineStr">
        <is>
          <t>CANON-202607-008266</t>
        </is>
      </c>
      <c r="B448" s="15" t="inlineStr">
        <is>
          <t>2026-07-06</t>
        </is>
      </c>
      <c r="C448" s="15" t="inlineStr">
        <is>
          <t>Anouk Montoya</t>
        </is>
      </c>
      <c r="D448" s="15" t="inlineStr">
        <is>
          <t>CO</t>
        </is>
      </c>
      <c r="E448" s="16" t="n">
        <v>1495000</v>
      </c>
      <c r="F448" s="16" t="n">
        <v>18890.03</v>
      </c>
      <c r="G448" s="16" t="n">
        <v>2361.25</v>
      </c>
      <c r="H448" s="16" t="n">
        <v>2361.25</v>
      </c>
      <c r="I448" s="16">
        <f>SUM(K448:T448)</f>
        <v/>
      </c>
      <c r="J448" s="16">
        <f>F448-(G448+H448+I448)</f>
        <v/>
      </c>
      <c r="K448" s="16" t="n">
        <v>1416.75</v>
      </c>
      <c r="L448" s="16" t="n">
        <v>1416.75</v>
      </c>
      <c r="M448" s="16" t="n">
        <v>1416.75</v>
      </c>
      <c r="N448" s="16" t="n">
        <v>1416.75</v>
      </c>
      <c r="O448" s="16" t="n">
        <v>1416.75</v>
      </c>
      <c r="P448" s="16" t="n">
        <v>1416.75</v>
      </c>
      <c r="Q448" s="16" t="n">
        <v>1416.75</v>
      </c>
      <c r="R448" s="16" t="n">
        <v>1416.75</v>
      </c>
      <c r="S448" s="16" t="n">
        <v>1416.75</v>
      </c>
      <c r="T448" s="16" t="n">
        <v>1416.75</v>
      </c>
      <c r="U448" s="16" t="n">
        <v>350</v>
      </c>
      <c r="V448" s="16" t="n">
        <v>250</v>
      </c>
      <c r="W448" s="16">
        <f>U448+V448</f>
        <v/>
      </c>
    </row>
    <row r="449">
      <c r="A449" s="3" t="inlineStr">
        <is>
          <t>CANON-202607-008267</t>
        </is>
      </c>
      <c r="B449" s="3" t="inlineStr">
        <is>
          <t>2026-07-23</t>
        </is>
      </c>
      <c r="C449" s="3" t="inlineStr">
        <is>
          <t>Delphine Thistlewood</t>
        </is>
      </c>
      <c r="D449" s="3" t="inlineStr">
        <is>
          <t>MS</t>
        </is>
      </c>
      <c r="E449" s="14" t="n">
        <v>470000</v>
      </c>
      <c r="F449" s="14" t="n">
        <v>3854.74</v>
      </c>
      <c r="G449" s="14" t="n">
        <v>481.84</v>
      </c>
      <c r="H449" s="14" t="n">
        <v>481.84</v>
      </c>
      <c r="I449" s="14">
        <f>SUM(K449:T449)</f>
        <v/>
      </c>
      <c r="J449" s="14">
        <f>F449-(G449+H449+I449)</f>
        <v/>
      </c>
      <c r="K449" s="14" t="n">
        <v>289.11</v>
      </c>
      <c r="L449" s="14" t="n">
        <v>289.11</v>
      </c>
      <c r="M449" s="14" t="n">
        <v>289.11</v>
      </c>
      <c r="N449" s="14" t="n">
        <v>289.11</v>
      </c>
      <c r="O449" s="14" t="n">
        <v>289.11</v>
      </c>
      <c r="P449" s="14" t="n">
        <v>289.11</v>
      </c>
      <c r="Q449" s="14" t="n">
        <v>289.11</v>
      </c>
      <c r="R449" s="14" t="n">
        <v>289.11</v>
      </c>
      <c r="S449" s="14" t="n">
        <v>289.11</v>
      </c>
      <c r="T449" s="14" t="n">
        <v>289.11</v>
      </c>
      <c r="U449" s="14" t="n">
        <v>350</v>
      </c>
      <c r="V449" s="14" t="n">
        <v>0</v>
      </c>
      <c r="W449" s="14">
        <f>U449+V449</f>
        <v/>
      </c>
    </row>
    <row r="450">
      <c r="A450" s="15" t="inlineStr">
        <is>
          <t>CANON-202607-008268</t>
        </is>
      </c>
      <c r="B450" s="15" t="inlineStr">
        <is>
          <t>2026-07-02</t>
        </is>
      </c>
      <c r="C450" s="15" t="inlineStr">
        <is>
          <t>Saoirse Rourke</t>
        </is>
      </c>
      <c r="D450" s="15" t="inlineStr">
        <is>
          <t>OR</t>
        </is>
      </c>
      <c r="E450" s="16" t="n">
        <v>725000</v>
      </c>
      <c r="F450" s="16" t="n">
        <v>7646.08</v>
      </c>
      <c r="G450" s="16" t="n">
        <v>955.76</v>
      </c>
      <c r="H450" s="16" t="n">
        <v>955.76</v>
      </c>
      <c r="I450" s="16">
        <f>SUM(K450:T450)</f>
        <v/>
      </c>
      <c r="J450" s="16">
        <f>F450-(G450+H450+I450)</f>
        <v/>
      </c>
      <c r="K450" s="16" t="n">
        <v>573.46</v>
      </c>
      <c r="L450" s="16" t="n">
        <v>573.46</v>
      </c>
      <c r="M450" s="16" t="n">
        <v>573.46</v>
      </c>
      <c r="N450" s="16" t="n">
        <v>573.46</v>
      </c>
      <c r="O450" s="16" t="n">
        <v>573.46</v>
      </c>
      <c r="P450" s="16" t="n">
        <v>573.46</v>
      </c>
      <c r="Q450" s="16" t="n">
        <v>573.46</v>
      </c>
      <c r="R450" s="16" t="n">
        <v>573.46</v>
      </c>
      <c r="S450" s="16" t="n">
        <v>573.46</v>
      </c>
      <c r="T450" s="16" t="n">
        <v>573.46</v>
      </c>
      <c r="U450" s="16" t="n">
        <v>350</v>
      </c>
      <c r="V450" s="16" t="n">
        <v>0</v>
      </c>
      <c r="W450" s="16">
        <f>U450+V450</f>
        <v/>
      </c>
    </row>
    <row r="451">
      <c r="A451" s="3" t="inlineStr">
        <is>
          <t>CANON-202607-008269</t>
        </is>
      </c>
      <c r="B451" s="3" t="inlineStr">
        <is>
          <t>2026-07-12</t>
        </is>
      </c>
      <c r="C451" s="3" t="inlineStr">
        <is>
          <t>Noor Blackwood</t>
        </is>
      </c>
      <c r="D451" s="3" t="inlineStr">
        <is>
          <t>GA</t>
        </is>
      </c>
      <c r="E451" s="14" t="n">
        <v>445000</v>
      </c>
      <c r="F451" s="14" t="n">
        <v>5367.2</v>
      </c>
      <c r="G451" s="14" t="n">
        <v>670.9</v>
      </c>
      <c r="H451" s="14" t="n">
        <v>670.9</v>
      </c>
      <c r="I451" s="14">
        <f>SUM(K451:T451)</f>
        <v/>
      </c>
      <c r="J451" s="14">
        <f>F451-(G451+H451+I451)</f>
        <v/>
      </c>
      <c r="K451" s="14" t="n">
        <v>402.54</v>
      </c>
      <c r="L451" s="14" t="n">
        <v>402.54</v>
      </c>
      <c r="M451" s="14" t="n">
        <v>402.54</v>
      </c>
      <c r="N451" s="14" t="n">
        <v>402.54</v>
      </c>
      <c r="O451" s="14" t="n">
        <v>402.54</v>
      </c>
      <c r="P451" s="14" t="n">
        <v>402.54</v>
      </c>
      <c r="Q451" s="14" t="n">
        <v>402.54</v>
      </c>
      <c r="R451" s="14" t="n">
        <v>402.54</v>
      </c>
      <c r="S451" s="14" t="n">
        <v>402.54</v>
      </c>
      <c r="T451" s="14" t="n">
        <v>402.54</v>
      </c>
      <c r="U451" s="14" t="n">
        <v>350</v>
      </c>
      <c r="V451" s="14" t="n">
        <v>0</v>
      </c>
      <c r="W451" s="14">
        <f>U451+V451</f>
        <v/>
      </c>
    </row>
    <row r="452">
      <c r="A452" s="15" t="inlineStr">
        <is>
          <t>CANON-202607-008270</t>
        </is>
      </c>
      <c r="B452" s="15" t="inlineStr">
        <is>
          <t>2026-07-22</t>
        </is>
      </c>
      <c r="C452" s="15" t="inlineStr">
        <is>
          <t>Priya Delacroix</t>
        </is>
      </c>
      <c r="D452" s="15" t="inlineStr">
        <is>
          <t>WA</t>
        </is>
      </c>
      <c r="E452" s="16" t="n">
        <v>385000</v>
      </c>
      <c r="F452" s="16" t="n">
        <v>3980.17</v>
      </c>
      <c r="G452" s="16" t="n">
        <v>497.52</v>
      </c>
      <c r="H452" s="16" t="n">
        <v>497.52</v>
      </c>
      <c r="I452" s="16">
        <f>SUM(K452:T452)</f>
        <v/>
      </c>
      <c r="J452" s="16">
        <f>F452-(G452+H452+I452)</f>
        <v/>
      </c>
      <c r="K452" s="16" t="n">
        <v>298.51</v>
      </c>
      <c r="L452" s="16" t="n">
        <v>298.51</v>
      </c>
      <c r="M452" s="16" t="n">
        <v>298.51</v>
      </c>
      <c r="N452" s="16" t="n">
        <v>298.51</v>
      </c>
      <c r="O452" s="16" t="n">
        <v>298.51</v>
      </c>
      <c r="P452" s="16" t="n">
        <v>298.51</v>
      </c>
      <c r="Q452" s="16" t="n">
        <v>298.51</v>
      </c>
      <c r="R452" s="16" t="n">
        <v>298.51</v>
      </c>
      <c r="S452" s="16" t="n">
        <v>298.51</v>
      </c>
      <c r="T452" s="16" t="n">
        <v>298.51</v>
      </c>
      <c r="U452" s="16" t="n">
        <v>350</v>
      </c>
      <c r="V452" s="16" t="n">
        <v>0</v>
      </c>
      <c r="W452" s="16">
        <f>U452+V452</f>
        <v/>
      </c>
    </row>
    <row r="453">
      <c r="A453" s="3" t="inlineStr">
        <is>
          <t>CANON-202607-008271</t>
        </is>
      </c>
      <c r="B453" s="3" t="inlineStr">
        <is>
          <t>2026-07-20</t>
        </is>
      </c>
      <c r="C453" s="3" t="inlineStr">
        <is>
          <t>Mireille Delacroix</t>
        </is>
      </c>
      <c r="D453" s="3" t="inlineStr">
        <is>
          <t>NY</t>
        </is>
      </c>
      <c r="E453" s="14" t="n">
        <v>580000</v>
      </c>
      <c r="F453" s="14" t="n">
        <v>6928.84</v>
      </c>
      <c r="G453" s="14" t="n">
        <v>866.11</v>
      </c>
      <c r="H453" s="14" t="n">
        <v>866.11</v>
      </c>
      <c r="I453" s="14">
        <f>SUM(K453:T453)</f>
        <v/>
      </c>
      <c r="J453" s="14">
        <f>F453-(G453+H453+I453)</f>
        <v/>
      </c>
      <c r="K453" s="14" t="n">
        <v>519.66</v>
      </c>
      <c r="L453" s="14" t="n">
        <v>519.66</v>
      </c>
      <c r="M453" s="14" t="n">
        <v>519.66</v>
      </c>
      <c r="N453" s="14" t="n">
        <v>519.66</v>
      </c>
      <c r="O453" s="14" t="n">
        <v>519.66</v>
      </c>
      <c r="P453" s="14" t="n">
        <v>519.66</v>
      </c>
      <c r="Q453" s="14" t="n">
        <v>519.66</v>
      </c>
      <c r="R453" s="14" t="n">
        <v>519.66</v>
      </c>
      <c r="S453" s="14" t="n">
        <v>519.66</v>
      </c>
      <c r="T453" s="14" t="n">
        <v>519.66</v>
      </c>
      <c r="U453" s="14" t="n">
        <v>350</v>
      </c>
      <c r="V453" s="14" t="n">
        <v>0</v>
      </c>
      <c r="W453" s="14">
        <f>U453+V453</f>
        <v/>
      </c>
    </row>
    <row r="454">
      <c r="A454" s="15" t="inlineStr">
        <is>
          <t>CANON-202607-008272</t>
        </is>
      </c>
      <c r="B454" s="15" t="inlineStr">
        <is>
          <t>2026-07-12</t>
        </is>
      </c>
      <c r="C454" s="15" t="inlineStr">
        <is>
          <t>Marisol Pennington</t>
        </is>
      </c>
      <c r="D454" s="15" t="inlineStr">
        <is>
          <t>AK</t>
        </is>
      </c>
      <c r="E454" s="16" t="n">
        <v>615000</v>
      </c>
      <c r="F454" s="16" t="n">
        <v>6543.38</v>
      </c>
      <c r="G454" s="16" t="n">
        <v>817.92</v>
      </c>
      <c r="H454" s="16" t="n">
        <v>817.92</v>
      </c>
      <c r="I454" s="16">
        <f>SUM(K454:T454)</f>
        <v/>
      </c>
      <c r="J454" s="16">
        <f>F454-(G454+H454+I454)</f>
        <v/>
      </c>
      <c r="K454" s="16" t="n">
        <v>490.75</v>
      </c>
      <c r="L454" s="16" t="n">
        <v>490.75</v>
      </c>
      <c r="M454" s="16" t="n">
        <v>490.75</v>
      </c>
      <c r="N454" s="16" t="n">
        <v>490.75</v>
      </c>
      <c r="O454" s="16" t="n">
        <v>490.75</v>
      </c>
      <c r="P454" s="16" t="n">
        <v>490.75</v>
      </c>
      <c r="Q454" s="16" t="n">
        <v>490.75</v>
      </c>
      <c r="R454" s="16" t="n">
        <v>490.75</v>
      </c>
      <c r="S454" s="16" t="n">
        <v>490.75</v>
      </c>
      <c r="T454" s="16" t="n">
        <v>490.75</v>
      </c>
      <c r="U454" s="16" t="n">
        <v>350</v>
      </c>
      <c r="V454" s="16" t="n">
        <v>0</v>
      </c>
      <c r="W454" s="16">
        <f>U454+V454</f>
        <v/>
      </c>
    </row>
    <row r="455">
      <c r="A455" s="3" t="inlineStr">
        <is>
          <t>CANON-202607-008273</t>
        </is>
      </c>
      <c r="B455" s="3" t="inlineStr">
        <is>
          <t>2026-07-26</t>
        </is>
      </c>
      <c r="C455" s="3" t="inlineStr">
        <is>
          <t>Marisol Vandermeer</t>
        </is>
      </c>
      <c r="D455" s="3" t="inlineStr">
        <is>
          <t>GA</t>
        </is>
      </c>
      <c r="E455" s="14" t="n">
        <v>485000</v>
      </c>
      <c r="F455" s="14" t="n">
        <v>5849.65</v>
      </c>
      <c r="G455" s="14" t="n">
        <v>731.21</v>
      </c>
      <c r="H455" s="14" t="n">
        <v>731.21</v>
      </c>
      <c r="I455" s="14">
        <f>SUM(K455:T455)</f>
        <v/>
      </c>
      <c r="J455" s="14">
        <f>F455-(G455+H455+I455)</f>
        <v/>
      </c>
      <c r="K455" s="14" t="n">
        <v>438.72</v>
      </c>
      <c r="L455" s="14" t="n">
        <v>438.72</v>
      </c>
      <c r="M455" s="14" t="n">
        <v>438.72</v>
      </c>
      <c r="N455" s="14" t="n">
        <v>438.72</v>
      </c>
      <c r="O455" s="14" t="n">
        <v>438.72</v>
      </c>
      <c r="P455" s="14" t="n">
        <v>438.72</v>
      </c>
      <c r="Q455" s="14" t="n">
        <v>438.72</v>
      </c>
      <c r="R455" s="14" t="n">
        <v>438.72</v>
      </c>
      <c r="S455" s="14" t="n">
        <v>438.72</v>
      </c>
      <c r="T455" s="14" t="n">
        <v>438.72</v>
      </c>
      <c r="U455" s="14" t="n">
        <v>350</v>
      </c>
      <c r="V455" s="14" t="n">
        <v>0</v>
      </c>
      <c r="W455" s="14">
        <f>U455+V455</f>
        <v/>
      </c>
    </row>
    <row r="456">
      <c r="A456" s="15" t="inlineStr">
        <is>
          <t>CANON-202607-008274</t>
        </is>
      </c>
      <c r="B456" s="15" t="inlineStr">
        <is>
          <t>2026-07-11</t>
        </is>
      </c>
      <c r="C456" s="15" t="inlineStr">
        <is>
          <t>Leopold Vasquez</t>
        </is>
      </c>
      <c r="D456" s="15" t="inlineStr">
        <is>
          <t>ME</t>
        </is>
      </c>
      <c r="E456" s="16" t="n">
        <v>390000</v>
      </c>
      <c r="F456" s="16" t="n">
        <v>4535.85</v>
      </c>
      <c r="G456" s="16" t="n">
        <v>566.98</v>
      </c>
      <c r="H456" s="16" t="n">
        <v>566.98</v>
      </c>
      <c r="I456" s="16">
        <f>SUM(K456:T456)</f>
        <v/>
      </c>
      <c r="J456" s="16">
        <f>F456-(G456+H456+I456)</f>
        <v/>
      </c>
      <c r="K456" s="16" t="n">
        <v>340.19</v>
      </c>
      <c r="L456" s="16" t="n">
        <v>340.19</v>
      </c>
      <c r="M456" s="16" t="n">
        <v>340.19</v>
      </c>
      <c r="N456" s="16" t="n">
        <v>340.19</v>
      </c>
      <c r="O456" s="16" t="n">
        <v>340.19</v>
      </c>
      <c r="P456" s="16" t="n">
        <v>340.19</v>
      </c>
      <c r="Q456" s="16" t="n">
        <v>340.19</v>
      </c>
      <c r="R456" s="16" t="n">
        <v>340.19</v>
      </c>
      <c r="S456" s="16" t="n">
        <v>340.19</v>
      </c>
      <c r="T456" s="16" t="n">
        <v>340.19</v>
      </c>
      <c r="U456" s="16" t="n">
        <v>350</v>
      </c>
      <c r="V456" s="16" t="n">
        <v>0</v>
      </c>
      <c r="W456" s="16">
        <f>U456+V456</f>
        <v/>
      </c>
    </row>
    <row r="457">
      <c r="A457" s="3" t="inlineStr">
        <is>
          <t>CANON-202607-008275</t>
        </is>
      </c>
      <c r="B457" s="3" t="inlineStr">
        <is>
          <t>2026-07-12</t>
        </is>
      </c>
      <c r="C457" s="3" t="inlineStr">
        <is>
          <t>Mireille Nakashima</t>
        </is>
      </c>
      <c r="D457" s="3" t="inlineStr">
        <is>
          <t>OH</t>
        </is>
      </c>
      <c r="E457" s="14" t="n">
        <v>520000</v>
      </c>
      <c r="F457" s="14" t="n">
        <v>6745.91</v>
      </c>
      <c r="G457" s="14" t="n">
        <v>843.24</v>
      </c>
      <c r="H457" s="14" t="n">
        <v>843.24</v>
      </c>
      <c r="I457" s="14">
        <f>SUM(K457:T457)</f>
        <v/>
      </c>
      <c r="J457" s="14">
        <f>F457-(G457+H457+I457)</f>
        <v/>
      </c>
      <c r="K457" s="14" t="n">
        <v>505.94</v>
      </c>
      <c r="L457" s="14" t="n">
        <v>505.94</v>
      </c>
      <c r="M457" s="14" t="n">
        <v>505.94</v>
      </c>
      <c r="N457" s="14" t="n">
        <v>505.94</v>
      </c>
      <c r="O457" s="14" t="n">
        <v>505.94</v>
      </c>
      <c r="P457" s="14" t="n">
        <v>505.94</v>
      </c>
      <c r="Q457" s="14" t="n">
        <v>505.94</v>
      </c>
      <c r="R457" s="14" t="n">
        <v>505.94</v>
      </c>
      <c r="S457" s="14" t="n">
        <v>505.94</v>
      </c>
      <c r="T457" s="14" t="n">
        <v>505.94</v>
      </c>
      <c r="U457" s="14" t="n">
        <v>350</v>
      </c>
      <c r="V457" s="14" t="n">
        <v>0</v>
      </c>
      <c r="W457" s="14">
        <f>U457+V457</f>
        <v/>
      </c>
    </row>
    <row r="458">
      <c r="A458" s="15" t="inlineStr">
        <is>
          <t>CANON-202607-008276</t>
        </is>
      </c>
      <c r="B458" s="15" t="inlineStr">
        <is>
          <t>2026-07-14</t>
        </is>
      </c>
      <c r="C458" s="15" t="inlineStr">
        <is>
          <t>Horace Fairweather</t>
        </is>
      </c>
      <c r="D458" s="15" t="inlineStr">
        <is>
          <t>NY</t>
        </is>
      </c>
      <c r="E458" s="16" t="n">
        <v>255000</v>
      </c>
      <c r="F458" s="16" t="n">
        <v>3514.96</v>
      </c>
      <c r="G458" s="16" t="n">
        <v>439.37</v>
      </c>
      <c r="H458" s="16" t="n">
        <v>439.37</v>
      </c>
      <c r="I458" s="16">
        <f>SUM(K458:T458)</f>
        <v/>
      </c>
      <c r="J458" s="16">
        <f>F458-(G458+H458+I458)</f>
        <v/>
      </c>
      <c r="K458" s="16" t="n">
        <v>263.62</v>
      </c>
      <c r="L458" s="16" t="n">
        <v>263.62</v>
      </c>
      <c r="M458" s="16" t="n">
        <v>263.62</v>
      </c>
      <c r="N458" s="16" t="n">
        <v>263.62</v>
      </c>
      <c r="O458" s="16" t="n">
        <v>263.62</v>
      </c>
      <c r="P458" s="16" t="n">
        <v>263.62</v>
      </c>
      <c r="Q458" s="16" t="n">
        <v>263.62</v>
      </c>
      <c r="R458" s="16" t="n">
        <v>263.62</v>
      </c>
      <c r="S458" s="16" t="n">
        <v>263.62</v>
      </c>
      <c r="T458" s="16" t="n">
        <v>263.62</v>
      </c>
      <c r="U458" s="16" t="n">
        <v>350</v>
      </c>
      <c r="V458" s="16" t="n">
        <v>0</v>
      </c>
      <c r="W458" s="16">
        <f>U458+V458</f>
        <v/>
      </c>
    </row>
    <row r="459">
      <c r="A459" s="3" t="inlineStr">
        <is>
          <t>CANON-202607-008278</t>
        </is>
      </c>
      <c r="B459" s="3" t="inlineStr">
        <is>
          <t>2026-07-08</t>
        </is>
      </c>
      <c r="C459" s="3" t="inlineStr">
        <is>
          <t>Aurelio Rourke</t>
        </is>
      </c>
      <c r="D459" s="3" t="inlineStr">
        <is>
          <t>NY</t>
        </is>
      </c>
      <c r="E459" s="14" t="n">
        <v>435000</v>
      </c>
      <c r="F459" s="14" t="n">
        <v>5996.11</v>
      </c>
      <c r="G459" s="14" t="n">
        <v>749.51</v>
      </c>
      <c r="H459" s="14" t="n">
        <v>749.51</v>
      </c>
      <c r="I459" s="14">
        <f>SUM(K459:T459)</f>
        <v/>
      </c>
      <c r="J459" s="14">
        <f>F459-(G459+H459+I459)</f>
        <v/>
      </c>
      <c r="K459" s="14" t="n">
        <v>449.71</v>
      </c>
      <c r="L459" s="14" t="n">
        <v>449.71</v>
      </c>
      <c r="M459" s="14" t="n">
        <v>449.71</v>
      </c>
      <c r="N459" s="14" t="n">
        <v>449.71</v>
      </c>
      <c r="O459" s="14" t="n">
        <v>449.71</v>
      </c>
      <c r="P459" s="14" t="n">
        <v>449.71</v>
      </c>
      <c r="Q459" s="14" t="n">
        <v>449.71</v>
      </c>
      <c r="R459" s="14" t="n">
        <v>449.71</v>
      </c>
      <c r="S459" s="14" t="n">
        <v>449.71</v>
      </c>
      <c r="T459" s="14" t="n">
        <v>449.71</v>
      </c>
      <c r="U459" s="14" t="n">
        <v>350</v>
      </c>
      <c r="V459" s="14" t="n">
        <v>0</v>
      </c>
      <c r="W459" s="14">
        <f>U459+V459</f>
        <v/>
      </c>
    </row>
    <row r="460">
      <c r="A460" s="15" t="inlineStr">
        <is>
          <t>CANON-202607-008279</t>
        </is>
      </c>
      <c r="B460" s="15" t="inlineStr">
        <is>
          <t>2026-07-07</t>
        </is>
      </c>
      <c r="C460" s="15" t="inlineStr">
        <is>
          <t>Beatrix Larsson</t>
        </is>
      </c>
      <c r="D460" s="15" t="inlineStr">
        <is>
          <t>RI</t>
        </is>
      </c>
      <c r="E460" s="16" t="n">
        <v>1080000</v>
      </c>
      <c r="F460" s="16" t="n">
        <v>8073.03</v>
      </c>
      <c r="G460" s="16" t="n">
        <v>1009.13</v>
      </c>
      <c r="H460" s="16" t="n">
        <v>1009.13</v>
      </c>
      <c r="I460" s="16">
        <f>SUM(K460:T460)</f>
        <v/>
      </c>
      <c r="J460" s="16">
        <f>F460-(G460+H460+I460)</f>
        <v/>
      </c>
      <c r="K460" s="16" t="n">
        <v>605.48</v>
      </c>
      <c r="L460" s="16" t="n">
        <v>605.48</v>
      </c>
      <c r="M460" s="16" t="n">
        <v>605.48</v>
      </c>
      <c r="N460" s="16" t="n">
        <v>605.48</v>
      </c>
      <c r="O460" s="16" t="n">
        <v>605.48</v>
      </c>
      <c r="P460" s="16" t="n">
        <v>605.48</v>
      </c>
      <c r="Q460" s="16" t="n">
        <v>605.48</v>
      </c>
      <c r="R460" s="16" t="n">
        <v>605.48</v>
      </c>
      <c r="S460" s="16" t="n">
        <v>605.48</v>
      </c>
      <c r="T460" s="16" t="n">
        <v>605.48</v>
      </c>
      <c r="U460" s="16" t="n">
        <v>350</v>
      </c>
      <c r="V460" s="16" t="n">
        <v>250</v>
      </c>
      <c r="W460" s="16">
        <f>U460+V460</f>
        <v/>
      </c>
    </row>
    <row r="461">
      <c r="A461" s="3" t="inlineStr">
        <is>
          <t>CANON-202607-008280</t>
        </is>
      </c>
      <c r="B461" s="3" t="inlineStr">
        <is>
          <t>2026-07-14</t>
        </is>
      </c>
      <c r="C461" s="3" t="inlineStr">
        <is>
          <t>Wilhelmina Kingsford</t>
        </is>
      </c>
      <c r="D461" s="3" t="inlineStr">
        <is>
          <t>CA</t>
        </is>
      </c>
      <c r="E461" s="14" t="n">
        <v>210000</v>
      </c>
      <c r="F461" s="14" t="n">
        <v>3744.98</v>
      </c>
      <c r="G461" s="14" t="n">
        <v>468.12</v>
      </c>
      <c r="H461" s="14" t="n">
        <v>468.12</v>
      </c>
      <c r="I461" s="14">
        <f>SUM(K461:T461)</f>
        <v/>
      </c>
      <c r="J461" s="14">
        <f>F461-(G461+H461+I461)</f>
        <v/>
      </c>
      <c r="K461" s="14" t="n">
        <v>280.87</v>
      </c>
      <c r="L461" s="14" t="n">
        <v>280.87</v>
      </c>
      <c r="M461" s="14" t="n">
        <v>280.87</v>
      </c>
      <c r="N461" s="14" t="n">
        <v>280.87</v>
      </c>
      <c r="O461" s="14" t="n">
        <v>280.87</v>
      </c>
      <c r="P461" s="14" t="n">
        <v>280.87</v>
      </c>
      <c r="Q461" s="14" t="n">
        <v>280.87</v>
      </c>
      <c r="R461" s="14" t="n">
        <v>280.87</v>
      </c>
      <c r="S461" s="14" t="n">
        <v>280.87</v>
      </c>
      <c r="T461" s="14" t="n">
        <v>280.87</v>
      </c>
      <c r="U461" s="14" t="n">
        <v>350</v>
      </c>
      <c r="V461" s="14" t="n">
        <v>0</v>
      </c>
      <c r="W461" s="14">
        <f>U461+V461</f>
        <v/>
      </c>
    </row>
    <row r="462">
      <c r="A462" s="15" t="inlineStr">
        <is>
          <t>CANON-202607-008283</t>
        </is>
      </c>
      <c r="B462" s="15" t="inlineStr">
        <is>
          <t>2026-07-21</t>
        </is>
      </c>
      <c r="C462" s="15" t="inlineStr">
        <is>
          <t>Cassius Bellandi</t>
        </is>
      </c>
      <c r="D462" s="15" t="inlineStr">
        <is>
          <t>MO</t>
        </is>
      </c>
      <c r="E462" s="16" t="n">
        <v>475000</v>
      </c>
      <c r="F462" s="16" t="n">
        <v>5422.12</v>
      </c>
      <c r="G462" s="16" t="n">
        <v>677.76</v>
      </c>
      <c r="H462" s="16" t="n">
        <v>677.76</v>
      </c>
      <c r="I462" s="16">
        <f>SUM(K462:T462)</f>
        <v/>
      </c>
      <c r="J462" s="16">
        <f>F462-(G462+H462+I462)</f>
        <v/>
      </c>
      <c r="K462" s="16" t="n">
        <v>406.66</v>
      </c>
      <c r="L462" s="16" t="n">
        <v>406.66</v>
      </c>
      <c r="M462" s="16" t="n">
        <v>406.66</v>
      </c>
      <c r="N462" s="16" t="n">
        <v>406.66</v>
      </c>
      <c r="O462" s="16" t="n">
        <v>406.66</v>
      </c>
      <c r="P462" s="16" t="n">
        <v>406.66</v>
      </c>
      <c r="Q462" s="16" t="n">
        <v>406.66</v>
      </c>
      <c r="R462" s="16" t="n">
        <v>406.66</v>
      </c>
      <c r="S462" s="16" t="n">
        <v>406.66</v>
      </c>
      <c r="T462" s="16" t="n">
        <v>406.66</v>
      </c>
      <c r="U462" s="16" t="n">
        <v>350</v>
      </c>
      <c r="V462" s="16" t="n">
        <v>0</v>
      </c>
      <c r="W462" s="16">
        <f>U462+V462</f>
        <v/>
      </c>
    </row>
    <row r="463">
      <c r="A463" s="3" t="inlineStr">
        <is>
          <t>CANON-202607-008284</t>
        </is>
      </c>
      <c r="B463" s="3" t="inlineStr">
        <is>
          <t>2026-07-27</t>
        </is>
      </c>
      <c r="C463" s="3" t="inlineStr">
        <is>
          <t>Anouk Harrington</t>
        </is>
      </c>
      <c r="D463" s="3" t="inlineStr">
        <is>
          <t>VA</t>
        </is>
      </c>
      <c r="E463" s="14" t="n">
        <v>235000</v>
      </c>
      <c r="F463" s="14" t="n">
        <v>1838.96</v>
      </c>
      <c r="G463" s="14" t="n">
        <v>229.87</v>
      </c>
      <c r="H463" s="14" t="n">
        <v>229.87</v>
      </c>
      <c r="I463" s="14">
        <f>SUM(K463:T463)</f>
        <v/>
      </c>
      <c r="J463" s="14">
        <f>F463-(G463+H463+I463)</f>
        <v/>
      </c>
      <c r="K463" s="14" t="n">
        <v>137.92</v>
      </c>
      <c r="L463" s="14" t="n">
        <v>137.92</v>
      </c>
      <c r="M463" s="14" t="n">
        <v>137.92</v>
      </c>
      <c r="N463" s="14" t="n">
        <v>137.92</v>
      </c>
      <c r="O463" s="14" t="n">
        <v>137.92</v>
      </c>
      <c r="P463" s="14" t="n">
        <v>137.92</v>
      </c>
      <c r="Q463" s="14" t="n">
        <v>137.92</v>
      </c>
      <c r="R463" s="14" t="n">
        <v>137.92</v>
      </c>
      <c r="S463" s="14" t="n">
        <v>137.92</v>
      </c>
      <c r="T463" s="14" t="n">
        <v>137.92</v>
      </c>
      <c r="U463" s="14" t="n">
        <v>350</v>
      </c>
      <c r="V463" s="14" t="n">
        <v>0</v>
      </c>
      <c r="W463" s="14">
        <f>U463+V463</f>
        <v/>
      </c>
    </row>
    <row r="464">
      <c r="A464" s="15" t="inlineStr">
        <is>
          <t>CANON-202607-008287</t>
        </is>
      </c>
      <c r="B464" s="15" t="inlineStr">
        <is>
          <t>2026-07-18</t>
        </is>
      </c>
      <c r="C464" s="15" t="inlineStr">
        <is>
          <t>Ottilie Fairweather</t>
        </is>
      </c>
      <c r="D464" s="15" t="inlineStr">
        <is>
          <t>TX</t>
        </is>
      </c>
      <c r="E464" s="16" t="n">
        <v>1120000</v>
      </c>
      <c r="F464" s="16" t="n">
        <v>10171.56</v>
      </c>
      <c r="G464" s="16" t="n">
        <v>1271.44</v>
      </c>
      <c r="H464" s="16" t="n">
        <v>1271.44</v>
      </c>
      <c r="I464" s="16">
        <f>SUM(K464:T464)</f>
        <v/>
      </c>
      <c r="J464" s="16">
        <f>F464-(G464+H464+I464)</f>
        <v/>
      </c>
      <c r="K464" s="16" t="n">
        <v>762.87</v>
      </c>
      <c r="L464" s="16" t="n">
        <v>762.87</v>
      </c>
      <c r="M464" s="16" t="n">
        <v>762.87</v>
      </c>
      <c r="N464" s="16" t="n">
        <v>762.87</v>
      </c>
      <c r="O464" s="16" t="n">
        <v>762.87</v>
      </c>
      <c r="P464" s="16" t="n">
        <v>762.87</v>
      </c>
      <c r="Q464" s="16" t="n">
        <v>762.87</v>
      </c>
      <c r="R464" s="16" t="n">
        <v>762.87</v>
      </c>
      <c r="S464" s="16" t="n">
        <v>762.87</v>
      </c>
      <c r="T464" s="16" t="n">
        <v>762.87</v>
      </c>
      <c r="U464" s="16" t="n">
        <v>350</v>
      </c>
      <c r="V464" s="16" t="n">
        <v>250</v>
      </c>
      <c r="W464" s="16">
        <f>U464+V464</f>
        <v/>
      </c>
    </row>
    <row r="465">
      <c r="A465" s="3" t="inlineStr">
        <is>
          <t>CANON-202607-008288</t>
        </is>
      </c>
      <c r="B465" s="3" t="inlineStr">
        <is>
          <t>2026-07-29</t>
        </is>
      </c>
      <c r="C465" s="3" t="inlineStr">
        <is>
          <t>Mireille Vasquez</t>
        </is>
      </c>
      <c r="D465" s="3" t="inlineStr">
        <is>
          <t>UT</t>
        </is>
      </c>
      <c r="E465" s="14" t="n">
        <v>495000</v>
      </c>
      <c r="F465" s="14" t="n">
        <v>7196.3</v>
      </c>
      <c r="G465" s="14" t="n">
        <v>899.54</v>
      </c>
      <c r="H465" s="14" t="n">
        <v>899.54</v>
      </c>
      <c r="I465" s="14">
        <f>SUM(K465:T465)</f>
        <v/>
      </c>
      <c r="J465" s="14">
        <f>F465-(G465+H465+I465)</f>
        <v/>
      </c>
      <c r="K465" s="14" t="n">
        <v>539.72</v>
      </c>
      <c r="L465" s="14" t="n">
        <v>539.72</v>
      </c>
      <c r="M465" s="14" t="n">
        <v>539.72</v>
      </c>
      <c r="N465" s="14" t="n">
        <v>539.72</v>
      </c>
      <c r="O465" s="14" t="n">
        <v>539.72</v>
      </c>
      <c r="P465" s="14" t="n">
        <v>539.72</v>
      </c>
      <c r="Q465" s="14" t="n">
        <v>539.72</v>
      </c>
      <c r="R465" s="14" t="n">
        <v>539.72</v>
      </c>
      <c r="S465" s="14" t="n">
        <v>539.72</v>
      </c>
      <c r="T465" s="14" t="n">
        <v>539.72</v>
      </c>
      <c r="U465" s="14" t="n">
        <v>350</v>
      </c>
      <c r="V465" s="14" t="n">
        <v>0</v>
      </c>
      <c r="W465" s="14">
        <f>U465+V465</f>
        <v/>
      </c>
    </row>
    <row r="466">
      <c r="A466" s="15" t="inlineStr">
        <is>
          <t>CANON-202607-008289</t>
        </is>
      </c>
      <c r="B466" s="15" t="inlineStr">
        <is>
          <t>2026-07-07</t>
        </is>
      </c>
      <c r="C466" s="15" t="inlineStr">
        <is>
          <t>Emiliano Underwood</t>
        </is>
      </c>
      <c r="D466" s="15" t="inlineStr">
        <is>
          <t>NY</t>
        </is>
      </c>
      <c r="E466" s="16" t="n">
        <v>445000</v>
      </c>
      <c r="F466" s="16" t="n">
        <v>6133.95</v>
      </c>
      <c r="G466" s="16" t="n">
        <v>766.74</v>
      </c>
      <c r="H466" s="16" t="n">
        <v>766.74</v>
      </c>
      <c r="I466" s="16">
        <f>SUM(K466:T466)</f>
        <v/>
      </c>
      <c r="J466" s="16">
        <f>F466-(G466+H466+I466)</f>
        <v/>
      </c>
      <c r="K466" s="16" t="n">
        <v>460.05</v>
      </c>
      <c r="L466" s="16" t="n">
        <v>460.05</v>
      </c>
      <c r="M466" s="16" t="n">
        <v>460.05</v>
      </c>
      <c r="N466" s="16" t="n">
        <v>460.05</v>
      </c>
      <c r="O466" s="16" t="n">
        <v>460.05</v>
      </c>
      <c r="P466" s="16" t="n">
        <v>460.05</v>
      </c>
      <c r="Q466" s="16" t="n">
        <v>460.05</v>
      </c>
      <c r="R466" s="16" t="n">
        <v>460.05</v>
      </c>
      <c r="S466" s="16" t="n">
        <v>460.05</v>
      </c>
      <c r="T466" s="16" t="n">
        <v>460.05</v>
      </c>
      <c r="U466" s="16" t="n">
        <v>350</v>
      </c>
      <c r="V466" s="16" t="n">
        <v>0</v>
      </c>
      <c r="W466" s="16">
        <f>U466+V466</f>
        <v/>
      </c>
    </row>
    <row r="467">
      <c r="A467" s="3" t="inlineStr">
        <is>
          <t>CANON-202607-008290</t>
        </is>
      </c>
      <c r="B467" s="3" t="inlineStr">
        <is>
          <t>2026-07-20</t>
        </is>
      </c>
      <c r="C467" s="3" t="inlineStr">
        <is>
          <t>Aurelio Larsson</t>
        </is>
      </c>
      <c r="D467" s="3" t="inlineStr">
        <is>
          <t>CO</t>
        </is>
      </c>
      <c r="E467" s="14" t="n">
        <v>535000</v>
      </c>
      <c r="F467" s="14" t="n">
        <v>8027.47</v>
      </c>
      <c r="G467" s="14" t="n">
        <v>1003.43</v>
      </c>
      <c r="H467" s="14" t="n">
        <v>1003.43</v>
      </c>
      <c r="I467" s="14">
        <f>SUM(K467:T467)</f>
        <v/>
      </c>
      <c r="J467" s="14">
        <f>F467-(G467+H467+I467)</f>
        <v/>
      </c>
      <c r="K467" s="14" t="n">
        <v>602.0599999999999</v>
      </c>
      <c r="L467" s="14" t="n">
        <v>602.0599999999999</v>
      </c>
      <c r="M467" s="14" t="n">
        <v>602.0599999999999</v>
      </c>
      <c r="N467" s="14" t="n">
        <v>602.0599999999999</v>
      </c>
      <c r="O467" s="14" t="n">
        <v>602.0599999999999</v>
      </c>
      <c r="P467" s="14" t="n">
        <v>602.0599999999999</v>
      </c>
      <c r="Q467" s="14" t="n">
        <v>602.0599999999999</v>
      </c>
      <c r="R467" s="14" t="n">
        <v>602.0599999999999</v>
      </c>
      <c r="S467" s="14" t="n">
        <v>602.0599999999999</v>
      </c>
      <c r="T467" s="14" t="n">
        <v>602.0599999999999</v>
      </c>
      <c r="U467" s="14" t="n">
        <v>350</v>
      </c>
      <c r="V467" s="14" t="n">
        <v>0</v>
      </c>
      <c r="W467" s="14">
        <f>U467+V467</f>
        <v/>
      </c>
    </row>
    <row r="468">
      <c r="A468" s="15" t="inlineStr">
        <is>
          <t>CANON-202607-008291</t>
        </is>
      </c>
      <c r="B468" s="15" t="inlineStr">
        <is>
          <t>2026-07-28</t>
        </is>
      </c>
      <c r="C468" s="15" t="inlineStr">
        <is>
          <t>Delphine Harrington</t>
        </is>
      </c>
      <c r="D468" s="15" t="inlineStr">
        <is>
          <t>MO</t>
        </is>
      </c>
      <c r="E468" s="16" t="n">
        <v>305000</v>
      </c>
      <c r="F468" s="16" t="n">
        <v>3481.57</v>
      </c>
      <c r="G468" s="16" t="n">
        <v>435.2</v>
      </c>
      <c r="H468" s="16" t="n">
        <v>435.2</v>
      </c>
      <c r="I468" s="16">
        <f>SUM(K468:T468)</f>
        <v/>
      </c>
      <c r="J468" s="16">
        <f>F468-(G468+H468+I468)</f>
        <v/>
      </c>
      <c r="K468" s="16" t="n">
        <v>261.12</v>
      </c>
      <c r="L468" s="16" t="n">
        <v>261.12</v>
      </c>
      <c r="M468" s="16" t="n">
        <v>261.12</v>
      </c>
      <c r="N468" s="16" t="n">
        <v>261.12</v>
      </c>
      <c r="O468" s="16" t="n">
        <v>261.12</v>
      </c>
      <c r="P468" s="16" t="n">
        <v>261.12</v>
      </c>
      <c r="Q468" s="16" t="n">
        <v>261.12</v>
      </c>
      <c r="R468" s="16" t="n">
        <v>261.12</v>
      </c>
      <c r="S468" s="16" t="n">
        <v>261.12</v>
      </c>
      <c r="T468" s="16" t="n">
        <v>261.12</v>
      </c>
      <c r="U468" s="16" t="n">
        <v>350</v>
      </c>
      <c r="V468" s="16" t="n">
        <v>0</v>
      </c>
      <c r="W468" s="16">
        <f>U468+V468</f>
        <v/>
      </c>
    </row>
    <row r="469">
      <c r="A469" s="3" t="inlineStr">
        <is>
          <t>CANON-202607-008292</t>
        </is>
      </c>
      <c r="B469" s="3" t="inlineStr">
        <is>
          <t>2026-07-14</t>
        </is>
      </c>
      <c r="C469" s="3" t="inlineStr">
        <is>
          <t>Ottilie Rourke</t>
        </is>
      </c>
      <c r="D469" s="3" t="inlineStr">
        <is>
          <t>NV</t>
        </is>
      </c>
      <c r="E469" s="14" t="n">
        <v>940000</v>
      </c>
      <c r="F469" s="14" t="n">
        <v>6790.33</v>
      </c>
      <c r="G469" s="14" t="n">
        <v>848.79</v>
      </c>
      <c r="H469" s="14" t="n">
        <v>848.79</v>
      </c>
      <c r="I469" s="14">
        <f>SUM(K469:T469)</f>
        <v/>
      </c>
      <c r="J469" s="14">
        <f>F469-(G469+H469+I469)</f>
        <v/>
      </c>
      <c r="K469" s="14" t="n">
        <v>509.27</v>
      </c>
      <c r="L469" s="14" t="n">
        <v>509.27</v>
      </c>
      <c r="M469" s="14" t="n">
        <v>509.27</v>
      </c>
      <c r="N469" s="14" t="n">
        <v>509.27</v>
      </c>
      <c r="O469" s="14" t="n">
        <v>509.27</v>
      </c>
      <c r="P469" s="14" t="n">
        <v>509.27</v>
      </c>
      <c r="Q469" s="14" t="n">
        <v>509.27</v>
      </c>
      <c r="R469" s="14" t="n">
        <v>509.27</v>
      </c>
      <c r="S469" s="14" t="n">
        <v>509.27</v>
      </c>
      <c r="T469" s="14" t="n">
        <v>509.27</v>
      </c>
      <c r="U469" s="14" t="n">
        <v>350</v>
      </c>
      <c r="V469" s="14" t="n">
        <v>0</v>
      </c>
      <c r="W469" s="14">
        <f>U469+V469</f>
        <v/>
      </c>
    </row>
    <row r="470">
      <c r="A470" s="15" t="inlineStr">
        <is>
          <t>CANON-202607-008293</t>
        </is>
      </c>
      <c r="B470" s="15" t="inlineStr">
        <is>
          <t>2026-07-25</t>
        </is>
      </c>
      <c r="C470" s="15" t="inlineStr">
        <is>
          <t>Thaddeus Delacroix</t>
        </is>
      </c>
      <c r="D470" s="15" t="inlineStr">
        <is>
          <t>TX</t>
        </is>
      </c>
      <c r="E470" s="16" t="n">
        <v>505000</v>
      </c>
      <c r="F470" s="16" t="n">
        <v>5420.15</v>
      </c>
      <c r="G470" s="16" t="n">
        <v>677.52</v>
      </c>
      <c r="H470" s="16" t="n">
        <v>677.52</v>
      </c>
      <c r="I470" s="16">
        <f>SUM(K470:T470)</f>
        <v/>
      </c>
      <c r="J470" s="16">
        <f>F470-(G470+H470+I470)</f>
        <v/>
      </c>
      <c r="K470" s="16" t="n">
        <v>406.51</v>
      </c>
      <c r="L470" s="16" t="n">
        <v>406.51</v>
      </c>
      <c r="M470" s="16" t="n">
        <v>406.51</v>
      </c>
      <c r="N470" s="16" t="n">
        <v>406.51</v>
      </c>
      <c r="O470" s="16" t="n">
        <v>406.51</v>
      </c>
      <c r="P470" s="16" t="n">
        <v>406.51</v>
      </c>
      <c r="Q470" s="16" t="n">
        <v>406.51</v>
      </c>
      <c r="R470" s="16" t="n">
        <v>406.51</v>
      </c>
      <c r="S470" s="16" t="n">
        <v>406.51</v>
      </c>
      <c r="T470" s="16" t="n">
        <v>406.51</v>
      </c>
      <c r="U470" s="16" t="n">
        <v>350</v>
      </c>
      <c r="V470" s="16" t="n">
        <v>0</v>
      </c>
      <c r="W470" s="16">
        <f>U470+V470</f>
        <v/>
      </c>
    </row>
    <row r="471">
      <c r="A471" s="3" t="inlineStr">
        <is>
          <t>CANON-202607-008297</t>
        </is>
      </c>
      <c r="B471" s="3" t="inlineStr">
        <is>
          <t>2026-07-07</t>
        </is>
      </c>
      <c r="C471" s="3" t="inlineStr">
        <is>
          <t>Callum Kingsford</t>
        </is>
      </c>
      <c r="D471" s="3" t="inlineStr">
        <is>
          <t>ID</t>
        </is>
      </c>
      <c r="E471" s="14" t="n">
        <v>240000</v>
      </c>
      <c r="F471" s="14" t="n">
        <v>4844.44</v>
      </c>
      <c r="G471" s="14" t="n">
        <v>605.55</v>
      </c>
      <c r="H471" s="14" t="n">
        <v>605.55</v>
      </c>
      <c r="I471" s="14">
        <f>SUM(K471:T471)</f>
        <v/>
      </c>
      <c r="J471" s="14">
        <f>F471-(G471+H471+I471)</f>
        <v/>
      </c>
      <c r="K471" s="14" t="n">
        <v>363.33</v>
      </c>
      <c r="L471" s="14" t="n">
        <v>363.33</v>
      </c>
      <c r="M471" s="14" t="n">
        <v>363.33</v>
      </c>
      <c r="N471" s="14" t="n">
        <v>363.33</v>
      </c>
      <c r="O471" s="14" t="n">
        <v>363.33</v>
      </c>
      <c r="P471" s="14" t="n">
        <v>363.33</v>
      </c>
      <c r="Q471" s="14" t="n">
        <v>363.33</v>
      </c>
      <c r="R471" s="14" t="n">
        <v>363.33</v>
      </c>
      <c r="S471" s="14" t="n">
        <v>363.33</v>
      </c>
      <c r="T471" s="14" t="n">
        <v>363.33</v>
      </c>
      <c r="U471" s="14" t="n">
        <v>350</v>
      </c>
      <c r="V471" s="14" t="n">
        <v>0</v>
      </c>
      <c r="W471" s="14">
        <f>U471+V471</f>
        <v/>
      </c>
    </row>
    <row r="472">
      <c r="A472" s="15" t="inlineStr">
        <is>
          <t>CANON-202607-008298</t>
        </is>
      </c>
      <c r="B472" s="15" t="inlineStr">
        <is>
          <t>2026-07-07</t>
        </is>
      </c>
      <c r="C472" s="15" t="inlineStr">
        <is>
          <t>Fitzgerald Whitlock</t>
        </is>
      </c>
      <c r="D472" s="15" t="inlineStr">
        <is>
          <t>CA</t>
        </is>
      </c>
      <c r="E472" s="16" t="n">
        <v>1435000</v>
      </c>
      <c r="F472" s="16" t="n">
        <v>10570.08</v>
      </c>
      <c r="G472" s="16" t="n">
        <v>1321.26</v>
      </c>
      <c r="H472" s="16" t="n">
        <v>1321.26</v>
      </c>
      <c r="I472" s="16">
        <f>SUM(K472:T472)</f>
        <v/>
      </c>
      <c r="J472" s="16">
        <f>F472-(G472+H472+I472)</f>
        <v/>
      </c>
      <c r="K472" s="16" t="n">
        <v>792.76</v>
      </c>
      <c r="L472" s="16" t="n">
        <v>792.76</v>
      </c>
      <c r="M472" s="16" t="n">
        <v>792.76</v>
      </c>
      <c r="N472" s="16" t="n">
        <v>792.76</v>
      </c>
      <c r="O472" s="16" t="n">
        <v>792.76</v>
      </c>
      <c r="P472" s="16" t="n">
        <v>792.76</v>
      </c>
      <c r="Q472" s="16" t="n">
        <v>792.76</v>
      </c>
      <c r="R472" s="16" t="n">
        <v>792.76</v>
      </c>
      <c r="S472" s="16" t="n">
        <v>792.76</v>
      </c>
      <c r="T472" s="16" t="n">
        <v>792.76</v>
      </c>
      <c r="U472" s="16" t="n">
        <v>350</v>
      </c>
      <c r="V472" s="16" t="n">
        <v>250</v>
      </c>
      <c r="W472" s="16">
        <f>U472+V472</f>
        <v/>
      </c>
    </row>
    <row r="473">
      <c r="A473" s="3" t="inlineStr">
        <is>
          <t>CANON-202607-008301</t>
        </is>
      </c>
      <c r="B473" s="3" t="inlineStr">
        <is>
          <t>2026-07-05</t>
        </is>
      </c>
      <c r="C473" s="3" t="inlineStr">
        <is>
          <t>Ottilie Harrington</t>
        </is>
      </c>
      <c r="D473" s="3" t="inlineStr">
        <is>
          <t>DE</t>
        </is>
      </c>
      <c r="E473" s="14" t="n">
        <v>1005000</v>
      </c>
      <c r="F473" s="14" t="n">
        <v>9920.82</v>
      </c>
      <c r="G473" s="14" t="n">
        <v>1240.1</v>
      </c>
      <c r="H473" s="14" t="n">
        <v>1240.1</v>
      </c>
      <c r="I473" s="14">
        <f>SUM(K473:T473)</f>
        <v/>
      </c>
      <c r="J473" s="14">
        <f>F473-(G473+H473+I473)</f>
        <v/>
      </c>
      <c r="K473" s="14" t="n">
        <v>744.0599999999999</v>
      </c>
      <c r="L473" s="14" t="n">
        <v>744.0599999999999</v>
      </c>
      <c r="M473" s="14" t="n">
        <v>744.0599999999999</v>
      </c>
      <c r="N473" s="14" t="n">
        <v>744.0599999999999</v>
      </c>
      <c r="O473" s="14" t="n">
        <v>744.0599999999999</v>
      </c>
      <c r="P473" s="14" t="n">
        <v>744.0599999999999</v>
      </c>
      <c r="Q473" s="14" t="n">
        <v>744.0599999999999</v>
      </c>
      <c r="R473" s="14" t="n">
        <v>744.0599999999999</v>
      </c>
      <c r="S473" s="14" t="n">
        <v>744.0599999999999</v>
      </c>
      <c r="T473" s="14" t="n">
        <v>744.0599999999999</v>
      </c>
      <c r="U473" s="14" t="n">
        <v>350</v>
      </c>
      <c r="V473" s="14" t="n">
        <v>250</v>
      </c>
      <c r="W473" s="14">
        <f>U473+V473</f>
        <v/>
      </c>
    </row>
    <row r="474">
      <c r="A474" s="15" t="inlineStr">
        <is>
          <t>CANON-202607-008302</t>
        </is>
      </c>
      <c r="B474" s="15" t="inlineStr">
        <is>
          <t>2026-07-09</t>
        </is>
      </c>
      <c r="C474" s="15" t="inlineStr">
        <is>
          <t>Aurelio Fairweather</t>
        </is>
      </c>
      <c r="D474" s="15" t="inlineStr">
        <is>
          <t>WA</t>
        </is>
      </c>
      <c r="E474" s="16" t="n">
        <v>525000</v>
      </c>
      <c r="F474" s="16" t="n">
        <v>4703.84</v>
      </c>
      <c r="G474" s="16" t="n">
        <v>587.98</v>
      </c>
      <c r="H474" s="16" t="n">
        <v>587.98</v>
      </c>
      <c r="I474" s="16">
        <f>SUM(K474:T474)</f>
        <v/>
      </c>
      <c r="J474" s="16">
        <f>F474-(G474+H474+I474)</f>
        <v/>
      </c>
      <c r="K474" s="16" t="n">
        <v>352.79</v>
      </c>
      <c r="L474" s="16" t="n">
        <v>352.79</v>
      </c>
      <c r="M474" s="16" t="n">
        <v>352.79</v>
      </c>
      <c r="N474" s="16" t="n">
        <v>352.79</v>
      </c>
      <c r="O474" s="16" t="n">
        <v>352.79</v>
      </c>
      <c r="P474" s="16" t="n">
        <v>352.79</v>
      </c>
      <c r="Q474" s="16" t="n">
        <v>352.79</v>
      </c>
      <c r="R474" s="16" t="n">
        <v>352.79</v>
      </c>
      <c r="S474" s="16" t="n">
        <v>352.79</v>
      </c>
      <c r="T474" s="16" t="n">
        <v>352.79</v>
      </c>
      <c r="U474" s="16" t="n">
        <v>350</v>
      </c>
      <c r="V474" s="16" t="n">
        <v>0</v>
      </c>
      <c r="W474" s="16">
        <f>U474+V474</f>
        <v/>
      </c>
    </row>
    <row r="475">
      <c r="A475" s="3" t="inlineStr">
        <is>
          <t>CANON-202607-008303</t>
        </is>
      </c>
      <c r="B475" s="3" t="inlineStr">
        <is>
          <t>2026-07-31</t>
        </is>
      </c>
      <c r="C475" s="3" t="inlineStr">
        <is>
          <t>Ottilie Ashcombe</t>
        </is>
      </c>
      <c r="D475" s="3" t="inlineStr">
        <is>
          <t>TN</t>
        </is>
      </c>
      <c r="E475" s="14" t="n">
        <v>420000</v>
      </c>
      <c r="F475" s="14" t="n">
        <v>6796.45</v>
      </c>
      <c r="G475" s="14" t="n">
        <v>849.5599999999999</v>
      </c>
      <c r="H475" s="14" t="n">
        <v>849.5599999999999</v>
      </c>
      <c r="I475" s="14">
        <f>SUM(K475:T475)</f>
        <v/>
      </c>
      <c r="J475" s="14">
        <f>F475-(G475+H475+I475)</f>
        <v/>
      </c>
      <c r="K475" s="14" t="n">
        <v>509.73</v>
      </c>
      <c r="L475" s="14" t="n">
        <v>509.73</v>
      </c>
      <c r="M475" s="14" t="n">
        <v>509.73</v>
      </c>
      <c r="N475" s="14" t="n">
        <v>509.73</v>
      </c>
      <c r="O475" s="14" t="n">
        <v>509.73</v>
      </c>
      <c r="P475" s="14" t="n">
        <v>509.73</v>
      </c>
      <c r="Q475" s="14" t="n">
        <v>509.73</v>
      </c>
      <c r="R475" s="14" t="n">
        <v>509.73</v>
      </c>
      <c r="S475" s="14" t="n">
        <v>509.73</v>
      </c>
      <c r="T475" s="14" t="n">
        <v>509.73</v>
      </c>
      <c r="U475" s="14" t="n">
        <v>350</v>
      </c>
      <c r="V475" s="14" t="n">
        <v>0</v>
      </c>
      <c r="W475" s="14">
        <f>U475+V475</f>
        <v/>
      </c>
    </row>
    <row r="476">
      <c r="A476" s="15" t="inlineStr">
        <is>
          <t>CANON-202607-008304</t>
        </is>
      </c>
      <c r="B476" s="15" t="inlineStr">
        <is>
          <t>2026-07-26</t>
        </is>
      </c>
      <c r="C476" s="15" t="inlineStr">
        <is>
          <t>Horace Pennington</t>
        </is>
      </c>
      <c r="D476" s="15" t="inlineStr">
        <is>
          <t>MI</t>
        </is>
      </c>
      <c r="E476" s="16" t="n">
        <v>570000</v>
      </c>
      <c r="F476" s="16" t="n">
        <v>8245.719999999999</v>
      </c>
      <c r="G476" s="16" t="n">
        <v>1030.71</v>
      </c>
      <c r="H476" s="16" t="n">
        <v>1030.71</v>
      </c>
      <c r="I476" s="16">
        <f>SUM(K476:T476)</f>
        <v/>
      </c>
      <c r="J476" s="16">
        <f>F476-(G476+H476+I476)</f>
        <v/>
      </c>
      <c r="K476" s="16" t="n">
        <v>618.4299999999999</v>
      </c>
      <c r="L476" s="16" t="n">
        <v>618.4299999999999</v>
      </c>
      <c r="M476" s="16" t="n">
        <v>618.4299999999999</v>
      </c>
      <c r="N476" s="16" t="n">
        <v>618.4299999999999</v>
      </c>
      <c r="O476" s="16" t="n">
        <v>618.4299999999999</v>
      </c>
      <c r="P476" s="16" t="n">
        <v>618.4299999999999</v>
      </c>
      <c r="Q476" s="16" t="n">
        <v>618.4299999999999</v>
      </c>
      <c r="R476" s="16" t="n">
        <v>618.4299999999999</v>
      </c>
      <c r="S476" s="16" t="n">
        <v>618.4299999999999</v>
      </c>
      <c r="T476" s="16" t="n">
        <v>618.4299999999999</v>
      </c>
      <c r="U476" s="16" t="n">
        <v>350</v>
      </c>
      <c r="V476" s="16" t="n">
        <v>0</v>
      </c>
      <c r="W476" s="16">
        <f>U476+V476</f>
        <v/>
      </c>
    </row>
    <row r="477">
      <c r="A477" s="3" t="inlineStr">
        <is>
          <t>CANON-202607-008305</t>
        </is>
      </c>
      <c r="B477" s="3" t="inlineStr">
        <is>
          <t>2026-07-21</t>
        </is>
      </c>
      <c r="C477" s="3" t="inlineStr">
        <is>
          <t>Anouk Okonkwo</t>
        </is>
      </c>
      <c r="D477" s="3" t="inlineStr">
        <is>
          <t>MI</t>
        </is>
      </c>
      <c r="E477" s="14" t="n">
        <v>105000</v>
      </c>
      <c r="F477" s="14" t="n">
        <v>2149.89</v>
      </c>
      <c r="G477" s="14" t="n">
        <v>268.74</v>
      </c>
      <c r="H477" s="14" t="n">
        <v>268.74</v>
      </c>
      <c r="I477" s="14">
        <f>SUM(K477:T477)</f>
        <v/>
      </c>
      <c r="J477" s="14">
        <f>F477-(G477+H477+I477)</f>
        <v/>
      </c>
      <c r="K477" s="14" t="n">
        <v>161.24</v>
      </c>
      <c r="L477" s="14" t="n">
        <v>161.24</v>
      </c>
      <c r="M477" s="14" t="n">
        <v>161.24</v>
      </c>
      <c r="N477" s="14" t="n">
        <v>161.24</v>
      </c>
      <c r="O477" s="14" t="n">
        <v>161.24</v>
      </c>
      <c r="P477" s="14" t="n">
        <v>161.24</v>
      </c>
      <c r="Q477" s="14" t="n">
        <v>161.24</v>
      </c>
      <c r="R477" s="14" t="n">
        <v>161.24</v>
      </c>
      <c r="S477" s="14" t="n">
        <v>161.24</v>
      </c>
      <c r="T477" s="14" t="n">
        <v>161.24</v>
      </c>
      <c r="U477" s="14" t="n">
        <v>350</v>
      </c>
      <c r="V477" s="14" t="n">
        <v>0</v>
      </c>
      <c r="W477" s="14">
        <f>U477+V477</f>
        <v/>
      </c>
    </row>
    <row r="478">
      <c r="A478" s="15" t="inlineStr">
        <is>
          <t>CANON-202607-008306</t>
        </is>
      </c>
      <c r="B478" s="15" t="inlineStr">
        <is>
          <t>2026-07-24</t>
        </is>
      </c>
      <c r="C478" s="15" t="inlineStr">
        <is>
          <t>Ramona Kingsford</t>
        </is>
      </c>
      <c r="D478" s="15" t="inlineStr">
        <is>
          <t>TX</t>
        </is>
      </c>
      <c r="E478" s="16" t="n">
        <v>435000</v>
      </c>
      <c r="F478" s="16" t="n">
        <v>5387.13</v>
      </c>
      <c r="G478" s="16" t="n">
        <v>673.39</v>
      </c>
      <c r="H478" s="16" t="n">
        <v>673.39</v>
      </c>
      <c r="I478" s="16">
        <f>SUM(K478:T478)</f>
        <v/>
      </c>
      <c r="J478" s="16">
        <f>F478-(G478+H478+I478)</f>
        <v/>
      </c>
      <c r="K478" s="16" t="n">
        <v>404.03</v>
      </c>
      <c r="L478" s="16" t="n">
        <v>404.03</v>
      </c>
      <c r="M478" s="16" t="n">
        <v>404.03</v>
      </c>
      <c r="N478" s="16" t="n">
        <v>404.03</v>
      </c>
      <c r="O478" s="16" t="n">
        <v>404.03</v>
      </c>
      <c r="P478" s="16" t="n">
        <v>404.03</v>
      </c>
      <c r="Q478" s="16" t="n">
        <v>404.03</v>
      </c>
      <c r="R478" s="16" t="n">
        <v>404.03</v>
      </c>
      <c r="S478" s="16" t="n">
        <v>404.03</v>
      </c>
      <c r="T478" s="16" t="n">
        <v>404.03</v>
      </c>
      <c r="U478" s="16" t="n">
        <v>350</v>
      </c>
      <c r="V478" s="16" t="n">
        <v>0</v>
      </c>
      <c r="W478" s="16">
        <f>U478+V478</f>
        <v/>
      </c>
    </row>
    <row r="479">
      <c r="A479" s="3" t="inlineStr">
        <is>
          <t>CANON-202607-008307</t>
        </is>
      </c>
      <c r="B479" s="3" t="inlineStr">
        <is>
          <t>2026-07-11</t>
        </is>
      </c>
      <c r="C479" s="3" t="inlineStr">
        <is>
          <t>Fitzgerald Underwood</t>
        </is>
      </c>
      <c r="D479" s="3" t="inlineStr">
        <is>
          <t>MT</t>
        </is>
      </c>
      <c r="E479" s="14" t="n">
        <v>235000</v>
      </c>
      <c r="F479" s="14" t="n">
        <v>2887.01</v>
      </c>
      <c r="G479" s="14" t="n">
        <v>360.88</v>
      </c>
      <c r="H479" s="14" t="n">
        <v>360.88</v>
      </c>
      <c r="I479" s="14">
        <f>SUM(K479:T479)</f>
        <v/>
      </c>
      <c r="J479" s="14">
        <f>F479-(G479+H479+I479)</f>
        <v/>
      </c>
      <c r="K479" s="14" t="n">
        <v>216.53</v>
      </c>
      <c r="L479" s="14" t="n">
        <v>216.53</v>
      </c>
      <c r="M479" s="14" t="n">
        <v>216.53</v>
      </c>
      <c r="N479" s="14" t="n">
        <v>216.53</v>
      </c>
      <c r="O479" s="14" t="n">
        <v>216.53</v>
      </c>
      <c r="P479" s="14" t="n">
        <v>216.53</v>
      </c>
      <c r="Q479" s="14" t="n">
        <v>216.53</v>
      </c>
      <c r="R479" s="14" t="n">
        <v>216.53</v>
      </c>
      <c r="S479" s="14" t="n">
        <v>216.53</v>
      </c>
      <c r="T479" s="14" t="n">
        <v>216.53</v>
      </c>
      <c r="U479" s="14" t="n">
        <v>350</v>
      </c>
      <c r="V479" s="14" t="n">
        <v>0</v>
      </c>
      <c r="W479" s="14">
        <f>U479+V479</f>
        <v/>
      </c>
    </row>
    <row r="480">
      <c r="A480" s="15" t="inlineStr">
        <is>
          <t>CANON-202607-008308</t>
        </is>
      </c>
      <c r="B480" s="15" t="inlineStr">
        <is>
          <t>2026-07-23</t>
        </is>
      </c>
      <c r="C480" s="15" t="inlineStr">
        <is>
          <t>Emiliano Castellanos</t>
        </is>
      </c>
      <c r="D480" s="15" t="inlineStr">
        <is>
          <t>GA</t>
        </is>
      </c>
      <c r="E480" s="16" t="n">
        <v>560000</v>
      </c>
      <c r="F480" s="16" t="n">
        <v>5853.67</v>
      </c>
      <c r="G480" s="16" t="n">
        <v>731.71</v>
      </c>
      <c r="H480" s="16" t="n">
        <v>731.71</v>
      </c>
      <c r="I480" s="16">
        <f>SUM(K480:T480)</f>
        <v/>
      </c>
      <c r="J480" s="16">
        <f>F480-(G480+H480+I480)</f>
        <v/>
      </c>
      <c r="K480" s="16" t="n">
        <v>439.03</v>
      </c>
      <c r="L480" s="16" t="n">
        <v>439.03</v>
      </c>
      <c r="M480" s="16" t="n">
        <v>439.03</v>
      </c>
      <c r="N480" s="16" t="n">
        <v>439.03</v>
      </c>
      <c r="O480" s="16" t="n">
        <v>439.03</v>
      </c>
      <c r="P480" s="16" t="n">
        <v>439.03</v>
      </c>
      <c r="Q480" s="16" t="n">
        <v>439.03</v>
      </c>
      <c r="R480" s="16" t="n">
        <v>439.03</v>
      </c>
      <c r="S480" s="16" t="n">
        <v>439.03</v>
      </c>
      <c r="T480" s="16" t="n">
        <v>439.03</v>
      </c>
      <c r="U480" s="16" t="n">
        <v>350</v>
      </c>
      <c r="V480" s="16" t="n">
        <v>0</v>
      </c>
      <c r="W480" s="16">
        <f>U480+V480</f>
        <v/>
      </c>
    </row>
    <row r="481">
      <c r="A481" s="3" t="inlineStr">
        <is>
          <t>CANON-202607-008309</t>
        </is>
      </c>
      <c r="B481" s="3" t="inlineStr">
        <is>
          <t>2026-07-29</t>
        </is>
      </c>
      <c r="C481" s="3" t="inlineStr">
        <is>
          <t>Marisol Kingsford</t>
        </is>
      </c>
      <c r="D481" s="3" t="inlineStr">
        <is>
          <t>MO</t>
        </is>
      </c>
      <c r="E481" s="14" t="n">
        <v>780000</v>
      </c>
      <c r="F481" s="14" t="n">
        <v>11278.02</v>
      </c>
      <c r="G481" s="14" t="n">
        <v>1409.75</v>
      </c>
      <c r="H481" s="14" t="n">
        <v>1409.75</v>
      </c>
      <c r="I481" s="14">
        <f>SUM(K481:T481)</f>
        <v/>
      </c>
      <c r="J481" s="14">
        <f>F481-(G481+H481+I481)</f>
        <v/>
      </c>
      <c r="K481" s="14" t="n">
        <v>845.85</v>
      </c>
      <c r="L481" s="14" t="n">
        <v>845.85</v>
      </c>
      <c r="M481" s="14" t="n">
        <v>845.85</v>
      </c>
      <c r="N481" s="14" t="n">
        <v>845.85</v>
      </c>
      <c r="O481" s="14" t="n">
        <v>845.85</v>
      </c>
      <c r="P481" s="14" t="n">
        <v>845.85</v>
      </c>
      <c r="Q481" s="14" t="n">
        <v>845.85</v>
      </c>
      <c r="R481" s="14" t="n">
        <v>845.85</v>
      </c>
      <c r="S481" s="14" t="n">
        <v>845.85</v>
      </c>
      <c r="T481" s="14" t="n">
        <v>845.85</v>
      </c>
      <c r="U481" s="14" t="n">
        <v>350</v>
      </c>
      <c r="V481" s="14" t="n">
        <v>0</v>
      </c>
      <c r="W481" s="14">
        <f>U481+V481</f>
        <v/>
      </c>
    </row>
    <row r="482">
      <c r="A482" s="15" t="inlineStr">
        <is>
          <t>CANON-202607-008310</t>
        </is>
      </c>
      <c r="B482" s="15" t="inlineStr">
        <is>
          <t>2026-07-19</t>
        </is>
      </c>
      <c r="C482" s="15" t="inlineStr">
        <is>
          <t>Emiliano Thistlewood</t>
        </is>
      </c>
      <c r="D482" s="15" t="inlineStr">
        <is>
          <t>CA</t>
        </is>
      </c>
      <c r="E482" s="16" t="n">
        <v>345000</v>
      </c>
      <c r="F482" s="16" t="n">
        <v>5015.6</v>
      </c>
      <c r="G482" s="16" t="n">
        <v>626.95</v>
      </c>
      <c r="H482" s="16" t="n">
        <v>626.95</v>
      </c>
      <c r="I482" s="16">
        <f>SUM(K482:T482)</f>
        <v/>
      </c>
      <c r="J482" s="16">
        <f>F482-(G482+H482+I482)</f>
        <v/>
      </c>
      <c r="K482" s="16" t="n">
        <v>376.17</v>
      </c>
      <c r="L482" s="16" t="n">
        <v>376.17</v>
      </c>
      <c r="M482" s="16" t="n">
        <v>376.17</v>
      </c>
      <c r="N482" s="16" t="n">
        <v>376.17</v>
      </c>
      <c r="O482" s="16" t="n">
        <v>376.17</v>
      </c>
      <c r="P482" s="16" t="n">
        <v>376.17</v>
      </c>
      <c r="Q482" s="16" t="n">
        <v>376.17</v>
      </c>
      <c r="R482" s="16" t="n">
        <v>376.17</v>
      </c>
      <c r="S482" s="16" t="n">
        <v>376.17</v>
      </c>
      <c r="T482" s="16" t="n">
        <v>376.17</v>
      </c>
      <c r="U482" s="16" t="n">
        <v>350</v>
      </c>
      <c r="V482" s="16" t="n">
        <v>0</v>
      </c>
      <c r="W482" s="16">
        <f>U482+V482</f>
        <v/>
      </c>
    </row>
    <row r="483">
      <c r="A483" s="3" t="inlineStr">
        <is>
          <t>CANON-202607-008313</t>
        </is>
      </c>
      <c r="B483" s="3" t="inlineStr">
        <is>
          <t>2026-07-19</t>
        </is>
      </c>
      <c r="C483" s="3" t="inlineStr">
        <is>
          <t>Delphine Bellandi</t>
        </is>
      </c>
      <c r="D483" s="3" t="inlineStr">
        <is>
          <t>ND</t>
        </is>
      </c>
      <c r="E483" s="14" t="n">
        <v>1035000</v>
      </c>
      <c r="F483" s="14" t="n">
        <v>5760.14</v>
      </c>
      <c r="G483" s="14" t="n">
        <v>720.02</v>
      </c>
      <c r="H483" s="14" t="n">
        <v>720.02</v>
      </c>
      <c r="I483" s="14">
        <f>SUM(K483:T483)</f>
        <v/>
      </c>
      <c r="J483" s="14">
        <f>F483-(G483+H483+I483)</f>
        <v/>
      </c>
      <c r="K483" s="14" t="n">
        <v>432.01</v>
      </c>
      <c r="L483" s="14" t="n">
        <v>432.01</v>
      </c>
      <c r="M483" s="14" t="n">
        <v>432.01</v>
      </c>
      <c r="N483" s="14" t="n">
        <v>432.01</v>
      </c>
      <c r="O483" s="14" t="n">
        <v>432.01</v>
      </c>
      <c r="P483" s="14" t="n">
        <v>432.01</v>
      </c>
      <c r="Q483" s="14" t="n">
        <v>432.01</v>
      </c>
      <c r="R483" s="14" t="n">
        <v>432.01</v>
      </c>
      <c r="S483" s="14" t="n">
        <v>432.01</v>
      </c>
      <c r="T483" s="14" t="n">
        <v>432.01</v>
      </c>
      <c r="U483" s="14" t="n">
        <v>350</v>
      </c>
      <c r="V483" s="14" t="n">
        <v>250</v>
      </c>
      <c r="W483" s="14">
        <f>U483+V483</f>
        <v/>
      </c>
    </row>
    <row r="484">
      <c r="A484" s="15" t="inlineStr">
        <is>
          <t>CANON-202607-008314</t>
        </is>
      </c>
      <c r="B484" s="15" t="inlineStr">
        <is>
          <t>2026-07-25</t>
        </is>
      </c>
      <c r="C484" s="15" t="inlineStr">
        <is>
          <t>Thaddeus Underwood</t>
        </is>
      </c>
      <c r="D484" s="15" t="inlineStr">
        <is>
          <t>WV</t>
        </is>
      </c>
      <c r="E484" s="16" t="n">
        <v>460000</v>
      </c>
      <c r="F484" s="16" t="n">
        <v>6588.4</v>
      </c>
      <c r="G484" s="16" t="n">
        <v>823.55</v>
      </c>
      <c r="H484" s="16" t="n">
        <v>823.55</v>
      </c>
      <c r="I484" s="16">
        <f>SUM(K484:T484)</f>
        <v/>
      </c>
      <c r="J484" s="16">
        <f>F484-(G484+H484+I484)</f>
        <v/>
      </c>
      <c r="K484" s="16" t="n">
        <v>494.13</v>
      </c>
      <c r="L484" s="16" t="n">
        <v>494.13</v>
      </c>
      <c r="M484" s="16" t="n">
        <v>494.13</v>
      </c>
      <c r="N484" s="16" t="n">
        <v>494.13</v>
      </c>
      <c r="O484" s="16" t="n">
        <v>494.13</v>
      </c>
      <c r="P484" s="16" t="n">
        <v>494.13</v>
      </c>
      <c r="Q484" s="16" t="n">
        <v>494.13</v>
      </c>
      <c r="R484" s="16" t="n">
        <v>494.13</v>
      </c>
      <c r="S484" s="16" t="n">
        <v>494.13</v>
      </c>
      <c r="T484" s="16" t="n">
        <v>494.13</v>
      </c>
      <c r="U484" s="16" t="n">
        <v>350</v>
      </c>
      <c r="V484" s="16" t="n">
        <v>0</v>
      </c>
      <c r="W484" s="16">
        <f>U484+V484</f>
        <v/>
      </c>
    </row>
    <row r="485">
      <c r="A485" s="3" t="inlineStr">
        <is>
          <t>CANON-202607-008315</t>
        </is>
      </c>
      <c r="B485" s="3" t="inlineStr">
        <is>
          <t>2026-07-06</t>
        </is>
      </c>
      <c r="C485" s="3" t="inlineStr">
        <is>
          <t>Fenwick Harrington</t>
        </is>
      </c>
      <c r="D485" s="3" t="inlineStr">
        <is>
          <t>AK</t>
        </is>
      </c>
      <c r="E485" s="14" t="n">
        <v>595000</v>
      </c>
      <c r="F485" s="14" t="n">
        <v>6330.58</v>
      </c>
      <c r="G485" s="14" t="n">
        <v>791.3200000000001</v>
      </c>
      <c r="H485" s="14" t="n">
        <v>791.3200000000001</v>
      </c>
      <c r="I485" s="14">
        <f>SUM(K485:T485)</f>
        <v/>
      </c>
      <c r="J485" s="14">
        <f>F485-(G485+H485+I485)</f>
        <v/>
      </c>
      <c r="K485" s="14" t="n">
        <v>474.79</v>
      </c>
      <c r="L485" s="14" t="n">
        <v>474.79</v>
      </c>
      <c r="M485" s="14" t="n">
        <v>474.79</v>
      </c>
      <c r="N485" s="14" t="n">
        <v>474.79</v>
      </c>
      <c r="O485" s="14" t="n">
        <v>474.79</v>
      </c>
      <c r="P485" s="14" t="n">
        <v>474.79</v>
      </c>
      <c r="Q485" s="14" t="n">
        <v>474.79</v>
      </c>
      <c r="R485" s="14" t="n">
        <v>474.79</v>
      </c>
      <c r="S485" s="14" t="n">
        <v>474.79</v>
      </c>
      <c r="T485" s="14" t="n">
        <v>474.79</v>
      </c>
      <c r="U485" s="14" t="n">
        <v>350</v>
      </c>
      <c r="V485" s="14" t="n">
        <v>0</v>
      </c>
      <c r="W485" s="14">
        <f>U485+V485</f>
        <v/>
      </c>
    </row>
    <row r="486">
      <c r="A486" s="15" t="inlineStr">
        <is>
          <t>CANON-202607-008317</t>
        </is>
      </c>
      <c r="B486" s="15" t="inlineStr">
        <is>
          <t>2026-07-12</t>
        </is>
      </c>
      <c r="C486" s="15" t="inlineStr">
        <is>
          <t>Leopold Rourke</t>
        </is>
      </c>
      <c r="D486" s="15" t="inlineStr">
        <is>
          <t>TN</t>
        </is>
      </c>
      <c r="E486" s="16" t="n">
        <v>995000</v>
      </c>
      <c r="F486" s="16" t="n">
        <v>9100.620000000001</v>
      </c>
      <c r="G486" s="16" t="n">
        <v>1137.58</v>
      </c>
      <c r="H486" s="16" t="n">
        <v>1137.58</v>
      </c>
      <c r="I486" s="16">
        <f>SUM(K486:T486)</f>
        <v/>
      </c>
      <c r="J486" s="16">
        <f>F486-(G486+H486+I486)</f>
        <v/>
      </c>
      <c r="K486" s="16" t="n">
        <v>682.55</v>
      </c>
      <c r="L486" s="16" t="n">
        <v>682.55</v>
      </c>
      <c r="M486" s="16" t="n">
        <v>682.55</v>
      </c>
      <c r="N486" s="16" t="n">
        <v>682.55</v>
      </c>
      <c r="O486" s="16" t="n">
        <v>682.55</v>
      </c>
      <c r="P486" s="16" t="n">
        <v>682.55</v>
      </c>
      <c r="Q486" s="16" t="n">
        <v>682.55</v>
      </c>
      <c r="R486" s="16" t="n">
        <v>682.55</v>
      </c>
      <c r="S486" s="16" t="n">
        <v>682.55</v>
      </c>
      <c r="T486" s="16" t="n">
        <v>682.55</v>
      </c>
      <c r="U486" s="16" t="n">
        <v>350</v>
      </c>
      <c r="V486" s="16" t="n">
        <v>0</v>
      </c>
      <c r="W486" s="16">
        <f>U486+V486</f>
        <v/>
      </c>
    </row>
    <row r="487">
      <c r="A487" s="3" t="inlineStr">
        <is>
          <t>CANON-202607-008322</t>
        </is>
      </c>
      <c r="B487" s="3" t="inlineStr">
        <is>
          <t>2026-07-26</t>
        </is>
      </c>
      <c r="C487" s="3" t="inlineStr">
        <is>
          <t>Cassius Castellanos</t>
        </is>
      </c>
      <c r="D487" s="3" t="inlineStr">
        <is>
          <t>NJ</t>
        </is>
      </c>
      <c r="E487" s="14" t="n">
        <v>875000</v>
      </c>
      <c r="F487" s="14" t="n">
        <v>7431.42</v>
      </c>
      <c r="G487" s="14" t="n">
        <v>928.9299999999999</v>
      </c>
      <c r="H487" s="14" t="n">
        <v>928.9299999999999</v>
      </c>
      <c r="I487" s="14">
        <f>SUM(K487:T487)</f>
        <v/>
      </c>
      <c r="J487" s="14">
        <f>F487-(G487+H487+I487)</f>
        <v/>
      </c>
      <c r="K487" s="14" t="n">
        <v>557.36</v>
      </c>
      <c r="L487" s="14" t="n">
        <v>557.36</v>
      </c>
      <c r="M487" s="14" t="n">
        <v>557.36</v>
      </c>
      <c r="N487" s="14" t="n">
        <v>557.36</v>
      </c>
      <c r="O487" s="14" t="n">
        <v>557.36</v>
      </c>
      <c r="P487" s="14" t="n">
        <v>557.36</v>
      </c>
      <c r="Q487" s="14" t="n">
        <v>557.36</v>
      </c>
      <c r="R487" s="14" t="n">
        <v>557.36</v>
      </c>
      <c r="S487" s="14" t="n">
        <v>557.36</v>
      </c>
      <c r="T487" s="14" t="n">
        <v>557.36</v>
      </c>
      <c r="U487" s="14" t="n">
        <v>350</v>
      </c>
      <c r="V487" s="14" t="n">
        <v>0</v>
      </c>
      <c r="W487" s="14">
        <f>U487+V487</f>
        <v/>
      </c>
    </row>
    <row r="488">
      <c r="A488" s="15" t="inlineStr">
        <is>
          <t>CANON-202607-008324</t>
        </is>
      </c>
      <c r="B488" s="15" t="inlineStr">
        <is>
          <t>2026-07-22</t>
        </is>
      </c>
      <c r="C488" s="15" t="inlineStr">
        <is>
          <t>Fitzgerald Whitlock</t>
        </is>
      </c>
      <c r="D488" s="15" t="inlineStr">
        <is>
          <t>UT</t>
        </is>
      </c>
      <c r="E488" s="16" t="n">
        <v>790000</v>
      </c>
      <c r="F488" s="16" t="n">
        <v>9953.67</v>
      </c>
      <c r="G488" s="16" t="n">
        <v>1244.21</v>
      </c>
      <c r="H488" s="16" t="n">
        <v>1244.21</v>
      </c>
      <c r="I488" s="16">
        <f>SUM(K488:T488)</f>
        <v/>
      </c>
      <c r="J488" s="16">
        <f>F488-(G488+H488+I488)</f>
        <v/>
      </c>
      <c r="K488" s="16" t="n">
        <v>746.53</v>
      </c>
      <c r="L488" s="16" t="n">
        <v>746.53</v>
      </c>
      <c r="M488" s="16" t="n">
        <v>746.53</v>
      </c>
      <c r="N488" s="16" t="n">
        <v>746.53</v>
      </c>
      <c r="O488" s="16" t="n">
        <v>746.53</v>
      </c>
      <c r="P488" s="16" t="n">
        <v>746.53</v>
      </c>
      <c r="Q488" s="16" t="n">
        <v>746.53</v>
      </c>
      <c r="R488" s="16" t="n">
        <v>746.53</v>
      </c>
      <c r="S488" s="16" t="n">
        <v>746.53</v>
      </c>
      <c r="T488" s="16" t="n">
        <v>746.53</v>
      </c>
      <c r="U488" s="16" t="n">
        <v>350</v>
      </c>
      <c r="V488" s="16" t="n">
        <v>0</v>
      </c>
      <c r="W488" s="16">
        <f>U488+V488</f>
        <v/>
      </c>
    </row>
    <row r="489">
      <c r="A489" s="3" t="inlineStr">
        <is>
          <t>CANON-202607-008325</t>
        </is>
      </c>
      <c r="B489" s="3" t="inlineStr">
        <is>
          <t>2026-07-20</t>
        </is>
      </c>
      <c r="C489" s="3" t="inlineStr">
        <is>
          <t>Lorenzo Underwood</t>
        </is>
      </c>
      <c r="D489" s="3" t="inlineStr">
        <is>
          <t>NY</t>
        </is>
      </c>
      <c r="E489" s="14" t="n">
        <v>450000</v>
      </c>
      <c r="F489" s="14" t="n">
        <v>6202.87</v>
      </c>
      <c r="G489" s="14" t="n">
        <v>775.36</v>
      </c>
      <c r="H489" s="14" t="n">
        <v>775.36</v>
      </c>
      <c r="I489" s="14">
        <f>SUM(K489:T489)</f>
        <v/>
      </c>
      <c r="J489" s="14">
        <f>F489-(G489+H489+I489)</f>
        <v/>
      </c>
      <c r="K489" s="14" t="n">
        <v>465.22</v>
      </c>
      <c r="L489" s="14" t="n">
        <v>465.22</v>
      </c>
      <c r="M489" s="14" t="n">
        <v>465.22</v>
      </c>
      <c r="N489" s="14" t="n">
        <v>465.22</v>
      </c>
      <c r="O489" s="14" t="n">
        <v>465.22</v>
      </c>
      <c r="P489" s="14" t="n">
        <v>465.22</v>
      </c>
      <c r="Q489" s="14" t="n">
        <v>465.22</v>
      </c>
      <c r="R489" s="14" t="n">
        <v>465.22</v>
      </c>
      <c r="S489" s="14" t="n">
        <v>465.22</v>
      </c>
      <c r="T489" s="14" t="n">
        <v>465.22</v>
      </c>
      <c r="U489" s="14" t="n">
        <v>350</v>
      </c>
      <c r="V489" s="14" t="n">
        <v>0</v>
      </c>
      <c r="W489" s="14">
        <f>U489+V489</f>
        <v/>
      </c>
    </row>
    <row r="490">
      <c r="A490" s="15" t="inlineStr">
        <is>
          <t>CANON-202607-008326</t>
        </is>
      </c>
      <c r="B490" s="15" t="inlineStr">
        <is>
          <t>2026-07-11</t>
        </is>
      </c>
      <c r="C490" s="15" t="inlineStr">
        <is>
          <t>Ramona Montoya</t>
        </is>
      </c>
      <c r="D490" s="15" t="inlineStr">
        <is>
          <t>AK</t>
        </is>
      </c>
      <c r="E490" s="16" t="n">
        <v>385000</v>
      </c>
      <c r="F490" s="16" t="n">
        <v>4726.46</v>
      </c>
      <c r="G490" s="16" t="n">
        <v>590.8099999999999</v>
      </c>
      <c r="H490" s="16" t="n">
        <v>590.8099999999999</v>
      </c>
      <c r="I490" s="16">
        <f>SUM(K490:T490)</f>
        <v/>
      </c>
      <c r="J490" s="16">
        <f>F490-(G490+H490+I490)</f>
        <v/>
      </c>
      <c r="K490" s="16" t="n">
        <v>354.48</v>
      </c>
      <c r="L490" s="16" t="n">
        <v>354.48</v>
      </c>
      <c r="M490" s="16" t="n">
        <v>354.48</v>
      </c>
      <c r="N490" s="16" t="n">
        <v>354.48</v>
      </c>
      <c r="O490" s="16" t="n">
        <v>354.48</v>
      </c>
      <c r="P490" s="16" t="n">
        <v>354.48</v>
      </c>
      <c r="Q490" s="16" t="n">
        <v>354.48</v>
      </c>
      <c r="R490" s="16" t="n">
        <v>354.48</v>
      </c>
      <c r="S490" s="16" t="n">
        <v>354.48</v>
      </c>
      <c r="T490" s="16" t="n">
        <v>354.48</v>
      </c>
      <c r="U490" s="16" t="n">
        <v>350</v>
      </c>
      <c r="V490" s="16" t="n">
        <v>0</v>
      </c>
      <c r="W490" s="16">
        <f>U490+V490</f>
        <v/>
      </c>
    </row>
    <row r="491">
      <c r="A491" s="3" t="inlineStr">
        <is>
          <t>CANON-202607-008327</t>
        </is>
      </c>
      <c r="B491" s="3" t="inlineStr">
        <is>
          <t>2026-07-31</t>
        </is>
      </c>
      <c r="C491" s="3" t="inlineStr">
        <is>
          <t>Cassius Thistlewood</t>
        </is>
      </c>
      <c r="D491" s="3" t="inlineStr">
        <is>
          <t>OR</t>
        </is>
      </c>
      <c r="E491" s="14" t="n">
        <v>1550000</v>
      </c>
      <c r="F491" s="14" t="n">
        <v>9556.58</v>
      </c>
      <c r="G491" s="14" t="n">
        <v>1194.57</v>
      </c>
      <c r="H491" s="14" t="n">
        <v>1194.57</v>
      </c>
      <c r="I491" s="14">
        <f>SUM(K491:T491)</f>
        <v/>
      </c>
      <c r="J491" s="14">
        <f>F491-(G491+H491+I491)</f>
        <v/>
      </c>
      <c r="K491" s="14" t="n">
        <v>716.74</v>
      </c>
      <c r="L491" s="14" t="n">
        <v>716.74</v>
      </c>
      <c r="M491" s="14" t="n">
        <v>716.74</v>
      </c>
      <c r="N491" s="14" t="n">
        <v>716.74</v>
      </c>
      <c r="O491" s="14" t="n">
        <v>716.74</v>
      </c>
      <c r="P491" s="14" t="n">
        <v>716.74</v>
      </c>
      <c r="Q491" s="14" t="n">
        <v>716.74</v>
      </c>
      <c r="R491" s="14" t="n">
        <v>716.74</v>
      </c>
      <c r="S491" s="14" t="n">
        <v>716.74</v>
      </c>
      <c r="T491" s="14" t="n">
        <v>716.74</v>
      </c>
      <c r="U491" s="14" t="n">
        <v>350</v>
      </c>
      <c r="V491" s="14" t="n">
        <v>250</v>
      </c>
      <c r="W491" s="14">
        <f>U491+V491</f>
        <v/>
      </c>
    </row>
    <row r="492">
      <c r="A492" s="15" t="inlineStr">
        <is>
          <t>CANON-202607-008328</t>
        </is>
      </c>
      <c r="B492" s="15" t="inlineStr">
        <is>
          <t>2026-07-05</t>
        </is>
      </c>
      <c r="C492" s="15" t="inlineStr">
        <is>
          <t>Desmond Whitlock</t>
        </is>
      </c>
      <c r="D492" s="15" t="inlineStr">
        <is>
          <t>CO</t>
        </is>
      </c>
      <c r="E492" s="16" t="n">
        <v>185000</v>
      </c>
      <c r="F492" s="16" t="n">
        <v>2688.19</v>
      </c>
      <c r="G492" s="16" t="n">
        <v>336.02</v>
      </c>
      <c r="H492" s="16" t="n">
        <v>336.02</v>
      </c>
      <c r="I492" s="16">
        <f>SUM(K492:T492)</f>
        <v/>
      </c>
      <c r="J492" s="16">
        <f>F492-(G492+H492+I492)</f>
        <v/>
      </c>
      <c r="K492" s="16" t="n">
        <v>201.61</v>
      </c>
      <c r="L492" s="16" t="n">
        <v>201.61</v>
      </c>
      <c r="M492" s="16" t="n">
        <v>201.61</v>
      </c>
      <c r="N492" s="16" t="n">
        <v>201.61</v>
      </c>
      <c r="O492" s="16" t="n">
        <v>201.61</v>
      </c>
      <c r="P492" s="16" t="n">
        <v>201.61</v>
      </c>
      <c r="Q492" s="16" t="n">
        <v>201.61</v>
      </c>
      <c r="R492" s="16" t="n">
        <v>201.61</v>
      </c>
      <c r="S492" s="16" t="n">
        <v>201.61</v>
      </c>
      <c r="T492" s="16" t="n">
        <v>201.61</v>
      </c>
      <c r="U492" s="16" t="n">
        <v>350</v>
      </c>
      <c r="V492" s="16" t="n">
        <v>0</v>
      </c>
      <c r="W492" s="16">
        <f>U492+V492</f>
        <v/>
      </c>
    </row>
    <row r="493">
      <c r="A493" s="3" t="inlineStr">
        <is>
          <t>CANON-202607-008329</t>
        </is>
      </c>
      <c r="B493" s="3" t="inlineStr">
        <is>
          <t>2026-07-03</t>
        </is>
      </c>
      <c r="C493" s="3" t="inlineStr">
        <is>
          <t>Everett Fairweather</t>
        </is>
      </c>
      <c r="D493" s="3" t="inlineStr">
        <is>
          <t>CT</t>
        </is>
      </c>
      <c r="E493" s="14" t="n">
        <v>465000</v>
      </c>
      <c r="F493" s="14" t="n">
        <v>5608.43</v>
      </c>
      <c r="G493" s="14" t="n">
        <v>701.05</v>
      </c>
      <c r="H493" s="14" t="n">
        <v>701.05</v>
      </c>
      <c r="I493" s="14">
        <f>SUM(K493:T493)</f>
        <v/>
      </c>
      <c r="J493" s="14">
        <f>F493-(G493+H493+I493)</f>
        <v/>
      </c>
      <c r="K493" s="14" t="n">
        <v>420.63</v>
      </c>
      <c r="L493" s="14" t="n">
        <v>420.63</v>
      </c>
      <c r="M493" s="14" t="n">
        <v>420.63</v>
      </c>
      <c r="N493" s="14" t="n">
        <v>420.63</v>
      </c>
      <c r="O493" s="14" t="n">
        <v>420.63</v>
      </c>
      <c r="P493" s="14" t="n">
        <v>420.63</v>
      </c>
      <c r="Q493" s="14" t="n">
        <v>420.63</v>
      </c>
      <c r="R493" s="14" t="n">
        <v>420.63</v>
      </c>
      <c r="S493" s="14" t="n">
        <v>420.63</v>
      </c>
      <c r="T493" s="14" t="n">
        <v>420.63</v>
      </c>
      <c r="U493" s="14" t="n">
        <v>350</v>
      </c>
      <c r="V493" s="14" t="n">
        <v>0</v>
      </c>
      <c r="W493" s="14">
        <f>U493+V493</f>
        <v/>
      </c>
    </row>
    <row r="494">
      <c r="A494" s="15" t="inlineStr">
        <is>
          <t>CANON-202607-008330</t>
        </is>
      </c>
      <c r="B494" s="15" t="inlineStr">
        <is>
          <t>2026-07-30</t>
        </is>
      </c>
      <c r="C494" s="15" t="inlineStr">
        <is>
          <t>Lorenzo Ashcombe</t>
        </is>
      </c>
      <c r="D494" s="15" t="inlineStr">
        <is>
          <t>WA</t>
        </is>
      </c>
      <c r="E494" s="16" t="n">
        <v>795000</v>
      </c>
      <c r="F494" s="16" t="n">
        <v>7122.96</v>
      </c>
      <c r="G494" s="16" t="n">
        <v>890.37</v>
      </c>
      <c r="H494" s="16" t="n">
        <v>890.37</v>
      </c>
      <c r="I494" s="16">
        <f>SUM(K494:T494)</f>
        <v/>
      </c>
      <c r="J494" s="16">
        <f>F494-(G494+H494+I494)</f>
        <v/>
      </c>
      <c r="K494" s="16" t="n">
        <v>534.22</v>
      </c>
      <c r="L494" s="16" t="n">
        <v>534.22</v>
      </c>
      <c r="M494" s="16" t="n">
        <v>534.22</v>
      </c>
      <c r="N494" s="16" t="n">
        <v>534.22</v>
      </c>
      <c r="O494" s="16" t="n">
        <v>534.22</v>
      </c>
      <c r="P494" s="16" t="n">
        <v>534.22</v>
      </c>
      <c r="Q494" s="16" t="n">
        <v>534.22</v>
      </c>
      <c r="R494" s="16" t="n">
        <v>534.22</v>
      </c>
      <c r="S494" s="16" t="n">
        <v>534.22</v>
      </c>
      <c r="T494" s="16" t="n">
        <v>534.22</v>
      </c>
      <c r="U494" s="16" t="n">
        <v>350</v>
      </c>
      <c r="V494" s="16" t="n">
        <v>0</v>
      </c>
      <c r="W494" s="16">
        <f>U494+V494</f>
        <v/>
      </c>
    </row>
    <row r="495">
      <c r="A495" s="3" t="inlineStr">
        <is>
          <t>CANON-202607-008331</t>
        </is>
      </c>
      <c r="B495" s="3" t="inlineStr">
        <is>
          <t>2026-07-20</t>
        </is>
      </c>
      <c r="C495" s="3" t="inlineStr">
        <is>
          <t>Sunniva Blackwood</t>
        </is>
      </c>
      <c r="D495" s="3" t="inlineStr">
        <is>
          <t>PA</t>
        </is>
      </c>
      <c r="E495" s="14" t="n">
        <v>1025000</v>
      </c>
      <c r="F495" s="14" t="n">
        <v>8094.6</v>
      </c>
      <c r="G495" s="14" t="n">
        <v>1011.83</v>
      </c>
      <c r="H495" s="14" t="n">
        <v>1011.83</v>
      </c>
      <c r="I495" s="14">
        <f>SUM(K495:T495)</f>
        <v/>
      </c>
      <c r="J495" s="14">
        <f>F495-(G495+H495+I495)</f>
        <v/>
      </c>
      <c r="K495" s="14" t="n">
        <v>607.1</v>
      </c>
      <c r="L495" s="14" t="n">
        <v>607.1</v>
      </c>
      <c r="M495" s="14" t="n">
        <v>607.1</v>
      </c>
      <c r="N495" s="14" t="n">
        <v>607.1</v>
      </c>
      <c r="O495" s="14" t="n">
        <v>607.1</v>
      </c>
      <c r="P495" s="14" t="n">
        <v>607.1</v>
      </c>
      <c r="Q495" s="14" t="n">
        <v>607.1</v>
      </c>
      <c r="R495" s="14" t="n">
        <v>607.1</v>
      </c>
      <c r="S495" s="14" t="n">
        <v>607.1</v>
      </c>
      <c r="T495" s="14" t="n">
        <v>607.1</v>
      </c>
      <c r="U495" s="14" t="n">
        <v>350</v>
      </c>
      <c r="V495" s="14" t="n">
        <v>250</v>
      </c>
      <c r="W495" s="14">
        <f>U495+V495</f>
        <v/>
      </c>
    </row>
    <row r="496">
      <c r="A496" s="15" t="inlineStr">
        <is>
          <t>CANON-202607-008332</t>
        </is>
      </c>
      <c r="B496" s="15" t="inlineStr">
        <is>
          <t>2026-07-22</t>
        </is>
      </c>
      <c r="C496" s="15" t="inlineStr">
        <is>
          <t>Delphine Bellandi</t>
        </is>
      </c>
      <c r="D496" s="15" t="inlineStr">
        <is>
          <t>CA</t>
        </is>
      </c>
      <c r="E496" s="16" t="n">
        <v>675000</v>
      </c>
      <c r="F496" s="16" t="n">
        <v>10205.66</v>
      </c>
      <c r="G496" s="16" t="n">
        <v>1275.71</v>
      </c>
      <c r="H496" s="16" t="n">
        <v>1275.71</v>
      </c>
      <c r="I496" s="16">
        <f>SUM(K496:T496)</f>
        <v/>
      </c>
      <c r="J496" s="16">
        <f>F496-(G496+H496+I496)</f>
        <v/>
      </c>
      <c r="K496" s="16" t="n">
        <v>765.42</v>
      </c>
      <c r="L496" s="16" t="n">
        <v>765.42</v>
      </c>
      <c r="M496" s="16" t="n">
        <v>765.42</v>
      </c>
      <c r="N496" s="16" t="n">
        <v>765.42</v>
      </c>
      <c r="O496" s="16" t="n">
        <v>765.42</v>
      </c>
      <c r="P496" s="16" t="n">
        <v>765.42</v>
      </c>
      <c r="Q496" s="16" t="n">
        <v>765.42</v>
      </c>
      <c r="R496" s="16" t="n">
        <v>765.42</v>
      </c>
      <c r="S496" s="16" t="n">
        <v>765.42</v>
      </c>
      <c r="T496" s="16" t="n">
        <v>765.42</v>
      </c>
      <c r="U496" s="16" t="n">
        <v>350</v>
      </c>
      <c r="V496" s="16" t="n">
        <v>0</v>
      </c>
      <c r="W496" s="16">
        <f>U496+V496</f>
        <v/>
      </c>
    </row>
    <row r="497">
      <c r="A497" s="3" t="inlineStr">
        <is>
          <t>CANON-202607-008333</t>
        </is>
      </c>
      <c r="B497" s="3" t="inlineStr">
        <is>
          <t>2026-07-16</t>
        </is>
      </c>
      <c r="C497" s="3" t="inlineStr">
        <is>
          <t>Fitzgerald Vandermeer</t>
        </is>
      </c>
      <c r="D497" s="3" t="inlineStr">
        <is>
          <t>KS</t>
        </is>
      </c>
      <c r="E497" s="14" t="n">
        <v>465000</v>
      </c>
      <c r="F497" s="14" t="n">
        <v>4857.3</v>
      </c>
      <c r="G497" s="14" t="n">
        <v>607.16</v>
      </c>
      <c r="H497" s="14" t="n">
        <v>607.16</v>
      </c>
      <c r="I497" s="14">
        <f>SUM(K497:T497)</f>
        <v/>
      </c>
      <c r="J497" s="14">
        <f>F497-(G497+H497+I497)</f>
        <v/>
      </c>
      <c r="K497" s="14" t="n">
        <v>364.3</v>
      </c>
      <c r="L497" s="14" t="n">
        <v>364.3</v>
      </c>
      <c r="M497" s="14" t="n">
        <v>364.3</v>
      </c>
      <c r="N497" s="14" t="n">
        <v>364.3</v>
      </c>
      <c r="O497" s="14" t="n">
        <v>364.3</v>
      </c>
      <c r="P497" s="14" t="n">
        <v>364.3</v>
      </c>
      <c r="Q497" s="14" t="n">
        <v>364.3</v>
      </c>
      <c r="R497" s="14" t="n">
        <v>364.3</v>
      </c>
      <c r="S497" s="14" t="n">
        <v>364.3</v>
      </c>
      <c r="T497" s="14" t="n">
        <v>364.3</v>
      </c>
      <c r="U497" s="14" t="n">
        <v>350</v>
      </c>
      <c r="V497" s="14" t="n">
        <v>0</v>
      </c>
      <c r="W497" s="14">
        <f>U497+V497</f>
        <v/>
      </c>
    </row>
    <row r="498">
      <c r="A498" s="15" t="inlineStr">
        <is>
          <t>CANON-202607-008334</t>
        </is>
      </c>
      <c r="B498" s="15" t="inlineStr">
        <is>
          <t>2026-07-24</t>
        </is>
      </c>
      <c r="C498" s="15" t="inlineStr">
        <is>
          <t>Sunniva Fairweather</t>
        </is>
      </c>
      <c r="D498" s="15" t="inlineStr">
        <is>
          <t>TX</t>
        </is>
      </c>
      <c r="E498" s="16" t="n">
        <v>845000</v>
      </c>
      <c r="F498" s="16" t="n">
        <v>9069.360000000001</v>
      </c>
      <c r="G498" s="16" t="n">
        <v>1133.67</v>
      </c>
      <c r="H498" s="16" t="n">
        <v>1133.67</v>
      </c>
      <c r="I498" s="16">
        <f>SUM(K498:T498)</f>
        <v/>
      </c>
      <c r="J498" s="16">
        <f>F498-(G498+H498+I498)</f>
        <v/>
      </c>
      <c r="K498" s="16" t="n">
        <v>680.2</v>
      </c>
      <c r="L498" s="16" t="n">
        <v>680.2</v>
      </c>
      <c r="M498" s="16" t="n">
        <v>680.2</v>
      </c>
      <c r="N498" s="16" t="n">
        <v>680.2</v>
      </c>
      <c r="O498" s="16" t="n">
        <v>680.2</v>
      </c>
      <c r="P498" s="16" t="n">
        <v>680.2</v>
      </c>
      <c r="Q498" s="16" t="n">
        <v>680.2</v>
      </c>
      <c r="R498" s="16" t="n">
        <v>680.2</v>
      </c>
      <c r="S498" s="16" t="n">
        <v>680.2</v>
      </c>
      <c r="T498" s="16" t="n">
        <v>680.2</v>
      </c>
      <c r="U498" s="16" t="n">
        <v>350</v>
      </c>
      <c r="V498" s="16" t="n">
        <v>0</v>
      </c>
      <c r="W498" s="16">
        <f>U498+V498</f>
        <v/>
      </c>
    </row>
    <row r="499">
      <c r="A499" s="3" t="inlineStr">
        <is>
          <t>CANON-202607-008335</t>
        </is>
      </c>
      <c r="B499" s="3" t="inlineStr">
        <is>
          <t>2026-07-16</t>
        </is>
      </c>
      <c r="C499" s="3" t="inlineStr">
        <is>
          <t>Thaddeus Merriweather</t>
        </is>
      </c>
      <c r="D499" s="3" t="inlineStr">
        <is>
          <t>CO</t>
        </is>
      </c>
      <c r="E499" s="14" t="n">
        <v>275000</v>
      </c>
      <c r="F499" s="14" t="n">
        <v>3257.58</v>
      </c>
      <c r="G499" s="14" t="n">
        <v>407.2</v>
      </c>
      <c r="H499" s="14" t="n">
        <v>407.2</v>
      </c>
      <c r="I499" s="14">
        <f>SUM(K499:T499)</f>
        <v/>
      </c>
      <c r="J499" s="14">
        <f>F499-(G499+H499+I499)</f>
        <v/>
      </c>
      <c r="K499" s="14" t="n">
        <v>244.32</v>
      </c>
      <c r="L499" s="14" t="n">
        <v>244.32</v>
      </c>
      <c r="M499" s="14" t="n">
        <v>244.32</v>
      </c>
      <c r="N499" s="14" t="n">
        <v>244.32</v>
      </c>
      <c r="O499" s="14" t="n">
        <v>244.32</v>
      </c>
      <c r="P499" s="14" t="n">
        <v>244.32</v>
      </c>
      <c r="Q499" s="14" t="n">
        <v>244.32</v>
      </c>
      <c r="R499" s="14" t="n">
        <v>244.32</v>
      </c>
      <c r="S499" s="14" t="n">
        <v>244.32</v>
      </c>
      <c r="T499" s="14" t="n">
        <v>244.32</v>
      </c>
      <c r="U499" s="14" t="n">
        <v>350</v>
      </c>
      <c r="V499" s="14" t="n">
        <v>0</v>
      </c>
      <c r="W499" s="14">
        <f>U499+V499</f>
        <v/>
      </c>
    </row>
    <row r="500">
      <c r="A500" s="15" t="inlineStr">
        <is>
          <t>CANON-202607-008336</t>
        </is>
      </c>
      <c r="B500" s="15" t="inlineStr">
        <is>
          <t>2026-07-11</t>
        </is>
      </c>
      <c r="C500" s="15" t="inlineStr">
        <is>
          <t>Mireille Vandermeer</t>
        </is>
      </c>
      <c r="D500" s="15" t="inlineStr">
        <is>
          <t>AL</t>
        </is>
      </c>
      <c r="E500" s="16" t="n">
        <v>415000</v>
      </c>
      <c r="F500" s="16" t="n">
        <v>3632.47</v>
      </c>
      <c r="G500" s="16" t="n">
        <v>454.06</v>
      </c>
      <c r="H500" s="16" t="n">
        <v>454.06</v>
      </c>
      <c r="I500" s="16">
        <f>SUM(K500:T500)</f>
        <v/>
      </c>
      <c r="J500" s="16">
        <f>F500-(G500+H500+I500)</f>
        <v/>
      </c>
      <c r="K500" s="16" t="n">
        <v>272.44</v>
      </c>
      <c r="L500" s="16" t="n">
        <v>272.44</v>
      </c>
      <c r="M500" s="16" t="n">
        <v>272.44</v>
      </c>
      <c r="N500" s="16" t="n">
        <v>272.44</v>
      </c>
      <c r="O500" s="16" t="n">
        <v>272.44</v>
      </c>
      <c r="P500" s="16" t="n">
        <v>272.44</v>
      </c>
      <c r="Q500" s="16" t="n">
        <v>272.44</v>
      </c>
      <c r="R500" s="16" t="n">
        <v>272.44</v>
      </c>
      <c r="S500" s="16" t="n">
        <v>272.44</v>
      </c>
      <c r="T500" s="16" t="n">
        <v>272.44</v>
      </c>
      <c r="U500" s="16" t="n">
        <v>350</v>
      </c>
      <c r="V500" s="16" t="n">
        <v>0</v>
      </c>
      <c r="W500" s="16">
        <f>U500+V500</f>
        <v/>
      </c>
    </row>
    <row r="501">
      <c r="A501" s="3" t="inlineStr">
        <is>
          <t>CANON-202607-008338</t>
        </is>
      </c>
      <c r="B501" s="3" t="inlineStr">
        <is>
          <t>2026-07-04</t>
        </is>
      </c>
      <c r="C501" s="3" t="inlineStr">
        <is>
          <t>Leopold Merriweather</t>
        </is>
      </c>
      <c r="D501" s="3" t="inlineStr">
        <is>
          <t>ID</t>
        </is>
      </c>
      <c r="E501" s="14" t="n">
        <v>955000</v>
      </c>
      <c r="F501" s="14" t="n">
        <v>8823.9</v>
      </c>
      <c r="G501" s="14" t="n">
        <v>1102.99</v>
      </c>
      <c r="H501" s="14" t="n">
        <v>1102.99</v>
      </c>
      <c r="I501" s="14">
        <f>SUM(K501:T501)</f>
        <v/>
      </c>
      <c r="J501" s="14">
        <f>F501-(G501+H501+I501)</f>
        <v/>
      </c>
      <c r="K501" s="14" t="n">
        <v>661.79</v>
      </c>
      <c r="L501" s="14" t="n">
        <v>661.79</v>
      </c>
      <c r="M501" s="14" t="n">
        <v>661.79</v>
      </c>
      <c r="N501" s="14" t="n">
        <v>661.79</v>
      </c>
      <c r="O501" s="14" t="n">
        <v>661.79</v>
      </c>
      <c r="P501" s="14" t="n">
        <v>661.79</v>
      </c>
      <c r="Q501" s="14" t="n">
        <v>661.79</v>
      </c>
      <c r="R501" s="14" t="n">
        <v>661.79</v>
      </c>
      <c r="S501" s="14" t="n">
        <v>661.79</v>
      </c>
      <c r="T501" s="14" t="n">
        <v>661.79</v>
      </c>
      <c r="U501" s="14" t="n">
        <v>350</v>
      </c>
      <c r="V501" s="14" t="n">
        <v>0</v>
      </c>
      <c r="W501" s="14">
        <f>U501+V501</f>
        <v/>
      </c>
    </row>
    <row r="502">
      <c r="A502" s="15" t="inlineStr">
        <is>
          <t>CANON-202607-008339</t>
        </is>
      </c>
      <c r="B502" s="15" t="inlineStr">
        <is>
          <t>2026-07-01</t>
        </is>
      </c>
      <c r="C502" s="15" t="inlineStr">
        <is>
          <t>Emiliano Thistlewood</t>
        </is>
      </c>
      <c r="D502" s="15" t="inlineStr">
        <is>
          <t>MI</t>
        </is>
      </c>
      <c r="E502" s="16" t="n">
        <v>835000</v>
      </c>
      <c r="F502" s="16" t="n">
        <v>12079.26</v>
      </c>
      <c r="G502" s="16" t="n">
        <v>1509.91</v>
      </c>
      <c r="H502" s="16" t="n">
        <v>1509.91</v>
      </c>
      <c r="I502" s="16">
        <f>SUM(K502:T502)</f>
        <v/>
      </c>
      <c r="J502" s="16">
        <f>F502-(G502+H502+I502)</f>
        <v/>
      </c>
      <c r="K502" s="16" t="n">
        <v>905.9400000000001</v>
      </c>
      <c r="L502" s="16" t="n">
        <v>905.9400000000001</v>
      </c>
      <c r="M502" s="16" t="n">
        <v>905.9400000000001</v>
      </c>
      <c r="N502" s="16" t="n">
        <v>905.9400000000001</v>
      </c>
      <c r="O502" s="16" t="n">
        <v>905.9400000000001</v>
      </c>
      <c r="P502" s="16" t="n">
        <v>905.9400000000001</v>
      </c>
      <c r="Q502" s="16" t="n">
        <v>905.9400000000001</v>
      </c>
      <c r="R502" s="16" t="n">
        <v>905.9400000000001</v>
      </c>
      <c r="S502" s="16" t="n">
        <v>905.9400000000001</v>
      </c>
      <c r="T502" s="16" t="n">
        <v>905.9400000000001</v>
      </c>
      <c r="U502" s="16" t="n">
        <v>350</v>
      </c>
      <c r="V502" s="16" t="n">
        <v>0</v>
      </c>
      <c r="W502" s="16">
        <f>U502+V502</f>
        <v/>
      </c>
    </row>
    <row r="503">
      <c r="A503" s="3" t="inlineStr">
        <is>
          <t>CANON-202607-008340</t>
        </is>
      </c>
      <c r="B503" s="3" t="inlineStr">
        <is>
          <t>2026-07-19</t>
        </is>
      </c>
      <c r="C503" s="3" t="inlineStr">
        <is>
          <t>Everett Rourke</t>
        </is>
      </c>
      <c r="D503" s="3" t="inlineStr">
        <is>
          <t>UT</t>
        </is>
      </c>
      <c r="E503" s="14" t="n">
        <v>1860000</v>
      </c>
      <c r="F503" s="14" t="n">
        <v>19829.8</v>
      </c>
      <c r="G503" s="14" t="n">
        <v>2478.72</v>
      </c>
      <c r="H503" s="14" t="n">
        <v>2478.72</v>
      </c>
      <c r="I503" s="14">
        <f>SUM(K503:T503)</f>
        <v/>
      </c>
      <c r="J503" s="14">
        <f>F503-(G503+H503+I503)</f>
        <v/>
      </c>
      <c r="K503" s="14" t="n">
        <v>1487.23</v>
      </c>
      <c r="L503" s="14" t="n">
        <v>1487.23</v>
      </c>
      <c r="M503" s="14" t="n">
        <v>1487.23</v>
      </c>
      <c r="N503" s="14" t="n">
        <v>1487.23</v>
      </c>
      <c r="O503" s="14" t="n">
        <v>1487.23</v>
      </c>
      <c r="P503" s="14" t="n">
        <v>1487.23</v>
      </c>
      <c r="Q503" s="14" t="n">
        <v>1487.23</v>
      </c>
      <c r="R503" s="14" t="n">
        <v>1487.23</v>
      </c>
      <c r="S503" s="14" t="n">
        <v>1487.23</v>
      </c>
      <c r="T503" s="14" t="n">
        <v>1487.23</v>
      </c>
      <c r="U503" s="14" t="n">
        <v>350</v>
      </c>
      <c r="V503" s="14" t="n">
        <v>250</v>
      </c>
      <c r="W503" s="14">
        <f>U503+V503</f>
        <v/>
      </c>
    </row>
    <row r="504">
      <c r="A504" s="15" t="inlineStr">
        <is>
          <t>CANON-202607-008341</t>
        </is>
      </c>
      <c r="B504" s="15" t="inlineStr">
        <is>
          <t>2026-07-19</t>
        </is>
      </c>
      <c r="C504" s="15" t="inlineStr">
        <is>
          <t>Sunniva Montoya</t>
        </is>
      </c>
      <c r="D504" s="15" t="inlineStr">
        <is>
          <t>NH</t>
        </is>
      </c>
      <c r="E504" s="16" t="n">
        <v>550000</v>
      </c>
      <c r="F504" s="16" t="n">
        <v>5338.48</v>
      </c>
      <c r="G504" s="16" t="n">
        <v>667.3099999999999</v>
      </c>
      <c r="H504" s="16" t="n">
        <v>667.3099999999999</v>
      </c>
      <c r="I504" s="16">
        <f>SUM(K504:T504)</f>
        <v/>
      </c>
      <c r="J504" s="16">
        <f>F504-(G504+H504+I504)</f>
        <v/>
      </c>
      <c r="K504" s="16" t="n">
        <v>400.39</v>
      </c>
      <c r="L504" s="16" t="n">
        <v>400.39</v>
      </c>
      <c r="M504" s="16" t="n">
        <v>400.39</v>
      </c>
      <c r="N504" s="16" t="n">
        <v>400.39</v>
      </c>
      <c r="O504" s="16" t="n">
        <v>400.39</v>
      </c>
      <c r="P504" s="16" t="n">
        <v>400.39</v>
      </c>
      <c r="Q504" s="16" t="n">
        <v>400.39</v>
      </c>
      <c r="R504" s="16" t="n">
        <v>400.39</v>
      </c>
      <c r="S504" s="16" t="n">
        <v>400.39</v>
      </c>
      <c r="T504" s="16" t="n">
        <v>400.39</v>
      </c>
      <c r="U504" s="16" t="n">
        <v>350</v>
      </c>
      <c r="V504" s="16" t="n">
        <v>0</v>
      </c>
      <c r="W504" s="16">
        <f>U504+V504</f>
        <v/>
      </c>
    </row>
    <row r="505">
      <c r="A505" s="3" t="inlineStr">
        <is>
          <t>CANON-202607-008343</t>
        </is>
      </c>
      <c r="B505" s="3" t="inlineStr">
        <is>
          <t>2026-07-13</t>
        </is>
      </c>
      <c r="C505" s="3" t="inlineStr">
        <is>
          <t>Mireille Blackwood</t>
        </is>
      </c>
      <c r="D505" s="3" t="inlineStr">
        <is>
          <t>MN</t>
        </is>
      </c>
      <c r="E505" s="14" t="n">
        <v>385000</v>
      </c>
      <c r="F505" s="14" t="n">
        <v>5472.74</v>
      </c>
      <c r="G505" s="14" t="n">
        <v>684.09</v>
      </c>
      <c r="H505" s="14" t="n">
        <v>684.09</v>
      </c>
      <c r="I505" s="14">
        <f>SUM(K505:T505)</f>
        <v/>
      </c>
      <c r="J505" s="14">
        <f>F505-(G505+H505+I505)</f>
        <v/>
      </c>
      <c r="K505" s="14" t="n">
        <v>410.46</v>
      </c>
      <c r="L505" s="14" t="n">
        <v>410.46</v>
      </c>
      <c r="M505" s="14" t="n">
        <v>410.46</v>
      </c>
      <c r="N505" s="14" t="n">
        <v>410.46</v>
      </c>
      <c r="O505" s="14" t="n">
        <v>410.46</v>
      </c>
      <c r="P505" s="14" t="n">
        <v>410.46</v>
      </c>
      <c r="Q505" s="14" t="n">
        <v>410.46</v>
      </c>
      <c r="R505" s="14" t="n">
        <v>410.46</v>
      </c>
      <c r="S505" s="14" t="n">
        <v>410.46</v>
      </c>
      <c r="T505" s="14" t="n">
        <v>410.46</v>
      </c>
      <c r="U505" s="14" t="n">
        <v>350</v>
      </c>
      <c r="V505" s="14" t="n">
        <v>0</v>
      </c>
      <c r="W505" s="14">
        <f>U505+V505</f>
        <v/>
      </c>
    </row>
    <row r="506">
      <c r="A506" s="15" t="inlineStr">
        <is>
          <t>CANON-202607-008346</t>
        </is>
      </c>
      <c r="B506" s="15" t="inlineStr">
        <is>
          <t>2026-07-19</t>
        </is>
      </c>
      <c r="C506" s="15" t="inlineStr">
        <is>
          <t>Delphine Delacroix</t>
        </is>
      </c>
      <c r="D506" s="15" t="inlineStr">
        <is>
          <t>FL</t>
        </is>
      </c>
      <c r="E506" s="16" t="n">
        <v>525000</v>
      </c>
      <c r="F506" s="16" t="n">
        <v>6957.76</v>
      </c>
      <c r="G506" s="16" t="n">
        <v>869.72</v>
      </c>
      <c r="H506" s="16" t="n">
        <v>869.72</v>
      </c>
      <c r="I506" s="16">
        <f>SUM(K506:T506)</f>
        <v/>
      </c>
      <c r="J506" s="16">
        <f>F506-(G506+H506+I506)</f>
        <v/>
      </c>
      <c r="K506" s="16" t="n">
        <v>521.83</v>
      </c>
      <c r="L506" s="16" t="n">
        <v>521.83</v>
      </c>
      <c r="M506" s="16" t="n">
        <v>521.83</v>
      </c>
      <c r="N506" s="16" t="n">
        <v>521.83</v>
      </c>
      <c r="O506" s="16" t="n">
        <v>521.83</v>
      </c>
      <c r="P506" s="16" t="n">
        <v>521.83</v>
      </c>
      <c r="Q506" s="16" t="n">
        <v>521.83</v>
      </c>
      <c r="R506" s="16" t="n">
        <v>521.83</v>
      </c>
      <c r="S506" s="16" t="n">
        <v>521.83</v>
      </c>
      <c r="T506" s="16" t="n">
        <v>521.83</v>
      </c>
      <c r="U506" s="16" t="n">
        <v>350</v>
      </c>
      <c r="V506" s="16" t="n">
        <v>0</v>
      </c>
      <c r="W506" s="16">
        <f>U506+V506</f>
        <v/>
      </c>
    </row>
    <row r="507">
      <c r="A507" s="3" t="inlineStr">
        <is>
          <t>CANON-202607-008348</t>
        </is>
      </c>
      <c r="B507" s="3" t="inlineStr">
        <is>
          <t>2026-07-01</t>
        </is>
      </c>
      <c r="C507" s="3" t="inlineStr">
        <is>
          <t>Anouk Nakashima</t>
        </is>
      </c>
      <c r="D507" s="3" t="inlineStr">
        <is>
          <t>NJ</t>
        </is>
      </c>
      <c r="E507" s="14" t="n">
        <v>300000</v>
      </c>
      <c r="F507" s="14" t="n">
        <v>2939.9</v>
      </c>
      <c r="G507" s="14" t="n">
        <v>367.49</v>
      </c>
      <c r="H507" s="14" t="n">
        <v>367.49</v>
      </c>
      <c r="I507" s="14">
        <f>SUM(K507:T507)</f>
        <v/>
      </c>
      <c r="J507" s="14">
        <f>F507-(G507+H507+I507)</f>
        <v/>
      </c>
      <c r="K507" s="14" t="n">
        <v>220.49</v>
      </c>
      <c r="L507" s="14" t="n">
        <v>220.49</v>
      </c>
      <c r="M507" s="14" t="n">
        <v>220.49</v>
      </c>
      <c r="N507" s="14" t="n">
        <v>220.49</v>
      </c>
      <c r="O507" s="14" t="n">
        <v>220.49</v>
      </c>
      <c r="P507" s="14" t="n">
        <v>220.49</v>
      </c>
      <c r="Q507" s="14" t="n">
        <v>220.49</v>
      </c>
      <c r="R507" s="14" t="n">
        <v>220.49</v>
      </c>
      <c r="S507" s="14" t="n">
        <v>220.49</v>
      </c>
      <c r="T507" s="14" t="n">
        <v>220.49</v>
      </c>
      <c r="U507" s="14" t="n">
        <v>350</v>
      </c>
      <c r="V507" s="14" t="n">
        <v>0</v>
      </c>
      <c r="W507" s="14">
        <f>U507+V507</f>
        <v/>
      </c>
    </row>
    <row r="508">
      <c r="A508" s="15" t="inlineStr">
        <is>
          <t>CANON-202607-008349</t>
        </is>
      </c>
      <c r="B508" s="15" t="inlineStr">
        <is>
          <t>2026-07-07</t>
        </is>
      </c>
      <c r="C508" s="15" t="inlineStr">
        <is>
          <t>Beatrix Chattopadhyay</t>
        </is>
      </c>
      <c r="D508" s="15" t="inlineStr">
        <is>
          <t>MT</t>
        </is>
      </c>
      <c r="E508" s="16" t="n">
        <v>445000</v>
      </c>
      <c r="F508" s="16" t="n">
        <v>6833.6</v>
      </c>
      <c r="G508" s="16" t="n">
        <v>854.2</v>
      </c>
      <c r="H508" s="16" t="n">
        <v>854.2</v>
      </c>
      <c r="I508" s="16">
        <f>SUM(K508:T508)</f>
        <v/>
      </c>
      <c r="J508" s="16">
        <f>F508-(G508+H508+I508)</f>
        <v/>
      </c>
      <c r="K508" s="16" t="n">
        <v>512.52</v>
      </c>
      <c r="L508" s="16" t="n">
        <v>512.52</v>
      </c>
      <c r="M508" s="16" t="n">
        <v>512.52</v>
      </c>
      <c r="N508" s="16" t="n">
        <v>512.52</v>
      </c>
      <c r="O508" s="16" t="n">
        <v>512.52</v>
      </c>
      <c r="P508" s="16" t="n">
        <v>512.52</v>
      </c>
      <c r="Q508" s="16" t="n">
        <v>512.52</v>
      </c>
      <c r="R508" s="16" t="n">
        <v>512.52</v>
      </c>
      <c r="S508" s="16" t="n">
        <v>512.52</v>
      </c>
      <c r="T508" s="16" t="n">
        <v>512.52</v>
      </c>
      <c r="U508" s="16" t="n">
        <v>350</v>
      </c>
      <c r="V508" s="16" t="n">
        <v>0</v>
      </c>
      <c r="W508" s="16">
        <f>U508+V508</f>
        <v/>
      </c>
    </row>
    <row r="509">
      <c r="A509" s="3" t="inlineStr">
        <is>
          <t>CANON-202607-008350</t>
        </is>
      </c>
      <c r="B509" s="3" t="inlineStr">
        <is>
          <t>2026-07-05</t>
        </is>
      </c>
      <c r="C509" s="3" t="inlineStr">
        <is>
          <t>Desmond Whitlock</t>
        </is>
      </c>
      <c r="D509" s="3" t="inlineStr">
        <is>
          <t>CT</t>
        </is>
      </c>
      <c r="E509" s="14" t="n">
        <v>1950000</v>
      </c>
      <c r="F509" s="14" t="n">
        <v>17247.42</v>
      </c>
      <c r="G509" s="14" t="n">
        <v>2155.93</v>
      </c>
      <c r="H509" s="14" t="n">
        <v>2155.93</v>
      </c>
      <c r="I509" s="14">
        <f>SUM(K509:T509)</f>
        <v/>
      </c>
      <c r="J509" s="14">
        <f>F509-(G509+H509+I509)</f>
        <v/>
      </c>
      <c r="K509" s="14" t="n">
        <v>1293.56</v>
      </c>
      <c r="L509" s="14" t="n">
        <v>1293.56</v>
      </c>
      <c r="M509" s="14" t="n">
        <v>1293.56</v>
      </c>
      <c r="N509" s="14" t="n">
        <v>1293.56</v>
      </c>
      <c r="O509" s="14" t="n">
        <v>1293.56</v>
      </c>
      <c r="P509" s="14" t="n">
        <v>1293.56</v>
      </c>
      <c r="Q509" s="14" t="n">
        <v>1293.56</v>
      </c>
      <c r="R509" s="14" t="n">
        <v>1293.56</v>
      </c>
      <c r="S509" s="14" t="n">
        <v>1293.56</v>
      </c>
      <c r="T509" s="14" t="n">
        <v>1293.56</v>
      </c>
      <c r="U509" s="14" t="n">
        <v>350</v>
      </c>
      <c r="V509" s="14" t="n">
        <v>250</v>
      </c>
      <c r="W509" s="14">
        <f>U509+V509</f>
        <v/>
      </c>
    </row>
    <row r="510">
      <c r="A510" s="15" t="inlineStr">
        <is>
          <t>CANON-202607-008351</t>
        </is>
      </c>
      <c r="B510" s="15" t="inlineStr">
        <is>
          <t>2026-07-21</t>
        </is>
      </c>
      <c r="C510" s="15" t="inlineStr">
        <is>
          <t>Sunniva Bellandi</t>
        </is>
      </c>
      <c r="D510" s="15" t="inlineStr">
        <is>
          <t>UT</t>
        </is>
      </c>
      <c r="E510" s="16" t="n">
        <v>260000</v>
      </c>
      <c r="F510" s="16" t="n">
        <v>3779.87</v>
      </c>
      <c r="G510" s="16" t="n">
        <v>472.48</v>
      </c>
      <c r="H510" s="16" t="n">
        <v>472.48</v>
      </c>
      <c r="I510" s="16">
        <f>SUM(K510:T510)</f>
        <v/>
      </c>
      <c r="J510" s="16">
        <f>F510-(G510+H510+I510)</f>
        <v/>
      </c>
      <c r="K510" s="16" t="n">
        <v>283.49</v>
      </c>
      <c r="L510" s="16" t="n">
        <v>283.49</v>
      </c>
      <c r="M510" s="16" t="n">
        <v>283.49</v>
      </c>
      <c r="N510" s="16" t="n">
        <v>283.49</v>
      </c>
      <c r="O510" s="16" t="n">
        <v>283.49</v>
      </c>
      <c r="P510" s="16" t="n">
        <v>283.49</v>
      </c>
      <c r="Q510" s="16" t="n">
        <v>283.49</v>
      </c>
      <c r="R510" s="16" t="n">
        <v>283.49</v>
      </c>
      <c r="S510" s="16" t="n">
        <v>283.49</v>
      </c>
      <c r="T510" s="16" t="n">
        <v>283.49</v>
      </c>
      <c r="U510" s="16" t="n">
        <v>350</v>
      </c>
      <c r="V510" s="16" t="n">
        <v>0</v>
      </c>
      <c r="W510" s="16">
        <f>U510+V510</f>
        <v/>
      </c>
    </row>
    <row r="511">
      <c r="A511" s="3" t="inlineStr">
        <is>
          <t>CANON-202607-008352</t>
        </is>
      </c>
      <c r="B511" s="3" t="inlineStr">
        <is>
          <t>2026-07-27</t>
        </is>
      </c>
      <c r="C511" s="3" t="inlineStr">
        <is>
          <t>Priya Kingsford</t>
        </is>
      </c>
      <c r="D511" s="3" t="inlineStr">
        <is>
          <t>CO</t>
        </is>
      </c>
      <c r="E511" s="14" t="n">
        <v>540000</v>
      </c>
      <c r="F511" s="14" t="n">
        <v>5543.82</v>
      </c>
      <c r="G511" s="14" t="n">
        <v>692.98</v>
      </c>
      <c r="H511" s="14" t="n">
        <v>692.98</v>
      </c>
      <c r="I511" s="14">
        <f>SUM(K511:T511)</f>
        <v/>
      </c>
      <c r="J511" s="14">
        <f>F511-(G511+H511+I511)</f>
        <v/>
      </c>
      <c r="K511" s="14" t="n">
        <v>415.79</v>
      </c>
      <c r="L511" s="14" t="n">
        <v>415.79</v>
      </c>
      <c r="M511" s="14" t="n">
        <v>415.79</v>
      </c>
      <c r="N511" s="14" t="n">
        <v>415.79</v>
      </c>
      <c r="O511" s="14" t="n">
        <v>415.79</v>
      </c>
      <c r="P511" s="14" t="n">
        <v>415.79</v>
      </c>
      <c r="Q511" s="14" t="n">
        <v>415.79</v>
      </c>
      <c r="R511" s="14" t="n">
        <v>415.79</v>
      </c>
      <c r="S511" s="14" t="n">
        <v>415.79</v>
      </c>
      <c r="T511" s="14" t="n">
        <v>415.79</v>
      </c>
      <c r="U511" s="14" t="n">
        <v>350</v>
      </c>
      <c r="V511" s="14" t="n">
        <v>0</v>
      </c>
      <c r="W511" s="14">
        <f>U511+V511</f>
        <v/>
      </c>
    </row>
    <row r="512">
      <c r="A512" s="15" t="inlineStr">
        <is>
          <t>CANON-202607-008354</t>
        </is>
      </c>
      <c r="B512" s="15" t="inlineStr">
        <is>
          <t>2026-07-14</t>
        </is>
      </c>
      <c r="C512" s="15" t="inlineStr">
        <is>
          <t>Fitzgerald Pennington</t>
        </is>
      </c>
      <c r="D512" s="15" t="inlineStr">
        <is>
          <t>WI</t>
        </is>
      </c>
      <c r="E512" s="16" t="n">
        <v>565000</v>
      </c>
      <c r="F512" s="16" t="n">
        <v>6327.78</v>
      </c>
      <c r="G512" s="16" t="n">
        <v>790.97</v>
      </c>
      <c r="H512" s="16" t="n">
        <v>790.97</v>
      </c>
      <c r="I512" s="16">
        <f>SUM(K512:T512)</f>
        <v/>
      </c>
      <c r="J512" s="16">
        <f>F512-(G512+H512+I512)</f>
        <v/>
      </c>
      <c r="K512" s="16" t="n">
        <v>474.58</v>
      </c>
      <c r="L512" s="16" t="n">
        <v>474.58</v>
      </c>
      <c r="M512" s="16" t="n">
        <v>474.58</v>
      </c>
      <c r="N512" s="16" t="n">
        <v>474.58</v>
      </c>
      <c r="O512" s="16" t="n">
        <v>474.58</v>
      </c>
      <c r="P512" s="16" t="n">
        <v>474.58</v>
      </c>
      <c r="Q512" s="16" t="n">
        <v>474.58</v>
      </c>
      <c r="R512" s="16" t="n">
        <v>474.58</v>
      </c>
      <c r="S512" s="16" t="n">
        <v>474.58</v>
      </c>
      <c r="T512" s="16" t="n">
        <v>474.58</v>
      </c>
      <c r="U512" s="16" t="n">
        <v>350</v>
      </c>
      <c r="V512" s="16" t="n">
        <v>0</v>
      </c>
      <c r="W512" s="16">
        <f>U512+V512</f>
        <v/>
      </c>
    </row>
    <row r="513">
      <c r="A513" s="3" t="inlineStr">
        <is>
          <t>CANON-202607-008356</t>
        </is>
      </c>
      <c r="B513" s="3" t="inlineStr">
        <is>
          <t>2026-07-03</t>
        </is>
      </c>
      <c r="C513" s="3" t="inlineStr">
        <is>
          <t>Mireille Fairweather</t>
        </is>
      </c>
      <c r="D513" s="3" t="inlineStr">
        <is>
          <t>NY</t>
        </is>
      </c>
      <c r="E513" s="14" t="n">
        <v>1950000</v>
      </c>
      <c r="F513" s="14" t="n">
        <v>28671.03</v>
      </c>
      <c r="G513" s="14" t="n">
        <v>3583.88</v>
      </c>
      <c r="H513" s="14" t="n">
        <v>3583.88</v>
      </c>
      <c r="I513" s="14">
        <f>SUM(K513:T513)</f>
        <v/>
      </c>
      <c r="J513" s="14">
        <f>F513-(G513+H513+I513)</f>
        <v/>
      </c>
      <c r="K513" s="14" t="n">
        <v>2150.33</v>
      </c>
      <c r="L513" s="14" t="n">
        <v>2150.33</v>
      </c>
      <c r="M513" s="14" t="n">
        <v>2150.33</v>
      </c>
      <c r="N513" s="14" t="n">
        <v>2150.33</v>
      </c>
      <c r="O513" s="14" t="n">
        <v>2150.33</v>
      </c>
      <c r="P513" s="14" t="n">
        <v>2150.33</v>
      </c>
      <c r="Q513" s="14" t="n">
        <v>2150.33</v>
      </c>
      <c r="R513" s="14" t="n">
        <v>2150.33</v>
      </c>
      <c r="S513" s="14" t="n">
        <v>2150.33</v>
      </c>
      <c r="T513" s="14" t="n">
        <v>2150.33</v>
      </c>
      <c r="U513" s="14" t="n">
        <v>350</v>
      </c>
      <c r="V513" s="14" t="n">
        <v>250</v>
      </c>
      <c r="W513" s="14">
        <f>U513+V513</f>
        <v/>
      </c>
    </row>
    <row r="514">
      <c r="A514" s="15" t="inlineStr">
        <is>
          <t>CANON-202607-008357</t>
        </is>
      </c>
      <c r="B514" s="15" t="inlineStr">
        <is>
          <t>2026-07-03</t>
        </is>
      </c>
      <c r="C514" s="15" t="inlineStr">
        <is>
          <t>Aurelio Okonkwo</t>
        </is>
      </c>
      <c r="D514" s="15" t="inlineStr">
        <is>
          <t>PA</t>
        </is>
      </c>
      <c r="E514" s="16" t="n">
        <v>320000</v>
      </c>
      <c r="F514" s="16" t="n">
        <v>3446.04</v>
      </c>
      <c r="G514" s="16" t="n">
        <v>430.75</v>
      </c>
      <c r="H514" s="16" t="n">
        <v>430.75</v>
      </c>
      <c r="I514" s="16">
        <f>SUM(K514:T514)</f>
        <v/>
      </c>
      <c r="J514" s="16">
        <f>F514-(G514+H514+I514)</f>
        <v/>
      </c>
      <c r="K514" s="16" t="n">
        <v>258.45</v>
      </c>
      <c r="L514" s="16" t="n">
        <v>258.45</v>
      </c>
      <c r="M514" s="16" t="n">
        <v>258.45</v>
      </c>
      <c r="N514" s="16" t="n">
        <v>258.45</v>
      </c>
      <c r="O514" s="16" t="n">
        <v>258.45</v>
      </c>
      <c r="P514" s="16" t="n">
        <v>258.45</v>
      </c>
      <c r="Q514" s="16" t="n">
        <v>258.45</v>
      </c>
      <c r="R514" s="16" t="n">
        <v>258.45</v>
      </c>
      <c r="S514" s="16" t="n">
        <v>258.45</v>
      </c>
      <c r="T514" s="16" t="n">
        <v>258.45</v>
      </c>
      <c r="U514" s="16" t="n">
        <v>350</v>
      </c>
      <c r="V514" s="16" t="n">
        <v>0</v>
      </c>
      <c r="W514" s="16">
        <f>U514+V514</f>
        <v/>
      </c>
    </row>
    <row r="515">
      <c r="A515" s="3" t="inlineStr">
        <is>
          <t>CANON-202607-008359</t>
        </is>
      </c>
      <c r="B515" s="3" t="inlineStr">
        <is>
          <t>2026-07-23</t>
        </is>
      </c>
      <c r="C515" s="3" t="inlineStr">
        <is>
          <t>Fenwick Harrington</t>
        </is>
      </c>
      <c r="D515" s="3" t="inlineStr">
        <is>
          <t>CA</t>
        </is>
      </c>
      <c r="E515" s="14" t="n">
        <v>1950000</v>
      </c>
      <c r="F515" s="14" t="n">
        <v>12851.57</v>
      </c>
      <c r="G515" s="14" t="n">
        <v>1606.45</v>
      </c>
      <c r="H515" s="14" t="n">
        <v>1606.45</v>
      </c>
      <c r="I515" s="14">
        <f>SUM(K515:T515)</f>
        <v/>
      </c>
      <c r="J515" s="14">
        <f>F515-(G515+H515+I515)</f>
        <v/>
      </c>
      <c r="K515" s="14" t="n">
        <v>963.87</v>
      </c>
      <c r="L515" s="14" t="n">
        <v>963.87</v>
      </c>
      <c r="M515" s="14" t="n">
        <v>963.87</v>
      </c>
      <c r="N515" s="14" t="n">
        <v>963.87</v>
      </c>
      <c r="O515" s="14" t="n">
        <v>963.87</v>
      </c>
      <c r="P515" s="14" t="n">
        <v>963.87</v>
      </c>
      <c r="Q515" s="14" t="n">
        <v>963.87</v>
      </c>
      <c r="R515" s="14" t="n">
        <v>963.87</v>
      </c>
      <c r="S515" s="14" t="n">
        <v>963.87</v>
      </c>
      <c r="T515" s="14" t="n">
        <v>963.87</v>
      </c>
      <c r="U515" s="14" t="n">
        <v>350</v>
      </c>
      <c r="V515" s="14" t="n">
        <v>250</v>
      </c>
      <c r="W515" s="14">
        <f>U515+V515</f>
        <v/>
      </c>
    </row>
    <row r="516">
      <c r="A516" s="15" t="inlineStr">
        <is>
          <t>CANON-202607-008361</t>
        </is>
      </c>
      <c r="B516" s="15" t="inlineStr">
        <is>
          <t>2026-07-29</t>
        </is>
      </c>
      <c r="C516" s="15" t="inlineStr">
        <is>
          <t>Anouk Okonkwo</t>
        </is>
      </c>
      <c r="D516" s="15" t="inlineStr">
        <is>
          <t>NJ</t>
        </is>
      </c>
      <c r="E516" s="16" t="n">
        <v>1085000</v>
      </c>
      <c r="F516" s="16" t="n">
        <v>11341.49</v>
      </c>
      <c r="G516" s="16" t="n">
        <v>1417.69</v>
      </c>
      <c r="H516" s="16" t="n">
        <v>1417.69</v>
      </c>
      <c r="I516" s="16">
        <f>SUM(K516:T516)</f>
        <v/>
      </c>
      <c r="J516" s="16">
        <f>F516-(G516+H516+I516)</f>
        <v/>
      </c>
      <c r="K516" s="16" t="n">
        <v>850.61</v>
      </c>
      <c r="L516" s="16" t="n">
        <v>850.61</v>
      </c>
      <c r="M516" s="16" t="n">
        <v>850.61</v>
      </c>
      <c r="N516" s="16" t="n">
        <v>850.61</v>
      </c>
      <c r="O516" s="16" t="n">
        <v>850.61</v>
      </c>
      <c r="P516" s="16" t="n">
        <v>850.61</v>
      </c>
      <c r="Q516" s="16" t="n">
        <v>850.61</v>
      </c>
      <c r="R516" s="16" t="n">
        <v>850.61</v>
      </c>
      <c r="S516" s="16" t="n">
        <v>850.61</v>
      </c>
      <c r="T516" s="16" t="n">
        <v>850.61</v>
      </c>
      <c r="U516" s="16" t="n">
        <v>350</v>
      </c>
      <c r="V516" s="16" t="n">
        <v>250</v>
      </c>
      <c r="W516" s="16">
        <f>U516+V516</f>
        <v/>
      </c>
    </row>
    <row r="517">
      <c r="A517" s="3" t="inlineStr">
        <is>
          <t>CANON-202607-008362</t>
        </is>
      </c>
      <c r="B517" s="3" t="inlineStr">
        <is>
          <t>2026-07-01</t>
        </is>
      </c>
      <c r="C517" s="3" t="inlineStr">
        <is>
          <t>Saoirse Underwood</t>
        </is>
      </c>
      <c r="D517" s="3" t="inlineStr">
        <is>
          <t>NJ</t>
        </is>
      </c>
      <c r="E517" s="14" t="n">
        <v>670000</v>
      </c>
      <c r="F517" s="14" t="n">
        <v>5690.34</v>
      </c>
      <c r="G517" s="14" t="n">
        <v>711.29</v>
      </c>
      <c r="H517" s="14" t="n">
        <v>711.29</v>
      </c>
      <c r="I517" s="14">
        <f>SUM(K517:T517)</f>
        <v/>
      </c>
      <c r="J517" s="14">
        <f>F517-(G517+H517+I517)</f>
        <v/>
      </c>
      <c r="K517" s="14" t="n">
        <v>426.78</v>
      </c>
      <c r="L517" s="14" t="n">
        <v>426.78</v>
      </c>
      <c r="M517" s="14" t="n">
        <v>426.78</v>
      </c>
      <c r="N517" s="14" t="n">
        <v>426.78</v>
      </c>
      <c r="O517" s="14" t="n">
        <v>426.78</v>
      </c>
      <c r="P517" s="14" t="n">
        <v>426.78</v>
      </c>
      <c r="Q517" s="14" t="n">
        <v>426.78</v>
      </c>
      <c r="R517" s="14" t="n">
        <v>426.78</v>
      </c>
      <c r="S517" s="14" t="n">
        <v>426.78</v>
      </c>
      <c r="T517" s="14" t="n">
        <v>426.78</v>
      </c>
      <c r="U517" s="14" t="n">
        <v>350</v>
      </c>
      <c r="V517" s="14" t="n">
        <v>0</v>
      </c>
      <c r="W517" s="14">
        <f>U517+V517</f>
        <v/>
      </c>
    </row>
    <row r="518">
      <c r="A518" s="15" t="inlineStr">
        <is>
          <t>CANON-202607-008364</t>
        </is>
      </c>
      <c r="B518" s="15" t="inlineStr">
        <is>
          <t>2026-07-26</t>
        </is>
      </c>
      <c r="C518" s="15" t="inlineStr">
        <is>
          <t>Emiliano Montoya</t>
        </is>
      </c>
      <c r="D518" s="15" t="inlineStr">
        <is>
          <t>IN</t>
        </is>
      </c>
      <c r="E518" s="16" t="n">
        <v>680000</v>
      </c>
      <c r="F518" s="16" t="n">
        <v>9367.360000000001</v>
      </c>
      <c r="G518" s="16" t="n">
        <v>1170.92</v>
      </c>
      <c r="H518" s="16" t="n">
        <v>1170.92</v>
      </c>
      <c r="I518" s="16">
        <f>SUM(K518:T518)</f>
        <v/>
      </c>
      <c r="J518" s="16">
        <f>F518-(G518+H518+I518)</f>
        <v/>
      </c>
      <c r="K518" s="16" t="n">
        <v>702.55</v>
      </c>
      <c r="L518" s="16" t="n">
        <v>702.55</v>
      </c>
      <c r="M518" s="16" t="n">
        <v>702.55</v>
      </c>
      <c r="N518" s="16" t="n">
        <v>702.55</v>
      </c>
      <c r="O518" s="16" t="n">
        <v>702.55</v>
      </c>
      <c r="P518" s="16" t="n">
        <v>702.55</v>
      </c>
      <c r="Q518" s="16" t="n">
        <v>702.55</v>
      </c>
      <c r="R518" s="16" t="n">
        <v>702.55</v>
      </c>
      <c r="S518" s="16" t="n">
        <v>702.55</v>
      </c>
      <c r="T518" s="16" t="n">
        <v>702.55</v>
      </c>
      <c r="U518" s="16" t="n">
        <v>350</v>
      </c>
      <c r="V518" s="16" t="n">
        <v>0</v>
      </c>
      <c r="W518" s="16">
        <f>U518+V518</f>
        <v/>
      </c>
    </row>
    <row r="519">
      <c r="A519" s="3" t="inlineStr">
        <is>
          <t>CANON-202607-008365</t>
        </is>
      </c>
      <c r="B519" s="3" t="inlineStr">
        <is>
          <t>2026-07-07</t>
        </is>
      </c>
      <c r="C519" s="3" t="inlineStr">
        <is>
          <t>Ramona Ashcombe</t>
        </is>
      </c>
      <c r="D519" s="3" t="inlineStr">
        <is>
          <t>WA</t>
        </is>
      </c>
      <c r="E519" s="14" t="n">
        <v>655000</v>
      </c>
      <c r="F519" s="14" t="n">
        <v>8577.190000000001</v>
      </c>
      <c r="G519" s="14" t="n">
        <v>1072.15</v>
      </c>
      <c r="H519" s="14" t="n">
        <v>1072.15</v>
      </c>
      <c r="I519" s="14">
        <f>SUM(K519:T519)</f>
        <v/>
      </c>
      <c r="J519" s="14">
        <f>F519-(G519+H519+I519)</f>
        <v/>
      </c>
      <c r="K519" s="14" t="n">
        <v>643.29</v>
      </c>
      <c r="L519" s="14" t="n">
        <v>643.29</v>
      </c>
      <c r="M519" s="14" t="n">
        <v>643.29</v>
      </c>
      <c r="N519" s="14" t="n">
        <v>643.29</v>
      </c>
      <c r="O519" s="14" t="n">
        <v>643.29</v>
      </c>
      <c r="P519" s="14" t="n">
        <v>643.29</v>
      </c>
      <c r="Q519" s="14" t="n">
        <v>643.29</v>
      </c>
      <c r="R519" s="14" t="n">
        <v>643.29</v>
      </c>
      <c r="S519" s="14" t="n">
        <v>643.29</v>
      </c>
      <c r="T519" s="14" t="n">
        <v>643.29</v>
      </c>
      <c r="U519" s="14" t="n">
        <v>350</v>
      </c>
      <c r="V519" s="14" t="n">
        <v>0</v>
      </c>
      <c r="W519" s="14">
        <f>U519+V519</f>
        <v/>
      </c>
    </row>
    <row r="520">
      <c r="A520" s="15" t="inlineStr">
        <is>
          <t>CANON-202607-008367</t>
        </is>
      </c>
      <c r="B520" s="15" t="inlineStr">
        <is>
          <t>2026-07-27</t>
        </is>
      </c>
      <c r="C520" s="15" t="inlineStr">
        <is>
          <t>Fitzgerald Harrington</t>
        </is>
      </c>
      <c r="D520" s="15" t="inlineStr">
        <is>
          <t>SD</t>
        </is>
      </c>
      <c r="E520" s="16" t="n">
        <v>1030000</v>
      </c>
      <c r="F520" s="16" t="n">
        <v>9028.83</v>
      </c>
      <c r="G520" s="16" t="n">
        <v>1128.6</v>
      </c>
      <c r="H520" s="16" t="n">
        <v>1128.6</v>
      </c>
      <c r="I520" s="16">
        <f>SUM(K520:T520)</f>
        <v/>
      </c>
      <c r="J520" s="16">
        <f>F520-(G520+H520+I520)</f>
        <v/>
      </c>
      <c r="K520" s="16" t="n">
        <v>677.16</v>
      </c>
      <c r="L520" s="16" t="n">
        <v>677.16</v>
      </c>
      <c r="M520" s="16" t="n">
        <v>677.16</v>
      </c>
      <c r="N520" s="16" t="n">
        <v>677.16</v>
      </c>
      <c r="O520" s="16" t="n">
        <v>677.16</v>
      </c>
      <c r="P520" s="16" t="n">
        <v>677.16</v>
      </c>
      <c r="Q520" s="16" t="n">
        <v>677.16</v>
      </c>
      <c r="R520" s="16" t="n">
        <v>677.16</v>
      </c>
      <c r="S520" s="16" t="n">
        <v>677.16</v>
      </c>
      <c r="T520" s="16" t="n">
        <v>677.16</v>
      </c>
      <c r="U520" s="16" t="n">
        <v>350</v>
      </c>
      <c r="V520" s="16" t="n">
        <v>250</v>
      </c>
      <c r="W520" s="16">
        <f>U520+V520</f>
        <v/>
      </c>
    </row>
    <row r="521">
      <c r="A521" s="3" t="inlineStr">
        <is>
          <t>CANON-202607-008368</t>
        </is>
      </c>
      <c r="B521" s="3" t="inlineStr">
        <is>
          <t>2026-07-03</t>
        </is>
      </c>
      <c r="C521" s="3" t="inlineStr">
        <is>
          <t>Ingrid Pennington</t>
        </is>
      </c>
      <c r="D521" s="3" t="inlineStr">
        <is>
          <t>KY</t>
        </is>
      </c>
      <c r="E521" s="14" t="n">
        <v>595000</v>
      </c>
      <c r="F521" s="14" t="n">
        <v>7441.22</v>
      </c>
      <c r="G521" s="14" t="n">
        <v>930.15</v>
      </c>
      <c r="H521" s="14" t="n">
        <v>930.15</v>
      </c>
      <c r="I521" s="14">
        <f>SUM(K521:T521)</f>
        <v/>
      </c>
      <c r="J521" s="14">
        <f>F521-(G521+H521+I521)</f>
        <v/>
      </c>
      <c r="K521" s="14" t="n">
        <v>558.09</v>
      </c>
      <c r="L521" s="14" t="n">
        <v>558.09</v>
      </c>
      <c r="M521" s="14" t="n">
        <v>558.09</v>
      </c>
      <c r="N521" s="14" t="n">
        <v>558.09</v>
      </c>
      <c r="O521" s="14" t="n">
        <v>558.09</v>
      </c>
      <c r="P521" s="14" t="n">
        <v>558.09</v>
      </c>
      <c r="Q521" s="14" t="n">
        <v>558.09</v>
      </c>
      <c r="R521" s="14" t="n">
        <v>558.09</v>
      </c>
      <c r="S521" s="14" t="n">
        <v>558.09</v>
      </c>
      <c r="T521" s="14" t="n">
        <v>558.09</v>
      </c>
      <c r="U521" s="14" t="n">
        <v>350</v>
      </c>
      <c r="V521" s="14" t="n">
        <v>0</v>
      </c>
      <c r="W521" s="14">
        <f>U521+V521</f>
        <v/>
      </c>
    </row>
    <row r="522">
      <c r="A522" s="15" t="inlineStr">
        <is>
          <t>CANON-202607-008369</t>
        </is>
      </c>
      <c r="B522" s="15" t="inlineStr">
        <is>
          <t>2026-07-19</t>
        </is>
      </c>
      <c r="C522" s="15" t="inlineStr">
        <is>
          <t>Mireille Castellanos</t>
        </is>
      </c>
      <c r="D522" s="15" t="inlineStr">
        <is>
          <t>CA</t>
        </is>
      </c>
      <c r="E522" s="16" t="n">
        <v>1740000</v>
      </c>
      <c r="F522" s="16" t="n">
        <v>18550.46</v>
      </c>
      <c r="G522" s="16" t="n">
        <v>2318.81</v>
      </c>
      <c r="H522" s="16" t="n">
        <v>2318.81</v>
      </c>
      <c r="I522" s="16">
        <f>SUM(K522:T522)</f>
        <v/>
      </c>
      <c r="J522" s="16">
        <f>F522-(G522+H522+I522)</f>
        <v/>
      </c>
      <c r="K522" s="16" t="n">
        <v>1391.28</v>
      </c>
      <c r="L522" s="16" t="n">
        <v>1391.28</v>
      </c>
      <c r="M522" s="16" t="n">
        <v>1391.28</v>
      </c>
      <c r="N522" s="16" t="n">
        <v>1391.28</v>
      </c>
      <c r="O522" s="16" t="n">
        <v>1391.28</v>
      </c>
      <c r="P522" s="16" t="n">
        <v>1391.28</v>
      </c>
      <c r="Q522" s="16" t="n">
        <v>1391.28</v>
      </c>
      <c r="R522" s="16" t="n">
        <v>1391.28</v>
      </c>
      <c r="S522" s="16" t="n">
        <v>1391.28</v>
      </c>
      <c r="T522" s="16" t="n">
        <v>1391.28</v>
      </c>
      <c r="U522" s="16" t="n">
        <v>350</v>
      </c>
      <c r="V522" s="16" t="n">
        <v>250</v>
      </c>
      <c r="W522" s="16">
        <f>U522+V522</f>
        <v/>
      </c>
    </row>
    <row r="523">
      <c r="A523" s="3" t="inlineStr">
        <is>
          <t>CANON-202607-008371</t>
        </is>
      </c>
      <c r="B523" s="3" t="inlineStr">
        <is>
          <t>2026-07-17</t>
        </is>
      </c>
      <c r="C523" s="3" t="inlineStr">
        <is>
          <t>Beatrix Thistlewood</t>
        </is>
      </c>
      <c r="D523" s="3" t="inlineStr">
        <is>
          <t>TN</t>
        </is>
      </c>
      <c r="E523" s="14" t="n">
        <v>555000</v>
      </c>
      <c r="F523" s="14" t="n">
        <v>5076.23</v>
      </c>
      <c r="G523" s="14" t="n">
        <v>634.53</v>
      </c>
      <c r="H523" s="14" t="n">
        <v>634.53</v>
      </c>
      <c r="I523" s="14">
        <f>SUM(K523:T523)</f>
        <v/>
      </c>
      <c r="J523" s="14">
        <f>F523-(G523+H523+I523)</f>
        <v/>
      </c>
      <c r="K523" s="14" t="n">
        <v>380.72</v>
      </c>
      <c r="L523" s="14" t="n">
        <v>380.72</v>
      </c>
      <c r="M523" s="14" t="n">
        <v>380.72</v>
      </c>
      <c r="N523" s="14" t="n">
        <v>380.72</v>
      </c>
      <c r="O523" s="14" t="n">
        <v>380.72</v>
      </c>
      <c r="P523" s="14" t="n">
        <v>380.72</v>
      </c>
      <c r="Q523" s="14" t="n">
        <v>380.72</v>
      </c>
      <c r="R523" s="14" t="n">
        <v>380.72</v>
      </c>
      <c r="S523" s="14" t="n">
        <v>380.72</v>
      </c>
      <c r="T523" s="14" t="n">
        <v>380.72</v>
      </c>
      <c r="U523" s="14" t="n">
        <v>350</v>
      </c>
      <c r="V523" s="14" t="n">
        <v>0</v>
      </c>
      <c r="W523" s="14">
        <f>U523+V523</f>
        <v/>
      </c>
    </row>
    <row r="524">
      <c r="A524" s="15" t="inlineStr">
        <is>
          <t>CANON-202607-008372</t>
        </is>
      </c>
      <c r="B524" s="15" t="inlineStr">
        <is>
          <t>2026-07-06</t>
        </is>
      </c>
      <c r="C524" s="15" t="inlineStr">
        <is>
          <t>Fitzgerald Whitlock</t>
        </is>
      </c>
      <c r="D524" s="15" t="inlineStr">
        <is>
          <t>AL</t>
        </is>
      </c>
      <c r="E524" s="16" t="n">
        <v>465000</v>
      </c>
      <c r="F524" s="16" t="n">
        <v>6359.56</v>
      </c>
      <c r="G524" s="16" t="n">
        <v>794.95</v>
      </c>
      <c r="H524" s="16" t="n">
        <v>794.95</v>
      </c>
      <c r="I524" s="16">
        <f>SUM(K524:T524)</f>
        <v/>
      </c>
      <c r="J524" s="16">
        <f>F524-(G524+H524+I524)</f>
        <v/>
      </c>
      <c r="K524" s="16" t="n">
        <v>476.97</v>
      </c>
      <c r="L524" s="16" t="n">
        <v>476.97</v>
      </c>
      <c r="M524" s="16" t="n">
        <v>476.97</v>
      </c>
      <c r="N524" s="16" t="n">
        <v>476.97</v>
      </c>
      <c r="O524" s="16" t="n">
        <v>476.97</v>
      </c>
      <c r="P524" s="16" t="n">
        <v>476.97</v>
      </c>
      <c r="Q524" s="16" t="n">
        <v>476.97</v>
      </c>
      <c r="R524" s="16" t="n">
        <v>476.97</v>
      </c>
      <c r="S524" s="16" t="n">
        <v>476.97</v>
      </c>
      <c r="T524" s="16" t="n">
        <v>476.97</v>
      </c>
      <c r="U524" s="16" t="n">
        <v>350</v>
      </c>
      <c r="V524" s="16" t="n">
        <v>0</v>
      </c>
      <c r="W524" s="16">
        <f>U524+V524</f>
        <v/>
      </c>
    </row>
    <row r="525">
      <c r="A525" s="3" t="inlineStr">
        <is>
          <t>CANON-202607-008373</t>
        </is>
      </c>
      <c r="B525" s="3" t="inlineStr">
        <is>
          <t>2026-07-11</t>
        </is>
      </c>
      <c r="C525" s="3" t="inlineStr">
        <is>
          <t>Lorenzo Nakashima</t>
        </is>
      </c>
      <c r="D525" s="3" t="inlineStr">
        <is>
          <t>MD</t>
        </is>
      </c>
      <c r="E525" s="14" t="n">
        <v>845000</v>
      </c>
      <c r="F525" s="14" t="n">
        <v>7492.08</v>
      </c>
      <c r="G525" s="14" t="n">
        <v>936.51</v>
      </c>
      <c r="H525" s="14" t="n">
        <v>936.51</v>
      </c>
      <c r="I525" s="14">
        <f>SUM(K525:T525)</f>
        <v/>
      </c>
      <c r="J525" s="14">
        <f>F525-(G525+H525+I525)</f>
        <v/>
      </c>
      <c r="K525" s="14" t="n">
        <v>561.91</v>
      </c>
      <c r="L525" s="14" t="n">
        <v>561.91</v>
      </c>
      <c r="M525" s="14" t="n">
        <v>561.91</v>
      </c>
      <c r="N525" s="14" t="n">
        <v>561.91</v>
      </c>
      <c r="O525" s="14" t="n">
        <v>561.91</v>
      </c>
      <c r="P525" s="14" t="n">
        <v>561.91</v>
      </c>
      <c r="Q525" s="14" t="n">
        <v>561.91</v>
      </c>
      <c r="R525" s="14" t="n">
        <v>561.91</v>
      </c>
      <c r="S525" s="14" t="n">
        <v>561.91</v>
      </c>
      <c r="T525" s="14" t="n">
        <v>561.91</v>
      </c>
      <c r="U525" s="14" t="n">
        <v>350</v>
      </c>
      <c r="V525" s="14" t="n">
        <v>0</v>
      </c>
      <c r="W525" s="14">
        <f>U525+V525</f>
        <v/>
      </c>
    </row>
    <row r="526">
      <c r="A526" s="15" t="inlineStr">
        <is>
          <t>CANON-202607-008374</t>
        </is>
      </c>
      <c r="B526" s="15" t="inlineStr">
        <is>
          <t>2026-07-01</t>
        </is>
      </c>
      <c r="C526" s="15" t="inlineStr">
        <is>
          <t>Aurelio Vasquez</t>
        </is>
      </c>
      <c r="D526" s="15" t="inlineStr">
        <is>
          <t>NE</t>
        </is>
      </c>
      <c r="E526" s="16" t="n">
        <v>1235000</v>
      </c>
      <c r="F526" s="16" t="n">
        <v>12678.91</v>
      </c>
      <c r="G526" s="16" t="n">
        <v>1584.86</v>
      </c>
      <c r="H526" s="16" t="n">
        <v>1584.86</v>
      </c>
      <c r="I526" s="16">
        <f>SUM(K526:T526)</f>
        <v/>
      </c>
      <c r="J526" s="16">
        <f>F526-(G526+H526+I526)</f>
        <v/>
      </c>
      <c r="K526" s="16" t="n">
        <v>950.92</v>
      </c>
      <c r="L526" s="16" t="n">
        <v>950.92</v>
      </c>
      <c r="M526" s="16" t="n">
        <v>950.92</v>
      </c>
      <c r="N526" s="16" t="n">
        <v>950.92</v>
      </c>
      <c r="O526" s="16" t="n">
        <v>950.92</v>
      </c>
      <c r="P526" s="16" t="n">
        <v>950.92</v>
      </c>
      <c r="Q526" s="16" t="n">
        <v>950.92</v>
      </c>
      <c r="R526" s="16" t="n">
        <v>950.92</v>
      </c>
      <c r="S526" s="16" t="n">
        <v>950.92</v>
      </c>
      <c r="T526" s="16" t="n">
        <v>950.92</v>
      </c>
      <c r="U526" s="16" t="n">
        <v>350</v>
      </c>
      <c r="V526" s="16" t="n">
        <v>250</v>
      </c>
      <c r="W526" s="16">
        <f>U526+V526</f>
        <v/>
      </c>
    </row>
    <row r="527">
      <c r="A527" s="3" t="inlineStr">
        <is>
          <t>CANON-202607-008375</t>
        </is>
      </c>
      <c r="B527" s="3" t="inlineStr">
        <is>
          <t>2026-07-25</t>
        </is>
      </c>
      <c r="C527" s="3" t="inlineStr">
        <is>
          <t>Wilhelmina Castellanos</t>
        </is>
      </c>
      <c r="D527" s="3" t="inlineStr">
        <is>
          <t>CO</t>
        </is>
      </c>
      <c r="E527" s="14" t="n">
        <v>805000</v>
      </c>
      <c r="F527" s="14" t="n">
        <v>8264.389999999999</v>
      </c>
      <c r="G527" s="14" t="n">
        <v>1033.05</v>
      </c>
      <c r="H527" s="14" t="n">
        <v>1033.05</v>
      </c>
      <c r="I527" s="14">
        <f>SUM(K527:T527)</f>
        <v/>
      </c>
      <c r="J527" s="14">
        <f>F527-(G527+H527+I527)</f>
        <v/>
      </c>
      <c r="K527" s="14" t="n">
        <v>619.83</v>
      </c>
      <c r="L527" s="14" t="n">
        <v>619.83</v>
      </c>
      <c r="M527" s="14" t="n">
        <v>619.83</v>
      </c>
      <c r="N527" s="14" t="n">
        <v>619.83</v>
      </c>
      <c r="O527" s="14" t="n">
        <v>619.83</v>
      </c>
      <c r="P527" s="14" t="n">
        <v>619.83</v>
      </c>
      <c r="Q527" s="14" t="n">
        <v>619.83</v>
      </c>
      <c r="R527" s="14" t="n">
        <v>619.83</v>
      </c>
      <c r="S527" s="14" t="n">
        <v>619.83</v>
      </c>
      <c r="T527" s="14" t="n">
        <v>619.83</v>
      </c>
      <c r="U527" s="14" t="n">
        <v>350</v>
      </c>
      <c r="V527" s="14" t="n">
        <v>0</v>
      </c>
      <c r="W527" s="14">
        <f>U527+V527</f>
        <v/>
      </c>
    </row>
    <row r="528">
      <c r="A528" s="15" t="inlineStr">
        <is>
          <t>CANON-202607-008376</t>
        </is>
      </c>
      <c r="B528" s="15" t="inlineStr">
        <is>
          <t>2026-07-03</t>
        </is>
      </c>
      <c r="C528" s="15" t="inlineStr">
        <is>
          <t>Fitzgerald Delacroix</t>
        </is>
      </c>
      <c r="D528" s="15" t="inlineStr">
        <is>
          <t>NC</t>
        </is>
      </c>
      <c r="E528" s="16" t="n">
        <v>315000</v>
      </c>
      <c r="F528" s="16" t="n">
        <v>3901.02</v>
      </c>
      <c r="G528" s="16" t="n">
        <v>487.63</v>
      </c>
      <c r="H528" s="16" t="n">
        <v>487.63</v>
      </c>
      <c r="I528" s="16">
        <f>SUM(K528:T528)</f>
        <v/>
      </c>
      <c r="J528" s="16">
        <f>F528-(G528+H528+I528)</f>
        <v/>
      </c>
      <c r="K528" s="16" t="n">
        <v>292.58</v>
      </c>
      <c r="L528" s="16" t="n">
        <v>292.58</v>
      </c>
      <c r="M528" s="16" t="n">
        <v>292.58</v>
      </c>
      <c r="N528" s="16" t="n">
        <v>292.58</v>
      </c>
      <c r="O528" s="16" t="n">
        <v>292.58</v>
      </c>
      <c r="P528" s="16" t="n">
        <v>292.58</v>
      </c>
      <c r="Q528" s="16" t="n">
        <v>292.58</v>
      </c>
      <c r="R528" s="16" t="n">
        <v>292.58</v>
      </c>
      <c r="S528" s="16" t="n">
        <v>292.58</v>
      </c>
      <c r="T528" s="16" t="n">
        <v>292.58</v>
      </c>
      <c r="U528" s="16" t="n">
        <v>350</v>
      </c>
      <c r="V528" s="16" t="n">
        <v>0</v>
      </c>
      <c r="W528" s="16">
        <f>U528+V528</f>
        <v/>
      </c>
    </row>
    <row r="529">
      <c r="A529" s="3" t="inlineStr">
        <is>
          <t>CANON-202607-008377</t>
        </is>
      </c>
      <c r="B529" s="3" t="inlineStr">
        <is>
          <t>2026-07-01</t>
        </is>
      </c>
      <c r="C529" s="3" t="inlineStr">
        <is>
          <t>Aurelio Rourke</t>
        </is>
      </c>
      <c r="D529" s="3" t="inlineStr">
        <is>
          <t>NJ</t>
        </is>
      </c>
      <c r="E529" s="14" t="n">
        <v>540000</v>
      </c>
      <c r="F529" s="14" t="n">
        <v>6702.97</v>
      </c>
      <c r="G529" s="14" t="n">
        <v>837.87</v>
      </c>
      <c r="H529" s="14" t="n">
        <v>837.87</v>
      </c>
      <c r="I529" s="14">
        <f>SUM(K529:T529)</f>
        <v/>
      </c>
      <c r="J529" s="14">
        <f>F529-(G529+H529+I529)</f>
        <v/>
      </c>
      <c r="K529" s="14" t="n">
        <v>502.72</v>
      </c>
      <c r="L529" s="14" t="n">
        <v>502.72</v>
      </c>
      <c r="M529" s="14" t="n">
        <v>502.72</v>
      </c>
      <c r="N529" s="14" t="n">
        <v>502.72</v>
      </c>
      <c r="O529" s="14" t="n">
        <v>502.72</v>
      </c>
      <c r="P529" s="14" t="n">
        <v>502.72</v>
      </c>
      <c r="Q529" s="14" t="n">
        <v>502.72</v>
      </c>
      <c r="R529" s="14" t="n">
        <v>502.72</v>
      </c>
      <c r="S529" s="14" t="n">
        <v>502.72</v>
      </c>
      <c r="T529" s="14" t="n">
        <v>502.72</v>
      </c>
      <c r="U529" s="14" t="n">
        <v>350</v>
      </c>
      <c r="V529" s="14" t="n">
        <v>0</v>
      </c>
      <c r="W529" s="14">
        <f>U529+V529</f>
        <v/>
      </c>
    </row>
    <row r="530">
      <c r="A530" s="15" t="inlineStr">
        <is>
          <t>CANON-202607-008378</t>
        </is>
      </c>
      <c r="B530" s="15" t="inlineStr">
        <is>
          <t>2026-07-24</t>
        </is>
      </c>
      <c r="C530" s="15" t="inlineStr">
        <is>
          <t>Callum Vandermeer</t>
        </is>
      </c>
      <c r="D530" s="15" t="inlineStr">
        <is>
          <t>NE</t>
        </is>
      </c>
      <c r="E530" s="16" t="n">
        <v>435000</v>
      </c>
      <c r="F530" s="16" t="n">
        <v>6089.8</v>
      </c>
      <c r="G530" s="16" t="n">
        <v>761.23</v>
      </c>
      <c r="H530" s="16" t="n">
        <v>761.23</v>
      </c>
      <c r="I530" s="16">
        <f>SUM(K530:T530)</f>
        <v/>
      </c>
      <c r="J530" s="16">
        <f>F530-(G530+H530+I530)</f>
        <v/>
      </c>
      <c r="K530" s="16" t="n">
        <v>456.74</v>
      </c>
      <c r="L530" s="16" t="n">
        <v>456.74</v>
      </c>
      <c r="M530" s="16" t="n">
        <v>456.74</v>
      </c>
      <c r="N530" s="16" t="n">
        <v>456.74</v>
      </c>
      <c r="O530" s="16" t="n">
        <v>456.74</v>
      </c>
      <c r="P530" s="16" t="n">
        <v>456.74</v>
      </c>
      <c r="Q530" s="16" t="n">
        <v>456.74</v>
      </c>
      <c r="R530" s="16" t="n">
        <v>456.74</v>
      </c>
      <c r="S530" s="16" t="n">
        <v>456.74</v>
      </c>
      <c r="T530" s="16" t="n">
        <v>456.74</v>
      </c>
      <c r="U530" s="16" t="n">
        <v>350</v>
      </c>
      <c r="V530" s="16" t="n">
        <v>0</v>
      </c>
      <c r="W530" s="16">
        <f>U530+V530</f>
        <v/>
      </c>
    </row>
    <row r="531">
      <c r="A531" s="3" t="inlineStr">
        <is>
          <t>CANON-202607-008379</t>
        </is>
      </c>
      <c r="B531" s="3" t="inlineStr">
        <is>
          <t>2026-07-10</t>
        </is>
      </c>
      <c r="C531" s="3" t="inlineStr">
        <is>
          <t>Wilhelmina Merriweather</t>
        </is>
      </c>
      <c r="D531" s="3" t="inlineStr">
        <is>
          <t>MN</t>
        </is>
      </c>
      <c r="E531" s="14" t="n">
        <v>295000</v>
      </c>
      <c r="F531" s="14" t="n">
        <v>4193.4</v>
      </c>
      <c r="G531" s="14" t="n">
        <v>524.17</v>
      </c>
      <c r="H531" s="14" t="n">
        <v>524.17</v>
      </c>
      <c r="I531" s="14">
        <f>SUM(K531:T531)</f>
        <v/>
      </c>
      <c r="J531" s="14">
        <f>F531-(G531+H531+I531)</f>
        <v/>
      </c>
      <c r="K531" s="14" t="n">
        <v>314.5</v>
      </c>
      <c r="L531" s="14" t="n">
        <v>314.5</v>
      </c>
      <c r="M531" s="14" t="n">
        <v>314.5</v>
      </c>
      <c r="N531" s="14" t="n">
        <v>314.5</v>
      </c>
      <c r="O531" s="14" t="n">
        <v>314.5</v>
      </c>
      <c r="P531" s="14" t="n">
        <v>314.5</v>
      </c>
      <c r="Q531" s="14" t="n">
        <v>314.5</v>
      </c>
      <c r="R531" s="14" t="n">
        <v>314.5</v>
      </c>
      <c r="S531" s="14" t="n">
        <v>314.5</v>
      </c>
      <c r="T531" s="14" t="n">
        <v>314.5</v>
      </c>
      <c r="U531" s="14" t="n">
        <v>350</v>
      </c>
      <c r="V531" s="14" t="n">
        <v>0</v>
      </c>
      <c r="W531" s="14">
        <f>U531+V531</f>
        <v/>
      </c>
    </row>
    <row r="532">
      <c r="A532" s="15" t="inlineStr">
        <is>
          <t>CANON-202607-008380</t>
        </is>
      </c>
      <c r="B532" s="15" t="inlineStr">
        <is>
          <t>2026-07-24</t>
        </is>
      </c>
      <c r="C532" s="15" t="inlineStr">
        <is>
          <t>Aurelio Nakashima</t>
        </is>
      </c>
      <c r="D532" s="15" t="inlineStr">
        <is>
          <t>NJ</t>
        </is>
      </c>
      <c r="E532" s="16" t="n">
        <v>480000</v>
      </c>
      <c r="F532" s="16" t="n">
        <v>7212.56</v>
      </c>
      <c r="G532" s="16" t="n">
        <v>901.5700000000001</v>
      </c>
      <c r="H532" s="16" t="n">
        <v>901.5700000000001</v>
      </c>
      <c r="I532" s="16">
        <f>SUM(K532:T532)</f>
        <v/>
      </c>
      <c r="J532" s="16">
        <f>F532-(G532+H532+I532)</f>
        <v/>
      </c>
      <c r="K532" s="16" t="n">
        <v>540.9400000000001</v>
      </c>
      <c r="L532" s="16" t="n">
        <v>540.9400000000001</v>
      </c>
      <c r="M532" s="16" t="n">
        <v>540.9400000000001</v>
      </c>
      <c r="N532" s="16" t="n">
        <v>540.9400000000001</v>
      </c>
      <c r="O532" s="16" t="n">
        <v>540.9400000000001</v>
      </c>
      <c r="P532" s="16" t="n">
        <v>540.9400000000001</v>
      </c>
      <c r="Q532" s="16" t="n">
        <v>540.9400000000001</v>
      </c>
      <c r="R532" s="16" t="n">
        <v>540.9400000000001</v>
      </c>
      <c r="S532" s="16" t="n">
        <v>540.9400000000001</v>
      </c>
      <c r="T532" s="16" t="n">
        <v>540.9400000000001</v>
      </c>
      <c r="U532" s="16" t="n">
        <v>350</v>
      </c>
      <c r="V532" s="16" t="n">
        <v>0</v>
      </c>
      <c r="W532" s="16">
        <f>U532+V532</f>
        <v/>
      </c>
    </row>
    <row r="533">
      <c r="A533" s="3" t="inlineStr">
        <is>
          <t>CANON-202607-008382</t>
        </is>
      </c>
      <c r="B533" s="3" t="inlineStr">
        <is>
          <t>2026-07-10</t>
        </is>
      </c>
      <c r="C533" s="3" t="inlineStr">
        <is>
          <t>Saoirse Larsson</t>
        </is>
      </c>
      <c r="D533" s="3" t="inlineStr">
        <is>
          <t>CT</t>
        </is>
      </c>
      <c r="E533" s="14" t="n">
        <v>530000</v>
      </c>
      <c r="F533" s="14" t="n">
        <v>8097.04</v>
      </c>
      <c r="G533" s="14" t="n">
        <v>1012.13</v>
      </c>
      <c r="H533" s="14" t="n">
        <v>1012.13</v>
      </c>
      <c r="I533" s="14">
        <f>SUM(K533:T533)</f>
        <v/>
      </c>
      <c r="J533" s="14">
        <f>F533-(G533+H533+I533)</f>
        <v/>
      </c>
      <c r="K533" s="14" t="n">
        <v>607.28</v>
      </c>
      <c r="L533" s="14" t="n">
        <v>607.28</v>
      </c>
      <c r="M533" s="14" t="n">
        <v>607.28</v>
      </c>
      <c r="N533" s="14" t="n">
        <v>607.28</v>
      </c>
      <c r="O533" s="14" t="n">
        <v>607.28</v>
      </c>
      <c r="P533" s="14" t="n">
        <v>607.28</v>
      </c>
      <c r="Q533" s="14" t="n">
        <v>607.28</v>
      </c>
      <c r="R533" s="14" t="n">
        <v>607.28</v>
      </c>
      <c r="S533" s="14" t="n">
        <v>607.28</v>
      </c>
      <c r="T533" s="14" t="n">
        <v>607.28</v>
      </c>
      <c r="U533" s="14" t="n">
        <v>350</v>
      </c>
      <c r="V533" s="14" t="n">
        <v>0</v>
      </c>
      <c r="W533" s="14">
        <f>U533+V533</f>
        <v/>
      </c>
    </row>
    <row r="534">
      <c r="A534" s="15" t="inlineStr">
        <is>
          <t>CANON-202607-008383</t>
        </is>
      </c>
      <c r="B534" s="15" t="inlineStr">
        <is>
          <t>2026-07-04</t>
        </is>
      </c>
      <c r="C534" s="15" t="inlineStr">
        <is>
          <t>Wilhelmina Vasquez</t>
        </is>
      </c>
      <c r="D534" s="15" t="inlineStr">
        <is>
          <t>NH</t>
        </is>
      </c>
      <c r="E534" s="16" t="n">
        <v>340000</v>
      </c>
      <c r="F534" s="16" t="n">
        <v>3807.87</v>
      </c>
      <c r="G534" s="16" t="n">
        <v>475.98</v>
      </c>
      <c r="H534" s="16" t="n">
        <v>475.98</v>
      </c>
      <c r="I534" s="16">
        <f>SUM(K534:T534)</f>
        <v/>
      </c>
      <c r="J534" s="16">
        <f>F534-(G534+H534+I534)</f>
        <v/>
      </c>
      <c r="K534" s="16" t="n">
        <v>285.59</v>
      </c>
      <c r="L534" s="16" t="n">
        <v>285.59</v>
      </c>
      <c r="M534" s="16" t="n">
        <v>285.59</v>
      </c>
      <c r="N534" s="16" t="n">
        <v>285.59</v>
      </c>
      <c r="O534" s="16" t="n">
        <v>285.59</v>
      </c>
      <c r="P534" s="16" t="n">
        <v>285.59</v>
      </c>
      <c r="Q534" s="16" t="n">
        <v>285.59</v>
      </c>
      <c r="R534" s="16" t="n">
        <v>285.59</v>
      </c>
      <c r="S534" s="16" t="n">
        <v>285.59</v>
      </c>
      <c r="T534" s="16" t="n">
        <v>285.59</v>
      </c>
      <c r="U534" s="16" t="n">
        <v>350</v>
      </c>
      <c r="V534" s="16" t="n">
        <v>0</v>
      </c>
      <c r="W534" s="16">
        <f>U534+V534</f>
        <v/>
      </c>
    </row>
    <row r="535">
      <c r="A535" s="3" t="inlineStr">
        <is>
          <t>CANON-202607-008384</t>
        </is>
      </c>
      <c r="B535" s="3" t="inlineStr">
        <is>
          <t>2026-07-29</t>
        </is>
      </c>
      <c r="C535" s="3" t="inlineStr">
        <is>
          <t>Wilhelmina Vandermeer</t>
        </is>
      </c>
      <c r="D535" s="3" t="inlineStr">
        <is>
          <t>WI</t>
        </is>
      </c>
      <c r="E535" s="14" t="n">
        <v>410000</v>
      </c>
      <c r="F535" s="14" t="n">
        <v>8124.03</v>
      </c>
      <c r="G535" s="14" t="n">
        <v>1015.5</v>
      </c>
      <c r="H535" s="14" t="n">
        <v>1015.5</v>
      </c>
      <c r="I535" s="14">
        <f>SUM(K535:T535)</f>
        <v/>
      </c>
      <c r="J535" s="14">
        <f>F535-(G535+H535+I535)</f>
        <v/>
      </c>
      <c r="K535" s="14" t="n">
        <v>609.3</v>
      </c>
      <c r="L535" s="14" t="n">
        <v>609.3</v>
      </c>
      <c r="M535" s="14" t="n">
        <v>609.3</v>
      </c>
      <c r="N535" s="14" t="n">
        <v>609.3</v>
      </c>
      <c r="O535" s="14" t="n">
        <v>609.3</v>
      </c>
      <c r="P535" s="14" t="n">
        <v>609.3</v>
      </c>
      <c r="Q535" s="14" t="n">
        <v>609.3</v>
      </c>
      <c r="R535" s="14" t="n">
        <v>609.3</v>
      </c>
      <c r="S535" s="14" t="n">
        <v>609.3</v>
      </c>
      <c r="T535" s="14" t="n">
        <v>609.3</v>
      </c>
      <c r="U535" s="14" t="n">
        <v>350</v>
      </c>
      <c r="V535" s="14" t="n">
        <v>0</v>
      </c>
      <c r="W535" s="14">
        <f>U535+V535</f>
        <v/>
      </c>
    </row>
    <row r="536">
      <c r="A536" s="15" t="inlineStr">
        <is>
          <t>CANON-202607-008385</t>
        </is>
      </c>
      <c r="B536" s="15" t="inlineStr">
        <is>
          <t>2026-07-16</t>
        </is>
      </c>
      <c r="C536" s="15" t="inlineStr">
        <is>
          <t>Saoirse Delacroix</t>
        </is>
      </c>
      <c r="D536" s="15" t="inlineStr">
        <is>
          <t>OH</t>
        </is>
      </c>
      <c r="E536" s="16" t="n">
        <v>1190000</v>
      </c>
      <c r="F536" s="16" t="n">
        <v>13062.71</v>
      </c>
      <c r="G536" s="16" t="n">
        <v>1632.84</v>
      </c>
      <c r="H536" s="16" t="n">
        <v>1632.84</v>
      </c>
      <c r="I536" s="16">
        <f>SUM(K536:T536)</f>
        <v/>
      </c>
      <c r="J536" s="16">
        <f>F536-(G536+H536+I536)</f>
        <v/>
      </c>
      <c r="K536" s="16" t="n">
        <v>979.7</v>
      </c>
      <c r="L536" s="16" t="n">
        <v>979.7</v>
      </c>
      <c r="M536" s="16" t="n">
        <v>979.7</v>
      </c>
      <c r="N536" s="16" t="n">
        <v>979.7</v>
      </c>
      <c r="O536" s="16" t="n">
        <v>979.7</v>
      </c>
      <c r="P536" s="16" t="n">
        <v>979.7</v>
      </c>
      <c r="Q536" s="16" t="n">
        <v>979.7</v>
      </c>
      <c r="R536" s="16" t="n">
        <v>979.7</v>
      </c>
      <c r="S536" s="16" t="n">
        <v>979.7</v>
      </c>
      <c r="T536" s="16" t="n">
        <v>979.7</v>
      </c>
      <c r="U536" s="16" t="n">
        <v>350</v>
      </c>
      <c r="V536" s="16" t="n">
        <v>250</v>
      </c>
      <c r="W536" s="16">
        <f>U536+V536</f>
        <v/>
      </c>
    </row>
    <row r="537">
      <c r="A537" s="3" t="inlineStr">
        <is>
          <t>CANON-202607-008386</t>
        </is>
      </c>
      <c r="B537" s="3" t="inlineStr">
        <is>
          <t>2026-07-25</t>
        </is>
      </c>
      <c r="C537" s="3" t="inlineStr">
        <is>
          <t>Leopold Whitlock</t>
        </is>
      </c>
      <c r="D537" s="3" t="inlineStr">
        <is>
          <t>CT</t>
        </is>
      </c>
      <c r="E537" s="14" t="n">
        <v>620000</v>
      </c>
      <c r="F537" s="14" t="n">
        <v>6480.85</v>
      </c>
      <c r="G537" s="14" t="n">
        <v>810.11</v>
      </c>
      <c r="H537" s="14" t="n">
        <v>810.11</v>
      </c>
      <c r="I537" s="14">
        <f>SUM(K537:T537)</f>
        <v/>
      </c>
      <c r="J537" s="14">
        <f>F537-(G537+H537+I537)</f>
        <v/>
      </c>
      <c r="K537" s="14" t="n">
        <v>486.06</v>
      </c>
      <c r="L537" s="14" t="n">
        <v>486.06</v>
      </c>
      <c r="M537" s="14" t="n">
        <v>486.06</v>
      </c>
      <c r="N537" s="14" t="n">
        <v>486.06</v>
      </c>
      <c r="O537" s="14" t="n">
        <v>486.06</v>
      </c>
      <c r="P537" s="14" t="n">
        <v>486.06</v>
      </c>
      <c r="Q537" s="14" t="n">
        <v>486.06</v>
      </c>
      <c r="R537" s="14" t="n">
        <v>486.06</v>
      </c>
      <c r="S537" s="14" t="n">
        <v>486.06</v>
      </c>
      <c r="T537" s="14" t="n">
        <v>486.06</v>
      </c>
      <c r="U537" s="14" t="n">
        <v>350</v>
      </c>
      <c r="V537" s="14" t="n">
        <v>0</v>
      </c>
      <c r="W537" s="14">
        <f>U537+V537</f>
        <v/>
      </c>
    </row>
    <row r="538">
      <c r="A538" s="15" t="inlineStr">
        <is>
          <t>CANON-202607-008388</t>
        </is>
      </c>
      <c r="B538" s="15" t="inlineStr">
        <is>
          <t>2026-07-07</t>
        </is>
      </c>
      <c r="C538" s="15" t="inlineStr">
        <is>
          <t>Fitzgerald Farkas</t>
        </is>
      </c>
      <c r="D538" s="15" t="inlineStr">
        <is>
          <t>OH</t>
        </is>
      </c>
      <c r="E538" s="16" t="n">
        <v>800000</v>
      </c>
      <c r="F538" s="16" t="n">
        <v>6865.66</v>
      </c>
      <c r="G538" s="16" t="n">
        <v>858.21</v>
      </c>
      <c r="H538" s="16" t="n">
        <v>858.21</v>
      </c>
      <c r="I538" s="16">
        <f>SUM(K538:T538)</f>
        <v/>
      </c>
      <c r="J538" s="16">
        <f>F538-(G538+H538+I538)</f>
        <v/>
      </c>
      <c r="K538" s="16" t="n">
        <v>514.92</v>
      </c>
      <c r="L538" s="16" t="n">
        <v>514.92</v>
      </c>
      <c r="M538" s="16" t="n">
        <v>514.92</v>
      </c>
      <c r="N538" s="16" t="n">
        <v>514.92</v>
      </c>
      <c r="O538" s="16" t="n">
        <v>514.92</v>
      </c>
      <c r="P538" s="16" t="n">
        <v>514.92</v>
      </c>
      <c r="Q538" s="16" t="n">
        <v>514.92</v>
      </c>
      <c r="R538" s="16" t="n">
        <v>514.92</v>
      </c>
      <c r="S538" s="16" t="n">
        <v>514.92</v>
      </c>
      <c r="T538" s="16" t="n">
        <v>514.92</v>
      </c>
      <c r="U538" s="16" t="n">
        <v>350</v>
      </c>
      <c r="V538" s="16" t="n">
        <v>0</v>
      </c>
      <c r="W538" s="16">
        <f>U538+V538</f>
        <v/>
      </c>
    </row>
    <row r="539">
      <c r="A539" s="3" t="inlineStr">
        <is>
          <t>CANON-202607-008390</t>
        </is>
      </c>
      <c r="B539" s="3" t="inlineStr">
        <is>
          <t>2026-07-15</t>
        </is>
      </c>
      <c r="C539" s="3" t="inlineStr">
        <is>
          <t>Leopold Vandermeer</t>
        </is>
      </c>
      <c r="D539" s="3" t="inlineStr">
        <is>
          <t>CA</t>
        </is>
      </c>
      <c r="E539" s="14" t="n">
        <v>520000</v>
      </c>
      <c r="F539" s="14" t="n">
        <v>4334.25</v>
      </c>
      <c r="G539" s="14" t="n">
        <v>541.78</v>
      </c>
      <c r="H539" s="14" t="n">
        <v>541.78</v>
      </c>
      <c r="I539" s="14">
        <f>SUM(K539:T539)</f>
        <v/>
      </c>
      <c r="J539" s="14">
        <f>F539-(G539+H539+I539)</f>
        <v/>
      </c>
      <c r="K539" s="14" t="n">
        <v>325.07</v>
      </c>
      <c r="L539" s="14" t="n">
        <v>325.07</v>
      </c>
      <c r="M539" s="14" t="n">
        <v>325.07</v>
      </c>
      <c r="N539" s="14" t="n">
        <v>325.07</v>
      </c>
      <c r="O539" s="14" t="n">
        <v>325.07</v>
      </c>
      <c r="P539" s="14" t="n">
        <v>325.07</v>
      </c>
      <c r="Q539" s="14" t="n">
        <v>325.07</v>
      </c>
      <c r="R539" s="14" t="n">
        <v>325.07</v>
      </c>
      <c r="S539" s="14" t="n">
        <v>325.07</v>
      </c>
      <c r="T539" s="14" t="n">
        <v>325.07</v>
      </c>
      <c r="U539" s="14" t="n">
        <v>350</v>
      </c>
      <c r="V539" s="14" t="n">
        <v>0</v>
      </c>
      <c r="W539" s="14">
        <f>U539+V539</f>
        <v/>
      </c>
    </row>
    <row r="540">
      <c r="A540" s="15" t="inlineStr">
        <is>
          <t>CANON-202607-008391</t>
        </is>
      </c>
      <c r="B540" s="15" t="inlineStr">
        <is>
          <t>2026-07-28</t>
        </is>
      </c>
      <c r="C540" s="15" t="inlineStr">
        <is>
          <t>Fenwick Larsson</t>
        </is>
      </c>
      <c r="D540" s="15" t="inlineStr">
        <is>
          <t>VT</t>
        </is>
      </c>
      <c r="E540" s="16" t="n">
        <v>1155000</v>
      </c>
      <c r="F540" s="16" t="n">
        <v>11127.91</v>
      </c>
      <c r="G540" s="16" t="n">
        <v>1390.99</v>
      </c>
      <c r="H540" s="16" t="n">
        <v>1390.99</v>
      </c>
      <c r="I540" s="16">
        <f>SUM(K540:T540)</f>
        <v/>
      </c>
      <c r="J540" s="16">
        <f>F540-(G540+H540+I540)</f>
        <v/>
      </c>
      <c r="K540" s="16" t="n">
        <v>834.59</v>
      </c>
      <c r="L540" s="16" t="n">
        <v>834.59</v>
      </c>
      <c r="M540" s="16" t="n">
        <v>834.59</v>
      </c>
      <c r="N540" s="16" t="n">
        <v>834.59</v>
      </c>
      <c r="O540" s="16" t="n">
        <v>834.59</v>
      </c>
      <c r="P540" s="16" t="n">
        <v>834.59</v>
      </c>
      <c r="Q540" s="16" t="n">
        <v>834.59</v>
      </c>
      <c r="R540" s="16" t="n">
        <v>834.59</v>
      </c>
      <c r="S540" s="16" t="n">
        <v>834.59</v>
      </c>
      <c r="T540" s="16" t="n">
        <v>834.59</v>
      </c>
      <c r="U540" s="16" t="n">
        <v>350</v>
      </c>
      <c r="V540" s="16" t="n">
        <v>250</v>
      </c>
      <c r="W540" s="16">
        <f>U540+V540</f>
        <v/>
      </c>
    </row>
    <row r="541">
      <c r="A541" s="3" t="inlineStr">
        <is>
          <t>CANON-202607-008392</t>
        </is>
      </c>
      <c r="B541" s="3" t="inlineStr">
        <is>
          <t>2026-07-05</t>
        </is>
      </c>
      <c r="C541" s="3" t="inlineStr">
        <is>
          <t>Lorenzo Merriweather</t>
        </is>
      </c>
      <c r="D541" s="3" t="inlineStr">
        <is>
          <t>UT</t>
        </is>
      </c>
      <c r="E541" s="14" t="n">
        <v>1950000</v>
      </c>
      <c r="F541" s="14" t="n">
        <v>30238.98</v>
      </c>
      <c r="G541" s="14" t="n">
        <v>3779.87</v>
      </c>
      <c r="H541" s="14" t="n">
        <v>3779.87</v>
      </c>
      <c r="I541" s="14">
        <f>SUM(K541:T541)</f>
        <v/>
      </c>
      <c r="J541" s="14">
        <f>F541-(G541+H541+I541)</f>
        <v/>
      </c>
      <c r="K541" s="14" t="n">
        <v>2267.92</v>
      </c>
      <c r="L541" s="14" t="n">
        <v>2267.92</v>
      </c>
      <c r="M541" s="14" t="n">
        <v>2267.92</v>
      </c>
      <c r="N541" s="14" t="n">
        <v>2267.92</v>
      </c>
      <c r="O541" s="14" t="n">
        <v>2267.92</v>
      </c>
      <c r="P541" s="14" t="n">
        <v>2267.92</v>
      </c>
      <c r="Q541" s="14" t="n">
        <v>2267.92</v>
      </c>
      <c r="R541" s="14" t="n">
        <v>2267.92</v>
      </c>
      <c r="S541" s="14" t="n">
        <v>2267.92</v>
      </c>
      <c r="T541" s="14" t="n">
        <v>2267.92</v>
      </c>
      <c r="U541" s="14" t="n">
        <v>350</v>
      </c>
      <c r="V541" s="14" t="n">
        <v>250</v>
      </c>
      <c r="W541" s="14">
        <f>U541+V541</f>
        <v/>
      </c>
    </row>
    <row r="542">
      <c r="A542" s="15" t="inlineStr">
        <is>
          <t>CANON-202607-008393</t>
        </is>
      </c>
      <c r="B542" s="15" t="inlineStr">
        <is>
          <t>2026-07-31</t>
        </is>
      </c>
      <c r="C542" s="15" t="inlineStr">
        <is>
          <t>Everett Montoya</t>
        </is>
      </c>
      <c r="D542" s="15" t="inlineStr">
        <is>
          <t>WY</t>
        </is>
      </c>
      <c r="E542" s="16" t="n">
        <v>355000</v>
      </c>
      <c r="F542" s="16" t="n">
        <v>4090.56</v>
      </c>
      <c r="G542" s="16" t="n">
        <v>511.32</v>
      </c>
      <c r="H542" s="16" t="n">
        <v>511.32</v>
      </c>
      <c r="I542" s="16">
        <f>SUM(K542:T542)</f>
        <v/>
      </c>
      <c r="J542" s="16">
        <f>F542-(G542+H542+I542)</f>
        <v/>
      </c>
      <c r="K542" s="16" t="n">
        <v>306.79</v>
      </c>
      <c r="L542" s="16" t="n">
        <v>306.79</v>
      </c>
      <c r="M542" s="16" t="n">
        <v>306.79</v>
      </c>
      <c r="N542" s="16" t="n">
        <v>306.79</v>
      </c>
      <c r="O542" s="16" t="n">
        <v>306.79</v>
      </c>
      <c r="P542" s="16" t="n">
        <v>306.79</v>
      </c>
      <c r="Q542" s="16" t="n">
        <v>306.79</v>
      </c>
      <c r="R542" s="16" t="n">
        <v>306.79</v>
      </c>
      <c r="S542" s="16" t="n">
        <v>306.79</v>
      </c>
      <c r="T542" s="16" t="n">
        <v>306.79</v>
      </c>
      <c r="U542" s="16" t="n">
        <v>350</v>
      </c>
      <c r="V542" s="16" t="n">
        <v>0</v>
      </c>
      <c r="W542" s="16">
        <f>U542+V542</f>
        <v/>
      </c>
    </row>
    <row r="543">
      <c r="A543" s="3" t="inlineStr">
        <is>
          <t>CANON-202607-008394</t>
        </is>
      </c>
      <c r="B543" s="3" t="inlineStr">
        <is>
          <t>2026-07-12</t>
        </is>
      </c>
      <c r="C543" s="3" t="inlineStr">
        <is>
          <t>Wilhelmina Fairweather</t>
        </is>
      </c>
      <c r="D543" s="3" t="inlineStr">
        <is>
          <t>CA</t>
        </is>
      </c>
      <c r="E543" s="14" t="n">
        <v>360000</v>
      </c>
      <c r="F543" s="14" t="n">
        <v>5233.67</v>
      </c>
      <c r="G543" s="14" t="n">
        <v>654.21</v>
      </c>
      <c r="H543" s="14" t="n">
        <v>654.21</v>
      </c>
      <c r="I543" s="14">
        <f>SUM(K543:T543)</f>
        <v/>
      </c>
      <c r="J543" s="14">
        <f>F543-(G543+H543+I543)</f>
        <v/>
      </c>
      <c r="K543" s="14" t="n">
        <v>392.53</v>
      </c>
      <c r="L543" s="14" t="n">
        <v>392.53</v>
      </c>
      <c r="M543" s="14" t="n">
        <v>392.53</v>
      </c>
      <c r="N543" s="14" t="n">
        <v>392.53</v>
      </c>
      <c r="O543" s="14" t="n">
        <v>392.53</v>
      </c>
      <c r="P543" s="14" t="n">
        <v>392.53</v>
      </c>
      <c r="Q543" s="14" t="n">
        <v>392.53</v>
      </c>
      <c r="R543" s="14" t="n">
        <v>392.53</v>
      </c>
      <c r="S543" s="14" t="n">
        <v>392.53</v>
      </c>
      <c r="T543" s="14" t="n">
        <v>392.53</v>
      </c>
      <c r="U543" s="14" t="n">
        <v>350</v>
      </c>
      <c r="V543" s="14" t="n">
        <v>0</v>
      </c>
      <c r="W543" s="14">
        <f>U543+V543</f>
        <v/>
      </c>
    </row>
    <row r="544">
      <c r="A544" s="15" t="inlineStr">
        <is>
          <t>CANON-202607-008396</t>
        </is>
      </c>
      <c r="B544" s="15" t="inlineStr">
        <is>
          <t>2026-07-06</t>
        </is>
      </c>
      <c r="C544" s="15" t="inlineStr">
        <is>
          <t>Noor Nakashima</t>
        </is>
      </c>
      <c r="D544" s="15" t="inlineStr">
        <is>
          <t>IA</t>
        </is>
      </c>
      <c r="E544" s="16" t="n">
        <v>605000</v>
      </c>
      <c r="F544" s="16" t="n">
        <v>6211.12</v>
      </c>
      <c r="G544" s="16" t="n">
        <v>776.39</v>
      </c>
      <c r="H544" s="16" t="n">
        <v>776.39</v>
      </c>
      <c r="I544" s="16">
        <f>SUM(K544:T544)</f>
        <v/>
      </c>
      <c r="J544" s="16">
        <f>F544-(G544+H544+I544)</f>
        <v/>
      </c>
      <c r="K544" s="16" t="n">
        <v>465.83</v>
      </c>
      <c r="L544" s="16" t="n">
        <v>465.83</v>
      </c>
      <c r="M544" s="16" t="n">
        <v>465.83</v>
      </c>
      <c r="N544" s="16" t="n">
        <v>465.83</v>
      </c>
      <c r="O544" s="16" t="n">
        <v>465.83</v>
      </c>
      <c r="P544" s="16" t="n">
        <v>465.83</v>
      </c>
      <c r="Q544" s="16" t="n">
        <v>465.83</v>
      </c>
      <c r="R544" s="16" t="n">
        <v>465.83</v>
      </c>
      <c r="S544" s="16" t="n">
        <v>465.83</v>
      </c>
      <c r="T544" s="16" t="n">
        <v>465.83</v>
      </c>
      <c r="U544" s="16" t="n">
        <v>350</v>
      </c>
      <c r="V544" s="16" t="n">
        <v>0</v>
      </c>
      <c r="W544" s="16">
        <f>U544+V544</f>
        <v/>
      </c>
    </row>
    <row r="545">
      <c r="A545" s="3" t="inlineStr">
        <is>
          <t>CANON-202607-008397</t>
        </is>
      </c>
      <c r="B545" s="3" t="inlineStr">
        <is>
          <t>2026-07-26</t>
        </is>
      </c>
      <c r="C545" s="3" t="inlineStr">
        <is>
          <t>Fenwick Castellanos</t>
        </is>
      </c>
      <c r="D545" s="3" t="inlineStr">
        <is>
          <t>NV</t>
        </is>
      </c>
      <c r="E545" s="14" t="n">
        <v>450000</v>
      </c>
      <c r="F545" s="14" t="n">
        <v>5669.81</v>
      </c>
      <c r="G545" s="14" t="n">
        <v>708.73</v>
      </c>
      <c r="H545" s="14" t="n">
        <v>708.73</v>
      </c>
      <c r="I545" s="14">
        <f>SUM(K545:T545)</f>
        <v/>
      </c>
      <c r="J545" s="14">
        <f>F545-(G545+H545+I545)</f>
        <v/>
      </c>
      <c r="K545" s="14" t="n">
        <v>425.24</v>
      </c>
      <c r="L545" s="14" t="n">
        <v>425.24</v>
      </c>
      <c r="M545" s="14" t="n">
        <v>425.24</v>
      </c>
      <c r="N545" s="14" t="n">
        <v>425.24</v>
      </c>
      <c r="O545" s="14" t="n">
        <v>425.24</v>
      </c>
      <c r="P545" s="14" t="n">
        <v>425.24</v>
      </c>
      <c r="Q545" s="14" t="n">
        <v>425.24</v>
      </c>
      <c r="R545" s="14" t="n">
        <v>425.24</v>
      </c>
      <c r="S545" s="14" t="n">
        <v>425.24</v>
      </c>
      <c r="T545" s="14" t="n">
        <v>425.24</v>
      </c>
      <c r="U545" s="14" t="n">
        <v>350</v>
      </c>
      <c r="V545" s="14" t="n">
        <v>0</v>
      </c>
      <c r="W545" s="14">
        <f>U545+V545</f>
        <v/>
      </c>
    </row>
    <row r="546">
      <c r="A546" s="15" t="inlineStr">
        <is>
          <t>CANON-202607-008398</t>
        </is>
      </c>
      <c r="B546" s="15" t="inlineStr">
        <is>
          <t>2026-07-18</t>
        </is>
      </c>
      <c r="C546" s="15" t="inlineStr">
        <is>
          <t>Callum Fairweather</t>
        </is>
      </c>
      <c r="D546" s="15" t="inlineStr">
        <is>
          <t>TX</t>
        </is>
      </c>
      <c r="E546" s="16" t="n">
        <v>205000</v>
      </c>
      <c r="F546" s="16" t="n">
        <v>3114.21</v>
      </c>
      <c r="G546" s="16" t="n">
        <v>389.28</v>
      </c>
      <c r="H546" s="16" t="n">
        <v>389.28</v>
      </c>
      <c r="I546" s="16">
        <f>SUM(K546:T546)</f>
        <v/>
      </c>
      <c r="J546" s="16">
        <f>F546-(G546+H546+I546)</f>
        <v/>
      </c>
      <c r="K546" s="16" t="n">
        <v>233.57</v>
      </c>
      <c r="L546" s="16" t="n">
        <v>233.57</v>
      </c>
      <c r="M546" s="16" t="n">
        <v>233.57</v>
      </c>
      <c r="N546" s="16" t="n">
        <v>233.57</v>
      </c>
      <c r="O546" s="16" t="n">
        <v>233.57</v>
      </c>
      <c r="P546" s="16" t="n">
        <v>233.57</v>
      </c>
      <c r="Q546" s="16" t="n">
        <v>233.57</v>
      </c>
      <c r="R546" s="16" t="n">
        <v>233.57</v>
      </c>
      <c r="S546" s="16" t="n">
        <v>233.57</v>
      </c>
      <c r="T546" s="16" t="n">
        <v>233.57</v>
      </c>
      <c r="U546" s="16" t="n">
        <v>350</v>
      </c>
      <c r="V546" s="16" t="n">
        <v>0</v>
      </c>
      <c r="W546" s="16">
        <f>U546+V546</f>
        <v/>
      </c>
    </row>
    <row r="547">
      <c r="A547" s="3" t="inlineStr">
        <is>
          <t>CANON-202607-008400</t>
        </is>
      </c>
      <c r="B547" s="3" t="inlineStr">
        <is>
          <t>2026-07-21</t>
        </is>
      </c>
      <c r="C547" s="3" t="inlineStr">
        <is>
          <t>Aurelio Pennington</t>
        </is>
      </c>
      <c r="D547" s="3" t="inlineStr">
        <is>
          <t>CT</t>
        </is>
      </c>
      <c r="E547" s="14" t="n">
        <v>490000</v>
      </c>
      <c r="F547" s="14" t="n">
        <v>9061.93</v>
      </c>
      <c r="G547" s="14" t="n">
        <v>1132.74</v>
      </c>
      <c r="H547" s="14" t="n">
        <v>1132.74</v>
      </c>
      <c r="I547" s="14">
        <f>SUM(K547:T547)</f>
        <v/>
      </c>
      <c r="J547" s="14">
        <f>F547-(G547+H547+I547)</f>
        <v/>
      </c>
      <c r="K547" s="14" t="n">
        <v>679.64</v>
      </c>
      <c r="L547" s="14" t="n">
        <v>679.64</v>
      </c>
      <c r="M547" s="14" t="n">
        <v>679.64</v>
      </c>
      <c r="N547" s="14" t="n">
        <v>679.64</v>
      </c>
      <c r="O547" s="14" t="n">
        <v>679.64</v>
      </c>
      <c r="P547" s="14" t="n">
        <v>679.64</v>
      </c>
      <c r="Q547" s="14" t="n">
        <v>679.64</v>
      </c>
      <c r="R547" s="14" t="n">
        <v>679.64</v>
      </c>
      <c r="S547" s="14" t="n">
        <v>679.64</v>
      </c>
      <c r="T547" s="14" t="n">
        <v>679.64</v>
      </c>
      <c r="U547" s="14" t="n">
        <v>350</v>
      </c>
      <c r="V547" s="14" t="n">
        <v>0</v>
      </c>
      <c r="W547" s="14">
        <f>U547+V547</f>
        <v/>
      </c>
    </row>
    <row r="548">
      <c r="A548" s="15" t="inlineStr">
        <is>
          <t>CANON-202607-008401</t>
        </is>
      </c>
      <c r="B548" s="15" t="inlineStr">
        <is>
          <t>2026-07-15</t>
        </is>
      </c>
      <c r="C548" s="15" t="inlineStr">
        <is>
          <t>Thaddeus Harrington</t>
        </is>
      </c>
      <c r="D548" s="15" t="inlineStr">
        <is>
          <t>MD</t>
        </is>
      </c>
      <c r="E548" s="16" t="n">
        <v>845000</v>
      </c>
      <c r="F548" s="16" t="n">
        <v>10949.97</v>
      </c>
      <c r="G548" s="16" t="n">
        <v>1368.75</v>
      </c>
      <c r="H548" s="16" t="n">
        <v>1368.75</v>
      </c>
      <c r="I548" s="16">
        <f>SUM(K548:T548)</f>
        <v/>
      </c>
      <c r="J548" s="16">
        <f>F548-(G548+H548+I548)</f>
        <v/>
      </c>
      <c r="K548" s="16" t="n">
        <v>821.25</v>
      </c>
      <c r="L548" s="16" t="n">
        <v>821.25</v>
      </c>
      <c r="M548" s="16" t="n">
        <v>821.25</v>
      </c>
      <c r="N548" s="16" t="n">
        <v>821.25</v>
      </c>
      <c r="O548" s="16" t="n">
        <v>821.25</v>
      </c>
      <c r="P548" s="16" t="n">
        <v>821.25</v>
      </c>
      <c r="Q548" s="16" t="n">
        <v>821.25</v>
      </c>
      <c r="R548" s="16" t="n">
        <v>821.25</v>
      </c>
      <c r="S548" s="16" t="n">
        <v>821.25</v>
      </c>
      <c r="T548" s="16" t="n">
        <v>821.25</v>
      </c>
      <c r="U548" s="16" t="n">
        <v>350</v>
      </c>
      <c r="V548" s="16" t="n">
        <v>0</v>
      </c>
      <c r="W548" s="16">
        <f>U548+V548</f>
        <v/>
      </c>
    </row>
    <row r="549">
      <c r="A549" s="3" t="inlineStr">
        <is>
          <t>CANON-202607-008402</t>
        </is>
      </c>
      <c r="B549" s="3" t="inlineStr">
        <is>
          <t>2026-07-12</t>
        </is>
      </c>
      <c r="C549" s="3" t="inlineStr">
        <is>
          <t>Mireille Nakashima</t>
        </is>
      </c>
      <c r="D549" s="3" t="inlineStr">
        <is>
          <t>WA</t>
        </is>
      </c>
      <c r="E549" s="14" t="n">
        <v>625000</v>
      </c>
      <c r="F549" s="14" t="n">
        <v>8184.34</v>
      </c>
      <c r="G549" s="14" t="n">
        <v>1023.04</v>
      </c>
      <c r="H549" s="14" t="n">
        <v>1023.04</v>
      </c>
      <c r="I549" s="14">
        <f>SUM(K549:T549)</f>
        <v/>
      </c>
      <c r="J549" s="14">
        <f>F549-(G549+H549+I549)</f>
        <v/>
      </c>
      <c r="K549" s="14" t="n">
        <v>613.83</v>
      </c>
      <c r="L549" s="14" t="n">
        <v>613.83</v>
      </c>
      <c r="M549" s="14" t="n">
        <v>613.83</v>
      </c>
      <c r="N549" s="14" t="n">
        <v>613.83</v>
      </c>
      <c r="O549" s="14" t="n">
        <v>613.83</v>
      </c>
      <c r="P549" s="14" t="n">
        <v>613.83</v>
      </c>
      <c r="Q549" s="14" t="n">
        <v>613.83</v>
      </c>
      <c r="R549" s="14" t="n">
        <v>613.83</v>
      </c>
      <c r="S549" s="14" t="n">
        <v>613.83</v>
      </c>
      <c r="T549" s="14" t="n">
        <v>613.83</v>
      </c>
      <c r="U549" s="14" t="n">
        <v>350</v>
      </c>
      <c r="V549" s="14" t="n">
        <v>0</v>
      </c>
      <c r="W549" s="14">
        <f>U549+V549</f>
        <v/>
      </c>
    </row>
    <row r="550">
      <c r="A550" s="15" t="inlineStr">
        <is>
          <t>CANON-202607-008403</t>
        </is>
      </c>
      <c r="B550" s="15" t="inlineStr">
        <is>
          <t>2026-07-06</t>
        </is>
      </c>
      <c r="C550" s="15" t="inlineStr">
        <is>
          <t>Desmond Blackwood</t>
        </is>
      </c>
      <c r="D550" s="15" t="inlineStr">
        <is>
          <t>SC</t>
        </is>
      </c>
      <c r="E550" s="16" t="n">
        <v>320000</v>
      </c>
      <c r="F550" s="16" t="n">
        <v>4273.08</v>
      </c>
      <c r="G550" s="16" t="n">
        <v>534.13</v>
      </c>
      <c r="H550" s="16" t="n">
        <v>534.13</v>
      </c>
      <c r="I550" s="16">
        <f>SUM(K550:T550)</f>
        <v/>
      </c>
      <c r="J550" s="16">
        <f>F550-(G550+H550+I550)</f>
        <v/>
      </c>
      <c r="K550" s="16" t="n">
        <v>320.48</v>
      </c>
      <c r="L550" s="16" t="n">
        <v>320.48</v>
      </c>
      <c r="M550" s="16" t="n">
        <v>320.48</v>
      </c>
      <c r="N550" s="16" t="n">
        <v>320.48</v>
      </c>
      <c r="O550" s="16" t="n">
        <v>320.48</v>
      </c>
      <c r="P550" s="16" t="n">
        <v>320.48</v>
      </c>
      <c r="Q550" s="16" t="n">
        <v>320.48</v>
      </c>
      <c r="R550" s="16" t="n">
        <v>320.48</v>
      </c>
      <c r="S550" s="16" t="n">
        <v>320.48</v>
      </c>
      <c r="T550" s="16" t="n">
        <v>320.48</v>
      </c>
      <c r="U550" s="16" t="n">
        <v>350</v>
      </c>
      <c r="V550" s="16" t="n">
        <v>0</v>
      </c>
      <c r="W550" s="16">
        <f>U550+V550</f>
        <v/>
      </c>
    </row>
    <row r="551">
      <c r="A551" s="3" t="inlineStr">
        <is>
          <t>CANON-202607-008406</t>
        </is>
      </c>
      <c r="B551" s="3" t="inlineStr">
        <is>
          <t>2026-07-11</t>
        </is>
      </c>
      <c r="C551" s="3" t="inlineStr">
        <is>
          <t>Delphine Bellandi</t>
        </is>
      </c>
      <c r="D551" s="3" t="inlineStr">
        <is>
          <t>PA</t>
        </is>
      </c>
      <c r="E551" s="14" t="n">
        <v>330000</v>
      </c>
      <c r="F551" s="14" t="n">
        <v>3553.73</v>
      </c>
      <c r="G551" s="14" t="n">
        <v>444.22</v>
      </c>
      <c r="H551" s="14" t="n">
        <v>444.22</v>
      </c>
      <c r="I551" s="14">
        <f>SUM(K551:T551)</f>
        <v/>
      </c>
      <c r="J551" s="14">
        <f>F551-(G551+H551+I551)</f>
        <v/>
      </c>
      <c r="K551" s="14" t="n">
        <v>266.53</v>
      </c>
      <c r="L551" s="14" t="n">
        <v>266.53</v>
      </c>
      <c r="M551" s="14" t="n">
        <v>266.53</v>
      </c>
      <c r="N551" s="14" t="n">
        <v>266.53</v>
      </c>
      <c r="O551" s="14" t="n">
        <v>266.53</v>
      </c>
      <c r="P551" s="14" t="n">
        <v>266.53</v>
      </c>
      <c r="Q551" s="14" t="n">
        <v>266.53</v>
      </c>
      <c r="R551" s="14" t="n">
        <v>266.53</v>
      </c>
      <c r="S551" s="14" t="n">
        <v>266.53</v>
      </c>
      <c r="T551" s="14" t="n">
        <v>266.53</v>
      </c>
      <c r="U551" s="14" t="n">
        <v>350</v>
      </c>
      <c r="V551" s="14" t="n">
        <v>0</v>
      </c>
      <c r="W551" s="14">
        <f>U551+V551</f>
        <v/>
      </c>
    </row>
    <row r="552">
      <c r="A552" s="15" t="inlineStr">
        <is>
          <t>CANON-202607-008407</t>
        </is>
      </c>
      <c r="B552" s="15" t="inlineStr">
        <is>
          <t>2026-07-05</t>
        </is>
      </c>
      <c r="C552" s="15" t="inlineStr">
        <is>
          <t>Everett Farkas</t>
        </is>
      </c>
      <c r="D552" s="15" t="inlineStr">
        <is>
          <t>IL</t>
        </is>
      </c>
      <c r="E552" s="16" t="n">
        <v>450000</v>
      </c>
      <c r="F552" s="16" t="n">
        <v>6590.55</v>
      </c>
      <c r="G552" s="16" t="n">
        <v>823.8200000000001</v>
      </c>
      <c r="H552" s="16" t="n">
        <v>823.8200000000001</v>
      </c>
      <c r="I552" s="16">
        <f>SUM(K552:T552)</f>
        <v/>
      </c>
      <c r="J552" s="16">
        <f>F552-(G552+H552+I552)</f>
        <v/>
      </c>
      <c r="K552" s="16" t="n">
        <v>494.29</v>
      </c>
      <c r="L552" s="16" t="n">
        <v>494.29</v>
      </c>
      <c r="M552" s="16" t="n">
        <v>494.29</v>
      </c>
      <c r="N552" s="16" t="n">
        <v>494.29</v>
      </c>
      <c r="O552" s="16" t="n">
        <v>494.29</v>
      </c>
      <c r="P552" s="16" t="n">
        <v>494.29</v>
      </c>
      <c r="Q552" s="16" t="n">
        <v>494.29</v>
      </c>
      <c r="R552" s="16" t="n">
        <v>494.29</v>
      </c>
      <c r="S552" s="16" t="n">
        <v>494.29</v>
      </c>
      <c r="T552" s="16" t="n">
        <v>494.29</v>
      </c>
      <c r="U552" s="16" t="n">
        <v>350</v>
      </c>
      <c r="V552" s="16" t="n">
        <v>0</v>
      </c>
      <c r="W552" s="16">
        <f>U552+V552</f>
        <v/>
      </c>
    </row>
    <row r="553">
      <c r="A553" s="3" t="inlineStr">
        <is>
          <t>CANON-202607-008408</t>
        </is>
      </c>
      <c r="B553" s="3" t="inlineStr">
        <is>
          <t>2026-07-11</t>
        </is>
      </c>
      <c r="C553" s="3" t="inlineStr">
        <is>
          <t>Priya Ashcombe</t>
        </is>
      </c>
      <c r="D553" s="3" t="inlineStr">
        <is>
          <t>CA</t>
        </is>
      </c>
      <c r="E553" s="14" t="n">
        <v>840000</v>
      </c>
      <c r="F553" s="14" t="n">
        <v>10583.65</v>
      </c>
      <c r="G553" s="14" t="n">
        <v>1322.96</v>
      </c>
      <c r="H553" s="14" t="n">
        <v>1322.96</v>
      </c>
      <c r="I553" s="14">
        <f>SUM(K553:T553)</f>
        <v/>
      </c>
      <c r="J553" s="14">
        <f>F553-(G553+H553+I553)</f>
        <v/>
      </c>
      <c r="K553" s="14" t="n">
        <v>793.77</v>
      </c>
      <c r="L553" s="14" t="n">
        <v>793.77</v>
      </c>
      <c r="M553" s="14" t="n">
        <v>793.77</v>
      </c>
      <c r="N553" s="14" t="n">
        <v>793.77</v>
      </c>
      <c r="O553" s="14" t="n">
        <v>793.77</v>
      </c>
      <c r="P553" s="14" t="n">
        <v>793.77</v>
      </c>
      <c r="Q553" s="14" t="n">
        <v>793.77</v>
      </c>
      <c r="R553" s="14" t="n">
        <v>793.77</v>
      </c>
      <c r="S553" s="14" t="n">
        <v>793.77</v>
      </c>
      <c r="T553" s="14" t="n">
        <v>793.77</v>
      </c>
      <c r="U553" s="14" t="n">
        <v>350</v>
      </c>
      <c r="V553" s="14" t="n">
        <v>0</v>
      </c>
      <c r="W553" s="14">
        <f>U553+V553</f>
        <v/>
      </c>
    </row>
    <row r="554">
      <c r="A554" s="15" t="inlineStr">
        <is>
          <t>CANON-202607-008409</t>
        </is>
      </c>
      <c r="B554" s="15" t="inlineStr">
        <is>
          <t>2026-07-30</t>
        </is>
      </c>
      <c r="C554" s="15" t="inlineStr">
        <is>
          <t>Lorenzo Okonkwo</t>
        </is>
      </c>
      <c r="D554" s="15" t="inlineStr">
        <is>
          <t>MA</t>
        </is>
      </c>
      <c r="E554" s="16" t="n">
        <v>350000</v>
      </c>
      <c r="F554" s="16" t="n">
        <v>4711.38</v>
      </c>
      <c r="G554" s="16" t="n">
        <v>588.92</v>
      </c>
      <c r="H554" s="16" t="n">
        <v>588.92</v>
      </c>
      <c r="I554" s="16">
        <f>SUM(K554:T554)</f>
        <v/>
      </c>
      <c r="J554" s="16">
        <f>F554-(G554+H554+I554)</f>
        <v/>
      </c>
      <c r="K554" s="16" t="n">
        <v>353.35</v>
      </c>
      <c r="L554" s="16" t="n">
        <v>353.35</v>
      </c>
      <c r="M554" s="16" t="n">
        <v>353.35</v>
      </c>
      <c r="N554" s="16" t="n">
        <v>353.35</v>
      </c>
      <c r="O554" s="16" t="n">
        <v>353.35</v>
      </c>
      <c r="P554" s="16" t="n">
        <v>353.35</v>
      </c>
      <c r="Q554" s="16" t="n">
        <v>353.35</v>
      </c>
      <c r="R554" s="16" t="n">
        <v>353.35</v>
      </c>
      <c r="S554" s="16" t="n">
        <v>353.35</v>
      </c>
      <c r="T554" s="16" t="n">
        <v>353.35</v>
      </c>
      <c r="U554" s="16" t="n">
        <v>350</v>
      </c>
      <c r="V554" s="16" t="n">
        <v>0</v>
      </c>
      <c r="W554" s="16">
        <f>U554+V554</f>
        <v/>
      </c>
    </row>
    <row r="555">
      <c r="A555" s="3" t="inlineStr">
        <is>
          <t>CANON-202607-008410</t>
        </is>
      </c>
      <c r="B555" s="3" t="inlineStr">
        <is>
          <t>2026-07-05</t>
        </is>
      </c>
      <c r="C555" s="3" t="inlineStr">
        <is>
          <t>Cassius Merriweather</t>
        </is>
      </c>
      <c r="D555" s="3" t="inlineStr">
        <is>
          <t>OK</t>
        </is>
      </c>
      <c r="E555" s="14" t="n">
        <v>1950000</v>
      </c>
      <c r="F555" s="14" t="n">
        <v>13405.95</v>
      </c>
      <c r="G555" s="14" t="n">
        <v>1675.74</v>
      </c>
      <c r="H555" s="14" t="n">
        <v>1675.74</v>
      </c>
      <c r="I555" s="14">
        <f>SUM(K555:T555)</f>
        <v/>
      </c>
      <c r="J555" s="14">
        <f>F555-(G555+H555+I555)</f>
        <v/>
      </c>
      <c r="K555" s="14" t="n">
        <v>1005.45</v>
      </c>
      <c r="L555" s="14" t="n">
        <v>1005.45</v>
      </c>
      <c r="M555" s="14" t="n">
        <v>1005.45</v>
      </c>
      <c r="N555" s="14" t="n">
        <v>1005.45</v>
      </c>
      <c r="O555" s="14" t="n">
        <v>1005.45</v>
      </c>
      <c r="P555" s="14" t="n">
        <v>1005.45</v>
      </c>
      <c r="Q555" s="14" t="n">
        <v>1005.45</v>
      </c>
      <c r="R555" s="14" t="n">
        <v>1005.45</v>
      </c>
      <c r="S555" s="14" t="n">
        <v>1005.45</v>
      </c>
      <c r="T555" s="14" t="n">
        <v>1005.45</v>
      </c>
      <c r="U555" s="14" t="n">
        <v>350</v>
      </c>
      <c r="V555" s="14" t="n">
        <v>250</v>
      </c>
      <c r="W555" s="14">
        <f>U555+V555</f>
        <v/>
      </c>
    </row>
    <row r="556">
      <c r="A556" s="15" t="inlineStr">
        <is>
          <t>CANON-202607-008412</t>
        </is>
      </c>
      <c r="B556" s="15" t="inlineStr">
        <is>
          <t>2026-07-05</t>
        </is>
      </c>
      <c r="C556" s="15" t="inlineStr">
        <is>
          <t>Aurelio Vasquez</t>
        </is>
      </c>
      <c r="D556" s="15" t="inlineStr">
        <is>
          <t>ID</t>
        </is>
      </c>
      <c r="E556" s="16" t="n">
        <v>950000</v>
      </c>
      <c r="F556" s="16" t="n">
        <v>8777.700000000001</v>
      </c>
      <c r="G556" s="16" t="n">
        <v>1097.21</v>
      </c>
      <c r="H556" s="16" t="n">
        <v>1097.21</v>
      </c>
      <c r="I556" s="16">
        <f>SUM(K556:T556)</f>
        <v/>
      </c>
      <c r="J556" s="16">
        <f>F556-(G556+H556+I556)</f>
        <v/>
      </c>
      <c r="K556" s="16" t="n">
        <v>658.33</v>
      </c>
      <c r="L556" s="16" t="n">
        <v>658.33</v>
      </c>
      <c r="M556" s="16" t="n">
        <v>658.33</v>
      </c>
      <c r="N556" s="16" t="n">
        <v>658.33</v>
      </c>
      <c r="O556" s="16" t="n">
        <v>658.33</v>
      </c>
      <c r="P556" s="16" t="n">
        <v>658.33</v>
      </c>
      <c r="Q556" s="16" t="n">
        <v>658.33</v>
      </c>
      <c r="R556" s="16" t="n">
        <v>658.33</v>
      </c>
      <c r="S556" s="16" t="n">
        <v>658.33</v>
      </c>
      <c r="T556" s="16" t="n">
        <v>658.33</v>
      </c>
      <c r="U556" s="16" t="n">
        <v>350</v>
      </c>
      <c r="V556" s="16" t="n">
        <v>0</v>
      </c>
      <c r="W556" s="16">
        <f>U556+V556</f>
        <v/>
      </c>
    </row>
    <row r="557">
      <c r="A557" s="3" t="inlineStr">
        <is>
          <t>CANON-202607-008413</t>
        </is>
      </c>
      <c r="B557" s="3" t="inlineStr">
        <is>
          <t>2026-07-19</t>
        </is>
      </c>
      <c r="C557" s="3" t="inlineStr">
        <is>
          <t>Mireille Merriweather</t>
        </is>
      </c>
      <c r="D557" s="3" t="inlineStr">
        <is>
          <t>IL</t>
        </is>
      </c>
      <c r="E557" s="14" t="n">
        <v>1085000</v>
      </c>
      <c r="F557" s="14" t="n">
        <v>11653.06</v>
      </c>
      <c r="G557" s="14" t="n">
        <v>1456.63</v>
      </c>
      <c r="H557" s="14" t="n">
        <v>1456.63</v>
      </c>
      <c r="I557" s="14">
        <f>SUM(K557:T557)</f>
        <v/>
      </c>
      <c r="J557" s="14">
        <f>F557-(G557+H557+I557)</f>
        <v/>
      </c>
      <c r="K557" s="14" t="n">
        <v>873.98</v>
      </c>
      <c r="L557" s="14" t="n">
        <v>873.98</v>
      </c>
      <c r="M557" s="14" t="n">
        <v>873.98</v>
      </c>
      <c r="N557" s="14" t="n">
        <v>873.98</v>
      </c>
      <c r="O557" s="14" t="n">
        <v>873.98</v>
      </c>
      <c r="P557" s="14" t="n">
        <v>873.98</v>
      </c>
      <c r="Q557" s="14" t="n">
        <v>873.98</v>
      </c>
      <c r="R557" s="14" t="n">
        <v>873.98</v>
      </c>
      <c r="S557" s="14" t="n">
        <v>873.98</v>
      </c>
      <c r="T557" s="14" t="n">
        <v>873.98</v>
      </c>
      <c r="U557" s="14" t="n">
        <v>350</v>
      </c>
      <c r="V557" s="14" t="n">
        <v>250</v>
      </c>
      <c r="W557" s="14">
        <f>U557+V557</f>
        <v/>
      </c>
    </row>
    <row r="558">
      <c r="A558" s="15" t="inlineStr">
        <is>
          <t>CANON-202607-008414</t>
        </is>
      </c>
      <c r="B558" s="15" t="inlineStr">
        <is>
          <t>2026-07-19</t>
        </is>
      </c>
      <c r="C558" s="15" t="inlineStr">
        <is>
          <t>Lorenzo Vasquez</t>
        </is>
      </c>
      <c r="D558" s="15" t="inlineStr">
        <is>
          <t>WV</t>
        </is>
      </c>
      <c r="E558" s="16" t="n">
        <v>415000</v>
      </c>
      <c r="F558" s="16" t="n">
        <v>5943.87</v>
      </c>
      <c r="G558" s="16" t="n">
        <v>742.98</v>
      </c>
      <c r="H558" s="16" t="n">
        <v>742.98</v>
      </c>
      <c r="I558" s="16">
        <f>SUM(K558:T558)</f>
        <v/>
      </c>
      <c r="J558" s="16">
        <f>F558-(G558+H558+I558)</f>
        <v/>
      </c>
      <c r="K558" s="16" t="n">
        <v>445.79</v>
      </c>
      <c r="L558" s="16" t="n">
        <v>445.79</v>
      </c>
      <c r="M558" s="16" t="n">
        <v>445.79</v>
      </c>
      <c r="N558" s="16" t="n">
        <v>445.79</v>
      </c>
      <c r="O558" s="16" t="n">
        <v>445.79</v>
      </c>
      <c r="P558" s="16" t="n">
        <v>445.79</v>
      </c>
      <c r="Q558" s="16" t="n">
        <v>445.79</v>
      </c>
      <c r="R558" s="16" t="n">
        <v>445.79</v>
      </c>
      <c r="S558" s="16" t="n">
        <v>445.79</v>
      </c>
      <c r="T558" s="16" t="n">
        <v>445.79</v>
      </c>
      <c r="U558" s="16" t="n">
        <v>350</v>
      </c>
      <c r="V558" s="16" t="n">
        <v>0</v>
      </c>
      <c r="W558" s="16">
        <f>U558+V558</f>
        <v/>
      </c>
    </row>
    <row r="559">
      <c r="A559" s="9" t="inlineStr">
        <is>
          <t>TOTAL</t>
        </is>
      </c>
      <c r="E559" s="10">
        <f>SUM(E5:E558)</f>
        <v/>
      </c>
      <c r="F559" s="10">
        <f>SUM(F5:F558)</f>
        <v/>
      </c>
      <c r="G559" s="10">
        <f>SUM(G5:G558)</f>
        <v/>
      </c>
      <c r="H559" s="10">
        <f>SUM(H5:H558)</f>
        <v/>
      </c>
      <c r="I559" s="10">
        <f>SUM(I5:I558)</f>
        <v/>
      </c>
      <c r="J559" s="10">
        <f>SUM(J5:J558)</f>
        <v/>
      </c>
      <c r="K559" s="10">
        <f>SUM(K5:K558)</f>
        <v/>
      </c>
      <c r="L559" s="10">
        <f>SUM(L5:L558)</f>
        <v/>
      </c>
      <c r="M559" s="10">
        <f>SUM(M5:M558)</f>
        <v/>
      </c>
      <c r="N559" s="10">
        <f>SUM(N5:N558)</f>
        <v/>
      </c>
      <c r="O559" s="10">
        <f>SUM(O5:O558)</f>
        <v/>
      </c>
      <c r="P559" s="10">
        <f>SUM(P5:P558)</f>
        <v/>
      </c>
      <c r="Q559" s="10">
        <f>SUM(Q5:Q558)</f>
        <v/>
      </c>
      <c r="R559" s="10">
        <f>SUM(R5:R558)</f>
        <v/>
      </c>
      <c r="S559" s="10">
        <f>SUM(S5:S558)</f>
        <v/>
      </c>
      <c r="T559" s="10">
        <f>SUM(T5:T558)</f>
        <v/>
      </c>
      <c r="U559" s="10">
        <f>SUM(U5:U558)</f>
        <v/>
      </c>
      <c r="V559" s="10">
        <f>SUM(V5:V558)</f>
        <v/>
      </c>
      <c r="W559" s="10">
        <f>SUM(W5:W558)</f>
        <v/>
      </c>
    </row>
    <row r="560">
      <c r="A560" s="5" t="inlineStr">
        <is>
          <t>Foot check: Premium − (B+T+M+Resid)</t>
        </is>
      </c>
      <c r="F560" s="17">
        <f>F559-(G559+H559+I559+J559)</f>
        <v/>
      </c>
    </row>
    <row r="561">
      <c r="A561" s="5" t="inlineStr">
        <is>
          <t>Foot check: Markets − Σ(10 syndicates)</t>
        </is>
      </c>
      <c r="I561" s="17">
        <f>I559-SUM(K559:T559)</f>
        <v/>
      </c>
    </row>
  </sheetData>
  <autoFilter ref="A4:W558"/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2026-08-28T15:11:06+00:00Z</dcterms:created>
  <dcterms:modified xmlns:dcterms="http://purl.org/dc/terms/" xmlns:xsi="http://www.w3.org/2001/XMLSchema-instance" xsi:type="dcterms:W3CDTF">2026-08-28T15:11:14+00:00Z</dcterms:modified>
</cp:coreProperties>
</file>